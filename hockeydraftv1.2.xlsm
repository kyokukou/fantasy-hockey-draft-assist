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596c81157744411/Documents/professional things/projects/hockeyspreadsheet-todd/"/>
    </mc:Choice>
  </mc:AlternateContent>
  <xr:revisionPtr revIDLastSave="11" documentId="8_{4EC85E3F-CAC5-4CE3-8EB6-70542E8D5817}" xr6:coauthVersionLast="47" xr6:coauthVersionMax="47" xr10:uidLastSave="{58F0B174-CB5E-4F17-AD43-AA591148C091}"/>
  <bookViews>
    <workbookView xWindow="86280" yWindow="-1695" windowWidth="38640" windowHeight="21240" activeTab="1" xr2:uid="{EE439076-DF57-4D3E-9881-75ABE996C555}"/>
  </bookViews>
  <sheets>
    <sheet name="Schedule" sheetId="4" r:id="rId1"/>
    <sheet name="Ranked" sheetId="8" r:id="rId2"/>
    <sheet name="Your Team" sheetId="10" r:id="rId3"/>
    <sheet name="Graphs" sheetId="9" r:id="rId4"/>
    <sheet name="score estimates" sheetId="5" r:id="rId5"/>
    <sheet name="RW predict" sheetId="2" r:id="rId6"/>
    <sheet name="FA List" sheetId="13" r:id="rId7"/>
    <sheet name="player value" sheetId="1" r:id="rId8"/>
    <sheet name="Dev Tools -&gt;" sheetId="11" r:id="rId9"/>
    <sheet name="assumptions" sheetId="7" r:id="rId10"/>
    <sheet name="Sched Overlap" sheetId="12" r:id="rId11"/>
  </sheets>
  <functionGroups builtInGroupCount="19"/>
  <externalReferences>
    <externalReference r:id="rId12"/>
  </externalReferences>
  <definedNames>
    <definedName name="Teams">[1]Schedule!$A$4:$A$33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089" i="8" l="1"/>
  <c r="A1090" i="8"/>
  <c r="B1089" i="8"/>
  <c r="B1090" i="8"/>
  <c r="C1089" i="8"/>
  <c r="C1090" i="8"/>
  <c r="D1089" i="8"/>
  <c r="D1090" i="8"/>
  <c r="E1089" i="8"/>
  <c r="E1090" i="8"/>
  <c r="F1089" i="8"/>
  <c r="F1090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D1059" i="8"/>
  <c r="D1060" i="8"/>
  <c r="D1061" i="8"/>
  <c r="D1062" i="8"/>
  <c r="D1063" i="8"/>
  <c r="D1064" i="8"/>
  <c r="L1064" i="8" s="1"/>
  <c r="M1064" i="8" s="1" a="1"/>
  <c r="M1064" i="8" s="1"/>
  <c r="D1065" i="8"/>
  <c r="D1066" i="8"/>
  <c r="D1067" i="8"/>
  <c r="D1068" i="8"/>
  <c r="D1069" i="8"/>
  <c r="D1070" i="8"/>
  <c r="D1071" i="8"/>
  <c r="I1071" i="8" s="1"/>
  <c r="D1072" i="8"/>
  <c r="D1073" i="8"/>
  <c r="D1074" i="8"/>
  <c r="D1075" i="8"/>
  <c r="D1076" i="8"/>
  <c r="D1077" i="8"/>
  <c r="D1078" i="8"/>
  <c r="I1078" i="8" s="1"/>
  <c r="D1079" i="8"/>
  <c r="D1080" i="8"/>
  <c r="D1081" i="8"/>
  <c r="D1082" i="8"/>
  <c r="D1083" i="8"/>
  <c r="D1084" i="8"/>
  <c r="D1085" i="8"/>
  <c r="I1085" i="8" s="1"/>
  <c r="D1086" i="8"/>
  <c r="D1087" i="8"/>
  <c r="L1087" i="8" s="1"/>
  <c r="M1087" i="8" s="1" a="1"/>
  <c r="M1087" i="8" s="1"/>
  <c r="D108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I1059" i="8"/>
  <c r="I1064" i="8"/>
  <c r="I1080" i="8"/>
  <c r="L1059" i="8"/>
  <c r="M1059" i="8" s="1" a="1"/>
  <c r="M1059" i="8" s="1"/>
  <c r="L1071" i="8"/>
  <c r="M1071" i="8" s="1" a="1"/>
  <c r="M1071" i="8" s="1"/>
  <c r="L1080" i="8"/>
  <c r="M1080" i="8" s="1" a="1"/>
  <c r="M1080" i="8" s="1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D1026" i="8"/>
  <c r="D1027" i="8"/>
  <c r="D1028" i="8"/>
  <c r="D1029" i="8"/>
  <c r="L1029" i="8" s="1"/>
  <c r="M1029" i="8" s="1" a="1"/>
  <c r="M1029" i="8" s="1"/>
  <c r="D1030" i="8"/>
  <c r="D1031" i="8"/>
  <c r="D1032" i="8"/>
  <c r="D1033" i="8"/>
  <c r="D1034" i="8"/>
  <c r="D1035" i="8"/>
  <c r="I1035" i="8" s="1"/>
  <c r="D1036" i="8"/>
  <c r="D1037" i="8"/>
  <c r="I1037" i="8" s="1"/>
  <c r="D1038" i="8"/>
  <c r="D1039" i="8"/>
  <c r="D1040" i="8"/>
  <c r="D1041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A1025" i="8"/>
  <c r="B1025" i="8"/>
  <c r="C1025" i="8"/>
  <c r="D1025" i="8"/>
  <c r="E1025" i="8"/>
  <c r="F1025" i="8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U28" i="8" a="1"/>
  <c r="U28" i="8" s="1"/>
  <c r="V6" i="8"/>
  <c r="W6" i="8"/>
  <c r="X6" i="8"/>
  <c r="Y6" i="8"/>
  <c r="V13" i="8"/>
  <c r="W13" i="8"/>
  <c r="X13" i="8"/>
  <c r="Y13" i="8"/>
  <c r="V14" i="8"/>
  <c r="W14" i="8"/>
  <c r="X14" i="8"/>
  <c r="Y14" i="8"/>
  <c r="V15" i="8"/>
  <c r="W15" i="8"/>
  <c r="X15" i="8"/>
  <c r="Y15" i="8"/>
  <c r="V16" i="8"/>
  <c r="W16" i="8"/>
  <c r="X16" i="8"/>
  <c r="Y16" i="8"/>
  <c r="V17" i="8"/>
  <c r="W17" i="8"/>
  <c r="X17" i="8"/>
  <c r="Y17" i="8"/>
  <c r="V18" i="8"/>
  <c r="W18" i="8"/>
  <c r="X18" i="8"/>
  <c r="Y18" i="8"/>
  <c r="V19" i="8"/>
  <c r="W19" i="8"/>
  <c r="X19" i="8"/>
  <c r="Y19" i="8"/>
  <c r="V20" i="8"/>
  <c r="W20" i="8"/>
  <c r="X20" i="8"/>
  <c r="Y20" i="8"/>
  <c r="V21" i="8"/>
  <c r="W21" i="8"/>
  <c r="X21" i="8"/>
  <c r="Y21" i="8"/>
  <c r="V22" i="8"/>
  <c r="W22" i="8"/>
  <c r="X22" i="8"/>
  <c r="Y22" i="8"/>
  <c r="V23" i="8"/>
  <c r="W23" i="8"/>
  <c r="X23" i="8"/>
  <c r="Y23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5" i="8"/>
  <c r="R14" i="9"/>
  <c r="R13" i="9"/>
  <c r="K14" i="9"/>
  <c r="K13" i="9"/>
  <c r="I5" i="5"/>
  <c r="J5" i="5"/>
  <c r="M5" i="5"/>
  <c r="O5" i="5"/>
  <c r="P5" i="5"/>
  <c r="Q5" i="5"/>
  <c r="R5" i="5"/>
  <c r="S5" i="5"/>
  <c r="T5" i="5"/>
  <c r="U5" i="5"/>
  <c r="W5" i="5"/>
  <c r="X5" i="5"/>
  <c r="Y5" i="5"/>
  <c r="Z5" i="5"/>
  <c r="AA5" i="5"/>
  <c r="I6" i="5"/>
  <c r="J6" i="5"/>
  <c r="M6" i="5"/>
  <c r="O6" i="5"/>
  <c r="P6" i="5"/>
  <c r="Q6" i="5"/>
  <c r="R6" i="5"/>
  <c r="S6" i="5"/>
  <c r="T6" i="5"/>
  <c r="U6" i="5"/>
  <c r="W6" i="5"/>
  <c r="X6" i="5"/>
  <c r="Y6" i="5"/>
  <c r="Z6" i="5"/>
  <c r="AA6" i="5"/>
  <c r="I7" i="5"/>
  <c r="J7" i="5"/>
  <c r="M7" i="5"/>
  <c r="O7" i="5"/>
  <c r="P7" i="5"/>
  <c r="Q7" i="5"/>
  <c r="R7" i="5"/>
  <c r="S7" i="5"/>
  <c r="T7" i="5"/>
  <c r="U7" i="5"/>
  <c r="W7" i="5"/>
  <c r="X7" i="5"/>
  <c r="Y7" i="5"/>
  <c r="Z7" i="5"/>
  <c r="AA7" i="5"/>
  <c r="I8" i="5"/>
  <c r="J8" i="5"/>
  <c r="M8" i="5"/>
  <c r="O8" i="5"/>
  <c r="P8" i="5"/>
  <c r="Q8" i="5"/>
  <c r="R8" i="5"/>
  <c r="S8" i="5"/>
  <c r="T8" i="5"/>
  <c r="U8" i="5"/>
  <c r="W8" i="5"/>
  <c r="X8" i="5"/>
  <c r="Y8" i="5"/>
  <c r="Z8" i="5"/>
  <c r="AA8" i="5"/>
  <c r="I9" i="5"/>
  <c r="J9" i="5"/>
  <c r="M9" i="5"/>
  <c r="O9" i="5"/>
  <c r="P9" i="5"/>
  <c r="Q9" i="5"/>
  <c r="R9" i="5"/>
  <c r="S9" i="5"/>
  <c r="T9" i="5"/>
  <c r="U9" i="5"/>
  <c r="W9" i="5"/>
  <c r="X9" i="5"/>
  <c r="Y9" i="5"/>
  <c r="Z9" i="5"/>
  <c r="AA9" i="5"/>
  <c r="I10" i="5"/>
  <c r="J10" i="5"/>
  <c r="M10" i="5"/>
  <c r="O10" i="5"/>
  <c r="P10" i="5"/>
  <c r="Q10" i="5"/>
  <c r="R10" i="5"/>
  <c r="S10" i="5"/>
  <c r="T10" i="5"/>
  <c r="U10" i="5"/>
  <c r="W10" i="5"/>
  <c r="X10" i="5"/>
  <c r="Y10" i="5"/>
  <c r="Z10" i="5"/>
  <c r="AA10" i="5"/>
  <c r="I11" i="5"/>
  <c r="J11" i="5"/>
  <c r="M11" i="5"/>
  <c r="O11" i="5"/>
  <c r="P11" i="5"/>
  <c r="Q11" i="5"/>
  <c r="R11" i="5"/>
  <c r="S11" i="5"/>
  <c r="T11" i="5"/>
  <c r="U11" i="5"/>
  <c r="W11" i="5"/>
  <c r="X11" i="5"/>
  <c r="Y11" i="5"/>
  <c r="Z11" i="5"/>
  <c r="AA11" i="5"/>
  <c r="I12" i="5"/>
  <c r="J12" i="5"/>
  <c r="M12" i="5"/>
  <c r="O12" i="5"/>
  <c r="P12" i="5"/>
  <c r="Q12" i="5"/>
  <c r="R12" i="5"/>
  <c r="S12" i="5"/>
  <c r="T12" i="5"/>
  <c r="U12" i="5"/>
  <c r="W12" i="5"/>
  <c r="X12" i="5"/>
  <c r="Y12" i="5"/>
  <c r="Z12" i="5"/>
  <c r="AA12" i="5"/>
  <c r="I13" i="5"/>
  <c r="J13" i="5"/>
  <c r="M13" i="5"/>
  <c r="O13" i="5"/>
  <c r="P13" i="5"/>
  <c r="Q13" i="5"/>
  <c r="R13" i="5"/>
  <c r="S13" i="5"/>
  <c r="T13" i="5"/>
  <c r="U13" i="5"/>
  <c r="W13" i="5"/>
  <c r="X13" i="5"/>
  <c r="Y13" i="5"/>
  <c r="Z13" i="5"/>
  <c r="AA13" i="5"/>
  <c r="I14" i="5"/>
  <c r="J14" i="5"/>
  <c r="M14" i="5"/>
  <c r="O14" i="5"/>
  <c r="P14" i="5"/>
  <c r="Q14" i="5"/>
  <c r="R14" i="5"/>
  <c r="S14" i="5"/>
  <c r="T14" i="5"/>
  <c r="U14" i="5"/>
  <c r="W14" i="5"/>
  <c r="X14" i="5"/>
  <c r="Y14" i="5"/>
  <c r="Z14" i="5"/>
  <c r="AA14" i="5"/>
  <c r="I15" i="5"/>
  <c r="J15" i="5"/>
  <c r="M15" i="5"/>
  <c r="O15" i="5"/>
  <c r="P15" i="5"/>
  <c r="Q15" i="5"/>
  <c r="R15" i="5"/>
  <c r="S15" i="5"/>
  <c r="T15" i="5"/>
  <c r="U15" i="5"/>
  <c r="W15" i="5"/>
  <c r="X15" i="5"/>
  <c r="Y15" i="5"/>
  <c r="Z15" i="5"/>
  <c r="AA15" i="5"/>
  <c r="I16" i="5"/>
  <c r="J16" i="5"/>
  <c r="M16" i="5"/>
  <c r="O16" i="5"/>
  <c r="P16" i="5"/>
  <c r="Q16" i="5"/>
  <c r="R16" i="5"/>
  <c r="S16" i="5"/>
  <c r="T16" i="5"/>
  <c r="U16" i="5"/>
  <c r="W16" i="5"/>
  <c r="X16" i="5"/>
  <c r="Y16" i="5"/>
  <c r="Z16" i="5"/>
  <c r="AA16" i="5"/>
  <c r="I17" i="5"/>
  <c r="J17" i="5"/>
  <c r="M17" i="5"/>
  <c r="O17" i="5"/>
  <c r="P17" i="5"/>
  <c r="Q17" i="5"/>
  <c r="R17" i="5"/>
  <c r="S17" i="5"/>
  <c r="T17" i="5"/>
  <c r="U17" i="5"/>
  <c r="W17" i="5"/>
  <c r="X17" i="5"/>
  <c r="Y17" i="5"/>
  <c r="Z17" i="5"/>
  <c r="AA17" i="5"/>
  <c r="I18" i="5"/>
  <c r="J18" i="5"/>
  <c r="M18" i="5"/>
  <c r="O18" i="5"/>
  <c r="P18" i="5"/>
  <c r="Q18" i="5"/>
  <c r="R18" i="5"/>
  <c r="S18" i="5"/>
  <c r="T18" i="5"/>
  <c r="U18" i="5"/>
  <c r="W18" i="5"/>
  <c r="X18" i="5"/>
  <c r="Y18" i="5"/>
  <c r="Z18" i="5"/>
  <c r="AA18" i="5"/>
  <c r="I19" i="5"/>
  <c r="J19" i="5"/>
  <c r="M19" i="5"/>
  <c r="O19" i="5"/>
  <c r="P19" i="5"/>
  <c r="Q19" i="5"/>
  <c r="R19" i="5"/>
  <c r="S19" i="5"/>
  <c r="T19" i="5"/>
  <c r="U19" i="5"/>
  <c r="W19" i="5"/>
  <c r="X19" i="5"/>
  <c r="Y19" i="5"/>
  <c r="Z19" i="5"/>
  <c r="AA19" i="5"/>
  <c r="I20" i="5"/>
  <c r="J20" i="5"/>
  <c r="M20" i="5"/>
  <c r="O20" i="5"/>
  <c r="P20" i="5"/>
  <c r="Q20" i="5"/>
  <c r="R20" i="5"/>
  <c r="S20" i="5"/>
  <c r="T20" i="5"/>
  <c r="U20" i="5"/>
  <c r="W20" i="5"/>
  <c r="X20" i="5"/>
  <c r="Y20" i="5"/>
  <c r="Z20" i="5"/>
  <c r="AA20" i="5"/>
  <c r="I21" i="5"/>
  <c r="J21" i="5"/>
  <c r="M21" i="5"/>
  <c r="O21" i="5"/>
  <c r="P21" i="5"/>
  <c r="Q21" i="5"/>
  <c r="R21" i="5"/>
  <c r="S21" i="5"/>
  <c r="T21" i="5"/>
  <c r="U21" i="5"/>
  <c r="W21" i="5"/>
  <c r="X21" i="5"/>
  <c r="Y21" i="5"/>
  <c r="Z21" i="5"/>
  <c r="AA21" i="5"/>
  <c r="I22" i="5"/>
  <c r="J22" i="5"/>
  <c r="M22" i="5"/>
  <c r="O22" i="5"/>
  <c r="P22" i="5"/>
  <c r="Q22" i="5"/>
  <c r="R22" i="5"/>
  <c r="S22" i="5"/>
  <c r="T22" i="5"/>
  <c r="U22" i="5"/>
  <c r="W22" i="5"/>
  <c r="X22" i="5"/>
  <c r="Y22" i="5"/>
  <c r="Z22" i="5"/>
  <c r="AA22" i="5"/>
  <c r="I23" i="5"/>
  <c r="J23" i="5"/>
  <c r="M23" i="5"/>
  <c r="O23" i="5"/>
  <c r="P23" i="5"/>
  <c r="Q23" i="5"/>
  <c r="R23" i="5"/>
  <c r="S23" i="5"/>
  <c r="T23" i="5"/>
  <c r="U23" i="5"/>
  <c r="W23" i="5"/>
  <c r="X23" i="5"/>
  <c r="Y23" i="5"/>
  <c r="Z23" i="5"/>
  <c r="AA23" i="5"/>
  <c r="I24" i="5"/>
  <c r="J24" i="5"/>
  <c r="M24" i="5"/>
  <c r="O24" i="5"/>
  <c r="P24" i="5"/>
  <c r="Q24" i="5"/>
  <c r="R24" i="5"/>
  <c r="S24" i="5"/>
  <c r="T24" i="5"/>
  <c r="U24" i="5"/>
  <c r="W24" i="5"/>
  <c r="X24" i="5"/>
  <c r="Y24" i="5"/>
  <c r="Z24" i="5"/>
  <c r="AA24" i="5"/>
  <c r="I25" i="5"/>
  <c r="J25" i="5"/>
  <c r="M25" i="5"/>
  <c r="O25" i="5"/>
  <c r="P25" i="5"/>
  <c r="Q25" i="5"/>
  <c r="R25" i="5"/>
  <c r="S25" i="5"/>
  <c r="T25" i="5"/>
  <c r="U25" i="5"/>
  <c r="W25" i="5"/>
  <c r="X25" i="5"/>
  <c r="Y25" i="5"/>
  <c r="Z25" i="5"/>
  <c r="AA25" i="5"/>
  <c r="I26" i="5"/>
  <c r="J26" i="5"/>
  <c r="M26" i="5"/>
  <c r="O26" i="5"/>
  <c r="P26" i="5"/>
  <c r="Q26" i="5"/>
  <c r="R26" i="5"/>
  <c r="S26" i="5"/>
  <c r="T26" i="5"/>
  <c r="U26" i="5"/>
  <c r="W26" i="5"/>
  <c r="X26" i="5"/>
  <c r="Y26" i="5"/>
  <c r="Z26" i="5"/>
  <c r="AA26" i="5"/>
  <c r="I27" i="5"/>
  <c r="J27" i="5"/>
  <c r="M27" i="5"/>
  <c r="O27" i="5"/>
  <c r="P27" i="5"/>
  <c r="Q27" i="5"/>
  <c r="R27" i="5"/>
  <c r="S27" i="5"/>
  <c r="T27" i="5"/>
  <c r="U27" i="5"/>
  <c r="W27" i="5"/>
  <c r="X27" i="5"/>
  <c r="Y27" i="5"/>
  <c r="Z27" i="5"/>
  <c r="AA27" i="5"/>
  <c r="I28" i="5"/>
  <c r="J28" i="5"/>
  <c r="M28" i="5"/>
  <c r="O28" i="5"/>
  <c r="P28" i="5"/>
  <c r="Q28" i="5"/>
  <c r="R28" i="5"/>
  <c r="S28" i="5"/>
  <c r="T28" i="5"/>
  <c r="U28" i="5"/>
  <c r="W28" i="5"/>
  <c r="X28" i="5"/>
  <c r="Y28" i="5"/>
  <c r="Z28" i="5"/>
  <c r="AA28" i="5"/>
  <c r="I29" i="5"/>
  <c r="J29" i="5"/>
  <c r="M29" i="5"/>
  <c r="O29" i="5"/>
  <c r="P29" i="5"/>
  <c r="Q29" i="5"/>
  <c r="R29" i="5"/>
  <c r="S29" i="5"/>
  <c r="T29" i="5"/>
  <c r="U29" i="5"/>
  <c r="W29" i="5"/>
  <c r="X29" i="5"/>
  <c r="Y29" i="5"/>
  <c r="Z29" i="5"/>
  <c r="AA29" i="5"/>
  <c r="I30" i="5"/>
  <c r="J30" i="5"/>
  <c r="M30" i="5"/>
  <c r="O30" i="5"/>
  <c r="P30" i="5"/>
  <c r="Q30" i="5"/>
  <c r="R30" i="5"/>
  <c r="S30" i="5"/>
  <c r="T30" i="5"/>
  <c r="U30" i="5"/>
  <c r="W30" i="5"/>
  <c r="X30" i="5"/>
  <c r="Y30" i="5"/>
  <c r="Z30" i="5"/>
  <c r="AA30" i="5"/>
  <c r="I31" i="5"/>
  <c r="J31" i="5"/>
  <c r="M31" i="5"/>
  <c r="O31" i="5"/>
  <c r="P31" i="5"/>
  <c r="Q31" i="5"/>
  <c r="R31" i="5"/>
  <c r="S31" i="5"/>
  <c r="T31" i="5"/>
  <c r="U31" i="5"/>
  <c r="W31" i="5"/>
  <c r="X31" i="5"/>
  <c r="Y31" i="5"/>
  <c r="Z31" i="5"/>
  <c r="AA31" i="5"/>
  <c r="I32" i="5"/>
  <c r="J32" i="5"/>
  <c r="M32" i="5"/>
  <c r="O32" i="5"/>
  <c r="P32" i="5"/>
  <c r="Q32" i="5"/>
  <c r="R32" i="5"/>
  <c r="S32" i="5"/>
  <c r="T32" i="5"/>
  <c r="U32" i="5"/>
  <c r="W32" i="5"/>
  <c r="X32" i="5"/>
  <c r="Y32" i="5"/>
  <c r="Z32" i="5"/>
  <c r="AA32" i="5"/>
  <c r="I33" i="5"/>
  <c r="J33" i="5"/>
  <c r="M33" i="5"/>
  <c r="O33" i="5"/>
  <c r="P33" i="5"/>
  <c r="Q33" i="5"/>
  <c r="R33" i="5"/>
  <c r="S33" i="5"/>
  <c r="T33" i="5"/>
  <c r="U33" i="5"/>
  <c r="W33" i="5"/>
  <c r="X33" i="5"/>
  <c r="Y33" i="5"/>
  <c r="Z33" i="5"/>
  <c r="AA33" i="5"/>
  <c r="I34" i="5"/>
  <c r="J34" i="5"/>
  <c r="M34" i="5"/>
  <c r="O34" i="5"/>
  <c r="P34" i="5"/>
  <c r="Q34" i="5"/>
  <c r="R34" i="5"/>
  <c r="S34" i="5"/>
  <c r="T34" i="5"/>
  <c r="U34" i="5"/>
  <c r="W34" i="5"/>
  <c r="X34" i="5"/>
  <c r="Y34" i="5"/>
  <c r="Z34" i="5"/>
  <c r="AA34" i="5"/>
  <c r="I35" i="5"/>
  <c r="J35" i="5"/>
  <c r="M35" i="5"/>
  <c r="O35" i="5"/>
  <c r="P35" i="5"/>
  <c r="Q35" i="5"/>
  <c r="R35" i="5"/>
  <c r="S35" i="5"/>
  <c r="T35" i="5"/>
  <c r="U35" i="5"/>
  <c r="W35" i="5"/>
  <c r="X35" i="5"/>
  <c r="Y35" i="5"/>
  <c r="Z35" i="5"/>
  <c r="AA35" i="5"/>
  <c r="I36" i="5"/>
  <c r="J36" i="5"/>
  <c r="M36" i="5"/>
  <c r="O36" i="5"/>
  <c r="P36" i="5"/>
  <c r="Q36" i="5"/>
  <c r="R36" i="5"/>
  <c r="S36" i="5"/>
  <c r="T36" i="5"/>
  <c r="U36" i="5"/>
  <c r="W36" i="5"/>
  <c r="X36" i="5"/>
  <c r="Y36" i="5"/>
  <c r="Z36" i="5"/>
  <c r="AA36" i="5"/>
  <c r="I37" i="5"/>
  <c r="J37" i="5"/>
  <c r="M37" i="5"/>
  <c r="O37" i="5"/>
  <c r="P37" i="5"/>
  <c r="Q37" i="5"/>
  <c r="R37" i="5"/>
  <c r="S37" i="5"/>
  <c r="T37" i="5"/>
  <c r="U37" i="5"/>
  <c r="W37" i="5"/>
  <c r="X37" i="5"/>
  <c r="Y37" i="5"/>
  <c r="Z37" i="5"/>
  <c r="AA37" i="5"/>
  <c r="I38" i="5"/>
  <c r="J38" i="5"/>
  <c r="M38" i="5"/>
  <c r="O38" i="5"/>
  <c r="P38" i="5"/>
  <c r="Q38" i="5"/>
  <c r="R38" i="5"/>
  <c r="S38" i="5"/>
  <c r="T38" i="5"/>
  <c r="U38" i="5"/>
  <c r="W38" i="5"/>
  <c r="X38" i="5"/>
  <c r="Y38" i="5"/>
  <c r="Z38" i="5"/>
  <c r="AA38" i="5"/>
  <c r="I39" i="5"/>
  <c r="J39" i="5"/>
  <c r="M39" i="5"/>
  <c r="O39" i="5"/>
  <c r="P39" i="5"/>
  <c r="Q39" i="5"/>
  <c r="R39" i="5"/>
  <c r="S39" i="5"/>
  <c r="T39" i="5"/>
  <c r="U39" i="5"/>
  <c r="W39" i="5"/>
  <c r="X39" i="5"/>
  <c r="Y39" i="5"/>
  <c r="Z39" i="5"/>
  <c r="AA39" i="5"/>
  <c r="I40" i="5"/>
  <c r="J40" i="5"/>
  <c r="M40" i="5"/>
  <c r="O40" i="5"/>
  <c r="P40" i="5"/>
  <c r="Q40" i="5"/>
  <c r="R40" i="5"/>
  <c r="S40" i="5"/>
  <c r="T40" i="5"/>
  <c r="U40" i="5"/>
  <c r="W40" i="5"/>
  <c r="X40" i="5"/>
  <c r="Y40" i="5"/>
  <c r="Z40" i="5"/>
  <c r="AA40" i="5"/>
  <c r="I41" i="5"/>
  <c r="J41" i="5"/>
  <c r="M41" i="5"/>
  <c r="O41" i="5"/>
  <c r="P41" i="5"/>
  <c r="Q41" i="5"/>
  <c r="R41" i="5"/>
  <c r="S41" i="5"/>
  <c r="T41" i="5"/>
  <c r="U41" i="5"/>
  <c r="W41" i="5"/>
  <c r="X41" i="5"/>
  <c r="Y41" i="5"/>
  <c r="Z41" i="5"/>
  <c r="AA41" i="5"/>
  <c r="I42" i="5"/>
  <c r="J42" i="5"/>
  <c r="M42" i="5"/>
  <c r="O42" i="5"/>
  <c r="P42" i="5"/>
  <c r="Q42" i="5"/>
  <c r="R42" i="5"/>
  <c r="S42" i="5"/>
  <c r="T42" i="5"/>
  <c r="U42" i="5"/>
  <c r="W42" i="5"/>
  <c r="X42" i="5"/>
  <c r="Y42" i="5"/>
  <c r="Z42" i="5"/>
  <c r="AA42" i="5"/>
  <c r="I43" i="5"/>
  <c r="J43" i="5"/>
  <c r="M43" i="5"/>
  <c r="O43" i="5"/>
  <c r="P43" i="5"/>
  <c r="Q43" i="5"/>
  <c r="R43" i="5"/>
  <c r="S43" i="5"/>
  <c r="T43" i="5"/>
  <c r="U43" i="5"/>
  <c r="W43" i="5"/>
  <c r="X43" i="5"/>
  <c r="Y43" i="5"/>
  <c r="Z43" i="5"/>
  <c r="AA43" i="5"/>
  <c r="I44" i="5"/>
  <c r="J44" i="5"/>
  <c r="M44" i="5"/>
  <c r="O44" i="5"/>
  <c r="P44" i="5"/>
  <c r="Q44" i="5"/>
  <c r="R44" i="5"/>
  <c r="S44" i="5"/>
  <c r="T44" i="5"/>
  <c r="U44" i="5"/>
  <c r="W44" i="5"/>
  <c r="X44" i="5"/>
  <c r="Y44" i="5"/>
  <c r="Z44" i="5"/>
  <c r="AA44" i="5"/>
  <c r="I45" i="5"/>
  <c r="J45" i="5"/>
  <c r="M45" i="5"/>
  <c r="O45" i="5"/>
  <c r="P45" i="5"/>
  <c r="Q45" i="5"/>
  <c r="R45" i="5"/>
  <c r="S45" i="5"/>
  <c r="T45" i="5"/>
  <c r="U45" i="5"/>
  <c r="W45" i="5"/>
  <c r="X45" i="5"/>
  <c r="Y45" i="5"/>
  <c r="Z45" i="5"/>
  <c r="AA45" i="5"/>
  <c r="I46" i="5"/>
  <c r="J46" i="5"/>
  <c r="M46" i="5"/>
  <c r="O46" i="5"/>
  <c r="P46" i="5"/>
  <c r="Q46" i="5"/>
  <c r="R46" i="5"/>
  <c r="S46" i="5"/>
  <c r="T46" i="5"/>
  <c r="U46" i="5"/>
  <c r="W46" i="5"/>
  <c r="X46" i="5"/>
  <c r="Y46" i="5"/>
  <c r="Z46" i="5"/>
  <c r="AA46" i="5"/>
  <c r="I47" i="5"/>
  <c r="J47" i="5"/>
  <c r="M47" i="5"/>
  <c r="O47" i="5"/>
  <c r="P47" i="5"/>
  <c r="Q47" i="5"/>
  <c r="R47" i="5"/>
  <c r="S47" i="5"/>
  <c r="T47" i="5"/>
  <c r="U47" i="5"/>
  <c r="W47" i="5"/>
  <c r="X47" i="5"/>
  <c r="Y47" i="5"/>
  <c r="Z47" i="5"/>
  <c r="AA47" i="5"/>
  <c r="I48" i="5"/>
  <c r="J48" i="5"/>
  <c r="M48" i="5"/>
  <c r="O48" i="5"/>
  <c r="P48" i="5"/>
  <c r="Q48" i="5"/>
  <c r="R48" i="5"/>
  <c r="S48" i="5"/>
  <c r="T48" i="5"/>
  <c r="U48" i="5"/>
  <c r="W48" i="5"/>
  <c r="X48" i="5"/>
  <c r="Y48" i="5"/>
  <c r="Z48" i="5"/>
  <c r="AA48" i="5"/>
  <c r="I49" i="5"/>
  <c r="J49" i="5"/>
  <c r="M49" i="5"/>
  <c r="O49" i="5"/>
  <c r="P49" i="5"/>
  <c r="Q49" i="5"/>
  <c r="R49" i="5"/>
  <c r="S49" i="5"/>
  <c r="T49" i="5"/>
  <c r="U49" i="5"/>
  <c r="W49" i="5"/>
  <c r="X49" i="5"/>
  <c r="Y49" i="5"/>
  <c r="Z49" i="5"/>
  <c r="AA49" i="5"/>
  <c r="I50" i="5"/>
  <c r="J50" i="5"/>
  <c r="M50" i="5"/>
  <c r="O50" i="5"/>
  <c r="P50" i="5"/>
  <c r="Q50" i="5"/>
  <c r="R50" i="5"/>
  <c r="S50" i="5"/>
  <c r="T50" i="5"/>
  <c r="U50" i="5"/>
  <c r="W50" i="5"/>
  <c r="X50" i="5"/>
  <c r="Y50" i="5"/>
  <c r="Z50" i="5"/>
  <c r="AA50" i="5"/>
  <c r="I51" i="5"/>
  <c r="J51" i="5"/>
  <c r="M51" i="5"/>
  <c r="O51" i="5"/>
  <c r="P51" i="5"/>
  <c r="Q51" i="5"/>
  <c r="R51" i="5"/>
  <c r="S51" i="5"/>
  <c r="T51" i="5"/>
  <c r="U51" i="5"/>
  <c r="W51" i="5"/>
  <c r="X51" i="5"/>
  <c r="Y51" i="5"/>
  <c r="Z51" i="5"/>
  <c r="AA51" i="5"/>
  <c r="I52" i="5"/>
  <c r="J52" i="5"/>
  <c r="M52" i="5"/>
  <c r="O52" i="5"/>
  <c r="P52" i="5"/>
  <c r="Q52" i="5"/>
  <c r="R52" i="5"/>
  <c r="S52" i="5"/>
  <c r="T52" i="5"/>
  <c r="U52" i="5"/>
  <c r="W52" i="5"/>
  <c r="X52" i="5"/>
  <c r="Y52" i="5"/>
  <c r="Z52" i="5"/>
  <c r="AA52" i="5"/>
  <c r="I53" i="5"/>
  <c r="J53" i="5"/>
  <c r="M53" i="5"/>
  <c r="O53" i="5"/>
  <c r="P53" i="5"/>
  <c r="Q53" i="5"/>
  <c r="R53" i="5"/>
  <c r="S53" i="5"/>
  <c r="T53" i="5"/>
  <c r="U53" i="5"/>
  <c r="W53" i="5"/>
  <c r="X53" i="5"/>
  <c r="Y53" i="5"/>
  <c r="Z53" i="5"/>
  <c r="AA53" i="5"/>
  <c r="I54" i="5"/>
  <c r="J54" i="5"/>
  <c r="M54" i="5"/>
  <c r="O54" i="5"/>
  <c r="P54" i="5"/>
  <c r="Q54" i="5"/>
  <c r="R54" i="5"/>
  <c r="S54" i="5"/>
  <c r="T54" i="5"/>
  <c r="U54" i="5"/>
  <c r="W54" i="5"/>
  <c r="X54" i="5"/>
  <c r="Y54" i="5"/>
  <c r="Z54" i="5"/>
  <c r="AA54" i="5"/>
  <c r="I55" i="5"/>
  <c r="J55" i="5"/>
  <c r="M55" i="5"/>
  <c r="O55" i="5"/>
  <c r="P55" i="5"/>
  <c r="Q55" i="5"/>
  <c r="R55" i="5"/>
  <c r="S55" i="5"/>
  <c r="T55" i="5"/>
  <c r="U55" i="5"/>
  <c r="W55" i="5"/>
  <c r="X55" i="5"/>
  <c r="Y55" i="5"/>
  <c r="Z55" i="5"/>
  <c r="AA55" i="5"/>
  <c r="I56" i="5"/>
  <c r="J56" i="5"/>
  <c r="M56" i="5"/>
  <c r="O56" i="5"/>
  <c r="P56" i="5"/>
  <c r="Q56" i="5"/>
  <c r="R56" i="5"/>
  <c r="S56" i="5"/>
  <c r="T56" i="5"/>
  <c r="U56" i="5"/>
  <c r="W56" i="5"/>
  <c r="X56" i="5"/>
  <c r="Y56" i="5"/>
  <c r="Z56" i="5"/>
  <c r="AA56" i="5"/>
  <c r="I57" i="5"/>
  <c r="J57" i="5"/>
  <c r="M57" i="5"/>
  <c r="O57" i="5"/>
  <c r="P57" i="5"/>
  <c r="Q57" i="5"/>
  <c r="R57" i="5"/>
  <c r="S57" i="5"/>
  <c r="T57" i="5"/>
  <c r="U57" i="5"/>
  <c r="W57" i="5"/>
  <c r="X57" i="5"/>
  <c r="Y57" i="5"/>
  <c r="Z57" i="5"/>
  <c r="AA57" i="5"/>
  <c r="I58" i="5"/>
  <c r="J58" i="5"/>
  <c r="M58" i="5"/>
  <c r="O58" i="5"/>
  <c r="P58" i="5"/>
  <c r="Q58" i="5"/>
  <c r="R58" i="5"/>
  <c r="S58" i="5"/>
  <c r="T58" i="5"/>
  <c r="U58" i="5"/>
  <c r="W58" i="5"/>
  <c r="X58" i="5"/>
  <c r="Y58" i="5"/>
  <c r="Z58" i="5"/>
  <c r="AA58" i="5"/>
  <c r="I59" i="5"/>
  <c r="J59" i="5"/>
  <c r="M59" i="5"/>
  <c r="O59" i="5"/>
  <c r="P59" i="5"/>
  <c r="Q59" i="5"/>
  <c r="R59" i="5"/>
  <c r="S59" i="5"/>
  <c r="T59" i="5"/>
  <c r="U59" i="5"/>
  <c r="W59" i="5"/>
  <c r="X59" i="5"/>
  <c r="Y59" i="5"/>
  <c r="Z59" i="5"/>
  <c r="AA59" i="5"/>
  <c r="I60" i="5"/>
  <c r="J60" i="5"/>
  <c r="M60" i="5"/>
  <c r="O60" i="5"/>
  <c r="P60" i="5"/>
  <c r="Q60" i="5"/>
  <c r="R60" i="5"/>
  <c r="S60" i="5"/>
  <c r="T60" i="5"/>
  <c r="U60" i="5"/>
  <c r="W60" i="5"/>
  <c r="X60" i="5"/>
  <c r="Y60" i="5"/>
  <c r="Z60" i="5"/>
  <c r="AA60" i="5"/>
  <c r="I61" i="5"/>
  <c r="J61" i="5"/>
  <c r="M61" i="5"/>
  <c r="O61" i="5"/>
  <c r="P61" i="5"/>
  <c r="Q61" i="5"/>
  <c r="R61" i="5"/>
  <c r="S61" i="5"/>
  <c r="T61" i="5"/>
  <c r="U61" i="5"/>
  <c r="W61" i="5"/>
  <c r="X61" i="5"/>
  <c r="Y61" i="5"/>
  <c r="Z61" i="5"/>
  <c r="AA61" i="5"/>
  <c r="I62" i="5"/>
  <c r="J62" i="5"/>
  <c r="M62" i="5"/>
  <c r="O62" i="5"/>
  <c r="P62" i="5"/>
  <c r="Q62" i="5"/>
  <c r="R62" i="5"/>
  <c r="S62" i="5"/>
  <c r="T62" i="5"/>
  <c r="U62" i="5"/>
  <c r="W62" i="5"/>
  <c r="X62" i="5"/>
  <c r="Y62" i="5"/>
  <c r="Z62" i="5"/>
  <c r="AA62" i="5"/>
  <c r="I63" i="5"/>
  <c r="J63" i="5"/>
  <c r="M63" i="5"/>
  <c r="O63" i="5"/>
  <c r="P63" i="5"/>
  <c r="Q63" i="5"/>
  <c r="R63" i="5"/>
  <c r="S63" i="5"/>
  <c r="T63" i="5"/>
  <c r="U63" i="5"/>
  <c r="W63" i="5"/>
  <c r="X63" i="5"/>
  <c r="Y63" i="5"/>
  <c r="Z63" i="5"/>
  <c r="AA63" i="5"/>
  <c r="I64" i="5"/>
  <c r="J64" i="5"/>
  <c r="M64" i="5"/>
  <c r="O64" i="5"/>
  <c r="P64" i="5"/>
  <c r="Q64" i="5"/>
  <c r="R64" i="5"/>
  <c r="S64" i="5"/>
  <c r="T64" i="5"/>
  <c r="U64" i="5"/>
  <c r="W64" i="5"/>
  <c r="X64" i="5"/>
  <c r="Y64" i="5"/>
  <c r="Z64" i="5"/>
  <c r="AA64" i="5"/>
  <c r="I65" i="5"/>
  <c r="J65" i="5"/>
  <c r="M65" i="5"/>
  <c r="O65" i="5"/>
  <c r="P65" i="5"/>
  <c r="Q65" i="5"/>
  <c r="R65" i="5"/>
  <c r="S65" i="5"/>
  <c r="T65" i="5"/>
  <c r="U65" i="5"/>
  <c r="W65" i="5"/>
  <c r="X65" i="5"/>
  <c r="Y65" i="5"/>
  <c r="Z65" i="5"/>
  <c r="AA65" i="5"/>
  <c r="I66" i="5"/>
  <c r="J66" i="5"/>
  <c r="M66" i="5"/>
  <c r="O66" i="5"/>
  <c r="P66" i="5"/>
  <c r="Q66" i="5"/>
  <c r="R66" i="5"/>
  <c r="S66" i="5"/>
  <c r="T66" i="5"/>
  <c r="U66" i="5"/>
  <c r="W66" i="5"/>
  <c r="X66" i="5"/>
  <c r="Y66" i="5"/>
  <c r="Z66" i="5"/>
  <c r="AA66" i="5"/>
  <c r="I67" i="5"/>
  <c r="J67" i="5"/>
  <c r="M67" i="5"/>
  <c r="O67" i="5"/>
  <c r="P67" i="5"/>
  <c r="Q67" i="5"/>
  <c r="R67" i="5"/>
  <c r="S67" i="5"/>
  <c r="T67" i="5"/>
  <c r="U67" i="5"/>
  <c r="W67" i="5"/>
  <c r="X67" i="5"/>
  <c r="Y67" i="5"/>
  <c r="Z67" i="5"/>
  <c r="AA67" i="5"/>
  <c r="I68" i="5"/>
  <c r="J68" i="5"/>
  <c r="M68" i="5"/>
  <c r="O68" i="5"/>
  <c r="P68" i="5"/>
  <c r="Q68" i="5"/>
  <c r="R68" i="5"/>
  <c r="S68" i="5"/>
  <c r="T68" i="5"/>
  <c r="U68" i="5"/>
  <c r="W68" i="5"/>
  <c r="X68" i="5"/>
  <c r="Y68" i="5"/>
  <c r="Z68" i="5"/>
  <c r="AA68" i="5"/>
  <c r="I69" i="5"/>
  <c r="J69" i="5"/>
  <c r="M69" i="5"/>
  <c r="O69" i="5"/>
  <c r="P69" i="5"/>
  <c r="Q69" i="5"/>
  <c r="R69" i="5"/>
  <c r="S69" i="5"/>
  <c r="T69" i="5"/>
  <c r="U69" i="5"/>
  <c r="W69" i="5"/>
  <c r="X69" i="5"/>
  <c r="Y69" i="5"/>
  <c r="Z69" i="5"/>
  <c r="AA69" i="5"/>
  <c r="I70" i="5"/>
  <c r="J70" i="5"/>
  <c r="M70" i="5"/>
  <c r="O70" i="5"/>
  <c r="P70" i="5"/>
  <c r="Q70" i="5"/>
  <c r="R70" i="5"/>
  <c r="S70" i="5"/>
  <c r="T70" i="5"/>
  <c r="U70" i="5"/>
  <c r="W70" i="5"/>
  <c r="X70" i="5"/>
  <c r="Y70" i="5"/>
  <c r="Z70" i="5"/>
  <c r="AA70" i="5"/>
  <c r="I71" i="5"/>
  <c r="J71" i="5"/>
  <c r="M71" i="5"/>
  <c r="O71" i="5"/>
  <c r="P71" i="5"/>
  <c r="Q71" i="5"/>
  <c r="R71" i="5"/>
  <c r="S71" i="5"/>
  <c r="T71" i="5"/>
  <c r="U71" i="5"/>
  <c r="W71" i="5"/>
  <c r="X71" i="5"/>
  <c r="Y71" i="5"/>
  <c r="Z71" i="5"/>
  <c r="AA71" i="5"/>
  <c r="I72" i="5"/>
  <c r="J72" i="5"/>
  <c r="M72" i="5"/>
  <c r="O72" i="5"/>
  <c r="P72" i="5"/>
  <c r="Q72" i="5"/>
  <c r="R72" i="5"/>
  <c r="S72" i="5"/>
  <c r="T72" i="5"/>
  <c r="U72" i="5"/>
  <c r="W72" i="5"/>
  <c r="X72" i="5"/>
  <c r="Y72" i="5"/>
  <c r="Z72" i="5"/>
  <c r="AA72" i="5"/>
  <c r="I73" i="5"/>
  <c r="J73" i="5"/>
  <c r="M73" i="5"/>
  <c r="O73" i="5"/>
  <c r="P73" i="5"/>
  <c r="Q73" i="5"/>
  <c r="R73" i="5"/>
  <c r="S73" i="5"/>
  <c r="T73" i="5"/>
  <c r="U73" i="5"/>
  <c r="W73" i="5"/>
  <c r="X73" i="5"/>
  <c r="Y73" i="5"/>
  <c r="Z73" i="5"/>
  <c r="AA73" i="5"/>
  <c r="I74" i="5"/>
  <c r="J74" i="5"/>
  <c r="M74" i="5"/>
  <c r="O74" i="5"/>
  <c r="P74" i="5"/>
  <c r="Q74" i="5"/>
  <c r="R74" i="5"/>
  <c r="S74" i="5"/>
  <c r="T74" i="5"/>
  <c r="U74" i="5"/>
  <c r="W74" i="5"/>
  <c r="X74" i="5"/>
  <c r="Y74" i="5"/>
  <c r="Z74" i="5"/>
  <c r="AA74" i="5"/>
  <c r="I75" i="5"/>
  <c r="J75" i="5"/>
  <c r="M75" i="5"/>
  <c r="O75" i="5"/>
  <c r="P75" i="5"/>
  <c r="Q75" i="5"/>
  <c r="R75" i="5"/>
  <c r="S75" i="5"/>
  <c r="T75" i="5"/>
  <c r="U75" i="5"/>
  <c r="W75" i="5"/>
  <c r="X75" i="5"/>
  <c r="Y75" i="5"/>
  <c r="Z75" i="5"/>
  <c r="AA75" i="5"/>
  <c r="I76" i="5"/>
  <c r="J76" i="5"/>
  <c r="M76" i="5"/>
  <c r="O76" i="5"/>
  <c r="P76" i="5"/>
  <c r="Q76" i="5"/>
  <c r="R76" i="5"/>
  <c r="S76" i="5"/>
  <c r="T76" i="5"/>
  <c r="U76" i="5"/>
  <c r="W76" i="5"/>
  <c r="X76" i="5"/>
  <c r="Y76" i="5"/>
  <c r="Z76" i="5"/>
  <c r="AA76" i="5"/>
  <c r="I77" i="5"/>
  <c r="J77" i="5"/>
  <c r="M77" i="5"/>
  <c r="O77" i="5"/>
  <c r="P77" i="5"/>
  <c r="Q77" i="5"/>
  <c r="R77" i="5"/>
  <c r="S77" i="5"/>
  <c r="T77" i="5"/>
  <c r="U77" i="5"/>
  <c r="W77" i="5"/>
  <c r="X77" i="5"/>
  <c r="Y77" i="5"/>
  <c r="Z77" i="5"/>
  <c r="AA77" i="5"/>
  <c r="I78" i="5"/>
  <c r="J78" i="5"/>
  <c r="M78" i="5"/>
  <c r="O78" i="5"/>
  <c r="P78" i="5"/>
  <c r="Q78" i="5"/>
  <c r="R78" i="5"/>
  <c r="S78" i="5"/>
  <c r="T78" i="5"/>
  <c r="U78" i="5"/>
  <c r="W78" i="5"/>
  <c r="X78" i="5"/>
  <c r="Y78" i="5"/>
  <c r="Z78" i="5"/>
  <c r="AA78" i="5"/>
  <c r="I79" i="5"/>
  <c r="J79" i="5"/>
  <c r="M79" i="5"/>
  <c r="O79" i="5"/>
  <c r="P79" i="5"/>
  <c r="Q79" i="5"/>
  <c r="R79" i="5"/>
  <c r="S79" i="5"/>
  <c r="T79" i="5"/>
  <c r="U79" i="5"/>
  <c r="W79" i="5"/>
  <c r="X79" i="5"/>
  <c r="Y79" i="5"/>
  <c r="Z79" i="5"/>
  <c r="AA79" i="5"/>
  <c r="I80" i="5"/>
  <c r="J80" i="5"/>
  <c r="M80" i="5"/>
  <c r="O80" i="5"/>
  <c r="P80" i="5"/>
  <c r="Q80" i="5"/>
  <c r="R80" i="5"/>
  <c r="S80" i="5"/>
  <c r="T80" i="5"/>
  <c r="U80" i="5"/>
  <c r="W80" i="5"/>
  <c r="X80" i="5"/>
  <c r="Y80" i="5"/>
  <c r="Z80" i="5"/>
  <c r="AA80" i="5"/>
  <c r="I81" i="5"/>
  <c r="J81" i="5"/>
  <c r="M81" i="5"/>
  <c r="O81" i="5"/>
  <c r="P81" i="5"/>
  <c r="Q81" i="5"/>
  <c r="R81" i="5"/>
  <c r="S81" i="5"/>
  <c r="T81" i="5"/>
  <c r="U81" i="5"/>
  <c r="W81" i="5"/>
  <c r="X81" i="5"/>
  <c r="Y81" i="5"/>
  <c r="Z81" i="5"/>
  <c r="AA81" i="5"/>
  <c r="I82" i="5"/>
  <c r="J82" i="5"/>
  <c r="M82" i="5"/>
  <c r="O82" i="5"/>
  <c r="P82" i="5"/>
  <c r="Q82" i="5"/>
  <c r="R82" i="5"/>
  <c r="S82" i="5"/>
  <c r="T82" i="5"/>
  <c r="U82" i="5"/>
  <c r="W82" i="5"/>
  <c r="X82" i="5"/>
  <c r="Y82" i="5"/>
  <c r="Z82" i="5"/>
  <c r="AA82" i="5"/>
  <c r="I83" i="5"/>
  <c r="J83" i="5"/>
  <c r="M83" i="5"/>
  <c r="O83" i="5"/>
  <c r="P83" i="5"/>
  <c r="Q83" i="5"/>
  <c r="R83" i="5"/>
  <c r="S83" i="5"/>
  <c r="T83" i="5"/>
  <c r="U83" i="5"/>
  <c r="W83" i="5"/>
  <c r="X83" i="5"/>
  <c r="Y83" i="5"/>
  <c r="Z83" i="5"/>
  <c r="AA83" i="5"/>
  <c r="I84" i="5"/>
  <c r="J84" i="5"/>
  <c r="M84" i="5"/>
  <c r="O84" i="5"/>
  <c r="P84" i="5"/>
  <c r="Q84" i="5"/>
  <c r="R84" i="5"/>
  <c r="S84" i="5"/>
  <c r="T84" i="5"/>
  <c r="U84" i="5"/>
  <c r="W84" i="5"/>
  <c r="X84" i="5"/>
  <c r="Y84" i="5"/>
  <c r="Z84" i="5"/>
  <c r="AA84" i="5"/>
  <c r="I85" i="5"/>
  <c r="J85" i="5"/>
  <c r="M85" i="5"/>
  <c r="O85" i="5"/>
  <c r="P85" i="5"/>
  <c r="Q85" i="5"/>
  <c r="R85" i="5"/>
  <c r="S85" i="5"/>
  <c r="T85" i="5"/>
  <c r="U85" i="5"/>
  <c r="W85" i="5"/>
  <c r="X85" i="5"/>
  <c r="Y85" i="5"/>
  <c r="Z85" i="5"/>
  <c r="AA85" i="5"/>
  <c r="I86" i="5"/>
  <c r="J86" i="5"/>
  <c r="M86" i="5"/>
  <c r="O86" i="5"/>
  <c r="P86" i="5"/>
  <c r="Q86" i="5"/>
  <c r="R86" i="5"/>
  <c r="S86" i="5"/>
  <c r="T86" i="5"/>
  <c r="U86" i="5"/>
  <c r="W86" i="5"/>
  <c r="X86" i="5"/>
  <c r="Y86" i="5"/>
  <c r="Z86" i="5"/>
  <c r="AA86" i="5"/>
  <c r="I87" i="5"/>
  <c r="J87" i="5"/>
  <c r="M87" i="5"/>
  <c r="O87" i="5"/>
  <c r="P87" i="5"/>
  <c r="Q87" i="5"/>
  <c r="R87" i="5"/>
  <c r="S87" i="5"/>
  <c r="T87" i="5"/>
  <c r="U87" i="5"/>
  <c r="W87" i="5"/>
  <c r="X87" i="5"/>
  <c r="Y87" i="5"/>
  <c r="Z87" i="5"/>
  <c r="AA87" i="5"/>
  <c r="I88" i="5"/>
  <c r="J88" i="5"/>
  <c r="M88" i="5"/>
  <c r="O88" i="5"/>
  <c r="P88" i="5"/>
  <c r="Q88" i="5"/>
  <c r="R88" i="5"/>
  <c r="S88" i="5"/>
  <c r="T88" i="5"/>
  <c r="U88" i="5"/>
  <c r="W88" i="5"/>
  <c r="X88" i="5"/>
  <c r="Y88" i="5"/>
  <c r="Z88" i="5"/>
  <c r="AA88" i="5"/>
  <c r="I89" i="5"/>
  <c r="J89" i="5"/>
  <c r="M89" i="5"/>
  <c r="O89" i="5"/>
  <c r="P89" i="5"/>
  <c r="Q89" i="5"/>
  <c r="R89" i="5"/>
  <c r="S89" i="5"/>
  <c r="T89" i="5"/>
  <c r="U89" i="5"/>
  <c r="W89" i="5"/>
  <c r="X89" i="5"/>
  <c r="Y89" i="5"/>
  <c r="Z89" i="5"/>
  <c r="AA89" i="5"/>
  <c r="I90" i="5"/>
  <c r="J90" i="5"/>
  <c r="M90" i="5"/>
  <c r="O90" i="5"/>
  <c r="P90" i="5"/>
  <c r="Q90" i="5"/>
  <c r="R90" i="5"/>
  <c r="S90" i="5"/>
  <c r="T90" i="5"/>
  <c r="U90" i="5"/>
  <c r="W90" i="5"/>
  <c r="X90" i="5"/>
  <c r="Y90" i="5"/>
  <c r="Z90" i="5"/>
  <c r="AA90" i="5"/>
  <c r="I91" i="5"/>
  <c r="J91" i="5"/>
  <c r="M91" i="5"/>
  <c r="O91" i="5"/>
  <c r="P91" i="5"/>
  <c r="Q91" i="5"/>
  <c r="R91" i="5"/>
  <c r="S91" i="5"/>
  <c r="T91" i="5"/>
  <c r="U91" i="5"/>
  <c r="W91" i="5"/>
  <c r="X91" i="5"/>
  <c r="Y91" i="5"/>
  <c r="Z91" i="5"/>
  <c r="AA91" i="5"/>
  <c r="I92" i="5"/>
  <c r="J92" i="5"/>
  <c r="M92" i="5"/>
  <c r="O92" i="5"/>
  <c r="P92" i="5"/>
  <c r="Q92" i="5"/>
  <c r="R92" i="5"/>
  <c r="S92" i="5"/>
  <c r="T92" i="5"/>
  <c r="U92" i="5"/>
  <c r="W92" i="5"/>
  <c r="X92" i="5"/>
  <c r="Y92" i="5"/>
  <c r="Z92" i="5"/>
  <c r="AA92" i="5"/>
  <c r="I93" i="5"/>
  <c r="J93" i="5"/>
  <c r="M93" i="5"/>
  <c r="O93" i="5"/>
  <c r="P93" i="5"/>
  <c r="Q93" i="5"/>
  <c r="R93" i="5"/>
  <c r="S93" i="5"/>
  <c r="T93" i="5"/>
  <c r="U93" i="5"/>
  <c r="W93" i="5"/>
  <c r="X93" i="5"/>
  <c r="Y93" i="5"/>
  <c r="Z93" i="5"/>
  <c r="AA93" i="5"/>
  <c r="I94" i="5"/>
  <c r="J94" i="5"/>
  <c r="M94" i="5"/>
  <c r="O94" i="5"/>
  <c r="P94" i="5"/>
  <c r="Q94" i="5"/>
  <c r="R94" i="5"/>
  <c r="S94" i="5"/>
  <c r="T94" i="5"/>
  <c r="U94" i="5"/>
  <c r="W94" i="5"/>
  <c r="X94" i="5"/>
  <c r="Y94" i="5"/>
  <c r="Z94" i="5"/>
  <c r="AA94" i="5"/>
  <c r="I95" i="5"/>
  <c r="J95" i="5"/>
  <c r="M95" i="5"/>
  <c r="O95" i="5"/>
  <c r="P95" i="5"/>
  <c r="Q95" i="5"/>
  <c r="R95" i="5"/>
  <c r="S95" i="5"/>
  <c r="T95" i="5"/>
  <c r="U95" i="5"/>
  <c r="W95" i="5"/>
  <c r="X95" i="5"/>
  <c r="Y95" i="5"/>
  <c r="Z95" i="5"/>
  <c r="AA95" i="5"/>
  <c r="I96" i="5"/>
  <c r="J96" i="5"/>
  <c r="M96" i="5"/>
  <c r="O96" i="5"/>
  <c r="P96" i="5"/>
  <c r="Q96" i="5"/>
  <c r="R96" i="5"/>
  <c r="S96" i="5"/>
  <c r="T96" i="5"/>
  <c r="U96" i="5"/>
  <c r="W96" i="5"/>
  <c r="X96" i="5"/>
  <c r="Y96" i="5"/>
  <c r="Z96" i="5"/>
  <c r="AA96" i="5"/>
  <c r="I97" i="5"/>
  <c r="J97" i="5"/>
  <c r="M97" i="5"/>
  <c r="O97" i="5"/>
  <c r="P97" i="5"/>
  <c r="Q97" i="5"/>
  <c r="R97" i="5"/>
  <c r="S97" i="5"/>
  <c r="T97" i="5"/>
  <c r="U97" i="5"/>
  <c r="W97" i="5"/>
  <c r="X97" i="5"/>
  <c r="Y97" i="5"/>
  <c r="Z97" i="5"/>
  <c r="AA97" i="5"/>
  <c r="I98" i="5"/>
  <c r="J98" i="5"/>
  <c r="M98" i="5"/>
  <c r="O98" i="5"/>
  <c r="P98" i="5"/>
  <c r="Q98" i="5"/>
  <c r="R98" i="5"/>
  <c r="S98" i="5"/>
  <c r="T98" i="5"/>
  <c r="U98" i="5"/>
  <c r="W98" i="5"/>
  <c r="X98" i="5"/>
  <c r="Y98" i="5"/>
  <c r="Z98" i="5"/>
  <c r="AA98" i="5"/>
  <c r="I99" i="5"/>
  <c r="J99" i="5"/>
  <c r="M99" i="5"/>
  <c r="O99" i="5"/>
  <c r="P99" i="5"/>
  <c r="Q99" i="5"/>
  <c r="R99" i="5"/>
  <c r="S99" i="5"/>
  <c r="T99" i="5"/>
  <c r="U99" i="5"/>
  <c r="W99" i="5"/>
  <c r="X99" i="5"/>
  <c r="Y99" i="5"/>
  <c r="Z99" i="5"/>
  <c r="AA99" i="5"/>
  <c r="I100" i="5"/>
  <c r="J100" i="5"/>
  <c r="M100" i="5"/>
  <c r="O100" i="5"/>
  <c r="P100" i="5"/>
  <c r="Q100" i="5"/>
  <c r="R100" i="5"/>
  <c r="S100" i="5"/>
  <c r="T100" i="5"/>
  <c r="U100" i="5"/>
  <c r="W100" i="5"/>
  <c r="X100" i="5"/>
  <c r="Y100" i="5"/>
  <c r="Z100" i="5"/>
  <c r="AA100" i="5"/>
  <c r="I101" i="5"/>
  <c r="J101" i="5"/>
  <c r="M101" i="5"/>
  <c r="O101" i="5"/>
  <c r="P101" i="5"/>
  <c r="Q101" i="5"/>
  <c r="R101" i="5"/>
  <c r="S101" i="5"/>
  <c r="T101" i="5"/>
  <c r="U101" i="5"/>
  <c r="W101" i="5"/>
  <c r="X101" i="5"/>
  <c r="Y101" i="5"/>
  <c r="Z101" i="5"/>
  <c r="AA101" i="5"/>
  <c r="I102" i="5"/>
  <c r="J102" i="5"/>
  <c r="M102" i="5"/>
  <c r="O102" i="5"/>
  <c r="P102" i="5"/>
  <c r="Q102" i="5"/>
  <c r="R102" i="5"/>
  <c r="S102" i="5"/>
  <c r="T102" i="5"/>
  <c r="U102" i="5"/>
  <c r="W102" i="5"/>
  <c r="X102" i="5"/>
  <c r="Y102" i="5"/>
  <c r="Z102" i="5"/>
  <c r="AA102" i="5"/>
  <c r="I103" i="5"/>
  <c r="J103" i="5"/>
  <c r="M103" i="5"/>
  <c r="O103" i="5"/>
  <c r="P103" i="5"/>
  <c r="Q103" i="5"/>
  <c r="R103" i="5"/>
  <c r="S103" i="5"/>
  <c r="T103" i="5"/>
  <c r="U103" i="5"/>
  <c r="W103" i="5"/>
  <c r="X103" i="5"/>
  <c r="Y103" i="5"/>
  <c r="Z103" i="5"/>
  <c r="AA103" i="5"/>
  <c r="I104" i="5"/>
  <c r="J104" i="5"/>
  <c r="M104" i="5"/>
  <c r="O104" i="5"/>
  <c r="P104" i="5"/>
  <c r="Q104" i="5"/>
  <c r="R104" i="5"/>
  <c r="S104" i="5"/>
  <c r="T104" i="5"/>
  <c r="U104" i="5"/>
  <c r="W104" i="5"/>
  <c r="X104" i="5"/>
  <c r="Y104" i="5"/>
  <c r="Z104" i="5"/>
  <c r="AA104" i="5"/>
  <c r="I105" i="5"/>
  <c r="J105" i="5"/>
  <c r="M105" i="5"/>
  <c r="O105" i="5"/>
  <c r="P105" i="5"/>
  <c r="Q105" i="5"/>
  <c r="R105" i="5"/>
  <c r="S105" i="5"/>
  <c r="T105" i="5"/>
  <c r="U105" i="5"/>
  <c r="W105" i="5"/>
  <c r="X105" i="5"/>
  <c r="Y105" i="5"/>
  <c r="Z105" i="5"/>
  <c r="AA105" i="5"/>
  <c r="I106" i="5"/>
  <c r="J106" i="5"/>
  <c r="M106" i="5"/>
  <c r="O106" i="5"/>
  <c r="P106" i="5"/>
  <c r="Q106" i="5"/>
  <c r="R106" i="5"/>
  <c r="S106" i="5"/>
  <c r="T106" i="5"/>
  <c r="U106" i="5"/>
  <c r="W106" i="5"/>
  <c r="X106" i="5"/>
  <c r="Y106" i="5"/>
  <c r="Z106" i="5"/>
  <c r="AA106" i="5"/>
  <c r="I107" i="5"/>
  <c r="J107" i="5"/>
  <c r="M107" i="5"/>
  <c r="O107" i="5"/>
  <c r="P107" i="5"/>
  <c r="Q107" i="5"/>
  <c r="R107" i="5"/>
  <c r="S107" i="5"/>
  <c r="T107" i="5"/>
  <c r="U107" i="5"/>
  <c r="W107" i="5"/>
  <c r="X107" i="5"/>
  <c r="Y107" i="5"/>
  <c r="Z107" i="5"/>
  <c r="AA107" i="5"/>
  <c r="I108" i="5"/>
  <c r="J108" i="5"/>
  <c r="M108" i="5"/>
  <c r="O108" i="5"/>
  <c r="P108" i="5"/>
  <c r="Q108" i="5"/>
  <c r="R108" i="5"/>
  <c r="S108" i="5"/>
  <c r="T108" i="5"/>
  <c r="U108" i="5"/>
  <c r="W108" i="5"/>
  <c r="X108" i="5"/>
  <c r="Y108" i="5"/>
  <c r="Z108" i="5"/>
  <c r="AA108" i="5"/>
  <c r="I109" i="5"/>
  <c r="J109" i="5"/>
  <c r="M109" i="5"/>
  <c r="O109" i="5"/>
  <c r="P109" i="5"/>
  <c r="Q109" i="5"/>
  <c r="R109" i="5"/>
  <c r="S109" i="5"/>
  <c r="T109" i="5"/>
  <c r="U109" i="5"/>
  <c r="W109" i="5"/>
  <c r="X109" i="5"/>
  <c r="Y109" i="5"/>
  <c r="Z109" i="5"/>
  <c r="AA109" i="5"/>
  <c r="I110" i="5"/>
  <c r="J110" i="5"/>
  <c r="M110" i="5"/>
  <c r="O110" i="5"/>
  <c r="P110" i="5"/>
  <c r="Q110" i="5"/>
  <c r="R110" i="5"/>
  <c r="S110" i="5"/>
  <c r="T110" i="5"/>
  <c r="U110" i="5"/>
  <c r="W110" i="5"/>
  <c r="X110" i="5"/>
  <c r="Y110" i="5"/>
  <c r="Z110" i="5"/>
  <c r="AA110" i="5"/>
  <c r="I111" i="5"/>
  <c r="J111" i="5"/>
  <c r="M111" i="5"/>
  <c r="O111" i="5"/>
  <c r="P111" i="5"/>
  <c r="Q111" i="5"/>
  <c r="R111" i="5"/>
  <c r="S111" i="5"/>
  <c r="T111" i="5"/>
  <c r="U111" i="5"/>
  <c r="W111" i="5"/>
  <c r="X111" i="5"/>
  <c r="Y111" i="5"/>
  <c r="Z111" i="5"/>
  <c r="AA111" i="5"/>
  <c r="I112" i="5"/>
  <c r="J112" i="5"/>
  <c r="M112" i="5"/>
  <c r="O112" i="5"/>
  <c r="P112" i="5"/>
  <c r="Q112" i="5"/>
  <c r="R112" i="5"/>
  <c r="S112" i="5"/>
  <c r="T112" i="5"/>
  <c r="U112" i="5"/>
  <c r="W112" i="5"/>
  <c r="X112" i="5"/>
  <c r="Y112" i="5"/>
  <c r="Z112" i="5"/>
  <c r="AA112" i="5"/>
  <c r="I113" i="5"/>
  <c r="J113" i="5"/>
  <c r="M113" i="5"/>
  <c r="O113" i="5"/>
  <c r="P113" i="5"/>
  <c r="Q113" i="5"/>
  <c r="R113" i="5"/>
  <c r="S113" i="5"/>
  <c r="T113" i="5"/>
  <c r="U113" i="5"/>
  <c r="W113" i="5"/>
  <c r="X113" i="5"/>
  <c r="Y113" i="5"/>
  <c r="Z113" i="5"/>
  <c r="AA113" i="5"/>
  <c r="I114" i="5"/>
  <c r="J114" i="5"/>
  <c r="M114" i="5"/>
  <c r="O114" i="5"/>
  <c r="P114" i="5"/>
  <c r="Q114" i="5"/>
  <c r="R114" i="5"/>
  <c r="S114" i="5"/>
  <c r="T114" i="5"/>
  <c r="U114" i="5"/>
  <c r="W114" i="5"/>
  <c r="X114" i="5"/>
  <c r="Y114" i="5"/>
  <c r="Z114" i="5"/>
  <c r="AA114" i="5"/>
  <c r="I115" i="5"/>
  <c r="J115" i="5"/>
  <c r="M115" i="5"/>
  <c r="O115" i="5"/>
  <c r="P115" i="5"/>
  <c r="Q115" i="5"/>
  <c r="R115" i="5"/>
  <c r="S115" i="5"/>
  <c r="T115" i="5"/>
  <c r="U115" i="5"/>
  <c r="W115" i="5"/>
  <c r="X115" i="5"/>
  <c r="Y115" i="5"/>
  <c r="Z115" i="5"/>
  <c r="AA115" i="5"/>
  <c r="I116" i="5"/>
  <c r="J116" i="5"/>
  <c r="M116" i="5"/>
  <c r="O116" i="5"/>
  <c r="P116" i="5"/>
  <c r="Q116" i="5"/>
  <c r="R116" i="5"/>
  <c r="S116" i="5"/>
  <c r="T116" i="5"/>
  <c r="U116" i="5"/>
  <c r="W116" i="5"/>
  <c r="X116" i="5"/>
  <c r="Y116" i="5"/>
  <c r="Z116" i="5"/>
  <c r="AA116" i="5"/>
  <c r="I117" i="5"/>
  <c r="J117" i="5"/>
  <c r="M117" i="5"/>
  <c r="O117" i="5"/>
  <c r="P117" i="5"/>
  <c r="Q117" i="5"/>
  <c r="R117" i="5"/>
  <c r="S117" i="5"/>
  <c r="T117" i="5"/>
  <c r="U117" i="5"/>
  <c r="W117" i="5"/>
  <c r="X117" i="5"/>
  <c r="Y117" i="5"/>
  <c r="Z117" i="5"/>
  <c r="AA117" i="5"/>
  <c r="I118" i="5"/>
  <c r="J118" i="5"/>
  <c r="M118" i="5"/>
  <c r="O118" i="5"/>
  <c r="P118" i="5"/>
  <c r="Q118" i="5"/>
  <c r="R118" i="5"/>
  <c r="S118" i="5"/>
  <c r="T118" i="5"/>
  <c r="U118" i="5"/>
  <c r="W118" i="5"/>
  <c r="X118" i="5"/>
  <c r="Y118" i="5"/>
  <c r="Z118" i="5"/>
  <c r="AA118" i="5"/>
  <c r="I119" i="5"/>
  <c r="J119" i="5"/>
  <c r="M119" i="5"/>
  <c r="O119" i="5"/>
  <c r="P119" i="5"/>
  <c r="Q119" i="5"/>
  <c r="R119" i="5"/>
  <c r="S119" i="5"/>
  <c r="T119" i="5"/>
  <c r="U119" i="5"/>
  <c r="W119" i="5"/>
  <c r="X119" i="5"/>
  <c r="Y119" i="5"/>
  <c r="Z119" i="5"/>
  <c r="AA119" i="5"/>
  <c r="I120" i="5"/>
  <c r="J120" i="5"/>
  <c r="M120" i="5"/>
  <c r="O120" i="5"/>
  <c r="P120" i="5"/>
  <c r="Q120" i="5"/>
  <c r="R120" i="5"/>
  <c r="S120" i="5"/>
  <c r="T120" i="5"/>
  <c r="U120" i="5"/>
  <c r="W120" i="5"/>
  <c r="X120" i="5"/>
  <c r="Y120" i="5"/>
  <c r="Z120" i="5"/>
  <c r="AA120" i="5"/>
  <c r="I121" i="5"/>
  <c r="J121" i="5"/>
  <c r="M121" i="5"/>
  <c r="O121" i="5"/>
  <c r="P121" i="5"/>
  <c r="Q121" i="5"/>
  <c r="R121" i="5"/>
  <c r="S121" i="5"/>
  <c r="T121" i="5"/>
  <c r="U121" i="5"/>
  <c r="W121" i="5"/>
  <c r="X121" i="5"/>
  <c r="Y121" i="5"/>
  <c r="Z121" i="5"/>
  <c r="AA121" i="5"/>
  <c r="I122" i="5"/>
  <c r="J122" i="5"/>
  <c r="M122" i="5"/>
  <c r="O122" i="5"/>
  <c r="P122" i="5"/>
  <c r="Q122" i="5"/>
  <c r="R122" i="5"/>
  <c r="S122" i="5"/>
  <c r="T122" i="5"/>
  <c r="U122" i="5"/>
  <c r="W122" i="5"/>
  <c r="X122" i="5"/>
  <c r="Y122" i="5"/>
  <c r="Z122" i="5"/>
  <c r="AA122" i="5"/>
  <c r="I123" i="5"/>
  <c r="J123" i="5"/>
  <c r="M123" i="5"/>
  <c r="O123" i="5"/>
  <c r="P123" i="5"/>
  <c r="Q123" i="5"/>
  <c r="R123" i="5"/>
  <c r="S123" i="5"/>
  <c r="T123" i="5"/>
  <c r="U123" i="5"/>
  <c r="W123" i="5"/>
  <c r="X123" i="5"/>
  <c r="Y123" i="5"/>
  <c r="Z123" i="5"/>
  <c r="AA123" i="5"/>
  <c r="I124" i="5"/>
  <c r="J124" i="5"/>
  <c r="M124" i="5"/>
  <c r="O124" i="5"/>
  <c r="P124" i="5"/>
  <c r="Q124" i="5"/>
  <c r="R124" i="5"/>
  <c r="S124" i="5"/>
  <c r="T124" i="5"/>
  <c r="U124" i="5"/>
  <c r="W124" i="5"/>
  <c r="X124" i="5"/>
  <c r="Y124" i="5"/>
  <c r="Z124" i="5"/>
  <c r="AA124" i="5"/>
  <c r="I125" i="5"/>
  <c r="J125" i="5"/>
  <c r="M125" i="5"/>
  <c r="O125" i="5"/>
  <c r="P125" i="5"/>
  <c r="Q125" i="5"/>
  <c r="R125" i="5"/>
  <c r="S125" i="5"/>
  <c r="T125" i="5"/>
  <c r="U125" i="5"/>
  <c r="W125" i="5"/>
  <c r="X125" i="5"/>
  <c r="Y125" i="5"/>
  <c r="Z125" i="5"/>
  <c r="AA125" i="5"/>
  <c r="I126" i="5"/>
  <c r="J126" i="5"/>
  <c r="M126" i="5"/>
  <c r="O126" i="5"/>
  <c r="P126" i="5"/>
  <c r="Q126" i="5"/>
  <c r="R126" i="5"/>
  <c r="S126" i="5"/>
  <c r="T126" i="5"/>
  <c r="U126" i="5"/>
  <c r="W126" i="5"/>
  <c r="X126" i="5"/>
  <c r="Y126" i="5"/>
  <c r="Z126" i="5"/>
  <c r="AA126" i="5"/>
  <c r="I127" i="5"/>
  <c r="J127" i="5"/>
  <c r="M127" i="5"/>
  <c r="O127" i="5"/>
  <c r="P127" i="5"/>
  <c r="Q127" i="5"/>
  <c r="R127" i="5"/>
  <c r="S127" i="5"/>
  <c r="T127" i="5"/>
  <c r="U127" i="5"/>
  <c r="W127" i="5"/>
  <c r="X127" i="5"/>
  <c r="Y127" i="5"/>
  <c r="Z127" i="5"/>
  <c r="AA127" i="5"/>
  <c r="I128" i="5"/>
  <c r="J128" i="5"/>
  <c r="M128" i="5"/>
  <c r="O128" i="5"/>
  <c r="P128" i="5"/>
  <c r="Q128" i="5"/>
  <c r="R128" i="5"/>
  <c r="S128" i="5"/>
  <c r="T128" i="5"/>
  <c r="U128" i="5"/>
  <c r="W128" i="5"/>
  <c r="X128" i="5"/>
  <c r="Y128" i="5"/>
  <c r="Z128" i="5"/>
  <c r="AA128" i="5"/>
  <c r="I129" i="5"/>
  <c r="J129" i="5"/>
  <c r="M129" i="5"/>
  <c r="O129" i="5"/>
  <c r="P129" i="5"/>
  <c r="Q129" i="5"/>
  <c r="R129" i="5"/>
  <c r="S129" i="5"/>
  <c r="T129" i="5"/>
  <c r="U129" i="5"/>
  <c r="W129" i="5"/>
  <c r="X129" i="5"/>
  <c r="Y129" i="5"/>
  <c r="Z129" i="5"/>
  <c r="AA129" i="5"/>
  <c r="I130" i="5"/>
  <c r="J130" i="5"/>
  <c r="M130" i="5"/>
  <c r="O130" i="5"/>
  <c r="P130" i="5"/>
  <c r="Q130" i="5"/>
  <c r="R130" i="5"/>
  <c r="S130" i="5"/>
  <c r="T130" i="5"/>
  <c r="U130" i="5"/>
  <c r="W130" i="5"/>
  <c r="X130" i="5"/>
  <c r="Y130" i="5"/>
  <c r="Z130" i="5"/>
  <c r="AA130" i="5"/>
  <c r="I131" i="5"/>
  <c r="J131" i="5"/>
  <c r="M131" i="5"/>
  <c r="O131" i="5"/>
  <c r="P131" i="5"/>
  <c r="Q131" i="5"/>
  <c r="R131" i="5"/>
  <c r="S131" i="5"/>
  <c r="T131" i="5"/>
  <c r="U131" i="5"/>
  <c r="W131" i="5"/>
  <c r="X131" i="5"/>
  <c r="Y131" i="5"/>
  <c r="Z131" i="5"/>
  <c r="AA131" i="5"/>
  <c r="I132" i="5"/>
  <c r="J132" i="5"/>
  <c r="M132" i="5"/>
  <c r="O132" i="5"/>
  <c r="P132" i="5"/>
  <c r="Q132" i="5"/>
  <c r="R132" i="5"/>
  <c r="S132" i="5"/>
  <c r="T132" i="5"/>
  <c r="U132" i="5"/>
  <c r="W132" i="5"/>
  <c r="X132" i="5"/>
  <c r="Y132" i="5"/>
  <c r="Z132" i="5"/>
  <c r="AA132" i="5"/>
  <c r="I133" i="5"/>
  <c r="J133" i="5"/>
  <c r="M133" i="5"/>
  <c r="O133" i="5"/>
  <c r="P133" i="5"/>
  <c r="Q133" i="5"/>
  <c r="R133" i="5"/>
  <c r="S133" i="5"/>
  <c r="T133" i="5"/>
  <c r="U133" i="5"/>
  <c r="W133" i="5"/>
  <c r="X133" i="5"/>
  <c r="Y133" i="5"/>
  <c r="Z133" i="5"/>
  <c r="AA133" i="5"/>
  <c r="I134" i="5"/>
  <c r="J134" i="5"/>
  <c r="M134" i="5"/>
  <c r="O134" i="5"/>
  <c r="P134" i="5"/>
  <c r="Q134" i="5"/>
  <c r="R134" i="5"/>
  <c r="S134" i="5"/>
  <c r="T134" i="5"/>
  <c r="U134" i="5"/>
  <c r="W134" i="5"/>
  <c r="X134" i="5"/>
  <c r="Y134" i="5"/>
  <c r="Z134" i="5"/>
  <c r="AA134" i="5"/>
  <c r="I135" i="5"/>
  <c r="J135" i="5"/>
  <c r="M135" i="5"/>
  <c r="O135" i="5"/>
  <c r="P135" i="5"/>
  <c r="Q135" i="5"/>
  <c r="R135" i="5"/>
  <c r="S135" i="5"/>
  <c r="T135" i="5"/>
  <c r="U135" i="5"/>
  <c r="W135" i="5"/>
  <c r="X135" i="5"/>
  <c r="Y135" i="5"/>
  <c r="Z135" i="5"/>
  <c r="AA135" i="5"/>
  <c r="I136" i="5"/>
  <c r="J136" i="5"/>
  <c r="M136" i="5"/>
  <c r="O136" i="5"/>
  <c r="P136" i="5"/>
  <c r="Q136" i="5"/>
  <c r="R136" i="5"/>
  <c r="S136" i="5"/>
  <c r="T136" i="5"/>
  <c r="U136" i="5"/>
  <c r="W136" i="5"/>
  <c r="X136" i="5"/>
  <c r="Y136" i="5"/>
  <c r="Z136" i="5"/>
  <c r="AA136" i="5"/>
  <c r="I137" i="5"/>
  <c r="J137" i="5"/>
  <c r="M137" i="5"/>
  <c r="O137" i="5"/>
  <c r="P137" i="5"/>
  <c r="Q137" i="5"/>
  <c r="R137" i="5"/>
  <c r="S137" i="5"/>
  <c r="T137" i="5"/>
  <c r="U137" i="5"/>
  <c r="W137" i="5"/>
  <c r="X137" i="5"/>
  <c r="Y137" i="5"/>
  <c r="Z137" i="5"/>
  <c r="AA137" i="5"/>
  <c r="I138" i="5"/>
  <c r="J138" i="5"/>
  <c r="M138" i="5"/>
  <c r="O138" i="5"/>
  <c r="P138" i="5"/>
  <c r="Q138" i="5"/>
  <c r="R138" i="5"/>
  <c r="S138" i="5"/>
  <c r="T138" i="5"/>
  <c r="U138" i="5"/>
  <c r="W138" i="5"/>
  <c r="X138" i="5"/>
  <c r="Y138" i="5"/>
  <c r="Z138" i="5"/>
  <c r="AA138" i="5"/>
  <c r="I139" i="5"/>
  <c r="J139" i="5"/>
  <c r="M139" i="5"/>
  <c r="O139" i="5"/>
  <c r="P139" i="5"/>
  <c r="Q139" i="5"/>
  <c r="R139" i="5"/>
  <c r="S139" i="5"/>
  <c r="T139" i="5"/>
  <c r="U139" i="5"/>
  <c r="W139" i="5"/>
  <c r="X139" i="5"/>
  <c r="Y139" i="5"/>
  <c r="Z139" i="5"/>
  <c r="AA139" i="5"/>
  <c r="I140" i="5"/>
  <c r="J140" i="5"/>
  <c r="M140" i="5"/>
  <c r="O140" i="5"/>
  <c r="P140" i="5"/>
  <c r="Q140" i="5"/>
  <c r="R140" i="5"/>
  <c r="S140" i="5"/>
  <c r="T140" i="5"/>
  <c r="U140" i="5"/>
  <c r="W140" i="5"/>
  <c r="X140" i="5"/>
  <c r="Y140" i="5"/>
  <c r="Z140" i="5"/>
  <c r="AA140" i="5"/>
  <c r="I141" i="5"/>
  <c r="J141" i="5"/>
  <c r="M141" i="5"/>
  <c r="O141" i="5"/>
  <c r="P141" i="5"/>
  <c r="Q141" i="5"/>
  <c r="R141" i="5"/>
  <c r="S141" i="5"/>
  <c r="T141" i="5"/>
  <c r="U141" i="5"/>
  <c r="W141" i="5"/>
  <c r="X141" i="5"/>
  <c r="Y141" i="5"/>
  <c r="Z141" i="5"/>
  <c r="AA141" i="5"/>
  <c r="I142" i="5"/>
  <c r="J142" i="5"/>
  <c r="M142" i="5"/>
  <c r="O142" i="5"/>
  <c r="P142" i="5"/>
  <c r="Q142" i="5"/>
  <c r="R142" i="5"/>
  <c r="S142" i="5"/>
  <c r="T142" i="5"/>
  <c r="U142" i="5"/>
  <c r="W142" i="5"/>
  <c r="X142" i="5"/>
  <c r="Y142" i="5"/>
  <c r="Z142" i="5"/>
  <c r="AA142" i="5"/>
  <c r="I143" i="5"/>
  <c r="J143" i="5"/>
  <c r="M143" i="5"/>
  <c r="O143" i="5"/>
  <c r="P143" i="5"/>
  <c r="Q143" i="5"/>
  <c r="R143" i="5"/>
  <c r="S143" i="5"/>
  <c r="T143" i="5"/>
  <c r="U143" i="5"/>
  <c r="W143" i="5"/>
  <c r="X143" i="5"/>
  <c r="Y143" i="5"/>
  <c r="Z143" i="5"/>
  <c r="AA143" i="5"/>
  <c r="I144" i="5"/>
  <c r="J144" i="5"/>
  <c r="M144" i="5"/>
  <c r="O144" i="5"/>
  <c r="P144" i="5"/>
  <c r="Q144" i="5"/>
  <c r="R144" i="5"/>
  <c r="S144" i="5"/>
  <c r="T144" i="5"/>
  <c r="U144" i="5"/>
  <c r="W144" i="5"/>
  <c r="X144" i="5"/>
  <c r="Y144" i="5"/>
  <c r="Z144" i="5"/>
  <c r="AA144" i="5"/>
  <c r="I145" i="5"/>
  <c r="J145" i="5"/>
  <c r="M145" i="5"/>
  <c r="O145" i="5"/>
  <c r="P145" i="5"/>
  <c r="Q145" i="5"/>
  <c r="R145" i="5"/>
  <c r="S145" i="5"/>
  <c r="T145" i="5"/>
  <c r="U145" i="5"/>
  <c r="W145" i="5"/>
  <c r="X145" i="5"/>
  <c r="Y145" i="5"/>
  <c r="Z145" i="5"/>
  <c r="AA145" i="5"/>
  <c r="I146" i="5"/>
  <c r="J146" i="5"/>
  <c r="M146" i="5"/>
  <c r="O146" i="5"/>
  <c r="P146" i="5"/>
  <c r="Q146" i="5"/>
  <c r="R146" i="5"/>
  <c r="S146" i="5"/>
  <c r="T146" i="5"/>
  <c r="U146" i="5"/>
  <c r="W146" i="5"/>
  <c r="X146" i="5"/>
  <c r="Y146" i="5"/>
  <c r="Z146" i="5"/>
  <c r="AA146" i="5"/>
  <c r="I147" i="5"/>
  <c r="J147" i="5"/>
  <c r="M147" i="5"/>
  <c r="O147" i="5"/>
  <c r="P147" i="5"/>
  <c r="Q147" i="5"/>
  <c r="R147" i="5"/>
  <c r="S147" i="5"/>
  <c r="T147" i="5"/>
  <c r="U147" i="5"/>
  <c r="W147" i="5"/>
  <c r="X147" i="5"/>
  <c r="Y147" i="5"/>
  <c r="Z147" i="5"/>
  <c r="AA147" i="5"/>
  <c r="I148" i="5"/>
  <c r="J148" i="5"/>
  <c r="M148" i="5"/>
  <c r="O148" i="5"/>
  <c r="P148" i="5"/>
  <c r="Q148" i="5"/>
  <c r="R148" i="5"/>
  <c r="S148" i="5"/>
  <c r="T148" i="5"/>
  <c r="U148" i="5"/>
  <c r="W148" i="5"/>
  <c r="X148" i="5"/>
  <c r="Y148" i="5"/>
  <c r="Z148" i="5"/>
  <c r="AA148" i="5"/>
  <c r="I149" i="5"/>
  <c r="J149" i="5"/>
  <c r="M149" i="5"/>
  <c r="O149" i="5"/>
  <c r="P149" i="5"/>
  <c r="Q149" i="5"/>
  <c r="R149" i="5"/>
  <c r="S149" i="5"/>
  <c r="T149" i="5"/>
  <c r="U149" i="5"/>
  <c r="W149" i="5"/>
  <c r="X149" i="5"/>
  <c r="Y149" i="5"/>
  <c r="Z149" i="5"/>
  <c r="AA149" i="5"/>
  <c r="I150" i="5"/>
  <c r="J150" i="5"/>
  <c r="M150" i="5"/>
  <c r="O150" i="5"/>
  <c r="P150" i="5"/>
  <c r="Q150" i="5"/>
  <c r="R150" i="5"/>
  <c r="S150" i="5"/>
  <c r="T150" i="5"/>
  <c r="U150" i="5"/>
  <c r="W150" i="5"/>
  <c r="X150" i="5"/>
  <c r="Y150" i="5"/>
  <c r="Z150" i="5"/>
  <c r="AA150" i="5"/>
  <c r="I151" i="5"/>
  <c r="J151" i="5"/>
  <c r="M151" i="5"/>
  <c r="O151" i="5"/>
  <c r="P151" i="5"/>
  <c r="Q151" i="5"/>
  <c r="R151" i="5"/>
  <c r="S151" i="5"/>
  <c r="T151" i="5"/>
  <c r="U151" i="5"/>
  <c r="W151" i="5"/>
  <c r="X151" i="5"/>
  <c r="Y151" i="5"/>
  <c r="Z151" i="5"/>
  <c r="AA151" i="5"/>
  <c r="I152" i="5"/>
  <c r="J152" i="5"/>
  <c r="M152" i="5"/>
  <c r="O152" i="5"/>
  <c r="P152" i="5"/>
  <c r="Q152" i="5"/>
  <c r="R152" i="5"/>
  <c r="S152" i="5"/>
  <c r="T152" i="5"/>
  <c r="U152" i="5"/>
  <c r="W152" i="5"/>
  <c r="X152" i="5"/>
  <c r="Y152" i="5"/>
  <c r="Z152" i="5"/>
  <c r="AA152" i="5"/>
  <c r="I153" i="5"/>
  <c r="J153" i="5"/>
  <c r="M153" i="5"/>
  <c r="O153" i="5"/>
  <c r="P153" i="5"/>
  <c r="Q153" i="5"/>
  <c r="R153" i="5"/>
  <c r="S153" i="5"/>
  <c r="T153" i="5"/>
  <c r="U153" i="5"/>
  <c r="W153" i="5"/>
  <c r="X153" i="5"/>
  <c r="Y153" i="5"/>
  <c r="Z153" i="5"/>
  <c r="AA153" i="5"/>
  <c r="I154" i="5"/>
  <c r="J154" i="5"/>
  <c r="M154" i="5"/>
  <c r="O154" i="5"/>
  <c r="P154" i="5"/>
  <c r="Q154" i="5"/>
  <c r="R154" i="5"/>
  <c r="S154" i="5"/>
  <c r="T154" i="5"/>
  <c r="U154" i="5"/>
  <c r="W154" i="5"/>
  <c r="X154" i="5"/>
  <c r="Y154" i="5"/>
  <c r="Z154" i="5"/>
  <c r="AA154" i="5"/>
  <c r="I155" i="5"/>
  <c r="J155" i="5"/>
  <c r="M155" i="5"/>
  <c r="O155" i="5"/>
  <c r="P155" i="5"/>
  <c r="Q155" i="5"/>
  <c r="R155" i="5"/>
  <c r="S155" i="5"/>
  <c r="T155" i="5"/>
  <c r="U155" i="5"/>
  <c r="W155" i="5"/>
  <c r="X155" i="5"/>
  <c r="Y155" i="5"/>
  <c r="Z155" i="5"/>
  <c r="AA155" i="5"/>
  <c r="I156" i="5"/>
  <c r="J156" i="5"/>
  <c r="M156" i="5"/>
  <c r="O156" i="5"/>
  <c r="P156" i="5"/>
  <c r="Q156" i="5"/>
  <c r="R156" i="5"/>
  <c r="S156" i="5"/>
  <c r="T156" i="5"/>
  <c r="U156" i="5"/>
  <c r="W156" i="5"/>
  <c r="X156" i="5"/>
  <c r="Y156" i="5"/>
  <c r="Z156" i="5"/>
  <c r="AA156" i="5"/>
  <c r="I157" i="5"/>
  <c r="J157" i="5"/>
  <c r="M157" i="5"/>
  <c r="O157" i="5"/>
  <c r="P157" i="5"/>
  <c r="Q157" i="5"/>
  <c r="R157" i="5"/>
  <c r="S157" i="5"/>
  <c r="T157" i="5"/>
  <c r="U157" i="5"/>
  <c r="W157" i="5"/>
  <c r="X157" i="5"/>
  <c r="Y157" i="5"/>
  <c r="Z157" i="5"/>
  <c r="AA157" i="5"/>
  <c r="I158" i="5"/>
  <c r="J158" i="5"/>
  <c r="M158" i="5"/>
  <c r="O158" i="5"/>
  <c r="P158" i="5"/>
  <c r="Q158" i="5"/>
  <c r="R158" i="5"/>
  <c r="S158" i="5"/>
  <c r="T158" i="5"/>
  <c r="U158" i="5"/>
  <c r="W158" i="5"/>
  <c r="X158" i="5"/>
  <c r="Y158" i="5"/>
  <c r="Z158" i="5"/>
  <c r="AA158" i="5"/>
  <c r="I159" i="5"/>
  <c r="J159" i="5"/>
  <c r="M159" i="5"/>
  <c r="O159" i="5"/>
  <c r="P159" i="5"/>
  <c r="Q159" i="5"/>
  <c r="R159" i="5"/>
  <c r="S159" i="5"/>
  <c r="T159" i="5"/>
  <c r="U159" i="5"/>
  <c r="W159" i="5"/>
  <c r="X159" i="5"/>
  <c r="Y159" i="5"/>
  <c r="Z159" i="5"/>
  <c r="AA159" i="5"/>
  <c r="I160" i="5"/>
  <c r="J160" i="5"/>
  <c r="M160" i="5"/>
  <c r="O160" i="5"/>
  <c r="P160" i="5"/>
  <c r="Q160" i="5"/>
  <c r="R160" i="5"/>
  <c r="S160" i="5"/>
  <c r="T160" i="5"/>
  <c r="U160" i="5"/>
  <c r="W160" i="5"/>
  <c r="X160" i="5"/>
  <c r="Y160" i="5"/>
  <c r="Z160" i="5"/>
  <c r="AA160" i="5"/>
  <c r="I161" i="5"/>
  <c r="J161" i="5"/>
  <c r="M161" i="5"/>
  <c r="O161" i="5"/>
  <c r="P161" i="5"/>
  <c r="Q161" i="5"/>
  <c r="R161" i="5"/>
  <c r="S161" i="5"/>
  <c r="T161" i="5"/>
  <c r="U161" i="5"/>
  <c r="W161" i="5"/>
  <c r="X161" i="5"/>
  <c r="Y161" i="5"/>
  <c r="Z161" i="5"/>
  <c r="AA161" i="5"/>
  <c r="I162" i="5"/>
  <c r="J162" i="5"/>
  <c r="M162" i="5"/>
  <c r="O162" i="5"/>
  <c r="P162" i="5"/>
  <c r="Q162" i="5"/>
  <c r="R162" i="5"/>
  <c r="S162" i="5"/>
  <c r="T162" i="5"/>
  <c r="U162" i="5"/>
  <c r="W162" i="5"/>
  <c r="X162" i="5"/>
  <c r="Y162" i="5"/>
  <c r="Z162" i="5"/>
  <c r="AA162" i="5"/>
  <c r="I163" i="5"/>
  <c r="J163" i="5"/>
  <c r="M163" i="5"/>
  <c r="O163" i="5"/>
  <c r="P163" i="5"/>
  <c r="Q163" i="5"/>
  <c r="R163" i="5"/>
  <c r="S163" i="5"/>
  <c r="T163" i="5"/>
  <c r="U163" i="5"/>
  <c r="W163" i="5"/>
  <c r="X163" i="5"/>
  <c r="Y163" i="5"/>
  <c r="Z163" i="5"/>
  <c r="AA163" i="5"/>
  <c r="I164" i="5"/>
  <c r="J164" i="5"/>
  <c r="M164" i="5"/>
  <c r="O164" i="5"/>
  <c r="P164" i="5"/>
  <c r="Q164" i="5"/>
  <c r="R164" i="5"/>
  <c r="S164" i="5"/>
  <c r="T164" i="5"/>
  <c r="U164" i="5"/>
  <c r="W164" i="5"/>
  <c r="X164" i="5"/>
  <c r="Y164" i="5"/>
  <c r="Z164" i="5"/>
  <c r="AA164" i="5"/>
  <c r="I165" i="5"/>
  <c r="J165" i="5"/>
  <c r="M165" i="5"/>
  <c r="O165" i="5"/>
  <c r="P165" i="5"/>
  <c r="Q165" i="5"/>
  <c r="R165" i="5"/>
  <c r="S165" i="5"/>
  <c r="T165" i="5"/>
  <c r="U165" i="5"/>
  <c r="W165" i="5"/>
  <c r="X165" i="5"/>
  <c r="Y165" i="5"/>
  <c r="Z165" i="5"/>
  <c r="AA165" i="5"/>
  <c r="I166" i="5"/>
  <c r="J166" i="5"/>
  <c r="M166" i="5"/>
  <c r="O166" i="5"/>
  <c r="P166" i="5"/>
  <c r="Q166" i="5"/>
  <c r="R166" i="5"/>
  <c r="S166" i="5"/>
  <c r="T166" i="5"/>
  <c r="U166" i="5"/>
  <c r="W166" i="5"/>
  <c r="X166" i="5"/>
  <c r="Y166" i="5"/>
  <c r="Z166" i="5"/>
  <c r="AA166" i="5"/>
  <c r="I167" i="5"/>
  <c r="J167" i="5"/>
  <c r="M167" i="5"/>
  <c r="O167" i="5"/>
  <c r="P167" i="5"/>
  <c r="Q167" i="5"/>
  <c r="R167" i="5"/>
  <c r="S167" i="5"/>
  <c r="T167" i="5"/>
  <c r="U167" i="5"/>
  <c r="W167" i="5"/>
  <c r="X167" i="5"/>
  <c r="Y167" i="5"/>
  <c r="Z167" i="5"/>
  <c r="AA167" i="5"/>
  <c r="I168" i="5"/>
  <c r="J168" i="5"/>
  <c r="M168" i="5"/>
  <c r="O168" i="5"/>
  <c r="P168" i="5"/>
  <c r="Q168" i="5"/>
  <c r="R168" i="5"/>
  <c r="S168" i="5"/>
  <c r="T168" i="5"/>
  <c r="U168" i="5"/>
  <c r="W168" i="5"/>
  <c r="X168" i="5"/>
  <c r="Y168" i="5"/>
  <c r="Z168" i="5"/>
  <c r="AA168" i="5"/>
  <c r="I169" i="5"/>
  <c r="J169" i="5"/>
  <c r="M169" i="5"/>
  <c r="O169" i="5"/>
  <c r="P169" i="5"/>
  <c r="Q169" i="5"/>
  <c r="R169" i="5"/>
  <c r="S169" i="5"/>
  <c r="T169" i="5"/>
  <c r="U169" i="5"/>
  <c r="W169" i="5"/>
  <c r="X169" i="5"/>
  <c r="Y169" i="5"/>
  <c r="Z169" i="5"/>
  <c r="AA169" i="5"/>
  <c r="I170" i="5"/>
  <c r="J170" i="5"/>
  <c r="M170" i="5"/>
  <c r="O170" i="5"/>
  <c r="P170" i="5"/>
  <c r="Q170" i="5"/>
  <c r="R170" i="5"/>
  <c r="S170" i="5"/>
  <c r="T170" i="5"/>
  <c r="U170" i="5"/>
  <c r="W170" i="5"/>
  <c r="X170" i="5"/>
  <c r="Y170" i="5"/>
  <c r="Z170" i="5"/>
  <c r="AA170" i="5"/>
  <c r="I171" i="5"/>
  <c r="J171" i="5"/>
  <c r="M171" i="5"/>
  <c r="O171" i="5"/>
  <c r="P171" i="5"/>
  <c r="Q171" i="5"/>
  <c r="R171" i="5"/>
  <c r="S171" i="5"/>
  <c r="T171" i="5"/>
  <c r="U171" i="5"/>
  <c r="W171" i="5"/>
  <c r="X171" i="5"/>
  <c r="Y171" i="5"/>
  <c r="Z171" i="5"/>
  <c r="AA171" i="5"/>
  <c r="I172" i="5"/>
  <c r="J172" i="5"/>
  <c r="M172" i="5"/>
  <c r="O172" i="5"/>
  <c r="P172" i="5"/>
  <c r="Q172" i="5"/>
  <c r="R172" i="5"/>
  <c r="S172" i="5"/>
  <c r="T172" i="5"/>
  <c r="U172" i="5"/>
  <c r="W172" i="5"/>
  <c r="X172" i="5"/>
  <c r="Y172" i="5"/>
  <c r="Z172" i="5"/>
  <c r="AA172" i="5"/>
  <c r="I173" i="5"/>
  <c r="J173" i="5"/>
  <c r="M173" i="5"/>
  <c r="O173" i="5"/>
  <c r="P173" i="5"/>
  <c r="Q173" i="5"/>
  <c r="R173" i="5"/>
  <c r="S173" i="5"/>
  <c r="T173" i="5"/>
  <c r="U173" i="5"/>
  <c r="W173" i="5"/>
  <c r="X173" i="5"/>
  <c r="Y173" i="5"/>
  <c r="Z173" i="5"/>
  <c r="AA173" i="5"/>
  <c r="I174" i="5"/>
  <c r="J174" i="5"/>
  <c r="M174" i="5"/>
  <c r="O174" i="5"/>
  <c r="P174" i="5"/>
  <c r="Q174" i="5"/>
  <c r="R174" i="5"/>
  <c r="S174" i="5"/>
  <c r="T174" i="5"/>
  <c r="U174" i="5"/>
  <c r="W174" i="5"/>
  <c r="X174" i="5"/>
  <c r="Y174" i="5"/>
  <c r="Z174" i="5"/>
  <c r="AA174" i="5"/>
  <c r="I175" i="5"/>
  <c r="J175" i="5"/>
  <c r="M175" i="5"/>
  <c r="O175" i="5"/>
  <c r="P175" i="5"/>
  <c r="Q175" i="5"/>
  <c r="R175" i="5"/>
  <c r="S175" i="5"/>
  <c r="T175" i="5"/>
  <c r="U175" i="5"/>
  <c r="W175" i="5"/>
  <c r="X175" i="5"/>
  <c r="Y175" i="5"/>
  <c r="Z175" i="5"/>
  <c r="AA175" i="5"/>
  <c r="I176" i="5"/>
  <c r="J176" i="5"/>
  <c r="M176" i="5"/>
  <c r="O176" i="5"/>
  <c r="P176" i="5"/>
  <c r="Q176" i="5"/>
  <c r="R176" i="5"/>
  <c r="S176" i="5"/>
  <c r="T176" i="5"/>
  <c r="U176" i="5"/>
  <c r="W176" i="5"/>
  <c r="X176" i="5"/>
  <c r="Y176" i="5"/>
  <c r="Z176" i="5"/>
  <c r="AA176" i="5"/>
  <c r="I177" i="5"/>
  <c r="J177" i="5"/>
  <c r="M177" i="5"/>
  <c r="O177" i="5"/>
  <c r="P177" i="5"/>
  <c r="Q177" i="5"/>
  <c r="R177" i="5"/>
  <c r="S177" i="5"/>
  <c r="T177" i="5"/>
  <c r="U177" i="5"/>
  <c r="W177" i="5"/>
  <c r="X177" i="5"/>
  <c r="Y177" i="5"/>
  <c r="Z177" i="5"/>
  <c r="AA177" i="5"/>
  <c r="I178" i="5"/>
  <c r="J178" i="5"/>
  <c r="M178" i="5"/>
  <c r="O178" i="5"/>
  <c r="P178" i="5"/>
  <c r="Q178" i="5"/>
  <c r="R178" i="5"/>
  <c r="S178" i="5"/>
  <c r="T178" i="5"/>
  <c r="U178" i="5"/>
  <c r="W178" i="5"/>
  <c r="X178" i="5"/>
  <c r="Y178" i="5"/>
  <c r="Z178" i="5"/>
  <c r="AA178" i="5"/>
  <c r="I179" i="5"/>
  <c r="J179" i="5"/>
  <c r="M179" i="5"/>
  <c r="O179" i="5"/>
  <c r="P179" i="5"/>
  <c r="Q179" i="5"/>
  <c r="R179" i="5"/>
  <c r="S179" i="5"/>
  <c r="T179" i="5"/>
  <c r="U179" i="5"/>
  <c r="W179" i="5"/>
  <c r="X179" i="5"/>
  <c r="Y179" i="5"/>
  <c r="Z179" i="5"/>
  <c r="AA179" i="5"/>
  <c r="I180" i="5"/>
  <c r="J180" i="5"/>
  <c r="M180" i="5"/>
  <c r="O180" i="5"/>
  <c r="P180" i="5"/>
  <c r="Q180" i="5"/>
  <c r="R180" i="5"/>
  <c r="S180" i="5"/>
  <c r="T180" i="5"/>
  <c r="U180" i="5"/>
  <c r="W180" i="5"/>
  <c r="X180" i="5"/>
  <c r="Y180" i="5"/>
  <c r="Z180" i="5"/>
  <c r="AA180" i="5"/>
  <c r="I181" i="5"/>
  <c r="J181" i="5"/>
  <c r="M181" i="5"/>
  <c r="O181" i="5"/>
  <c r="P181" i="5"/>
  <c r="Q181" i="5"/>
  <c r="R181" i="5"/>
  <c r="S181" i="5"/>
  <c r="T181" i="5"/>
  <c r="U181" i="5"/>
  <c r="W181" i="5"/>
  <c r="X181" i="5"/>
  <c r="Y181" i="5"/>
  <c r="Z181" i="5"/>
  <c r="AA181" i="5"/>
  <c r="I182" i="5"/>
  <c r="J182" i="5"/>
  <c r="M182" i="5"/>
  <c r="O182" i="5"/>
  <c r="P182" i="5"/>
  <c r="Q182" i="5"/>
  <c r="R182" i="5"/>
  <c r="S182" i="5"/>
  <c r="T182" i="5"/>
  <c r="U182" i="5"/>
  <c r="W182" i="5"/>
  <c r="X182" i="5"/>
  <c r="Y182" i="5"/>
  <c r="Z182" i="5"/>
  <c r="AA182" i="5"/>
  <c r="I183" i="5"/>
  <c r="J183" i="5"/>
  <c r="M183" i="5"/>
  <c r="O183" i="5"/>
  <c r="P183" i="5"/>
  <c r="Q183" i="5"/>
  <c r="R183" i="5"/>
  <c r="S183" i="5"/>
  <c r="T183" i="5"/>
  <c r="U183" i="5"/>
  <c r="W183" i="5"/>
  <c r="X183" i="5"/>
  <c r="Y183" i="5"/>
  <c r="Z183" i="5"/>
  <c r="AA183" i="5"/>
  <c r="I184" i="5"/>
  <c r="J184" i="5"/>
  <c r="M184" i="5"/>
  <c r="O184" i="5"/>
  <c r="P184" i="5"/>
  <c r="Q184" i="5"/>
  <c r="R184" i="5"/>
  <c r="S184" i="5"/>
  <c r="T184" i="5"/>
  <c r="U184" i="5"/>
  <c r="W184" i="5"/>
  <c r="X184" i="5"/>
  <c r="Y184" i="5"/>
  <c r="Z184" i="5"/>
  <c r="AA184" i="5"/>
  <c r="I185" i="5"/>
  <c r="J185" i="5"/>
  <c r="M185" i="5"/>
  <c r="O185" i="5"/>
  <c r="P185" i="5"/>
  <c r="Q185" i="5"/>
  <c r="R185" i="5"/>
  <c r="S185" i="5"/>
  <c r="T185" i="5"/>
  <c r="U185" i="5"/>
  <c r="W185" i="5"/>
  <c r="X185" i="5"/>
  <c r="Y185" i="5"/>
  <c r="Z185" i="5"/>
  <c r="AA185" i="5"/>
  <c r="I186" i="5"/>
  <c r="J186" i="5"/>
  <c r="M186" i="5"/>
  <c r="O186" i="5"/>
  <c r="P186" i="5"/>
  <c r="Q186" i="5"/>
  <c r="R186" i="5"/>
  <c r="S186" i="5"/>
  <c r="T186" i="5"/>
  <c r="U186" i="5"/>
  <c r="W186" i="5"/>
  <c r="X186" i="5"/>
  <c r="Y186" i="5"/>
  <c r="Z186" i="5"/>
  <c r="AA186" i="5"/>
  <c r="I187" i="5"/>
  <c r="J187" i="5"/>
  <c r="M187" i="5"/>
  <c r="O187" i="5"/>
  <c r="P187" i="5"/>
  <c r="Q187" i="5"/>
  <c r="R187" i="5"/>
  <c r="S187" i="5"/>
  <c r="T187" i="5"/>
  <c r="U187" i="5"/>
  <c r="W187" i="5"/>
  <c r="X187" i="5"/>
  <c r="Y187" i="5"/>
  <c r="Z187" i="5"/>
  <c r="AA187" i="5"/>
  <c r="I188" i="5"/>
  <c r="J188" i="5"/>
  <c r="M188" i="5"/>
  <c r="O188" i="5"/>
  <c r="P188" i="5"/>
  <c r="Q188" i="5"/>
  <c r="R188" i="5"/>
  <c r="S188" i="5"/>
  <c r="T188" i="5"/>
  <c r="U188" i="5"/>
  <c r="W188" i="5"/>
  <c r="X188" i="5"/>
  <c r="Y188" i="5"/>
  <c r="Z188" i="5"/>
  <c r="AA188" i="5"/>
  <c r="I189" i="5"/>
  <c r="J189" i="5"/>
  <c r="M189" i="5"/>
  <c r="O189" i="5"/>
  <c r="P189" i="5"/>
  <c r="Q189" i="5"/>
  <c r="R189" i="5"/>
  <c r="S189" i="5"/>
  <c r="T189" i="5"/>
  <c r="U189" i="5"/>
  <c r="W189" i="5"/>
  <c r="X189" i="5"/>
  <c r="Y189" i="5"/>
  <c r="Z189" i="5"/>
  <c r="AA189" i="5"/>
  <c r="I190" i="5"/>
  <c r="J190" i="5"/>
  <c r="M190" i="5"/>
  <c r="O190" i="5"/>
  <c r="P190" i="5"/>
  <c r="Q190" i="5"/>
  <c r="R190" i="5"/>
  <c r="S190" i="5"/>
  <c r="T190" i="5"/>
  <c r="U190" i="5"/>
  <c r="W190" i="5"/>
  <c r="X190" i="5"/>
  <c r="Y190" i="5"/>
  <c r="Z190" i="5"/>
  <c r="AA190" i="5"/>
  <c r="I191" i="5"/>
  <c r="J191" i="5"/>
  <c r="M191" i="5"/>
  <c r="O191" i="5"/>
  <c r="P191" i="5"/>
  <c r="Q191" i="5"/>
  <c r="R191" i="5"/>
  <c r="S191" i="5"/>
  <c r="T191" i="5"/>
  <c r="U191" i="5"/>
  <c r="W191" i="5"/>
  <c r="X191" i="5"/>
  <c r="Y191" i="5"/>
  <c r="Z191" i="5"/>
  <c r="AA191" i="5"/>
  <c r="I192" i="5"/>
  <c r="J192" i="5"/>
  <c r="M192" i="5"/>
  <c r="O192" i="5"/>
  <c r="P192" i="5"/>
  <c r="Q192" i="5"/>
  <c r="R192" i="5"/>
  <c r="S192" i="5"/>
  <c r="T192" i="5"/>
  <c r="U192" i="5"/>
  <c r="W192" i="5"/>
  <c r="X192" i="5"/>
  <c r="Y192" i="5"/>
  <c r="Z192" i="5"/>
  <c r="AA192" i="5"/>
  <c r="I193" i="5"/>
  <c r="J193" i="5"/>
  <c r="M193" i="5"/>
  <c r="O193" i="5"/>
  <c r="P193" i="5"/>
  <c r="Q193" i="5"/>
  <c r="R193" i="5"/>
  <c r="S193" i="5"/>
  <c r="T193" i="5"/>
  <c r="U193" i="5"/>
  <c r="W193" i="5"/>
  <c r="X193" i="5"/>
  <c r="Y193" i="5"/>
  <c r="Z193" i="5"/>
  <c r="AA193" i="5"/>
  <c r="I194" i="5"/>
  <c r="J194" i="5"/>
  <c r="M194" i="5"/>
  <c r="O194" i="5"/>
  <c r="P194" i="5"/>
  <c r="Q194" i="5"/>
  <c r="R194" i="5"/>
  <c r="S194" i="5"/>
  <c r="T194" i="5"/>
  <c r="U194" i="5"/>
  <c r="W194" i="5"/>
  <c r="X194" i="5"/>
  <c r="Y194" i="5"/>
  <c r="Z194" i="5"/>
  <c r="AA194" i="5"/>
  <c r="I195" i="5"/>
  <c r="J195" i="5"/>
  <c r="M195" i="5"/>
  <c r="O195" i="5"/>
  <c r="P195" i="5"/>
  <c r="Q195" i="5"/>
  <c r="R195" i="5"/>
  <c r="S195" i="5"/>
  <c r="T195" i="5"/>
  <c r="U195" i="5"/>
  <c r="W195" i="5"/>
  <c r="X195" i="5"/>
  <c r="Y195" i="5"/>
  <c r="Z195" i="5"/>
  <c r="AA195" i="5"/>
  <c r="I196" i="5"/>
  <c r="J196" i="5"/>
  <c r="M196" i="5"/>
  <c r="O196" i="5"/>
  <c r="P196" i="5"/>
  <c r="Q196" i="5"/>
  <c r="R196" i="5"/>
  <c r="S196" i="5"/>
  <c r="T196" i="5"/>
  <c r="U196" i="5"/>
  <c r="W196" i="5"/>
  <c r="X196" i="5"/>
  <c r="Y196" i="5"/>
  <c r="Z196" i="5"/>
  <c r="AA196" i="5"/>
  <c r="I197" i="5"/>
  <c r="J197" i="5"/>
  <c r="M197" i="5"/>
  <c r="O197" i="5"/>
  <c r="P197" i="5"/>
  <c r="Q197" i="5"/>
  <c r="R197" i="5"/>
  <c r="S197" i="5"/>
  <c r="T197" i="5"/>
  <c r="U197" i="5"/>
  <c r="W197" i="5"/>
  <c r="X197" i="5"/>
  <c r="Y197" i="5"/>
  <c r="Z197" i="5"/>
  <c r="AA197" i="5"/>
  <c r="I198" i="5"/>
  <c r="J198" i="5"/>
  <c r="M198" i="5"/>
  <c r="O198" i="5"/>
  <c r="P198" i="5"/>
  <c r="Q198" i="5"/>
  <c r="R198" i="5"/>
  <c r="S198" i="5"/>
  <c r="T198" i="5"/>
  <c r="U198" i="5"/>
  <c r="W198" i="5"/>
  <c r="X198" i="5"/>
  <c r="Y198" i="5"/>
  <c r="Z198" i="5"/>
  <c r="AA198" i="5"/>
  <c r="I199" i="5"/>
  <c r="J199" i="5"/>
  <c r="M199" i="5"/>
  <c r="O199" i="5"/>
  <c r="P199" i="5"/>
  <c r="Q199" i="5"/>
  <c r="R199" i="5"/>
  <c r="S199" i="5"/>
  <c r="T199" i="5"/>
  <c r="U199" i="5"/>
  <c r="W199" i="5"/>
  <c r="X199" i="5"/>
  <c r="Y199" i="5"/>
  <c r="Z199" i="5"/>
  <c r="AA199" i="5"/>
  <c r="I200" i="5"/>
  <c r="J200" i="5"/>
  <c r="M200" i="5"/>
  <c r="O200" i="5"/>
  <c r="P200" i="5"/>
  <c r="Q200" i="5"/>
  <c r="R200" i="5"/>
  <c r="S200" i="5"/>
  <c r="T200" i="5"/>
  <c r="U200" i="5"/>
  <c r="W200" i="5"/>
  <c r="X200" i="5"/>
  <c r="Y200" i="5"/>
  <c r="Z200" i="5"/>
  <c r="AA200" i="5"/>
  <c r="I201" i="5"/>
  <c r="J201" i="5"/>
  <c r="M201" i="5"/>
  <c r="O201" i="5"/>
  <c r="P201" i="5"/>
  <c r="Q201" i="5"/>
  <c r="R201" i="5"/>
  <c r="S201" i="5"/>
  <c r="T201" i="5"/>
  <c r="U201" i="5"/>
  <c r="W201" i="5"/>
  <c r="X201" i="5"/>
  <c r="Y201" i="5"/>
  <c r="Z201" i="5"/>
  <c r="AA201" i="5"/>
  <c r="I202" i="5"/>
  <c r="J202" i="5"/>
  <c r="M202" i="5"/>
  <c r="O202" i="5"/>
  <c r="P202" i="5"/>
  <c r="Q202" i="5"/>
  <c r="R202" i="5"/>
  <c r="S202" i="5"/>
  <c r="T202" i="5"/>
  <c r="U202" i="5"/>
  <c r="W202" i="5"/>
  <c r="X202" i="5"/>
  <c r="Y202" i="5"/>
  <c r="Z202" i="5"/>
  <c r="AA202" i="5"/>
  <c r="I203" i="5"/>
  <c r="J203" i="5"/>
  <c r="M203" i="5"/>
  <c r="O203" i="5"/>
  <c r="P203" i="5"/>
  <c r="Q203" i="5"/>
  <c r="R203" i="5"/>
  <c r="S203" i="5"/>
  <c r="T203" i="5"/>
  <c r="U203" i="5"/>
  <c r="W203" i="5"/>
  <c r="X203" i="5"/>
  <c r="Y203" i="5"/>
  <c r="Z203" i="5"/>
  <c r="AA203" i="5"/>
  <c r="I204" i="5"/>
  <c r="J204" i="5"/>
  <c r="M204" i="5"/>
  <c r="O204" i="5"/>
  <c r="P204" i="5"/>
  <c r="Q204" i="5"/>
  <c r="R204" i="5"/>
  <c r="S204" i="5"/>
  <c r="T204" i="5"/>
  <c r="U204" i="5"/>
  <c r="W204" i="5"/>
  <c r="X204" i="5"/>
  <c r="Y204" i="5"/>
  <c r="Z204" i="5"/>
  <c r="AA204" i="5"/>
  <c r="I205" i="5"/>
  <c r="J205" i="5"/>
  <c r="M205" i="5"/>
  <c r="O205" i="5"/>
  <c r="P205" i="5"/>
  <c r="Q205" i="5"/>
  <c r="R205" i="5"/>
  <c r="S205" i="5"/>
  <c r="T205" i="5"/>
  <c r="U205" i="5"/>
  <c r="W205" i="5"/>
  <c r="X205" i="5"/>
  <c r="Y205" i="5"/>
  <c r="Z205" i="5"/>
  <c r="AA205" i="5"/>
  <c r="I206" i="5"/>
  <c r="J206" i="5"/>
  <c r="M206" i="5"/>
  <c r="O206" i="5"/>
  <c r="P206" i="5"/>
  <c r="Q206" i="5"/>
  <c r="R206" i="5"/>
  <c r="S206" i="5"/>
  <c r="T206" i="5"/>
  <c r="U206" i="5"/>
  <c r="W206" i="5"/>
  <c r="X206" i="5"/>
  <c r="Y206" i="5"/>
  <c r="Z206" i="5"/>
  <c r="AA206" i="5"/>
  <c r="I207" i="5"/>
  <c r="J207" i="5"/>
  <c r="M207" i="5"/>
  <c r="O207" i="5"/>
  <c r="P207" i="5"/>
  <c r="Q207" i="5"/>
  <c r="R207" i="5"/>
  <c r="S207" i="5"/>
  <c r="T207" i="5"/>
  <c r="U207" i="5"/>
  <c r="W207" i="5"/>
  <c r="X207" i="5"/>
  <c r="Y207" i="5"/>
  <c r="Z207" i="5"/>
  <c r="AA207" i="5"/>
  <c r="I208" i="5"/>
  <c r="J208" i="5"/>
  <c r="M208" i="5"/>
  <c r="O208" i="5"/>
  <c r="P208" i="5"/>
  <c r="Q208" i="5"/>
  <c r="R208" i="5"/>
  <c r="S208" i="5"/>
  <c r="T208" i="5"/>
  <c r="U208" i="5"/>
  <c r="W208" i="5"/>
  <c r="X208" i="5"/>
  <c r="Y208" i="5"/>
  <c r="Z208" i="5"/>
  <c r="AA208" i="5"/>
  <c r="I209" i="5"/>
  <c r="J209" i="5"/>
  <c r="M209" i="5"/>
  <c r="O209" i="5"/>
  <c r="P209" i="5"/>
  <c r="Q209" i="5"/>
  <c r="R209" i="5"/>
  <c r="S209" i="5"/>
  <c r="T209" i="5"/>
  <c r="U209" i="5"/>
  <c r="W209" i="5"/>
  <c r="X209" i="5"/>
  <c r="Y209" i="5"/>
  <c r="Z209" i="5"/>
  <c r="AA209" i="5"/>
  <c r="I210" i="5"/>
  <c r="J210" i="5"/>
  <c r="M210" i="5"/>
  <c r="O210" i="5"/>
  <c r="P210" i="5"/>
  <c r="Q210" i="5"/>
  <c r="R210" i="5"/>
  <c r="S210" i="5"/>
  <c r="T210" i="5"/>
  <c r="U210" i="5"/>
  <c r="W210" i="5"/>
  <c r="X210" i="5"/>
  <c r="Y210" i="5"/>
  <c r="Z210" i="5"/>
  <c r="AA210" i="5"/>
  <c r="I211" i="5"/>
  <c r="J211" i="5"/>
  <c r="M211" i="5"/>
  <c r="O211" i="5"/>
  <c r="P211" i="5"/>
  <c r="Q211" i="5"/>
  <c r="R211" i="5"/>
  <c r="S211" i="5"/>
  <c r="T211" i="5"/>
  <c r="U211" i="5"/>
  <c r="W211" i="5"/>
  <c r="X211" i="5"/>
  <c r="Y211" i="5"/>
  <c r="Z211" i="5"/>
  <c r="AA211" i="5"/>
  <c r="I212" i="5"/>
  <c r="J212" i="5"/>
  <c r="M212" i="5"/>
  <c r="O212" i="5"/>
  <c r="P212" i="5"/>
  <c r="Q212" i="5"/>
  <c r="R212" i="5"/>
  <c r="S212" i="5"/>
  <c r="T212" i="5"/>
  <c r="U212" i="5"/>
  <c r="W212" i="5"/>
  <c r="X212" i="5"/>
  <c r="Y212" i="5"/>
  <c r="Z212" i="5"/>
  <c r="AA212" i="5"/>
  <c r="I213" i="5"/>
  <c r="J213" i="5"/>
  <c r="M213" i="5"/>
  <c r="O213" i="5"/>
  <c r="P213" i="5"/>
  <c r="Q213" i="5"/>
  <c r="R213" i="5"/>
  <c r="S213" i="5"/>
  <c r="T213" i="5"/>
  <c r="U213" i="5"/>
  <c r="W213" i="5"/>
  <c r="X213" i="5"/>
  <c r="Y213" i="5"/>
  <c r="Z213" i="5"/>
  <c r="AA213" i="5"/>
  <c r="I214" i="5"/>
  <c r="J214" i="5"/>
  <c r="M214" i="5"/>
  <c r="O214" i="5"/>
  <c r="P214" i="5"/>
  <c r="Q214" i="5"/>
  <c r="R214" i="5"/>
  <c r="S214" i="5"/>
  <c r="T214" i="5"/>
  <c r="U214" i="5"/>
  <c r="W214" i="5"/>
  <c r="X214" i="5"/>
  <c r="Y214" i="5"/>
  <c r="Z214" i="5"/>
  <c r="AA214" i="5"/>
  <c r="I215" i="5"/>
  <c r="J215" i="5"/>
  <c r="M215" i="5"/>
  <c r="O215" i="5"/>
  <c r="P215" i="5"/>
  <c r="Q215" i="5"/>
  <c r="R215" i="5"/>
  <c r="S215" i="5"/>
  <c r="T215" i="5"/>
  <c r="U215" i="5"/>
  <c r="W215" i="5"/>
  <c r="X215" i="5"/>
  <c r="Y215" i="5"/>
  <c r="Z215" i="5"/>
  <c r="AA215" i="5"/>
  <c r="I216" i="5"/>
  <c r="J216" i="5"/>
  <c r="M216" i="5"/>
  <c r="O216" i="5"/>
  <c r="P216" i="5"/>
  <c r="Q216" i="5"/>
  <c r="R216" i="5"/>
  <c r="S216" i="5"/>
  <c r="T216" i="5"/>
  <c r="U216" i="5"/>
  <c r="W216" i="5"/>
  <c r="X216" i="5"/>
  <c r="Y216" i="5"/>
  <c r="Z216" i="5"/>
  <c r="AA216" i="5"/>
  <c r="I217" i="5"/>
  <c r="J217" i="5"/>
  <c r="M217" i="5"/>
  <c r="O217" i="5"/>
  <c r="P217" i="5"/>
  <c r="Q217" i="5"/>
  <c r="R217" i="5"/>
  <c r="S217" i="5"/>
  <c r="T217" i="5"/>
  <c r="U217" i="5"/>
  <c r="W217" i="5"/>
  <c r="X217" i="5"/>
  <c r="Y217" i="5"/>
  <c r="Z217" i="5"/>
  <c r="AA217" i="5"/>
  <c r="I218" i="5"/>
  <c r="J218" i="5"/>
  <c r="M218" i="5"/>
  <c r="O218" i="5"/>
  <c r="P218" i="5"/>
  <c r="Q218" i="5"/>
  <c r="R218" i="5"/>
  <c r="S218" i="5"/>
  <c r="T218" i="5"/>
  <c r="U218" i="5"/>
  <c r="W218" i="5"/>
  <c r="X218" i="5"/>
  <c r="Y218" i="5"/>
  <c r="Z218" i="5"/>
  <c r="AA218" i="5"/>
  <c r="I219" i="5"/>
  <c r="J219" i="5"/>
  <c r="M219" i="5"/>
  <c r="O219" i="5"/>
  <c r="P219" i="5"/>
  <c r="Q219" i="5"/>
  <c r="R219" i="5"/>
  <c r="S219" i="5"/>
  <c r="T219" i="5"/>
  <c r="U219" i="5"/>
  <c r="W219" i="5"/>
  <c r="X219" i="5"/>
  <c r="Y219" i="5"/>
  <c r="Z219" i="5"/>
  <c r="AA219" i="5"/>
  <c r="I220" i="5"/>
  <c r="J220" i="5"/>
  <c r="M220" i="5"/>
  <c r="O220" i="5"/>
  <c r="P220" i="5"/>
  <c r="Q220" i="5"/>
  <c r="R220" i="5"/>
  <c r="S220" i="5"/>
  <c r="T220" i="5"/>
  <c r="U220" i="5"/>
  <c r="W220" i="5"/>
  <c r="X220" i="5"/>
  <c r="Y220" i="5"/>
  <c r="Z220" i="5"/>
  <c r="AA220" i="5"/>
  <c r="I221" i="5"/>
  <c r="J221" i="5"/>
  <c r="M221" i="5"/>
  <c r="O221" i="5"/>
  <c r="P221" i="5"/>
  <c r="Q221" i="5"/>
  <c r="R221" i="5"/>
  <c r="S221" i="5"/>
  <c r="T221" i="5"/>
  <c r="U221" i="5"/>
  <c r="W221" i="5"/>
  <c r="X221" i="5"/>
  <c r="Y221" i="5"/>
  <c r="Z221" i="5"/>
  <c r="AA221" i="5"/>
  <c r="I222" i="5"/>
  <c r="J222" i="5"/>
  <c r="M222" i="5"/>
  <c r="O222" i="5"/>
  <c r="P222" i="5"/>
  <c r="Q222" i="5"/>
  <c r="R222" i="5"/>
  <c r="S222" i="5"/>
  <c r="T222" i="5"/>
  <c r="U222" i="5"/>
  <c r="W222" i="5"/>
  <c r="X222" i="5"/>
  <c r="Y222" i="5"/>
  <c r="Z222" i="5"/>
  <c r="AA222" i="5"/>
  <c r="I223" i="5"/>
  <c r="J223" i="5"/>
  <c r="M223" i="5"/>
  <c r="O223" i="5"/>
  <c r="P223" i="5"/>
  <c r="Q223" i="5"/>
  <c r="R223" i="5"/>
  <c r="S223" i="5"/>
  <c r="T223" i="5"/>
  <c r="U223" i="5"/>
  <c r="W223" i="5"/>
  <c r="X223" i="5"/>
  <c r="Y223" i="5"/>
  <c r="Z223" i="5"/>
  <c r="AA223" i="5"/>
  <c r="I224" i="5"/>
  <c r="J224" i="5"/>
  <c r="M224" i="5"/>
  <c r="O224" i="5"/>
  <c r="P224" i="5"/>
  <c r="Q224" i="5"/>
  <c r="R224" i="5"/>
  <c r="S224" i="5"/>
  <c r="T224" i="5"/>
  <c r="U224" i="5"/>
  <c r="W224" i="5"/>
  <c r="X224" i="5"/>
  <c r="Y224" i="5"/>
  <c r="Z224" i="5"/>
  <c r="AA224" i="5"/>
  <c r="I225" i="5"/>
  <c r="J225" i="5"/>
  <c r="M225" i="5"/>
  <c r="O225" i="5"/>
  <c r="P225" i="5"/>
  <c r="Q225" i="5"/>
  <c r="R225" i="5"/>
  <c r="S225" i="5"/>
  <c r="T225" i="5"/>
  <c r="U225" i="5"/>
  <c r="W225" i="5"/>
  <c r="X225" i="5"/>
  <c r="Y225" i="5"/>
  <c r="Z225" i="5"/>
  <c r="AA225" i="5"/>
  <c r="I226" i="5"/>
  <c r="J226" i="5"/>
  <c r="M226" i="5"/>
  <c r="O226" i="5"/>
  <c r="P226" i="5"/>
  <c r="Q226" i="5"/>
  <c r="R226" i="5"/>
  <c r="S226" i="5"/>
  <c r="T226" i="5"/>
  <c r="U226" i="5"/>
  <c r="W226" i="5"/>
  <c r="X226" i="5"/>
  <c r="Y226" i="5"/>
  <c r="Z226" i="5"/>
  <c r="AA226" i="5"/>
  <c r="I227" i="5"/>
  <c r="J227" i="5"/>
  <c r="M227" i="5"/>
  <c r="O227" i="5"/>
  <c r="P227" i="5"/>
  <c r="Q227" i="5"/>
  <c r="R227" i="5"/>
  <c r="S227" i="5"/>
  <c r="T227" i="5"/>
  <c r="U227" i="5"/>
  <c r="W227" i="5"/>
  <c r="X227" i="5"/>
  <c r="Y227" i="5"/>
  <c r="Z227" i="5"/>
  <c r="AA227" i="5"/>
  <c r="I228" i="5"/>
  <c r="J228" i="5"/>
  <c r="M228" i="5"/>
  <c r="O228" i="5"/>
  <c r="P228" i="5"/>
  <c r="Q228" i="5"/>
  <c r="R228" i="5"/>
  <c r="S228" i="5"/>
  <c r="T228" i="5"/>
  <c r="U228" i="5"/>
  <c r="W228" i="5"/>
  <c r="X228" i="5"/>
  <c r="Y228" i="5"/>
  <c r="Z228" i="5"/>
  <c r="AA228" i="5"/>
  <c r="I229" i="5"/>
  <c r="J229" i="5"/>
  <c r="M229" i="5"/>
  <c r="O229" i="5"/>
  <c r="P229" i="5"/>
  <c r="Q229" i="5"/>
  <c r="R229" i="5"/>
  <c r="S229" i="5"/>
  <c r="T229" i="5"/>
  <c r="U229" i="5"/>
  <c r="W229" i="5"/>
  <c r="X229" i="5"/>
  <c r="Y229" i="5"/>
  <c r="Z229" i="5"/>
  <c r="AA229" i="5"/>
  <c r="I230" i="5"/>
  <c r="J230" i="5"/>
  <c r="M230" i="5"/>
  <c r="O230" i="5"/>
  <c r="P230" i="5"/>
  <c r="Q230" i="5"/>
  <c r="R230" i="5"/>
  <c r="S230" i="5"/>
  <c r="T230" i="5"/>
  <c r="U230" i="5"/>
  <c r="W230" i="5"/>
  <c r="X230" i="5"/>
  <c r="Y230" i="5"/>
  <c r="Z230" i="5"/>
  <c r="AA230" i="5"/>
  <c r="I231" i="5"/>
  <c r="J231" i="5"/>
  <c r="M231" i="5"/>
  <c r="O231" i="5"/>
  <c r="P231" i="5"/>
  <c r="Q231" i="5"/>
  <c r="R231" i="5"/>
  <c r="S231" i="5"/>
  <c r="T231" i="5"/>
  <c r="U231" i="5"/>
  <c r="W231" i="5"/>
  <c r="X231" i="5"/>
  <c r="Y231" i="5"/>
  <c r="Z231" i="5"/>
  <c r="AA231" i="5"/>
  <c r="I232" i="5"/>
  <c r="J232" i="5"/>
  <c r="M232" i="5"/>
  <c r="O232" i="5"/>
  <c r="P232" i="5"/>
  <c r="Q232" i="5"/>
  <c r="R232" i="5"/>
  <c r="S232" i="5"/>
  <c r="T232" i="5"/>
  <c r="U232" i="5"/>
  <c r="W232" i="5"/>
  <c r="X232" i="5"/>
  <c r="Y232" i="5"/>
  <c r="Z232" i="5"/>
  <c r="AA232" i="5"/>
  <c r="I233" i="5"/>
  <c r="J233" i="5"/>
  <c r="M233" i="5"/>
  <c r="O233" i="5"/>
  <c r="P233" i="5"/>
  <c r="Q233" i="5"/>
  <c r="R233" i="5"/>
  <c r="S233" i="5"/>
  <c r="T233" i="5"/>
  <c r="U233" i="5"/>
  <c r="W233" i="5"/>
  <c r="X233" i="5"/>
  <c r="Y233" i="5"/>
  <c r="Z233" i="5"/>
  <c r="AA233" i="5"/>
  <c r="I234" i="5"/>
  <c r="J234" i="5"/>
  <c r="M234" i="5"/>
  <c r="O234" i="5"/>
  <c r="P234" i="5"/>
  <c r="Q234" i="5"/>
  <c r="R234" i="5"/>
  <c r="S234" i="5"/>
  <c r="T234" i="5"/>
  <c r="U234" i="5"/>
  <c r="W234" i="5"/>
  <c r="X234" i="5"/>
  <c r="Y234" i="5"/>
  <c r="Z234" i="5"/>
  <c r="AA234" i="5"/>
  <c r="I235" i="5"/>
  <c r="J235" i="5"/>
  <c r="M235" i="5"/>
  <c r="O235" i="5"/>
  <c r="P235" i="5"/>
  <c r="Q235" i="5"/>
  <c r="R235" i="5"/>
  <c r="S235" i="5"/>
  <c r="T235" i="5"/>
  <c r="U235" i="5"/>
  <c r="W235" i="5"/>
  <c r="X235" i="5"/>
  <c r="Y235" i="5"/>
  <c r="Z235" i="5"/>
  <c r="AA235" i="5"/>
  <c r="I236" i="5"/>
  <c r="J236" i="5"/>
  <c r="M236" i="5"/>
  <c r="O236" i="5"/>
  <c r="P236" i="5"/>
  <c r="Q236" i="5"/>
  <c r="R236" i="5"/>
  <c r="S236" i="5"/>
  <c r="T236" i="5"/>
  <c r="U236" i="5"/>
  <c r="W236" i="5"/>
  <c r="X236" i="5"/>
  <c r="Y236" i="5"/>
  <c r="Z236" i="5"/>
  <c r="AA236" i="5"/>
  <c r="I237" i="5"/>
  <c r="J237" i="5"/>
  <c r="M237" i="5"/>
  <c r="O237" i="5"/>
  <c r="P237" i="5"/>
  <c r="Q237" i="5"/>
  <c r="R237" i="5"/>
  <c r="S237" i="5"/>
  <c r="T237" i="5"/>
  <c r="U237" i="5"/>
  <c r="W237" i="5"/>
  <c r="X237" i="5"/>
  <c r="Y237" i="5"/>
  <c r="Z237" i="5"/>
  <c r="AA237" i="5"/>
  <c r="I238" i="5"/>
  <c r="J238" i="5"/>
  <c r="M238" i="5"/>
  <c r="O238" i="5"/>
  <c r="P238" i="5"/>
  <c r="Q238" i="5"/>
  <c r="R238" i="5"/>
  <c r="S238" i="5"/>
  <c r="T238" i="5"/>
  <c r="U238" i="5"/>
  <c r="W238" i="5"/>
  <c r="X238" i="5"/>
  <c r="Y238" i="5"/>
  <c r="Z238" i="5"/>
  <c r="AA238" i="5"/>
  <c r="I239" i="5"/>
  <c r="J239" i="5"/>
  <c r="M239" i="5"/>
  <c r="O239" i="5"/>
  <c r="P239" i="5"/>
  <c r="Q239" i="5"/>
  <c r="R239" i="5"/>
  <c r="S239" i="5"/>
  <c r="T239" i="5"/>
  <c r="U239" i="5"/>
  <c r="W239" i="5"/>
  <c r="X239" i="5"/>
  <c r="Y239" i="5"/>
  <c r="Z239" i="5"/>
  <c r="AA239" i="5"/>
  <c r="I240" i="5"/>
  <c r="J240" i="5"/>
  <c r="M240" i="5"/>
  <c r="O240" i="5"/>
  <c r="P240" i="5"/>
  <c r="Q240" i="5"/>
  <c r="R240" i="5"/>
  <c r="S240" i="5"/>
  <c r="T240" i="5"/>
  <c r="U240" i="5"/>
  <c r="W240" i="5"/>
  <c r="X240" i="5"/>
  <c r="Y240" i="5"/>
  <c r="Z240" i="5"/>
  <c r="AA240" i="5"/>
  <c r="I241" i="5"/>
  <c r="J241" i="5"/>
  <c r="M241" i="5"/>
  <c r="O241" i="5"/>
  <c r="P241" i="5"/>
  <c r="Q241" i="5"/>
  <c r="R241" i="5"/>
  <c r="S241" i="5"/>
  <c r="T241" i="5"/>
  <c r="U241" i="5"/>
  <c r="W241" i="5"/>
  <c r="X241" i="5"/>
  <c r="Y241" i="5"/>
  <c r="Z241" i="5"/>
  <c r="AA241" i="5"/>
  <c r="I242" i="5"/>
  <c r="J242" i="5"/>
  <c r="M242" i="5"/>
  <c r="O242" i="5"/>
  <c r="P242" i="5"/>
  <c r="Q242" i="5"/>
  <c r="R242" i="5"/>
  <c r="S242" i="5"/>
  <c r="T242" i="5"/>
  <c r="U242" i="5"/>
  <c r="W242" i="5"/>
  <c r="X242" i="5"/>
  <c r="Y242" i="5"/>
  <c r="Z242" i="5"/>
  <c r="AA242" i="5"/>
  <c r="I243" i="5"/>
  <c r="J243" i="5"/>
  <c r="M243" i="5"/>
  <c r="O243" i="5"/>
  <c r="P243" i="5"/>
  <c r="Q243" i="5"/>
  <c r="R243" i="5"/>
  <c r="S243" i="5"/>
  <c r="T243" i="5"/>
  <c r="U243" i="5"/>
  <c r="W243" i="5"/>
  <c r="X243" i="5"/>
  <c r="Y243" i="5"/>
  <c r="Z243" i="5"/>
  <c r="AA243" i="5"/>
  <c r="I244" i="5"/>
  <c r="J244" i="5"/>
  <c r="M244" i="5"/>
  <c r="O244" i="5"/>
  <c r="P244" i="5"/>
  <c r="Q244" i="5"/>
  <c r="R244" i="5"/>
  <c r="S244" i="5"/>
  <c r="T244" i="5"/>
  <c r="U244" i="5"/>
  <c r="W244" i="5"/>
  <c r="X244" i="5"/>
  <c r="Y244" i="5"/>
  <c r="Z244" i="5"/>
  <c r="AA244" i="5"/>
  <c r="I245" i="5"/>
  <c r="J245" i="5"/>
  <c r="M245" i="5"/>
  <c r="O245" i="5"/>
  <c r="P245" i="5"/>
  <c r="Q245" i="5"/>
  <c r="R245" i="5"/>
  <c r="S245" i="5"/>
  <c r="T245" i="5"/>
  <c r="U245" i="5"/>
  <c r="W245" i="5"/>
  <c r="X245" i="5"/>
  <c r="Y245" i="5"/>
  <c r="Z245" i="5"/>
  <c r="AA245" i="5"/>
  <c r="I246" i="5"/>
  <c r="J246" i="5"/>
  <c r="M246" i="5"/>
  <c r="O246" i="5"/>
  <c r="P246" i="5"/>
  <c r="Q246" i="5"/>
  <c r="R246" i="5"/>
  <c r="S246" i="5"/>
  <c r="T246" i="5"/>
  <c r="U246" i="5"/>
  <c r="W246" i="5"/>
  <c r="X246" i="5"/>
  <c r="Y246" i="5"/>
  <c r="Z246" i="5"/>
  <c r="AA246" i="5"/>
  <c r="I247" i="5"/>
  <c r="J247" i="5"/>
  <c r="M247" i="5"/>
  <c r="O247" i="5"/>
  <c r="P247" i="5"/>
  <c r="Q247" i="5"/>
  <c r="R247" i="5"/>
  <c r="S247" i="5"/>
  <c r="T247" i="5"/>
  <c r="U247" i="5"/>
  <c r="W247" i="5"/>
  <c r="X247" i="5"/>
  <c r="Y247" i="5"/>
  <c r="Z247" i="5"/>
  <c r="AA247" i="5"/>
  <c r="I248" i="5"/>
  <c r="J248" i="5"/>
  <c r="M248" i="5"/>
  <c r="O248" i="5"/>
  <c r="P248" i="5"/>
  <c r="Q248" i="5"/>
  <c r="R248" i="5"/>
  <c r="S248" i="5"/>
  <c r="T248" i="5"/>
  <c r="U248" i="5"/>
  <c r="W248" i="5"/>
  <c r="X248" i="5"/>
  <c r="Y248" i="5"/>
  <c r="Z248" i="5"/>
  <c r="AA248" i="5"/>
  <c r="I249" i="5"/>
  <c r="J249" i="5"/>
  <c r="M249" i="5"/>
  <c r="O249" i="5"/>
  <c r="P249" i="5"/>
  <c r="Q249" i="5"/>
  <c r="R249" i="5"/>
  <c r="S249" i="5"/>
  <c r="T249" i="5"/>
  <c r="U249" i="5"/>
  <c r="W249" i="5"/>
  <c r="X249" i="5"/>
  <c r="Y249" i="5"/>
  <c r="Z249" i="5"/>
  <c r="AA249" i="5"/>
  <c r="I250" i="5"/>
  <c r="J250" i="5"/>
  <c r="M250" i="5"/>
  <c r="O250" i="5"/>
  <c r="P250" i="5"/>
  <c r="Q250" i="5"/>
  <c r="R250" i="5"/>
  <c r="S250" i="5"/>
  <c r="T250" i="5"/>
  <c r="U250" i="5"/>
  <c r="W250" i="5"/>
  <c r="X250" i="5"/>
  <c r="Y250" i="5"/>
  <c r="Z250" i="5"/>
  <c r="AA250" i="5"/>
  <c r="I251" i="5"/>
  <c r="J251" i="5"/>
  <c r="M251" i="5"/>
  <c r="O251" i="5"/>
  <c r="P251" i="5"/>
  <c r="Q251" i="5"/>
  <c r="R251" i="5"/>
  <c r="S251" i="5"/>
  <c r="T251" i="5"/>
  <c r="U251" i="5"/>
  <c r="W251" i="5"/>
  <c r="X251" i="5"/>
  <c r="Y251" i="5"/>
  <c r="Z251" i="5"/>
  <c r="AA251" i="5"/>
  <c r="I252" i="5"/>
  <c r="J252" i="5"/>
  <c r="M252" i="5"/>
  <c r="O252" i="5"/>
  <c r="P252" i="5"/>
  <c r="Q252" i="5"/>
  <c r="R252" i="5"/>
  <c r="S252" i="5"/>
  <c r="T252" i="5"/>
  <c r="U252" i="5"/>
  <c r="W252" i="5"/>
  <c r="X252" i="5"/>
  <c r="Y252" i="5"/>
  <c r="Z252" i="5"/>
  <c r="AA252" i="5"/>
  <c r="I253" i="5"/>
  <c r="J253" i="5"/>
  <c r="M253" i="5"/>
  <c r="O253" i="5"/>
  <c r="P253" i="5"/>
  <c r="Q253" i="5"/>
  <c r="R253" i="5"/>
  <c r="S253" i="5"/>
  <c r="T253" i="5"/>
  <c r="U253" i="5"/>
  <c r="W253" i="5"/>
  <c r="X253" i="5"/>
  <c r="Y253" i="5"/>
  <c r="Z253" i="5"/>
  <c r="AA253" i="5"/>
  <c r="I254" i="5"/>
  <c r="J254" i="5"/>
  <c r="M254" i="5"/>
  <c r="O254" i="5"/>
  <c r="P254" i="5"/>
  <c r="Q254" i="5"/>
  <c r="R254" i="5"/>
  <c r="S254" i="5"/>
  <c r="T254" i="5"/>
  <c r="U254" i="5"/>
  <c r="W254" i="5"/>
  <c r="X254" i="5"/>
  <c r="Y254" i="5"/>
  <c r="Z254" i="5"/>
  <c r="AA254" i="5"/>
  <c r="I255" i="5"/>
  <c r="J255" i="5"/>
  <c r="M255" i="5"/>
  <c r="O255" i="5"/>
  <c r="P255" i="5"/>
  <c r="Q255" i="5"/>
  <c r="R255" i="5"/>
  <c r="S255" i="5"/>
  <c r="T255" i="5"/>
  <c r="U255" i="5"/>
  <c r="W255" i="5"/>
  <c r="X255" i="5"/>
  <c r="Y255" i="5"/>
  <c r="Z255" i="5"/>
  <c r="AA255" i="5"/>
  <c r="I256" i="5"/>
  <c r="J256" i="5"/>
  <c r="M256" i="5"/>
  <c r="O256" i="5"/>
  <c r="P256" i="5"/>
  <c r="Q256" i="5"/>
  <c r="R256" i="5"/>
  <c r="S256" i="5"/>
  <c r="T256" i="5"/>
  <c r="U256" i="5"/>
  <c r="W256" i="5"/>
  <c r="X256" i="5"/>
  <c r="Y256" i="5"/>
  <c r="Z256" i="5"/>
  <c r="AA256" i="5"/>
  <c r="I257" i="5"/>
  <c r="J257" i="5"/>
  <c r="M257" i="5"/>
  <c r="O257" i="5"/>
  <c r="P257" i="5"/>
  <c r="Q257" i="5"/>
  <c r="R257" i="5"/>
  <c r="S257" i="5"/>
  <c r="T257" i="5"/>
  <c r="U257" i="5"/>
  <c r="W257" i="5"/>
  <c r="X257" i="5"/>
  <c r="Y257" i="5"/>
  <c r="Z257" i="5"/>
  <c r="AA257" i="5"/>
  <c r="I258" i="5"/>
  <c r="J258" i="5"/>
  <c r="M258" i="5"/>
  <c r="O258" i="5"/>
  <c r="P258" i="5"/>
  <c r="Q258" i="5"/>
  <c r="R258" i="5"/>
  <c r="S258" i="5"/>
  <c r="T258" i="5"/>
  <c r="U258" i="5"/>
  <c r="W258" i="5"/>
  <c r="X258" i="5"/>
  <c r="Y258" i="5"/>
  <c r="Z258" i="5"/>
  <c r="AA258" i="5"/>
  <c r="I259" i="5"/>
  <c r="J259" i="5"/>
  <c r="M259" i="5"/>
  <c r="O259" i="5"/>
  <c r="P259" i="5"/>
  <c r="Q259" i="5"/>
  <c r="R259" i="5"/>
  <c r="S259" i="5"/>
  <c r="T259" i="5"/>
  <c r="U259" i="5"/>
  <c r="W259" i="5"/>
  <c r="X259" i="5"/>
  <c r="Y259" i="5"/>
  <c r="Z259" i="5"/>
  <c r="AA259" i="5"/>
  <c r="I260" i="5"/>
  <c r="J260" i="5"/>
  <c r="M260" i="5"/>
  <c r="O260" i="5"/>
  <c r="P260" i="5"/>
  <c r="Q260" i="5"/>
  <c r="R260" i="5"/>
  <c r="S260" i="5"/>
  <c r="T260" i="5"/>
  <c r="U260" i="5"/>
  <c r="W260" i="5"/>
  <c r="X260" i="5"/>
  <c r="Y260" i="5"/>
  <c r="Z260" i="5"/>
  <c r="AA260" i="5"/>
  <c r="I261" i="5"/>
  <c r="J261" i="5"/>
  <c r="M261" i="5"/>
  <c r="O261" i="5"/>
  <c r="P261" i="5"/>
  <c r="Q261" i="5"/>
  <c r="R261" i="5"/>
  <c r="S261" i="5"/>
  <c r="T261" i="5"/>
  <c r="U261" i="5"/>
  <c r="W261" i="5"/>
  <c r="X261" i="5"/>
  <c r="Y261" i="5"/>
  <c r="Z261" i="5"/>
  <c r="AA261" i="5"/>
  <c r="I262" i="5"/>
  <c r="J262" i="5"/>
  <c r="M262" i="5"/>
  <c r="O262" i="5"/>
  <c r="P262" i="5"/>
  <c r="Q262" i="5"/>
  <c r="R262" i="5"/>
  <c r="S262" i="5"/>
  <c r="T262" i="5"/>
  <c r="U262" i="5"/>
  <c r="W262" i="5"/>
  <c r="X262" i="5"/>
  <c r="Y262" i="5"/>
  <c r="Z262" i="5"/>
  <c r="AA262" i="5"/>
  <c r="I263" i="5"/>
  <c r="J263" i="5"/>
  <c r="M263" i="5"/>
  <c r="O263" i="5"/>
  <c r="P263" i="5"/>
  <c r="Q263" i="5"/>
  <c r="R263" i="5"/>
  <c r="S263" i="5"/>
  <c r="T263" i="5"/>
  <c r="U263" i="5"/>
  <c r="W263" i="5"/>
  <c r="X263" i="5"/>
  <c r="Y263" i="5"/>
  <c r="Z263" i="5"/>
  <c r="AA263" i="5"/>
  <c r="I264" i="5"/>
  <c r="J264" i="5"/>
  <c r="M264" i="5"/>
  <c r="O264" i="5"/>
  <c r="P264" i="5"/>
  <c r="Q264" i="5"/>
  <c r="R264" i="5"/>
  <c r="S264" i="5"/>
  <c r="T264" i="5"/>
  <c r="U264" i="5"/>
  <c r="W264" i="5"/>
  <c r="X264" i="5"/>
  <c r="Y264" i="5"/>
  <c r="Z264" i="5"/>
  <c r="AA264" i="5"/>
  <c r="I265" i="5"/>
  <c r="J265" i="5"/>
  <c r="M265" i="5"/>
  <c r="O265" i="5"/>
  <c r="P265" i="5"/>
  <c r="Q265" i="5"/>
  <c r="R265" i="5"/>
  <c r="S265" i="5"/>
  <c r="T265" i="5"/>
  <c r="U265" i="5"/>
  <c r="W265" i="5"/>
  <c r="X265" i="5"/>
  <c r="Y265" i="5"/>
  <c r="Z265" i="5"/>
  <c r="AA265" i="5"/>
  <c r="I266" i="5"/>
  <c r="J266" i="5"/>
  <c r="M266" i="5"/>
  <c r="O266" i="5"/>
  <c r="P266" i="5"/>
  <c r="Q266" i="5"/>
  <c r="R266" i="5"/>
  <c r="S266" i="5"/>
  <c r="T266" i="5"/>
  <c r="U266" i="5"/>
  <c r="W266" i="5"/>
  <c r="X266" i="5"/>
  <c r="Y266" i="5"/>
  <c r="Z266" i="5"/>
  <c r="AA266" i="5"/>
  <c r="I267" i="5"/>
  <c r="J267" i="5"/>
  <c r="M267" i="5"/>
  <c r="O267" i="5"/>
  <c r="P267" i="5"/>
  <c r="Q267" i="5"/>
  <c r="R267" i="5"/>
  <c r="S267" i="5"/>
  <c r="T267" i="5"/>
  <c r="U267" i="5"/>
  <c r="W267" i="5"/>
  <c r="X267" i="5"/>
  <c r="Y267" i="5"/>
  <c r="Z267" i="5"/>
  <c r="AA267" i="5"/>
  <c r="I268" i="5"/>
  <c r="J268" i="5"/>
  <c r="M268" i="5"/>
  <c r="O268" i="5"/>
  <c r="P268" i="5"/>
  <c r="Q268" i="5"/>
  <c r="R268" i="5"/>
  <c r="S268" i="5"/>
  <c r="T268" i="5"/>
  <c r="U268" i="5"/>
  <c r="W268" i="5"/>
  <c r="X268" i="5"/>
  <c r="Y268" i="5"/>
  <c r="Z268" i="5"/>
  <c r="AA268" i="5"/>
  <c r="I269" i="5"/>
  <c r="J269" i="5"/>
  <c r="M269" i="5"/>
  <c r="O269" i="5"/>
  <c r="P269" i="5"/>
  <c r="Q269" i="5"/>
  <c r="R269" i="5"/>
  <c r="S269" i="5"/>
  <c r="T269" i="5"/>
  <c r="U269" i="5"/>
  <c r="W269" i="5"/>
  <c r="X269" i="5"/>
  <c r="Y269" i="5"/>
  <c r="Z269" i="5"/>
  <c r="AA269" i="5"/>
  <c r="I270" i="5"/>
  <c r="J270" i="5"/>
  <c r="M270" i="5"/>
  <c r="O270" i="5"/>
  <c r="P270" i="5"/>
  <c r="Q270" i="5"/>
  <c r="R270" i="5"/>
  <c r="S270" i="5"/>
  <c r="T270" i="5"/>
  <c r="U270" i="5"/>
  <c r="W270" i="5"/>
  <c r="X270" i="5"/>
  <c r="Y270" i="5"/>
  <c r="Z270" i="5"/>
  <c r="AA270" i="5"/>
  <c r="I271" i="5"/>
  <c r="J271" i="5"/>
  <c r="M271" i="5"/>
  <c r="O271" i="5"/>
  <c r="P271" i="5"/>
  <c r="Q271" i="5"/>
  <c r="R271" i="5"/>
  <c r="S271" i="5"/>
  <c r="T271" i="5"/>
  <c r="U271" i="5"/>
  <c r="W271" i="5"/>
  <c r="X271" i="5"/>
  <c r="Y271" i="5"/>
  <c r="Z271" i="5"/>
  <c r="AA271" i="5"/>
  <c r="I272" i="5"/>
  <c r="J272" i="5"/>
  <c r="M272" i="5"/>
  <c r="O272" i="5"/>
  <c r="P272" i="5"/>
  <c r="Q272" i="5"/>
  <c r="R272" i="5"/>
  <c r="S272" i="5"/>
  <c r="T272" i="5"/>
  <c r="U272" i="5"/>
  <c r="W272" i="5"/>
  <c r="X272" i="5"/>
  <c r="Y272" i="5"/>
  <c r="Z272" i="5"/>
  <c r="AA272" i="5"/>
  <c r="I273" i="5"/>
  <c r="J273" i="5"/>
  <c r="M273" i="5"/>
  <c r="O273" i="5"/>
  <c r="P273" i="5"/>
  <c r="Q273" i="5"/>
  <c r="R273" i="5"/>
  <c r="S273" i="5"/>
  <c r="T273" i="5"/>
  <c r="U273" i="5"/>
  <c r="W273" i="5"/>
  <c r="X273" i="5"/>
  <c r="Y273" i="5"/>
  <c r="Z273" i="5"/>
  <c r="AA273" i="5"/>
  <c r="I274" i="5"/>
  <c r="J274" i="5"/>
  <c r="M274" i="5"/>
  <c r="O274" i="5"/>
  <c r="P274" i="5"/>
  <c r="Q274" i="5"/>
  <c r="R274" i="5"/>
  <c r="S274" i="5"/>
  <c r="T274" i="5"/>
  <c r="U274" i="5"/>
  <c r="W274" i="5"/>
  <c r="X274" i="5"/>
  <c r="Y274" i="5"/>
  <c r="Z274" i="5"/>
  <c r="AA274" i="5"/>
  <c r="I275" i="5"/>
  <c r="J275" i="5"/>
  <c r="M275" i="5"/>
  <c r="O275" i="5"/>
  <c r="P275" i="5"/>
  <c r="Q275" i="5"/>
  <c r="R275" i="5"/>
  <c r="S275" i="5"/>
  <c r="T275" i="5"/>
  <c r="U275" i="5"/>
  <c r="W275" i="5"/>
  <c r="X275" i="5"/>
  <c r="Y275" i="5"/>
  <c r="Z275" i="5"/>
  <c r="AA275" i="5"/>
  <c r="I276" i="5"/>
  <c r="J276" i="5"/>
  <c r="M276" i="5"/>
  <c r="O276" i="5"/>
  <c r="P276" i="5"/>
  <c r="Q276" i="5"/>
  <c r="R276" i="5"/>
  <c r="S276" i="5"/>
  <c r="T276" i="5"/>
  <c r="U276" i="5"/>
  <c r="W276" i="5"/>
  <c r="X276" i="5"/>
  <c r="Y276" i="5"/>
  <c r="Z276" i="5"/>
  <c r="AA276" i="5"/>
  <c r="I277" i="5"/>
  <c r="J277" i="5"/>
  <c r="M277" i="5"/>
  <c r="O277" i="5"/>
  <c r="P277" i="5"/>
  <c r="Q277" i="5"/>
  <c r="R277" i="5"/>
  <c r="S277" i="5"/>
  <c r="T277" i="5"/>
  <c r="U277" i="5"/>
  <c r="W277" i="5"/>
  <c r="X277" i="5"/>
  <c r="Y277" i="5"/>
  <c r="Z277" i="5"/>
  <c r="AA277" i="5"/>
  <c r="I278" i="5"/>
  <c r="J278" i="5"/>
  <c r="M278" i="5"/>
  <c r="O278" i="5"/>
  <c r="P278" i="5"/>
  <c r="Q278" i="5"/>
  <c r="R278" i="5"/>
  <c r="S278" i="5"/>
  <c r="T278" i="5"/>
  <c r="U278" i="5"/>
  <c r="W278" i="5"/>
  <c r="X278" i="5"/>
  <c r="Y278" i="5"/>
  <c r="Z278" i="5"/>
  <c r="AA278" i="5"/>
  <c r="I279" i="5"/>
  <c r="J279" i="5"/>
  <c r="M279" i="5"/>
  <c r="O279" i="5"/>
  <c r="P279" i="5"/>
  <c r="Q279" i="5"/>
  <c r="R279" i="5"/>
  <c r="S279" i="5"/>
  <c r="T279" i="5"/>
  <c r="U279" i="5"/>
  <c r="W279" i="5"/>
  <c r="X279" i="5"/>
  <c r="Y279" i="5"/>
  <c r="Z279" i="5"/>
  <c r="AA279" i="5"/>
  <c r="I280" i="5"/>
  <c r="J280" i="5"/>
  <c r="M280" i="5"/>
  <c r="O280" i="5"/>
  <c r="P280" i="5"/>
  <c r="Q280" i="5"/>
  <c r="R280" i="5"/>
  <c r="S280" i="5"/>
  <c r="T280" i="5"/>
  <c r="U280" i="5"/>
  <c r="W280" i="5"/>
  <c r="X280" i="5"/>
  <c r="Y280" i="5"/>
  <c r="Z280" i="5"/>
  <c r="AA280" i="5"/>
  <c r="I281" i="5"/>
  <c r="J281" i="5"/>
  <c r="M281" i="5"/>
  <c r="O281" i="5"/>
  <c r="P281" i="5"/>
  <c r="Q281" i="5"/>
  <c r="R281" i="5"/>
  <c r="S281" i="5"/>
  <c r="T281" i="5"/>
  <c r="U281" i="5"/>
  <c r="W281" i="5"/>
  <c r="X281" i="5"/>
  <c r="Y281" i="5"/>
  <c r="Z281" i="5"/>
  <c r="AA281" i="5"/>
  <c r="I282" i="5"/>
  <c r="J282" i="5"/>
  <c r="M282" i="5"/>
  <c r="O282" i="5"/>
  <c r="P282" i="5"/>
  <c r="Q282" i="5"/>
  <c r="R282" i="5"/>
  <c r="S282" i="5"/>
  <c r="T282" i="5"/>
  <c r="U282" i="5"/>
  <c r="W282" i="5"/>
  <c r="X282" i="5"/>
  <c r="Y282" i="5"/>
  <c r="Z282" i="5"/>
  <c r="AA282" i="5"/>
  <c r="I283" i="5"/>
  <c r="J283" i="5"/>
  <c r="M283" i="5"/>
  <c r="O283" i="5"/>
  <c r="P283" i="5"/>
  <c r="Q283" i="5"/>
  <c r="R283" i="5"/>
  <c r="S283" i="5"/>
  <c r="T283" i="5"/>
  <c r="U283" i="5"/>
  <c r="W283" i="5"/>
  <c r="X283" i="5"/>
  <c r="Y283" i="5"/>
  <c r="Z283" i="5"/>
  <c r="AA283" i="5"/>
  <c r="I284" i="5"/>
  <c r="J284" i="5"/>
  <c r="M284" i="5"/>
  <c r="O284" i="5"/>
  <c r="P284" i="5"/>
  <c r="Q284" i="5"/>
  <c r="R284" i="5"/>
  <c r="S284" i="5"/>
  <c r="T284" i="5"/>
  <c r="U284" i="5"/>
  <c r="W284" i="5"/>
  <c r="X284" i="5"/>
  <c r="Y284" i="5"/>
  <c r="Z284" i="5"/>
  <c r="AA284" i="5"/>
  <c r="I285" i="5"/>
  <c r="J285" i="5"/>
  <c r="M285" i="5"/>
  <c r="O285" i="5"/>
  <c r="P285" i="5"/>
  <c r="Q285" i="5"/>
  <c r="R285" i="5"/>
  <c r="S285" i="5"/>
  <c r="T285" i="5"/>
  <c r="U285" i="5"/>
  <c r="W285" i="5"/>
  <c r="X285" i="5"/>
  <c r="Y285" i="5"/>
  <c r="Z285" i="5"/>
  <c r="AA285" i="5"/>
  <c r="I286" i="5"/>
  <c r="J286" i="5"/>
  <c r="M286" i="5"/>
  <c r="O286" i="5"/>
  <c r="P286" i="5"/>
  <c r="Q286" i="5"/>
  <c r="R286" i="5"/>
  <c r="S286" i="5"/>
  <c r="T286" i="5"/>
  <c r="U286" i="5"/>
  <c r="W286" i="5"/>
  <c r="X286" i="5"/>
  <c r="Y286" i="5"/>
  <c r="Z286" i="5"/>
  <c r="AA286" i="5"/>
  <c r="I287" i="5"/>
  <c r="J287" i="5"/>
  <c r="M287" i="5"/>
  <c r="O287" i="5"/>
  <c r="P287" i="5"/>
  <c r="Q287" i="5"/>
  <c r="R287" i="5"/>
  <c r="S287" i="5"/>
  <c r="T287" i="5"/>
  <c r="U287" i="5"/>
  <c r="W287" i="5"/>
  <c r="X287" i="5"/>
  <c r="Y287" i="5"/>
  <c r="Z287" i="5"/>
  <c r="AA287" i="5"/>
  <c r="I288" i="5"/>
  <c r="J288" i="5"/>
  <c r="M288" i="5"/>
  <c r="O288" i="5"/>
  <c r="P288" i="5"/>
  <c r="Q288" i="5"/>
  <c r="R288" i="5"/>
  <c r="S288" i="5"/>
  <c r="T288" i="5"/>
  <c r="U288" i="5"/>
  <c r="W288" i="5"/>
  <c r="X288" i="5"/>
  <c r="Y288" i="5"/>
  <c r="Z288" i="5"/>
  <c r="AA288" i="5"/>
  <c r="I289" i="5"/>
  <c r="J289" i="5"/>
  <c r="M289" i="5"/>
  <c r="O289" i="5"/>
  <c r="P289" i="5"/>
  <c r="Q289" i="5"/>
  <c r="R289" i="5"/>
  <c r="S289" i="5"/>
  <c r="T289" i="5"/>
  <c r="U289" i="5"/>
  <c r="W289" i="5"/>
  <c r="X289" i="5"/>
  <c r="Y289" i="5"/>
  <c r="Z289" i="5"/>
  <c r="AA289" i="5"/>
  <c r="I290" i="5"/>
  <c r="J290" i="5"/>
  <c r="M290" i="5"/>
  <c r="O290" i="5"/>
  <c r="P290" i="5"/>
  <c r="Q290" i="5"/>
  <c r="R290" i="5"/>
  <c r="S290" i="5"/>
  <c r="T290" i="5"/>
  <c r="U290" i="5"/>
  <c r="W290" i="5"/>
  <c r="X290" i="5"/>
  <c r="Y290" i="5"/>
  <c r="Z290" i="5"/>
  <c r="AA290" i="5"/>
  <c r="I291" i="5"/>
  <c r="J291" i="5"/>
  <c r="M291" i="5"/>
  <c r="O291" i="5"/>
  <c r="P291" i="5"/>
  <c r="Q291" i="5"/>
  <c r="R291" i="5"/>
  <c r="S291" i="5"/>
  <c r="T291" i="5"/>
  <c r="U291" i="5"/>
  <c r="W291" i="5"/>
  <c r="X291" i="5"/>
  <c r="Y291" i="5"/>
  <c r="Z291" i="5"/>
  <c r="AA291" i="5"/>
  <c r="I292" i="5"/>
  <c r="J292" i="5"/>
  <c r="M292" i="5"/>
  <c r="O292" i="5"/>
  <c r="P292" i="5"/>
  <c r="Q292" i="5"/>
  <c r="R292" i="5"/>
  <c r="S292" i="5"/>
  <c r="T292" i="5"/>
  <c r="U292" i="5"/>
  <c r="W292" i="5"/>
  <c r="X292" i="5"/>
  <c r="Y292" i="5"/>
  <c r="Z292" i="5"/>
  <c r="AA292" i="5"/>
  <c r="I293" i="5"/>
  <c r="J293" i="5"/>
  <c r="M293" i="5"/>
  <c r="O293" i="5"/>
  <c r="P293" i="5"/>
  <c r="Q293" i="5"/>
  <c r="R293" i="5"/>
  <c r="S293" i="5"/>
  <c r="T293" i="5"/>
  <c r="U293" i="5"/>
  <c r="W293" i="5"/>
  <c r="X293" i="5"/>
  <c r="Y293" i="5"/>
  <c r="Z293" i="5"/>
  <c r="AA293" i="5"/>
  <c r="I294" i="5"/>
  <c r="J294" i="5"/>
  <c r="M294" i="5"/>
  <c r="O294" i="5"/>
  <c r="P294" i="5"/>
  <c r="Q294" i="5"/>
  <c r="R294" i="5"/>
  <c r="S294" i="5"/>
  <c r="T294" i="5"/>
  <c r="U294" i="5"/>
  <c r="W294" i="5"/>
  <c r="X294" i="5"/>
  <c r="Y294" i="5"/>
  <c r="Z294" i="5"/>
  <c r="AA294" i="5"/>
  <c r="I295" i="5"/>
  <c r="J295" i="5"/>
  <c r="M295" i="5"/>
  <c r="O295" i="5"/>
  <c r="P295" i="5"/>
  <c r="Q295" i="5"/>
  <c r="R295" i="5"/>
  <c r="S295" i="5"/>
  <c r="T295" i="5"/>
  <c r="U295" i="5"/>
  <c r="W295" i="5"/>
  <c r="X295" i="5"/>
  <c r="Y295" i="5"/>
  <c r="Z295" i="5"/>
  <c r="AA295" i="5"/>
  <c r="I296" i="5"/>
  <c r="J296" i="5"/>
  <c r="M296" i="5"/>
  <c r="O296" i="5"/>
  <c r="P296" i="5"/>
  <c r="Q296" i="5"/>
  <c r="R296" i="5"/>
  <c r="S296" i="5"/>
  <c r="T296" i="5"/>
  <c r="U296" i="5"/>
  <c r="W296" i="5"/>
  <c r="X296" i="5"/>
  <c r="Y296" i="5"/>
  <c r="Z296" i="5"/>
  <c r="AA296" i="5"/>
  <c r="I297" i="5"/>
  <c r="J297" i="5"/>
  <c r="M297" i="5"/>
  <c r="O297" i="5"/>
  <c r="P297" i="5"/>
  <c r="Q297" i="5"/>
  <c r="R297" i="5"/>
  <c r="S297" i="5"/>
  <c r="T297" i="5"/>
  <c r="U297" i="5"/>
  <c r="W297" i="5"/>
  <c r="X297" i="5"/>
  <c r="Y297" i="5"/>
  <c r="Z297" i="5"/>
  <c r="AA297" i="5"/>
  <c r="I298" i="5"/>
  <c r="J298" i="5"/>
  <c r="M298" i="5"/>
  <c r="O298" i="5"/>
  <c r="P298" i="5"/>
  <c r="Q298" i="5"/>
  <c r="R298" i="5"/>
  <c r="S298" i="5"/>
  <c r="T298" i="5"/>
  <c r="U298" i="5"/>
  <c r="W298" i="5"/>
  <c r="X298" i="5"/>
  <c r="Y298" i="5"/>
  <c r="Z298" i="5"/>
  <c r="AA298" i="5"/>
  <c r="I299" i="5"/>
  <c r="J299" i="5"/>
  <c r="M299" i="5"/>
  <c r="O299" i="5"/>
  <c r="P299" i="5"/>
  <c r="Q299" i="5"/>
  <c r="R299" i="5"/>
  <c r="S299" i="5"/>
  <c r="T299" i="5"/>
  <c r="U299" i="5"/>
  <c r="W299" i="5"/>
  <c r="X299" i="5"/>
  <c r="Y299" i="5"/>
  <c r="Z299" i="5"/>
  <c r="AA299" i="5"/>
  <c r="I300" i="5"/>
  <c r="J300" i="5"/>
  <c r="M300" i="5"/>
  <c r="O300" i="5"/>
  <c r="P300" i="5"/>
  <c r="Q300" i="5"/>
  <c r="R300" i="5"/>
  <c r="S300" i="5"/>
  <c r="T300" i="5"/>
  <c r="U300" i="5"/>
  <c r="W300" i="5"/>
  <c r="X300" i="5"/>
  <c r="Y300" i="5"/>
  <c r="Z300" i="5"/>
  <c r="AA300" i="5"/>
  <c r="I301" i="5"/>
  <c r="J301" i="5"/>
  <c r="M301" i="5"/>
  <c r="O301" i="5"/>
  <c r="P301" i="5"/>
  <c r="Q301" i="5"/>
  <c r="R301" i="5"/>
  <c r="S301" i="5"/>
  <c r="T301" i="5"/>
  <c r="U301" i="5"/>
  <c r="W301" i="5"/>
  <c r="X301" i="5"/>
  <c r="Y301" i="5"/>
  <c r="Z301" i="5"/>
  <c r="AA301" i="5"/>
  <c r="I302" i="5"/>
  <c r="J302" i="5"/>
  <c r="M302" i="5"/>
  <c r="O302" i="5"/>
  <c r="P302" i="5"/>
  <c r="Q302" i="5"/>
  <c r="R302" i="5"/>
  <c r="S302" i="5"/>
  <c r="T302" i="5"/>
  <c r="U302" i="5"/>
  <c r="W302" i="5"/>
  <c r="X302" i="5"/>
  <c r="Y302" i="5"/>
  <c r="Z302" i="5"/>
  <c r="AA302" i="5"/>
  <c r="I303" i="5"/>
  <c r="J303" i="5"/>
  <c r="M303" i="5"/>
  <c r="O303" i="5"/>
  <c r="P303" i="5"/>
  <c r="Q303" i="5"/>
  <c r="R303" i="5"/>
  <c r="S303" i="5"/>
  <c r="T303" i="5"/>
  <c r="U303" i="5"/>
  <c r="W303" i="5"/>
  <c r="X303" i="5"/>
  <c r="Y303" i="5"/>
  <c r="Z303" i="5"/>
  <c r="AA303" i="5"/>
  <c r="I304" i="5"/>
  <c r="J304" i="5"/>
  <c r="M304" i="5"/>
  <c r="O304" i="5"/>
  <c r="P304" i="5"/>
  <c r="Q304" i="5"/>
  <c r="R304" i="5"/>
  <c r="S304" i="5"/>
  <c r="T304" i="5"/>
  <c r="U304" i="5"/>
  <c r="W304" i="5"/>
  <c r="X304" i="5"/>
  <c r="Y304" i="5"/>
  <c r="Z304" i="5"/>
  <c r="AA304" i="5"/>
  <c r="I305" i="5"/>
  <c r="J305" i="5"/>
  <c r="M305" i="5"/>
  <c r="O305" i="5"/>
  <c r="P305" i="5"/>
  <c r="Q305" i="5"/>
  <c r="R305" i="5"/>
  <c r="S305" i="5"/>
  <c r="T305" i="5"/>
  <c r="U305" i="5"/>
  <c r="W305" i="5"/>
  <c r="X305" i="5"/>
  <c r="Y305" i="5"/>
  <c r="Z305" i="5"/>
  <c r="AA305" i="5"/>
  <c r="I306" i="5"/>
  <c r="J306" i="5"/>
  <c r="M306" i="5"/>
  <c r="O306" i="5"/>
  <c r="P306" i="5"/>
  <c r="Q306" i="5"/>
  <c r="R306" i="5"/>
  <c r="S306" i="5"/>
  <c r="T306" i="5"/>
  <c r="U306" i="5"/>
  <c r="W306" i="5"/>
  <c r="X306" i="5"/>
  <c r="Y306" i="5"/>
  <c r="Z306" i="5"/>
  <c r="AA306" i="5"/>
  <c r="I307" i="5"/>
  <c r="J307" i="5"/>
  <c r="M307" i="5"/>
  <c r="O307" i="5"/>
  <c r="P307" i="5"/>
  <c r="Q307" i="5"/>
  <c r="R307" i="5"/>
  <c r="S307" i="5"/>
  <c r="T307" i="5"/>
  <c r="U307" i="5"/>
  <c r="W307" i="5"/>
  <c r="X307" i="5"/>
  <c r="Y307" i="5"/>
  <c r="Z307" i="5"/>
  <c r="AA307" i="5"/>
  <c r="I308" i="5"/>
  <c r="J308" i="5"/>
  <c r="M308" i="5"/>
  <c r="O308" i="5"/>
  <c r="P308" i="5"/>
  <c r="Q308" i="5"/>
  <c r="R308" i="5"/>
  <c r="S308" i="5"/>
  <c r="T308" i="5"/>
  <c r="U308" i="5"/>
  <c r="W308" i="5"/>
  <c r="X308" i="5"/>
  <c r="Y308" i="5"/>
  <c r="Z308" i="5"/>
  <c r="AA308" i="5"/>
  <c r="I309" i="5"/>
  <c r="J309" i="5"/>
  <c r="M309" i="5"/>
  <c r="O309" i="5"/>
  <c r="P309" i="5"/>
  <c r="Q309" i="5"/>
  <c r="R309" i="5"/>
  <c r="S309" i="5"/>
  <c r="T309" i="5"/>
  <c r="U309" i="5"/>
  <c r="W309" i="5"/>
  <c r="X309" i="5"/>
  <c r="Y309" i="5"/>
  <c r="Z309" i="5"/>
  <c r="AA309" i="5"/>
  <c r="I310" i="5"/>
  <c r="J310" i="5"/>
  <c r="M310" i="5"/>
  <c r="O310" i="5"/>
  <c r="P310" i="5"/>
  <c r="Q310" i="5"/>
  <c r="R310" i="5"/>
  <c r="S310" i="5"/>
  <c r="T310" i="5"/>
  <c r="U310" i="5"/>
  <c r="W310" i="5"/>
  <c r="X310" i="5"/>
  <c r="Y310" i="5"/>
  <c r="Z310" i="5"/>
  <c r="AA310" i="5"/>
  <c r="I311" i="5"/>
  <c r="J311" i="5"/>
  <c r="M311" i="5"/>
  <c r="O311" i="5"/>
  <c r="P311" i="5"/>
  <c r="Q311" i="5"/>
  <c r="R311" i="5"/>
  <c r="S311" i="5"/>
  <c r="T311" i="5"/>
  <c r="U311" i="5"/>
  <c r="W311" i="5"/>
  <c r="X311" i="5"/>
  <c r="Y311" i="5"/>
  <c r="Z311" i="5"/>
  <c r="AA311" i="5"/>
  <c r="I312" i="5"/>
  <c r="J312" i="5"/>
  <c r="M312" i="5"/>
  <c r="O312" i="5"/>
  <c r="P312" i="5"/>
  <c r="Q312" i="5"/>
  <c r="R312" i="5"/>
  <c r="S312" i="5"/>
  <c r="T312" i="5"/>
  <c r="U312" i="5"/>
  <c r="W312" i="5"/>
  <c r="X312" i="5"/>
  <c r="Y312" i="5"/>
  <c r="Z312" i="5"/>
  <c r="AA312" i="5"/>
  <c r="I313" i="5"/>
  <c r="J313" i="5"/>
  <c r="M313" i="5"/>
  <c r="O313" i="5"/>
  <c r="P313" i="5"/>
  <c r="Q313" i="5"/>
  <c r="R313" i="5"/>
  <c r="S313" i="5"/>
  <c r="T313" i="5"/>
  <c r="U313" i="5"/>
  <c r="W313" i="5"/>
  <c r="X313" i="5"/>
  <c r="Y313" i="5"/>
  <c r="Z313" i="5"/>
  <c r="AA313" i="5"/>
  <c r="I314" i="5"/>
  <c r="J314" i="5"/>
  <c r="M314" i="5"/>
  <c r="O314" i="5"/>
  <c r="P314" i="5"/>
  <c r="Q314" i="5"/>
  <c r="R314" i="5"/>
  <c r="S314" i="5"/>
  <c r="T314" i="5"/>
  <c r="U314" i="5"/>
  <c r="W314" i="5"/>
  <c r="X314" i="5"/>
  <c r="Y314" i="5"/>
  <c r="Z314" i="5"/>
  <c r="AA314" i="5"/>
  <c r="I315" i="5"/>
  <c r="J315" i="5"/>
  <c r="M315" i="5"/>
  <c r="O315" i="5"/>
  <c r="P315" i="5"/>
  <c r="Q315" i="5"/>
  <c r="R315" i="5"/>
  <c r="S315" i="5"/>
  <c r="T315" i="5"/>
  <c r="U315" i="5"/>
  <c r="W315" i="5"/>
  <c r="X315" i="5"/>
  <c r="Y315" i="5"/>
  <c r="Z315" i="5"/>
  <c r="AA315" i="5"/>
  <c r="I316" i="5"/>
  <c r="J316" i="5"/>
  <c r="M316" i="5"/>
  <c r="O316" i="5"/>
  <c r="P316" i="5"/>
  <c r="Q316" i="5"/>
  <c r="R316" i="5"/>
  <c r="S316" i="5"/>
  <c r="T316" i="5"/>
  <c r="U316" i="5"/>
  <c r="W316" i="5"/>
  <c r="X316" i="5"/>
  <c r="Y316" i="5"/>
  <c r="Z316" i="5"/>
  <c r="AA316" i="5"/>
  <c r="I317" i="5"/>
  <c r="J317" i="5"/>
  <c r="M317" i="5"/>
  <c r="O317" i="5"/>
  <c r="P317" i="5"/>
  <c r="Q317" i="5"/>
  <c r="R317" i="5"/>
  <c r="S317" i="5"/>
  <c r="T317" i="5"/>
  <c r="U317" i="5"/>
  <c r="W317" i="5"/>
  <c r="X317" i="5"/>
  <c r="Y317" i="5"/>
  <c r="Z317" i="5"/>
  <c r="AA317" i="5"/>
  <c r="I318" i="5"/>
  <c r="J318" i="5"/>
  <c r="M318" i="5"/>
  <c r="O318" i="5"/>
  <c r="P318" i="5"/>
  <c r="Q318" i="5"/>
  <c r="R318" i="5"/>
  <c r="S318" i="5"/>
  <c r="T318" i="5"/>
  <c r="U318" i="5"/>
  <c r="W318" i="5"/>
  <c r="X318" i="5"/>
  <c r="Y318" i="5"/>
  <c r="Z318" i="5"/>
  <c r="AA318" i="5"/>
  <c r="I319" i="5"/>
  <c r="J319" i="5"/>
  <c r="M319" i="5"/>
  <c r="O319" i="5"/>
  <c r="P319" i="5"/>
  <c r="Q319" i="5"/>
  <c r="R319" i="5"/>
  <c r="S319" i="5"/>
  <c r="T319" i="5"/>
  <c r="U319" i="5"/>
  <c r="W319" i="5"/>
  <c r="X319" i="5"/>
  <c r="Y319" i="5"/>
  <c r="Z319" i="5"/>
  <c r="AA319" i="5"/>
  <c r="I320" i="5"/>
  <c r="J320" i="5"/>
  <c r="M320" i="5"/>
  <c r="O320" i="5"/>
  <c r="P320" i="5"/>
  <c r="Q320" i="5"/>
  <c r="R320" i="5"/>
  <c r="S320" i="5"/>
  <c r="T320" i="5"/>
  <c r="U320" i="5"/>
  <c r="W320" i="5"/>
  <c r="X320" i="5"/>
  <c r="Y320" i="5"/>
  <c r="Z320" i="5"/>
  <c r="AA320" i="5"/>
  <c r="I321" i="5"/>
  <c r="J321" i="5"/>
  <c r="M321" i="5"/>
  <c r="O321" i="5"/>
  <c r="P321" i="5"/>
  <c r="Q321" i="5"/>
  <c r="R321" i="5"/>
  <c r="S321" i="5"/>
  <c r="T321" i="5"/>
  <c r="U321" i="5"/>
  <c r="W321" i="5"/>
  <c r="X321" i="5"/>
  <c r="Y321" i="5"/>
  <c r="Z321" i="5"/>
  <c r="AA321" i="5"/>
  <c r="I322" i="5"/>
  <c r="J322" i="5"/>
  <c r="M322" i="5"/>
  <c r="O322" i="5"/>
  <c r="P322" i="5"/>
  <c r="Q322" i="5"/>
  <c r="R322" i="5"/>
  <c r="S322" i="5"/>
  <c r="T322" i="5"/>
  <c r="U322" i="5"/>
  <c r="W322" i="5"/>
  <c r="X322" i="5"/>
  <c r="Y322" i="5"/>
  <c r="Z322" i="5"/>
  <c r="AA322" i="5"/>
  <c r="I323" i="5"/>
  <c r="J323" i="5"/>
  <c r="M323" i="5"/>
  <c r="O323" i="5"/>
  <c r="P323" i="5"/>
  <c r="Q323" i="5"/>
  <c r="R323" i="5"/>
  <c r="S323" i="5"/>
  <c r="T323" i="5"/>
  <c r="U323" i="5"/>
  <c r="W323" i="5"/>
  <c r="X323" i="5"/>
  <c r="Y323" i="5"/>
  <c r="Z323" i="5"/>
  <c r="AA323" i="5"/>
  <c r="I324" i="5"/>
  <c r="J324" i="5"/>
  <c r="M324" i="5"/>
  <c r="O324" i="5"/>
  <c r="P324" i="5"/>
  <c r="Q324" i="5"/>
  <c r="R324" i="5"/>
  <c r="S324" i="5"/>
  <c r="T324" i="5"/>
  <c r="U324" i="5"/>
  <c r="W324" i="5"/>
  <c r="X324" i="5"/>
  <c r="Y324" i="5"/>
  <c r="Z324" i="5"/>
  <c r="AA324" i="5"/>
  <c r="I325" i="5"/>
  <c r="J325" i="5"/>
  <c r="M325" i="5"/>
  <c r="O325" i="5"/>
  <c r="P325" i="5"/>
  <c r="Q325" i="5"/>
  <c r="R325" i="5"/>
  <c r="S325" i="5"/>
  <c r="T325" i="5"/>
  <c r="U325" i="5"/>
  <c r="W325" i="5"/>
  <c r="X325" i="5"/>
  <c r="Y325" i="5"/>
  <c r="Z325" i="5"/>
  <c r="AA325" i="5"/>
  <c r="I326" i="5"/>
  <c r="J326" i="5"/>
  <c r="M326" i="5"/>
  <c r="O326" i="5"/>
  <c r="P326" i="5"/>
  <c r="Q326" i="5"/>
  <c r="R326" i="5"/>
  <c r="S326" i="5"/>
  <c r="T326" i="5"/>
  <c r="U326" i="5"/>
  <c r="W326" i="5"/>
  <c r="X326" i="5"/>
  <c r="Y326" i="5"/>
  <c r="Z326" i="5"/>
  <c r="AA326" i="5"/>
  <c r="I327" i="5"/>
  <c r="J327" i="5"/>
  <c r="M327" i="5"/>
  <c r="O327" i="5"/>
  <c r="P327" i="5"/>
  <c r="Q327" i="5"/>
  <c r="R327" i="5"/>
  <c r="S327" i="5"/>
  <c r="T327" i="5"/>
  <c r="U327" i="5"/>
  <c r="W327" i="5"/>
  <c r="X327" i="5"/>
  <c r="Y327" i="5"/>
  <c r="Z327" i="5"/>
  <c r="AA327" i="5"/>
  <c r="I328" i="5"/>
  <c r="J328" i="5"/>
  <c r="M328" i="5"/>
  <c r="O328" i="5"/>
  <c r="P328" i="5"/>
  <c r="Q328" i="5"/>
  <c r="R328" i="5"/>
  <c r="S328" i="5"/>
  <c r="T328" i="5"/>
  <c r="U328" i="5"/>
  <c r="W328" i="5"/>
  <c r="X328" i="5"/>
  <c r="Y328" i="5"/>
  <c r="Z328" i="5"/>
  <c r="AA328" i="5"/>
  <c r="I329" i="5"/>
  <c r="J329" i="5"/>
  <c r="M329" i="5"/>
  <c r="O329" i="5"/>
  <c r="P329" i="5"/>
  <c r="Q329" i="5"/>
  <c r="R329" i="5"/>
  <c r="S329" i="5"/>
  <c r="T329" i="5"/>
  <c r="U329" i="5"/>
  <c r="W329" i="5"/>
  <c r="X329" i="5"/>
  <c r="Y329" i="5"/>
  <c r="Z329" i="5"/>
  <c r="AA329" i="5"/>
  <c r="I330" i="5"/>
  <c r="J330" i="5"/>
  <c r="M330" i="5"/>
  <c r="O330" i="5"/>
  <c r="P330" i="5"/>
  <c r="Q330" i="5"/>
  <c r="R330" i="5"/>
  <c r="S330" i="5"/>
  <c r="T330" i="5"/>
  <c r="U330" i="5"/>
  <c r="W330" i="5"/>
  <c r="X330" i="5"/>
  <c r="Y330" i="5"/>
  <c r="Z330" i="5"/>
  <c r="AA330" i="5"/>
  <c r="I331" i="5"/>
  <c r="J331" i="5"/>
  <c r="M331" i="5"/>
  <c r="O331" i="5"/>
  <c r="P331" i="5"/>
  <c r="Q331" i="5"/>
  <c r="R331" i="5"/>
  <c r="S331" i="5"/>
  <c r="T331" i="5"/>
  <c r="U331" i="5"/>
  <c r="W331" i="5"/>
  <c r="X331" i="5"/>
  <c r="Y331" i="5"/>
  <c r="Z331" i="5"/>
  <c r="AA331" i="5"/>
  <c r="I332" i="5"/>
  <c r="J332" i="5"/>
  <c r="M332" i="5"/>
  <c r="O332" i="5"/>
  <c r="P332" i="5"/>
  <c r="Q332" i="5"/>
  <c r="R332" i="5"/>
  <c r="S332" i="5"/>
  <c r="T332" i="5"/>
  <c r="U332" i="5"/>
  <c r="W332" i="5"/>
  <c r="X332" i="5"/>
  <c r="Y332" i="5"/>
  <c r="Z332" i="5"/>
  <c r="AA332" i="5"/>
  <c r="I333" i="5"/>
  <c r="J333" i="5"/>
  <c r="M333" i="5"/>
  <c r="O333" i="5"/>
  <c r="P333" i="5"/>
  <c r="Q333" i="5"/>
  <c r="R333" i="5"/>
  <c r="S333" i="5"/>
  <c r="T333" i="5"/>
  <c r="U333" i="5"/>
  <c r="W333" i="5"/>
  <c r="X333" i="5"/>
  <c r="Y333" i="5"/>
  <c r="Z333" i="5"/>
  <c r="AA333" i="5"/>
  <c r="I334" i="5"/>
  <c r="J334" i="5"/>
  <c r="M334" i="5"/>
  <c r="O334" i="5"/>
  <c r="P334" i="5"/>
  <c r="Q334" i="5"/>
  <c r="R334" i="5"/>
  <c r="S334" i="5"/>
  <c r="T334" i="5"/>
  <c r="U334" i="5"/>
  <c r="W334" i="5"/>
  <c r="X334" i="5"/>
  <c r="Y334" i="5"/>
  <c r="Z334" i="5"/>
  <c r="AA334" i="5"/>
  <c r="I335" i="5"/>
  <c r="J335" i="5"/>
  <c r="M335" i="5"/>
  <c r="O335" i="5"/>
  <c r="P335" i="5"/>
  <c r="Q335" i="5"/>
  <c r="R335" i="5"/>
  <c r="S335" i="5"/>
  <c r="T335" i="5"/>
  <c r="U335" i="5"/>
  <c r="W335" i="5"/>
  <c r="X335" i="5"/>
  <c r="Y335" i="5"/>
  <c r="Z335" i="5"/>
  <c r="AA335" i="5"/>
  <c r="I336" i="5"/>
  <c r="J336" i="5"/>
  <c r="M336" i="5"/>
  <c r="O336" i="5"/>
  <c r="P336" i="5"/>
  <c r="Q336" i="5"/>
  <c r="R336" i="5"/>
  <c r="S336" i="5"/>
  <c r="T336" i="5"/>
  <c r="U336" i="5"/>
  <c r="W336" i="5"/>
  <c r="X336" i="5"/>
  <c r="Y336" i="5"/>
  <c r="Z336" i="5"/>
  <c r="AA336" i="5"/>
  <c r="I337" i="5"/>
  <c r="J337" i="5"/>
  <c r="M337" i="5"/>
  <c r="O337" i="5"/>
  <c r="P337" i="5"/>
  <c r="Q337" i="5"/>
  <c r="R337" i="5"/>
  <c r="S337" i="5"/>
  <c r="T337" i="5"/>
  <c r="U337" i="5"/>
  <c r="W337" i="5"/>
  <c r="X337" i="5"/>
  <c r="Y337" i="5"/>
  <c r="Z337" i="5"/>
  <c r="AA337" i="5"/>
  <c r="I338" i="5"/>
  <c r="J338" i="5"/>
  <c r="M338" i="5"/>
  <c r="O338" i="5"/>
  <c r="P338" i="5"/>
  <c r="Q338" i="5"/>
  <c r="R338" i="5"/>
  <c r="S338" i="5"/>
  <c r="T338" i="5"/>
  <c r="U338" i="5"/>
  <c r="W338" i="5"/>
  <c r="X338" i="5"/>
  <c r="Y338" i="5"/>
  <c r="Z338" i="5"/>
  <c r="AA338" i="5"/>
  <c r="I339" i="5"/>
  <c r="J339" i="5"/>
  <c r="M339" i="5"/>
  <c r="O339" i="5"/>
  <c r="P339" i="5"/>
  <c r="Q339" i="5"/>
  <c r="R339" i="5"/>
  <c r="S339" i="5"/>
  <c r="T339" i="5"/>
  <c r="U339" i="5"/>
  <c r="W339" i="5"/>
  <c r="X339" i="5"/>
  <c r="Y339" i="5"/>
  <c r="Z339" i="5"/>
  <c r="AA339" i="5"/>
  <c r="I340" i="5"/>
  <c r="J340" i="5"/>
  <c r="M340" i="5"/>
  <c r="O340" i="5"/>
  <c r="P340" i="5"/>
  <c r="Q340" i="5"/>
  <c r="R340" i="5"/>
  <c r="S340" i="5"/>
  <c r="T340" i="5"/>
  <c r="U340" i="5"/>
  <c r="W340" i="5"/>
  <c r="X340" i="5"/>
  <c r="Y340" i="5"/>
  <c r="Z340" i="5"/>
  <c r="AA340" i="5"/>
  <c r="I341" i="5"/>
  <c r="J341" i="5"/>
  <c r="M341" i="5"/>
  <c r="O341" i="5"/>
  <c r="P341" i="5"/>
  <c r="Q341" i="5"/>
  <c r="R341" i="5"/>
  <c r="S341" i="5"/>
  <c r="T341" i="5"/>
  <c r="U341" i="5"/>
  <c r="W341" i="5"/>
  <c r="X341" i="5"/>
  <c r="Y341" i="5"/>
  <c r="Z341" i="5"/>
  <c r="AA341" i="5"/>
  <c r="I342" i="5"/>
  <c r="J342" i="5"/>
  <c r="M342" i="5"/>
  <c r="O342" i="5"/>
  <c r="P342" i="5"/>
  <c r="Q342" i="5"/>
  <c r="R342" i="5"/>
  <c r="S342" i="5"/>
  <c r="T342" i="5"/>
  <c r="U342" i="5"/>
  <c r="W342" i="5"/>
  <c r="X342" i="5"/>
  <c r="Y342" i="5"/>
  <c r="Z342" i="5"/>
  <c r="AA342" i="5"/>
  <c r="I343" i="5"/>
  <c r="J343" i="5"/>
  <c r="M343" i="5"/>
  <c r="O343" i="5"/>
  <c r="P343" i="5"/>
  <c r="Q343" i="5"/>
  <c r="R343" i="5"/>
  <c r="S343" i="5"/>
  <c r="T343" i="5"/>
  <c r="U343" i="5"/>
  <c r="W343" i="5"/>
  <c r="X343" i="5"/>
  <c r="Y343" i="5"/>
  <c r="Z343" i="5"/>
  <c r="AA343" i="5"/>
  <c r="I344" i="5"/>
  <c r="J344" i="5"/>
  <c r="M344" i="5"/>
  <c r="O344" i="5"/>
  <c r="P344" i="5"/>
  <c r="Q344" i="5"/>
  <c r="R344" i="5"/>
  <c r="S344" i="5"/>
  <c r="T344" i="5"/>
  <c r="U344" i="5"/>
  <c r="W344" i="5"/>
  <c r="X344" i="5"/>
  <c r="Y344" i="5"/>
  <c r="Z344" i="5"/>
  <c r="AA344" i="5"/>
  <c r="I345" i="5"/>
  <c r="J345" i="5"/>
  <c r="M345" i="5"/>
  <c r="O345" i="5"/>
  <c r="P345" i="5"/>
  <c r="Q345" i="5"/>
  <c r="R345" i="5"/>
  <c r="S345" i="5"/>
  <c r="T345" i="5"/>
  <c r="U345" i="5"/>
  <c r="W345" i="5"/>
  <c r="X345" i="5"/>
  <c r="Y345" i="5"/>
  <c r="Z345" i="5"/>
  <c r="AA345" i="5"/>
  <c r="I346" i="5"/>
  <c r="J346" i="5"/>
  <c r="M346" i="5"/>
  <c r="O346" i="5"/>
  <c r="P346" i="5"/>
  <c r="Q346" i="5"/>
  <c r="R346" i="5"/>
  <c r="S346" i="5"/>
  <c r="T346" i="5"/>
  <c r="U346" i="5"/>
  <c r="W346" i="5"/>
  <c r="X346" i="5"/>
  <c r="Y346" i="5"/>
  <c r="Z346" i="5"/>
  <c r="AA346" i="5"/>
  <c r="I347" i="5"/>
  <c r="J347" i="5"/>
  <c r="M347" i="5"/>
  <c r="O347" i="5"/>
  <c r="P347" i="5"/>
  <c r="Q347" i="5"/>
  <c r="R347" i="5"/>
  <c r="S347" i="5"/>
  <c r="T347" i="5"/>
  <c r="U347" i="5"/>
  <c r="W347" i="5"/>
  <c r="X347" i="5"/>
  <c r="Y347" i="5"/>
  <c r="Z347" i="5"/>
  <c r="AA347" i="5"/>
  <c r="I348" i="5"/>
  <c r="J348" i="5"/>
  <c r="M348" i="5"/>
  <c r="O348" i="5"/>
  <c r="P348" i="5"/>
  <c r="Q348" i="5"/>
  <c r="R348" i="5"/>
  <c r="S348" i="5"/>
  <c r="T348" i="5"/>
  <c r="U348" i="5"/>
  <c r="W348" i="5"/>
  <c r="X348" i="5"/>
  <c r="Y348" i="5"/>
  <c r="Z348" i="5"/>
  <c r="AA348" i="5"/>
  <c r="I349" i="5"/>
  <c r="J349" i="5"/>
  <c r="M349" i="5"/>
  <c r="O349" i="5"/>
  <c r="P349" i="5"/>
  <c r="Q349" i="5"/>
  <c r="R349" i="5"/>
  <c r="S349" i="5"/>
  <c r="T349" i="5"/>
  <c r="U349" i="5"/>
  <c r="W349" i="5"/>
  <c r="X349" i="5"/>
  <c r="Y349" i="5"/>
  <c r="Z349" i="5"/>
  <c r="AA349" i="5"/>
  <c r="I350" i="5"/>
  <c r="J350" i="5"/>
  <c r="M350" i="5"/>
  <c r="O350" i="5"/>
  <c r="P350" i="5"/>
  <c r="Q350" i="5"/>
  <c r="R350" i="5"/>
  <c r="S350" i="5"/>
  <c r="T350" i="5"/>
  <c r="U350" i="5"/>
  <c r="W350" i="5"/>
  <c r="X350" i="5"/>
  <c r="Y350" i="5"/>
  <c r="Z350" i="5"/>
  <c r="AA350" i="5"/>
  <c r="I351" i="5"/>
  <c r="J351" i="5"/>
  <c r="M351" i="5"/>
  <c r="O351" i="5"/>
  <c r="P351" i="5"/>
  <c r="Q351" i="5"/>
  <c r="R351" i="5"/>
  <c r="S351" i="5"/>
  <c r="T351" i="5"/>
  <c r="U351" i="5"/>
  <c r="W351" i="5"/>
  <c r="X351" i="5"/>
  <c r="Y351" i="5"/>
  <c r="Z351" i="5"/>
  <c r="AA351" i="5"/>
  <c r="I352" i="5"/>
  <c r="J352" i="5"/>
  <c r="M352" i="5"/>
  <c r="O352" i="5"/>
  <c r="P352" i="5"/>
  <c r="Q352" i="5"/>
  <c r="R352" i="5"/>
  <c r="S352" i="5"/>
  <c r="T352" i="5"/>
  <c r="U352" i="5"/>
  <c r="W352" i="5"/>
  <c r="X352" i="5"/>
  <c r="Y352" i="5"/>
  <c r="Z352" i="5"/>
  <c r="AA352" i="5"/>
  <c r="I353" i="5"/>
  <c r="J353" i="5"/>
  <c r="M353" i="5"/>
  <c r="O353" i="5"/>
  <c r="P353" i="5"/>
  <c r="Q353" i="5"/>
  <c r="R353" i="5"/>
  <c r="S353" i="5"/>
  <c r="T353" i="5"/>
  <c r="U353" i="5"/>
  <c r="W353" i="5"/>
  <c r="X353" i="5"/>
  <c r="Y353" i="5"/>
  <c r="Z353" i="5"/>
  <c r="AA353" i="5"/>
  <c r="I354" i="5"/>
  <c r="J354" i="5"/>
  <c r="M354" i="5"/>
  <c r="O354" i="5"/>
  <c r="P354" i="5"/>
  <c r="Q354" i="5"/>
  <c r="R354" i="5"/>
  <c r="S354" i="5"/>
  <c r="T354" i="5"/>
  <c r="U354" i="5"/>
  <c r="W354" i="5"/>
  <c r="X354" i="5"/>
  <c r="Y354" i="5"/>
  <c r="Z354" i="5"/>
  <c r="AA354" i="5"/>
  <c r="I355" i="5"/>
  <c r="J355" i="5"/>
  <c r="M355" i="5"/>
  <c r="O355" i="5"/>
  <c r="P355" i="5"/>
  <c r="Q355" i="5"/>
  <c r="R355" i="5"/>
  <c r="S355" i="5"/>
  <c r="T355" i="5"/>
  <c r="U355" i="5"/>
  <c r="W355" i="5"/>
  <c r="X355" i="5"/>
  <c r="Y355" i="5"/>
  <c r="Z355" i="5"/>
  <c r="AA355" i="5"/>
  <c r="I356" i="5"/>
  <c r="J356" i="5"/>
  <c r="M356" i="5"/>
  <c r="O356" i="5"/>
  <c r="P356" i="5"/>
  <c r="Q356" i="5"/>
  <c r="R356" i="5"/>
  <c r="S356" i="5"/>
  <c r="T356" i="5"/>
  <c r="U356" i="5"/>
  <c r="W356" i="5"/>
  <c r="X356" i="5"/>
  <c r="Y356" i="5"/>
  <c r="Z356" i="5"/>
  <c r="AA356" i="5"/>
  <c r="I357" i="5"/>
  <c r="J357" i="5"/>
  <c r="M357" i="5"/>
  <c r="O357" i="5"/>
  <c r="P357" i="5"/>
  <c r="Q357" i="5"/>
  <c r="R357" i="5"/>
  <c r="S357" i="5"/>
  <c r="T357" i="5"/>
  <c r="U357" i="5"/>
  <c r="W357" i="5"/>
  <c r="X357" i="5"/>
  <c r="Y357" i="5"/>
  <c r="Z357" i="5"/>
  <c r="AA357" i="5"/>
  <c r="I358" i="5"/>
  <c r="J358" i="5"/>
  <c r="M358" i="5"/>
  <c r="O358" i="5"/>
  <c r="P358" i="5"/>
  <c r="Q358" i="5"/>
  <c r="R358" i="5"/>
  <c r="S358" i="5"/>
  <c r="T358" i="5"/>
  <c r="U358" i="5"/>
  <c r="W358" i="5"/>
  <c r="X358" i="5"/>
  <c r="Y358" i="5"/>
  <c r="Z358" i="5"/>
  <c r="AA358" i="5"/>
  <c r="I359" i="5"/>
  <c r="J359" i="5"/>
  <c r="M359" i="5"/>
  <c r="O359" i="5"/>
  <c r="P359" i="5"/>
  <c r="Q359" i="5"/>
  <c r="R359" i="5"/>
  <c r="S359" i="5"/>
  <c r="T359" i="5"/>
  <c r="U359" i="5"/>
  <c r="W359" i="5"/>
  <c r="X359" i="5"/>
  <c r="Y359" i="5"/>
  <c r="Z359" i="5"/>
  <c r="AA359" i="5"/>
  <c r="I360" i="5"/>
  <c r="J360" i="5"/>
  <c r="M360" i="5"/>
  <c r="O360" i="5"/>
  <c r="P360" i="5"/>
  <c r="Q360" i="5"/>
  <c r="R360" i="5"/>
  <c r="S360" i="5"/>
  <c r="T360" i="5"/>
  <c r="U360" i="5"/>
  <c r="W360" i="5"/>
  <c r="X360" i="5"/>
  <c r="Y360" i="5"/>
  <c r="Z360" i="5"/>
  <c r="AA360" i="5"/>
  <c r="I361" i="5"/>
  <c r="J361" i="5"/>
  <c r="M361" i="5"/>
  <c r="O361" i="5"/>
  <c r="P361" i="5"/>
  <c r="Q361" i="5"/>
  <c r="R361" i="5"/>
  <c r="S361" i="5"/>
  <c r="T361" i="5"/>
  <c r="U361" i="5"/>
  <c r="W361" i="5"/>
  <c r="X361" i="5"/>
  <c r="Y361" i="5"/>
  <c r="Z361" i="5"/>
  <c r="AA361" i="5"/>
  <c r="I362" i="5"/>
  <c r="J362" i="5"/>
  <c r="M362" i="5"/>
  <c r="O362" i="5"/>
  <c r="P362" i="5"/>
  <c r="Q362" i="5"/>
  <c r="R362" i="5"/>
  <c r="S362" i="5"/>
  <c r="T362" i="5"/>
  <c r="U362" i="5"/>
  <c r="W362" i="5"/>
  <c r="X362" i="5"/>
  <c r="Y362" i="5"/>
  <c r="Z362" i="5"/>
  <c r="AA362" i="5"/>
  <c r="I363" i="5"/>
  <c r="J363" i="5"/>
  <c r="M363" i="5"/>
  <c r="O363" i="5"/>
  <c r="P363" i="5"/>
  <c r="Q363" i="5"/>
  <c r="R363" i="5"/>
  <c r="S363" i="5"/>
  <c r="T363" i="5"/>
  <c r="U363" i="5"/>
  <c r="W363" i="5"/>
  <c r="X363" i="5"/>
  <c r="Y363" i="5"/>
  <c r="Z363" i="5"/>
  <c r="AA363" i="5"/>
  <c r="I364" i="5"/>
  <c r="J364" i="5"/>
  <c r="M364" i="5"/>
  <c r="O364" i="5"/>
  <c r="P364" i="5"/>
  <c r="Q364" i="5"/>
  <c r="R364" i="5"/>
  <c r="S364" i="5"/>
  <c r="T364" i="5"/>
  <c r="U364" i="5"/>
  <c r="W364" i="5"/>
  <c r="X364" i="5"/>
  <c r="Y364" i="5"/>
  <c r="Z364" i="5"/>
  <c r="AA364" i="5"/>
  <c r="I365" i="5"/>
  <c r="J365" i="5"/>
  <c r="M365" i="5"/>
  <c r="O365" i="5"/>
  <c r="P365" i="5"/>
  <c r="Q365" i="5"/>
  <c r="R365" i="5"/>
  <c r="S365" i="5"/>
  <c r="T365" i="5"/>
  <c r="U365" i="5"/>
  <c r="W365" i="5"/>
  <c r="X365" i="5"/>
  <c r="Y365" i="5"/>
  <c r="Z365" i="5"/>
  <c r="AA365" i="5"/>
  <c r="I366" i="5"/>
  <c r="J366" i="5"/>
  <c r="M366" i="5"/>
  <c r="O366" i="5"/>
  <c r="P366" i="5"/>
  <c r="Q366" i="5"/>
  <c r="R366" i="5"/>
  <c r="S366" i="5"/>
  <c r="T366" i="5"/>
  <c r="U366" i="5"/>
  <c r="W366" i="5"/>
  <c r="X366" i="5"/>
  <c r="Y366" i="5"/>
  <c r="Z366" i="5"/>
  <c r="AA366" i="5"/>
  <c r="I367" i="5"/>
  <c r="J367" i="5"/>
  <c r="M367" i="5"/>
  <c r="O367" i="5"/>
  <c r="P367" i="5"/>
  <c r="Q367" i="5"/>
  <c r="R367" i="5"/>
  <c r="S367" i="5"/>
  <c r="T367" i="5"/>
  <c r="U367" i="5"/>
  <c r="W367" i="5"/>
  <c r="X367" i="5"/>
  <c r="Y367" i="5"/>
  <c r="Z367" i="5"/>
  <c r="AA367" i="5"/>
  <c r="I368" i="5"/>
  <c r="J368" i="5"/>
  <c r="M368" i="5"/>
  <c r="O368" i="5"/>
  <c r="P368" i="5"/>
  <c r="Q368" i="5"/>
  <c r="R368" i="5"/>
  <c r="S368" i="5"/>
  <c r="T368" i="5"/>
  <c r="U368" i="5"/>
  <c r="W368" i="5"/>
  <c r="X368" i="5"/>
  <c r="Y368" i="5"/>
  <c r="Z368" i="5"/>
  <c r="AA368" i="5"/>
  <c r="I369" i="5"/>
  <c r="J369" i="5"/>
  <c r="M369" i="5"/>
  <c r="O369" i="5"/>
  <c r="P369" i="5"/>
  <c r="Q369" i="5"/>
  <c r="R369" i="5"/>
  <c r="S369" i="5"/>
  <c r="T369" i="5"/>
  <c r="U369" i="5"/>
  <c r="W369" i="5"/>
  <c r="X369" i="5"/>
  <c r="Y369" i="5"/>
  <c r="Z369" i="5"/>
  <c r="AA369" i="5"/>
  <c r="I370" i="5"/>
  <c r="J370" i="5"/>
  <c r="M370" i="5"/>
  <c r="O370" i="5"/>
  <c r="P370" i="5"/>
  <c r="Q370" i="5"/>
  <c r="R370" i="5"/>
  <c r="S370" i="5"/>
  <c r="T370" i="5"/>
  <c r="U370" i="5"/>
  <c r="W370" i="5"/>
  <c r="X370" i="5"/>
  <c r="Y370" i="5"/>
  <c r="Z370" i="5"/>
  <c r="AA370" i="5"/>
  <c r="I371" i="5"/>
  <c r="J371" i="5"/>
  <c r="M371" i="5"/>
  <c r="O371" i="5"/>
  <c r="P371" i="5"/>
  <c r="Q371" i="5"/>
  <c r="R371" i="5"/>
  <c r="S371" i="5"/>
  <c r="T371" i="5"/>
  <c r="U371" i="5"/>
  <c r="W371" i="5"/>
  <c r="X371" i="5"/>
  <c r="Y371" i="5"/>
  <c r="Z371" i="5"/>
  <c r="AA371" i="5"/>
  <c r="I372" i="5"/>
  <c r="J372" i="5"/>
  <c r="M372" i="5"/>
  <c r="O372" i="5"/>
  <c r="P372" i="5"/>
  <c r="Q372" i="5"/>
  <c r="R372" i="5"/>
  <c r="S372" i="5"/>
  <c r="T372" i="5"/>
  <c r="U372" i="5"/>
  <c r="W372" i="5"/>
  <c r="X372" i="5"/>
  <c r="Y372" i="5"/>
  <c r="Z372" i="5"/>
  <c r="AA372" i="5"/>
  <c r="I373" i="5"/>
  <c r="J373" i="5"/>
  <c r="M373" i="5"/>
  <c r="O373" i="5"/>
  <c r="P373" i="5"/>
  <c r="Q373" i="5"/>
  <c r="R373" i="5"/>
  <c r="S373" i="5"/>
  <c r="T373" i="5"/>
  <c r="U373" i="5"/>
  <c r="W373" i="5"/>
  <c r="X373" i="5"/>
  <c r="Y373" i="5"/>
  <c r="Z373" i="5"/>
  <c r="AA373" i="5"/>
  <c r="I374" i="5"/>
  <c r="J374" i="5"/>
  <c r="M374" i="5"/>
  <c r="O374" i="5"/>
  <c r="P374" i="5"/>
  <c r="Q374" i="5"/>
  <c r="R374" i="5"/>
  <c r="S374" i="5"/>
  <c r="T374" i="5"/>
  <c r="U374" i="5"/>
  <c r="W374" i="5"/>
  <c r="X374" i="5"/>
  <c r="Y374" i="5"/>
  <c r="Z374" i="5"/>
  <c r="AA374" i="5"/>
  <c r="I375" i="5"/>
  <c r="J375" i="5"/>
  <c r="M375" i="5"/>
  <c r="O375" i="5"/>
  <c r="P375" i="5"/>
  <c r="Q375" i="5"/>
  <c r="R375" i="5"/>
  <c r="S375" i="5"/>
  <c r="T375" i="5"/>
  <c r="U375" i="5"/>
  <c r="W375" i="5"/>
  <c r="X375" i="5"/>
  <c r="Y375" i="5"/>
  <c r="Z375" i="5"/>
  <c r="AA375" i="5"/>
  <c r="I376" i="5"/>
  <c r="J376" i="5"/>
  <c r="M376" i="5"/>
  <c r="O376" i="5"/>
  <c r="P376" i="5"/>
  <c r="Q376" i="5"/>
  <c r="R376" i="5"/>
  <c r="S376" i="5"/>
  <c r="T376" i="5"/>
  <c r="U376" i="5"/>
  <c r="W376" i="5"/>
  <c r="X376" i="5"/>
  <c r="Y376" i="5"/>
  <c r="Z376" i="5"/>
  <c r="AA376" i="5"/>
  <c r="I377" i="5"/>
  <c r="J377" i="5"/>
  <c r="M377" i="5"/>
  <c r="O377" i="5"/>
  <c r="P377" i="5"/>
  <c r="Q377" i="5"/>
  <c r="R377" i="5"/>
  <c r="S377" i="5"/>
  <c r="T377" i="5"/>
  <c r="U377" i="5"/>
  <c r="W377" i="5"/>
  <c r="X377" i="5"/>
  <c r="Y377" i="5"/>
  <c r="Z377" i="5"/>
  <c r="AA377" i="5"/>
  <c r="I378" i="5"/>
  <c r="J378" i="5"/>
  <c r="M378" i="5"/>
  <c r="O378" i="5"/>
  <c r="P378" i="5"/>
  <c r="Q378" i="5"/>
  <c r="R378" i="5"/>
  <c r="S378" i="5"/>
  <c r="T378" i="5"/>
  <c r="U378" i="5"/>
  <c r="W378" i="5"/>
  <c r="X378" i="5"/>
  <c r="Y378" i="5"/>
  <c r="Z378" i="5"/>
  <c r="AA378" i="5"/>
  <c r="I379" i="5"/>
  <c r="J379" i="5"/>
  <c r="M379" i="5"/>
  <c r="O379" i="5"/>
  <c r="P379" i="5"/>
  <c r="Q379" i="5"/>
  <c r="R379" i="5"/>
  <c r="S379" i="5"/>
  <c r="T379" i="5"/>
  <c r="U379" i="5"/>
  <c r="W379" i="5"/>
  <c r="X379" i="5"/>
  <c r="Y379" i="5"/>
  <c r="Z379" i="5"/>
  <c r="AA379" i="5"/>
  <c r="I380" i="5"/>
  <c r="J380" i="5"/>
  <c r="M380" i="5"/>
  <c r="O380" i="5"/>
  <c r="P380" i="5"/>
  <c r="Q380" i="5"/>
  <c r="R380" i="5"/>
  <c r="S380" i="5"/>
  <c r="T380" i="5"/>
  <c r="U380" i="5"/>
  <c r="W380" i="5"/>
  <c r="X380" i="5"/>
  <c r="Y380" i="5"/>
  <c r="Z380" i="5"/>
  <c r="AA380" i="5"/>
  <c r="I381" i="5"/>
  <c r="J381" i="5"/>
  <c r="M381" i="5"/>
  <c r="O381" i="5"/>
  <c r="P381" i="5"/>
  <c r="Q381" i="5"/>
  <c r="R381" i="5"/>
  <c r="S381" i="5"/>
  <c r="T381" i="5"/>
  <c r="U381" i="5"/>
  <c r="W381" i="5"/>
  <c r="X381" i="5"/>
  <c r="Y381" i="5"/>
  <c r="Z381" i="5"/>
  <c r="AA381" i="5"/>
  <c r="I382" i="5"/>
  <c r="J382" i="5"/>
  <c r="M382" i="5"/>
  <c r="O382" i="5"/>
  <c r="P382" i="5"/>
  <c r="Q382" i="5"/>
  <c r="R382" i="5"/>
  <c r="S382" i="5"/>
  <c r="T382" i="5"/>
  <c r="U382" i="5"/>
  <c r="W382" i="5"/>
  <c r="X382" i="5"/>
  <c r="Y382" i="5"/>
  <c r="Z382" i="5"/>
  <c r="AA382" i="5"/>
  <c r="I383" i="5"/>
  <c r="J383" i="5"/>
  <c r="M383" i="5"/>
  <c r="O383" i="5"/>
  <c r="P383" i="5"/>
  <c r="Q383" i="5"/>
  <c r="R383" i="5"/>
  <c r="S383" i="5"/>
  <c r="T383" i="5"/>
  <c r="U383" i="5"/>
  <c r="W383" i="5"/>
  <c r="X383" i="5"/>
  <c r="Y383" i="5"/>
  <c r="Z383" i="5"/>
  <c r="AA383" i="5"/>
  <c r="I384" i="5"/>
  <c r="J384" i="5"/>
  <c r="M384" i="5"/>
  <c r="O384" i="5"/>
  <c r="P384" i="5"/>
  <c r="Q384" i="5"/>
  <c r="R384" i="5"/>
  <c r="S384" i="5"/>
  <c r="T384" i="5"/>
  <c r="U384" i="5"/>
  <c r="W384" i="5"/>
  <c r="X384" i="5"/>
  <c r="Y384" i="5"/>
  <c r="Z384" i="5"/>
  <c r="AA384" i="5"/>
  <c r="I385" i="5"/>
  <c r="J385" i="5"/>
  <c r="M385" i="5"/>
  <c r="O385" i="5"/>
  <c r="P385" i="5"/>
  <c r="Q385" i="5"/>
  <c r="R385" i="5"/>
  <c r="S385" i="5"/>
  <c r="T385" i="5"/>
  <c r="U385" i="5"/>
  <c r="W385" i="5"/>
  <c r="X385" i="5"/>
  <c r="Y385" i="5"/>
  <c r="Z385" i="5"/>
  <c r="AA385" i="5"/>
  <c r="I386" i="5"/>
  <c r="J386" i="5"/>
  <c r="M386" i="5"/>
  <c r="O386" i="5"/>
  <c r="P386" i="5"/>
  <c r="Q386" i="5"/>
  <c r="R386" i="5"/>
  <c r="S386" i="5"/>
  <c r="T386" i="5"/>
  <c r="U386" i="5"/>
  <c r="W386" i="5"/>
  <c r="X386" i="5"/>
  <c r="Y386" i="5"/>
  <c r="Z386" i="5"/>
  <c r="AA386" i="5"/>
  <c r="I387" i="5"/>
  <c r="J387" i="5"/>
  <c r="M387" i="5"/>
  <c r="O387" i="5"/>
  <c r="P387" i="5"/>
  <c r="Q387" i="5"/>
  <c r="R387" i="5"/>
  <c r="S387" i="5"/>
  <c r="T387" i="5"/>
  <c r="U387" i="5"/>
  <c r="W387" i="5"/>
  <c r="X387" i="5"/>
  <c r="Y387" i="5"/>
  <c r="Z387" i="5"/>
  <c r="AA387" i="5"/>
  <c r="I388" i="5"/>
  <c r="J388" i="5"/>
  <c r="M388" i="5"/>
  <c r="O388" i="5"/>
  <c r="P388" i="5"/>
  <c r="Q388" i="5"/>
  <c r="R388" i="5"/>
  <c r="S388" i="5"/>
  <c r="T388" i="5"/>
  <c r="U388" i="5"/>
  <c r="W388" i="5"/>
  <c r="X388" i="5"/>
  <c r="Y388" i="5"/>
  <c r="Z388" i="5"/>
  <c r="AA388" i="5"/>
  <c r="I389" i="5"/>
  <c r="J389" i="5"/>
  <c r="M389" i="5"/>
  <c r="O389" i="5"/>
  <c r="P389" i="5"/>
  <c r="Q389" i="5"/>
  <c r="R389" i="5"/>
  <c r="S389" i="5"/>
  <c r="T389" i="5"/>
  <c r="U389" i="5"/>
  <c r="W389" i="5"/>
  <c r="X389" i="5"/>
  <c r="Y389" i="5"/>
  <c r="Z389" i="5"/>
  <c r="AA389" i="5"/>
  <c r="I390" i="5"/>
  <c r="J390" i="5"/>
  <c r="M390" i="5"/>
  <c r="O390" i="5"/>
  <c r="P390" i="5"/>
  <c r="Q390" i="5"/>
  <c r="R390" i="5"/>
  <c r="S390" i="5"/>
  <c r="T390" i="5"/>
  <c r="U390" i="5"/>
  <c r="W390" i="5"/>
  <c r="X390" i="5"/>
  <c r="Y390" i="5"/>
  <c r="Z390" i="5"/>
  <c r="AA390" i="5"/>
  <c r="I391" i="5"/>
  <c r="J391" i="5"/>
  <c r="M391" i="5"/>
  <c r="O391" i="5"/>
  <c r="P391" i="5"/>
  <c r="Q391" i="5"/>
  <c r="R391" i="5"/>
  <c r="S391" i="5"/>
  <c r="T391" i="5"/>
  <c r="U391" i="5"/>
  <c r="W391" i="5"/>
  <c r="X391" i="5"/>
  <c r="Y391" i="5"/>
  <c r="Z391" i="5"/>
  <c r="AA391" i="5"/>
  <c r="I392" i="5"/>
  <c r="J392" i="5"/>
  <c r="M392" i="5"/>
  <c r="O392" i="5"/>
  <c r="P392" i="5"/>
  <c r="Q392" i="5"/>
  <c r="R392" i="5"/>
  <c r="S392" i="5"/>
  <c r="T392" i="5"/>
  <c r="U392" i="5"/>
  <c r="W392" i="5"/>
  <c r="X392" i="5"/>
  <c r="Y392" i="5"/>
  <c r="Z392" i="5"/>
  <c r="AA392" i="5"/>
  <c r="I393" i="5"/>
  <c r="J393" i="5"/>
  <c r="M393" i="5"/>
  <c r="O393" i="5"/>
  <c r="P393" i="5"/>
  <c r="Q393" i="5"/>
  <c r="R393" i="5"/>
  <c r="S393" i="5"/>
  <c r="T393" i="5"/>
  <c r="U393" i="5"/>
  <c r="W393" i="5"/>
  <c r="X393" i="5"/>
  <c r="Y393" i="5"/>
  <c r="Z393" i="5"/>
  <c r="AA393" i="5"/>
  <c r="I394" i="5"/>
  <c r="J394" i="5"/>
  <c r="M394" i="5"/>
  <c r="O394" i="5"/>
  <c r="P394" i="5"/>
  <c r="Q394" i="5"/>
  <c r="R394" i="5"/>
  <c r="S394" i="5"/>
  <c r="T394" i="5"/>
  <c r="U394" i="5"/>
  <c r="W394" i="5"/>
  <c r="X394" i="5"/>
  <c r="Y394" i="5"/>
  <c r="Z394" i="5"/>
  <c r="AA394" i="5"/>
  <c r="I395" i="5"/>
  <c r="J395" i="5"/>
  <c r="M395" i="5"/>
  <c r="O395" i="5"/>
  <c r="P395" i="5"/>
  <c r="Q395" i="5"/>
  <c r="R395" i="5"/>
  <c r="S395" i="5"/>
  <c r="T395" i="5"/>
  <c r="U395" i="5"/>
  <c r="W395" i="5"/>
  <c r="X395" i="5"/>
  <c r="Y395" i="5"/>
  <c r="Z395" i="5"/>
  <c r="AA395" i="5"/>
  <c r="I396" i="5"/>
  <c r="J396" i="5"/>
  <c r="M396" i="5"/>
  <c r="O396" i="5"/>
  <c r="P396" i="5"/>
  <c r="Q396" i="5"/>
  <c r="R396" i="5"/>
  <c r="S396" i="5"/>
  <c r="T396" i="5"/>
  <c r="U396" i="5"/>
  <c r="W396" i="5"/>
  <c r="X396" i="5"/>
  <c r="Y396" i="5"/>
  <c r="Z396" i="5"/>
  <c r="AA396" i="5"/>
  <c r="I397" i="5"/>
  <c r="J397" i="5"/>
  <c r="M397" i="5"/>
  <c r="O397" i="5"/>
  <c r="P397" i="5"/>
  <c r="Q397" i="5"/>
  <c r="R397" i="5"/>
  <c r="S397" i="5"/>
  <c r="T397" i="5"/>
  <c r="U397" i="5"/>
  <c r="W397" i="5"/>
  <c r="X397" i="5"/>
  <c r="Y397" i="5"/>
  <c r="Z397" i="5"/>
  <c r="AA397" i="5"/>
  <c r="I398" i="5"/>
  <c r="J398" i="5"/>
  <c r="M398" i="5"/>
  <c r="O398" i="5"/>
  <c r="P398" i="5"/>
  <c r="Q398" i="5"/>
  <c r="R398" i="5"/>
  <c r="S398" i="5"/>
  <c r="T398" i="5"/>
  <c r="U398" i="5"/>
  <c r="W398" i="5"/>
  <c r="X398" i="5"/>
  <c r="Y398" i="5"/>
  <c r="Z398" i="5"/>
  <c r="AA398" i="5"/>
  <c r="I399" i="5"/>
  <c r="J399" i="5"/>
  <c r="M399" i="5"/>
  <c r="O399" i="5"/>
  <c r="P399" i="5"/>
  <c r="Q399" i="5"/>
  <c r="R399" i="5"/>
  <c r="S399" i="5"/>
  <c r="T399" i="5"/>
  <c r="U399" i="5"/>
  <c r="W399" i="5"/>
  <c r="X399" i="5"/>
  <c r="Y399" i="5"/>
  <c r="Z399" i="5"/>
  <c r="AA399" i="5"/>
  <c r="I400" i="5"/>
  <c r="J400" i="5"/>
  <c r="M400" i="5"/>
  <c r="O400" i="5"/>
  <c r="P400" i="5"/>
  <c r="Q400" i="5"/>
  <c r="R400" i="5"/>
  <c r="S400" i="5"/>
  <c r="T400" i="5"/>
  <c r="U400" i="5"/>
  <c r="W400" i="5"/>
  <c r="X400" i="5"/>
  <c r="Y400" i="5"/>
  <c r="Z400" i="5"/>
  <c r="AA400" i="5"/>
  <c r="I401" i="5"/>
  <c r="J401" i="5"/>
  <c r="M401" i="5"/>
  <c r="O401" i="5"/>
  <c r="P401" i="5"/>
  <c r="Q401" i="5"/>
  <c r="R401" i="5"/>
  <c r="S401" i="5"/>
  <c r="T401" i="5"/>
  <c r="U401" i="5"/>
  <c r="W401" i="5"/>
  <c r="X401" i="5"/>
  <c r="Y401" i="5"/>
  <c r="Z401" i="5"/>
  <c r="AA401" i="5"/>
  <c r="I402" i="5"/>
  <c r="J402" i="5"/>
  <c r="M402" i="5"/>
  <c r="O402" i="5"/>
  <c r="P402" i="5"/>
  <c r="Q402" i="5"/>
  <c r="R402" i="5"/>
  <c r="S402" i="5"/>
  <c r="T402" i="5"/>
  <c r="U402" i="5"/>
  <c r="W402" i="5"/>
  <c r="X402" i="5"/>
  <c r="Y402" i="5"/>
  <c r="Z402" i="5"/>
  <c r="AA402" i="5"/>
  <c r="I403" i="5"/>
  <c r="J403" i="5"/>
  <c r="M403" i="5"/>
  <c r="O403" i="5"/>
  <c r="P403" i="5"/>
  <c r="Q403" i="5"/>
  <c r="R403" i="5"/>
  <c r="S403" i="5"/>
  <c r="T403" i="5"/>
  <c r="U403" i="5"/>
  <c r="W403" i="5"/>
  <c r="X403" i="5"/>
  <c r="Y403" i="5"/>
  <c r="Z403" i="5"/>
  <c r="AA403" i="5"/>
  <c r="I404" i="5"/>
  <c r="J404" i="5"/>
  <c r="M404" i="5"/>
  <c r="O404" i="5"/>
  <c r="P404" i="5"/>
  <c r="Q404" i="5"/>
  <c r="R404" i="5"/>
  <c r="S404" i="5"/>
  <c r="T404" i="5"/>
  <c r="U404" i="5"/>
  <c r="W404" i="5"/>
  <c r="X404" i="5"/>
  <c r="Y404" i="5"/>
  <c r="Z404" i="5"/>
  <c r="AA404" i="5"/>
  <c r="I405" i="5"/>
  <c r="J405" i="5"/>
  <c r="M405" i="5"/>
  <c r="O405" i="5"/>
  <c r="P405" i="5"/>
  <c r="Q405" i="5"/>
  <c r="R405" i="5"/>
  <c r="S405" i="5"/>
  <c r="T405" i="5"/>
  <c r="U405" i="5"/>
  <c r="W405" i="5"/>
  <c r="X405" i="5"/>
  <c r="Y405" i="5"/>
  <c r="Z405" i="5"/>
  <c r="AA405" i="5"/>
  <c r="I406" i="5"/>
  <c r="J406" i="5"/>
  <c r="M406" i="5"/>
  <c r="O406" i="5"/>
  <c r="P406" i="5"/>
  <c r="Q406" i="5"/>
  <c r="R406" i="5"/>
  <c r="S406" i="5"/>
  <c r="T406" i="5"/>
  <c r="U406" i="5"/>
  <c r="W406" i="5"/>
  <c r="X406" i="5"/>
  <c r="Y406" i="5"/>
  <c r="Z406" i="5"/>
  <c r="AA406" i="5"/>
  <c r="I407" i="5"/>
  <c r="J407" i="5"/>
  <c r="M407" i="5"/>
  <c r="O407" i="5"/>
  <c r="P407" i="5"/>
  <c r="Q407" i="5"/>
  <c r="R407" i="5"/>
  <c r="S407" i="5"/>
  <c r="T407" i="5"/>
  <c r="U407" i="5"/>
  <c r="W407" i="5"/>
  <c r="X407" i="5"/>
  <c r="Y407" i="5"/>
  <c r="Z407" i="5"/>
  <c r="AA407" i="5"/>
  <c r="I408" i="5"/>
  <c r="J408" i="5"/>
  <c r="M408" i="5"/>
  <c r="O408" i="5"/>
  <c r="P408" i="5"/>
  <c r="Q408" i="5"/>
  <c r="R408" i="5"/>
  <c r="S408" i="5"/>
  <c r="T408" i="5"/>
  <c r="U408" i="5"/>
  <c r="W408" i="5"/>
  <c r="X408" i="5"/>
  <c r="Y408" i="5"/>
  <c r="Z408" i="5"/>
  <c r="AA408" i="5"/>
  <c r="I409" i="5"/>
  <c r="J409" i="5"/>
  <c r="M409" i="5"/>
  <c r="O409" i="5"/>
  <c r="P409" i="5"/>
  <c r="Q409" i="5"/>
  <c r="R409" i="5"/>
  <c r="S409" i="5"/>
  <c r="T409" i="5"/>
  <c r="U409" i="5"/>
  <c r="W409" i="5"/>
  <c r="X409" i="5"/>
  <c r="Y409" i="5"/>
  <c r="Z409" i="5"/>
  <c r="AA409" i="5"/>
  <c r="I410" i="5"/>
  <c r="J410" i="5"/>
  <c r="M410" i="5"/>
  <c r="O410" i="5"/>
  <c r="P410" i="5"/>
  <c r="Q410" i="5"/>
  <c r="R410" i="5"/>
  <c r="S410" i="5"/>
  <c r="T410" i="5"/>
  <c r="U410" i="5"/>
  <c r="W410" i="5"/>
  <c r="X410" i="5"/>
  <c r="Y410" i="5"/>
  <c r="Z410" i="5"/>
  <c r="AA410" i="5"/>
  <c r="I411" i="5"/>
  <c r="J411" i="5"/>
  <c r="M411" i="5"/>
  <c r="O411" i="5"/>
  <c r="P411" i="5"/>
  <c r="Q411" i="5"/>
  <c r="R411" i="5"/>
  <c r="S411" i="5"/>
  <c r="T411" i="5"/>
  <c r="U411" i="5"/>
  <c r="W411" i="5"/>
  <c r="X411" i="5"/>
  <c r="Y411" i="5"/>
  <c r="Z411" i="5"/>
  <c r="AA411" i="5"/>
  <c r="I412" i="5"/>
  <c r="J412" i="5"/>
  <c r="M412" i="5"/>
  <c r="O412" i="5"/>
  <c r="P412" i="5"/>
  <c r="Q412" i="5"/>
  <c r="R412" i="5"/>
  <c r="S412" i="5"/>
  <c r="T412" i="5"/>
  <c r="U412" i="5"/>
  <c r="W412" i="5"/>
  <c r="X412" i="5"/>
  <c r="Y412" i="5"/>
  <c r="Z412" i="5"/>
  <c r="AA412" i="5"/>
  <c r="I413" i="5"/>
  <c r="J413" i="5"/>
  <c r="M413" i="5"/>
  <c r="O413" i="5"/>
  <c r="P413" i="5"/>
  <c r="Q413" i="5"/>
  <c r="R413" i="5"/>
  <c r="S413" i="5"/>
  <c r="T413" i="5"/>
  <c r="U413" i="5"/>
  <c r="W413" i="5"/>
  <c r="X413" i="5"/>
  <c r="Y413" i="5"/>
  <c r="Z413" i="5"/>
  <c r="AA413" i="5"/>
  <c r="I414" i="5"/>
  <c r="J414" i="5"/>
  <c r="M414" i="5"/>
  <c r="O414" i="5"/>
  <c r="P414" i="5"/>
  <c r="Q414" i="5"/>
  <c r="R414" i="5"/>
  <c r="S414" i="5"/>
  <c r="T414" i="5"/>
  <c r="U414" i="5"/>
  <c r="W414" i="5"/>
  <c r="X414" i="5"/>
  <c r="Y414" i="5"/>
  <c r="Z414" i="5"/>
  <c r="AA414" i="5"/>
  <c r="I415" i="5"/>
  <c r="J415" i="5"/>
  <c r="M415" i="5"/>
  <c r="O415" i="5"/>
  <c r="P415" i="5"/>
  <c r="Q415" i="5"/>
  <c r="R415" i="5"/>
  <c r="S415" i="5"/>
  <c r="T415" i="5"/>
  <c r="U415" i="5"/>
  <c r="W415" i="5"/>
  <c r="X415" i="5"/>
  <c r="Y415" i="5"/>
  <c r="Z415" i="5"/>
  <c r="AA415" i="5"/>
  <c r="I416" i="5"/>
  <c r="J416" i="5"/>
  <c r="M416" i="5"/>
  <c r="O416" i="5"/>
  <c r="P416" i="5"/>
  <c r="Q416" i="5"/>
  <c r="R416" i="5"/>
  <c r="S416" i="5"/>
  <c r="T416" i="5"/>
  <c r="U416" i="5"/>
  <c r="W416" i="5"/>
  <c r="X416" i="5"/>
  <c r="Y416" i="5"/>
  <c r="Z416" i="5"/>
  <c r="AA416" i="5"/>
  <c r="I417" i="5"/>
  <c r="J417" i="5"/>
  <c r="M417" i="5"/>
  <c r="O417" i="5"/>
  <c r="P417" i="5"/>
  <c r="Q417" i="5"/>
  <c r="R417" i="5"/>
  <c r="S417" i="5"/>
  <c r="T417" i="5"/>
  <c r="U417" i="5"/>
  <c r="W417" i="5"/>
  <c r="X417" i="5"/>
  <c r="Y417" i="5"/>
  <c r="Z417" i="5"/>
  <c r="AA417" i="5"/>
  <c r="I418" i="5"/>
  <c r="J418" i="5"/>
  <c r="M418" i="5"/>
  <c r="O418" i="5"/>
  <c r="P418" i="5"/>
  <c r="Q418" i="5"/>
  <c r="R418" i="5"/>
  <c r="S418" i="5"/>
  <c r="T418" i="5"/>
  <c r="U418" i="5"/>
  <c r="W418" i="5"/>
  <c r="X418" i="5"/>
  <c r="Y418" i="5"/>
  <c r="Z418" i="5"/>
  <c r="AA418" i="5"/>
  <c r="I419" i="5"/>
  <c r="J419" i="5"/>
  <c r="M419" i="5"/>
  <c r="O419" i="5"/>
  <c r="P419" i="5"/>
  <c r="Q419" i="5"/>
  <c r="R419" i="5"/>
  <c r="S419" i="5"/>
  <c r="T419" i="5"/>
  <c r="U419" i="5"/>
  <c r="W419" i="5"/>
  <c r="X419" i="5"/>
  <c r="Y419" i="5"/>
  <c r="Z419" i="5"/>
  <c r="AA419" i="5"/>
  <c r="I420" i="5"/>
  <c r="J420" i="5"/>
  <c r="M420" i="5"/>
  <c r="O420" i="5"/>
  <c r="P420" i="5"/>
  <c r="Q420" i="5"/>
  <c r="R420" i="5"/>
  <c r="S420" i="5"/>
  <c r="T420" i="5"/>
  <c r="U420" i="5"/>
  <c r="W420" i="5"/>
  <c r="X420" i="5"/>
  <c r="Y420" i="5"/>
  <c r="Z420" i="5"/>
  <c r="AA420" i="5"/>
  <c r="I421" i="5"/>
  <c r="J421" i="5"/>
  <c r="M421" i="5"/>
  <c r="O421" i="5"/>
  <c r="P421" i="5"/>
  <c r="Q421" i="5"/>
  <c r="R421" i="5"/>
  <c r="S421" i="5"/>
  <c r="T421" i="5"/>
  <c r="U421" i="5"/>
  <c r="W421" i="5"/>
  <c r="X421" i="5"/>
  <c r="Y421" i="5"/>
  <c r="Z421" i="5"/>
  <c r="AA421" i="5"/>
  <c r="I422" i="5"/>
  <c r="J422" i="5"/>
  <c r="M422" i="5"/>
  <c r="O422" i="5"/>
  <c r="P422" i="5"/>
  <c r="Q422" i="5"/>
  <c r="R422" i="5"/>
  <c r="S422" i="5"/>
  <c r="T422" i="5"/>
  <c r="U422" i="5"/>
  <c r="W422" i="5"/>
  <c r="X422" i="5"/>
  <c r="Y422" i="5"/>
  <c r="Z422" i="5"/>
  <c r="AA422" i="5"/>
  <c r="I423" i="5"/>
  <c r="J423" i="5"/>
  <c r="M423" i="5"/>
  <c r="O423" i="5"/>
  <c r="P423" i="5"/>
  <c r="Q423" i="5"/>
  <c r="R423" i="5"/>
  <c r="S423" i="5"/>
  <c r="T423" i="5"/>
  <c r="U423" i="5"/>
  <c r="W423" i="5"/>
  <c r="X423" i="5"/>
  <c r="Y423" i="5"/>
  <c r="Z423" i="5"/>
  <c r="AA423" i="5"/>
  <c r="I424" i="5"/>
  <c r="J424" i="5"/>
  <c r="M424" i="5"/>
  <c r="O424" i="5"/>
  <c r="P424" i="5"/>
  <c r="Q424" i="5"/>
  <c r="R424" i="5"/>
  <c r="S424" i="5"/>
  <c r="T424" i="5"/>
  <c r="U424" i="5"/>
  <c r="W424" i="5"/>
  <c r="X424" i="5"/>
  <c r="Y424" i="5"/>
  <c r="Z424" i="5"/>
  <c r="AA424" i="5"/>
  <c r="I425" i="5"/>
  <c r="J425" i="5"/>
  <c r="M425" i="5"/>
  <c r="O425" i="5"/>
  <c r="P425" i="5"/>
  <c r="Q425" i="5"/>
  <c r="R425" i="5"/>
  <c r="S425" i="5"/>
  <c r="T425" i="5"/>
  <c r="U425" i="5"/>
  <c r="W425" i="5"/>
  <c r="X425" i="5"/>
  <c r="Y425" i="5"/>
  <c r="Z425" i="5"/>
  <c r="AA425" i="5"/>
  <c r="I426" i="5"/>
  <c r="J426" i="5"/>
  <c r="M426" i="5"/>
  <c r="O426" i="5"/>
  <c r="P426" i="5"/>
  <c r="Q426" i="5"/>
  <c r="R426" i="5"/>
  <c r="S426" i="5"/>
  <c r="T426" i="5"/>
  <c r="U426" i="5"/>
  <c r="W426" i="5"/>
  <c r="X426" i="5"/>
  <c r="Y426" i="5"/>
  <c r="Z426" i="5"/>
  <c r="AA426" i="5"/>
  <c r="I427" i="5"/>
  <c r="J427" i="5"/>
  <c r="M427" i="5"/>
  <c r="O427" i="5"/>
  <c r="P427" i="5"/>
  <c r="Q427" i="5"/>
  <c r="R427" i="5"/>
  <c r="S427" i="5"/>
  <c r="T427" i="5"/>
  <c r="U427" i="5"/>
  <c r="W427" i="5"/>
  <c r="X427" i="5"/>
  <c r="Y427" i="5"/>
  <c r="Z427" i="5"/>
  <c r="AA427" i="5"/>
  <c r="I428" i="5"/>
  <c r="J428" i="5"/>
  <c r="M428" i="5"/>
  <c r="O428" i="5"/>
  <c r="P428" i="5"/>
  <c r="Q428" i="5"/>
  <c r="R428" i="5"/>
  <c r="S428" i="5"/>
  <c r="T428" i="5"/>
  <c r="U428" i="5"/>
  <c r="W428" i="5"/>
  <c r="X428" i="5"/>
  <c r="Y428" i="5"/>
  <c r="Z428" i="5"/>
  <c r="AA428" i="5"/>
  <c r="I429" i="5"/>
  <c r="J429" i="5"/>
  <c r="M429" i="5"/>
  <c r="O429" i="5"/>
  <c r="P429" i="5"/>
  <c r="Q429" i="5"/>
  <c r="R429" i="5"/>
  <c r="S429" i="5"/>
  <c r="T429" i="5"/>
  <c r="U429" i="5"/>
  <c r="W429" i="5"/>
  <c r="X429" i="5"/>
  <c r="Y429" i="5"/>
  <c r="Z429" i="5"/>
  <c r="AA429" i="5"/>
  <c r="I430" i="5"/>
  <c r="J430" i="5"/>
  <c r="M430" i="5"/>
  <c r="O430" i="5"/>
  <c r="P430" i="5"/>
  <c r="Q430" i="5"/>
  <c r="R430" i="5"/>
  <c r="S430" i="5"/>
  <c r="T430" i="5"/>
  <c r="U430" i="5"/>
  <c r="W430" i="5"/>
  <c r="X430" i="5"/>
  <c r="Y430" i="5"/>
  <c r="Z430" i="5"/>
  <c r="AA430" i="5"/>
  <c r="I431" i="5"/>
  <c r="J431" i="5"/>
  <c r="M431" i="5"/>
  <c r="O431" i="5"/>
  <c r="P431" i="5"/>
  <c r="Q431" i="5"/>
  <c r="R431" i="5"/>
  <c r="S431" i="5"/>
  <c r="T431" i="5"/>
  <c r="U431" i="5"/>
  <c r="W431" i="5"/>
  <c r="X431" i="5"/>
  <c r="Y431" i="5"/>
  <c r="Z431" i="5"/>
  <c r="AA431" i="5"/>
  <c r="I432" i="5"/>
  <c r="J432" i="5"/>
  <c r="M432" i="5"/>
  <c r="O432" i="5"/>
  <c r="P432" i="5"/>
  <c r="Q432" i="5"/>
  <c r="R432" i="5"/>
  <c r="S432" i="5"/>
  <c r="T432" i="5"/>
  <c r="U432" i="5"/>
  <c r="W432" i="5"/>
  <c r="X432" i="5"/>
  <c r="Y432" i="5"/>
  <c r="Z432" i="5"/>
  <c r="AA432" i="5"/>
  <c r="I433" i="5"/>
  <c r="J433" i="5"/>
  <c r="M433" i="5"/>
  <c r="O433" i="5"/>
  <c r="P433" i="5"/>
  <c r="Q433" i="5"/>
  <c r="R433" i="5"/>
  <c r="S433" i="5"/>
  <c r="T433" i="5"/>
  <c r="U433" i="5"/>
  <c r="W433" i="5"/>
  <c r="X433" i="5"/>
  <c r="Y433" i="5"/>
  <c r="Z433" i="5"/>
  <c r="AA433" i="5"/>
  <c r="I434" i="5"/>
  <c r="J434" i="5"/>
  <c r="M434" i="5"/>
  <c r="O434" i="5"/>
  <c r="P434" i="5"/>
  <c r="Q434" i="5"/>
  <c r="R434" i="5"/>
  <c r="S434" i="5"/>
  <c r="T434" i="5"/>
  <c r="U434" i="5"/>
  <c r="W434" i="5"/>
  <c r="X434" i="5"/>
  <c r="Y434" i="5"/>
  <c r="Z434" i="5"/>
  <c r="AA434" i="5"/>
  <c r="I435" i="5"/>
  <c r="J435" i="5"/>
  <c r="M435" i="5"/>
  <c r="O435" i="5"/>
  <c r="P435" i="5"/>
  <c r="Q435" i="5"/>
  <c r="R435" i="5"/>
  <c r="S435" i="5"/>
  <c r="T435" i="5"/>
  <c r="U435" i="5"/>
  <c r="W435" i="5"/>
  <c r="X435" i="5"/>
  <c r="Y435" i="5"/>
  <c r="Z435" i="5"/>
  <c r="AA435" i="5"/>
  <c r="I436" i="5"/>
  <c r="J436" i="5"/>
  <c r="M436" i="5"/>
  <c r="O436" i="5"/>
  <c r="P436" i="5"/>
  <c r="Q436" i="5"/>
  <c r="R436" i="5"/>
  <c r="S436" i="5"/>
  <c r="T436" i="5"/>
  <c r="U436" i="5"/>
  <c r="W436" i="5"/>
  <c r="X436" i="5"/>
  <c r="Y436" i="5"/>
  <c r="Z436" i="5"/>
  <c r="AA436" i="5"/>
  <c r="I437" i="5"/>
  <c r="J437" i="5"/>
  <c r="M437" i="5"/>
  <c r="O437" i="5"/>
  <c r="P437" i="5"/>
  <c r="Q437" i="5"/>
  <c r="R437" i="5"/>
  <c r="S437" i="5"/>
  <c r="T437" i="5"/>
  <c r="U437" i="5"/>
  <c r="W437" i="5"/>
  <c r="X437" i="5"/>
  <c r="Y437" i="5"/>
  <c r="Z437" i="5"/>
  <c r="AA437" i="5"/>
  <c r="I438" i="5"/>
  <c r="J438" i="5"/>
  <c r="M438" i="5"/>
  <c r="O438" i="5"/>
  <c r="P438" i="5"/>
  <c r="Q438" i="5"/>
  <c r="R438" i="5"/>
  <c r="S438" i="5"/>
  <c r="T438" i="5"/>
  <c r="U438" i="5"/>
  <c r="W438" i="5"/>
  <c r="X438" i="5"/>
  <c r="Y438" i="5"/>
  <c r="Z438" i="5"/>
  <c r="AA438" i="5"/>
  <c r="I439" i="5"/>
  <c r="J439" i="5"/>
  <c r="M439" i="5"/>
  <c r="O439" i="5"/>
  <c r="P439" i="5"/>
  <c r="Q439" i="5"/>
  <c r="R439" i="5"/>
  <c r="S439" i="5"/>
  <c r="T439" i="5"/>
  <c r="U439" i="5"/>
  <c r="W439" i="5"/>
  <c r="X439" i="5"/>
  <c r="Y439" i="5"/>
  <c r="Z439" i="5"/>
  <c r="AA439" i="5"/>
  <c r="I440" i="5"/>
  <c r="J440" i="5"/>
  <c r="M440" i="5"/>
  <c r="O440" i="5"/>
  <c r="P440" i="5"/>
  <c r="Q440" i="5"/>
  <c r="R440" i="5"/>
  <c r="S440" i="5"/>
  <c r="T440" i="5"/>
  <c r="U440" i="5"/>
  <c r="W440" i="5"/>
  <c r="X440" i="5"/>
  <c r="Y440" i="5"/>
  <c r="Z440" i="5"/>
  <c r="AA440" i="5"/>
  <c r="I441" i="5"/>
  <c r="J441" i="5"/>
  <c r="M441" i="5"/>
  <c r="O441" i="5"/>
  <c r="P441" i="5"/>
  <c r="Q441" i="5"/>
  <c r="R441" i="5"/>
  <c r="S441" i="5"/>
  <c r="T441" i="5"/>
  <c r="U441" i="5"/>
  <c r="W441" i="5"/>
  <c r="X441" i="5"/>
  <c r="Y441" i="5"/>
  <c r="Z441" i="5"/>
  <c r="AA441" i="5"/>
  <c r="I442" i="5"/>
  <c r="J442" i="5"/>
  <c r="M442" i="5"/>
  <c r="O442" i="5"/>
  <c r="P442" i="5"/>
  <c r="Q442" i="5"/>
  <c r="R442" i="5"/>
  <c r="S442" i="5"/>
  <c r="T442" i="5"/>
  <c r="U442" i="5"/>
  <c r="W442" i="5"/>
  <c r="X442" i="5"/>
  <c r="Y442" i="5"/>
  <c r="Z442" i="5"/>
  <c r="AA442" i="5"/>
  <c r="I443" i="5"/>
  <c r="J443" i="5"/>
  <c r="M443" i="5"/>
  <c r="O443" i="5"/>
  <c r="P443" i="5"/>
  <c r="Q443" i="5"/>
  <c r="R443" i="5"/>
  <c r="S443" i="5"/>
  <c r="T443" i="5"/>
  <c r="U443" i="5"/>
  <c r="W443" i="5"/>
  <c r="X443" i="5"/>
  <c r="Y443" i="5"/>
  <c r="Z443" i="5"/>
  <c r="AA443" i="5"/>
  <c r="I444" i="5"/>
  <c r="J444" i="5"/>
  <c r="M444" i="5"/>
  <c r="O444" i="5"/>
  <c r="P444" i="5"/>
  <c r="Q444" i="5"/>
  <c r="R444" i="5"/>
  <c r="S444" i="5"/>
  <c r="T444" i="5"/>
  <c r="U444" i="5"/>
  <c r="W444" i="5"/>
  <c r="X444" i="5"/>
  <c r="Y444" i="5"/>
  <c r="Z444" i="5"/>
  <c r="AA444" i="5"/>
  <c r="I445" i="5"/>
  <c r="J445" i="5"/>
  <c r="M445" i="5"/>
  <c r="O445" i="5"/>
  <c r="P445" i="5"/>
  <c r="Q445" i="5"/>
  <c r="R445" i="5"/>
  <c r="S445" i="5"/>
  <c r="T445" i="5"/>
  <c r="U445" i="5"/>
  <c r="W445" i="5"/>
  <c r="X445" i="5"/>
  <c r="Y445" i="5"/>
  <c r="Z445" i="5"/>
  <c r="AA445" i="5"/>
  <c r="I446" i="5"/>
  <c r="J446" i="5"/>
  <c r="M446" i="5"/>
  <c r="O446" i="5"/>
  <c r="P446" i="5"/>
  <c r="Q446" i="5"/>
  <c r="R446" i="5"/>
  <c r="S446" i="5"/>
  <c r="T446" i="5"/>
  <c r="U446" i="5"/>
  <c r="W446" i="5"/>
  <c r="X446" i="5"/>
  <c r="Y446" i="5"/>
  <c r="Z446" i="5"/>
  <c r="AA446" i="5"/>
  <c r="I447" i="5"/>
  <c r="J447" i="5"/>
  <c r="M447" i="5"/>
  <c r="O447" i="5"/>
  <c r="P447" i="5"/>
  <c r="Q447" i="5"/>
  <c r="R447" i="5"/>
  <c r="S447" i="5"/>
  <c r="T447" i="5"/>
  <c r="U447" i="5"/>
  <c r="W447" i="5"/>
  <c r="X447" i="5"/>
  <c r="Y447" i="5"/>
  <c r="Z447" i="5"/>
  <c r="AA447" i="5"/>
  <c r="I448" i="5"/>
  <c r="J448" i="5"/>
  <c r="M448" i="5"/>
  <c r="O448" i="5"/>
  <c r="P448" i="5"/>
  <c r="Q448" i="5"/>
  <c r="R448" i="5"/>
  <c r="S448" i="5"/>
  <c r="T448" i="5"/>
  <c r="U448" i="5"/>
  <c r="W448" i="5"/>
  <c r="X448" i="5"/>
  <c r="Y448" i="5"/>
  <c r="Z448" i="5"/>
  <c r="AA448" i="5"/>
  <c r="I449" i="5"/>
  <c r="J449" i="5"/>
  <c r="M449" i="5"/>
  <c r="O449" i="5"/>
  <c r="P449" i="5"/>
  <c r="Q449" i="5"/>
  <c r="R449" i="5"/>
  <c r="S449" i="5"/>
  <c r="T449" i="5"/>
  <c r="U449" i="5"/>
  <c r="W449" i="5"/>
  <c r="X449" i="5"/>
  <c r="Y449" i="5"/>
  <c r="Z449" i="5"/>
  <c r="AA449" i="5"/>
  <c r="I450" i="5"/>
  <c r="J450" i="5"/>
  <c r="M450" i="5"/>
  <c r="O450" i="5"/>
  <c r="P450" i="5"/>
  <c r="Q450" i="5"/>
  <c r="R450" i="5"/>
  <c r="S450" i="5"/>
  <c r="T450" i="5"/>
  <c r="U450" i="5"/>
  <c r="W450" i="5"/>
  <c r="X450" i="5"/>
  <c r="Y450" i="5"/>
  <c r="Z450" i="5"/>
  <c r="AA450" i="5"/>
  <c r="I451" i="5"/>
  <c r="J451" i="5"/>
  <c r="M451" i="5"/>
  <c r="O451" i="5"/>
  <c r="P451" i="5"/>
  <c r="Q451" i="5"/>
  <c r="R451" i="5"/>
  <c r="S451" i="5"/>
  <c r="T451" i="5"/>
  <c r="U451" i="5"/>
  <c r="W451" i="5"/>
  <c r="X451" i="5"/>
  <c r="Y451" i="5"/>
  <c r="Z451" i="5"/>
  <c r="AA451" i="5"/>
  <c r="I452" i="5"/>
  <c r="J452" i="5"/>
  <c r="M452" i="5"/>
  <c r="O452" i="5"/>
  <c r="P452" i="5"/>
  <c r="Q452" i="5"/>
  <c r="R452" i="5"/>
  <c r="S452" i="5"/>
  <c r="T452" i="5"/>
  <c r="U452" i="5"/>
  <c r="W452" i="5"/>
  <c r="X452" i="5"/>
  <c r="Y452" i="5"/>
  <c r="Z452" i="5"/>
  <c r="AA452" i="5"/>
  <c r="I453" i="5"/>
  <c r="J453" i="5"/>
  <c r="M453" i="5"/>
  <c r="O453" i="5"/>
  <c r="P453" i="5"/>
  <c r="Q453" i="5"/>
  <c r="R453" i="5"/>
  <c r="S453" i="5"/>
  <c r="T453" i="5"/>
  <c r="U453" i="5"/>
  <c r="W453" i="5"/>
  <c r="X453" i="5"/>
  <c r="Y453" i="5"/>
  <c r="Z453" i="5"/>
  <c r="AA453" i="5"/>
  <c r="I454" i="5"/>
  <c r="J454" i="5"/>
  <c r="M454" i="5"/>
  <c r="O454" i="5"/>
  <c r="P454" i="5"/>
  <c r="Q454" i="5"/>
  <c r="R454" i="5"/>
  <c r="S454" i="5"/>
  <c r="T454" i="5"/>
  <c r="U454" i="5"/>
  <c r="W454" i="5"/>
  <c r="X454" i="5"/>
  <c r="Y454" i="5"/>
  <c r="Z454" i="5"/>
  <c r="AA454" i="5"/>
  <c r="I455" i="5"/>
  <c r="J455" i="5"/>
  <c r="M455" i="5"/>
  <c r="O455" i="5"/>
  <c r="P455" i="5"/>
  <c r="Q455" i="5"/>
  <c r="R455" i="5"/>
  <c r="S455" i="5"/>
  <c r="T455" i="5"/>
  <c r="U455" i="5"/>
  <c r="W455" i="5"/>
  <c r="X455" i="5"/>
  <c r="Y455" i="5"/>
  <c r="Z455" i="5"/>
  <c r="AA455" i="5"/>
  <c r="I456" i="5"/>
  <c r="J456" i="5"/>
  <c r="M456" i="5"/>
  <c r="O456" i="5"/>
  <c r="P456" i="5"/>
  <c r="Q456" i="5"/>
  <c r="R456" i="5"/>
  <c r="S456" i="5"/>
  <c r="T456" i="5"/>
  <c r="U456" i="5"/>
  <c r="W456" i="5"/>
  <c r="X456" i="5"/>
  <c r="Y456" i="5"/>
  <c r="Z456" i="5"/>
  <c r="AA456" i="5"/>
  <c r="I457" i="5"/>
  <c r="J457" i="5"/>
  <c r="M457" i="5"/>
  <c r="O457" i="5"/>
  <c r="P457" i="5"/>
  <c r="Q457" i="5"/>
  <c r="R457" i="5"/>
  <c r="S457" i="5"/>
  <c r="T457" i="5"/>
  <c r="U457" i="5"/>
  <c r="W457" i="5"/>
  <c r="X457" i="5"/>
  <c r="Y457" i="5"/>
  <c r="Z457" i="5"/>
  <c r="AA457" i="5"/>
  <c r="I458" i="5"/>
  <c r="J458" i="5"/>
  <c r="M458" i="5"/>
  <c r="O458" i="5"/>
  <c r="P458" i="5"/>
  <c r="Q458" i="5"/>
  <c r="R458" i="5"/>
  <c r="S458" i="5"/>
  <c r="T458" i="5"/>
  <c r="U458" i="5"/>
  <c r="W458" i="5"/>
  <c r="X458" i="5"/>
  <c r="Y458" i="5"/>
  <c r="Z458" i="5"/>
  <c r="AA458" i="5"/>
  <c r="I459" i="5"/>
  <c r="J459" i="5"/>
  <c r="M459" i="5"/>
  <c r="O459" i="5"/>
  <c r="P459" i="5"/>
  <c r="Q459" i="5"/>
  <c r="R459" i="5"/>
  <c r="S459" i="5"/>
  <c r="T459" i="5"/>
  <c r="U459" i="5"/>
  <c r="W459" i="5"/>
  <c r="X459" i="5"/>
  <c r="Y459" i="5"/>
  <c r="Z459" i="5"/>
  <c r="AA459" i="5"/>
  <c r="I460" i="5"/>
  <c r="J460" i="5"/>
  <c r="M460" i="5"/>
  <c r="O460" i="5"/>
  <c r="P460" i="5"/>
  <c r="Q460" i="5"/>
  <c r="R460" i="5"/>
  <c r="S460" i="5"/>
  <c r="T460" i="5"/>
  <c r="U460" i="5"/>
  <c r="W460" i="5"/>
  <c r="X460" i="5"/>
  <c r="Y460" i="5"/>
  <c r="Z460" i="5"/>
  <c r="AA460" i="5"/>
  <c r="I461" i="5"/>
  <c r="J461" i="5"/>
  <c r="M461" i="5"/>
  <c r="O461" i="5"/>
  <c r="P461" i="5"/>
  <c r="Q461" i="5"/>
  <c r="R461" i="5"/>
  <c r="S461" i="5"/>
  <c r="T461" i="5"/>
  <c r="U461" i="5"/>
  <c r="W461" i="5"/>
  <c r="X461" i="5"/>
  <c r="Y461" i="5"/>
  <c r="Z461" i="5"/>
  <c r="AA461" i="5"/>
  <c r="I462" i="5"/>
  <c r="J462" i="5"/>
  <c r="M462" i="5"/>
  <c r="O462" i="5"/>
  <c r="P462" i="5"/>
  <c r="Q462" i="5"/>
  <c r="R462" i="5"/>
  <c r="S462" i="5"/>
  <c r="T462" i="5"/>
  <c r="U462" i="5"/>
  <c r="W462" i="5"/>
  <c r="X462" i="5"/>
  <c r="Y462" i="5"/>
  <c r="Z462" i="5"/>
  <c r="AA462" i="5"/>
  <c r="I463" i="5"/>
  <c r="J463" i="5"/>
  <c r="M463" i="5"/>
  <c r="O463" i="5"/>
  <c r="P463" i="5"/>
  <c r="Q463" i="5"/>
  <c r="R463" i="5"/>
  <c r="S463" i="5"/>
  <c r="T463" i="5"/>
  <c r="U463" i="5"/>
  <c r="W463" i="5"/>
  <c r="X463" i="5"/>
  <c r="Y463" i="5"/>
  <c r="Z463" i="5"/>
  <c r="AA463" i="5"/>
  <c r="I464" i="5"/>
  <c r="J464" i="5"/>
  <c r="M464" i="5"/>
  <c r="O464" i="5"/>
  <c r="P464" i="5"/>
  <c r="Q464" i="5"/>
  <c r="R464" i="5"/>
  <c r="S464" i="5"/>
  <c r="T464" i="5"/>
  <c r="U464" i="5"/>
  <c r="W464" i="5"/>
  <c r="X464" i="5"/>
  <c r="Y464" i="5"/>
  <c r="Z464" i="5"/>
  <c r="AA464" i="5"/>
  <c r="I465" i="5"/>
  <c r="J465" i="5"/>
  <c r="M465" i="5"/>
  <c r="O465" i="5"/>
  <c r="P465" i="5"/>
  <c r="Q465" i="5"/>
  <c r="R465" i="5"/>
  <c r="S465" i="5"/>
  <c r="T465" i="5"/>
  <c r="U465" i="5"/>
  <c r="W465" i="5"/>
  <c r="X465" i="5"/>
  <c r="Y465" i="5"/>
  <c r="Z465" i="5"/>
  <c r="AA465" i="5"/>
  <c r="I466" i="5"/>
  <c r="J466" i="5"/>
  <c r="M466" i="5"/>
  <c r="O466" i="5"/>
  <c r="P466" i="5"/>
  <c r="Q466" i="5"/>
  <c r="R466" i="5"/>
  <c r="S466" i="5"/>
  <c r="T466" i="5"/>
  <c r="U466" i="5"/>
  <c r="W466" i="5"/>
  <c r="X466" i="5"/>
  <c r="Y466" i="5"/>
  <c r="Z466" i="5"/>
  <c r="AA466" i="5"/>
  <c r="I467" i="5"/>
  <c r="J467" i="5"/>
  <c r="M467" i="5"/>
  <c r="O467" i="5"/>
  <c r="P467" i="5"/>
  <c r="Q467" i="5"/>
  <c r="R467" i="5"/>
  <c r="S467" i="5"/>
  <c r="T467" i="5"/>
  <c r="U467" i="5"/>
  <c r="W467" i="5"/>
  <c r="X467" i="5"/>
  <c r="Y467" i="5"/>
  <c r="Z467" i="5"/>
  <c r="AA467" i="5"/>
  <c r="I468" i="5"/>
  <c r="J468" i="5"/>
  <c r="M468" i="5"/>
  <c r="O468" i="5"/>
  <c r="P468" i="5"/>
  <c r="Q468" i="5"/>
  <c r="R468" i="5"/>
  <c r="S468" i="5"/>
  <c r="T468" i="5"/>
  <c r="U468" i="5"/>
  <c r="W468" i="5"/>
  <c r="X468" i="5"/>
  <c r="Y468" i="5"/>
  <c r="Z468" i="5"/>
  <c r="AA468" i="5"/>
  <c r="I469" i="5"/>
  <c r="J469" i="5"/>
  <c r="M469" i="5"/>
  <c r="O469" i="5"/>
  <c r="P469" i="5"/>
  <c r="Q469" i="5"/>
  <c r="R469" i="5"/>
  <c r="S469" i="5"/>
  <c r="T469" i="5"/>
  <c r="U469" i="5"/>
  <c r="W469" i="5"/>
  <c r="X469" i="5"/>
  <c r="Y469" i="5"/>
  <c r="Z469" i="5"/>
  <c r="AA469" i="5"/>
  <c r="I470" i="5"/>
  <c r="J470" i="5"/>
  <c r="M470" i="5"/>
  <c r="O470" i="5"/>
  <c r="P470" i="5"/>
  <c r="Q470" i="5"/>
  <c r="R470" i="5"/>
  <c r="S470" i="5"/>
  <c r="T470" i="5"/>
  <c r="U470" i="5"/>
  <c r="W470" i="5"/>
  <c r="X470" i="5"/>
  <c r="Y470" i="5"/>
  <c r="Z470" i="5"/>
  <c r="AA470" i="5"/>
  <c r="I471" i="5"/>
  <c r="J471" i="5"/>
  <c r="M471" i="5"/>
  <c r="O471" i="5"/>
  <c r="P471" i="5"/>
  <c r="Q471" i="5"/>
  <c r="R471" i="5"/>
  <c r="S471" i="5"/>
  <c r="T471" i="5"/>
  <c r="U471" i="5"/>
  <c r="W471" i="5"/>
  <c r="X471" i="5"/>
  <c r="Y471" i="5"/>
  <c r="Z471" i="5"/>
  <c r="AA471" i="5"/>
  <c r="I472" i="5"/>
  <c r="J472" i="5"/>
  <c r="M472" i="5"/>
  <c r="O472" i="5"/>
  <c r="P472" i="5"/>
  <c r="Q472" i="5"/>
  <c r="R472" i="5"/>
  <c r="S472" i="5"/>
  <c r="T472" i="5"/>
  <c r="U472" i="5"/>
  <c r="W472" i="5"/>
  <c r="X472" i="5"/>
  <c r="Y472" i="5"/>
  <c r="Z472" i="5"/>
  <c r="AA472" i="5"/>
  <c r="I473" i="5"/>
  <c r="J473" i="5"/>
  <c r="M473" i="5"/>
  <c r="O473" i="5"/>
  <c r="P473" i="5"/>
  <c r="Q473" i="5"/>
  <c r="R473" i="5"/>
  <c r="S473" i="5"/>
  <c r="T473" i="5"/>
  <c r="U473" i="5"/>
  <c r="W473" i="5"/>
  <c r="X473" i="5"/>
  <c r="Y473" i="5"/>
  <c r="Z473" i="5"/>
  <c r="AA473" i="5"/>
  <c r="I474" i="5"/>
  <c r="J474" i="5"/>
  <c r="M474" i="5"/>
  <c r="O474" i="5"/>
  <c r="P474" i="5"/>
  <c r="Q474" i="5"/>
  <c r="R474" i="5"/>
  <c r="S474" i="5"/>
  <c r="T474" i="5"/>
  <c r="U474" i="5"/>
  <c r="W474" i="5"/>
  <c r="X474" i="5"/>
  <c r="Y474" i="5"/>
  <c r="Z474" i="5"/>
  <c r="AA474" i="5"/>
  <c r="I475" i="5"/>
  <c r="J475" i="5"/>
  <c r="M475" i="5"/>
  <c r="O475" i="5"/>
  <c r="P475" i="5"/>
  <c r="Q475" i="5"/>
  <c r="R475" i="5"/>
  <c r="S475" i="5"/>
  <c r="T475" i="5"/>
  <c r="U475" i="5"/>
  <c r="W475" i="5"/>
  <c r="X475" i="5"/>
  <c r="Y475" i="5"/>
  <c r="Z475" i="5"/>
  <c r="AA475" i="5"/>
  <c r="I476" i="5"/>
  <c r="J476" i="5"/>
  <c r="M476" i="5"/>
  <c r="O476" i="5"/>
  <c r="P476" i="5"/>
  <c r="Q476" i="5"/>
  <c r="R476" i="5"/>
  <c r="S476" i="5"/>
  <c r="T476" i="5"/>
  <c r="U476" i="5"/>
  <c r="W476" i="5"/>
  <c r="X476" i="5"/>
  <c r="Y476" i="5"/>
  <c r="Z476" i="5"/>
  <c r="AA476" i="5"/>
  <c r="I477" i="5"/>
  <c r="J477" i="5"/>
  <c r="M477" i="5"/>
  <c r="O477" i="5"/>
  <c r="P477" i="5"/>
  <c r="Q477" i="5"/>
  <c r="R477" i="5"/>
  <c r="S477" i="5"/>
  <c r="T477" i="5"/>
  <c r="U477" i="5"/>
  <c r="W477" i="5"/>
  <c r="X477" i="5"/>
  <c r="Y477" i="5"/>
  <c r="Z477" i="5"/>
  <c r="AA477" i="5"/>
  <c r="I478" i="5"/>
  <c r="J478" i="5"/>
  <c r="M478" i="5"/>
  <c r="O478" i="5"/>
  <c r="P478" i="5"/>
  <c r="Q478" i="5"/>
  <c r="R478" i="5"/>
  <c r="S478" i="5"/>
  <c r="T478" i="5"/>
  <c r="U478" i="5"/>
  <c r="W478" i="5"/>
  <c r="X478" i="5"/>
  <c r="Y478" i="5"/>
  <c r="Z478" i="5"/>
  <c r="AA478" i="5"/>
  <c r="I479" i="5"/>
  <c r="J479" i="5"/>
  <c r="M479" i="5"/>
  <c r="O479" i="5"/>
  <c r="P479" i="5"/>
  <c r="Q479" i="5"/>
  <c r="R479" i="5"/>
  <c r="S479" i="5"/>
  <c r="T479" i="5"/>
  <c r="U479" i="5"/>
  <c r="W479" i="5"/>
  <c r="X479" i="5"/>
  <c r="Y479" i="5"/>
  <c r="Z479" i="5"/>
  <c r="AA479" i="5"/>
  <c r="I480" i="5"/>
  <c r="J480" i="5"/>
  <c r="M480" i="5"/>
  <c r="O480" i="5"/>
  <c r="P480" i="5"/>
  <c r="Q480" i="5"/>
  <c r="R480" i="5"/>
  <c r="S480" i="5"/>
  <c r="T480" i="5"/>
  <c r="U480" i="5"/>
  <c r="W480" i="5"/>
  <c r="X480" i="5"/>
  <c r="Y480" i="5"/>
  <c r="Z480" i="5"/>
  <c r="AA480" i="5"/>
  <c r="I481" i="5"/>
  <c r="J481" i="5"/>
  <c r="M481" i="5"/>
  <c r="O481" i="5"/>
  <c r="P481" i="5"/>
  <c r="Q481" i="5"/>
  <c r="R481" i="5"/>
  <c r="S481" i="5"/>
  <c r="T481" i="5"/>
  <c r="U481" i="5"/>
  <c r="W481" i="5"/>
  <c r="X481" i="5"/>
  <c r="Y481" i="5"/>
  <c r="Z481" i="5"/>
  <c r="AA481" i="5"/>
  <c r="I482" i="5"/>
  <c r="J482" i="5"/>
  <c r="M482" i="5"/>
  <c r="O482" i="5"/>
  <c r="P482" i="5"/>
  <c r="Q482" i="5"/>
  <c r="R482" i="5"/>
  <c r="S482" i="5"/>
  <c r="T482" i="5"/>
  <c r="U482" i="5"/>
  <c r="W482" i="5"/>
  <c r="X482" i="5"/>
  <c r="Y482" i="5"/>
  <c r="Z482" i="5"/>
  <c r="AA482" i="5"/>
  <c r="I483" i="5"/>
  <c r="J483" i="5"/>
  <c r="M483" i="5"/>
  <c r="O483" i="5"/>
  <c r="P483" i="5"/>
  <c r="Q483" i="5"/>
  <c r="R483" i="5"/>
  <c r="S483" i="5"/>
  <c r="T483" i="5"/>
  <c r="U483" i="5"/>
  <c r="W483" i="5"/>
  <c r="X483" i="5"/>
  <c r="Y483" i="5"/>
  <c r="Z483" i="5"/>
  <c r="AA483" i="5"/>
  <c r="I484" i="5"/>
  <c r="J484" i="5"/>
  <c r="M484" i="5"/>
  <c r="O484" i="5"/>
  <c r="P484" i="5"/>
  <c r="Q484" i="5"/>
  <c r="R484" i="5"/>
  <c r="S484" i="5"/>
  <c r="T484" i="5"/>
  <c r="U484" i="5"/>
  <c r="W484" i="5"/>
  <c r="X484" i="5"/>
  <c r="Y484" i="5"/>
  <c r="Z484" i="5"/>
  <c r="AA484" i="5"/>
  <c r="I485" i="5"/>
  <c r="J485" i="5"/>
  <c r="M485" i="5"/>
  <c r="O485" i="5"/>
  <c r="P485" i="5"/>
  <c r="Q485" i="5"/>
  <c r="R485" i="5"/>
  <c r="S485" i="5"/>
  <c r="T485" i="5"/>
  <c r="U485" i="5"/>
  <c r="W485" i="5"/>
  <c r="X485" i="5"/>
  <c r="Y485" i="5"/>
  <c r="Z485" i="5"/>
  <c r="AA485" i="5"/>
  <c r="I486" i="5"/>
  <c r="J486" i="5"/>
  <c r="M486" i="5"/>
  <c r="O486" i="5"/>
  <c r="P486" i="5"/>
  <c r="Q486" i="5"/>
  <c r="R486" i="5"/>
  <c r="S486" i="5"/>
  <c r="T486" i="5"/>
  <c r="U486" i="5"/>
  <c r="W486" i="5"/>
  <c r="X486" i="5"/>
  <c r="Y486" i="5"/>
  <c r="Z486" i="5"/>
  <c r="AA486" i="5"/>
  <c r="I487" i="5"/>
  <c r="J487" i="5"/>
  <c r="M487" i="5"/>
  <c r="O487" i="5"/>
  <c r="P487" i="5"/>
  <c r="Q487" i="5"/>
  <c r="R487" i="5"/>
  <c r="S487" i="5"/>
  <c r="T487" i="5"/>
  <c r="U487" i="5"/>
  <c r="W487" i="5"/>
  <c r="X487" i="5"/>
  <c r="Y487" i="5"/>
  <c r="Z487" i="5"/>
  <c r="AA487" i="5"/>
  <c r="I488" i="5"/>
  <c r="J488" i="5"/>
  <c r="M488" i="5"/>
  <c r="O488" i="5"/>
  <c r="P488" i="5"/>
  <c r="Q488" i="5"/>
  <c r="R488" i="5"/>
  <c r="S488" i="5"/>
  <c r="T488" i="5"/>
  <c r="U488" i="5"/>
  <c r="W488" i="5"/>
  <c r="X488" i="5"/>
  <c r="Y488" i="5"/>
  <c r="Z488" i="5"/>
  <c r="AA488" i="5"/>
  <c r="I489" i="5"/>
  <c r="J489" i="5"/>
  <c r="M489" i="5"/>
  <c r="O489" i="5"/>
  <c r="P489" i="5"/>
  <c r="Q489" i="5"/>
  <c r="R489" i="5"/>
  <c r="S489" i="5"/>
  <c r="T489" i="5"/>
  <c r="U489" i="5"/>
  <c r="W489" i="5"/>
  <c r="X489" i="5"/>
  <c r="Y489" i="5"/>
  <c r="Z489" i="5"/>
  <c r="AA489" i="5"/>
  <c r="I490" i="5"/>
  <c r="J490" i="5"/>
  <c r="M490" i="5"/>
  <c r="O490" i="5"/>
  <c r="P490" i="5"/>
  <c r="Q490" i="5"/>
  <c r="R490" i="5"/>
  <c r="S490" i="5"/>
  <c r="T490" i="5"/>
  <c r="U490" i="5"/>
  <c r="W490" i="5"/>
  <c r="X490" i="5"/>
  <c r="Y490" i="5"/>
  <c r="Z490" i="5"/>
  <c r="AA490" i="5"/>
  <c r="I491" i="5"/>
  <c r="J491" i="5"/>
  <c r="M491" i="5"/>
  <c r="O491" i="5"/>
  <c r="P491" i="5"/>
  <c r="Q491" i="5"/>
  <c r="R491" i="5"/>
  <c r="S491" i="5"/>
  <c r="T491" i="5"/>
  <c r="U491" i="5"/>
  <c r="W491" i="5"/>
  <c r="X491" i="5"/>
  <c r="Y491" i="5"/>
  <c r="Z491" i="5"/>
  <c r="AA491" i="5"/>
  <c r="I492" i="5"/>
  <c r="J492" i="5"/>
  <c r="M492" i="5"/>
  <c r="O492" i="5"/>
  <c r="P492" i="5"/>
  <c r="Q492" i="5"/>
  <c r="R492" i="5"/>
  <c r="S492" i="5"/>
  <c r="T492" i="5"/>
  <c r="U492" i="5"/>
  <c r="W492" i="5"/>
  <c r="X492" i="5"/>
  <c r="Y492" i="5"/>
  <c r="Z492" i="5"/>
  <c r="AA492" i="5"/>
  <c r="I493" i="5"/>
  <c r="J493" i="5"/>
  <c r="M493" i="5"/>
  <c r="O493" i="5"/>
  <c r="P493" i="5"/>
  <c r="Q493" i="5"/>
  <c r="R493" i="5"/>
  <c r="S493" i="5"/>
  <c r="T493" i="5"/>
  <c r="U493" i="5"/>
  <c r="W493" i="5"/>
  <c r="X493" i="5"/>
  <c r="Y493" i="5"/>
  <c r="Z493" i="5"/>
  <c r="AA493" i="5"/>
  <c r="I494" i="5"/>
  <c r="J494" i="5"/>
  <c r="M494" i="5"/>
  <c r="O494" i="5"/>
  <c r="P494" i="5"/>
  <c r="Q494" i="5"/>
  <c r="R494" i="5"/>
  <c r="S494" i="5"/>
  <c r="T494" i="5"/>
  <c r="U494" i="5"/>
  <c r="W494" i="5"/>
  <c r="X494" i="5"/>
  <c r="Y494" i="5"/>
  <c r="Z494" i="5"/>
  <c r="AA494" i="5"/>
  <c r="I495" i="5"/>
  <c r="J495" i="5"/>
  <c r="M495" i="5"/>
  <c r="O495" i="5"/>
  <c r="P495" i="5"/>
  <c r="Q495" i="5"/>
  <c r="R495" i="5"/>
  <c r="S495" i="5"/>
  <c r="T495" i="5"/>
  <c r="U495" i="5"/>
  <c r="W495" i="5"/>
  <c r="X495" i="5"/>
  <c r="Y495" i="5"/>
  <c r="Z495" i="5"/>
  <c r="AA495" i="5"/>
  <c r="I496" i="5"/>
  <c r="J496" i="5"/>
  <c r="M496" i="5"/>
  <c r="O496" i="5"/>
  <c r="P496" i="5"/>
  <c r="Q496" i="5"/>
  <c r="R496" i="5"/>
  <c r="S496" i="5"/>
  <c r="T496" i="5"/>
  <c r="U496" i="5"/>
  <c r="W496" i="5"/>
  <c r="X496" i="5"/>
  <c r="Y496" i="5"/>
  <c r="Z496" i="5"/>
  <c r="AA496" i="5"/>
  <c r="I497" i="5"/>
  <c r="J497" i="5"/>
  <c r="M497" i="5"/>
  <c r="O497" i="5"/>
  <c r="P497" i="5"/>
  <c r="Q497" i="5"/>
  <c r="R497" i="5"/>
  <c r="S497" i="5"/>
  <c r="T497" i="5"/>
  <c r="U497" i="5"/>
  <c r="W497" i="5"/>
  <c r="X497" i="5"/>
  <c r="Y497" i="5"/>
  <c r="Z497" i="5"/>
  <c r="AA497" i="5"/>
  <c r="I498" i="5"/>
  <c r="J498" i="5"/>
  <c r="M498" i="5"/>
  <c r="O498" i="5"/>
  <c r="P498" i="5"/>
  <c r="Q498" i="5"/>
  <c r="R498" i="5"/>
  <c r="S498" i="5"/>
  <c r="T498" i="5"/>
  <c r="U498" i="5"/>
  <c r="W498" i="5"/>
  <c r="X498" i="5"/>
  <c r="Y498" i="5"/>
  <c r="Z498" i="5"/>
  <c r="AA498" i="5"/>
  <c r="I499" i="5"/>
  <c r="J499" i="5"/>
  <c r="M499" i="5"/>
  <c r="O499" i="5"/>
  <c r="P499" i="5"/>
  <c r="Q499" i="5"/>
  <c r="R499" i="5"/>
  <c r="S499" i="5"/>
  <c r="T499" i="5"/>
  <c r="U499" i="5"/>
  <c r="W499" i="5"/>
  <c r="X499" i="5"/>
  <c r="Y499" i="5"/>
  <c r="Z499" i="5"/>
  <c r="AA499" i="5"/>
  <c r="I500" i="5"/>
  <c r="J500" i="5"/>
  <c r="M500" i="5"/>
  <c r="O500" i="5"/>
  <c r="P500" i="5"/>
  <c r="Q500" i="5"/>
  <c r="R500" i="5"/>
  <c r="S500" i="5"/>
  <c r="T500" i="5"/>
  <c r="U500" i="5"/>
  <c r="W500" i="5"/>
  <c r="X500" i="5"/>
  <c r="Y500" i="5"/>
  <c r="Z500" i="5"/>
  <c r="AA500" i="5"/>
  <c r="I501" i="5"/>
  <c r="J501" i="5"/>
  <c r="M501" i="5"/>
  <c r="O501" i="5"/>
  <c r="P501" i="5"/>
  <c r="Q501" i="5"/>
  <c r="R501" i="5"/>
  <c r="S501" i="5"/>
  <c r="T501" i="5"/>
  <c r="U501" i="5"/>
  <c r="W501" i="5"/>
  <c r="X501" i="5"/>
  <c r="Y501" i="5"/>
  <c r="Z501" i="5"/>
  <c r="AA501" i="5"/>
  <c r="I502" i="5"/>
  <c r="J502" i="5"/>
  <c r="M502" i="5"/>
  <c r="O502" i="5"/>
  <c r="P502" i="5"/>
  <c r="Q502" i="5"/>
  <c r="R502" i="5"/>
  <c r="S502" i="5"/>
  <c r="T502" i="5"/>
  <c r="U502" i="5"/>
  <c r="W502" i="5"/>
  <c r="X502" i="5"/>
  <c r="Y502" i="5"/>
  <c r="Z502" i="5"/>
  <c r="AA502" i="5"/>
  <c r="I503" i="5"/>
  <c r="J503" i="5"/>
  <c r="M503" i="5"/>
  <c r="O503" i="5"/>
  <c r="P503" i="5"/>
  <c r="Q503" i="5"/>
  <c r="R503" i="5"/>
  <c r="S503" i="5"/>
  <c r="T503" i="5"/>
  <c r="U503" i="5"/>
  <c r="W503" i="5"/>
  <c r="X503" i="5"/>
  <c r="Y503" i="5"/>
  <c r="Z503" i="5"/>
  <c r="AA503" i="5"/>
  <c r="I504" i="5"/>
  <c r="J504" i="5"/>
  <c r="M504" i="5"/>
  <c r="O504" i="5"/>
  <c r="P504" i="5"/>
  <c r="Q504" i="5"/>
  <c r="R504" i="5"/>
  <c r="S504" i="5"/>
  <c r="T504" i="5"/>
  <c r="U504" i="5"/>
  <c r="W504" i="5"/>
  <c r="X504" i="5"/>
  <c r="Y504" i="5"/>
  <c r="Z504" i="5"/>
  <c r="AA504" i="5"/>
  <c r="I505" i="5"/>
  <c r="J505" i="5"/>
  <c r="M505" i="5"/>
  <c r="O505" i="5"/>
  <c r="P505" i="5"/>
  <c r="Q505" i="5"/>
  <c r="R505" i="5"/>
  <c r="S505" i="5"/>
  <c r="T505" i="5"/>
  <c r="U505" i="5"/>
  <c r="W505" i="5"/>
  <c r="X505" i="5"/>
  <c r="Y505" i="5"/>
  <c r="Z505" i="5"/>
  <c r="AA505" i="5"/>
  <c r="I506" i="5"/>
  <c r="J506" i="5"/>
  <c r="M506" i="5"/>
  <c r="O506" i="5"/>
  <c r="P506" i="5"/>
  <c r="Q506" i="5"/>
  <c r="R506" i="5"/>
  <c r="S506" i="5"/>
  <c r="T506" i="5"/>
  <c r="U506" i="5"/>
  <c r="W506" i="5"/>
  <c r="X506" i="5"/>
  <c r="Y506" i="5"/>
  <c r="Z506" i="5"/>
  <c r="AA506" i="5"/>
  <c r="I507" i="5"/>
  <c r="J507" i="5"/>
  <c r="M507" i="5"/>
  <c r="O507" i="5"/>
  <c r="P507" i="5"/>
  <c r="Q507" i="5"/>
  <c r="R507" i="5"/>
  <c r="S507" i="5"/>
  <c r="T507" i="5"/>
  <c r="U507" i="5"/>
  <c r="W507" i="5"/>
  <c r="X507" i="5"/>
  <c r="Y507" i="5"/>
  <c r="Z507" i="5"/>
  <c r="AA507" i="5"/>
  <c r="I508" i="5"/>
  <c r="J508" i="5"/>
  <c r="M508" i="5"/>
  <c r="O508" i="5"/>
  <c r="P508" i="5"/>
  <c r="Q508" i="5"/>
  <c r="R508" i="5"/>
  <c r="S508" i="5"/>
  <c r="T508" i="5"/>
  <c r="U508" i="5"/>
  <c r="W508" i="5"/>
  <c r="X508" i="5"/>
  <c r="Y508" i="5"/>
  <c r="Z508" i="5"/>
  <c r="AA508" i="5"/>
  <c r="I509" i="5"/>
  <c r="J509" i="5"/>
  <c r="M509" i="5"/>
  <c r="O509" i="5"/>
  <c r="P509" i="5"/>
  <c r="Q509" i="5"/>
  <c r="R509" i="5"/>
  <c r="S509" i="5"/>
  <c r="T509" i="5"/>
  <c r="U509" i="5"/>
  <c r="W509" i="5"/>
  <c r="X509" i="5"/>
  <c r="Y509" i="5"/>
  <c r="Z509" i="5"/>
  <c r="AA509" i="5"/>
  <c r="I510" i="5"/>
  <c r="J510" i="5"/>
  <c r="M510" i="5"/>
  <c r="O510" i="5"/>
  <c r="P510" i="5"/>
  <c r="Q510" i="5"/>
  <c r="R510" i="5"/>
  <c r="S510" i="5"/>
  <c r="T510" i="5"/>
  <c r="U510" i="5"/>
  <c r="W510" i="5"/>
  <c r="X510" i="5"/>
  <c r="Y510" i="5"/>
  <c r="Z510" i="5"/>
  <c r="AA510" i="5"/>
  <c r="I511" i="5"/>
  <c r="J511" i="5"/>
  <c r="M511" i="5"/>
  <c r="O511" i="5"/>
  <c r="P511" i="5"/>
  <c r="Q511" i="5"/>
  <c r="R511" i="5"/>
  <c r="S511" i="5"/>
  <c r="T511" i="5"/>
  <c r="U511" i="5"/>
  <c r="W511" i="5"/>
  <c r="X511" i="5"/>
  <c r="Y511" i="5"/>
  <c r="Z511" i="5"/>
  <c r="AA511" i="5"/>
  <c r="I512" i="5"/>
  <c r="J512" i="5"/>
  <c r="M512" i="5"/>
  <c r="O512" i="5"/>
  <c r="P512" i="5"/>
  <c r="Q512" i="5"/>
  <c r="R512" i="5"/>
  <c r="S512" i="5"/>
  <c r="T512" i="5"/>
  <c r="U512" i="5"/>
  <c r="W512" i="5"/>
  <c r="X512" i="5"/>
  <c r="Y512" i="5"/>
  <c r="Z512" i="5"/>
  <c r="AA512" i="5"/>
  <c r="I513" i="5"/>
  <c r="J513" i="5"/>
  <c r="M513" i="5"/>
  <c r="O513" i="5"/>
  <c r="P513" i="5"/>
  <c r="Q513" i="5"/>
  <c r="R513" i="5"/>
  <c r="S513" i="5"/>
  <c r="T513" i="5"/>
  <c r="U513" i="5"/>
  <c r="W513" i="5"/>
  <c r="X513" i="5"/>
  <c r="Y513" i="5"/>
  <c r="Z513" i="5"/>
  <c r="AA513" i="5"/>
  <c r="I514" i="5"/>
  <c r="J514" i="5"/>
  <c r="M514" i="5"/>
  <c r="O514" i="5"/>
  <c r="P514" i="5"/>
  <c r="Q514" i="5"/>
  <c r="R514" i="5"/>
  <c r="S514" i="5"/>
  <c r="T514" i="5"/>
  <c r="U514" i="5"/>
  <c r="W514" i="5"/>
  <c r="X514" i="5"/>
  <c r="Y514" i="5"/>
  <c r="Z514" i="5"/>
  <c r="AA514" i="5"/>
  <c r="I515" i="5"/>
  <c r="J515" i="5"/>
  <c r="M515" i="5"/>
  <c r="O515" i="5"/>
  <c r="P515" i="5"/>
  <c r="Q515" i="5"/>
  <c r="R515" i="5"/>
  <c r="S515" i="5"/>
  <c r="T515" i="5"/>
  <c r="U515" i="5"/>
  <c r="W515" i="5"/>
  <c r="X515" i="5"/>
  <c r="Y515" i="5"/>
  <c r="Z515" i="5"/>
  <c r="AA515" i="5"/>
  <c r="I516" i="5"/>
  <c r="J516" i="5"/>
  <c r="M516" i="5"/>
  <c r="O516" i="5"/>
  <c r="P516" i="5"/>
  <c r="Q516" i="5"/>
  <c r="R516" i="5"/>
  <c r="S516" i="5"/>
  <c r="T516" i="5"/>
  <c r="U516" i="5"/>
  <c r="W516" i="5"/>
  <c r="X516" i="5"/>
  <c r="Y516" i="5"/>
  <c r="Z516" i="5"/>
  <c r="AA516" i="5"/>
  <c r="I517" i="5"/>
  <c r="J517" i="5"/>
  <c r="M517" i="5"/>
  <c r="O517" i="5"/>
  <c r="P517" i="5"/>
  <c r="Q517" i="5"/>
  <c r="R517" i="5"/>
  <c r="S517" i="5"/>
  <c r="T517" i="5"/>
  <c r="U517" i="5"/>
  <c r="W517" i="5"/>
  <c r="X517" i="5"/>
  <c r="Y517" i="5"/>
  <c r="Z517" i="5"/>
  <c r="AA517" i="5"/>
  <c r="I518" i="5"/>
  <c r="J518" i="5"/>
  <c r="M518" i="5"/>
  <c r="O518" i="5"/>
  <c r="P518" i="5"/>
  <c r="Q518" i="5"/>
  <c r="R518" i="5"/>
  <c r="S518" i="5"/>
  <c r="T518" i="5"/>
  <c r="U518" i="5"/>
  <c r="W518" i="5"/>
  <c r="X518" i="5"/>
  <c r="Y518" i="5"/>
  <c r="Z518" i="5"/>
  <c r="AA518" i="5"/>
  <c r="I519" i="5"/>
  <c r="J519" i="5"/>
  <c r="M519" i="5"/>
  <c r="O519" i="5"/>
  <c r="P519" i="5"/>
  <c r="Q519" i="5"/>
  <c r="R519" i="5"/>
  <c r="S519" i="5"/>
  <c r="T519" i="5"/>
  <c r="U519" i="5"/>
  <c r="W519" i="5"/>
  <c r="X519" i="5"/>
  <c r="Y519" i="5"/>
  <c r="Z519" i="5"/>
  <c r="AA519" i="5"/>
  <c r="I520" i="5"/>
  <c r="J520" i="5"/>
  <c r="M520" i="5"/>
  <c r="O520" i="5"/>
  <c r="P520" i="5"/>
  <c r="Q520" i="5"/>
  <c r="R520" i="5"/>
  <c r="S520" i="5"/>
  <c r="T520" i="5"/>
  <c r="U520" i="5"/>
  <c r="W520" i="5"/>
  <c r="X520" i="5"/>
  <c r="Y520" i="5"/>
  <c r="Z520" i="5"/>
  <c r="AA520" i="5"/>
  <c r="I521" i="5"/>
  <c r="J521" i="5"/>
  <c r="M521" i="5"/>
  <c r="O521" i="5"/>
  <c r="P521" i="5"/>
  <c r="Q521" i="5"/>
  <c r="R521" i="5"/>
  <c r="S521" i="5"/>
  <c r="T521" i="5"/>
  <c r="U521" i="5"/>
  <c r="W521" i="5"/>
  <c r="X521" i="5"/>
  <c r="Y521" i="5"/>
  <c r="Z521" i="5"/>
  <c r="AA521" i="5"/>
  <c r="I522" i="5"/>
  <c r="J522" i="5"/>
  <c r="M522" i="5"/>
  <c r="O522" i="5"/>
  <c r="P522" i="5"/>
  <c r="Q522" i="5"/>
  <c r="R522" i="5"/>
  <c r="S522" i="5"/>
  <c r="T522" i="5"/>
  <c r="U522" i="5"/>
  <c r="W522" i="5"/>
  <c r="X522" i="5"/>
  <c r="Y522" i="5"/>
  <c r="Z522" i="5"/>
  <c r="AA522" i="5"/>
  <c r="I523" i="5"/>
  <c r="J523" i="5"/>
  <c r="M523" i="5"/>
  <c r="O523" i="5"/>
  <c r="P523" i="5"/>
  <c r="Q523" i="5"/>
  <c r="R523" i="5"/>
  <c r="S523" i="5"/>
  <c r="T523" i="5"/>
  <c r="U523" i="5"/>
  <c r="W523" i="5"/>
  <c r="X523" i="5"/>
  <c r="Y523" i="5"/>
  <c r="Z523" i="5"/>
  <c r="AA523" i="5"/>
  <c r="I524" i="5"/>
  <c r="J524" i="5"/>
  <c r="M524" i="5"/>
  <c r="O524" i="5"/>
  <c r="P524" i="5"/>
  <c r="Q524" i="5"/>
  <c r="R524" i="5"/>
  <c r="S524" i="5"/>
  <c r="T524" i="5"/>
  <c r="U524" i="5"/>
  <c r="W524" i="5"/>
  <c r="X524" i="5"/>
  <c r="Y524" i="5"/>
  <c r="Z524" i="5"/>
  <c r="AA524" i="5"/>
  <c r="I525" i="5"/>
  <c r="J525" i="5"/>
  <c r="M525" i="5"/>
  <c r="O525" i="5"/>
  <c r="P525" i="5"/>
  <c r="Q525" i="5"/>
  <c r="R525" i="5"/>
  <c r="S525" i="5"/>
  <c r="T525" i="5"/>
  <c r="U525" i="5"/>
  <c r="W525" i="5"/>
  <c r="X525" i="5"/>
  <c r="Y525" i="5"/>
  <c r="Z525" i="5"/>
  <c r="AA525" i="5"/>
  <c r="I526" i="5"/>
  <c r="J526" i="5"/>
  <c r="M526" i="5"/>
  <c r="O526" i="5"/>
  <c r="P526" i="5"/>
  <c r="Q526" i="5"/>
  <c r="R526" i="5"/>
  <c r="S526" i="5"/>
  <c r="T526" i="5"/>
  <c r="U526" i="5"/>
  <c r="W526" i="5"/>
  <c r="X526" i="5"/>
  <c r="Y526" i="5"/>
  <c r="Z526" i="5"/>
  <c r="AA526" i="5"/>
  <c r="I527" i="5"/>
  <c r="J527" i="5"/>
  <c r="M527" i="5"/>
  <c r="O527" i="5"/>
  <c r="P527" i="5"/>
  <c r="Q527" i="5"/>
  <c r="R527" i="5"/>
  <c r="S527" i="5"/>
  <c r="T527" i="5"/>
  <c r="U527" i="5"/>
  <c r="W527" i="5"/>
  <c r="X527" i="5"/>
  <c r="Y527" i="5"/>
  <c r="Z527" i="5"/>
  <c r="AA527" i="5"/>
  <c r="I528" i="5"/>
  <c r="J528" i="5"/>
  <c r="M528" i="5"/>
  <c r="O528" i="5"/>
  <c r="P528" i="5"/>
  <c r="Q528" i="5"/>
  <c r="R528" i="5"/>
  <c r="S528" i="5"/>
  <c r="T528" i="5"/>
  <c r="U528" i="5"/>
  <c r="W528" i="5"/>
  <c r="X528" i="5"/>
  <c r="Y528" i="5"/>
  <c r="Z528" i="5"/>
  <c r="AA528" i="5"/>
  <c r="I529" i="5"/>
  <c r="J529" i="5"/>
  <c r="M529" i="5"/>
  <c r="O529" i="5"/>
  <c r="P529" i="5"/>
  <c r="Q529" i="5"/>
  <c r="R529" i="5"/>
  <c r="S529" i="5"/>
  <c r="T529" i="5"/>
  <c r="U529" i="5"/>
  <c r="W529" i="5"/>
  <c r="X529" i="5"/>
  <c r="Y529" i="5"/>
  <c r="Z529" i="5"/>
  <c r="AA529" i="5"/>
  <c r="I530" i="5"/>
  <c r="J530" i="5"/>
  <c r="M530" i="5"/>
  <c r="O530" i="5"/>
  <c r="P530" i="5"/>
  <c r="Q530" i="5"/>
  <c r="R530" i="5"/>
  <c r="S530" i="5"/>
  <c r="T530" i="5"/>
  <c r="U530" i="5"/>
  <c r="W530" i="5"/>
  <c r="X530" i="5"/>
  <c r="Y530" i="5"/>
  <c r="Z530" i="5"/>
  <c r="AA530" i="5"/>
  <c r="I531" i="5"/>
  <c r="J531" i="5"/>
  <c r="M531" i="5"/>
  <c r="O531" i="5"/>
  <c r="P531" i="5"/>
  <c r="Q531" i="5"/>
  <c r="R531" i="5"/>
  <c r="S531" i="5"/>
  <c r="T531" i="5"/>
  <c r="U531" i="5"/>
  <c r="W531" i="5"/>
  <c r="X531" i="5"/>
  <c r="Y531" i="5"/>
  <c r="Z531" i="5"/>
  <c r="AA531" i="5"/>
  <c r="I532" i="5"/>
  <c r="J532" i="5"/>
  <c r="M532" i="5"/>
  <c r="O532" i="5"/>
  <c r="P532" i="5"/>
  <c r="Q532" i="5"/>
  <c r="R532" i="5"/>
  <c r="S532" i="5"/>
  <c r="T532" i="5"/>
  <c r="U532" i="5"/>
  <c r="W532" i="5"/>
  <c r="X532" i="5"/>
  <c r="Y532" i="5"/>
  <c r="Z532" i="5"/>
  <c r="AA532" i="5"/>
  <c r="I533" i="5"/>
  <c r="J533" i="5"/>
  <c r="M533" i="5"/>
  <c r="O533" i="5"/>
  <c r="P533" i="5"/>
  <c r="Q533" i="5"/>
  <c r="R533" i="5"/>
  <c r="S533" i="5"/>
  <c r="T533" i="5"/>
  <c r="U533" i="5"/>
  <c r="W533" i="5"/>
  <c r="X533" i="5"/>
  <c r="Y533" i="5"/>
  <c r="Z533" i="5"/>
  <c r="AA533" i="5"/>
  <c r="I534" i="5"/>
  <c r="J534" i="5"/>
  <c r="M534" i="5"/>
  <c r="O534" i="5"/>
  <c r="P534" i="5"/>
  <c r="Q534" i="5"/>
  <c r="R534" i="5"/>
  <c r="S534" i="5"/>
  <c r="T534" i="5"/>
  <c r="U534" i="5"/>
  <c r="W534" i="5"/>
  <c r="X534" i="5"/>
  <c r="Y534" i="5"/>
  <c r="Z534" i="5"/>
  <c r="AA534" i="5"/>
  <c r="I535" i="5"/>
  <c r="J535" i="5"/>
  <c r="M535" i="5"/>
  <c r="O535" i="5"/>
  <c r="P535" i="5"/>
  <c r="Q535" i="5"/>
  <c r="R535" i="5"/>
  <c r="S535" i="5"/>
  <c r="T535" i="5"/>
  <c r="U535" i="5"/>
  <c r="W535" i="5"/>
  <c r="X535" i="5"/>
  <c r="Y535" i="5"/>
  <c r="Z535" i="5"/>
  <c r="AA535" i="5"/>
  <c r="I536" i="5"/>
  <c r="J536" i="5"/>
  <c r="M536" i="5"/>
  <c r="O536" i="5"/>
  <c r="P536" i="5"/>
  <c r="Q536" i="5"/>
  <c r="R536" i="5"/>
  <c r="S536" i="5"/>
  <c r="T536" i="5"/>
  <c r="U536" i="5"/>
  <c r="W536" i="5"/>
  <c r="X536" i="5"/>
  <c r="Y536" i="5"/>
  <c r="Z536" i="5"/>
  <c r="AA536" i="5"/>
  <c r="I537" i="5"/>
  <c r="J537" i="5"/>
  <c r="M537" i="5"/>
  <c r="O537" i="5"/>
  <c r="P537" i="5"/>
  <c r="Q537" i="5"/>
  <c r="R537" i="5"/>
  <c r="S537" i="5"/>
  <c r="T537" i="5"/>
  <c r="U537" i="5"/>
  <c r="W537" i="5"/>
  <c r="X537" i="5"/>
  <c r="Y537" i="5"/>
  <c r="Z537" i="5"/>
  <c r="AA537" i="5"/>
  <c r="I538" i="5"/>
  <c r="J538" i="5"/>
  <c r="M538" i="5"/>
  <c r="O538" i="5"/>
  <c r="P538" i="5"/>
  <c r="Q538" i="5"/>
  <c r="R538" i="5"/>
  <c r="S538" i="5"/>
  <c r="T538" i="5"/>
  <c r="U538" i="5"/>
  <c r="W538" i="5"/>
  <c r="X538" i="5"/>
  <c r="Y538" i="5"/>
  <c r="Z538" i="5"/>
  <c r="AA538" i="5"/>
  <c r="I539" i="5"/>
  <c r="J539" i="5"/>
  <c r="M539" i="5"/>
  <c r="O539" i="5"/>
  <c r="P539" i="5"/>
  <c r="Q539" i="5"/>
  <c r="R539" i="5"/>
  <c r="S539" i="5"/>
  <c r="T539" i="5"/>
  <c r="U539" i="5"/>
  <c r="W539" i="5"/>
  <c r="X539" i="5"/>
  <c r="Y539" i="5"/>
  <c r="Z539" i="5"/>
  <c r="AA539" i="5"/>
  <c r="I540" i="5"/>
  <c r="J540" i="5"/>
  <c r="M540" i="5"/>
  <c r="O540" i="5"/>
  <c r="P540" i="5"/>
  <c r="Q540" i="5"/>
  <c r="R540" i="5"/>
  <c r="S540" i="5"/>
  <c r="T540" i="5"/>
  <c r="U540" i="5"/>
  <c r="W540" i="5"/>
  <c r="X540" i="5"/>
  <c r="Y540" i="5"/>
  <c r="Z540" i="5"/>
  <c r="AA540" i="5"/>
  <c r="I541" i="5"/>
  <c r="J541" i="5"/>
  <c r="M541" i="5"/>
  <c r="O541" i="5"/>
  <c r="P541" i="5"/>
  <c r="Q541" i="5"/>
  <c r="R541" i="5"/>
  <c r="S541" i="5"/>
  <c r="T541" i="5"/>
  <c r="U541" i="5"/>
  <c r="W541" i="5"/>
  <c r="X541" i="5"/>
  <c r="Y541" i="5"/>
  <c r="Z541" i="5"/>
  <c r="AA541" i="5"/>
  <c r="I542" i="5"/>
  <c r="J542" i="5"/>
  <c r="M542" i="5"/>
  <c r="O542" i="5"/>
  <c r="P542" i="5"/>
  <c r="Q542" i="5"/>
  <c r="R542" i="5"/>
  <c r="S542" i="5"/>
  <c r="T542" i="5"/>
  <c r="U542" i="5"/>
  <c r="W542" i="5"/>
  <c r="X542" i="5"/>
  <c r="Y542" i="5"/>
  <c r="Z542" i="5"/>
  <c r="AA542" i="5"/>
  <c r="I543" i="5"/>
  <c r="J543" i="5"/>
  <c r="M543" i="5"/>
  <c r="O543" i="5"/>
  <c r="P543" i="5"/>
  <c r="Q543" i="5"/>
  <c r="R543" i="5"/>
  <c r="S543" i="5"/>
  <c r="T543" i="5"/>
  <c r="U543" i="5"/>
  <c r="W543" i="5"/>
  <c r="X543" i="5"/>
  <c r="Y543" i="5"/>
  <c r="Z543" i="5"/>
  <c r="AA543" i="5"/>
  <c r="I544" i="5"/>
  <c r="J544" i="5"/>
  <c r="M544" i="5"/>
  <c r="O544" i="5"/>
  <c r="P544" i="5"/>
  <c r="Q544" i="5"/>
  <c r="R544" i="5"/>
  <c r="S544" i="5"/>
  <c r="T544" i="5"/>
  <c r="U544" i="5"/>
  <c r="W544" i="5"/>
  <c r="X544" i="5"/>
  <c r="Y544" i="5"/>
  <c r="Z544" i="5"/>
  <c r="AA544" i="5"/>
  <c r="I545" i="5"/>
  <c r="J545" i="5"/>
  <c r="M545" i="5"/>
  <c r="O545" i="5"/>
  <c r="P545" i="5"/>
  <c r="Q545" i="5"/>
  <c r="R545" i="5"/>
  <c r="S545" i="5"/>
  <c r="T545" i="5"/>
  <c r="U545" i="5"/>
  <c r="W545" i="5"/>
  <c r="X545" i="5"/>
  <c r="Y545" i="5"/>
  <c r="Z545" i="5"/>
  <c r="AA545" i="5"/>
  <c r="I546" i="5"/>
  <c r="J546" i="5"/>
  <c r="M546" i="5"/>
  <c r="O546" i="5"/>
  <c r="P546" i="5"/>
  <c r="Q546" i="5"/>
  <c r="R546" i="5"/>
  <c r="S546" i="5"/>
  <c r="T546" i="5"/>
  <c r="U546" i="5"/>
  <c r="W546" i="5"/>
  <c r="X546" i="5"/>
  <c r="Y546" i="5"/>
  <c r="Z546" i="5"/>
  <c r="AA546" i="5"/>
  <c r="I547" i="5"/>
  <c r="J547" i="5"/>
  <c r="M547" i="5"/>
  <c r="O547" i="5"/>
  <c r="P547" i="5"/>
  <c r="Q547" i="5"/>
  <c r="R547" i="5"/>
  <c r="S547" i="5"/>
  <c r="T547" i="5"/>
  <c r="U547" i="5"/>
  <c r="W547" i="5"/>
  <c r="X547" i="5"/>
  <c r="Y547" i="5"/>
  <c r="Z547" i="5"/>
  <c r="AA547" i="5"/>
  <c r="I548" i="5"/>
  <c r="J548" i="5"/>
  <c r="M548" i="5"/>
  <c r="O548" i="5"/>
  <c r="P548" i="5"/>
  <c r="Q548" i="5"/>
  <c r="R548" i="5"/>
  <c r="S548" i="5"/>
  <c r="T548" i="5"/>
  <c r="U548" i="5"/>
  <c r="W548" i="5"/>
  <c r="X548" i="5"/>
  <c r="Y548" i="5"/>
  <c r="Z548" i="5"/>
  <c r="AA548" i="5"/>
  <c r="I549" i="5"/>
  <c r="J549" i="5"/>
  <c r="M549" i="5"/>
  <c r="O549" i="5"/>
  <c r="P549" i="5"/>
  <c r="Q549" i="5"/>
  <c r="R549" i="5"/>
  <c r="S549" i="5"/>
  <c r="T549" i="5"/>
  <c r="U549" i="5"/>
  <c r="W549" i="5"/>
  <c r="X549" i="5"/>
  <c r="Y549" i="5"/>
  <c r="Z549" i="5"/>
  <c r="AA549" i="5"/>
  <c r="I550" i="5"/>
  <c r="J550" i="5"/>
  <c r="M550" i="5"/>
  <c r="O550" i="5"/>
  <c r="P550" i="5"/>
  <c r="Q550" i="5"/>
  <c r="R550" i="5"/>
  <c r="S550" i="5"/>
  <c r="T550" i="5"/>
  <c r="U550" i="5"/>
  <c r="W550" i="5"/>
  <c r="X550" i="5"/>
  <c r="Y550" i="5"/>
  <c r="Z550" i="5"/>
  <c r="AA550" i="5"/>
  <c r="I551" i="5"/>
  <c r="J551" i="5"/>
  <c r="M551" i="5"/>
  <c r="O551" i="5"/>
  <c r="P551" i="5"/>
  <c r="Q551" i="5"/>
  <c r="R551" i="5"/>
  <c r="S551" i="5"/>
  <c r="T551" i="5"/>
  <c r="U551" i="5"/>
  <c r="W551" i="5"/>
  <c r="X551" i="5"/>
  <c r="Y551" i="5"/>
  <c r="Z551" i="5"/>
  <c r="AA551" i="5"/>
  <c r="I552" i="5"/>
  <c r="J552" i="5"/>
  <c r="M552" i="5"/>
  <c r="O552" i="5"/>
  <c r="P552" i="5"/>
  <c r="Q552" i="5"/>
  <c r="R552" i="5"/>
  <c r="S552" i="5"/>
  <c r="T552" i="5"/>
  <c r="U552" i="5"/>
  <c r="W552" i="5"/>
  <c r="X552" i="5"/>
  <c r="Y552" i="5"/>
  <c r="Z552" i="5"/>
  <c r="AA552" i="5"/>
  <c r="I553" i="5"/>
  <c r="J553" i="5"/>
  <c r="M553" i="5"/>
  <c r="O553" i="5"/>
  <c r="P553" i="5"/>
  <c r="Q553" i="5"/>
  <c r="R553" i="5"/>
  <c r="S553" i="5"/>
  <c r="T553" i="5"/>
  <c r="U553" i="5"/>
  <c r="W553" i="5"/>
  <c r="X553" i="5"/>
  <c r="Y553" i="5"/>
  <c r="Z553" i="5"/>
  <c r="AA553" i="5"/>
  <c r="I554" i="5"/>
  <c r="J554" i="5"/>
  <c r="M554" i="5"/>
  <c r="O554" i="5"/>
  <c r="P554" i="5"/>
  <c r="Q554" i="5"/>
  <c r="R554" i="5"/>
  <c r="S554" i="5"/>
  <c r="T554" i="5"/>
  <c r="U554" i="5"/>
  <c r="W554" i="5"/>
  <c r="X554" i="5"/>
  <c r="Y554" i="5"/>
  <c r="Z554" i="5"/>
  <c r="AA554" i="5"/>
  <c r="I555" i="5"/>
  <c r="J555" i="5"/>
  <c r="M555" i="5"/>
  <c r="O555" i="5"/>
  <c r="P555" i="5"/>
  <c r="Q555" i="5"/>
  <c r="R555" i="5"/>
  <c r="S555" i="5"/>
  <c r="T555" i="5"/>
  <c r="U555" i="5"/>
  <c r="W555" i="5"/>
  <c r="X555" i="5"/>
  <c r="Y555" i="5"/>
  <c r="Z555" i="5"/>
  <c r="AA555" i="5"/>
  <c r="I556" i="5"/>
  <c r="J556" i="5"/>
  <c r="M556" i="5"/>
  <c r="O556" i="5"/>
  <c r="P556" i="5"/>
  <c r="Q556" i="5"/>
  <c r="R556" i="5"/>
  <c r="S556" i="5"/>
  <c r="T556" i="5"/>
  <c r="U556" i="5"/>
  <c r="W556" i="5"/>
  <c r="X556" i="5"/>
  <c r="Y556" i="5"/>
  <c r="Z556" i="5"/>
  <c r="AA556" i="5"/>
  <c r="I557" i="5"/>
  <c r="J557" i="5"/>
  <c r="M557" i="5"/>
  <c r="O557" i="5"/>
  <c r="P557" i="5"/>
  <c r="Q557" i="5"/>
  <c r="R557" i="5"/>
  <c r="S557" i="5"/>
  <c r="T557" i="5"/>
  <c r="U557" i="5"/>
  <c r="W557" i="5"/>
  <c r="X557" i="5"/>
  <c r="Y557" i="5"/>
  <c r="Z557" i="5"/>
  <c r="AA557" i="5"/>
  <c r="I558" i="5"/>
  <c r="J558" i="5"/>
  <c r="M558" i="5"/>
  <c r="O558" i="5"/>
  <c r="P558" i="5"/>
  <c r="Q558" i="5"/>
  <c r="R558" i="5"/>
  <c r="S558" i="5"/>
  <c r="T558" i="5"/>
  <c r="U558" i="5"/>
  <c r="W558" i="5"/>
  <c r="X558" i="5"/>
  <c r="Y558" i="5"/>
  <c r="Z558" i="5"/>
  <c r="AA558" i="5"/>
  <c r="I559" i="5"/>
  <c r="J559" i="5"/>
  <c r="M559" i="5"/>
  <c r="O559" i="5"/>
  <c r="P559" i="5"/>
  <c r="Q559" i="5"/>
  <c r="R559" i="5"/>
  <c r="S559" i="5"/>
  <c r="T559" i="5"/>
  <c r="U559" i="5"/>
  <c r="W559" i="5"/>
  <c r="X559" i="5"/>
  <c r="Y559" i="5"/>
  <c r="Z559" i="5"/>
  <c r="AA559" i="5"/>
  <c r="I560" i="5"/>
  <c r="J560" i="5"/>
  <c r="M560" i="5"/>
  <c r="O560" i="5"/>
  <c r="P560" i="5"/>
  <c r="Q560" i="5"/>
  <c r="R560" i="5"/>
  <c r="S560" i="5"/>
  <c r="T560" i="5"/>
  <c r="U560" i="5"/>
  <c r="W560" i="5"/>
  <c r="X560" i="5"/>
  <c r="Y560" i="5"/>
  <c r="Z560" i="5"/>
  <c r="AA560" i="5"/>
  <c r="I561" i="5"/>
  <c r="J561" i="5"/>
  <c r="M561" i="5"/>
  <c r="O561" i="5"/>
  <c r="P561" i="5"/>
  <c r="Q561" i="5"/>
  <c r="R561" i="5"/>
  <c r="S561" i="5"/>
  <c r="T561" i="5"/>
  <c r="U561" i="5"/>
  <c r="W561" i="5"/>
  <c r="X561" i="5"/>
  <c r="Y561" i="5"/>
  <c r="Z561" i="5"/>
  <c r="AA561" i="5"/>
  <c r="I562" i="5"/>
  <c r="J562" i="5"/>
  <c r="M562" i="5"/>
  <c r="O562" i="5"/>
  <c r="P562" i="5"/>
  <c r="Q562" i="5"/>
  <c r="R562" i="5"/>
  <c r="S562" i="5"/>
  <c r="T562" i="5"/>
  <c r="U562" i="5"/>
  <c r="W562" i="5"/>
  <c r="X562" i="5"/>
  <c r="Y562" i="5"/>
  <c r="Z562" i="5"/>
  <c r="AA562" i="5"/>
  <c r="I563" i="5"/>
  <c r="J563" i="5"/>
  <c r="M563" i="5"/>
  <c r="O563" i="5"/>
  <c r="P563" i="5"/>
  <c r="Q563" i="5"/>
  <c r="R563" i="5"/>
  <c r="S563" i="5"/>
  <c r="T563" i="5"/>
  <c r="U563" i="5"/>
  <c r="W563" i="5"/>
  <c r="X563" i="5"/>
  <c r="Y563" i="5"/>
  <c r="Z563" i="5"/>
  <c r="AA563" i="5"/>
  <c r="I564" i="5"/>
  <c r="J564" i="5"/>
  <c r="M564" i="5"/>
  <c r="O564" i="5"/>
  <c r="P564" i="5"/>
  <c r="Q564" i="5"/>
  <c r="R564" i="5"/>
  <c r="S564" i="5"/>
  <c r="T564" i="5"/>
  <c r="U564" i="5"/>
  <c r="W564" i="5"/>
  <c r="X564" i="5"/>
  <c r="Y564" i="5"/>
  <c r="Z564" i="5"/>
  <c r="AA564" i="5"/>
  <c r="I565" i="5"/>
  <c r="J565" i="5"/>
  <c r="M565" i="5"/>
  <c r="O565" i="5"/>
  <c r="P565" i="5"/>
  <c r="Q565" i="5"/>
  <c r="R565" i="5"/>
  <c r="S565" i="5"/>
  <c r="T565" i="5"/>
  <c r="U565" i="5"/>
  <c r="W565" i="5"/>
  <c r="X565" i="5"/>
  <c r="Y565" i="5"/>
  <c r="Z565" i="5"/>
  <c r="AA565" i="5"/>
  <c r="I566" i="5"/>
  <c r="J566" i="5"/>
  <c r="M566" i="5"/>
  <c r="O566" i="5"/>
  <c r="P566" i="5"/>
  <c r="Q566" i="5"/>
  <c r="R566" i="5"/>
  <c r="S566" i="5"/>
  <c r="T566" i="5"/>
  <c r="U566" i="5"/>
  <c r="W566" i="5"/>
  <c r="X566" i="5"/>
  <c r="Y566" i="5"/>
  <c r="Z566" i="5"/>
  <c r="AA566" i="5"/>
  <c r="I567" i="5"/>
  <c r="J567" i="5"/>
  <c r="M567" i="5"/>
  <c r="O567" i="5"/>
  <c r="P567" i="5"/>
  <c r="Q567" i="5"/>
  <c r="R567" i="5"/>
  <c r="S567" i="5"/>
  <c r="T567" i="5"/>
  <c r="U567" i="5"/>
  <c r="W567" i="5"/>
  <c r="X567" i="5"/>
  <c r="Y567" i="5"/>
  <c r="Z567" i="5"/>
  <c r="AA567" i="5"/>
  <c r="I568" i="5"/>
  <c r="J568" i="5"/>
  <c r="M568" i="5"/>
  <c r="O568" i="5"/>
  <c r="P568" i="5"/>
  <c r="Q568" i="5"/>
  <c r="R568" i="5"/>
  <c r="S568" i="5"/>
  <c r="T568" i="5"/>
  <c r="U568" i="5"/>
  <c r="W568" i="5"/>
  <c r="X568" i="5"/>
  <c r="Y568" i="5"/>
  <c r="Z568" i="5"/>
  <c r="AA568" i="5"/>
  <c r="I569" i="5"/>
  <c r="J569" i="5"/>
  <c r="M569" i="5"/>
  <c r="O569" i="5"/>
  <c r="P569" i="5"/>
  <c r="Q569" i="5"/>
  <c r="R569" i="5"/>
  <c r="S569" i="5"/>
  <c r="T569" i="5"/>
  <c r="U569" i="5"/>
  <c r="W569" i="5"/>
  <c r="X569" i="5"/>
  <c r="Y569" i="5"/>
  <c r="Z569" i="5"/>
  <c r="AA569" i="5"/>
  <c r="I570" i="5"/>
  <c r="J570" i="5"/>
  <c r="M570" i="5"/>
  <c r="O570" i="5"/>
  <c r="P570" i="5"/>
  <c r="Q570" i="5"/>
  <c r="R570" i="5"/>
  <c r="S570" i="5"/>
  <c r="T570" i="5"/>
  <c r="U570" i="5"/>
  <c r="W570" i="5"/>
  <c r="X570" i="5"/>
  <c r="Y570" i="5"/>
  <c r="Z570" i="5"/>
  <c r="AA570" i="5"/>
  <c r="I571" i="5"/>
  <c r="J571" i="5"/>
  <c r="M571" i="5"/>
  <c r="O571" i="5"/>
  <c r="P571" i="5"/>
  <c r="Q571" i="5"/>
  <c r="R571" i="5"/>
  <c r="S571" i="5"/>
  <c r="T571" i="5"/>
  <c r="U571" i="5"/>
  <c r="W571" i="5"/>
  <c r="X571" i="5"/>
  <c r="Y571" i="5"/>
  <c r="Z571" i="5"/>
  <c r="AA571" i="5"/>
  <c r="I572" i="5"/>
  <c r="J572" i="5"/>
  <c r="M572" i="5"/>
  <c r="O572" i="5"/>
  <c r="P572" i="5"/>
  <c r="Q572" i="5"/>
  <c r="R572" i="5"/>
  <c r="S572" i="5"/>
  <c r="T572" i="5"/>
  <c r="U572" i="5"/>
  <c r="W572" i="5"/>
  <c r="X572" i="5"/>
  <c r="Y572" i="5"/>
  <c r="Z572" i="5"/>
  <c r="AA572" i="5"/>
  <c r="I573" i="5"/>
  <c r="J573" i="5"/>
  <c r="M573" i="5"/>
  <c r="O573" i="5"/>
  <c r="P573" i="5"/>
  <c r="Q573" i="5"/>
  <c r="R573" i="5"/>
  <c r="S573" i="5"/>
  <c r="T573" i="5"/>
  <c r="U573" i="5"/>
  <c r="W573" i="5"/>
  <c r="X573" i="5"/>
  <c r="Y573" i="5"/>
  <c r="Z573" i="5"/>
  <c r="AA573" i="5"/>
  <c r="I574" i="5"/>
  <c r="J574" i="5"/>
  <c r="M574" i="5"/>
  <c r="O574" i="5"/>
  <c r="P574" i="5"/>
  <c r="Q574" i="5"/>
  <c r="R574" i="5"/>
  <c r="S574" i="5"/>
  <c r="T574" i="5"/>
  <c r="U574" i="5"/>
  <c r="W574" i="5"/>
  <c r="X574" i="5"/>
  <c r="Y574" i="5"/>
  <c r="Z574" i="5"/>
  <c r="AA574" i="5"/>
  <c r="I575" i="5"/>
  <c r="J575" i="5"/>
  <c r="M575" i="5"/>
  <c r="O575" i="5"/>
  <c r="P575" i="5"/>
  <c r="Q575" i="5"/>
  <c r="R575" i="5"/>
  <c r="S575" i="5"/>
  <c r="T575" i="5"/>
  <c r="U575" i="5"/>
  <c r="W575" i="5"/>
  <c r="X575" i="5"/>
  <c r="Y575" i="5"/>
  <c r="Z575" i="5"/>
  <c r="AA575" i="5"/>
  <c r="I576" i="5"/>
  <c r="J576" i="5"/>
  <c r="M576" i="5"/>
  <c r="O576" i="5"/>
  <c r="P576" i="5"/>
  <c r="Q576" i="5"/>
  <c r="R576" i="5"/>
  <c r="S576" i="5"/>
  <c r="T576" i="5"/>
  <c r="U576" i="5"/>
  <c r="W576" i="5"/>
  <c r="X576" i="5"/>
  <c r="Y576" i="5"/>
  <c r="Z576" i="5"/>
  <c r="AA576" i="5"/>
  <c r="I577" i="5"/>
  <c r="J577" i="5"/>
  <c r="M577" i="5"/>
  <c r="O577" i="5"/>
  <c r="P577" i="5"/>
  <c r="Q577" i="5"/>
  <c r="R577" i="5"/>
  <c r="S577" i="5"/>
  <c r="T577" i="5"/>
  <c r="U577" i="5"/>
  <c r="W577" i="5"/>
  <c r="X577" i="5"/>
  <c r="Y577" i="5"/>
  <c r="Z577" i="5"/>
  <c r="AA577" i="5"/>
  <c r="I578" i="5"/>
  <c r="J578" i="5"/>
  <c r="M578" i="5"/>
  <c r="O578" i="5"/>
  <c r="P578" i="5"/>
  <c r="Q578" i="5"/>
  <c r="R578" i="5"/>
  <c r="S578" i="5"/>
  <c r="T578" i="5"/>
  <c r="U578" i="5"/>
  <c r="W578" i="5"/>
  <c r="X578" i="5"/>
  <c r="Y578" i="5"/>
  <c r="Z578" i="5"/>
  <c r="AA578" i="5"/>
  <c r="I579" i="5"/>
  <c r="J579" i="5"/>
  <c r="M579" i="5"/>
  <c r="O579" i="5"/>
  <c r="P579" i="5"/>
  <c r="Q579" i="5"/>
  <c r="R579" i="5"/>
  <c r="S579" i="5"/>
  <c r="T579" i="5"/>
  <c r="U579" i="5"/>
  <c r="W579" i="5"/>
  <c r="X579" i="5"/>
  <c r="Y579" i="5"/>
  <c r="Z579" i="5"/>
  <c r="AA579" i="5"/>
  <c r="I580" i="5"/>
  <c r="J580" i="5"/>
  <c r="M580" i="5"/>
  <c r="O580" i="5"/>
  <c r="P580" i="5"/>
  <c r="Q580" i="5"/>
  <c r="R580" i="5"/>
  <c r="S580" i="5"/>
  <c r="T580" i="5"/>
  <c r="U580" i="5"/>
  <c r="W580" i="5"/>
  <c r="X580" i="5"/>
  <c r="Y580" i="5"/>
  <c r="Z580" i="5"/>
  <c r="AA580" i="5"/>
  <c r="I581" i="5"/>
  <c r="J581" i="5"/>
  <c r="M581" i="5"/>
  <c r="O581" i="5"/>
  <c r="P581" i="5"/>
  <c r="Q581" i="5"/>
  <c r="R581" i="5"/>
  <c r="S581" i="5"/>
  <c r="T581" i="5"/>
  <c r="U581" i="5"/>
  <c r="W581" i="5"/>
  <c r="X581" i="5"/>
  <c r="Y581" i="5"/>
  <c r="Z581" i="5"/>
  <c r="AA581" i="5"/>
  <c r="I582" i="5"/>
  <c r="J582" i="5"/>
  <c r="M582" i="5"/>
  <c r="O582" i="5"/>
  <c r="P582" i="5"/>
  <c r="Q582" i="5"/>
  <c r="R582" i="5"/>
  <c r="S582" i="5"/>
  <c r="T582" i="5"/>
  <c r="U582" i="5"/>
  <c r="W582" i="5"/>
  <c r="X582" i="5"/>
  <c r="Y582" i="5"/>
  <c r="Z582" i="5"/>
  <c r="AA582" i="5"/>
  <c r="I583" i="5"/>
  <c r="J583" i="5"/>
  <c r="M583" i="5"/>
  <c r="O583" i="5"/>
  <c r="P583" i="5"/>
  <c r="Q583" i="5"/>
  <c r="R583" i="5"/>
  <c r="S583" i="5"/>
  <c r="T583" i="5"/>
  <c r="U583" i="5"/>
  <c r="W583" i="5"/>
  <c r="X583" i="5"/>
  <c r="Y583" i="5"/>
  <c r="Z583" i="5"/>
  <c r="AA583" i="5"/>
  <c r="I584" i="5"/>
  <c r="J584" i="5"/>
  <c r="M584" i="5"/>
  <c r="O584" i="5"/>
  <c r="P584" i="5"/>
  <c r="Q584" i="5"/>
  <c r="R584" i="5"/>
  <c r="S584" i="5"/>
  <c r="T584" i="5"/>
  <c r="U584" i="5"/>
  <c r="W584" i="5"/>
  <c r="X584" i="5"/>
  <c r="Y584" i="5"/>
  <c r="Z584" i="5"/>
  <c r="AA584" i="5"/>
  <c r="I585" i="5"/>
  <c r="J585" i="5"/>
  <c r="M585" i="5"/>
  <c r="O585" i="5"/>
  <c r="P585" i="5"/>
  <c r="Q585" i="5"/>
  <c r="R585" i="5"/>
  <c r="S585" i="5"/>
  <c r="T585" i="5"/>
  <c r="U585" i="5"/>
  <c r="W585" i="5"/>
  <c r="X585" i="5"/>
  <c r="Y585" i="5"/>
  <c r="Z585" i="5"/>
  <c r="AA585" i="5"/>
  <c r="I586" i="5"/>
  <c r="J586" i="5"/>
  <c r="M586" i="5"/>
  <c r="O586" i="5"/>
  <c r="P586" i="5"/>
  <c r="Q586" i="5"/>
  <c r="R586" i="5"/>
  <c r="S586" i="5"/>
  <c r="T586" i="5"/>
  <c r="U586" i="5"/>
  <c r="W586" i="5"/>
  <c r="X586" i="5"/>
  <c r="Y586" i="5"/>
  <c r="Z586" i="5"/>
  <c r="AA586" i="5"/>
  <c r="I587" i="5"/>
  <c r="J587" i="5"/>
  <c r="M587" i="5"/>
  <c r="O587" i="5"/>
  <c r="P587" i="5"/>
  <c r="Q587" i="5"/>
  <c r="R587" i="5"/>
  <c r="S587" i="5"/>
  <c r="T587" i="5"/>
  <c r="U587" i="5"/>
  <c r="W587" i="5"/>
  <c r="X587" i="5"/>
  <c r="Y587" i="5"/>
  <c r="Z587" i="5"/>
  <c r="AA587" i="5"/>
  <c r="I588" i="5"/>
  <c r="J588" i="5"/>
  <c r="M588" i="5"/>
  <c r="O588" i="5"/>
  <c r="P588" i="5"/>
  <c r="Q588" i="5"/>
  <c r="R588" i="5"/>
  <c r="S588" i="5"/>
  <c r="T588" i="5"/>
  <c r="U588" i="5"/>
  <c r="W588" i="5"/>
  <c r="X588" i="5"/>
  <c r="Y588" i="5"/>
  <c r="Z588" i="5"/>
  <c r="AA588" i="5"/>
  <c r="I589" i="5"/>
  <c r="J589" i="5"/>
  <c r="M589" i="5"/>
  <c r="O589" i="5"/>
  <c r="P589" i="5"/>
  <c r="Q589" i="5"/>
  <c r="R589" i="5"/>
  <c r="S589" i="5"/>
  <c r="T589" i="5"/>
  <c r="U589" i="5"/>
  <c r="W589" i="5"/>
  <c r="X589" i="5"/>
  <c r="Y589" i="5"/>
  <c r="Z589" i="5"/>
  <c r="AA589" i="5"/>
  <c r="I590" i="5"/>
  <c r="J590" i="5"/>
  <c r="M590" i="5"/>
  <c r="O590" i="5"/>
  <c r="P590" i="5"/>
  <c r="Q590" i="5"/>
  <c r="R590" i="5"/>
  <c r="S590" i="5"/>
  <c r="T590" i="5"/>
  <c r="U590" i="5"/>
  <c r="W590" i="5"/>
  <c r="X590" i="5"/>
  <c r="Y590" i="5"/>
  <c r="Z590" i="5"/>
  <c r="AA590" i="5"/>
  <c r="I591" i="5"/>
  <c r="J591" i="5"/>
  <c r="M591" i="5"/>
  <c r="O591" i="5"/>
  <c r="P591" i="5"/>
  <c r="Q591" i="5"/>
  <c r="R591" i="5"/>
  <c r="S591" i="5"/>
  <c r="T591" i="5"/>
  <c r="U591" i="5"/>
  <c r="W591" i="5"/>
  <c r="X591" i="5"/>
  <c r="Y591" i="5"/>
  <c r="Z591" i="5"/>
  <c r="AA591" i="5"/>
  <c r="I592" i="5"/>
  <c r="J592" i="5"/>
  <c r="M592" i="5"/>
  <c r="O592" i="5"/>
  <c r="P592" i="5"/>
  <c r="Q592" i="5"/>
  <c r="R592" i="5"/>
  <c r="S592" i="5"/>
  <c r="T592" i="5"/>
  <c r="U592" i="5"/>
  <c r="W592" i="5"/>
  <c r="X592" i="5"/>
  <c r="Y592" i="5"/>
  <c r="Z592" i="5"/>
  <c r="AA592" i="5"/>
  <c r="I593" i="5"/>
  <c r="J593" i="5"/>
  <c r="M593" i="5"/>
  <c r="O593" i="5"/>
  <c r="P593" i="5"/>
  <c r="Q593" i="5"/>
  <c r="R593" i="5"/>
  <c r="S593" i="5"/>
  <c r="T593" i="5"/>
  <c r="U593" i="5"/>
  <c r="W593" i="5"/>
  <c r="X593" i="5"/>
  <c r="Y593" i="5"/>
  <c r="Z593" i="5"/>
  <c r="AA593" i="5"/>
  <c r="I594" i="5"/>
  <c r="J594" i="5"/>
  <c r="M594" i="5"/>
  <c r="O594" i="5"/>
  <c r="P594" i="5"/>
  <c r="Q594" i="5"/>
  <c r="R594" i="5"/>
  <c r="S594" i="5"/>
  <c r="T594" i="5"/>
  <c r="U594" i="5"/>
  <c r="W594" i="5"/>
  <c r="X594" i="5"/>
  <c r="Y594" i="5"/>
  <c r="Z594" i="5"/>
  <c r="AA594" i="5"/>
  <c r="I595" i="5"/>
  <c r="J595" i="5"/>
  <c r="M595" i="5"/>
  <c r="O595" i="5"/>
  <c r="P595" i="5"/>
  <c r="Q595" i="5"/>
  <c r="R595" i="5"/>
  <c r="S595" i="5"/>
  <c r="T595" i="5"/>
  <c r="U595" i="5"/>
  <c r="W595" i="5"/>
  <c r="X595" i="5"/>
  <c r="Y595" i="5"/>
  <c r="Z595" i="5"/>
  <c r="AA595" i="5"/>
  <c r="I596" i="5"/>
  <c r="J596" i="5"/>
  <c r="M596" i="5"/>
  <c r="O596" i="5"/>
  <c r="P596" i="5"/>
  <c r="Q596" i="5"/>
  <c r="R596" i="5"/>
  <c r="S596" i="5"/>
  <c r="T596" i="5"/>
  <c r="U596" i="5"/>
  <c r="W596" i="5"/>
  <c r="X596" i="5"/>
  <c r="Y596" i="5"/>
  <c r="Z596" i="5"/>
  <c r="AA596" i="5"/>
  <c r="I597" i="5"/>
  <c r="J597" i="5"/>
  <c r="M597" i="5"/>
  <c r="O597" i="5"/>
  <c r="P597" i="5"/>
  <c r="Q597" i="5"/>
  <c r="R597" i="5"/>
  <c r="S597" i="5"/>
  <c r="T597" i="5"/>
  <c r="U597" i="5"/>
  <c r="W597" i="5"/>
  <c r="X597" i="5"/>
  <c r="Y597" i="5"/>
  <c r="Z597" i="5"/>
  <c r="AA597" i="5"/>
  <c r="I598" i="5"/>
  <c r="J598" i="5"/>
  <c r="M598" i="5"/>
  <c r="O598" i="5"/>
  <c r="P598" i="5"/>
  <c r="Q598" i="5"/>
  <c r="R598" i="5"/>
  <c r="S598" i="5"/>
  <c r="T598" i="5"/>
  <c r="U598" i="5"/>
  <c r="W598" i="5"/>
  <c r="X598" i="5"/>
  <c r="Y598" i="5"/>
  <c r="Z598" i="5"/>
  <c r="AA598" i="5"/>
  <c r="I599" i="5"/>
  <c r="J599" i="5"/>
  <c r="M599" i="5"/>
  <c r="O599" i="5"/>
  <c r="P599" i="5"/>
  <c r="Q599" i="5"/>
  <c r="R599" i="5"/>
  <c r="S599" i="5"/>
  <c r="T599" i="5"/>
  <c r="U599" i="5"/>
  <c r="W599" i="5"/>
  <c r="X599" i="5"/>
  <c r="Y599" i="5"/>
  <c r="Z599" i="5"/>
  <c r="AA599" i="5"/>
  <c r="I600" i="5"/>
  <c r="J600" i="5"/>
  <c r="M600" i="5"/>
  <c r="O600" i="5"/>
  <c r="P600" i="5"/>
  <c r="Q600" i="5"/>
  <c r="R600" i="5"/>
  <c r="S600" i="5"/>
  <c r="T600" i="5"/>
  <c r="U600" i="5"/>
  <c r="W600" i="5"/>
  <c r="X600" i="5"/>
  <c r="Y600" i="5"/>
  <c r="Z600" i="5"/>
  <c r="AA600" i="5"/>
  <c r="I601" i="5"/>
  <c r="J601" i="5"/>
  <c r="M601" i="5"/>
  <c r="O601" i="5"/>
  <c r="P601" i="5"/>
  <c r="Q601" i="5"/>
  <c r="R601" i="5"/>
  <c r="S601" i="5"/>
  <c r="T601" i="5"/>
  <c r="U601" i="5"/>
  <c r="W601" i="5"/>
  <c r="X601" i="5"/>
  <c r="Y601" i="5"/>
  <c r="Z601" i="5"/>
  <c r="AA601" i="5"/>
  <c r="I602" i="5"/>
  <c r="J602" i="5"/>
  <c r="M602" i="5"/>
  <c r="O602" i="5"/>
  <c r="P602" i="5"/>
  <c r="Q602" i="5"/>
  <c r="R602" i="5"/>
  <c r="S602" i="5"/>
  <c r="T602" i="5"/>
  <c r="U602" i="5"/>
  <c r="W602" i="5"/>
  <c r="X602" i="5"/>
  <c r="Y602" i="5"/>
  <c r="Z602" i="5"/>
  <c r="AA602" i="5"/>
  <c r="I603" i="5"/>
  <c r="J603" i="5"/>
  <c r="M603" i="5"/>
  <c r="O603" i="5"/>
  <c r="P603" i="5"/>
  <c r="Q603" i="5"/>
  <c r="R603" i="5"/>
  <c r="S603" i="5"/>
  <c r="T603" i="5"/>
  <c r="U603" i="5"/>
  <c r="W603" i="5"/>
  <c r="X603" i="5"/>
  <c r="Y603" i="5"/>
  <c r="Z603" i="5"/>
  <c r="AA603" i="5"/>
  <c r="I604" i="5"/>
  <c r="J604" i="5"/>
  <c r="M604" i="5"/>
  <c r="O604" i="5"/>
  <c r="P604" i="5"/>
  <c r="Q604" i="5"/>
  <c r="R604" i="5"/>
  <c r="S604" i="5"/>
  <c r="T604" i="5"/>
  <c r="U604" i="5"/>
  <c r="W604" i="5"/>
  <c r="X604" i="5"/>
  <c r="Y604" i="5"/>
  <c r="Z604" i="5"/>
  <c r="AA604" i="5"/>
  <c r="I605" i="5"/>
  <c r="J605" i="5"/>
  <c r="M605" i="5"/>
  <c r="O605" i="5"/>
  <c r="P605" i="5"/>
  <c r="Q605" i="5"/>
  <c r="R605" i="5"/>
  <c r="S605" i="5"/>
  <c r="T605" i="5"/>
  <c r="U605" i="5"/>
  <c r="W605" i="5"/>
  <c r="X605" i="5"/>
  <c r="Y605" i="5"/>
  <c r="Z605" i="5"/>
  <c r="AA605" i="5"/>
  <c r="I606" i="5"/>
  <c r="J606" i="5"/>
  <c r="M606" i="5"/>
  <c r="O606" i="5"/>
  <c r="P606" i="5"/>
  <c r="Q606" i="5"/>
  <c r="R606" i="5"/>
  <c r="S606" i="5"/>
  <c r="T606" i="5"/>
  <c r="U606" i="5"/>
  <c r="W606" i="5"/>
  <c r="X606" i="5"/>
  <c r="Y606" i="5"/>
  <c r="Z606" i="5"/>
  <c r="AA606" i="5"/>
  <c r="I607" i="5"/>
  <c r="J607" i="5"/>
  <c r="M607" i="5"/>
  <c r="O607" i="5"/>
  <c r="P607" i="5"/>
  <c r="Q607" i="5"/>
  <c r="R607" i="5"/>
  <c r="S607" i="5"/>
  <c r="T607" i="5"/>
  <c r="U607" i="5"/>
  <c r="W607" i="5"/>
  <c r="X607" i="5"/>
  <c r="Y607" i="5"/>
  <c r="Z607" i="5"/>
  <c r="AA607" i="5"/>
  <c r="I608" i="5"/>
  <c r="J608" i="5"/>
  <c r="M608" i="5"/>
  <c r="O608" i="5"/>
  <c r="P608" i="5"/>
  <c r="Q608" i="5"/>
  <c r="R608" i="5"/>
  <c r="S608" i="5"/>
  <c r="T608" i="5"/>
  <c r="U608" i="5"/>
  <c r="W608" i="5"/>
  <c r="X608" i="5"/>
  <c r="Y608" i="5"/>
  <c r="Z608" i="5"/>
  <c r="AA608" i="5"/>
  <c r="I609" i="5"/>
  <c r="J609" i="5"/>
  <c r="M609" i="5"/>
  <c r="O609" i="5"/>
  <c r="P609" i="5"/>
  <c r="Q609" i="5"/>
  <c r="R609" i="5"/>
  <c r="S609" i="5"/>
  <c r="T609" i="5"/>
  <c r="U609" i="5"/>
  <c r="W609" i="5"/>
  <c r="X609" i="5"/>
  <c r="Y609" i="5"/>
  <c r="Z609" i="5"/>
  <c r="AA609" i="5"/>
  <c r="I610" i="5"/>
  <c r="J610" i="5"/>
  <c r="M610" i="5"/>
  <c r="O610" i="5"/>
  <c r="P610" i="5"/>
  <c r="Q610" i="5"/>
  <c r="R610" i="5"/>
  <c r="S610" i="5"/>
  <c r="T610" i="5"/>
  <c r="U610" i="5"/>
  <c r="W610" i="5"/>
  <c r="X610" i="5"/>
  <c r="Y610" i="5"/>
  <c r="Z610" i="5"/>
  <c r="AA610" i="5"/>
  <c r="I611" i="5"/>
  <c r="J611" i="5"/>
  <c r="M611" i="5"/>
  <c r="O611" i="5"/>
  <c r="P611" i="5"/>
  <c r="Q611" i="5"/>
  <c r="R611" i="5"/>
  <c r="S611" i="5"/>
  <c r="T611" i="5"/>
  <c r="U611" i="5"/>
  <c r="W611" i="5"/>
  <c r="X611" i="5"/>
  <c r="Y611" i="5"/>
  <c r="Z611" i="5"/>
  <c r="AA611" i="5"/>
  <c r="I612" i="5"/>
  <c r="J612" i="5"/>
  <c r="M612" i="5"/>
  <c r="O612" i="5"/>
  <c r="P612" i="5"/>
  <c r="Q612" i="5"/>
  <c r="R612" i="5"/>
  <c r="S612" i="5"/>
  <c r="T612" i="5"/>
  <c r="U612" i="5"/>
  <c r="W612" i="5"/>
  <c r="X612" i="5"/>
  <c r="Y612" i="5"/>
  <c r="Z612" i="5"/>
  <c r="AA612" i="5"/>
  <c r="I613" i="5"/>
  <c r="J613" i="5"/>
  <c r="M613" i="5"/>
  <c r="O613" i="5"/>
  <c r="P613" i="5"/>
  <c r="Q613" i="5"/>
  <c r="R613" i="5"/>
  <c r="S613" i="5"/>
  <c r="T613" i="5"/>
  <c r="U613" i="5"/>
  <c r="W613" i="5"/>
  <c r="X613" i="5"/>
  <c r="Y613" i="5"/>
  <c r="Z613" i="5"/>
  <c r="AA613" i="5"/>
  <c r="I614" i="5"/>
  <c r="J614" i="5"/>
  <c r="M614" i="5"/>
  <c r="O614" i="5"/>
  <c r="P614" i="5"/>
  <c r="Q614" i="5"/>
  <c r="R614" i="5"/>
  <c r="S614" i="5"/>
  <c r="T614" i="5"/>
  <c r="U614" i="5"/>
  <c r="W614" i="5"/>
  <c r="X614" i="5"/>
  <c r="Y614" i="5"/>
  <c r="Z614" i="5"/>
  <c r="AA614" i="5"/>
  <c r="I615" i="5"/>
  <c r="J615" i="5"/>
  <c r="M615" i="5"/>
  <c r="O615" i="5"/>
  <c r="P615" i="5"/>
  <c r="Q615" i="5"/>
  <c r="R615" i="5"/>
  <c r="S615" i="5"/>
  <c r="T615" i="5"/>
  <c r="U615" i="5"/>
  <c r="W615" i="5"/>
  <c r="X615" i="5"/>
  <c r="Y615" i="5"/>
  <c r="Z615" i="5"/>
  <c r="AA615" i="5"/>
  <c r="I616" i="5"/>
  <c r="J616" i="5"/>
  <c r="M616" i="5"/>
  <c r="O616" i="5"/>
  <c r="P616" i="5"/>
  <c r="Q616" i="5"/>
  <c r="R616" i="5"/>
  <c r="S616" i="5"/>
  <c r="T616" i="5"/>
  <c r="U616" i="5"/>
  <c r="W616" i="5"/>
  <c r="X616" i="5"/>
  <c r="Y616" i="5"/>
  <c r="Z616" i="5"/>
  <c r="AA616" i="5"/>
  <c r="I617" i="5"/>
  <c r="J617" i="5"/>
  <c r="M617" i="5"/>
  <c r="O617" i="5"/>
  <c r="P617" i="5"/>
  <c r="Q617" i="5"/>
  <c r="R617" i="5"/>
  <c r="S617" i="5"/>
  <c r="T617" i="5"/>
  <c r="U617" i="5"/>
  <c r="W617" i="5"/>
  <c r="X617" i="5"/>
  <c r="Y617" i="5"/>
  <c r="Z617" i="5"/>
  <c r="AA617" i="5"/>
  <c r="I618" i="5"/>
  <c r="J618" i="5"/>
  <c r="M618" i="5"/>
  <c r="O618" i="5"/>
  <c r="P618" i="5"/>
  <c r="Q618" i="5"/>
  <c r="R618" i="5"/>
  <c r="S618" i="5"/>
  <c r="T618" i="5"/>
  <c r="U618" i="5"/>
  <c r="W618" i="5"/>
  <c r="X618" i="5"/>
  <c r="Y618" i="5"/>
  <c r="Z618" i="5"/>
  <c r="AA618" i="5"/>
  <c r="I619" i="5"/>
  <c r="J619" i="5"/>
  <c r="M619" i="5"/>
  <c r="O619" i="5"/>
  <c r="P619" i="5"/>
  <c r="Q619" i="5"/>
  <c r="R619" i="5"/>
  <c r="S619" i="5"/>
  <c r="T619" i="5"/>
  <c r="U619" i="5"/>
  <c r="W619" i="5"/>
  <c r="X619" i="5"/>
  <c r="Y619" i="5"/>
  <c r="Z619" i="5"/>
  <c r="AA619" i="5"/>
  <c r="I620" i="5"/>
  <c r="J620" i="5"/>
  <c r="M620" i="5"/>
  <c r="O620" i="5"/>
  <c r="P620" i="5"/>
  <c r="Q620" i="5"/>
  <c r="R620" i="5"/>
  <c r="S620" i="5"/>
  <c r="T620" i="5"/>
  <c r="U620" i="5"/>
  <c r="W620" i="5"/>
  <c r="X620" i="5"/>
  <c r="Y620" i="5"/>
  <c r="Z620" i="5"/>
  <c r="AA620" i="5"/>
  <c r="I621" i="5"/>
  <c r="J621" i="5"/>
  <c r="M621" i="5"/>
  <c r="O621" i="5"/>
  <c r="P621" i="5"/>
  <c r="Q621" i="5"/>
  <c r="R621" i="5"/>
  <c r="S621" i="5"/>
  <c r="T621" i="5"/>
  <c r="U621" i="5"/>
  <c r="W621" i="5"/>
  <c r="X621" i="5"/>
  <c r="Y621" i="5"/>
  <c r="Z621" i="5"/>
  <c r="AA621" i="5"/>
  <c r="I622" i="5"/>
  <c r="J622" i="5"/>
  <c r="M622" i="5"/>
  <c r="O622" i="5"/>
  <c r="P622" i="5"/>
  <c r="Q622" i="5"/>
  <c r="R622" i="5"/>
  <c r="S622" i="5"/>
  <c r="T622" i="5"/>
  <c r="U622" i="5"/>
  <c r="W622" i="5"/>
  <c r="X622" i="5"/>
  <c r="Y622" i="5"/>
  <c r="Z622" i="5"/>
  <c r="AA622" i="5"/>
  <c r="I623" i="5"/>
  <c r="J623" i="5"/>
  <c r="M623" i="5"/>
  <c r="O623" i="5"/>
  <c r="P623" i="5"/>
  <c r="Q623" i="5"/>
  <c r="R623" i="5"/>
  <c r="S623" i="5"/>
  <c r="T623" i="5"/>
  <c r="U623" i="5"/>
  <c r="W623" i="5"/>
  <c r="X623" i="5"/>
  <c r="Y623" i="5"/>
  <c r="Z623" i="5"/>
  <c r="AA623" i="5"/>
  <c r="I624" i="5"/>
  <c r="J624" i="5"/>
  <c r="M624" i="5"/>
  <c r="O624" i="5"/>
  <c r="P624" i="5"/>
  <c r="Q624" i="5"/>
  <c r="R624" i="5"/>
  <c r="S624" i="5"/>
  <c r="T624" i="5"/>
  <c r="U624" i="5"/>
  <c r="W624" i="5"/>
  <c r="X624" i="5"/>
  <c r="Y624" i="5"/>
  <c r="Z624" i="5"/>
  <c r="AA624" i="5"/>
  <c r="I625" i="5"/>
  <c r="J625" i="5"/>
  <c r="M625" i="5"/>
  <c r="O625" i="5"/>
  <c r="P625" i="5"/>
  <c r="Q625" i="5"/>
  <c r="R625" i="5"/>
  <c r="S625" i="5"/>
  <c r="T625" i="5"/>
  <c r="U625" i="5"/>
  <c r="W625" i="5"/>
  <c r="X625" i="5"/>
  <c r="Y625" i="5"/>
  <c r="Z625" i="5"/>
  <c r="AA625" i="5"/>
  <c r="I626" i="5"/>
  <c r="J626" i="5"/>
  <c r="M626" i="5"/>
  <c r="O626" i="5"/>
  <c r="P626" i="5"/>
  <c r="Q626" i="5"/>
  <c r="R626" i="5"/>
  <c r="S626" i="5"/>
  <c r="T626" i="5"/>
  <c r="U626" i="5"/>
  <c r="W626" i="5"/>
  <c r="X626" i="5"/>
  <c r="Y626" i="5"/>
  <c r="Z626" i="5"/>
  <c r="AA626" i="5"/>
  <c r="I627" i="5"/>
  <c r="J627" i="5"/>
  <c r="M627" i="5"/>
  <c r="O627" i="5"/>
  <c r="P627" i="5"/>
  <c r="Q627" i="5"/>
  <c r="R627" i="5"/>
  <c r="S627" i="5"/>
  <c r="T627" i="5"/>
  <c r="U627" i="5"/>
  <c r="W627" i="5"/>
  <c r="X627" i="5"/>
  <c r="Y627" i="5"/>
  <c r="Z627" i="5"/>
  <c r="AA627" i="5"/>
  <c r="I628" i="5"/>
  <c r="J628" i="5"/>
  <c r="M628" i="5"/>
  <c r="O628" i="5"/>
  <c r="P628" i="5"/>
  <c r="Q628" i="5"/>
  <c r="R628" i="5"/>
  <c r="S628" i="5"/>
  <c r="T628" i="5"/>
  <c r="U628" i="5"/>
  <c r="W628" i="5"/>
  <c r="X628" i="5"/>
  <c r="Y628" i="5"/>
  <c r="Z628" i="5"/>
  <c r="AA628" i="5"/>
  <c r="I629" i="5"/>
  <c r="J629" i="5"/>
  <c r="M629" i="5"/>
  <c r="O629" i="5"/>
  <c r="P629" i="5"/>
  <c r="Q629" i="5"/>
  <c r="R629" i="5"/>
  <c r="S629" i="5"/>
  <c r="T629" i="5"/>
  <c r="U629" i="5"/>
  <c r="W629" i="5"/>
  <c r="X629" i="5"/>
  <c r="Y629" i="5"/>
  <c r="Z629" i="5"/>
  <c r="AA629" i="5"/>
  <c r="I630" i="5"/>
  <c r="J630" i="5"/>
  <c r="M630" i="5"/>
  <c r="O630" i="5"/>
  <c r="P630" i="5"/>
  <c r="Q630" i="5"/>
  <c r="R630" i="5"/>
  <c r="S630" i="5"/>
  <c r="T630" i="5"/>
  <c r="U630" i="5"/>
  <c r="W630" i="5"/>
  <c r="X630" i="5"/>
  <c r="Y630" i="5"/>
  <c r="Z630" i="5"/>
  <c r="AA630" i="5"/>
  <c r="I631" i="5"/>
  <c r="J631" i="5"/>
  <c r="M631" i="5"/>
  <c r="O631" i="5"/>
  <c r="P631" i="5"/>
  <c r="Q631" i="5"/>
  <c r="R631" i="5"/>
  <c r="S631" i="5"/>
  <c r="T631" i="5"/>
  <c r="U631" i="5"/>
  <c r="W631" i="5"/>
  <c r="X631" i="5"/>
  <c r="Y631" i="5"/>
  <c r="Z631" i="5"/>
  <c r="AA631" i="5"/>
  <c r="I632" i="5"/>
  <c r="J632" i="5"/>
  <c r="M632" i="5"/>
  <c r="O632" i="5"/>
  <c r="P632" i="5"/>
  <c r="Q632" i="5"/>
  <c r="R632" i="5"/>
  <c r="S632" i="5"/>
  <c r="T632" i="5"/>
  <c r="U632" i="5"/>
  <c r="W632" i="5"/>
  <c r="X632" i="5"/>
  <c r="Y632" i="5"/>
  <c r="Z632" i="5"/>
  <c r="AA632" i="5"/>
  <c r="I633" i="5"/>
  <c r="J633" i="5"/>
  <c r="M633" i="5"/>
  <c r="O633" i="5"/>
  <c r="P633" i="5"/>
  <c r="Q633" i="5"/>
  <c r="R633" i="5"/>
  <c r="S633" i="5"/>
  <c r="T633" i="5"/>
  <c r="U633" i="5"/>
  <c r="W633" i="5"/>
  <c r="X633" i="5"/>
  <c r="Y633" i="5"/>
  <c r="Z633" i="5"/>
  <c r="AA633" i="5"/>
  <c r="I634" i="5"/>
  <c r="J634" i="5"/>
  <c r="M634" i="5"/>
  <c r="O634" i="5"/>
  <c r="P634" i="5"/>
  <c r="Q634" i="5"/>
  <c r="R634" i="5"/>
  <c r="S634" i="5"/>
  <c r="T634" i="5"/>
  <c r="U634" i="5"/>
  <c r="W634" i="5"/>
  <c r="X634" i="5"/>
  <c r="Y634" i="5"/>
  <c r="Z634" i="5"/>
  <c r="AA634" i="5"/>
  <c r="I635" i="5"/>
  <c r="J635" i="5"/>
  <c r="M635" i="5"/>
  <c r="O635" i="5"/>
  <c r="P635" i="5"/>
  <c r="Q635" i="5"/>
  <c r="R635" i="5"/>
  <c r="S635" i="5"/>
  <c r="T635" i="5"/>
  <c r="U635" i="5"/>
  <c r="W635" i="5"/>
  <c r="X635" i="5"/>
  <c r="Y635" i="5"/>
  <c r="Z635" i="5"/>
  <c r="AA635" i="5"/>
  <c r="I636" i="5"/>
  <c r="J636" i="5"/>
  <c r="M636" i="5"/>
  <c r="O636" i="5"/>
  <c r="P636" i="5"/>
  <c r="Q636" i="5"/>
  <c r="R636" i="5"/>
  <c r="S636" i="5"/>
  <c r="T636" i="5"/>
  <c r="U636" i="5"/>
  <c r="W636" i="5"/>
  <c r="X636" i="5"/>
  <c r="Y636" i="5"/>
  <c r="Z636" i="5"/>
  <c r="AA636" i="5"/>
  <c r="I637" i="5"/>
  <c r="J637" i="5"/>
  <c r="M637" i="5"/>
  <c r="O637" i="5"/>
  <c r="P637" i="5"/>
  <c r="Q637" i="5"/>
  <c r="R637" i="5"/>
  <c r="S637" i="5"/>
  <c r="T637" i="5"/>
  <c r="U637" i="5"/>
  <c r="W637" i="5"/>
  <c r="X637" i="5"/>
  <c r="Y637" i="5"/>
  <c r="Z637" i="5"/>
  <c r="AA637" i="5"/>
  <c r="I638" i="5"/>
  <c r="J638" i="5"/>
  <c r="M638" i="5"/>
  <c r="O638" i="5"/>
  <c r="P638" i="5"/>
  <c r="Q638" i="5"/>
  <c r="R638" i="5"/>
  <c r="S638" i="5"/>
  <c r="T638" i="5"/>
  <c r="U638" i="5"/>
  <c r="W638" i="5"/>
  <c r="X638" i="5"/>
  <c r="Y638" i="5"/>
  <c r="Z638" i="5"/>
  <c r="AA638" i="5"/>
  <c r="I639" i="5"/>
  <c r="J639" i="5"/>
  <c r="M639" i="5"/>
  <c r="O639" i="5"/>
  <c r="P639" i="5"/>
  <c r="Q639" i="5"/>
  <c r="R639" i="5"/>
  <c r="S639" i="5"/>
  <c r="T639" i="5"/>
  <c r="U639" i="5"/>
  <c r="W639" i="5"/>
  <c r="X639" i="5"/>
  <c r="Y639" i="5"/>
  <c r="Z639" i="5"/>
  <c r="AA639" i="5"/>
  <c r="I640" i="5"/>
  <c r="J640" i="5"/>
  <c r="M640" i="5"/>
  <c r="O640" i="5"/>
  <c r="P640" i="5"/>
  <c r="Q640" i="5"/>
  <c r="R640" i="5"/>
  <c r="S640" i="5"/>
  <c r="T640" i="5"/>
  <c r="U640" i="5"/>
  <c r="W640" i="5"/>
  <c r="X640" i="5"/>
  <c r="Y640" i="5"/>
  <c r="Z640" i="5"/>
  <c r="AA640" i="5"/>
  <c r="I641" i="5"/>
  <c r="J641" i="5"/>
  <c r="M641" i="5"/>
  <c r="O641" i="5"/>
  <c r="P641" i="5"/>
  <c r="Q641" i="5"/>
  <c r="R641" i="5"/>
  <c r="S641" i="5"/>
  <c r="T641" i="5"/>
  <c r="U641" i="5"/>
  <c r="W641" i="5"/>
  <c r="X641" i="5"/>
  <c r="Y641" i="5"/>
  <c r="Z641" i="5"/>
  <c r="AA641" i="5"/>
  <c r="I642" i="5"/>
  <c r="J642" i="5"/>
  <c r="M642" i="5"/>
  <c r="O642" i="5"/>
  <c r="P642" i="5"/>
  <c r="Q642" i="5"/>
  <c r="R642" i="5"/>
  <c r="S642" i="5"/>
  <c r="T642" i="5"/>
  <c r="U642" i="5"/>
  <c r="W642" i="5"/>
  <c r="X642" i="5"/>
  <c r="Y642" i="5"/>
  <c r="Z642" i="5"/>
  <c r="AA642" i="5"/>
  <c r="I643" i="5"/>
  <c r="J643" i="5"/>
  <c r="M643" i="5"/>
  <c r="O643" i="5"/>
  <c r="P643" i="5"/>
  <c r="Q643" i="5"/>
  <c r="R643" i="5"/>
  <c r="S643" i="5"/>
  <c r="T643" i="5"/>
  <c r="U643" i="5"/>
  <c r="W643" i="5"/>
  <c r="X643" i="5"/>
  <c r="Y643" i="5"/>
  <c r="Z643" i="5"/>
  <c r="AA643" i="5"/>
  <c r="I644" i="5"/>
  <c r="J644" i="5"/>
  <c r="M644" i="5"/>
  <c r="O644" i="5"/>
  <c r="P644" i="5"/>
  <c r="Q644" i="5"/>
  <c r="R644" i="5"/>
  <c r="S644" i="5"/>
  <c r="T644" i="5"/>
  <c r="U644" i="5"/>
  <c r="W644" i="5"/>
  <c r="X644" i="5"/>
  <c r="Y644" i="5"/>
  <c r="Z644" i="5"/>
  <c r="AA644" i="5"/>
  <c r="I645" i="5"/>
  <c r="J645" i="5"/>
  <c r="M645" i="5"/>
  <c r="O645" i="5"/>
  <c r="P645" i="5"/>
  <c r="Q645" i="5"/>
  <c r="R645" i="5"/>
  <c r="S645" i="5"/>
  <c r="T645" i="5"/>
  <c r="U645" i="5"/>
  <c r="W645" i="5"/>
  <c r="X645" i="5"/>
  <c r="Y645" i="5"/>
  <c r="Z645" i="5"/>
  <c r="AA645" i="5"/>
  <c r="I646" i="5"/>
  <c r="J646" i="5"/>
  <c r="M646" i="5"/>
  <c r="O646" i="5"/>
  <c r="P646" i="5"/>
  <c r="Q646" i="5"/>
  <c r="R646" i="5"/>
  <c r="S646" i="5"/>
  <c r="T646" i="5"/>
  <c r="U646" i="5"/>
  <c r="W646" i="5"/>
  <c r="X646" i="5"/>
  <c r="Y646" i="5"/>
  <c r="Z646" i="5"/>
  <c r="AA646" i="5"/>
  <c r="I647" i="5"/>
  <c r="J647" i="5"/>
  <c r="M647" i="5"/>
  <c r="O647" i="5"/>
  <c r="P647" i="5"/>
  <c r="Q647" i="5"/>
  <c r="R647" i="5"/>
  <c r="S647" i="5"/>
  <c r="T647" i="5"/>
  <c r="U647" i="5"/>
  <c r="W647" i="5"/>
  <c r="X647" i="5"/>
  <c r="Y647" i="5"/>
  <c r="Z647" i="5"/>
  <c r="AA647" i="5"/>
  <c r="I648" i="5"/>
  <c r="J648" i="5"/>
  <c r="M648" i="5"/>
  <c r="O648" i="5"/>
  <c r="P648" i="5"/>
  <c r="Q648" i="5"/>
  <c r="R648" i="5"/>
  <c r="S648" i="5"/>
  <c r="T648" i="5"/>
  <c r="U648" i="5"/>
  <c r="W648" i="5"/>
  <c r="X648" i="5"/>
  <c r="Y648" i="5"/>
  <c r="Z648" i="5"/>
  <c r="AA648" i="5"/>
  <c r="I649" i="5"/>
  <c r="J649" i="5"/>
  <c r="M649" i="5"/>
  <c r="O649" i="5"/>
  <c r="P649" i="5"/>
  <c r="Q649" i="5"/>
  <c r="R649" i="5"/>
  <c r="S649" i="5"/>
  <c r="T649" i="5"/>
  <c r="U649" i="5"/>
  <c r="W649" i="5"/>
  <c r="X649" i="5"/>
  <c r="Y649" i="5"/>
  <c r="Z649" i="5"/>
  <c r="AA649" i="5"/>
  <c r="I650" i="5"/>
  <c r="J650" i="5"/>
  <c r="M650" i="5"/>
  <c r="O650" i="5"/>
  <c r="P650" i="5"/>
  <c r="Q650" i="5"/>
  <c r="R650" i="5"/>
  <c r="S650" i="5"/>
  <c r="T650" i="5"/>
  <c r="U650" i="5"/>
  <c r="W650" i="5"/>
  <c r="X650" i="5"/>
  <c r="Y650" i="5"/>
  <c r="Z650" i="5"/>
  <c r="AA650" i="5"/>
  <c r="I651" i="5"/>
  <c r="J651" i="5"/>
  <c r="M651" i="5"/>
  <c r="O651" i="5"/>
  <c r="P651" i="5"/>
  <c r="Q651" i="5"/>
  <c r="R651" i="5"/>
  <c r="S651" i="5"/>
  <c r="T651" i="5"/>
  <c r="U651" i="5"/>
  <c r="W651" i="5"/>
  <c r="X651" i="5"/>
  <c r="Y651" i="5"/>
  <c r="Z651" i="5"/>
  <c r="AA651" i="5"/>
  <c r="I652" i="5"/>
  <c r="J652" i="5"/>
  <c r="M652" i="5"/>
  <c r="O652" i="5"/>
  <c r="P652" i="5"/>
  <c r="Q652" i="5"/>
  <c r="R652" i="5"/>
  <c r="S652" i="5"/>
  <c r="T652" i="5"/>
  <c r="U652" i="5"/>
  <c r="W652" i="5"/>
  <c r="X652" i="5"/>
  <c r="Y652" i="5"/>
  <c r="Z652" i="5"/>
  <c r="AA652" i="5"/>
  <c r="I653" i="5"/>
  <c r="J653" i="5"/>
  <c r="M653" i="5"/>
  <c r="O653" i="5"/>
  <c r="P653" i="5"/>
  <c r="Q653" i="5"/>
  <c r="R653" i="5"/>
  <c r="S653" i="5"/>
  <c r="T653" i="5"/>
  <c r="U653" i="5"/>
  <c r="W653" i="5"/>
  <c r="X653" i="5"/>
  <c r="Y653" i="5"/>
  <c r="Z653" i="5"/>
  <c r="AA653" i="5"/>
  <c r="I654" i="5"/>
  <c r="J654" i="5"/>
  <c r="M654" i="5"/>
  <c r="O654" i="5"/>
  <c r="P654" i="5"/>
  <c r="Q654" i="5"/>
  <c r="R654" i="5"/>
  <c r="S654" i="5"/>
  <c r="T654" i="5"/>
  <c r="U654" i="5"/>
  <c r="W654" i="5"/>
  <c r="X654" i="5"/>
  <c r="Y654" i="5"/>
  <c r="Z654" i="5"/>
  <c r="AA654" i="5"/>
  <c r="I655" i="5"/>
  <c r="J655" i="5"/>
  <c r="M655" i="5"/>
  <c r="O655" i="5"/>
  <c r="P655" i="5"/>
  <c r="Q655" i="5"/>
  <c r="R655" i="5"/>
  <c r="S655" i="5"/>
  <c r="T655" i="5"/>
  <c r="U655" i="5"/>
  <c r="W655" i="5"/>
  <c r="X655" i="5"/>
  <c r="Y655" i="5"/>
  <c r="Z655" i="5"/>
  <c r="AA655" i="5"/>
  <c r="I656" i="5"/>
  <c r="J656" i="5"/>
  <c r="M656" i="5"/>
  <c r="O656" i="5"/>
  <c r="P656" i="5"/>
  <c r="Q656" i="5"/>
  <c r="R656" i="5"/>
  <c r="S656" i="5"/>
  <c r="T656" i="5"/>
  <c r="U656" i="5"/>
  <c r="W656" i="5"/>
  <c r="X656" i="5"/>
  <c r="Y656" i="5"/>
  <c r="Z656" i="5"/>
  <c r="AA656" i="5"/>
  <c r="I657" i="5"/>
  <c r="J657" i="5"/>
  <c r="M657" i="5"/>
  <c r="O657" i="5"/>
  <c r="P657" i="5"/>
  <c r="Q657" i="5"/>
  <c r="R657" i="5"/>
  <c r="S657" i="5"/>
  <c r="T657" i="5"/>
  <c r="U657" i="5"/>
  <c r="W657" i="5"/>
  <c r="X657" i="5"/>
  <c r="Y657" i="5"/>
  <c r="Z657" i="5"/>
  <c r="AA657" i="5"/>
  <c r="I658" i="5"/>
  <c r="J658" i="5"/>
  <c r="M658" i="5"/>
  <c r="O658" i="5"/>
  <c r="P658" i="5"/>
  <c r="Q658" i="5"/>
  <c r="R658" i="5"/>
  <c r="S658" i="5"/>
  <c r="T658" i="5"/>
  <c r="U658" i="5"/>
  <c r="W658" i="5"/>
  <c r="X658" i="5"/>
  <c r="Y658" i="5"/>
  <c r="Z658" i="5"/>
  <c r="AA658" i="5"/>
  <c r="I659" i="5"/>
  <c r="J659" i="5"/>
  <c r="M659" i="5"/>
  <c r="O659" i="5"/>
  <c r="P659" i="5"/>
  <c r="Q659" i="5"/>
  <c r="R659" i="5"/>
  <c r="S659" i="5"/>
  <c r="T659" i="5"/>
  <c r="U659" i="5"/>
  <c r="W659" i="5"/>
  <c r="X659" i="5"/>
  <c r="Y659" i="5"/>
  <c r="Z659" i="5"/>
  <c r="AA659" i="5"/>
  <c r="I660" i="5"/>
  <c r="J660" i="5"/>
  <c r="M660" i="5"/>
  <c r="O660" i="5"/>
  <c r="P660" i="5"/>
  <c r="Q660" i="5"/>
  <c r="R660" i="5"/>
  <c r="S660" i="5"/>
  <c r="T660" i="5"/>
  <c r="U660" i="5"/>
  <c r="W660" i="5"/>
  <c r="X660" i="5"/>
  <c r="Y660" i="5"/>
  <c r="Z660" i="5"/>
  <c r="AA660" i="5"/>
  <c r="I661" i="5"/>
  <c r="J661" i="5"/>
  <c r="M661" i="5"/>
  <c r="O661" i="5"/>
  <c r="P661" i="5"/>
  <c r="Q661" i="5"/>
  <c r="R661" i="5"/>
  <c r="S661" i="5"/>
  <c r="T661" i="5"/>
  <c r="U661" i="5"/>
  <c r="W661" i="5"/>
  <c r="X661" i="5"/>
  <c r="Y661" i="5"/>
  <c r="Z661" i="5"/>
  <c r="AA661" i="5"/>
  <c r="I662" i="5"/>
  <c r="J662" i="5"/>
  <c r="M662" i="5"/>
  <c r="O662" i="5"/>
  <c r="P662" i="5"/>
  <c r="Q662" i="5"/>
  <c r="R662" i="5"/>
  <c r="S662" i="5"/>
  <c r="T662" i="5"/>
  <c r="U662" i="5"/>
  <c r="W662" i="5"/>
  <c r="X662" i="5"/>
  <c r="Y662" i="5"/>
  <c r="Z662" i="5"/>
  <c r="AA662" i="5"/>
  <c r="I663" i="5"/>
  <c r="J663" i="5"/>
  <c r="M663" i="5"/>
  <c r="O663" i="5"/>
  <c r="P663" i="5"/>
  <c r="Q663" i="5"/>
  <c r="R663" i="5"/>
  <c r="S663" i="5"/>
  <c r="T663" i="5"/>
  <c r="U663" i="5"/>
  <c r="W663" i="5"/>
  <c r="X663" i="5"/>
  <c r="Y663" i="5"/>
  <c r="Z663" i="5"/>
  <c r="AA663" i="5"/>
  <c r="I664" i="5"/>
  <c r="J664" i="5"/>
  <c r="M664" i="5"/>
  <c r="O664" i="5"/>
  <c r="P664" i="5"/>
  <c r="Q664" i="5"/>
  <c r="R664" i="5"/>
  <c r="S664" i="5"/>
  <c r="T664" i="5"/>
  <c r="U664" i="5"/>
  <c r="W664" i="5"/>
  <c r="X664" i="5"/>
  <c r="Y664" i="5"/>
  <c r="Z664" i="5"/>
  <c r="AA664" i="5"/>
  <c r="I665" i="5"/>
  <c r="J665" i="5"/>
  <c r="M665" i="5"/>
  <c r="O665" i="5"/>
  <c r="P665" i="5"/>
  <c r="Q665" i="5"/>
  <c r="R665" i="5"/>
  <c r="S665" i="5"/>
  <c r="T665" i="5"/>
  <c r="U665" i="5"/>
  <c r="W665" i="5"/>
  <c r="X665" i="5"/>
  <c r="Y665" i="5"/>
  <c r="Z665" i="5"/>
  <c r="AA665" i="5"/>
  <c r="I666" i="5"/>
  <c r="J666" i="5"/>
  <c r="M666" i="5"/>
  <c r="O666" i="5"/>
  <c r="P666" i="5"/>
  <c r="Q666" i="5"/>
  <c r="R666" i="5"/>
  <c r="S666" i="5"/>
  <c r="T666" i="5"/>
  <c r="U666" i="5"/>
  <c r="W666" i="5"/>
  <c r="X666" i="5"/>
  <c r="Y666" i="5"/>
  <c r="Z666" i="5"/>
  <c r="AA666" i="5"/>
  <c r="I667" i="5"/>
  <c r="J667" i="5"/>
  <c r="M667" i="5"/>
  <c r="O667" i="5"/>
  <c r="P667" i="5"/>
  <c r="Q667" i="5"/>
  <c r="R667" i="5"/>
  <c r="S667" i="5"/>
  <c r="T667" i="5"/>
  <c r="U667" i="5"/>
  <c r="W667" i="5"/>
  <c r="X667" i="5"/>
  <c r="Y667" i="5"/>
  <c r="Z667" i="5"/>
  <c r="AA667" i="5"/>
  <c r="I668" i="5"/>
  <c r="J668" i="5"/>
  <c r="M668" i="5"/>
  <c r="O668" i="5"/>
  <c r="P668" i="5"/>
  <c r="Q668" i="5"/>
  <c r="R668" i="5"/>
  <c r="S668" i="5"/>
  <c r="T668" i="5"/>
  <c r="U668" i="5"/>
  <c r="W668" i="5"/>
  <c r="X668" i="5"/>
  <c r="Y668" i="5"/>
  <c r="Z668" i="5"/>
  <c r="AA668" i="5"/>
  <c r="I669" i="5"/>
  <c r="J669" i="5"/>
  <c r="M669" i="5"/>
  <c r="O669" i="5"/>
  <c r="P669" i="5"/>
  <c r="Q669" i="5"/>
  <c r="R669" i="5"/>
  <c r="S669" i="5"/>
  <c r="T669" i="5"/>
  <c r="U669" i="5"/>
  <c r="W669" i="5"/>
  <c r="X669" i="5"/>
  <c r="Y669" i="5"/>
  <c r="Z669" i="5"/>
  <c r="AA669" i="5"/>
  <c r="I670" i="5"/>
  <c r="J670" i="5"/>
  <c r="M670" i="5"/>
  <c r="O670" i="5"/>
  <c r="P670" i="5"/>
  <c r="Q670" i="5"/>
  <c r="R670" i="5"/>
  <c r="S670" i="5"/>
  <c r="T670" i="5"/>
  <c r="U670" i="5"/>
  <c r="W670" i="5"/>
  <c r="X670" i="5"/>
  <c r="Y670" i="5"/>
  <c r="Z670" i="5"/>
  <c r="AA670" i="5"/>
  <c r="I671" i="5"/>
  <c r="J671" i="5"/>
  <c r="M671" i="5"/>
  <c r="O671" i="5"/>
  <c r="P671" i="5"/>
  <c r="Q671" i="5"/>
  <c r="R671" i="5"/>
  <c r="S671" i="5"/>
  <c r="T671" i="5"/>
  <c r="U671" i="5"/>
  <c r="W671" i="5"/>
  <c r="X671" i="5"/>
  <c r="Y671" i="5"/>
  <c r="Z671" i="5"/>
  <c r="AA671" i="5"/>
  <c r="I672" i="5"/>
  <c r="J672" i="5"/>
  <c r="M672" i="5"/>
  <c r="O672" i="5"/>
  <c r="P672" i="5"/>
  <c r="Q672" i="5"/>
  <c r="R672" i="5"/>
  <c r="S672" i="5"/>
  <c r="T672" i="5"/>
  <c r="U672" i="5"/>
  <c r="W672" i="5"/>
  <c r="X672" i="5"/>
  <c r="Y672" i="5"/>
  <c r="Z672" i="5"/>
  <c r="AA672" i="5"/>
  <c r="I673" i="5"/>
  <c r="J673" i="5"/>
  <c r="M673" i="5"/>
  <c r="O673" i="5"/>
  <c r="P673" i="5"/>
  <c r="Q673" i="5"/>
  <c r="R673" i="5"/>
  <c r="S673" i="5"/>
  <c r="T673" i="5"/>
  <c r="U673" i="5"/>
  <c r="W673" i="5"/>
  <c r="X673" i="5"/>
  <c r="Y673" i="5"/>
  <c r="Z673" i="5"/>
  <c r="AA673" i="5"/>
  <c r="I674" i="5"/>
  <c r="J674" i="5"/>
  <c r="M674" i="5"/>
  <c r="O674" i="5"/>
  <c r="P674" i="5"/>
  <c r="Q674" i="5"/>
  <c r="R674" i="5"/>
  <c r="S674" i="5"/>
  <c r="T674" i="5"/>
  <c r="U674" i="5"/>
  <c r="W674" i="5"/>
  <c r="X674" i="5"/>
  <c r="Y674" i="5"/>
  <c r="Z674" i="5"/>
  <c r="AA674" i="5"/>
  <c r="I675" i="5"/>
  <c r="J675" i="5"/>
  <c r="M675" i="5"/>
  <c r="O675" i="5"/>
  <c r="P675" i="5"/>
  <c r="Q675" i="5"/>
  <c r="R675" i="5"/>
  <c r="S675" i="5"/>
  <c r="T675" i="5"/>
  <c r="U675" i="5"/>
  <c r="W675" i="5"/>
  <c r="X675" i="5"/>
  <c r="Y675" i="5"/>
  <c r="Z675" i="5"/>
  <c r="AA675" i="5"/>
  <c r="I676" i="5"/>
  <c r="J676" i="5"/>
  <c r="M676" i="5"/>
  <c r="O676" i="5"/>
  <c r="P676" i="5"/>
  <c r="Q676" i="5"/>
  <c r="R676" i="5"/>
  <c r="S676" i="5"/>
  <c r="T676" i="5"/>
  <c r="U676" i="5"/>
  <c r="W676" i="5"/>
  <c r="X676" i="5"/>
  <c r="Y676" i="5"/>
  <c r="Z676" i="5"/>
  <c r="AA676" i="5"/>
  <c r="I677" i="5"/>
  <c r="J677" i="5"/>
  <c r="M677" i="5"/>
  <c r="O677" i="5"/>
  <c r="P677" i="5"/>
  <c r="Q677" i="5"/>
  <c r="R677" i="5"/>
  <c r="S677" i="5"/>
  <c r="T677" i="5"/>
  <c r="U677" i="5"/>
  <c r="W677" i="5"/>
  <c r="X677" i="5"/>
  <c r="Y677" i="5"/>
  <c r="Z677" i="5"/>
  <c r="AA677" i="5"/>
  <c r="I678" i="5"/>
  <c r="J678" i="5"/>
  <c r="M678" i="5"/>
  <c r="O678" i="5"/>
  <c r="P678" i="5"/>
  <c r="Q678" i="5"/>
  <c r="R678" i="5"/>
  <c r="S678" i="5"/>
  <c r="T678" i="5"/>
  <c r="U678" i="5"/>
  <c r="W678" i="5"/>
  <c r="X678" i="5"/>
  <c r="Y678" i="5"/>
  <c r="Z678" i="5"/>
  <c r="AA678" i="5"/>
  <c r="I679" i="5"/>
  <c r="J679" i="5"/>
  <c r="M679" i="5"/>
  <c r="O679" i="5"/>
  <c r="P679" i="5"/>
  <c r="Q679" i="5"/>
  <c r="R679" i="5"/>
  <c r="S679" i="5"/>
  <c r="T679" i="5"/>
  <c r="U679" i="5"/>
  <c r="W679" i="5"/>
  <c r="X679" i="5"/>
  <c r="Y679" i="5"/>
  <c r="Z679" i="5"/>
  <c r="AA679" i="5"/>
  <c r="I680" i="5"/>
  <c r="J680" i="5"/>
  <c r="M680" i="5"/>
  <c r="O680" i="5"/>
  <c r="P680" i="5"/>
  <c r="Q680" i="5"/>
  <c r="R680" i="5"/>
  <c r="S680" i="5"/>
  <c r="T680" i="5"/>
  <c r="U680" i="5"/>
  <c r="W680" i="5"/>
  <c r="X680" i="5"/>
  <c r="Y680" i="5"/>
  <c r="Z680" i="5"/>
  <c r="AA680" i="5"/>
  <c r="I681" i="5"/>
  <c r="J681" i="5"/>
  <c r="M681" i="5"/>
  <c r="O681" i="5"/>
  <c r="P681" i="5"/>
  <c r="Q681" i="5"/>
  <c r="R681" i="5"/>
  <c r="S681" i="5"/>
  <c r="T681" i="5"/>
  <c r="U681" i="5"/>
  <c r="W681" i="5"/>
  <c r="X681" i="5"/>
  <c r="Y681" i="5"/>
  <c r="Z681" i="5"/>
  <c r="AA681" i="5"/>
  <c r="I682" i="5"/>
  <c r="J682" i="5"/>
  <c r="M682" i="5"/>
  <c r="O682" i="5"/>
  <c r="P682" i="5"/>
  <c r="Q682" i="5"/>
  <c r="R682" i="5"/>
  <c r="S682" i="5"/>
  <c r="T682" i="5"/>
  <c r="U682" i="5"/>
  <c r="W682" i="5"/>
  <c r="X682" i="5"/>
  <c r="Y682" i="5"/>
  <c r="Z682" i="5"/>
  <c r="AA682" i="5"/>
  <c r="I683" i="5"/>
  <c r="J683" i="5"/>
  <c r="M683" i="5"/>
  <c r="O683" i="5"/>
  <c r="P683" i="5"/>
  <c r="Q683" i="5"/>
  <c r="R683" i="5"/>
  <c r="S683" i="5"/>
  <c r="T683" i="5"/>
  <c r="U683" i="5"/>
  <c r="W683" i="5"/>
  <c r="X683" i="5"/>
  <c r="Y683" i="5"/>
  <c r="Z683" i="5"/>
  <c r="AA683" i="5"/>
  <c r="I684" i="5"/>
  <c r="J684" i="5"/>
  <c r="M684" i="5"/>
  <c r="O684" i="5"/>
  <c r="P684" i="5"/>
  <c r="Q684" i="5"/>
  <c r="R684" i="5"/>
  <c r="S684" i="5"/>
  <c r="T684" i="5"/>
  <c r="U684" i="5"/>
  <c r="W684" i="5"/>
  <c r="X684" i="5"/>
  <c r="Y684" i="5"/>
  <c r="Z684" i="5"/>
  <c r="AA684" i="5"/>
  <c r="I685" i="5"/>
  <c r="J685" i="5"/>
  <c r="M685" i="5"/>
  <c r="O685" i="5"/>
  <c r="P685" i="5"/>
  <c r="Q685" i="5"/>
  <c r="R685" i="5"/>
  <c r="S685" i="5"/>
  <c r="T685" i="5"/>
  <c r="U685" i="5"/>
  <c r="W685" i="5"/>
  <c r="X685" i="5"/>
  <c r="Y685" i="5"/>
  <c r="Z685" i="5"/>
  <c r="AA685" i="5"/>
  <c r="I686" i="5"/>
  <c r="J686" i="5"/>
  <c r="M686" i="5"/>
  <c r="O686" i="5"/>
  <c r="P686" i="5"/>
  <c r="Q686" i="5"/>
  <c r="R686" i="5"/>
  <c r="S686" i="5"/>
  <c r="T686" i="5"/>
  <c r="U686" i="5"/>
  <c r="W686" i="5"/>
  <c r="X686" i="5"/>
  <c r="Y686" i="5"/>
  <c r="Z686" i="5"/>
  <c r="AA686" i="5"/>
  <c r="I687" i="5"/>
  <c r="J687" i="5"/>
  <c r="M687" i="5"/>
  <c r="O687" i="5"/>
  <c r="P687" i="5"/>
  <c r="Q687" i="5"/>
  <c r="R687" i="5"/>
  <c r="S687" i="5"/>
  <c r="T687" i="5"/>
  <c r="U687" i="5"/>
  <c r="W687" i="5"/>
  <c r="X687" i="5"/>
  <c r="Y687" i="5"/>
  <c r="Z687" i="5"/>
  <c r="AA687" i="5"/>
  <c r="I688" i="5"/>
  <c r="J688" i="5"/>
  <c r="M688" i="5"/>
  <c r="O688" i="5"/>
  <c r="P688" i="5"/>
  <c r="Q688" i="5"/>
  <c r="R688" i="5"/>
  <c r="S688" i="5"/>
  <c r="T688" i="5"/>
  <c r="U688" i="5"/>
  <c r="W688" i="5"/>
  <c r="X688" i="5"/>
  <c r="Y688" i="5"/>
  <c r="Z688" i="5"/>
  <c r="AA688" i="5"/>
  <c r="I689" i="5"/>
  <c r="J689" i="5"/>
  <c r="M689" i="5"/>
  <c r="O689" i="5"/>
  <c r="P689" i="5"/>
  <c r="Q689" i="5"/>
  <c r="R689" i="5"/>
  <c r="S689" i="5"/>
  <c r="T689" i="5"/>
  <c r="U689" i="5"/>
  <c r="W689" i="5"/>
  <c r="X689" i="5"/>
  <c r="Y689" i="5"/>
  <c r="Z689" i="5"/>
  <c r="AA689" i="5"/>
  <c r="I690" i="5"/>
  <c r="J690" i="5"/>
  <c r="M690" i="5"/>
  <c r="O690" i="5"/>
  <c r="P690" i="5"/>
  <c r="Q690" i="5"/>
  <c r="R690" i="5"/>
  <c r="S690" i="5"/>
  <c r="T690" i="5"/>
  <c r="U690" i="5"/>
  <c r="W690" i="5"/>
  <c r="X690" i="5"/>
  <c r="Y690" i="5"/>
  <c r="Z690" i="5"/>
  <c r="AA690" i="5"/>
  <c r="I691" i="5"/>
  <c r="J691" i="5"/>
  <c r="M691" i="5"/>
  <c r="O691" i="5"/>
  <c r="P691" i="5"/>
  <c r="Q691" i="5"/>
  <c r="R691" i="5"/>
  <c r="S691" i="5"/>
  <c r="T691" i="5"/>
  <c r="U691" i="5"/>
  <c r="W691" i="5"/>
  <c r="X691" i="5"/>
  <c r="Y691" i="5"/>
  <c r="Z691" i="5"/>
  <c r="AA691" i="5"/>
  <c r="I692" i="5"/>
  <c r="J692" i="5"/>
  <c r="M692" i="5"/>
  <c r="O692" i="5"/>
  <c r="P692" i="5"/>
  <c r="Q692" i="5"/>
  <c r="R692" i="5"/>
  <c r="S692" i="5"/>
  <c r="T692" i="5"/>
  <c r="U692" i="5"/>
  <c r="W692" i="5"/>
  <c r="X692" i="5"/>
  <c r="Y692" i="5"/>
  <c r="Z692" i="5"/>
  <c r="AA692" i="5"/>
  <c r="I693" i="5"/>
  <c r="J693" i="5"/>
  <c r="M693" i="5"/>
  <c r="O693" i="5"/>
  <c r="P693" i="5"/>
  <c r="Q693" i="5"/>
  <c r="R693" i="5"/>
  <c r="S693" i="5"/>
  <c r="T693" i="5"/>
  <c r="U693" i="5"/>
  <c r="W693" i="5"/>
  <c r="X693" i="5"/>
  <c r="Y693" i="5"/>
  <c r="Z693" i="5"/>
  <c r="AA693" i="5"/>
  <c r="I694" i="5"/>
  <c r="J694" i="5"/>
  <c r="M694" i="5"/>
  <c r="O694" i="5"/>
  <c r="P694" i="5"/>
  <c r="Q694" i="5"/>
  <c r="R694" i="5"/>
  <c r="S694" i="5"/>
  <c r="T694" i="5"/>
  <c r="U694" i="5"/>
  <c r="W694" i="5"/>
  <c r="X694" i="5"/>
  <c r="Y694" i="5"/>
  <c r="Z694" i="5"/>
  <c r="AA694" i="5"/>
  <c r="I695" i="5"/>
  <c r="J695" i="5"/>
  <c r="M695" i="5"/>
  <c r="O695" i="5"/>
  <c r="P695" i="5"/>
  <c r="Q695" i="5"/>
  <c r="R695" i="5"/>
  <c r="S695" i="5"/>
  <c r="T695" i="5"/>
  <c r="U695" i="5"/>
  <c r="W695" i="5"/>
  <c r="X695" i="5"/>
  <c r="Y695" i="5"/>
  <c r="Z695" i="5"/>
  <c r="AA695" i="5"/>
  <c r="I696" i="5"/>
  <c r="J696" i="5"/>
  <c r="M696" i="5"/>
  <c r="O696" i="5"/>
  <c r="P696" i="5"/>
  <c r="Q696" i="5"/>
  <c r="R696" i="5"/>
  <c r="S696" i="5"/>
  <c r="T696" i="5"/>
  <c r="U696" i="5"/>
  <c r="W696" i="5"/>
  <c r="X696" i="5"/>
  <c r="Y696" i="5"/>
  <c r="Z696" i="5"/>
  <c r="AA696" i="5"/>
  <c r="I697" i="5"/>
  <c r="J697" i="5"/>
  <c r="M697" i="5"/>
  <c r="O697" i="5"/>
  <c r="P697" i="5"/>
  <c r="Q697" i="5"/>
  <c r="R697" i="5"/>
  <c r="S697" i="5"/>
  <c r="T697" i="5"/>
  <c r="U697" i="5"/>
  <c r="W697" i="5"/>
  <c r="X697" i="5"/>
  <c r="Y697" i="5"/>
  <c r="Z697" i="5"/>
  <c r="AA697" i="5"/>
  <c r="I698" i="5"/>
  <c r="J698" i="5"/>
  <c r="M698" i="5"/>
  <c r="O698" i="5"/>
  <c r="P698" i="5"/>
  <c r="Q698" i="5"/>
  <c r="R698" i="5"/>
  <c r="S698" i="5"/>
  <c r="T698" i="5"/>
  <c r="U698" i="5"/>
  <c r="W698" i="5"/>
  <c r="X698" i="5"/>
  <c r="Y698" i="5"/>
  <c r="Z698" i="5"/>
  <c r="AA698" i="5"/>
  <c r="I699" i="5"/>
  <c r="J699" i="5"/>
  <c r="M699" i="5"/>
  <c r="O699" i="5"/>
  <c r="P699" i="5"/>
  <c r="Q699" i="5"/>
  <c r="R699" i="5"/>
  <c r="S699" i="5"/>
  <c r="T699" i="5"/>
  <c r="U699" i="5"/>
  <c r="W699" i="5"/>
  <c r="X699" i="5"/>
  <c r="Y699" i="5"/>
  <c r="Z699" i="5"/>
  <c r="AA699" i="5"/>
  <c r="I700" i="5"/>
  <c r="J700" i="5"/>
  <c r="M700" i="5"/>
  <c r="O700" i="5"/>
  <c r="P700" i="5"/>
  <c r="Q700" i="5"/>
  <c r="R700" i="5"/>
  <c r="S700" i="5"/>
  <c r="T700" i="5"/>
  <c r="U700" i="5"/>
  <c r="W700" i="5"/>
  <c r="X700" i="5"/>
  <c r="Y700" i="5"/>
  <c r="Z700" i="5"/>
  <c r="AA700" i="5"/>
  <c r="I701" i="5"/>
  <c r="J701" i="5"/>
  <c r="M701" i="5"/>
  <c r="O701" i="5"/>
  <c r="P701" i="5"/>
  <c r="Q701" i="5"/>
  <c r="R701" i="5"/>
  <c r="S701" i="5"/>
  <c r="T701" i="5"/>
  <c r="U701" i="5"/>
  <c r="W701" i="5"/>
  <c r="X701" i="5"/>
  <c r="Y701" i="5"/>
  <c r="Z701" i="5"/>
  <c r="AA701" i="5"/>
  <c r="I702" i="5"/>
  <c r="J702" i="5"/>
  <c r="M702" i="5"/>
  <c r="O702" i="5"/>
  <c r="P702" i="5"/>
  <c r="Q702" i="5"/>
  <c r="R702" i="5"/>
  <c r="S702" i="5"/>
  <c r="T702" i="5"/>
  <c r="U702" i="5"/>
  <c r="W702" i="5"/>
  <c r="X702" i="5"/>
  <c r="Y702" i="5"/>
  <c r="Z702" i="5"/>
  <c r="AA702" i="5"/>
  <c r="I703" i="5"/>
  <c r="J703" i="5"/>
  <c r="M703" i="5"/>
  <c r="O703" i="5"/>
  <c r="P703" i="5"/>
  <c r="Q703" i="5"/>
  <c r="R703" i="5"/>
  <c r="S703" i="5"/>
  <c r="T703" i="5"/>
  <c r="U703" i="5"/>
  <c r="W703" i="5"/>
  <c r="X703" i="5"/>
  <c r="Y703" i="5"/>
  <c r="Z703" i="5"/>
  <c r="AA703" i="5"/>
  <c r="I704" i="5"/>
  <c r="J704" i="5"/>
  <c r="M704" i="5"/>
  <c r="O704" i="5"/>
  <c r="P704" i="5"/>
  <c r="Q704" i="5"/>
  <c r="R704" i="5"/>
  <c r="S704" i="5"/>
  <c r="T704" i="5"/>
  <c r="U704" i="5"/>
  <c r="W704" i="5"/>
  <c r="X704" i="5"/>
  <c r="Y704" i="5"/>
  <c r="Z704" i="5"/>
  <c r="AA704" i="5"/>
  <c r="I705" i="5"/>
  <c r="J705" i="5"/>
  <c r="M705" i="5"/>
  <c r="O705" i="5"/>
  <c r="P705" i="5"/>
  <c r="Q705" i="5"/>
  <c r="R705" i="5"/>
  <c r="S705" i="5"/>
  <c r="T705" i="5"/>
  <c r="U705" i="5"/>
  <c r="W705" i="5"/>
  <c r="X705" i="5"/>
  <c r="Y705" i="5"/>
  <c r="Z705" i="5"/>
  <c r="AA705" i="5"/>
  <c r="I706" i="5"/>
  <c r="J706" i="5"/>
  <c r="M706" i="5"/>
  <c r="O706" i="5"/>
  <c r="P706" i="5"/>
  <c r="Q706" i="5"/>
  <c r="R706" i="5"/>
  <c r="S706" i="5"/>
  <c r="T706" i="5"/>
  <c r="U706" i="5"/>
  <c r="W706" i="5"/>
  <c r="X706" i="5"/>
  <c r="Y706" i="5"/>
  <c r="Z706" i="5"/>
  <c r="AA706" i="5"/>
  <c r="I707" i="5"/>
  <c r="J707" i="5"/>
  <c r="M707" i="5"/>
  <c r="O707" i="5"/>
  <c r="P707" i="5"/>
  <c r="Q707" i="5"/>
  <c r="R707" i="5"/>
  <c r="S707" i="5"/>
  <c r="T707" i="5"/>
  <c r="U707" i="5"/>
  <c r="W707" i="5"/>
  <c r="X707" i="5"/>
  <c r="Y707" i="5"/>
  <c r="Z707" i="5"/>
  <c r="AA707" i="5"/>
  <c r="I708" i="5"/>
  <c r="J708" i="5"/>
  <c r="M708" i="5"/>
  <c r="O708" i="5"/>
  <c r="P708" i="5"/>
  <c r="Q708" i="5"/>
  <c r="R708" i="5"/>
  <c r="S708" i="5"/>
  <c r="T708" i="5"/>
  <c r="U708" i="5"/>
  <c r="W708" i="5"/>
  <c r="X708" i="5"/>
  <c r="Y708" i="5"/>
  <c r="Z708" i="5"/>
  <c r="AA708" i="5"/>
  <c r="I709" i="5"/>
  <c r="J709" i="5"/>
  <c r="M709" i="5"/>
  <c r="O709" i="5"/>
  <c r="P709" i="5"/>
  <c r="Q709" i="5"/>
  <c r="R709" i="5"/>
  <c r="S709" i="5"/>
  <c r="T709" i="5"/>
  <c r="U709" i="5"/>
  <c r="W709" i="5"/>
  <c r="X709" i="5"/>
  <c r="Y709" i="5"/>
  <c r="Z709" i="5"/>
  <c r="AA709" i="5"/>
  <c r="I710" i="5"/>
  <c r="J710" i="5"/>
  <c r="M710" i="5"/>
  <c r="O710" i="5"/>
  <c r="P710" i="5"/>
  <c r="Q710" i="5"/>
  <c r="R710" i="5"/>
  <c r="S710" i="5"/>
  <c r="T710" i="5"/>
  <c r="U710" i="5"/>
  <c r="W710" i="5"/>
  <c r="X710" i="5"/>
  <c r="Y710" i="5"/>
  <c r="Z710" i="5"/>
  <c r="AA710" i="5"/>
  <c r="I711" i="5"/>
  <c r="J711" i="5"/>
  <c r="M711" i="5"/>
  <c r="O711" i="5"/>
  <c r="P711" i="5"/>
  <c r="Q711" i="5"/>
  <c r="R711" i="5"/>
  <c r="S711" i="5"/>
  <c r="T711" i="5"/>
  <c r="U711" i="5"/>
  <c r="W711" i="5"/>
  <c r="X711" i="5"/>
  <c r="Y711" i="5"/>
  <c r="Z711" i="5"/>
  <c r="AA711" i="5"/>
  <c r="I712" i="5"/>
  <c r="J712" i="5"/>
  <c r="M712" i="5"/>
  <c r="O712" i="5"/>
  <c r="P712" i="5"/>
  <c r="Q712" i="5"/>
  <c r="R712" i="5"/>
  <c r="S712" i="5"/>
  <c r="T712" i="5"/>
  <c r="U712" i="5"/>
  <c r="W712" i="5"/>
  <c r="X712" i="5"/>
  <c r="Y712" i="5"/>
  <c r="Z712" i="5"/>
  <c r="AA712" i="5"/>
  <c r="I713" i="5"/>
  <c r="J713" i="5"/>
  <c r="M713" i="5"/>
  <c r="O713" i="5"/>
  <c r="P713" i="5"/>
  <c r="Q713" i="5"/>
  <c r="R713" i="5"/>
  <c r="S713" i="5"/>
  <c r="T713" i="5"/>
  <c r="U713" i="5"/>
  <c r="W713" i="5"/>
  <c r="X713" i="5"/>
  <c r="Y713" i="5"/>
  <c r="Z713" i="5"/>
  <c r="AA713" i="5"/>
  <c r="I714" i="5"/>
  <c r="J714" i="5"/>
  <c r="M714" i="5"/>
  <c r="O714" i="5"/>
  <c r="P714" i="5"/>
  <c r="Q714" i="5"/>
  <c r="R714" i="5"/>
  <c r="S714" i="5"/>
  <c r="T714" i="5"/>
  <c r="U714" i="5"/>
  <c r="W714" i="5"/>
  <c r="X714" i="5"/>
  <c r="Y714" i="5"/>
  <c r="Z714" i="5"/>
  <c r="AA714" i="5"/>
  <c r="I715" i="5"/>
  <c r="J715" i="5"/>
  <c r="M715" i="5"/>
  <c r="O715" i="5"/>
  <c r="P715" i="5"/>
  <c r="Q715" i="5"/>
  <c r="R715" i="5"/>
  <c r="S715" i="5"/>
  <c r="T715" i="5"/>
  <c r="U715" i="5"/>
  <c r="W715" i="5"/>
  <c r="X715" i="5"/>
  <c r="Y715" i="5"/>
  <c r="Z715" i="5"/>
  <c r="AA715" i="5"/>
  <c r="I716" i="5"/>
  <c r="J716" i="5"/>
  <c r="M716" i="5"/>
  <c r="O716" i="5"/>
  <c r="P716" i="5"/>
  <c r="Q716" i="5"/>
  <c r="R716" i="5"/>
  <c r="S716" i="5"/>
  <c r="T716" i="5"/>
  <c r="U716" i="5"/>
  <c r="W716" i="5"/>
  <c r="X716" i="5"/>
  <c r="Y716" i="5"/>
  <c r="Z716" i="5"/>
  <c r="AA716" i="5"/>
  <c r="I717" i="5"/>
  <c r="J717" i="5"/>
  <c r="M717" i="5"/>
  <c r="O717" i="5"/>
  <c r="P717" i="5"/>
  <c r="Q717" i="5"/>
  <c r="R717" i="5"/>
  <c r="S717" i="5"/>
  <c r="T717" i="5"/>
  <c r="U717" i="5"/>
  <c r="W717" i="5"/>
  <c r="X717" i="5"/>
  <c r="Y717" i="5"/>
  <c r="Z717" i="5"/>
  <c r="AA717" i="5"/>
  <c r="I718" i="5"/>
  <c r="J718" i="5"/>
  <c r="M718" i="5"/>
  <c r="O718" i="5"/>
  <c r="P718" i="5"/>
  <c r="Q718" i="5"/>
  <c r="R718" i="5"/>
  <c r="S718" i="5"/>
  <c r="T718" i="5"/>
  <c r="U718" i="5"/>
  <c r="W718" i="5"/>
  <c r="X718" i="5"/>
  <c r="Y718" i="5"/>
  <c r="Z718" i="5"/>
  <c r="AA718" i="5"/>
  <c r="I719" i="5"/>
  <c r="J719" i="5"/>
  <c r="M719" i="5"/>
  <c r="O719" i="5"/>
  <c r="P719" i="5"/>
  <c r="Q719" i="5"/>
  <c r="R719" i="5"/>
  <c r="S719" i="5"/>
  <c r="T719" i="5"/>
  <c r="U719" i="5"/>
  <c r="W719" i="5"/>
  <c r="X719" i="5"/>
  <c r="Y719" i="5"/>
  <c r="Z719" i="5"/>
  <c r="AA719" i="5"/>
  <c r="I720" i="5"/>
  <c r="J720" i="5"/>
  <c r="M720" i="5"/>
  <c r="O720" i="5"/>
  <c r="P720" i="5"/>
  <c r="Q720" i="5"/>
  <c r="R720" i="5"/>
  <c r="S720" i="5"/>
  <c r="T720" i="5"/>
  <c r="U720" i="5"/>
  <c r="W720" i="5"/>
  <c r="X720" i="5"/>
  <c r="Y720" i="5"/>
  <c r="Z720" i="5"/>
  <c r="AA720" i="5"/>
  <c r="I721" i="5"/>
  <c r="J721" i="5"/>
  <c r="M721" i="5"/>
  <c r="O721" i="5"/>
  <c r="P721" i="5"/>
  <c r="Q721" i="5"/>
  <c r="R721" i="5"/>
  <c r="S721" i="5"/>
  <c r="T721" i="5"/>
  <c r="U721" i="5"/>
  <c r="W721" i="5"/>
  <c r="X721" i="5"/>
  <c r="Y721" i="5"/>
  <c r="Z721" i="5"/>
  <c r="AA721" i="5"/>
  <c r="I722" i="5"/>
  <c r="J722" i="5"/>
  <c r="M722" i="5"/>
  <c r="O722" i="5"/>
  <c r="P722" i="5"/>
  <c r="Q722" i="5"/>
  <c r="R722" i="5"/>
  <c r="S722" i="5"/>
  <c r="T722" i="5"/>
  <c r="U722" i="5"/>
  <c r="W722" i="5"/>
  <c r="X722" i="5"/>
  <c r="Y722" i="5"/>
  <c r="Z722" i="5"/>
  <c r="AA722" i="5"/>
  <c r="I723" i="5"/>
  <c r="J723" i="5"/>
  <c r="M723" i="5"/>
  <c r="O723" i="5"/>
  <c r="P723" i="5"/>
  <c r="Q723" i="5"/>
  <c r="R723" i="5"/>
  <c r="S723" i="5"/>
  <c r="T723" i="5"/>
  <c r="U723" i="5"/>
  <c r="W723" i="5"/>
  <c r="X723" i="5"/>
  <c r="Y723" i="5"/>
  <c r="Z723" i="5"/>
  <c r="AA723" i="5"/>
  <c r="I724" i="5"/>
  <c r="J724" i="5"/>
  <c r="M724" i="5"/>
  <c r="O724" i="5"/>
  <c r="P724" i="5"/>
  <c r="Q724" i="5"/>
  <c r="R724" i="5"/>
  <c r="S724" i="5"/>
  <c r="T724" i="5"/>
  <c r="U724" i="5"/>
  <c r="W724" i="5"/>
  <c r="X724" i="5"/>
  <c r="Y724" i="5"/>
  <c r="Z724" i="5"/>
  <c r="AA724" i="5"/>
  <c r="I725" i="5"/>
  <c r="J725" i="5"/>
  <c r="M725" i="5"/>
  <c r="O725" i="5"/>
  <c r="P725" i="5"/>
  <c r="Q725" i="5"/>
  <c r="R725" i="5"/>
  <c r="S725" i="5"/>
  <c r="T725" i="5"/>
  <c r="U725" i="5"/>
  <c r="W725" i="5"/>
  <c r="X725" i="5"/>
  <c r="Y725" i="5"/>
  <c r="Z725" i="5"/>
  <c r="AA725" i="5"/>
  <c r="I726" i="5"/>
  <c r="J726" i="5"/>
  <c r="M726" i="5"/>
  <c r="O726" i="5"/>
  <c r="P726" i="5"/>
  <c r="Q726" i="5"/>
  <c r="R726" i="5"/>
  <c r="S726" i="5"/>
  <c r="T726" i="5"/>
  <c r="U726" i="5"/>
  <c r="W726" i="5"/>
  <c r="X726" i="5"/>
  <c r="Y726" i="5"/>
  <c r="Z726" i="5"/>
  <c r="AA726" i="5"/>
  <c r="I727" i="5"/>
  <c r="J727" i="5"/>
  <c r="M727" i="5"/>
  <c r="O727" i="5"/>
  <c r="P727" i="5"/>
  <c r="Q727" i="5"/>
  <c r="R727" i="5"/>
  <c r="S727" i="5"/>
  <c r="T727" i="5"/>
  <c r="U727" i="5"/>
  <c r="W727" i="5"/>
  <c r="X727" i="5"/>
  <c r="Y727" i="5"/>
  <c r="Z727" i="5"/>
  <c r="AA727" i="5"/>
  <c r="I728" i="5"/>
  <c r="J728" i="5"/>
  <c r="M728" i="5"/>
  <c r="O728" i="5"/>
  <c r="P728" i="5"/>
  <c r="Q728" i="5"/>
  <c r="R728" i="5"/>
  <c r="S728" i="5"/>
  <c r="T728" i="5"/>
  <c r="U728" i="5"/>
  <c r="W728" i="5"/>
  <c r="X728" i="5"/>
  <c r="Y728" i="5"/>
  <c r="Z728" i="5"/>
  <c r="AA728" i="5"/>
  <c r="I729" i="5"/>
  <c r="J729" i="5"/>
  <c r="M729" i="5"/>
  <c r="O729" i="5"/>
  <c r="P729" i="5"/>
  <c r="Q729" i="5"/>
  <c r="R729" i="5"/>
  <c r="S729" i="5"/>
  <c r="T729" i="5"/>
  <c r="U729" i="5"/>
  <c r="W729" i="5"/>
  <c r="X729" i="5"/>
  <c r="Y729" i="5"/>
  <c r="Z729" i="5"/>
  <c r="AA729" i="5"/>
  <c r="I730" i="5"/>
  <c r="J730" i="5"/>
  <c r="M730" i="5"/>
  <c r="O730" i="5"/>
  <c r="P730" i="5"/>
  <c r="Q730" i="5"/>
  <c r="R730" i="5"/>
  <c r="S730" i="5"/>
  <c r="T730" i="5"/>
  <c r="U730" i="5"/>
  <c r="W730" i="5"/>
  <c r="X730" i="5"/>
  <c r="Y730" i="5"/>
  <c r="Z730" i="5"/>
  <c r="AA730" i="5"/>
  <c r="I731" i="5"/>
  <c r="J731" i="5"/>
  <c r="M731" i="5"/>
  <c r="O731" i="5"/>
  <c r="P731" i="5"/>
  <c r="Q731" i="5"/>
  <c r="R731" i="5"/>
  <c r="S731" i="5"/>
  <c r="T731" i="5"/>
  <c r="U731" i="5"/>
  <c r="W731" i="5"/>
  <c r="X731" i="5"/>
  <c r="Y731" i="5"/>
  <c r="Z731" i="5"/>
  <c r="AA731" i="5"/>
  <c r="I732" i="5"/>
  <c r="J732" i="5"/>
  <c r="M732" i="5"/>
  <c r="O732" i="5"/>
  <c r="P732" i="5"/>
  <c r="Q732" i="5"/>
  <c r="R732" i="5"/>
  <c r="S732" i="5"/>
  <c r="T732" i="5"/>
  <c r="U732" i="5"/>
  <c r="W732" i="5"/>
  <c r="X732" i="5"/>
  <c r="Y732" i="5"/>
  <c r="Z732" i="5"/>
  <c r="AA732" i="5"/>
  <c r="I733" i="5"/>
  <c r="J733" i="5"/>
  <c r="M733" i="5"/>
  <c r="O733" i="5"/>
  <c r="P733" i="5"/>
  <c r="Q733" i="5"/>
  <c r="R733" i="5"/>
  <c r="S733" i="5"/>
  <c r="T733" i="5"/>
  <c r="U733" i="5"/>
  <c r="W733" i="5"/>
  <c r="X733" i="5"/>
  <c r="Y733" i="5"/>
  <c r="Z733" i="5"/>
  <c r="AA733" i="5"/>
  <c r="I734" i="5"/>
  <c r="J734" i="5"/>
  <c r="M734" i="5"/>
  <c r="O734" i="5"/>
  <c r="P734" i="5"/>
  <c r="Q734" i="5"/>
  <c r="R734" i="5"/>
  <c r="S734" i="5"/>
  <c r="T734" i="5"/>
  <c r="U734" i="5"/>
  <c r="W734" i="5"/>
  <c r="X734" i="5"/>
  <c r="Y734" i="5"/>
  <c r="Z734" i="5"/>
  <c r="AA734" i="5"/>
  <c r="I735" i="5"/>
  <c r="J735" i="5"/>
  <c r="M735" i="5"/>
  <c r="O735" i="5"/>
  <c r="P735" i="5"/>
  <c r="Q735" i="5"/>
  <c r="R735" i="5"/>
  <c r="S735" i="5"/>
  <c r="T735" i="5"/>
  <c r="U735" i="5"/>
  <c r="W735" i="5"/>
  <c r="X735" i="5"/>
  <c r="Y735" i="5"/>
  <c r="Z735" i="5"/>
  <c r="AA735" i="5"/>
  <c r="I736" i="5"/>
  <c r="J736" i="5"/>
  <c r="M736" i="5"/>
  <c r="O736" i="5"/>
  <c r="P736" i="5"/>
  <c r="Q736" i="5"/>
  <c r="R736" i="5"/>
  <c r="S736" i="5"/>
  <c r="T736" i="5"/>
  <c r="U736" i="5"/>
  <c r="W736" i="5"/>
  <c r="X736" i="5"/>
  <c r="Y736" i="5"/>
  <c r="Z736" i="5"/>
  <c r="AA736" i="5"/>
  <c r="I737" i="5"/>
  <c r="J737" i="5"/>
  <c r="M737" i="5"/>
  <c r="O737" i="5"/>
  <c r="P737" i="5"/>
  <c r="Q737" i="5"/>
  <c r="R737" i="5"/>
  <c r="S737" i="5"/>
  <c r="T737" i="5"/>
  <c r="U737" i="5"/>
  <c r="W737" i="5"/>
  <c r="X737" i="5"/>
  <c r="Y737" i="5"/>
  <c r="Z737" i="5"/>
  <c r="AA737" i="5"/>
  <c r="I738" i="5"/>
  <c r="J738" i="5"/>
  <c r="M738" i="5"/>
  <c r="O738" i="5"/>
  <c r="P738" i="5"/>
  <c r="Q738" i="5"/>
  <c r="R738" i="5"/>
  <c r="S738" i="5"/>
  <c r="T738" i="5"/>
  <c r="U738" i="5"/>
  <c r="W738" i="5"/>
  <c r="X738" i="5"/>
  <c r="Y738" i="5"/>
  <c r="Z738" i="5"/>
  <c r="AA738" i="5"/>
  <c r="I739" i="5"/>
  <c r="J739" i="5"/>
  <c r="M739" i="5"/>
  <c r="O739" i="5"/>
  <c r="P739" i="5"/>
  <c r="Q739" i="5"/>
  <c r="R739" i="5"/>
  <c r="S739" i="5"/>
  <c r="T739" i="5"/>
  <c r="U739" i="5"/>
  <c r="W739" i="5"/>
  <c r="X739" i="5"/>
  <c r="Y739" i="5"/>
  <c r="Z739" i="5"/>
  <c r="AA739" i="5"/>
  <c r="I740" i="5"/>
  <c r="J740" i="5"/>
  <c r="M740" i="5"/>
  <c r="O740" i="5"/>
  <c r="P740" i="5"/>
  <c r="Q740" i="5"/>
  <c r="R740" i="5"/>
  <c r="S740" i="5"/>
  <c r="T740" i="5"/>
  <c r="U740" i="5"/>
  <c r="W740" i="5"/>
  <c r="X740" i="5"/>
  <c r="Y740" i="5"/>
  <c r="Z740" i="5"/>
  <c r="AA740" i="5"/>
  <c r="I741" i="5"/>
  <c r="J741" i="5"/>
  <c r="M741" i="5"/>
  <c r="O741" i="5"/>
  <c r="P741" i="5"/>
  <c r="Q741" i="5"/>
  <c r="R741" i="5"/>
  <c r="S741" i="5"/>
  <c r="T741" i="5"/>
  <c r="U741" i="5"/>
  <c r="W741" i="5"/>
  <c r="X741" i="5"/>
  <c r="Y741" i="5"/>
  <c r="Z741" i="5"/>
  <c r="AA741" i="5"/>
  <c r="I742" i="5"/>
  <c r="J742" i="5"/>
  <c r="M742" i="5"/>
  <c r="O742" i="5"/>
  <c r="P742" i="5"/>
  <c r="Q742" i="5"/>
  <c r="R742" i="5"/>
  <c r="S742" i="5"/>
  <c r="T742" i="5"/>
  <c r="U742" i="5"/>
  <c r="W742" i="5"/>
  <c r="X742" i="5"/>
  <c r="Y742" i="5"/>
  <c r="Z742" i="5"/>
  <c r="AA742" i="5"/>
  <c r="I743" i="5"/>
  <c r="J743" i="5"/>
  <c r="M743" i="5"/>
  <c r="O743" i="5"/>
  <c r="P743" i="5"/>
  <c r="Q743" i="5"/>
  <c r="R743" i="5"/>
  <c r="S743" i="5"/>
  <c r="T743" i="5"/>
  <c r="U743" i="5"/>
  <c r="W743" i="5"/>
  <c r="X743" i="5"/>
  <c r="Y743" i="5"/>
  <c r="Z743" i="5"/>
  <c r="AA743" i="5"/>
  <c r="I744" i="5"/>
  <c r="J744" i="5"/>
  <c r="M744" i="5"/>
  <c r="O744" i="5"/>
  <c r="P744" i="5"/>
  <c r="Q744" i="5"/>
  <c r="R744" i="5"/>
  <c r="S744" i="5"/>
  <c r="T744" i="5"/>
  <c r="U744" i="5"/>
  <c r="W744" i="5"/>
  <c r="X744" i="5"/>
  <c r="Y744" i="5"/>
  <c r="Z744" i="5"/>
  <c r="AA744" i="5"/>
  <c r="I745" i="5"/>
  <c r="J745" i="5"/>
  <c r="M745" i="5"/>
  <c r="O745" i="5"/>
  <c r="P745" i="5"/>
  <c r="Q745" i="5"/>
  <c r="R745" i="5"/>
  <c r="S745" i="5"/>
  <c r="T745" i="5"/>
  <c r="U745" i="5"/>
  <c r="W745" i="5"/>
  <c r="X745" i="5"/>
  <c r="Y745" i="5"/>
  <c r="Z745" i="5"/>
  <c r="AA745" i="5"/>
  <c r="I746" i="5"/>
  <c r="J746" i="5"/>
  <c r="M746" i="5"/>
  <c r="O746" i="5"/>
  <c r="P746" i="5"/>
  <c r="Q746" i="5"/>
  <c r="R746" i="5"/>
  <c r="S746" i="5"/>
  <c r="T746" i="5"/>
  <c r="U746" i="5"/>
  <c r="W746" i="5"/>
  <c r="X746" i="5"/>
  <c r="Y746" i="5"/>
  <c r="Z746" i="5"/>
  <c r="AA746" i="5"/>
  <c r="I747" i="5"/>
  <c r="J747" i="5"/>
  <c r="M747" i="5"/>
  <c r="O747" i="5"/>
  <c r="P747" i="5"/>
  <c r="Q747" i="5"/>
  <c r="R747" i="5"/>
  <c r="S747" i="5"/>
  <c r="T747" i="5"/>
  <c r="U747" i="5"/>
  <c r="W747" i="5"/>
  <c r="X747" i="5"/>
  <c r="Y747" i="5"/>
  <c r="Z747" i="5"/>
  <c r="AA747" i="5"/>
  <c r="I748" i="5"/>
  <c r="J748" i="5"/>
  <c r="M748" i="5"/>
  <c r="O748" i="5"/>
  <c r="P748" i="5"/>
  <c r="Q748" i="5"/>
  <c r="R748" i="5"/>
  <c r="S748" i="5"/>
  <c r="T748" i="5"/>
  <c r="U748" i="5"/>
  <c r="W748" i="5"/>
  <c r="X748" i="5"/>
  <c r="Y748" i="5"/>
  <c r="Z748" i="5"/>
  <c r="AA748" i="5"/>
  <c r="I749" i="5"/>
  <c r="J749" i="5"/>
  <c r="M749" i="5"/>
  <c r="O749" i="5"/>
  <c r="P749" i="5"/>
  <c r="Q749" i="5"/>
  <c r="R749" i="5"/>
  <c r="S749" i="5"/>
  <c r="T749" i="5"/>
  <c r="U749" i="5"/>
  <c r="W749" i="5"/>
  <c r="X749" i="5"/>
  <c r="Y749" i="5"/>
  <c r="Z749" i="5"/>
  <c r="AA749" i="5"/>
  <c r="I750" i="5"/>
  <c r="J750" i="5"/>
  <c r="M750" i="5"/>
  <c r="O750" i="5"/>
  <c r="P750" i="5"/>
  <c r="Q750" i="5"/>
  <c r="R750" i="5"/>
  <c r="S750" i="5"/>
  <c r="T750" i="5"/>
  <c r="U750" i="5"/>
  <c r="W750" i="5"/>
  <c r="X750" i="5"/>
  <c r="Y750" i="5"/>
  <c r="Z750" i="5"/>
  <c r="AA750" i="5"/>
  <c r="I751" i="5"/>
  <c r="J751" i="5"/>
  <c r="M751" i="5"/>
  <c r="O751" i="5"/>
  <c r="P751" i="5"/>
  <c r="Q751" i="5"/>
  <c r="R751" i="5"/>
  <c r="S751" i="5"/>
  <c r="T751" i="5"/>
  <c r="U751" i="5"/>
  <c r="W751" i="5"/>
  <c r="X751" i="5"/>
  <c r="Y751" i="5"/>
  <c r="Z751" i="5"/>
  <c r="AA751" i="5"/>
  <c r="I752" i="5"/>
  <c r="J752" i="5"/>
  <c r="M752" i="5"/>
  <c r="O752" i="5"/>
  <c r="P752" i="5"/>
  <c r="Q752" i="5"/>
  <c r="R752" i="5"/>
  <c r="S752" i="5"/>
  <c r="T752" i="5"/>
  <c r="U752" i="5"/>
  <c r="W752" i="5"/>
  <c r="X752" i="5"/>
  <c r="Y752" i="5"/>
  <c r="Z752" i="5"/>
  <c r="AA752" i="5"/>
  <c r="I753" i="5"/>
  <c r="J753" i="5"/>
  <c r="M753" i="5"/>
  <c r="O753" i="5"/>
  <c r="P753" i="5"/>
  <c r="Q753" i="5"/>
  <c r="R753" i="5"/>
  <c r="S753" i="5"/>
  <c r="T753" i="5"/>
  <c r="U753" i="5"/>
  <c r="W753" i="5"/>
  <c r="X753" i="5"/>
  <c r="Y753" i="5"/>
  <c r="Z753" i="5"/>
  <c r="AA753" i="5"/>
  <c r="I754" i="5"/>
  <c r="J754" i="5"/>
  <c r="M754" i="5"/>
  <c r="O754" i="5"/>
  <c r="P754" i="5"/>
  <c r="Q754" i="5"/>
  <c r="R754" i="5"/>
  <c r="S754" i="5"/>
  <c r="T754" i="5"/>
  <c r="U754" i="5"/>
  <c r="W754" i="5"/>
  <c r="X754" i="5"/>
  <c r="Y754" i="5"/>
  <c r="Z754" i="5"/>
  <c r="AA754" i="5"/>
  <c r="I755" i="5"/>
  <c r="J755" i="5"/>
  <c r="M755" i="5"/>
  <c r="O755" i="5"/>
  <c r="P755" i="5"/>
  <c r="Q755" i="5"/>
  <c r="R755" i="5"/>
  <c r="S755" i="5"/>
  <c r="T755" i="5"/>
  <c r="U755" i="5"/>
  <c r="W755" i="5"/>
  <c r="X755" i="5"/>
  <c r="Y755" i="5"/>
  <c r="Z755" i="5"/>
  <c r="AA755" i="5"/>
  <c r="I756" i="5"/>
  <c r="J756" i="5"/>
  <c r="M756" i="5"/>
  <c r="O756" i="5"/>
  <c r="P756" i="5"/>
  <c r="Q756" i="5"/>
  <c r="R756" i="5"/>
  <c r="S756" i="5"/>
  <c r="T756" i="5"/>
  <c r="U756" i="5"/>
  <c r="W756" i="5"/>
  <c r="X756" i="5"/>
  <c r="Y756" i="5"/>
  <c r="Z756" i="5"/>
  <c r="AA756" i="5"/>
  <c r="I757" i="5"/>
  <c r="J757" i="5"/>
  <c r="M757" i="5"/>
  <c r="O757" i="5"/>
  <c r="P757" i="5"/>
  <c r="Q757" i="5"/>
  <c r="R757" i="5"/>
  <c r="S757" i="5"/>
  <c r="T757" i="5"/>
  <c r="U757" i="5"/>
  <c r="W757" i="5"/>
  <c r="X757" i="5"/>
  <c r="Y757" i="5"/>
  <c r="Z757" i="5"/>
  <c r="AA757" i="5"/>
  <c r="I758" i="5"/>
  <c r="J758" i="5"/>
  <c r="M758" i="5"/>
  <c r="O758" i="5"/>
  <c r="P758" i="5"/>
  <c r="Q758" i="5"/>
  <c r="R758" i="5"/>
  <c r="S758" i="5"/>
  <c r="T758" i="5"/>
  <c r="U758" i="5"/>
  <c r="W758" i="5"/>
  <c r="X758" i="5"/>
  <c r="Y758" i="5"/>
  <c r="Z758" i="5"/>
  <c r="AA758" i="5"/>
  <c r="I759" i="5"/>
  <c r="J759" i="5"/>
  <c r="M759" i="5"/>
  <c r="O759" i="5"/>
  <c r="P759" i="5"/>
  <c r="Q759" i="5"/>
  <c r="R759" i="5"/>
  <c r="S759" i="5"/>
  <c r="T759" i="5"/>
  <c r="U759" i="5"/>
  <c r="W759" i="5"/>
  <c r="X759" i="5"/>
  <c r="Y759" i="5"/>
  <c r="Z759" i="5"/>
  <c r="AA759" i="5"/>
  <c r="I760" i="5"/>
  <c r="J760" i="5"/>
  <c r="M760" i="5"/>
  <c r="O760" i="5"/>
  <c r="P760" i="5"/>
  <c r="Q760" i="5"/>
  <c r="R760" i="5"/>
  <c r="S760" i="5"/>
  <c r="T760" i="5"/>
  <c r="U760" i="5"/>
  <c r="W760" i="5"/>
  <c r="X760" i="5"/>
  <c r="Y760" i="5"/>
  <c r="Z760" i="5"/>
  <c r="AA760" i="5"/>
  <c r="I761" i="5"/>
  <c r="J761" i="5"/>
  <c r="M761" i="5"/>
  <c r="O761" i="5"/>
  <c r="P761" i="5"/>
  <c r="Q761" i="5"/>
  <c r="R761" i="5"/>
  <c r="S761" i="5"/>
  <c r="T761" i="5"/>
  <c r="U761" i="5"/>
  <c r="W761" i="5"/>
  <c r="X761" i="5"/>
  <c r="Y761" i="5"/>
  <c r="Z761" i="5"/>
  <c r="AA761" i="5"/>
  <c r="I762" i="5"/>
  <c r="J762" i="5"/>
  <c r="M762" i="5"/>
  <c r="O762" i="5"/>
  <c r="P762" i="5"/>
  <c r="Q762" i="5"/>
  <c r="R762" i="5"/>
  <c r="S762" i="5"/>
  <c r="T762" i="5"/>
  <c r="U762" i="5"/>
  <c r="W762" i="5"/>
  <c r="X762" i="5"/>
  <c r="Y762" i="5"/>
  <c r="Z762" i="5"/>
  <c r="AA762" i="5"/>
  <c r="I763" i="5"/>
  <c r="J763" i="5"/>
  <c r="M763" i="5"/>
  <c r="O763" i="5"/>
  <c r="P763" i="5"/>
  <c r="Q763" i="5"/>
  <c r="R763" i="5"/>
  <c r="S763" i="5"/>
  <c r="T763" i="5"/>
  <c r="U763" i="5"/>
  <c r="W763" i="5"/>
  <c r="X763" i="5"/>
  <c r="Y763" i="5"/>
  <c r="Z763" i="5"/>
  <c r="AA763" i="5"/>
  <c r="I764" i="5"/>
  <c r="J764" i="5"/>
  <c r="M764" i="5"/>
  <c r="O764" i="5"/>
  <c r="P764" i="5"/>
  <c r="Q764" i="5"/>
  <c r="R764" i="5"/>
  <c r="S764" i="5"/>
  <c r="T764" i="5"/>
  <c r="U764" i="5"/>
  <c r="W764" i="5"/>
  <c r="X764" i="5"/>
  <c r="Y764" i="5"/>
  <c r="Z764" i="5"/>
  <c r="AA764" i="5"/>
  <c r="I765" i="5"/>
  <c r="J765" i="5"/>
  <c r="M765" i="5"/>
  <c r="O765" i="5"/>
  <c r="P765" i="5"/>
  <c r="Q765" i="5"/>
  <c r="R765" i="5"/>
  <c r="S765" i="5"/>
  <c r="T765" i="5"/>
  <c r="U765" i="5"/>
  <c r="W765" i="5"/>
  <c r="X765" i="5"/>
  <c r="Y765" i="5"/>
  <c r="Z765" i="5"/>
  <c r="AA765" i="5"/>
  <c r="I766" i="5"/>
  <c r="J766" i="5"/>
  <c r="M766" i="5"/>
  <c r="O766" i="5"/>
  <c r="P766" i="5"/>
  <c r="Q766" i="5"/>
  <c r="R766" i="5"/>
  <c r="S766" i="5"/>
  <c r="T766" i="5"/>
  <c r="U766" i="5"/>
  <c r="W766" i="5"/>
  <c r="X766" i="5"/>
  <c r="Y766" i="5"/>
  <c r="Z766" i="5"/>
  <c r="AA766" i="5"/>
  <c r="I767" i="5"/>
  <c r="J767" i="5"/>
  <c r="M767" i="5"/>
  <c r="O767" i="5"/>
  <c r="P767" i="5"/>
  <c r="Q767" i="5"/>
  <c r="R767" i="5"/>
  <c r="S767" i="5"/>
  <c r="T767" i="5"/>
  <c r="U767" i="5"/>
  <c r="W767" i="5"/>
  <c r="X767" i="5"/>
  <c r="Y767" i="5"/>
  <c r="Z767" i="5"/>
  <c r="AA767" i="5"/>
  <c r="I768" i="5"/>
  <c r="J768" i="5"/>
  <c r="M768" i="5"/>
  <c r="O768" i="5"/>
  <c r="P768" i="5"/>
  <c r="Q768" i="5"/>
  <c r="R768" i="5"/>
  <c r="S768" i="5"/>
  <c r="T768" i="5"/>
  <c r="U768" i="5"/>
  <c r="W768" i="5"/>
  <c r="X768" i="5"/>
  <c r="Y768" i="5"/>
  <c r="Z768" i="5"/>
  <c r="AA768" i="5"/>
  <c r="I769" i="5"/>
  <c r="J769" i="5"/>
  <c r="M769" i="5"/>
  <c r="O769" i="5"/>
  <c r="P769" i="5"/>
  <c r="Q769" i="5"/>
  <c r="R769" i="5"/>
  <c r="S769" i="5"/>
  <c r="T769" i="5"/>
  <c r="U769" i="5"/>
  <c r="W769" i="5"/>
  <c r="X769" i="5"/>
  <c r="Y769" i="5"/>
  <c r="Z769" i="5"/>
  <c r="AA769" i="5"/>
  <c r="I770" i="5"/>
  <c r="J770" i="5"/>
  <c r="M770" i="5"/>
  <c r="O770" i="5"/>
  <c r="P770" i="5"/>
  <c r="Q770" i="5"/>
  <c r="R770" i="5"/>
  <c r="S770" i="5"/>
  <c r="T770" i="5"/>
  <c r="U770" i="5"/>
  <c r="W770" i="5"/>
  <c r="X770" i="5"/>
  <c r="Y770" i="5"/>
  <c r="Z770" i="5"/>
  <c r="AA770" i="5"/>
  <c r="I771" i="5"/>
  <c r="J771" i="5"/>
  <c r="M771" i="5"/>
  <c r="O771" i="5"/>
  <c r="P771" i="5"/>
  <c r="Q771" i="5"/>
  <c r="R771" i="5"/>
  <c r="S771" i="5"/>
  <c r="T771" i="5"/>
  <c r="U771" i="5"/>
  <c r="W771" i="5"/>
  <c r="X771" i="5"/>
  <c r="Y771" i="5"/>
  <c r="Z771" i="5"/>
  <c r="AA771" i="5"/>
  <c r="I772" i="5"/>
  <c r="J772" i="5"/>
  <c r="M772" i="5"/>
  <c r="O772" i="5"/>
  <c r="P772" i="5"/>
  <c r="Q772" i="5"/>
  <c r="R772" i="5"/>
  <c r="S772" i="5"/>
  <c r="T772" i="5"/>
  <c r="U772" i="5"/>
  <c r="W772" i="5"/>
  <c r="X772" i="5"/>
  <c r="Y772" i="5"/>
  <c r="Z772" i="5"/>
  <c r="AA772" i="5"/>
  <c r="I773" i="5"/>
  <c r="J773" i="5"/>
  <c r="M773" i="5"/>
  <c r="O773" i="5"/>
  <c r="P773" i="5"/>
  <c r="Q773" i="5"/>
  <c r="R773" i="5"/>
  <c r="S773" i="5"/>
  <c r="T773" i="5"/>
  <c r="U773" i="5"/>
  <c r="W773" i="5"/>
  <c r="X773" i="5"/>
  <c r="Y773" i="5"/>
  <c r="Z773" i="5"/>
  <c r="AA773" i="5"/>
  <c r="I774" i="5"/>
  <c r="J774" i="5"/>
  <c r="M774" i="5"/>
  <c r="O774" i="5"/>
  <c r="P774" i="5"/>
  <c r="Q774" i="5"/>
  <c r="R774" i="5"/>
  <c r="S774" i="5"/>
  <c r="T774" i="5"/>
  <c r="U774" i="5"/>
  <c r="W774" i="5"/>
  <c r="X774" i="5"/>
  <c r="Y774" i="5"/>
  <c r="Z774" i="5"/>
  <c r="AA774" i="5"/>
  <c r="I775" i="5"/>
  <c r="J775" i="5"/>
  <c r="M775" i="5"/>
  <c r="O775" i="5"/>
  <c r="P775" i="5"/>
  <c r="Q775" i="5"/>
  <c r="R775" i="5"/>
  <c r="S775" i="5"/>
  <c r="T775" i="5"/>
  <c r="U775" i="5"/>
  <c r="W775" i="5"/>
  <c r="X775" i="5"/>
  <c r="Y775" i="5"/>
  <c r="Z775" i="5"/>
  <c r="AA775" i="5"/>
  <c r="I776" i="5"/>
  <c r="J776" i="5"/>
  <c r="M776" i="5"/>
  <c r="O776" i="5"/>
  <c r="P776" i="5"/>
  <c r="Q776" i="5"/>
  <c r="R776" i="5"/>
  <c r="S776" i="5"/>
  <c r="T776" i="5"/>
  <c r="U776" i="5"/>
  <c r="W776" i="5"/>
  <c r="X776" i="5"/>
  <c r="Y776" i="5"/>
  <c r="Z776" i="5"/>
  <c r="AA776" i="5"/>
  <c r="I777" i="5"/>
  <c r="J777" i="5"/>
  <c r="M777" i="5"/>
  <c r="O777" i="5"/>
  <c r="P777" i="5"/>
  <c r="Q777" i="5"/>
  <c r="R777" i="5"/>
  <c r="S777" i="5"/>
  <c r="T777" i="5"/>
  <c r="U777" i="5"/>
  <c r="W777" i="5"/>
  <c r="X777" i="5"/>
  <c r="Y777" i="5"/>
  <c r="Z777" i="5"/>
  <c r="AA777" i="5"/>
  <c r="I778" i="5"/>
  <c r="J778" i="5"/>
  <c r="M778" i="5"/>
  <c r="O778" i="5"/>
  <c r="P778" i="5"/>
  <c r="Q778" i="5"/>
  <c r="R778" i="5"/>
  <c r="S778" i="5"/>
  <c r="T778" i="5"/>
  <c r="U778" i="5"/>
  <c r="W778" i="5"/>
  <c r="X778" i="5"/>
  <c r="Y778" i="5"/>
  <c r="Z778" i="5"/>
  <c r="AA778" i="5"/>
  <c r="I779" i="5"/>
  <c r="J779" i="5"/>
  <c r="M779" i="5"/>
  <c r="O779" i="5"/>
  <c r="P779" i="5"/>
  <c r="Q779" i="5"/>
  <c r="R779" i="5"/>
  <c r="S779" i="5"/>
  <c r="T779" i="5"/>
  <c r="U779" i="5"/>
  <c r="W779" i="5"/>
  <c r="X779" i="5"/>
  <c r="Y779" i="5"/>
  <c r="Z779" i="5"/>
  <c r="AA779" i="5"/>
  <c r="I780" i="5"/>
  <c r="J780" i="5"/>
  <c r="M780" i="5"/>
  <c r="O780" i="5"/>
  <c r="P780" i="5"/>
  <c r="Q780" i="5"/>
  <c r="R780" i="5"/>
  <c r="S780" i="5"/>
  <c r="T780" i="5"/>
  <c r="U780" i="5"/>
  <c r="W780" i="5"/>
  <c r="X780" i="5"/>
  <c r="Y780" i="5"/>
  <c r="Z780" i="5"/>
  <c r="AA780" i="5"/>
  <c r="I781" i="5"/>
  <c r="J781" i="5"/>
  <c r="M781" i="5"/>
  <c r="O781" i="5"/>
  <c r="P781" i="5"/>
  <c r="Q781" i="5"/>
  <c r="R781" i="5"/>
  <c r="S781" i="5"/>
  <c r="T781" i="5"/>
  <c r="U781" i="5"/>
  <c r="W781" i="5"/>
  <c r="X781" i="5"/>
  <c r="Y781" i="5"/>
  <c r="Z781" i="5"/>
  <c r="AA781" i="5"/>
  <c r="I782" i="5"/>
  <c r="J782" i="5"/>
  <c r="M782" i="5"/>
  <c r="O782" i="5"/>
  <c r="P782" i="5"/>
  <c r="Q782" i="5"/>
  <c r="R782" i="5"/>
  <c r="S782" i="5"/>
  <c r="T782" i="5"/>
  <c r="U782" i="5"/>
  <c r="W782" i="5"/>
  <c r="X782" i="5"/>
  <c r="Y782" i="5"/>
  <c r="Z782" i="5"/>
  <c r="AA782" i="5"/>
  <c r="I783" i="5"/>
  <c r="J783" i="5"/>
  <c r="M783" i="5"/>
  <c r="O783" i="5"/>
  <c r="P783" i="5"/>
  <c r="Q783" i="5"/>
  <c r="R783" i="5"/>
  <c r="S783" i="5"/>
  <c r="T783" i="5"/>
  <c r="U783" i="5"/>
  <c r="W783" i="5"/>
  <c r="X783" i="5"/>
  <c r="Y783" i="5"/>
  <c r="Z783" i="5"/>
  <c r="AA783" i="5"/>
  <c r="I784" i="5"/>
  <c r="J784" i="5"/>
  <c r="M784" i="5"/>
  <c r="O784" i="5"/>
  <c r="P784" i="5"/>
  <c r="Q784" i="5"/>
  <c r="R784" i="5"/>
  <c r="S784" i="5"/>
  <c r="T784" i="5"/>
  <c r="U784" i="5"/>
  <c r="W784" i="5"/>
  <c r="X784" i="5"/>
  <c r="Y784" i="5"/>
  <c r="Z784" i="5"/>
  <c r="AA784" i="5"/>
  <c r="I785" i="5"/>
  <c r="J785" i="5"/>
  <c r="M785" i="5"/>
  <c r="O785" i="5"/>
  <c r="P785" i="5"/>
  <c r="Q785" i="5"/>
  <c r="R785" i="5"/>
  <c r="S785" i="5"/>
  <c r="T785" i="5"/>
  <c r="U785" i="5"/>
  <c r="W785" i="5"/>
  <c r="X785" i="5"/>
  <c r="Y785" i="5"/>
  <c r="Z785" i="5"/>
  <c r="AA785" i="5"/>
  <c r="I786" i="5"/>
  <c r="J786" i="5"/>
  <c r="M786" i="5"/>
  <c r="O786" i="5"/>
  <c r="P786" i="5"/>
  <c r="Q786" i="5"/>
  <c r="R786" i="5"/>
  <c r="S786" i="5"/>
  <c r="T786" i="5"/>
  <c r="U786" i="5"/>
  <c r="W786" i="5"/>
  <c r="X786" i="5"/>
  <c r="Y786" i="5"/>
  <c r="Z786" i="5"/>
  <c r="AA786" i="5"/>
  <c r="I787" i="5"/>
  <c r="J787" i="5"/>
  <c r="M787" i="5"/>
  <c r="O787" i="5"/>
  <c r="P787" i="5"/>
  <c r="Q787" i="5"/>
  <c r="R787" i="5"/>
  <c r="S787" i="5"/>
  <c r="T787" i="5"/>
  <c r="U787" i="5"/>
  <c r="W787" i="5"/>
  <c r="X787" i="5"/>
  <c r="Y787" i="5"/>
  <c r="Z787" i="5"/>
  <c r="AA787" i="5"/>
  <c r="I788" i="5"/>
  <c r="J788" i="5"/>
  <c r="M788" i="5"/>
  <c r="O788" i="5"/>
  <c r="P788" i="5"/>
  <c r="Q788" i="5"/>
  <c r="R788" i="5"/>
  <c r="S788" i="5"/>
  <c r="T788" i="5"/>
  <c r="U788" i="5"/>
  <c r="W788" i="5"/>
  <c r="X788" i="5"/>
  <c r="Y788" i="5"/>
  <c r="Z788" i="5"/>
  <c r="AA788" i="5"/>
  <c r="I789" i="5"/>
  <c r="J789" i="5"/>
  <c r="M789" i="5"/>
  <c r="O789" i="5"/>
  <c r="P789" i="5"/>
  <c r="Q789" i="5"/>
  <c r="R789" i="5"/>
  <c r="S789" i="5"/>
  <c r="T789" i="5"/>
  <c r="U789" i="5"/>
  <c r="W789" i="5"/>
  <c r="X789" i="5"/>
  <c r="Y789" i="5"/>
  <c r="Z789" i="5"/>
  <c r="AA789" i="5"/>
  <c r="I790" i="5"/>
  <c r="J790" i="5"/>
  <c r="M790" i="5"/>
  <c r="O790" i="5"/>
  <c r="P790" i="5"/>
  <c r="Q790" i="5"/>
  <c r="R790" i="5"/>
  <c r="S790" i="5"/>
  <c r="T790" i="5"/>
  <c r="U790" i="5"/>
  <c r="W790" i="5"/>
  <c r="X790" i="5"/>
  <c r="Y790" i="5"/>
  <c r="Z790" i="5"/>
  <c r="AA790" i="5"/>
  <c r="I791" i="5"/>
  <c r="J791" i="5"/>
  <c r="M791" i="5"/>
  <c r="O791" i="5"/>
  <c r="P791" i="5"/>
  <c r="Q791" i="5"/>
  <c r="R791" i="5"/>
  <c r="S791" i="5"/>
  <c r="T791" i="5"/>
  <c r="U791" i="5"/>
  <c r="W791" i="5"/>
  <c r="X791" i="5"/>
  <c r="Y791" i="5"/>
  <c r="Z791" i="5"/>
  <c r="AA791" i="5"/>
  <c r="I792" i="5"/>
  <c r="J792" i="5"/>
  <c r="M792" i="5"/>
  <c r="O792" i="5"/>
  <c r="P792" i="5"/>
  <c r="Q792" i="5"/>
  <c r="R792" i="5"/>
  <c r="S792" i="5"/>
  <c r="T792" i="5"/>
  <c r="U792" i="5"/>
  <c r="W792" i="5"/>
  <c r="X792" i="5"/>
  <c r="Y792" i="5"/>
  <c r="Z792" i="5"/>
  <c r="AA792" i="5"/>
  <c r="I793" i="5"/>
  <c r="J793" i="5"/>
  <c r="M793" i="5"/>
  <c r="O793" i="5"/>
  <c r="P793" i="5"/>
  <c r="Q793" i="5"/>
  <c r="R793" i="5"/>
  <c r="S793" i="5"/>
  <c r="T793" i="5"/>
  <c r="U793" i="5"/>
  <c r="W793" i="5"/>
  <c r="X793" i="5"/>
  <c r="Y793" i="5"/>
  <c r="Z793" i="5"/>
  <c r="AA793" i="5"/>
  <c r="I794" i="5"/>
  <c r="J794" i="5"/>
  <c r="M794" i="5"/>
  <c r="O794" i="5"/>
  <c r="P794" i="5"/>
  <c r="Q794" i="5"/>
  <c r="R794" i="5"/>
  <c r="S794" i="5"/>
  <c r="T794" i="5"/>
  <c r="U794" i="5"/>
  <c r="W794" i="5"/>
  <c r="X794" i="5"/>
  <c r="Y794" i="5"/>
  <c r="Z794" i="5"/>
  <c r="AA794" i="5"/>
  <c r="I795" i="5"/>
  <c r="J795" i="5"/>
  <c r="M795" i="5"/>
  <c r="O795" i="5"/>
  <c r="P795" i="5"/>
  <c r="Q795" i="5"/>
  <c r="R795" i="5"/>
  <c r="S795" i="5"/>
  <c r="T795" i="5"/>
  <c r="U795" i="5"/>
  <c r="W795" i="5"/>
  <c r="X795" i="5"/>
  <c r="Y795" i="5"/>
  <c r="Z795" i="5"/>
  <c r="AA795" i="5"/>
  <c r="I796" i="5"/>
  <c r="J796" i="5"/>
  <c r="M796" i="5"/>
  <c r="O796" i="5"/>
  <c r="P796" i="5"/>
  <c r="Q796" i="5"/>
  <c r="R796" i="5"/>
  <c r="S796" i="5"/>
  <c r="T796" i="5"/>
  <c r="U796" i="5"/>
  <c r="W796" i="5"/>
  <c r="X796" i="5"/>
  <c r="Y796" i="5"/>
  <c r="Z796" i="5"/>
  <c r="AA796" i="5"/>
  <c r="I797" i="5"/>
  <c r="J797" i="5"/>
  <c r="M797" i="5"/>
  <c r="O797" i="5"/>
  <c r="P797" i="5"/>
  <c r="Q797" i="5"/>
  <c r="R797" i="5"/>
  <c r="S797" i="5"/>
  <c r="T797" i="5"/>
  <c r="U797" i="5"/>
  <c r="W797" i="5"/>
  <c r="X797" i="5"/>
  <c r="Y797" i="5"/>
  <c r="Z797" i="5"/>
  <c r="AA797" i="5"/>
  <c r="I798" i="5"/>
  <c r="J798" i="5"/>
  <c r="M798" i="5"/>
  <c r="O798" i="5"/>
  <c r="P798" i="5"/>
  <c r="Q798" i="5"/>
  <c r="R798" i="5"/>
  <c r="S798" i="5"/>
  <c r="T798" i="5"/>
  <c r="U798" i="5"/>
  <c r="W798" i="5"/>
  <c r="X798" i="5"/>
  <c r="Y798" i="5"/>
  <c r="Z798" i="5"/>
  <c r="AA798" i="5"/>
  <c r="I799" i="5"/>
  <c r="J799" i="5"/>
  <c r="M799" i="5"/>
  <c r="O799" i="5"/>
  <c r="P799" i="5"/>
  <c r="Q799" i="5"/>
  <c r="R799" i="5"/>
  <c r="S799" i="5"/>
  <c r="T799" i="5"/>
  <c r="U799" i="5"/>
  <c r="W799" i="5"/>
  <c r="X799" i="5"/>
  <c r="Y799" i="5"/>
  <c r="Z799" i="5"/>
  <c r="AA799" i="5"/>
  <c r="I800" i="5"/>
  <c r="J800" i="5"/>
  <c r="M800" i="5"/>
  <c r="O800" i="5"/>
  <c r="P800" i="5"/>
  <c r="Q800" i="5"/>
  <c r="R800" i="5"/>
  <c r="S800" i="5"/>
  <c r="T800" i="5"/>
  <c r="U800" i="5"/>
  <c r="W800" i="5"/>
  <c r="X800" i="5"/>
  <c r="Y800" i="5"/>
  <c r="Z800" i="5"/>
  <c r="AA800" i="5"/>
  <c r="I801" i="5"/>
  <c r="J801" i="5"/>
  <c r="M801" i="5"/>
  <c r="O801" i="5"/>
  <c r="P801" i="5"/>
  <c r="Q801" i="5"/>
  <c r="R801" i="5"/>
  <c r="S801" i="5"/>
  <c r="T801" i="5"/>
  <c r="U801" i="5"/>
  <c r="W801" i="5"/>
  <c r="X801" i="5"/>
  <c r="Y801" i="5"/>
  <c r="Z801" i="5"/>
  <c r="AA801" i="5"/>
  <c r="I802" i="5"/>
  <c r="J802" i="5"/>
  <c r="M802" i="5"/>
  <c r="O802" i="5"/>
  <c r="P802" i="5"/>
  <c r="Q802" i="5"/>
  <c r="R802" i="5"/>
  <c r="S802" i="5"/>
  <c r="T802" i="5"/>
  <c r="U802" i="5"/>
  <c r="W802" i="5"/>
  <c r="X802" i="5"/>
  <c r="Y802" i="5"/>
  <c r="Z802" i="5"/>
  <c r="AA802" i="5"/>
  <c r="I803" i="5"/>
  <c r="J803" i="5"/>
  <c r="M803" i="5"/>
  <c r="O803" i="5"/>
  <c r="P803" i="5"/>
  <c r="Q803" i="5"/>
  <c r="R803" i="5"/>
  <c r="S803" i="5"/>
  <c r="T803" i="5"/>
  <c r="U803" i="5"/>
  <c r="W803" i="5"/>
  <c r="X803" i="5"/>
  <c r="Y803" i="5"/>
  <c r="Z803" i="5"/>
  <c r="AA803" i="5"/>
  <c r="I804" i="5"/>
  <c r="J804" i="5"/>
  <c r="M804" i="5"/>
  <c r="O804" i="5"/>
  <c r="P804" i="5"/>
  <c r="Q804" i="5"/>
  <c r="R804" i="5"/>
  <c r="S804" i="5"/>
  <c r="T804" i="5"/>
  <c r="U804" i="5"/>
  <c r="W804" i="5"/>
  <c r="X804" i="5"/>
  <c r="Y804" i="5"/>
  <c r="Z804" i="5"/>
  <c r="AA804" i="5"/>
  <c r="I805" i="5"/>
  <c r="J805" i="5"/>
  <c r="M805" i="5"/>
  <c r="O805" i="5"/>
  <c r="P805" i="5"/>
  <c r="Q805" i="5"/>
  <c r="R805" i="5"/>
  <c r="S805" i="5"/>
  <c r="T805" i="5"/>
  <c r="U805" i="5"/>
  <c r="W805" i="5"/>
  <c r="X805" i="5"/>
  <c r="Y805" i="5"/>
  <c r="Z805" i="5"/>
  <c r="AA805" i="5"/>
  <c r="I806" i="5"/>
  <c r="J806" i="5"/>
  <c r="M806" i="5"/>
  <c r="O806" i="5"/>
  <c r="P806" i="5"/>
  <c r="Q806" i="5"/>
  <c r="R806" i="5"/>
  <c r="S806" i="5"/>
  <c r="T806" i="5"/>
  <c r="U806" i="5"/>
  <c r="W806" i="5"/>
  <c r="X806" i="5"/>
  <c r="Y806" i="5"/>
  <c r="Z806" i="5"/>
  <c r="AA806" i="5"/>
  <c r="I807" i="5"/>
  <c r="J807" i="5"/>
  <c r="M807" i="5"/>
  <c r="O807" i="5"/>
  <c r="P807" i="5"/>
  <c r="Q807" i="5"/>
  <c r="R807" i="5"/>
  <c r="S807" i="5"/>
  <c r="T807" i="5"/>
  <c r="U807" i="5"/>
  <c r="W807" i="5"/>
  <c r="X807" i="5"/>
  <c r="Y807" i="5"/>
  <c r="Z807" i="5"/>
  <c r="AA807" i="5"/>
  <c r="I808" i="5"/>
  <c r="J808" i="5"/>
  <c r="M808" i="5"/>
  <c r="O808" i="5"/>
  <c r="P808" i="5"/>
  <c r="Q808" i="5"/>
  <c r="R808" i="5"/>
  <c r="S808" i="5"/>
  <c r="T808" i="5"/>
  <c r="U808" i="5"/>
  <c r="W808" i="5"/>
  <c r="X808" i="5"/>
  <c r="Y808" i="5"/>
  <c r="Z808" i="5"/>
  <c r="AA808" i="5"/>
  <c r="I809" i="5"/>
  <c r="J809" i="5"/>
  <c r="M809" i="5"/>
  <c r="O809" i="5"/>
  <c r="P809" i="5"/>
  <c r="Q809" i="5"/>
  <c r="R809" i="5"/>
  <c r="S809" i="5"/>
  <c r="T809" i="5"/>
  <c r="U809" i="5"/>
  <c r="W809" i="5"/>
  <c r="X809" i="5"/>
  <c r="Y809" i="5"/>
  <c r="Z809" i="5"/>
  <c r="AA809" i="5"/>
  <c r="I810" i="5"/>
  <c r="J810" i="5"/>
  <c r="M810" i="5"/>
  <c r="O810" i="5"/>
  <c r="P810" i="5"/>
  <c r="Q810" i="5"/>
  <c r="R810" i="5"/>
  <c r="S810" i="5"/>
  <c r="T810" i="5"/>
  <c r="U810" i="5"/>
  <c r="W810" i="5"/>
  <c r="X810" i="5"/>
  <c r="Y810" i="5"/>
  <c r="Z810" i="5"/>
  <c r="AA810" i="5"/>
  <c r="I811" i="5"/>
  <c r="J811" i="5"/>
  <c r="M811" i="5"/>
  <c r="O811" i="5"/>
  <c r="P811" i="5"/>
  <c r="Q811" i="5"/>
  <c r="R811" i="5"/>
  <c r="S811" i="5"/>
  <c r="T811" i="5"/>
  <c r="U811" i="5"/>
  <c r="W811" i="5"/>
  <c r="X811" i="5"/>
  <c r="Y811" i="5"/>
  <c r="Z811" i="5"/>
  <c r="AA811" i="5"/>
  <c r="I812" i="5"/>
  <c r="J812" i="5"/>
  <c r="M812" i="5"/>
  <c r="O812" i="5"/>
  <c r="P812" i="5"/>
  <c r="Q812" i="5"/>
  <c r="R812" i="5"/>
  <c r="S812" i="5"/>
  <c r="T812" i="5"/>
  <c r="U812" i="5"/>
  <c r="W812" i="5"/>
  <c r="X812" i="5"/>
  <c r="Y812" i="5"/>
  <c r="Z812" i="5"/>
  <c r="AA812" i="5"/>
  <c r="I813" i="5"/>
  <c r="J813" i="5"/>
  <c r="M813" i="5"/>
  <c r="O813" i="5"/>
  <c r="P813" i="5"/>
  <c r="Q813" i="5"/>
  <c r="R813" i="5"/>
  <c r="S813" i="5"/>
  <c r="T813" i="5"/>
  <c r="U813" i="5"/>
  <c r="W813" i="5"/>
  <c r="X813" i="5"/>
  <c r="Y813" i="5"/>
  <c r="Z813" i="5"/>
  <c r="AA813" i="5"/>
  <c r="I814" i="5"/>
  <c r="J814" i="5"/>
  <c r="M814" i="5"/>
  <c r="O814" i="5"/>
  <c r="P814" i="5"/>
  <c r="Q814" i="5"/>
  <c r="R814" i="5"/>
  <c r="S814" i="5"/>
  <c r="T814" i="5"/>
  <c r="U814" i="5"/>
  <c r="W814" i="5"/>
  <c r="X814" i="5"/>
  <c r="Y814" i="5"/>
  <c r="Z814" i="5"/>
  <c r="AA814" i="5"/>
  <c r="I815" i="5"/>
  <c r="J815" i="5"/>
  <c r="M815" i="5"/>
  <c r="O815" i="5"/>
  <c r="P815" i="5"/>
  <c r="Q815" i="5"/>
  <c r="R815" i="5"/>
  <c r="S815" i="5"/>
  <c r="T815" i="5"/>
  <c r="U815" i="5"/>
  <c r="W815" i="5"/>
  <c r="X815" i="5"/>
  <c r="Y815" i="5"/>
  <c r="Z815" i="5"/>
  <c r="AA815" i="5"/>
  <c r="I816" i="5"/>
  <c r="J816" i="5"/>
  <c r="M816" i="5"/>
  <c r="O816" i="5"/>
  <c r="P816" i="5"/>
  <c r="Q816" i="5"/>
  <c r="R816" i="5"/>
  <c r="S816" i="5"/>
  <c r="T816" i="5"/>
  <c r="U816" i="5"/>
  <c r="W816" i="5"/>
  <c r="X816" i="5"/>
  <c r="Y816" i="5"/>
  <c r="Z816" i="5"/>
  <c r="AA816" i="5"/>
  <c r="I817" i="5"/>
  <c r="J817" i="5"/>
  <c r="M817" i="5"/>
  <c r="O817" i="5"/>
  <c r="P817" i="5"/>
  <c r="Q817" i="5"/>
  <c r="R817" i="5"/>
  <c r="S817" i="5"/>
  <c r="T817" i="5"/>
  <c r="U817" i="5"/>
  <c r="W817" i="5"/>
  <c r="X817" i="5"/>
  <c r="Y817" i="5"/>
  <c r="Z817" i="5"/>
  <c r="AA817" i="5"/>
  <c r="I818" i="5"/>
  <c r="J818" i="5"/>
  <c r="M818" i="5"/>
  <c r="O818" i="5"/>
  <c r="P818" i="5"/>
  <c r="Q818" i="5"/>
  <c r="R818" i="5"/>
  <c r="S818" i="5"/>
  <c r="T818" i="5"/>
  <c r="U818" i="5"/>
  <c r="W818" i="5"/>
  <c r="X818" i="5"/>
  <c r="Y818" i="5"/>
  <c r="Z818" i="5"/>
  <c r="AA818" i="5"/>
  <c r="I819" i="5"/>
  <c r="J819" i="5"/>
  <c r="M819" i="5"/>
  <c r="O819" i="5"/>
  <c r="P819" i="5"/>
  <c r="Q819" i="5"/>
  <c r="R819" i="5"/>
  <c r="S819" i="5"/>
  <c r="T819" i="5"/>
  <c r="U819" i="5"/>
  <c r="W819" i="5"/>
  <c r="X819" i="5"/>
  <c r="Y819" i="5"/>
  <c r="Z819" i="5"/>
  <c r="AA819" i="5"/>
  <c r="I820" i="5"/>
  <c r="J820" i="5"/>
  <c r="M820" i="5"/>
  <c r="O820" i="5"/>
  <c r="P820" i="5"/>
  <c r="Q820" i="5"/>
  <c r="R820" i="5"/>
  <c r="S820" i="5"/>
  <c r="T820" i="5"/>
  <c r="U820" i="5"/>
  <c r="W820" i="5"/>
  <c r="X820" i="5"/>
  <c r="Y820" i="5"/>
  <c r="Z820" i="5"/>
  <c r="AA820" i="5"/>
  <c r="I821" i="5"/>
  <c r="J821" i="5"/>
  <c r="M821" i="5"/>
  <c r="O821" i="5"/>
  <c r="P821" i="5"/>
  <c r="Q821" i="5"/>
  <c r="R821" i="5"/>
  <c r="S821" i="5"/>
  <c r="T821" i="5"/>
  <c r="U821" i="5"/>
  <c r="W821" i="5"/>
  <c r="X821" i="5"/>
  <c r="Y821" i="5"/>
  <c r="Z821" i="5"/>
  <c r="AA821" i="5"/>
  <c r="I822" i="5"/>
  <c r="J822" i="5"/>
  <c r="M822" i="5"/>
  <c r="O822" i="5"/>
  <c r="P822" i="5"/>
  <c r="Q822" i="5"/>
  <c r="R822" i="5"/>
  <c r="S822" i="5"/>
  <c r="T822" i="5"/>
  <c r="U822" i="5"/>
  <c r="W822" i="5"/>
  <c r="X822" i="5"/>
  <c r="Y822" i="5"/>
  <c r="Z822" i="5"/>
  <c r="AA822" i="5"/>
  <c r="I823" i="5"/>
  <c r="J823" i="5"/>
  <c r="M823" i="5"/>
  <c r="O823" i="5"/>
  <c r="P823" i="5"/>
  <c r="Q823" i="5"/>
  <c r="R823" i="5"/>
  <c r="S823" i="5"/>
  <c r="T823" i="5"/>
  <c r="U823" i="5"/>
  <c r="W823" i="5"/>
  <c r="X823" i="5"/>
  <c r="Y823" i="5"/>
  <c r="Z823" i="5"/>
  <c r="AA823" i="5"/>
  <c r="I824" i="5"/>
  <c r="J824" i="5"/>
  <c r="M824" i="5"/>
  <c r="O824" i="5"/>
  <c r="P824" i="5"/>
  <c r="Q824" i="5"/>
  <c r="R824" i="5"/>
  <c r="S824" i="5"/>
  <c r="T824" i="5"/>
  <c r="U824" i="5"/>
  <c r="W824" i="5"/>
  <c r="X824" i="5"/>
  <c r="Y824" i="5"/>
  <c r="Z824" i="5"/>
  <c r="AA824" i="5"/>
  <c r="I825" i="5"/>
  <c r="J825" i="5"/>
  <c r="M825" i="5"/>
  <c r="O825" i="5"/>
  <c r="P825" i="5"/>
  <c r="Q825" i="5"/>
  <c r="R825" i="5"/>
  <c r="S825" i="5"/>
  <c r="T825" i="5"/>
  <c r="U825" i="5"/>
  <c r="W825" i="5"/>
  <c r="X825" i="5"/>
  <c r="Y825" i="5"/>
  <c r="Z825" i="5"/>
  <c r="AA825" i="5"/>
  <c r="I826" i="5"/>
  <c r="J826" i="5"/>
  <c r="M826" i="5"/>
  <c r="O826" i="5"/>
  <c r="P826" i="5"/>
  <c r="Q826" i="5"/>
  <c r="R826" i="5"/>
  <c r="S826" i="5"/>
  <c r="T826" i="5"/>
  <c r="U826" i="5"/>
  <c r="W826" i="5"/>
  <c r="X826" i="5"/>
  <c r="Y826" i="5"/>
  <c r="Z826" i="5"/>
  <c r="AA826" i="5"/>
  <c r="I827" i="5"/>
  <c r="J827" i="5"/>
  <c r="M827" i="5"/>
  <c r="O827" i="5"/>
  <c r="P827" i="5"/>
  <c r="Q827" i="5"/>
  <c r="R827" i="5"/>
  <c r="S827" i="5"/>
  <c r="T827" i="5"/>
  <c r="U827" i="5"/>
  <c r="W827" i="5"/>
  <c r="X827" i="5"/>
  <c r="Y827" i="5"/>
  <c r="Z827" i="5"/>
  <c r="AA827" i="5"/>
  <c r="I828" i="5"/>
  <c r="J828" i="5"/>
  <c r="M828" i="5"/>
  <c r="O828" i="5"/>
  <c r="P828" i="5"/>
  <c r="Q828" i="5"/>
  <c r="R828" i="5"/>
  <c r="S828" i="5"/>
  <c r="T828" i="5"/>
  <c r="U828" i="5"/>
  <c r="W828" i="5"/>
  <c r="X828" i="5"/>
  <c r="Y828" i="5"/>
  <c r="Z828" i="5"/>
  <c r="AA828" i="5"/>
  <c r="I829" i="5"/>
  <c r="J829" i="5"/>
  <c r="M829" i="5"/>
  <c r="O829" i="5"/>
  <c r="P829" i="5"/>
  <c r="Q829" i="5"/>
  <c r="R829" i="5"/>
  <c r="S829" i="5"/>
  <c r="T829" i="5"/>
  <c r="U829" i="5"/>
  <c r="W829" i="5"/>
  <c r="X829" i="5"/>
  <c r="Y829" i="5"/>
  <c r="Z829" i="5"/>
  <c r="AA829" i="5"/>
  <c r="I830" i="5"/>
  <c r="J830" i="5"/>
  <c r="M830" i="5"/>
  <c r="O830" i="5"/>
  <c r="P830" i="5"/>
  <c r="Q830" i="5"/>
  <c r="R830" i="5"/>
  <c r="S830" i="5"/>
  <c r="T830" i="5"/>
  <c r="U830" i="5"/>
  <c r="W830" i="5"/>
  <c r="X830" i="5"/>
  <c r="Y830" i="5"/>
  <c r="Z830" i="5"/>
  <c r="AA830" i="5"/>
  <c r="I831" i="5"/>
  <c r="J831" i="5"/>
  <c r="M831" i="5"/>
  <c r="O831" i="5"/>
  <c r="P831" i="5"/>
  <c r="Q831" i="5"/>
  <c r="R831" i="5"/>
  <c r="S831" i="5"/>
  <c r="T831" i="5"/>
  <c r="U831" i="5"/>
  <c r="W831" i="5"/>
  <c r="X831" i="5"/>
  <c r="Y831" i="5"/>
  <c r="Z831" i="5"/>
  <c r="AA831" i="5"/>
  <c r="I832" i="5"/>
  <c r="J832" i="5"/>
  <c r="M832" i="5"/>
  <c r="O832" i="5"/>
  <c r="P832" i="5"/>
  <c r="Q832" i="5"/>
  <c r="R832" i="5"/>
  <c r="S832" i="5"/>
  <c r="T832" i="5"/>
  <c r="U832" i="5"/>
  <c r="W832" i="5"/>
  <c r="X832" i="5"/>
  <c r="Y832" i="5"/>
  <c r="Z832" i="5"/>
  <c r="AA832" i="5"/>
  <c r="I833" i="5"/>
  <c r="J833" i="5"/>
  <c r="M833" i="5"/>
  <c r="O833" i="5"/>
  <c r="P833" i="5"/>
  <c r="Q833" i="5"/>
  <c r="R833" i="5"/>
  <c r="S833" i="5"/>
  <c r="T833" i="5"/>
  <c r="U833" i="5"/>
  <c r="W833" i="5"/>
  <c r="X833" i="5"/>
  <c r="Y833" i="5"/>
  <c r="Z833" i="5"/>
  <c r="AA833" i="5"/>
  <c r="I834" i="5"/>
  <c r="J834" i="5"/>
  <c r="M834" i="5"/>
  <c r="O834" i="5"/>
  <c r="P834" i="5"/>
  <c r="Q834" i="5"/>
  <c r="R834" i="5"/>
  <c r="S834" i="5"/>
  <c r="T834" i="5"/>
  <c r="U834" i="5"/>
  <c r="W834" i="5"/>
  <c r="X834" i="5"/>
  <c r="Y834" i="5"/>
  <c r="Z834" i="5"/>
  <c r="AA834" i="5"/>
  <c r="I835" i="5"/>
  <c r="J835" i="5"/>
  <c r="M835" i="5"/>
  <c r="O835" i="5"/>
  <c r="P835" i="5"/>
  <c r="Q835" i="5"/>
  <c r="R835" i="5"/>
  <c r="S835" i="5"/>
  <c r="T835" i="5"/>
  <c r="U835" i="5"/>
  <c r="W835" i="5"/>
  <c r="X835" i="5"/>
  <c r="Y835" i="5"/>
  <c r="Z835" i="5"/>
  <c r="AA835" i="5"/>
  <c r="I836" i="5"/>
  <c r="J836" i="5"/>
  <c r="M836" i="5"/>
  <c r="O836" i="5"/>
  <c r="P836" i="5"/>
  <c r="Q836" i="5"/>
  <c r="R836" i="5"/>
  <c r="S836" i="5"/>
  <c r="T836" i="5"/>
  <c r="U836" i="5"/>
  <c r="W836" i="5"/>
  <c r="X836" i="5"/>
  <c r="Y836" i="5"/>
  <c r="Z836" i="5"/>
  <c r="AA836" i="5"/>
  <c r="I837" i="5"/>
  <c r="J837" i="5"/>
  <c r="M837" i="5"/>
  <c r="O837" i="5"/>
  <c r="P837" i="5"/>
  <c r="Q837" i="5"/>
  <c r="R837" i="5"/>
  <c r="S837" i="5"/>
  <c r="T837" i="5"/>
  <c r="U837" i="5"/>
  <c r="W837" i="5"/>
  <c r="X837" i="5"/>
  <c r="Y837" i="5"/>
  <c r="Z837" i="5"/>
  <c r="AA837" i="5"/>
  <c r="I838" i="5"/>
  <c r="J838" i="5"/>
  <c r="M838" i="5"/>
  <c r="O838" i="5"/>
  <c r="P838" i="5"/>
  <c r="Q838" i="5"/>
  <c r="R838" i="5"/>
  <c r="S838" i="5"/>
  <c r="T838" i="5"/>
  <c r="U838" i="5"/>
  <c r="W838" i="5"/>
  <c r="X838" i="5"/>
  <c r="Y838" i="5"/>
  <c r="Z838" i="5"/>
  <c r="AA838" i="5"/>
  <c r="I839" i="5"/>
  <c r="J839" i="5"/>
  <c r="M839" i="5"/>
  <c r="O839" i="5"/>
  <c r="P839" i="5"/>
  <c r="Q839" i="5"/>
  <c r="R839" i="5"/>
  <c r="S839" i="5"/>
  <c r="T839" i="5"/>
  <c r="U839" i="5"/>
  <c r="W839" i="5"/>
  <c r="X839" i="5"/>
  <c r="Y839" i="5"/>
  <c r="Z839" i="5"/>
  <c r="AA839" i="5"/>
  <c r="I840" i="5"/>
  <c r="J840" i="5"/>
  <c r="M840" i="5"/>
  <c r="O840" i="5"/>
  <c r="P840" i="5"/>
  <c r="Q840" i="5"/>
  <c r="R840" i="5"/>
  <c r="S840" i="5"/>
  <c r="T840" i="5"/>
  <c r="U840" i="5"/>
  <c r="W840" i="5"/>
  <c r="X840" i="5"/>
  <c r="Y840" i="5"/>
  <c r="Z840" i="5"/>
  <c r="AA840" i="5"/>
  <c r="I841" i="5"/>
  <c r="J841" i="5"/>
  <c r="M841" i="5"/>
  <c r="O841" i="5"/>
  <c r="P841" i="5"/>
  <c r="Q841" i="5"/>
  <c r="R841" i="5"/>
  <c r="S841" i="5"/>
  <c r="T841" i="5"/>
  <c r="U841" i="5"/>
  <c r="W841" i="5"/>
  <c r="X841" i="5"/>
  <c r="Y841" i="5"/>
  <c r="Z841" i="5"/>
  <c r="AA841" i="5"/>
  <c r="I842" i="5"/>
  <c r="J842" i="5"/>
  <c r="M842" i="5"/>
  <c r="O842" i="5"/>
  <c r="P842" i="5"/>
  <c r="Q842" i="5"/>
  <c r="R842" i="5"/>
  <c r="S842" i="5"/>
  <c r="T842" i="5"/>
  <c r="U842" i="5"/>
  <c r="W842" i="5"/>
  <c r="X842" i="5"/>
  <c r="Y842" i="5"/>
  <c r="Z842" i="5"/>
  <c r="AA842" i="5"/>
  <c r="I843" i="5"/>
  <c r="J843" i="5"/>
  <c r="M843" i="5"/>
  <c r="O843" i="5"/>
  <c r="P843" i="5"/>
  <c r="Q843" i="5"/>
  <c r="R843" i="5"/>
  <c r="S843" i="5"/>
  <c r="T843" i="5"/>
  <c r="U843" i="5"/>
  <c r="W843" i="5"/>
  <c r="X843" i="5"/>
  <c r="Y843" i="5"/>
  <c r="Z843" i="5"/>
  <c r="AA843" i="5"/>
  <c r="I844" i="5"/>
  <c r="J844" i="5"/>
  <c r="M844" i="5"/>
  <c r="O844" i="5"/>
  <c r="P844" i="5"/>
  <c r="Q844" i="5"/>
  <c r="R844" i="5"/>
  <c r="S844" i="5"/>
  <c r="T844" i="5"/>
  <c r="U844" i="5"/>
  <c r="W844" i="5"/>
  <c r="X844" i="5"/>
  <c r="Y844" i="5"/>
  <c r="Z844" i="5"/>
  <c r="AA844" i="5"/>
  <c r="I845" i="5"/>
  <c r="J845" i="5"/>
  <c r="M845" i="5"/>
  <c r="O845" i="5"/>
  <c r="P845" i="5"/>
  <c r="Q845" i="5"/>
  <c r="R845" i="5"/>
  <c r="S845" i="5"/>
  <c r="T845" i="5"/>
  <c r="U845" i="5"/>
  <c r="W845" i="5"/>
  <c r="X845" i="5"/>
  <c r="Y845" i="5"/>
  <c r="Z845" i="5"/>
  <c r="AA845" i="5"/>
  <c r="I846" i="5"/>
  <c r="J846" i="5"/>
  <c r="M846" i="5"/>
  <c r="O846" i="5"/>
  <c r="P846" i="5"/>
  <c r="Q846" i="5"/>
  <c r="R846" i="5"/>
  <c r="S846" i="5"/>
  <c r="T846" i="5"/>
  <c r="U846" i="5"/>
  <c r="W846" i="5"/>
  <c r="X846" i="5"/>
  <c r="Y846" i="5"/>
  <c r="Z846" i="5"/>
  <c r="AA846" i="5"/>
  <c r="I847" i="5"/>
  <c r="J847" i="5"/>
  <c r="M847" i="5"/>
  <c r="O847" i="5"/>
  <c r="P847" i="5"/>
  <c r="Q847" i="5"/>
  <c r="R847" i="5"/>
  <c r="S847" i="5"/>
  <c r="T847" i="5"/>
  <c r="U847" i="5"/>
  <c r="W847" i="5"/>
  <c r="X847" i="5"/>
  <c r="Y847" i="5"/>
  <c r="Z847" i="5"/>
  <c r="AA847" i="5"/>
  <c r="I848" i="5"/>
  <c r="J848" i="5"/>
  <c r="M848" i="5"/>
  <c r="O848" i="5"/>
  <c r="P848" i="5"/>
  <c r="Q848" i="5"/>
  <c r="R848" i="5"/>
  <c r="S848" i="5"/>
  <c r="T848" i="5"/>
  <c r="U848" i="5"/>
  <c r="W848" i="5"/>
  <c r="X848" i="5"/>
  <c r="Y848" i="5"/>
  <c r="Z848" i="5"/>
  <c r="AA848" i="5"/>
  <c r="I849" i="5"/>
  <c r="J849" i="5"/>
  <c r="M849" i="5"/>
  <c r="O849" i="5"/>
  <c r="P849" i="5"/>
  <c r="Q849" i="5"/>
  <c r="R849" i="5"/>
  <c r="S849" i="5"/>
  <c r="T849" i="5"/>
  <c r="U849" i="5"/>
  <c r="W849" i="5"/>
  <c r="X849" i="5"/>
  <c r="Y849" i="5"/>
  <c r="Z849" i="5"/>
  <c r="AA849" i="5"/>
  <c r="I850" i="5"/>
  <c r="J850" i="5"/>
  <c r="M850" i="5"/>
  <c r="O850" i="5"/>
  <c r="P850" i="5"/>
  <c r="Q850" i="5"/>
  <c r="R850" i="5"/>
  <c r="S850" i="5"/>
  <c r="T850" i="5"/>
  <c r="U850" i="5"/>
  <c r="W850" i="5"/>
  <c r="X850" i="5"/>
  <c r="Y850" i="5"/>
  <c r="Z850" i="5"/>
  <c r="AA850" i="5"/>
  <c r="I851" i="5"/>
  <c r="J851" i="5"/>
  <c r="M851" i="5"/>
  <c r="O851" i="5"/>
  <c r="P851" i="5"/>
  <c r="Q851" i="5"/>
  <c r="R851" i="5"/>
  <c r="S851" i="5"/>
  <c r="T851" i="5"/>
  <c r="U851" i="5"/>
  <c r="W851" i="5"/>
  <c r="X851" i="5"/>
  <c r="Y851" i="5"/>
  <c r="Z851" i="5"/>
  <c r="AA851" i="5"/>
  <c r="I852" i="5"/>
  <c r="J852" i="5"/>
  <c r="M852" i="5"/>
  <c r="O852" i="5"/>
  <c r="P852" i="5"/>
  <c r="Q852" i="5"/>
  <c r="R852" i="5"/>
  <c r="S852" i="5"/>
  <c r="T852" i="5"/>
  <c r="U852" i="5"/>
  <c r="W852" i="5"/>
  <c r="X852" i="5"/>
  <c r="Y852" i="5"/>
  <c r="Z852" i="5"/>
  <c r="AA852" i="5"/>
  <c r="I853" i="5"/>
  <c r="J853" i="5"/>
  <c r="M853" i="5"/>
  <c r="O853" i="5"/>
  <c r="P853" i="5"/>
  <c r="Q853" i="5"/>
  <c r="R853" i="5"/>
  <c r="S853" i="5"/>
  <c r="T853" i="5"/>
  <c r="U853" i="5"/>
  <c r="W853" i="5"/>
  <c r="X853" i="5"/>
  <c r="Y853" i="5"/>
  <c r="Z853" i="5"/>
  <c r="AA853" i="5"/>
  <c r="I854" i="5"/>
  <c r="J854" i="5"/>
  <c r="M854" i="5"/>
  <c r="O854" i="5"/>
  <c r="P854" i="5"/>
  <c r="Q854" i="5"/>
  <c r="R854" i="5"/>
  <c r="S854" i="5"/>
  <c r="T854" i="5"/>
  <c r="U854" i="5"/>
  <c r="W854" i="5"/>
  <c r="X854" i="5"/>
  <c r="Y854" i="5"/>
  <c r="Z854" i="5"/>
  <c r="AA854" i="5"/>
  <c r="I855" i="5"/>
  <c r="J855" i="5"/>
  <c r="M855" i="5"/>
  <c r="O855" i="5"/>
  <c r="P855" i="5"/>
  <c r="Q855" i="5"/>
  <c r="R855" i="5"/>
  <c r="S855" i="5"/>
  <c r="T855" i="5"/>
  <c r="U855" i="5"/>
  <c r="W855" i="5"/>
  <c r="X855" i="5"/>
  <c r="Y855" i="5"/>
  <c r="Z855" i="5"/>
  <c r="AA855" i="5"/>
  <c r="I856" i="5"/>
  <c r="J856" i="5"/>
  <c r="M856" i="5"/>
  <c r="O856" i="5"/>
  <c r="P856" i="5"/>
  <c r="Q856" i="5"/>
  <c r="R856" i="5"/>
  <c r="S856" i="5"/>
  <c r="T856" i="5"/>
  <c r="U856" i="5"/>
  <c r="W856" i="5"/>
  <c r="X856" i="5"/>
  <c r="Y856" i="5"/>
  <c r="Z856" i="5"/>
  <c r="AA856" i="5"/>
  <c r="I857" i="5"/>
  <c r="J857" i="5"/>
  <c r="M857" i="5"/>
  <c r="O857" i="5"/>
  <c r="P857" i="5"/>
  <c r="Q857" i="5"/>
  <c r="R857" i="5"/>
  <c r="S857" i="5"/>
  <c r="T857" i="5"/>
  <c r="U857" i="5"/>
  <c r="W857" i="5"/>
  <c r="X857" i="5"/>
  <c r="Y857" i="5"/>
  <c r="Z857" i="5"/>
  <c r="AA857" i="5"/>
  <c r="I858" i="5"/>
  <c r="J858" i="5"/>
  <c r="M858" i="5"/>
  <c r="O858" i="5"/>
  <c r="P858" i="5"/>
  <c r="Q858" i="5"/>
  <c r="R858" i="5"/>
  <c r="S858" i="5"/>
  <c r="T858" i="5"/>
  <c r="U858" i="5"/>
  <c r="W858" i="5"/>
  <c r="X858" i="5"/>
  <c r="Y858" i="5"/>
  <c r="Z858" i="5"/>
  <c r="AA858" i="5"/>
  <c r="I859" i="5"/>
  <c r="J859" i="5"/>
  <c r="M859" i="5"/>
  <c r="O859" i="5"/>
  <c r="P859" i="5"/>
  <c r="Q859" i="5"/>
  <c r="R859" i="5"/>
  <c r="S859" i="5"/>
  <c r="T859" i="5"/>
  <c r="U859" i="5"/>
  <c r="W859" i="5"/>
  <c r="X859" i="5"/>
  <c r="Y859" i="5"/>
  <c r="Z859" i="5"/>
  <c r="AA859" i="5"/>
  <c r="I860" i="5"/>
  <c r="J860" i="5"/>
  <c r="M860" i="5"/>
  <c r="O860" i="5"/>
  <c r="P860" i="5"/>
  <c r="Q860" i="5"/>
  <c r="R860" i="5"/>
  <c r="S860" i="5"/>
  <c r="T860" i="5"/>
  <c r="U860" i="5"/>
  <c r="W860" i="5"/>
  <c r="X860" i="5"/>
  <c r="Y860" i="5"/>
  <c r="Z860" i="5"/>
  <c r="AA860" i="5"/>
  <c r="I861" i="5"/>
  <c r="J861" i="5"/>
  <c r="M861" i="5"/>
  <c r="O861" i="5"/>
  <c r="P861" i="5"/>
  <c r="Q861" i="5"/>
  <c r="R861" i="5"/>
  <c r="S861" i="5"/>
  <c r="T861" i="5"/>
  <c r="U861" i="5"/>
  <c r="W861" i="5"/>
  <c r="X861" i="5"/>
  <c r="Y861" i="5"/>
  <c r="Z861" i="5"/>
  <c r="AA861" i="5"/>
  <c r="I862" i="5"/>
  <c r="J862" i="5"/>
  <c r="M862" i="5"/>
  <c r="O862" i="5"/>
  <c r="P862" i="5"/>
  <c r="Q862" i="5"/>
  <c r="R862" i="5"/>
  <c r="S862" i="5"/>
  <c r="T862" i="5"/>
  <c r="U862" i="5"/>
  <c r="W862" i="5"/>
  <c r="X862" i="5"/>
  <c r="Y862" i="5"/>
  <c r="Z862" i="5"/>
  <c r="AA862" i="5"/>
  <c r="I863" i="5"/>
  <c r="J863" i="5"/>
  <c r="M863" i="5"/>
  <c r="O863" i="5"/>
  <c r="P863" i="5"/>
  <c r="Q863" i="5"/>
  <c r="R863" i="5"/>
  <c r="S863" i="5"/>
  <c r="T863" i="5"/>
  <c r="U863" i="5"/>
  <c r="W863" i="5"/>
  <c r="X863" i="5"/>
  <c r="Y863" i="5"/>
  <c r="Z863" i="5"/>
  <c r="AA863" i="5"/>
  <c r="I864" i="5"/>
  <c r="J864" i="5"/>
  <c r="M864" i="5"/>
  <c r="O864" i="5"/>
  <c r="P864" i="5"/>
  <c r="Q864" i="5"/>
  <c r="R864" i="5"/>
  <c r="S864" i="5"/>
  <c r="T864" i="5"/>
  <c r="U864" i="5"/>
  <c r="W864" i="5"/>
  <c r="X864" i="5"/>
  <c r="Y864" i="5"/>
  <c r="Z864" i="5"/>
  <c r="AA864" i="5"/>
  <c r="I865" i="5"/>
  <c r="J865" i="5"/>
  <c r="M865" i="5"/>
  <c r="O865" i="5"/>
  <c r="P865" i="5"/>
  <c r="Q865" i="5"/>
  <c r="R865" i="5"/>
  <c r="S865" i="5"/>
  <c r="T865" i="5"/>
  <c r="U865" i="5"/>
  <c r="W865" i="5"/>
  <c r="X865" i="5"/>
  <c r="Y865" i="5"/>
  <c r="Z865" i="5"/>
  <c r="AA865" i="5"/>
  <c r="I866" i="5"/>
  <c r="J866" i="5"/>
  <c r="M866" i="5"/>
  <c r="O866" i="5"/>
  <c r="P866" i="5"/>
  <c r="Q866" i="5"/>
  <c r="R866" i="5"/>
  <c r="S866" i="5"/>
  <c r="T866" i="5"/>
  <c r="U866" i="5"/>
  <c r="W866" i="5"/>
  <c r="X866" i="5"/>
  <c r="Y866" i="5"/>
  <c r="Z866" i="5"/>
  <c r="AA866" i="5"/>
  <c r="I867" i="5"/>
  <c r="J867" i="5"/>
  <c r="M867" i="5"/>
  <c r="O867" i="5"/>
  <c r="P867" i="5"/>
  <c r="Q867" i="5"/>
  <c r="R867" i="5"/>
  <c r="S867" i="5"/>
  <c r="T867" i="5"/>
  <c r="U867" i="5"/>
  <c r="W867" i="5"/>
  <c r="X867" i="5"/>
  <c r="Y867" i="5"/>
  <c r="Z867" i="5"/>
  <c r="AA867" i="5"/>
  <c r="I868" i="5"/>
  <c r="J868" i="5"/>
  <c r="M868" i="5"/>
  <c r="O868" i="5"/>
  <c r="P868" i="5"/>
  <c r="Q868" i="5"/>
  <c r="R868" i="5"/>
  <c r="S868" i="5"/>
  <c r="T868" i="5"/>
  <c r="U868" i="5"/>
  <c r="W868" i="5"/>
  <c r="X868" i="5"/>
  <c r="Y868" i="5"/>
  <c r="Z868" i="5"/>
  <c r="AA868" i="5"/>
  <c r="I869" i="5"/>
  <c r="J869" i="5"/>
  <c r="M869" i="5"/>
  <c r="O869" i="5"/>
  <c r="P869" i="5"/>
  <c r="Q869" i="5"/>
  <c r="R869" i="5"/>
  <c r="S869" i="5"/>
  <c r="T869" i="5"/>
  <c r="U869" i="5"/>
  <c r="W869" i="5"/>
  <c r="X869" i="5"/>
  <c r="Y869" i="5"/>
  <c r="Z869" i="5"/>
  <c r="AA869" i="5"/>
  <c r="I870" i="5"/>
  <c r="J870" i="5"/>
  <c r="M870" i="5"/>
  <c r="O870" i="5"/>
  <c r="P870" i="5"/>
  <c r="Q870" i="5"/>
  <c r="R870" i="5"/>
  <c r="S870" i="5"/>
  <c r="T870" i="5"/>
  <c r="U870" i="5"/>
  <c r="W870" i="5"/>
  <c r="X870" i="5"/>
  <c r="Y870" i="5"/>
  <c r="Z870" i="5"/>
  <c r="AA870" i="5"/>
  <c r="I871" i="5"/>
  <c r="J871" i="5"/>
  <c r="M871" i="5"/>
  <c r="O871" i="5"/>
  <c r="P871" i="5"/>
  <c r="Q871" i="5"/>
  <c r="R871" i="5"/>
  <c r="S871" i="5"/>
  <c r="T871" i="5"/>
  <c r="U871" i="5"/>
  <c r="W871" i="5"/>
  <c r="X871" i="5"/>
  <c r="Y871" i="5"/>
  <c r="Z871" i="5"/>
  <c r="AA871" i="5"/>
  <c r="I872" i="5"/>
  <c r="J872" i="5"/>
  <c r="M872" i="5"/>
  <c r="O872" i="5"/>
  <c r="P872" i="5"/>
  <c r="Q872" i="5"/>
  <c r="R872" i="5"/>
  <c r="S872" i="5"/>
  <c r="T872" i="5"/>
  <c r="U872" i="5"/>
  <c r="W872" i="5"/>
  <c r="X872" i="5"/>
  <c r="Y872" i="5"/>
  <c r="Z872" i="5"/>
  <c r="AA872" i="5"/>
  <c r="I873" i="5"/>
  <c r="J873" i="5"/>
  <c r="M873" i="5"/>
  <c r="O873" i="5"/>
  <c r="P873" i="5"/>
  <c r="Q873" i="5"/>
  <c r="R873" i="5"/>
  <c r="S873" i="5"/>
  <c r="T873" i="5"/>
  <c r="U873" i="5"/>
  <c r="W873" i="5"/>
  <c r="X873" i="5"/>
  <c r="Y873" i="5"/>
  <c r="Z873" i="5"/>
  <c r="AA873" i="5"/>
  <c r="I874" i="5"/>
  <c r="J874" i="5"/>
  <c r="M874" i="5"/>
  <c r="O874" i="5"/>
  <c r="P874" i="5"/>
  <c r="Q874" i="5"/>
  <c r="R874" i="5"/>
  <c r="S874" i="5"/>
  <c r="T874" i="5"/>
  <c r="U874" i="5"/>
  <c r="W874" i="5"/>
  <c r="X874" i="5"/>
  <c r="Y874" i="5"/>
  <c r="Z874" i="5"/>
  <c r="AA874" i="5"/>
  <c r="I875" i="5"/>
  <c r="J875" i="5"/>
  <c r="M875" i="5"/>
  <c r="O875" i="5"/>
  <c r="P875" i="5"/>
  <c r="Q875" i="5"/>
  <c r="R875" i="5"/>
  <c r="S875" i="5"/>
  <c r="T875" i="5"/>
  <c r="U875" i="5"/>
  <c r="W875" i="5"/>
  <c r="X875" i="5"/>
  <c r="Y875" i="5"/>
  <c r="Z875" i="5"/>
  <c r="AA875" i="5"/>
  <c r="I876" i="5"/>
  <c r="J876" i="5"/>
  <c r="M876" i="5"/>
  <c r="O876" i="5"/>
  <c r="P876" i="5"/>
  <c r="Q876" i="5"/>
  <c r="R876" i="5"/>
  <c r="S876" i="5"/>
  <c r="T876" i="5"/>
  <c r="U876" i="5"/>
  <c r="W876" i="5"/>
  <c r="X876" i="5"/>
  <c r="Y876" i="5"/>
  <c r="Z876" i="5"/>
  <c r="AA876" i="5"/>
  <c r="I877" i="5"/>
  <c r="J877" i="5"/>
  <c r="M877" i="5"/>
  <c r="O877" i="5"/>
  <c r="P877" i="5"/>
  <c r="Q877" i="5"/>
  <c r="R877" i="5"/>
  <c r="S877" i="5"/>
  <c r="T877" i="5"/>
  <c r="U877" i="5"/>
  <c r="W877" i="5"/>
  <c r="X877" i="5"/>
  <c r="Y877" i="5"/>
  <c r="Z877" i="5"/>
  <c r="AA877" i="5"/>
  <c r="I878" i="5"/>
  <c r="J878" i="5"/>
  <c r="M878" i="5"/>
  <c r="O878" i="5"/>
  <c r="P878" i="5"/>
  <c r="Q878" i="5"/>
  <c r="R878" i="5"/>
  <c r="S878" i="5"/>
  <c r="T878" i="5"/>
  <c r="U878" i="5"/>
  <c r="W878" i="5"/>
  <c r="X878" i="5"/>
  <c r="Y878" i="5"/>
  <c r="Z878" i="5"/>
  <c r="AA878" i="5"/>
  <c r="I879" i="5"/>
  <c r="J879" i="5"/>
  <c r="M879" i="5"/>
  <c r="O879" i="5"/>
  <c r="P879" i="5"/>
  <c r="Q879" i="5"/>
  <c r="R879" i="5"/>
  <c r="S879" i="5"/>
  <c r="T879" i="5"/>
  <c r="U879" i="5"/>
  <c r="W879" i="5"/>
  <c r="X879" i="5"/>
  <c r="Y879" i="5"/>
  <c r="Z879" i="5"/>
  <c r="AA879" i="5"/>
  <c r="I880" i="5"/>
  <c r="J880" i="5"/>
  <c r="M880" i="5"/>
  <c r="O880" i="5"/>
  <c r="P880" i="5"/>
  <c r="Q880" i="5"/>
  <c r="R880" i="5"/>
  <c r="S880" i="5"/>
  <c r="T880" i="5"/>
  <c r="U880" i="5"/>
  <c r="W880" i="5"/>
  <c r="X880" i="5"/>
  <c r="Y880" i="5"/>
  <c r="Z880" i="5"/>
  <c r="AA880" i="5"/>
  <c r="I881" i="5"/>
  <c r="J881" i="5"/>
  <c r="M881" i="5"/>
  <c r="O881" i="5"/>
  <c r="P881" i="5"/>
  <c r="Q881" i="5"/>
  <c r="R881" i="5"/>
  <c r="S881" i="5"/>
  <c r="T881" i="5"/>
  <c r="U881" i="5"/>
  <c r="W881" i="5"/>
  <c r="X881" i="5"/>
  <c r="Y881" i="5"/>
  <c r="Z881" i="5"/>
  <c r="AA881" i="5"/>
  <c r="I882" i="5"/>
  <c r="J882" i="5"/>
  <c r="M882" i="5"/>
  <c r="O882" i="5"/>
  <c r="P882" i="5"/>
  <c r="Q882" i="5"/>
  <c r="R882" i="5"/>
  <c r="S882" i="5"/>
  <c r="T882" i="5"/>
  <c r="U882" i="5"/>
  <c r="W882" i="5"/>
  <c r="X882" i="5"/>
  <c r="Y882" i="5"/>
  <c r="Z882" i="5"/>
  <c r="AA882" i="5"/>
  <c r="I883" i="5"/>
  <c r="J883" i="5"/>
  <c r="M883" i="5"/>
  <c r="O883" i="5"/>
  <c r="P883" i="5"/>
  <c r="Q883" i="5"/>
  <c r="R883" i="5"/>
  <c r="S883" i="5"/>
  <c r="T883" i="5"/>
  <c r="U883" i="5"/>
  <c r="W883" i="5"/>
  <c r="X883" i="5"/>
  <c r="Y883" i="5"/>
  <c r="Z883" i="5"/>
  <c r="AA883" i="5"/>
  <c r="I884" i="5"/>
  <c r="J884" i="5"/>
  <c r="M884" i="5"/>
  <c r="O884" i="5"/>
  <c r="P884" i="5"/>
  <c r="Q884" i="5"/>
  <c r="R884" i="5"/>
  <c r="S884" i="5"/>
  <c r="T884" i="5"/>
  <c r="U884" i="5"/>
  <c r="W884" i="5"/>
  <c r="X884" i="5"/>
  <c r="Y884" i="5"/>
  <c r="Z884" i="5"/>
  <c r="AA884" i="5"/>
  <c r="I885" i="5"/>
  <c r="J885" i="5"/>
  <c r="M885" i="5"/>
  <c r="O885" i="5"/>
  <c r="P885" i="5"/>
  <c r="Q885" i="5"/>
  <c r="R885" i="5"/>
  <c r="S885" i="5"/>
  <c r="T885" i="5"/>
  <c r="U885" i="5"/>
  <c r="W885" i="5"/>
  <c r="X885" i="5"/>
  <c r="Y885" i="5"/>
  <c r="Z885" i="5"/>
  <c r="AA885" i="5"/>
  <c r="I886" i="5"/>
  <c r="J886" i="5"/>
  <c r="M886" i="5"/>
  <c r="O886" i="5"/>
  <c r="P886" i="5"/>
  <c r="Q886" i="5"/>
  <c r="R886" i="5"/>
  <c r="S886" i="5"/>
  <c r="T886" i="5"/>
  <c r="U886" i="5"/>
  <c r="W886" i="5"/>
  <c r="X886" i="5"/>
  <c r="Y886" i="5"/>
  <c r="Z886" i="5"/>
  <c r="AA886" i="5"/>
  <c r="I887" i="5"/>
  <c r="J887" i="5"/>
  <c r="M887" i="5"/>
  <c r="O887" i="5"/>
  <c r="P887" i="5"/>
  <c r="Q887" i="5"/>
  <c r="R887" i="5"/>
  <c r="S887" i="5"/>
  <c r="T887" i="5"/>
  <c r="U887" i="5"/>
  <c r="W887" i="5"/>
  <c r="X887" i="5"/>
  <c r="Y887" i="5"/>
  <c r="Z887" i="5"/>
  <c r="AA887" i="5"/>
  <c r="I888" i="5"/>
  <c r="J888" i="5"/>
  <c r="M888" i="5"/>
  <c r="O888" i="5"/>
  <c r="P888" i="5"/>
  <c r="Q888" i="5"/>
  <c r="R888" i="5"/>
  <c r="S888" i="5"/>
  <c r="T888" i="5"/>
  <c r="U888" i="5"/>
  <c r="W888" i="5"/>
  <c r="X888" i="5"/>
  <c r="Y888" i="5"/>
  <c r="Z888" i="5"/>
  <c r="AA888" i="5"/>
  <c r="I889" i="5"/>
  <c r="J889" i="5"/>
  <c r="M889" i="5"/>
  <c r="O889" i="5"/>
  <c r="P889" i="5"/>
  <c r="Q889" i="5"/>
  <c r="R889" i="5"/>
  <c r="S889" i="5"/>
  <c r="T889" i="5"/>
  <c r="U889" i="5"/>
  <c r="W889" i="5"/>
  <c r="X889" i="5"/>
  <c r="Y889" i="5"/>
  <c r="Z889" i="5"/>
  <c r="AA889" i="5"/>
  <c r="I890" i="5"/>
  <c r="J890" i="5"/>
  <c r="M890" i="5"/>
  <c r="O890" i="5"/>
  <c r="P890" i="5"/>
  <c r="Q890" i="5"/>
  <c r="R890" i="5"/>
  <c r="S890" i="5"/>
  <c r="T890" i="5"/>
  <c r="U890" i="5"/>
  <c r="W890" i="5"/>
  <c r="X890" i="5"/>
  <c r="Y890" i="5"/>
  <c r="Z890" i="5"/>
  <c r="AA890" i="5"/>
  <c r="I891" i="5"/>
  <c r="J891" i="5"/>
  <c r="M891" i="5"/>
  <c r="O891" i="5"/>
  <c r="P891" i="5"/>
  <c r="Q891" i="5"/>
  <c r="R891" i="5"/>
  <c r="S891" i="5"/>
  <c r="T891" i="5"/>
  <c r="U891" i="5"/>
  <c r="W891" i="5"/>
  <c r="X891" i="5"/>
  <c r="Y891" i="5"/>
  <c r="Z891" i="5"/>
  <c r="AA891" i="5"/>
  <c r="I892" i="5"/>
  <c r="J892" i="5"/>
  <c r="M892" i="5"/>
  <c r="O892" i="5"/>
  <c r="P892" i="5"/>
  <c r="Q892" i="5"/>
  <c r="R892" i="5"/>
  <c r="S892" i="5"/>
  <c r="T892" i="5"/>
  <c r="U892" i="5"/>
  <c r="W892" i="5"/>
  <c r="X892" i="5"/>
  <c r="Y892" i="5"/>
  <c r="Z892" i="5"/>
  <c r="AA892" i="5"/>
  <c r="I893" i="5"/>
  <c r="J893" i="5"/>
  <c r="M893" i="5"/>
  <c r="O893" i="5"/>
  <c r="P893" i="5"/>
  <c r="Q893" i="5"/>
  <c r="R893" i="5"/>
  <c r="S893" i="5"/>
  <c r="T893" i="5"/>
  <c r="U893" i="5"/>
  <c r="W893" i="5"/>
  <c r="X893" i="5"/>
  <c r="Y893" i="5"/>
  <c r="Z893" i="5"/>
  <c r="AA893" i="5"/>
  <c r="I894" i="5"/>
  <c r="J894" i="5"/>
  <c r="M894" i="5"/>
  <c r="O894" i="5"/>
  <c r="P894" i="5"/>
  <c r="Q894" i="5"/>
  <c r="R894" i="5"/>
  <c r="S894" i="5"/>
  <c r="T894" i="5"/>
  <c r="U894" i="5"/>
  <c r="W894" i="5"/>
  <c r="X894" i="5"/>
  <c r="Y894" i="5"/>
  <c r="Z894" i="5"/>
  <c r="AA894" i="5"/>
  <c r="I895" i="5"/>
  <c r="J895" i="5"/>
  <c r="M895" i="5"/>
  <c r="O895" i="5"/>
  <c r="P895" i="5"/>
  <c r="Q895" i="5"/>
  <c r="R895" i="5"/>
  <c r="S895" i="5"/>
  <c r="T895" i="5"/>
  <c r="U895" i="5"/>
  <c r="W895" i="5"/>
  <c r="X895" i="5"/>
  <c r="Y895" i="5"/>
  <c r="Z895" i="5"/>
  <c r="AA895" i="5"/>
  <c r="I896" i="5"/>
  <c r="J896" i="5"/>
  <c r="M896" i="5"/>
  <c r="O896" i="5"/>
  <c r="P896" i="5"/>
  <c r="Q896" i="5"/>
  <c r="R896" i="5"/>
  <c r="S896" i="5"/>
  <c r="T896" i="5"/>
  <c r="U896" i="5"/>
  <c r="W896" i="5"/>
  <c r="X896" i="5"/>
  <c r="Y896" i="5"/>
  <c r="Z896" i="5"/>
  <c r="AA896" i="5"/>
  <c r="I897" i="5"/>
  <c r="J897" i="5"/>
  <c r="M897" i="5"/>
  <c r="O897" i="5"/>
  <c r="P897" i="5"/>
  <c r="Q897" i="5"/>
  <c r="R897" i="5"/>
  <c r="S897" i="5"/>
  <c r="T897" i="5"/>
  <c r="U897" i="5"/>
  <c r="W897" i="5"/>
  <c r="X897" i="5"/>
  <c r="Y897" i="5"/>
  <c r="Z897" i="5"/>
  <c r="AA897" i="5"/>
  <c r="I898" i="5"/>
  <c r="J898" i="5"/>
  <c r="M898" i="5"/>
  <c r="O898" i="5"/>
  <c r="P898" i="5"/>
  <c r="Q898" i="5"/>
  <c r="R898" i="5"/>
  <c r="S898" i="5"/>
  <c r="T898" i="5"/>
  <c r="U898" i="5"/>
  <c r="W898" i="5"/>
  <c r="X898" i="5"/>
  <c r="Y898" i="5"/>
  <c r="Z898" i="5"/>
  <c r="AA898" i="5"/>
  <c r="I899" i="5"/>
  <c r="J899" i="5"/>
  <c r="M899" i="5"/>
  <c r="O899" i="5"/>
  <c r="P899" i="5"/>
  <c r="Q899" i="5"/>
  <c r="R899" i="5"/>
  <c r="S899" i="5"/>
  <c r="T899" i="5"/>
  <c r="U899" i="5"/>
  <c r="W899" i="5"/>
  <c r="X899" i="5"/>
  <c r="Y899" i="5"/>
  <c r="Z899" i="5"/>
  <c r="AA899" i="5"/>
  <c r="I900" i="5"/>
  <c r="J900" i="5"/>
  <c r="M900" i="5"/>
  <c r="O900" i="5"/>
  <c r="P900" i="5"/>
  <c r="Q900" i="5"/>
  <c r="R900" i="5"/>
  <c r="S900" i="5"/>
  <c r="T900" i="5"/>
  <c r="U900" i="5"/>
  <c r="W900" i="5"/>
  <c r="X900" i="5"/>
  <c r="Y900" i="5"/>
  <c r="Z900" i="5"/>
  <c r="AA900" i="5"/>
  <c r="I901" i="5"/>
  <c r="J901" i="5"/>
  <c r="M901" i="5"/>
  <c r="O901" i="5"/>
  <c r="P901" i="5"/>
  <c r="Q901" i="5"/>
  <c r="R901" i="5"/>
  <c r="S901" i="5"/>
  <c r="T901" i="5"/>
  <c r="U901" i="5"/>
  <c r="W901" i="5"/>
  <c r="X901" i="5"/>
  <c r="Y901" i="5"/>
  <c r="Z901" i="5"/>
  <c r="AA901" i="5"/>
  <c r="I902" i="5"/>
  <c r="J902" i="5"/>
  <c r="M902" i="5"/>
  <c r="O902" i="5"/>
  <c r="P902" i="5"/>
  <c r="Q902" i="5"/>
  <c r="R902" i="5"/>
  <c r="S902" i="5"/>
  <c r="T902" i="5"/>
  <c r="U902" i="5"/>
  <c r="W902" i="5"/>
  <c r="X902" i="5"/>
  <c r="Y902" i="5"/>
  <c r="Z902" i="5"/>
  <c r="AA902" i="5"/>
  <c r="I903" i="5"/>
  <c r="J903" i="5"/>
  <c r="M903" i="5"/>
  <c r="O903" i="5"/>
  <c r="P903" i="5"/>
  <c r="Q903" i="5"/>
  <c r="R903" i="5"/>
  <c r="S903" i="5"/>
  <c r="T903" i="5"/>
  <c r="U903" i="5"/>
  <c r="W903" i="5"/>
  <c r="X903" i="5"/>
  <c r="Y903" i="5"/>
  <c r="Z903" i="5"/>
  <c r="AA903" i="5"/>
  <c r="I904" i="5"/>
  <c r="J904" i="5"/>
  <c r="M904" i="5"/>
  <c r="O904" i="5"/>
  <c r="P904" i="5"/>
  <c r="Q904" i="5"/>
  <c r="R904" i="5"/>
  <c r="S904" i="5"/>
  <c r="T904" i="5"/>
  <c r="U904" i="5"/>
  <c r="W904" i="5"/>
  <c r="X904" i="5"/>
  <c r="Y904" i="5"/>
  <c r="Z904" i="5"/>
  <c r="AA904" i="5"/>
  <c r="I905" i="5"/>
  <c r="J905" i="5"/>
  <c r="M905" i="5"/>
  <c r="O905" i="5"/>
  <c r="P905" i="5"/>
  <c r="Q905" i="5"/>
  <c r="R905" i="5"/>
  <c r="S905" i="5"/>
  <c r="T905" i="5"/>
  <c r="U905" i="5"/>
  <c r="W905" i="5"/>
  <c r="X905" i="5"/>
  <c r="Y905" i="5"/>
  <c r="Z905" i="5"/>
  <c r="AA905" i="5"/>
  <c r="I906" i="5"/>
  <c r="J906" i="5"/>
  <c r="M906" i="5"/>
  <c r="O906" i="5"/>
  <c r="P906" i="5"/>
  <c r="Q906" i="5"/>
  <c r="R906" i="5"/>
  <c r="S906" i="5"/>
  <c r="T906" i="5"/>
  <c r="U906" i="5"/>
  <c r="W906" i="5"/>
  <c r="X906" i="5"/>
  <c r="Y906" i="5"/>
  <c r="Z906" i="5"/>
  <c r="AA906" i="5"/>
  <c r="I907" i="5"/>
  <c r="J907" i="5"/>
  <c r="M907" i="5"/>
  <c r="O907" i="5"/>
  <c r="P907" i="5"/>
  <c r="Q907" i="5"/>
  <c r="R907" i="5"/>
  <c r="S907" i="5"/>
  <c r="T907" i="5"/>
  <c r="U907" i="5"/>
  <c r="W907" i="5"/>
  <c r="X907" i="5"/>
  <c r="Y907" i="5"/>
  <c r="Z907" i="5"/>
  <c r="AA907" i="5"/>
  <c r="I908" i="5"/>
  <c r="J908" i="5"/>
  <c r="M908" i="5"/>
  <c r="O908" i="5"/>
  <c r="P908" i="5"/>
  <c r="Q908" i="5"/>
  <c r="R908" i="5"/>
  <c r="S908" i="5"/>
  <c r="T908" i="5"/>
  <c r="U908" i="5"/>
  <c r="W908" i="5"/>
  <c r="X908" i="5"/>
  <c r="Y908" i="5"/>
  <c r="Z908" i="5"/>
  <c r="AA908" i="5"/>
  <c r="I909" i="5"/>
  <c r="J909" i="5"/>
  <c r="M909" i="5"/>
  <c r="O909" i="5"/>
  <c r="P909" i="5"/>
  <c r="Q909" i="5"/>
  <c r="R909" i="5"/>
  <c r="S909" i="5"/>
  <c r="T909" i="5"/>
  <c r="U909" i="5"/>
  <c r="W909" i="5"/>
  <c r="X909" i="5"/>
  <c r="Y909" i="5"/>
  <c r="Z909" i="5"/>
  <c r="AA909" i="5"/>
  <c r="I910" i="5"/>
  <c r="J910" i="5"/>
  <c r="M910" i="5"/>
  <c r="O910" i="5"/>
  <c r="P910" i="5"/>
  <c r="Q910" i="5"/>
  <c r="R910" i="5"/>
  <c r="S910" i="5"/>
  <c r="T910" i="5"/>
  <c r="U910" i="5"/>
  <c r="W910" i="5"/>
  <c r="X910" i="5"/>
  <c r="Y910" i="5"/>
  <c r="Z910" i="5"/>
  <c r="AA910" i="5"/>
  <c r="I911" i="5"/>
  <c r="J911" i="5"/>
  <c r="M911" i="5"/>
  <c r="O911" i="5"/>
  <c r="P911" i="5"/>
  <c r="Q911" i="5"/>
  <c r="R911" i="5"/>
  <c r="S911" i="5"/>
  <c r="T911" i="5"/>
  <c r="U911" i="5"/>
  <c r="W911" i="5"/>
  <c r="X911" i="5"/>
  <c r="Y911" i="5"/>
  <c r="Z911" i="5"/>
  <c r="AA911" i="5"/>
  <c r="I912" i="5"/>
  <c r="J912" i="5"/>
  <c r="M912" i="5"/>
  <c r="O912" i="5"/>
  <c r="P912" i="5"/>
  <c r="Q912" i="5"/>
  <c r="R912" i="5"/>
  <c r="S912" i="5"/>
  <c r="T912" i="5"/>
  <c r="U912" i="5"/>
  <c r="W912" i="5"/>
  <c r="X912" i="5"/>
  <c r="Y912" i="5"/>
  <c r="Z912" i="5"/>
  <c r="AA912" i="5"/>
  <c r="I913" i="5"/>
  <c r="J913" i="5"/>
  <c r="M913" i="5"/>
  <c r="O913" i="5"/>
  <c r="P913" i="5"/>
  <c r="Q913" i="5"/>
  <c r="R913" i="5"/>
  <c r="S913" i="5"/>
  <c r="T913" i="5"/>
  <c r="U913" i="5"/>
  <c r="W913" i="5"/>
  <c r="X913" i="5"/>
  <c r="Y913" i="5"/>
  <c r="Z913" i="5"/>
  <c r="AA913" i="5"/>
  <c r="I914" i="5"/>
  <c r="J914" i="5"/>
  <c r="M914" i="5"/>
  <c r="O914" i="5"/>
  <c r="P914" i="5"/>
  <c r="Q914" i="5"/>
  <c r="R914" i="5"/>
  <c r="S914" i="5"/>
  <c r="T914" i="5"/>
  <c r="U914" i="5"/>
  <c r="W914" i="5"/>
  <c r="X914" i="5"/>
  <c r="Y914" i="5"/>
  <c r="Z914" i="5"/>
  <c r="AA914" i="5"/>
  <c r="I915" i="5"/>
  <c r="J915" i="5"/>
  <c r="M915" i="5"/>
  <c r="O915" i="5"/>
  <c r="P915" i="5"/>
  <c r="Q915" i="5"/>
  <c r="R915" i="5"/>
  <c r="S915" i="5"/>
  <c r="T915" i="5"/>
  <c r="U915" i="5"/>
  <c r="W915" i="5"/>
  <c r="X915" i="5"/>
  <c r="Y915" i="5"/>
  <c r="Z915" i="5"/>
  <c r="AA915" i="5"/>
  <c r="I916" i="5"/>
  <c r="J916" i="5"/>
  <c r="M916" i="5"/>
  <c r="O916" i="5"/>
  <c r="P916" i="5"/>
  <c r="Q916" i="5"/>
  <c r="R916" i="5"/>
  <c r="S916" i="5"/>
  <c r="T916" i="5"/>
  <c r="U916" i="5"/>
  <c r="W916" i="5"/>
  <c r="X916" i="5"/>
  <c r="Y916" i="5"/>
  <c r="Z916" i="5"/>
  <c r="AA916" i="5"/>
  <c r="I917" i="5"/>
  <c r="J917" i="5"/>
  <c r="M917" i="5"/>
  <c r="O917" i="5"/>
  <c r="P917" i="5"/>
  <c r="Q917" i="5"/>
  <c r="R917" i="5"/>
  <c r="S917" i="5"/>
  <c r="T917" i="5"/>
  <c r="U917" i="5"/>
  <c r="W917" i="5"/>
  <c r="X917" i="5"/>
  <c r="Y917" i="5"/>
  <c r="Z917" i="5"/>
  <c r="AA917" i="5"/>
  <c r="I918" i="5"/>
  <c r="J918" i="5"/>
  <c r="M918" i="5"/>
  <c r="O918" i="5"/>
  <c r="P918" i="5"/>
  <c r="Q918" i="5"/>
  <c r="R918" i="5"/>
  <c r="S918" i="5"/>
  <c r="T918" i="5"/>
  <c r="U918" i="5"/>
  <c r="W918" i="5"/>
  <c r="X918" i="5"/>
  <c r="Y918" i="5"/>
  <c r="Z918" i="5"/>
  <c r="AA918" i="5"/>
  <c r="I919" i="5"/>
  <c r="J919" i="5"/>
  <c r="M919" i="5"/>
  <c r="O919" i="5"/>
  <c r="P919" i="5"/>
  <c r="Q919" i="5"/>
  <c r="R919" i="5"/>
  <c r="S919" i="5"/>
  <c r="T919" i="5"/>
  <c r="U919" i="5"/>
  <c r="W919" i="5"/>
  <c r="X919" i="5"/>
  <c r="Y919" i="5"/>
  <c r="Z919" i="5"/>
  <c r="AA919" i="5"/>
  <c r="I920" i="5"/>
  <c r="J920" i="5"/>
  <c r="M920" i="5"/>
  <c r="O920" i="5"/>
  <c r="P920" i="5"/>
  <c r="Q920" i="5"/>
  <c r="R920" i="5"/>
  <c r="S920" i="5"/>
  <c r="T920" i="5"/>
  <c r="U920" i="5"/>
  <c r="W920" i="5"/>
  <c r="X920" i="5"/>
  <c r="Y920" i="5"/>
  <c r="Z920" i="5"/>
  <c r="AA920" i="5"/>
  <c r="I921" i="5"/>
  <c r="J921" i="5"/>
  <c r="M921" i="5"/>
  <c r="O921" i="5"/>
  <c r="P921" i="5"/>
  <c r="Q921" i="5"/>
  <c r="R921" i="5"/>
  <c r="S921" i="5"/>
  <c r="T921" i="5"/>
  <c r="U921" i="5"/>
  <c r="W921" i="5"/>
  <c r="X921" i="5"/>
  <c r="Y921" i="5"/>
  <c r="Z921" i="5"/>
  <c r="AA921" i="5"/>
  <c r="I922" i="5"/>
  <c r="J922" i="5"/>
  <c r="M922" i="5"/>
  <c r="O922" i="5"/>
  <c r="P922" i="5"/>
  <c r="Q922" i="5"/>
  <c r="R922" i="5"/>
  <c r="S922" i="5"/>
  <c r="T922" i="5"/>
  <c r="U922" i="5"/>
  <c r="W922" i="5"/>
  <c r="X922" i="5"/>
  <c r="Y922" i="5"/>
  <c r="Z922" i="5"/>
  <c r="AA922" i="5"/>
  <c r="I923" i="5"/>
  <c r="J923" i="5"/>
  <c r="M923" i="5"/>
  <c r="O923" i="5"/>
  <c r="P923" i="5"/>
  <c r="Q923" i="5"/>
  <c r="R923" i="5"/>
  <c r="S923" i="5"/>
  <c r="T923" i="5"/>
  <c r="U923" i="5"/>
  <c r="W923" i="5"/>
  <c r="X923" i="5"/>
  <c r="Y923" i="5"/>
  <c r="Z923" i="5"/>
  <c r="AA923" i="5"/>
  <c r="I924" i="5"/>
  <c r="J924" i="5"/>
  <c r="M924" i="5"/>
  <c r="O924" i="5"/>
  <c r="P924" i="5"/>
  <c r="Q924" i="5"/>
  <c r="R924" i="5"/>
  <c r="S924" i="5"/>
  <c r="T924" i="5"/>
  <c r="U924" i="5"/>
  <c r="W924" i="5"/>
  <c r="X924" i="5"/>
  <c r="Y924" i="5"/>
  <c r="Z924" i="5"/>
  <c r="AA924" i="5"/>
  <c r="I925" i="5"/>
  <c r="J925" i="5"/>
  <c r="M925" i="5"/>
  <c r="O925" i="5"/>
  <c r="P925" i="5"/>
  <c r="Q925" i="5"/>
  <c r="R925" i="5"/>
  <c r="S925" i="5"/>
  <c r="T925" i="5"/>
  <c r="U925" i="5"/>
  <c r="W925" i="5"/>
  <c r="X925" i="5"/>
  <c r="Y925" i="5"/>
  <c r="Z925" i="5"/>
  <c r="AA925" i="5"/>
  <c r="I926" i="5"/>
  <c r="J926" i="5"/>
  <c r="M926" i="5"/>
  <c r="O926" i="5"/>
  <c r="P926" i="5"/>
  <c r="Q926" i="5"/>
  <c r="R926" i="5"/>
  <c r="S926" i="5"/>
  <c r="T926" i="5"/>
  <c r="U926" i="5"/>
  <c r="W926" i="5"/>
  <c r="X926" i="5"/>
  <c r="Y926" i="5"/>
  <c r="Z926" i="5"/>
  <c r="AA926" i="5"/>
  <c r="I927" i="5"/>
  <c r="J927" i="5"/>
  <c r="M927" i="5"/>
  <c r="O927" i="5"/>
  <c r="P927" i="5"/>
  <c r="Q927" i="5"/>
  <c r="R927" i="5"/>
  <c r="S927" i="5"/>
  <c r="T927" i="5"/>
  <c r="U927" i="5"/>
  <c r="W927" i="5"/>
  <c r="X927" i="5"/>
  <c r="Y927" i="5"/>
  <c r="Z927" i="5"/>
  <c r="AA927" i="5"/>
  <c r="I928" i="5"/>
  <c r="J928" i="5"/>
  <c r="M928" i="5"/>
  <c r="O928" i="5"/>
  <c r="P928" i="5"/>
  <c r="Q928" i="5"/>
  <c r="R928" i="5"/>
  <c r="S928" i="5"/>
  <c r="T928" i="5"/>
  <c r="U928" i="5"/>
  <c r="W928" i="5"/>
  <c r="X928" i="5"/>
  <c r="Y928" i="5"/>
  <c r="Z928" i="5"/>
  <c r="AA928" i="5"/>
  <c r="I929" i="5"/>
  <c r="J929" i="5"/>
  <c r="M929" i="5"/>
  <c r="O929" i="5"/>
  <c r="P929" i="5"/>
  <c r="Q929" i="5"/>
  <c r="R929" i="5"/>
  <c r="S929" i="5"/>
  <c r="T929" i="5"/>
  <c r="U929" i="5"/>
  <c r="W929" i="5"/>
  <c r="X929" i="5"/>
  <c r="Y929" i="5"/>
  <c r="Z929" i="5"/>
  <c r="AA929" i="5"/>
  <c r="I930" i="5"/>
  <c r="J930" i="5"/>
  <c r="M930" i="5"/>
  <c r="O930" i="5"/>
  <c r="P930" i="5"/>
  <c r="Q930" i="5"/>
  <c r="R930" i="5"/>
  <c r="S930" i="5"/>
  <c r="T930" i="5"/>
  <c r="U930" i="5"/>
  <c r="W930" i="5"/>
  <c r="X930" i="5"/>
  <c r="Y930" i="5"/>
  <c r="Z930" i="5"/>
  <c r="AA930" i="5"/>
  <c r="I931" i="5"/>
  <c r="J931" i="5"/>
  <c r="M931" i="5"/>
  <c r="O931" i="5"/>
  <c r="P931" i="5"/>
  <c r="Q931" i="5"/>
  <c r="R931" i="5"/>
  <c r="S931" i="5"/>
  <c r="T931" i="5"/>
  <c r="U931" i="5"/>
  <c r="W931" i="5"/>
  <c r="X931" i="5"/>
  <c r="Y931" i="5"/>
  <c r="Z931" i="5"/>
  <c r="AA931" i="5"/>
  <c r="I932" i="5"/>
  <c r="J932" i="5"/>
  <c r="M932" i="5"/>
  <c r="O932" i="5"/>
  <c r="P932" i="5"/>
  <c r="Q932" i="5"/>
  <c r="R932" i="5"/>
  <c r="S932" i="5"/>
  <c r="T932" i="5"/>
  <c r="U932" i="5"/>
  <c r="W932" i="5"/>
  <c r="X932" i="5"/>
  <c r="Y932" i="5"/>
  <c r="Z932" i="5"/>
  <c r="AA932" i="5"/>
  <c r="I933" i="5"/>
  <c r="J933" i="5"/>
  <c r="M933" i="5"/>
  <c r="O933" i="5"/>
  <c r="P933" i="5"/>
  <c r="Q933" i="5"/>
  <c r="R933" i="5"/>
  <c r="S933" i="5"/>
  <c r="T933" i="5"/>
  <c r="U933" i="5"/>
  <c r="W933" i="5"/>
  <c r="X933" i="5"/>
  <c r="Y933" i="5"/>
  <c r="Z933" i="5"/>
  <c r="AA933" i="5"/>
  <c r="I934" i="5"/>
  <c r="J934" i="5"/>
  <c r="M934" i="5"/>
  <c r="O934" i="5"/>
  <c r="P934" i="5"/>
  <c r="Q934" i="5"/>
  <c r="R934" i="5"/>
  <c r="S934" i="5"/>
  <c r="T934" i="5"/>
  <c r="U934" i="5"/>
  <c r="W934" i="5"/>
  <c r="X934" i="5"/>
  <c r="Y934" i="5"/>
  <c r="Z934" i="5"/>
  <c r="AA934" i="5"/>
  <c r="I935" i="5"/>
  <c r="J935" i="5"/>
  <c r="M935" i="5"/>
  <c r="O935" i="5"/>
  <c r="P935" i="5"/>
  <c r="Q935" i="5"/>
  <c r="R935" i="5"/>
  <c r="S935" i="5"/>
  <c r="T935" i="5"/>
  <c r="U935" i="5"/>
  <c r="W935" i="5"/>
  <c r="X935" i="5"/>
  <c r="Y935" i="5"/>
  <c r="Z935" i="5"/>
  <c r="AA935" i="5"/>
  <c r="I936" i="5"/>
  <c r="J936" i="5"/>
  <c r="M936" i="5"/>
  <c r="O936" i="5"/>
  <c r="P936" i="5"/>
  <c r="Q936" i="5"/>
  <c r="R936" i="5"/>
  <c r="S936" i="5"/>
  <c r="T936" i="5"/>
  <c r="U936" i="5"/>
  <c r="W936" i="5"/>
  <c r="X936" i="5"/>
  <c r="Y936" i="5"/>
  <c r="Z936" i="5"/>
  <c r="AA936" i="5"/>
  <c r="I937" i="5"/>
  <c r="J937" i="5"/>
  <c r="M937" i="5"/>
  <c r="O937" i="5"/>
  <c r="P937" i="5"/>
  <c r="Q937" i="5"/>
  <c r="R937" i="5"/>
  <c r="S937" i="5"/>
  <c r="T937" i="5"/>
  <c r="U937" i="5"/>
  <c r="W937" i="5"/>
  <c r="X937" i="5"/>
  <c r="Y937" i="5"/>
  <c r="Z937" i="5"/>
  <c r="AA937" i="5"/>
  <c r="I938" i="5"/>
  <c r="J938" i="5"/>
  <c r="M938" i="5"/>
  <c r="O938" i="5"/>
  <c r="P938" i="5"/>
  <c r="Q938" i="5"/>
  <c r="R938" i="5"/>
  <c r="S938" i="5"/>
  <c r="T938" i="5"/>
  <c r="U938" i="5"/>
  <c r="W938" i="5"/>
  <c r="X938" i="5"/>
  <c r="Y938" i="5"/>
  <c r="Z938" i="5"/>
  <c r="AA938" i="5"/>
  <c r="I939" i="5"/>
  <c r="J939" i="5"/>
  <c r="M939" i="5"/>
  <c r="O939" i="5"/>
  <c r="P939" i="5"/>
  <c r="Q939" i="5"/>
  <c r="R939" i="5"/>
  <c r="S939" i="5"/>
  <c r="T939" i="5"/>
  <c r="U939" i="5"/>
  <c r="W939" i="5"/>
  <c r="X939" i="5"/>
  <c r="Y939" i="5"/>
  <c r="Z939" i="5"/>
  <c r="AA939" i="5"/>
  <c r="I940" i="5"/>
  <c r="J940" i="5"/>
  <c r="M940" i="5"/>
  <c r="O940" i="5"/>
  <c r="P940" i="5"/>
  <c r="Q940" i="5"/>
  <c r="R940" i="5"/>
  <c r="S940" i="5"/>
  <c r="T940" i="5"/>
  <c r="U940" i="5"/>
  <c r="W940" i="5"/>
  <c r="X940" i="5"/>
  <c r="Y940" i="5"/>
  <c r="Z940" i="5"/>
  <c r="AA940" i="5"/>
  <c r="I941" i="5"/>
  <c r="J941" i="5"/>
  <c r="M941" i="5"/>
  <c r="O941" i="5"/>
  <c r="P941" i="5"/>
  <c r="Q941" i="5"/>
  <c r="R941" i="5"/>
  <c r="S941" i="5"/>
  <c r="T941" i="5"/>
  <c r="U941" i="5"/>
  <c r="W941" i="5"/>
  <c r="X941" i="5"/>
  <c r="Y941" i="5"/>
  <c r="Z941" i="5"/>
  <c r="AA941" i="5"/>
  <c r="I942" i="5"/>
  <c r="J942" i="5"/>
  <c r="M942" i="5"/>
  <c r="O942" i="5"/>
  <c r="P942" i="5"/>
  <c r="Q942" i="5"/>
  <c r="R942" i="5"/>
  <c r="S942" i="5"/>
  <c r="T942" i="5"/>
  <c r="U942" i="5"/>
  <c r="W942" i="5"/>
  <c r="X942" i="5"/>
  <c r="Y942" i="5"/>
  <c r="Z942" i="5"/>
  <c r="AA942" i="5"/>
  <c r="I943" i="5"/>
  <c r="J943" i="5"/>
  <c r="M943" i="5"/>
  <c r="O943" i="5"/>
  <c r="P943" i="5"/>
  <c r="Q943" i="5"/>
  <c r="R943" i="5"/>
  <c r="S943" i="5"/>
  <c r="T943" i="5"/>
  <c r="U943" i="5"/>
  <c r="W943" i="5"/>
  <c r="X943" i="5"/>
  <c r="Y943" i="5"/>
  <c r="Z943" i="5"/>
  <c r="AA943" i="5"/>
  <c r="I944" i="5"/>
  <c r="J944" i="5"/>
  <c r="M944" i="5"/>
  <c r="O944" i="5"/>
  <c r="P944" i="5"/>
  <c r="Q944" i="5"/>
  <c r="R944" i="5"/>
  <c r="S944" i="5"/>
  <c r="T944" i="5"/>
  <c r="U944" i="5"/>
  <c r="W944" i="5"/>
  <c r="X944" i="5"/>
  <c r="Y944" i="5"/>
  <c r="Z944" i="5"/>
  <c r="AA944" i="5"/>
  <c r="I945" i="5"/>
  <c r="J945" i="5"/>
  <c r="M945" i="5"/>
  <c r="O945" i="5"/>
  <c r="P945" i="5"/>
  <c r="Q945" i="5"/>
  <c r="R945" i="5"/>
  <c r="S945" i="5"/>
  <c r="T945" i="5"/>
  <c r="U945" i="5"/>
  <c r="W945" i="5"/>
  <c r="X945" i="5"/>
  <c r="Y945" i="5"/>
  <c r="Z945" i="5"/>
  <c r="AA945" i="5"/>
  <c r="I946" i="5"/>
  <c r="J946" i="5"/>
  <c r="M946" i="5"/>
  <c r="O946" i="5"/>
  <c r="P946" i="5"/>
  <c r="Q946" i="5"/>
  <c r="R946" i="5"/>
  <c r="S946" i="5"/>
  <c r="T946" i="5"/>
  <c r="U946" i="5"/>
  <c r="W946" i="5"/>
  <c r="X946" i="5"/>
  <c r="Y946" i="5"/>
  <c r="Z946" i="5"/>
  <c r="AA946" i="5"/>
  <c r="I947" i="5"/>
  <c r="J947" i="5"/>
  <c r="M947" i="5"/>
  <c r="O947" i="5"/>
  <c r="P947" i="5"/>
  <c r="Q947" i="5"/>
  <c r="R947" i="5"/>
  <c r="S947" i="5"/>
  <c r="T947" i="5"/>
  <c r="U947" i="5"/>
  <c r="W947" i="5"/>
  <c r="X947" i="5"/>
  <c r="Y947" i="5"/>
  <c r="Z947" i="5"/>
  <c r="AA947" i="5"/>
  <c r="I948" i="5"/>
  <c r="J948" i="5"/>
  <c r="M948" i="5"/>
  <c r="O948" i="5"/>
  <c r="P948" i="5"/>
  <c r="Q948" i="5"/>
  <c r="R948" i="5"/>
  <c r="S948" i="5"/>
  <c r="T948" i="5"/>
  <c r="U948" i="5"/>
  <c r="W948" i="5"/>
  <c r="X948" i="5"/>
  <c r="Y948" i="5"/>
  <c r="Z948" i="5"/>
  <c r="AA948" i="5"/>
  <c r="I949" i="5"/>
  <c r="J949" i="5"/>
  <c r="M949" i="5"/>
  <c r="O949" i="5"/>
  <c r="P949" i="5"/>
  <c r="Q949" i="5"/>
  <c r="R949" i="5"/>
  <c r="S949" i="5"/>
  <c r="T949" i="5"/>
  <c r="U949" i="5"/>
  <c r="W949" i="5"/>
  <c r="X949" i="5"/>
  <c r="Y949" i="5"/>
  <c r="Z949" i="5"/>
  <c r="AA949" i="5"/>
  <c r="I950" i="5"/>
  <c r="J950" i="5"/>
  <c r="M950" i="5"/>
  <c r="O950" i="5"/>
  <c r="P950" i="5"/>
  <c r="Q950" i="5"/>
  <c r="R950" i="5"/>
  <c r="S950" i="5"/>
  <c r="T950" i="5"/>
  <c r="U950" i="5"/>
  <c r="W950" i="5"/>
  <c r="X950" i="5"/>
  <c r="Y950" i="5"/>
  <c r="Z950" i="5"/>
  <c r="AA950" i="5"/>
  <c r="I951" i="5"/>
  <c r="J951" i="5"/>
  <c r="M951" i="5"/>
  <c r="O951" i="5"/>
  <c r="P951" i="5"/>
  <c r="Q951" i="5"/>
  <c r="R951" i="5"/>
  <c r="S951" i="5"/>
  <c r="T951" i="5"/>
  <c r="U951" i="5"/>
  <c r="W951" i="5"/>
  <c r="X951" i="5"/>
  <c r="Y951" i="5"/>
  <c r="Z951" i="5"/>
  <c r="AA951" i="5"/>
  <c r="I952" i="5"/>
  <c r="J952" i="5"/>
  <c r="M952" i="5"/>
  <c r="O952" i="5"/>
  <c r="P952" i="5"/>
  <c r="Q952" i="5"/>
  <c r="R952" i="5"/>
  <c r="S952" i="5"/>
  <c r="T952" i="5"/>
  <c r="U952" i="5"/>
  <c r="W952" i="5"/>
  <c r="X952" i="5"/>
  <c r="Y952" i="5"/>
  <c r="Z952" i="5"/>
  <c r="AA952" i="5"/>
  <c r="I953" i="5"/>
  <c r="J953" i="5"/>
  <c r="M953" i="5"/>
  <c r="O953" i="5"/>
  <c r="P953" i="5"/>
  <c r="Q953" i="5"/>
  <c r="R953" i="5"/>
  <c r="S953" i="5"/>
  <c r="T953" i="5"/>
  <c r="U953" i="5"/>
  <c r="W953" i="5"/>
  <c r="X953" i="5"/>
  <c r="Y953" i="5"/>
  <c r="Z953" i="5"/>
  <c r="AA953" i="5"/>
  <c r="I954" i="5"/>
  <c r="J954" i="5"/>
  <c r="M954" i="5"/>
  <c r="O954" i="5"/>
  <c r="P954" i="5"/>
  <c r="Q954" i="5"/>
  <c r="R954" i="5"/>
  <c r="S954" i="5"/>
  <c r="T954" i="5"/>
  <c r="U954" i="5"/>
  <c r="W954" i="5"/>
  <c r="X954" i="5"/>
  <c r="Y954" i="5"/>
  <c r="Z954" i="5"/>
  <c r="AA954" i="5"/>
  <c r="I955" i="5"/>
  <c r="J955" i="5"/>
  <c r="M955" i="5"/>
  <c r="O955" i="5"/>
  <c r="P955" i="5"/>
  <c r="Q955" i="5"/>
  <c r="R955" i="5"/>
  <c r="S955" i="5"/>
  <c r="T955" i="5"/>
  <c r="U955" i="5"/>
  <c r="W955" i="5"/>
  <c r="X955" i="5"/>
  <c r="Y955" i="5"/>
  <c r="Z955" i="5"/>
  <c r="AA955" i="5"/>
  <c r="I956" i="5"/>
  <c r="J956" i="5"/>
  <c r="M956" i="5"/>
  <c r="O956" i="5"/>
  <c r="P956" i="5"/>
  <c r="Q956" i="5"/>
  <c r="R956" i="5"/>
  <c r="S956" i="5"/>
  <c r="T956" i="5"/>
  <c r="U956" i="5"/>
  <c r="W956" i="5"/>
  <c r="X956" i="5"/>
  <c r="Y956" i="5"/>
  <c r="Z956" i="5"/>
  <c r="AA956" i="5"/>
  <c r="I957" i="5"/>
  <c r="J957" i="5"/>
  <c r="M957" i="5"/>
  <c r="O957" i="5"/>
  <c r="P957" i="5"/>
  <c r="Q957" i="5"/>
  <c r="R957" i="5"/>
  <c r="S957" i="5"/>
  <c r="T957" i="5"/>
  <c r="U957" i="5"/>
  <c r="W957" i="5"/>
  <c r="X957" i="5"/>
  <c r="Y957" i="5"/>
  <c r="Z957" i="5"/>
  <c r="AA957" i="5"/>
  <c r="I958" i="5"/>
  <c r="J958" i="5"/>
  <c r="M958" i="5"/>
  <c r="O958" i="5"/>
  <c r="P958" i="5"/>
  <c r="Q958" i="5"/>
  <c r="R958" i="5"/>
  <c r="S958" i="5"/>
  <c r="T958" i="5"/>
  <c r="U958" i="5"/>
  <c r="W958" i="5"/>
  <c r="X958" i="5"/>
  <c r="Y958" i="5"/>
  <c r="Z958" i="5"/>
  <c r="AA958" i="5"/>
  <c r="I959" i="5"/>
  <c r="J959" i="5"/>
  <c r="M959" i="5"/>
  <c r="O959" i="5"/>
  <c r="P959" i="5"/>
  <c r="Q959" i="5"/>
  <c r="R959" i="5"/>
  <c r="S959" i="5"/>
  <c r="T959" i="5"/>
  <c r="U959" i="5"/>
  <c r="W959" i="5"/>
  <c r="X959" i="5"/>
  <c r="Y959" i="5"/>
  <c r="Z959" i="5"/>
  <c r="AA959" i="5"/>
  <c r="I960" i="5"/>
  <c r="J960" i="5"/>
  <c r="M960" i="5"/>
  <c r="O960" i="5"/>
  <c r="P960" i="5"/>
  <c r="Q960" i="5"/>
  <c r="R960" i="5"/>
  <c r="S960" i="5"/>
  <c r="T960" i="5"/>
  <c r="U960" i="5"/>
  <c r="W960" i="5"/>
  <c r="X960" i="5"/>
  <c r="Y960" i="5"/>
  <c r="Z960" i="5"/>
  <c r="AA960" i="5"/>
  <c r="I961" i="5"/>
  <c r="J961" i="5"/>
  <c r="M961" i="5"/>
  <c r="O961" i="5"/>
  <c r="P961" i="5"/>
  <c r="Q961" i="5"/>
  <c r="R961" i="5"/>
  <c r="S961" i="5"/>
  <c r="T961" i="5"/>
  <c r="U961" i="5"/>
  <c r="W961" i="5"/>
  <c r="X961" i="5"/>
  <c r="Y961" i="5"/>
  <c r="Z961" i="5"/>
  <c r="AA961" i="5"/>
  <c r="I962" i="5"/>
  <c r="J962" i="5"/>
  <c r="M962" i="5"/>
  <c r="O962" i="5"/>
  <c r="P962" i="5"/>
  <c r="Q962" i="5"/>
  <c r="R962" i="5"/>
  <c r="S962" i="5"/>
  <c r="T962" i="5"/>
  <c r="U962" i="5"/>
  <c r="W962" i="5"/>
  <c r="X962" i="5"/>
  <c r="Y962" i="5"/>
  <c r="Z962" i="5"/>
  <c r="AA962" i="5"/>
  <c r="I963" i="5"/>
  <c r="J963" i="5"/>
  <c r="M963" i="5"/>
  <c r="O963" i="5"/>
  <c r="P963" i="5"/>
  <c r="Q963" i="5"/>
  <c r="R963" i="5"/>
  <c r="S963" i="5"/>
  <c r="T963" i="5"/>
  <c r="U963" i="5"/>
  <c r="W963" i="5"/>
  <c r="X963" i="5"/>
  <c r="Y963" i="5"/>
  <c r="Z963" i="5"/>
  <c r="AA963" i="5"/>
  <c r="I964" i="5"/>
  <c r="J964" i="5"/>
  <c r="M964" i="5"/>
  <c r="O964" i="5"/>
  <c r="P964" i="5"/>
  <c r="Q964" i="5"/>
  <c r="R964" i="5"/>
  <c r="S964" i="5"/>
  <c r="T964" i="5"/>
  <c r="U964" i="5"/>
  <c r="W964" i="5"/>
  <c r="X964" i="5"/>
  <c r="Y964" i="5"/>
  <c r="Z964" i="5"/>
  <c r="AA964" i="5"/>
  <c r="I965" i="5"/>
  <c r="J965" i="5"/>
  <c r="M965" i="5"/>
  <c r="O965" i="5"/>
  <c r="P965" i="5"/>
  <c r="Q965" i="5"/>
  <c r="R965" i="5"/>
  <c r="S965" i="5"/>
  <c r="T965" i="5"/>
  <c r="U965" i="5"/>
  <c r="W965" i="5"/>
  <c r="X965" i="5"/>
  <c r="Y965" i="5"/>
  <c r="Z965" i="5"/>
  <c r="AA965" i="5"/>
  <c r="I966" i="5"/>
  <c r="J966" i="5"/>
  <c r="M966" i="5"/>
  <c r="O966" i="5"/>
  <c r="P966" i="5"/>
  <c r="Q966" i="5"/>
  <c r="R966" i="5"/>
  <c r="S966" i="5"/>
  <c r="T966" i="5"/>
  <c r="U966" i="5"/>
  <c r="W966" i="5"/>
  <c r="X966" i="5"/>
  <c r="Y966" i="5"/>
  <c r="Z966" i="5"/>
  <c r="AA966" i="5"/>
  <c r="I967" i="5"/>
  <c r="J967" i="5"/>
  <c r="M967" i="5"/>
  <c r="O967" i="5"/>
  <c r="P967" i="5"/>
  <c r="Q967" i="5"/>
  <c r="R967" i="5"/>
  <c r="S967" i="5"/>
  <c r="T967" i="5"/>
  <c r="U967" i="5"/>
  <c r="W967" i="5"/>
  <c r="X967" i="5"/>
  <c r="Y967" i="5"/>
  <c r="Z967" i="5"/>
  <c r="AA967" i="5"/>
  <c r="I968" i="5"/>
  <c r="J968" i="5"/>
  <c r="M968" i="5"/>
  <c r="O968" i="5"/>
  <c r="P968" i="5"/>
  <c r="Q968" i="5"/>
  <c r="R968" i="5"/>
  <c r="S968" i="5"/>
  <c r="T968" i="5"/>
  <c r="U968" i="5"/>
  <c r="W968" i="5"/>
  <c r="X968" i="5"/>
  <c r="Y968" i="5"/>
  <c r="Z968" i="5"/>
  <c r="AA968" i="5"/>
  <c r="I969" i="5"/>
  <c r="J969" i="5"/>
  <c r="M969" i="5"/>
  <c r="O969" i="5"/>
  <c r="P969" i="5"/>
  <c r="Q969" i="5"/>
  <c r="R969" i="5"/>
  <c r="S969" i="5"/>
  <c r="T969" i="5"/>
  <c r="U969" i="5"/>
  <c r="W969" i="5"/>
  <c r="X969" i="5"/>
  <c r="Y969" i="5"/>
  <c r="Z969" i="5"/>
  <c r="AA969" i="5"/>
  <c r="I970" i="5"/>
  <c r="J970" i="5"/>
  <c r="M970" i="5"/>
  <c r="O970" i="5"/>
  <c r="P970" i="5"/>
  <c r="Q970" i="5"/>
  <c r="R970" i="5"/>
  <c r="S970" i="5"/>
  <c r="T970" i="5"/>
  <c r="U970" i="5"/>
  <c r="W970" i="5"/>
  <c r="X970" i="5"/>
  <c r="Y970" i="5"/>
  <c r="Z970" i="5"/>
  <c r="AA970" i="5"/>
  <c r="I971" i="5"/>
  <c r="J971" i="5"/>
  <c r="M971" i="5"/>
  <c r="O971" i="5"/>
  <c r="P971" i="5"/>
  <c r="Q971" i="5"/>
  <c r="R971" i="5"/>
  <c r="S971" i="5"/>
  <c r="T971" i="5"/>
  <c r="U971" i="5"/>
  <c r="W971" i="5"/>
  <c r="X971" i="5"/>
  <c r="Y971" i="5"/>
  <c r="Z971" i="5"/>
  <c r="AA971" i="5"/>
  <c r="I972" i="5"/>
  <c r="J972" i="5"/>
  <c r="M972" i="5"/>
  <c r="O972" i="5"/>
  <c r="P972" i="5"/>
  <c r="Q972" i="5"/>
  <c r="R972" i="5"/>
  <c r="S972" i="5"/>
  <c r="T972" i="5"/>
  <c r="U972" i="5"/>
  <c r="W972" i="5"/>
  <c r="X972" i="5"/>
  <c r="Y972" i="5"/>
  <c r="Z972" i="5"/>
  <c r="AA972" i="5"/>
  <c r="I973" i="5"/>
  <c r="J973" i="5"/>
  <c r="M973" i="5"/>
  <c r="O973" i="5"/>
  <c r="P973" i="5"/>
  <c r="Q973" i="5"/>
  <c r="R973" i="5"/>
  <c r="S973" i="5"/>
  <c r="T973" i="5"/>
  <c r="U973" i="5"/>
  <c r="W973" i="5"/>
  <c r="X973" i="5"/>
  <c r="Y973" i="5"/>
  <c r="Z973" i="5"/>
  <c r="AA973" i="5"/>
  <c r="I974" i="5"/>
  <c r="J974" i="5"/>
  <c r="M974" i="5"/>
  <c r="O974" i="5"/>
  <c r="P974" i="5"/>
  <c r="Q974" i="5"/>
  <c r="R974" i="5"/>
  <c r="S974" i="5"/>
  <c r="T974" i="5"/>
  <c r="U974" i="5"/>
  <c r="W974" i="5"/>
  <c r="X974" i="5"/>
  <c r="Y974" i="5"/>
  <c r="Z974" i="5"/>
  <c r="AA974" i="5"/>
  <c r="I975" i="5"/>
  <c r="J975" i="5"/>
  <c r="M975" i="5"/>
  <c r="O975" i="5"/>
  <c r="P975" i="5"/>
  <c r="Q975" i="5"/>
  <c r="R975" i="5"/>
  <c r="S975" i="5"/>
  <c r="T975" i="5"/>
  <c r="U975" i="5"/>
  <c r="W975" i="5"/>
  <c r="X975" i="5"/>
  <c r="Y975" i="5"/>
  <c r="Z975" i="5"/>
  <c r="AA975" i="5"/>
  <c r="I976" i="5"/>
  <c r="J976" i="5"/>
  <c r="M976" i="5"/>
  <c r="O976" i="5"/>
  <c r="P976" i="5"/>
  <c r="Q976" i="5"/>
  <c r="R976" i="5"/>
  <c r="S976" i="5"/>
  <c r="T976" i="5"/>
  <c r="U976" i="5"/>
  <c r="W976" i="5"/>
  <c r="X976" i="5"/>
  <c r="Y976" i="5"/>
  <c r="Z976" i="5"/>
  <c r="AA976" i="5"/>
  <c r="I977" i="5"/>
  <c r="J977" i="5"/>
  <c r="M977" i="5"/>
  <c r="O977" i="5"/>
  <c r="P977" i="5"/>
  <c r="Q977" i="5"/>
  <c r="R977" i="5"/>
  <c r="S977" i="5"/>
  <c r="T977" i="5"/>
  <c r="U977" i="5"/>
  <c r="W977" i="5"/>
  <c r="X977" i="5"/>
  <c r="Y977" i="5"/>
  <c r="Z977" i="5"/>
  <c r="AA977" i="5"/>
  <c r="I978" i="5"/>
  <c r="J978" i="5"/>
  <c r="M978" i="5"/>
  <c r="O978" i="5"/>
  <c r="P978" i="5"/>
  <c r="Q978" i="5"/>
  <c r="R978" i="5"/>
  <c r="S978" i="5"/>
  <c r="T978" i="5"/>
  <c r="U978" i="5"/>
  <c r="W978" i="5"/>
  <c r="X978" i="5"/>
  <c r="Y978" i="5"/>
  <c r="Z978" i="5"/>
  <c r="AA978" i="5"/>
  <c r="I979" i="5"/>
  <c r="J979" i="5"/>
  <c r="M979" i="5"/>
  <c r="O979" i="5"/>
  <c r="P979" i="5"/>
  <c r="Q979" i="5"/>
  <c r="R979" i="5"/>
  <c r="S979" i="5"/>
  <c r="T979" i="5"/>
  <c r="U979" i="5"/>
  <c r="W979" i="5"/>
  <c r="X979" i="5"/>
  <c r="Y979" i="5"/>
  <c r="Z979" i="5"/>
  <c r="AA979" i="5"/>
  <c r="I980" i="5"/>
  <c r="J980" i="5"/>
  <c r="M980" i="5"/>
  <c r="O980" i="5"/>
  <c r="P980" i="5"/>
  <c r="Q980" i="5"/>
  <c r="R980" i="5"/>
  <c r="S980" i="5"/>
  <c r="T980" i="5"/>
  <c r="U980" i="5"/>
  <c r="W980" i="5"/>
  <c r="X980" i="5"/>
  <c r="Y980" i="5"/>
  <c r="Z980" i="5"/>
  <c r="AA980" i="5"/>
  <c r="I981" i="5"/>
  <c r="J981" i="5"/>
  <c r="M981" i="5"/>
  <c r="O981" i="5"/>
  <c r="P981" i="5"/>
  <c r="Q981" i="5"/>
  <c r="R981" i="5"/>
  <c r="S981" i="5"/>
  <c r="T981" i="5"/>
  <c r="U981" i="5"/>
  <c r="W981" i="5"/>
  <c r="X981" i="5"/>
  <c r="Y981" i="5"/>
  <c r="Z981" i="5"/>
  <c r="AA981" i="5"/>
  <c r="I982" i="5"/>
  <c r="J982" i="5"/>
  <c r="M982" i="5"/>
  <c r="O982" i="5"/>
  <c r="P982" i="5"/>
  <c r="Q982" i="5"/>
  <c r="R982" i="5"/>
  <c r="S982" i="5"/>
  <c r="T982" i="5"/>
  <c r="U982" i="5"/>
  <c r="W982" i="5"/>
  <c r="X982" i="5"/>
  <c r="Y982" i="5"/>
  <c r="Z982" i="5"/>
  <c r="AA982" i="5"/>
  <c r="I983" i="5"/>
  <c r="J983" i="5"/>
  <c r="M983" i="5"/>
  <c r="O983" i="5"/>
  <c r="P983" i="5"/>
  <c r="Q983" i="5"/>
  <c r="R983" i="5"/>
  <c r="S983" i="5"/>
  <c r="T983" i="5"/>
  <c r="U983" i="5"/>
  <c r="W983" i="5"/>
  <c r="X983" i="5"/>
  <c r="Y983" i="5"/>
  <c r="Z983" i="5"/>
  <c r="AA983" i="5"/>
  <c r="I984" i="5"/>
  <c r="J984" i="5"/>
  <c r="M984" i="5"/>
  <c r="O984" i="5"/>
  <c r="P984" i="5"/>
  <c r="Q984" i="5"/>
  <c r="R984" i="5"/>
  <c r="S984" i="5"/>
  <c r="T984" i="5"/>
  <c r="U984" i="5"/>
  <c r="W984" i="5"/>
  <c r="X984" i="5"/>
  <c r="Y984" i="5"/>
  <c r="Z984" i="5"/>
  <c r="AA984" i="5"/>
  <c r="I985" i="5"/>
  <c r="J985" i="5"/>
  <c r="M985" i="5"/>
  <c r="O985" i="5"/>
  <c r="P985" i="5"/>
  <c r="Q985" i="5"/>
  <c r="R985" i="5"/>
  <c r="S985" i="5"/>
  <c r="T985" i="5"/>
  <c r="U985" i="5"/>
  <c r="W985" i="5"/>
  <c r="X985" i="5"/>
  <c r="Y985" i="5"/>
  <c r="Z985" i="5"/>
  <c r="AA985" i="5"/>
  <c r="I986" i="5"/>
  <c r="J986" i="5"/>
  <c r="M986" i="5"/>
  <c r="O986" i="5"/>
  <c r="P986" i="5"/>
  <c r="Q986" i="5"/>
  <c r="R986" i="5"/>
  <c r="S986" i="5"/>
  <c r="T986" i="5"/>
  <c r="U986" i="5"/>
  <c r="W986" i="5"/>
  <c r="X986" i="5"/>
  <c r="Y986" i="5"/>
  <c r="Z986" i="5"/>
  <c r="AA986" i="5"/>
  <c r="I987" i="5"/>
  <c r="J987" i="5"/>
  <c r="M987" i="5"/>
  <c r="O987" i="5"/>
  <c r="P987" i="5"/>
  <c r="Q987" i="5"/>
  <c r="R987" i="5"/>
  <c r="S987" i="5"/>
  <c r="T987" i="5"/>
  <c r="U987" i="5"/>
  <c r="W987" i="5"/>
  <c r="X987" i="5"/>
  <c r="Y987" i="5"/>
  <c r="Z987" i="5"/>
  <c r="AA987" i="5"/>
  <c r="I988" i="5"/>
  <c r="J988" i="5"/>
  <c r="M988" i="5"/>
  <c r="O988" i="5"/>
  <c r="P988" i="5"/>
  <c r="Q988" i="5"/>
  <c r="R988" i="5"/>
  <c r="S988" i="5"/>
  <c r="T988" i="5"/>
  <c r="U988" i="5"/>
  <c r="W988" i="5"/>
  <c r="X988" i="5"/>
  <c r="Y988" i="5"/>
  <c r="Z988" i="5"/>
  <c r="AA988" i="5"/>
  <c r="I989" i="5"/>
  <c r="J989" i="5"/>
  <c r="M989" i="5"/>
  <c r="O989" i="5"/>
  <c r="P989" i="5"/>
  <c r="Q989" i="5"/>
  <c r="R989" i="5"/>
  <c r="S989" i="5"/>
  <c r="T989" i="5"/>
  <c r="U989" i="5"/>
  <c r="W989" i="5"/>
  <c r="X989" i="5"/>
  <c r="Y989" i="5"/>
  <c r="Z989" i="5"/>
  <c r="AA989" i="5"/>
  <c r="I990" i="5"/>
  <c r="J990" i="5"/>
  <c r="M990" i="5"/>
  <c r="O990" i="5"/>
  <c r="P990" i="5"/>
  <c r="Q990" i="5"/>
  <c r="R990" i="5"/>
  <c r="S990" i="5"/>
  <c r="T990" i="5"/>
  <c r="U990" i="5"/>
  <c r="W990" i="5"/>
  <c r="X990" i="5"/>
  <c r="Y990" i="5"/>
  <c r="Z990" i="5"/>
  <c r="AA990" i="5"/>
  <c r="I991" i="5"/>
  <c r="J991" i="5"/>
  <c r="M991" i="5"/>
  <c r="O991" i="5"/>
  <c r="P991" i="5"/>
  <c r="Q991" i="5"/>
  <c r="R991" i="5"/>
  <c r="S991" i="5"/>
  <c r="T991" i="5"/>
  <c r="U991" i="5"/>
  <c r="W991" i="5"/>
  <c r="X991" i="5"/>
  <c r="Y991" i="5"/>
  <c r="Z991" i="5"/>
  <c r="AA991" i="5"/>
  <c r="I992" i="5"/>
  <c r="J992" i="5"/>
  <c r="M992" i="5"/>
  <c r="O992" i="5"/>
  <c r="P992" i="5"/>
  <c r="Q992" i="5"/>
  <c r="R992" i="5"/>
  <c r="S992" i="5"/>
  <c r="T992" i="5"/>
  <c r="U992" i="5"/>
  <c r="W992" i="5"/>
  <c r="X992" i="5"/>
  <c r="Y992" i="5"/>
  <c r="Z992" i="5"/>
  <c r="AA992" i="5"/>
  <c r="I993" i="5"/>
  <c r="J993" i="5"/>
  <c r="M993" i="5"/>
  <c r="O993" i="5"/>
  <c r="P993" i="5"/>
  <c r="Q993" i="5"/>
  <c r="R993" i="5"/>
  <c r="S993" i="5"/>
  <c r="T993" i="5"/>
  <c r="U993" i="5"/>
  <c r="W993" i="5"/>
  <c r="X993" i="5"/>
  <c r="Y993" i="5"/>
  <c r="Z993" i="5"/>
  <c r="AA993" i="5"/>
  <c r="I994" i="5"/>
  <c r="J994" i="5"/>
  <c r="M994" i="5"/>
  <c r="O994" i="5"/>
  <c r="P994" i="5"/>
  <c r="Q994" i="5"/>
  <c r="R994" i="5"/>
  <c r="S994" i="5"/>
  <c r="T994" i="5"/>
  <c r="U994" i="5"/>
  <c r="W994" i="5"/>
  <c r="X994" i="5"/>
  <c r="Y994" i="5"/>
  <c r="Z994" i="5"/>
  <c r="AA994" i="5"/>
  <c r="I995" i="5"/>
  <c r="J995" i="5"/>
  <c r="M995" i="5"/>
  <c r="O995" i="5"/>
  <c r="P995" i="5"/>
  <c r="Q995" i="5"/>
  <c r="R995" i="5"/>
  <c r="S995" i="5"/>
  <c r="T995" i="5"/>
  <c r="U995" i="5"/>
  <c r="W995" i="5"/>
  <c r="X995" i="5"/>
  <c r="Y995" i="5"/>
  <c r="Z995" i="5"/>
  <c r="AA995" i="5"/>
  <c r="I996" i="5"/>
  <c r="J996" i="5"/>
  <c r="M996" i="5"/>
  <c r="O996" i="5"/>
  <c r="P996" i="5"/>
  <c r="Q996" i="5"/>
  <c r="R996" i="5"/>
  <c r="S996" i="5"/>
  <c r="T996" i="5"/>
  <c r="U996" i="5"/>
  <c r="W996" i="5"/>
  <c r="X996" i="5"/>
  <c r="Y996" i="5"/>
  <c r="Z996" i="5"/>
  <c r="AA996" i="5"/>
  <c r="I997" i="5"/>
  <c r="J997" i="5"/>
  <c r="M997" i="5"/>
  <c r="O997" i="5"/>
  <c r="P997" i="5"/>
  <c r="Q997" i="5"/>
  <c r="R997" i="5"/>
  <c r="S997" i="5"/>
  <c r="T997" i="5"/>
  <c r="U997" i="5"/>
  <c r="W997" i="5"/>
  <c r="X997" i="5"/>
  <c r="Y997" i="5"/>
  <c r="Z997" i="5"/>
  <c r="AA997" i="5"/>
  <c r="I998" i="5"/>
  <c r="J998" i="5"/>
  <c r="M998" i="5"/>
  <c r="O998" i="5"/>
  <c r="P998" i="5"/>
  <c r="Q998" i="5"/>
  <c r="R998" i="5"/>
  <c r="S998" i="5"/>
  <c r="T998" i="5"/>
  <c r="U998" i="5"/>
  <c r="W998" i="5"/>
  <c r="X998" i="5"/>
  <c r="Y998" i="5"/>
  <c r="Z998" i="5"/>
  <c r="AA998" i="5"/>
  <c r="I999" i="5"/>
  <c r="J999" i="5"/>
  <c r="M999" i="5"/>
  <c r="O999" i="5"/>
  <c r="P999" i="5"/>
  <c r="Q999" i="5"/>
  <c r="R999" i="5"/>
  <c r="S999" i="5"/>
  <c r="T999" i="5"/>
  <c r="U999" i="5"/>
  <c r="W999" i="5"/>
  <c r="X999" i="5"/>
  <c r="Y999" i="5"/>
  <c r="Z999" i="5"/>
  <c r="AA999" i="5"/>
  <c r="I1000" i="5"/>
  <c r="J1000" i="5"/>
  <c r="M1000" i="5"/>
  <c r="O1000" i="5"/>
  <c r="P1000" i="5"/>
  <c r="Q1000" i="5"/>
  <c r="R1000" i="5"/>
  <c r="S1000" i="5"/>
  <c r="T1000" i="5"/>
  <c r="U1000" i="5"/>
  <c r="W1000" i="5"/>
  <c r="X1000" i="5"/>
  <c r="Y1000" i="5"/>
  <c r="Z1000" i="5"/>
  <c r="AA1000" i="5"/>
  <c r="I1001" i="5"/>
  <c r="J1001" i="5"/>
  <c r="M1001" i="5"/>
  <c r="O1001" i="5"/>
  <c r="P1001" i="5"/>
  <c r="Q1001" i="5"/>
  <c r="R1001" i="5"/>
  <c r="S1001" i="5"/>
  <c r="T1001" i="5"/>
  <c r="U1001" i="5"/>
  <c r="W1001" i="5"/>
  <c r="X1001" i="5"/>
  <c r="Y1001" i="5"/>
  <c r="Z1001" i="5"/>
  <c r="AA1001" i="5"/>
  <c r="I1002" i="5"/>
  <c r="J1002" i="5"/>
  <c r="M1002" i="5"/>
  <c r="O1002" i="5"/>
  <c r="P1002" i="5"/>
  <c r="Q1002" i="5"/>
  <c r="R1002" i="5"/>
  <c r="S1002" i="5"/>
  <c r="T1002" i="5"/>
  <c r="U1002" i="5"/>
  <c r="W1002" i="5"/>
  <c r="X1002" i="5"/>
  <c r="Y1002" i="5"/>
  <c r="Z1002" i="5"/>
  <c r="AA1002" i="5"/>
  <c r="I1003" i="5"/>
  <c r="J1003" i="5"/>
  <c r="M1003" i="5"/>
  <c r="O1003" i="5"/>
  <c r="P1003" i="5"/>
  <c r="Q1003" i="5"/>
  <c r="R1003" i="5"/>
  <c r="S1003" i="5"/>
  <c r="T1003" i="5"/>
  <c r="U1003" i="5"/>
  <c r="W1003" i="5"/>
  <c r="X1003" i="5"/>
  <c r="Y1003" i="5"/>
  <c r="Z1003" i="5"/>
  <c r="AA1003" i="5"/>
  <c r="I1004" i="5"/>
  <c r="J1004" i="5"/>
  <c r="M1004" i="5"/>
  <c r="O1004" i="5"/>
  <c r="P1004" i="5"/>
  <c r="Q1004" i="5"/>
  <c r="R1004" i="5"/>
  <c r="S1004" i="5"/>
  <c r="T1004" i="5"/>
  <c r="U1004" i="5"/>
  <c r="W1004" i="5"/>
  <c r="X1004" i="5"/>
  <c r="Y1004" i="5"/>
  <c r="Z1004" i="5"/>
  <c r="AA1004" i="5"/>
  <c r="I1005" i="5"/>
  <c r="J1005" i="5"/>
  <c r="M1005" i="5"/>
  <c r="O1005" i="5"/>
  <c r="P1005" i="5"/>
  <c r="Q1005" i="5"/>
  <c r="R1005" i="5"/>
  <c r="S1005" i="5"/>
  <c r="T1005" i="5"/>
  <c r="U1005" i="5"/>
  <c r="W1005" i="5"/>
  <c r="X1005" i="5"/>
  <c r="Y1005" i="5"/>
  <c r="Z1005" i="5"/>
  <c r="AA1005" i="5"/>
  <c r="I1006" i="5"/>
  <c r="J1006" i="5"/>
  <c r="M1006" i="5"/>
  <c r="O1006" i="5"/>
  <c r="P1006" i="5"/>
  <c r="Q1006" i="5"/>
  <c r="R1006" i="5"/>
  <c r="S1006" i="5"/>
  <c r="T1006" i="5"/>
  <c r="U1006" i="5"/>
  <c r="W1006" i="5"/>
  <c r="X1006" i="5"/>
  <c r="Y1006" i="5"/>
  <c r="Z1006" i="5"/>
  <c r="AA1006" i="5"/>
  <c r="I1007" i="5"/>
  <c r="J1007" i="5"/>
  <c r="M1007" i="5"/>
  <c r="O1007" i="5"/>
  <c r="P1007" i="5"/>
  <c r="Q1007" i="5"/>
  <c r="R1007" i="5"/>
  <c r="S1007" i="5"/>
  <c r="T1007" i="5"/>
  <c r="U1007" i="5"/>
  <c r="W1007" i="5"/>
  <c r="X1007" i="5"/>
  <c r="Y1007" i="5"/>
  <c r="Z1007" i="5"/>
  <c r="AA1007" i="5"/>
  <c r="I1008" i="5"/>
  <c r="J1008" i="5"/>
  <c r="M1008" i="5"/>
  <c r="O1008" i="5"/>
  <c r="P1008" i="5"/>
  <c r="Q1008" i="5"/>
  <c r="R1008" i="5"/>
  <c r="S1008" i="5"/>
  <c r="T1008" i="5"/>
  <c r="U1008" i="5"/>
  <c r="W1008" i="5"/>
  <c r="X1008" i="5"/>
  <c r="Y1008" i="5"/>
  <c r="Z1008" i="5"/>
  <c r="AA1008" i="5"/>
  <c r="I1009" i="5"/>
  <c r="J1009" i="5"/>
  <c r="M1009" i="5"/>
  <c r="O1009" i="5"/>
  <c r="P1009" i="5"/>
  <c r="Q1009" i="5"/>
  <c r="R1009" i="5"/>
  <c r="S1009" i="5"/>
  <c r="T1009" i="5"/>
  <c r="U1009" i="5"/>
  <c r="W1009" i="5"/>
  <c r="X1009" i="5"/>
  <c r="Y1009" i="5"/>
  <c r="Z1009" i="5"/>
  <c r="AA1009" i="5"/>
  <c r="I1010" i="5"/>
  <c r="J1010" i="5"/>
  <c r="M1010" i="5"/>
  <c r="O1010" i="5"/>
  <c r="P1010" i="5"/>
  <c r="Q1010" i="5"/>
  <c r="R1010" i="5"/>
  <c r="S1010" i="5"/>
  <c r="T1010" i="5"/>
  <c r="U1010" i="5"/>
  <c r="W1010" i="5"/>
  <c r="X1010" i="5"/>
  <c r="Y1010" i="5"/>
  <c r="Z1010" i="5"/>
  <c r="AA1010" i="5"/>
  <c r="I1011" i="5"/>
  <c r="J1011" i="5"/>
  <c r="M1011" i="5"/>
  <c r="O1011" i="5"/>
  <c r="P1011" i="5"/>
  <c r="Q1011" i="5"/>
  <c r="R1011" i="5"/>
  <c r="S1011" i="5"/>
  <c r="T1011" i="5"/>
  <c r="U1011" i="5"/>
  <c r="W1011" i="5"/>
  <c r="X1011" i="5"/>
  <c r="Y1011" i="5"/>
  <c r="Z1011" i="5"/>
  <c r="AA1011" i="5"/>
  <c r="I1012" i="5"/>
  <c r="J1012" i="5"/>
  <c r="M1012" i="5"/>
  <c r="O1012" i="5"/>
  <c r="P1012" i="5"/>
  <c r="Q1012" i="5"/>
  <c r="R1012" i="5"/>
  <c r="S1012" i="5"/>
  <c r="T1012" i="5"/>
  <c r="U1012" i="5"/>
  <c r="W1012" i="5"/>
  <c r="X1012" i="5"/>
  <c r="Y1012" i="5"/>
  <c r="Z1012" i="5"/>
  <c r="AA1012" i="5"/>
  <c r="I1013" i="5"/>
  <c r="J1013" i="5"/>
  <c r="M1013" i="5"/>
  <c r="O1013" i="5"/>
  <c r="P1013" i="5"/>
  <c r="Q1013" i="5"/>
  <c r="R1013" i="5"/>
  <c r="S1013" i="5"/>
  <c r="T1013" i="5"/>
  <c r="U1013" i="5"/>
  <c r="W1013" i="5"/>
  <c r="X1013" i="5"/>
  <c r="Y1013" i="5"/>
  <c r="Z1013" i="5"/>
  <c r="AA1013" i="5"/>
  <c r="I1014" i="5"/>
  <c r="J1014" i="5"/>
  <c r="M1014" i="5"/>
  <c r="O1014" i="5"/>
  <c r="P1014" i="5"/>
  <c r="Q1014" i="5"/>
  <c r="R1014" i="5"/>
  <c r="S1014" i="5"/>
  <c r="T1014" i="5"/>
  <c r="U1014" i="5"/>
  <c r="W1014" i="5"/>
  <c r="X1014" i="5"/>
  <c r="Y1014" i="5"/>
  <c r="Z1014" i="5"/>
  <c r="AA1014" i="5"/>
  <c r="I1015" i="5"/>
  <c r="J1015" i="5"/>
  <c r="M1015" i="5"/>
  <c r="O1015" i="5"/>
  <c r="P1015" i="5"/>
  <c r="Q1015" i="5"/>
  <c r="R1015" i="5"/>
  <c r="S1015" i="5"/>
  <c r="T1015" i="5"/>
  <c r="U1015" i="5"/>
  <c r="W1015" i="5"/>
  <c r="X1015" i="5"/>
  <c r="Y1015" i="5"/>
  <c r="Z1015" i="5"/>
  <c r="AA1015" i="5"/>
  <c r="I1016" i="5"/>
  <c r="J1016" i="5"/>
  <c r="M1016" i="5"/>
  <c r="O1016" i="5"/>
  <c r="P1016" i="5"/>
  <c r="Q1016" i="5"/>
  <c r="R1016" i="5"/>
  <c r="S1016" i="5"/>
  <c r="T1016" i="5"/>
  <c r="U1016" i="5"/>
  <c r="W1016" i="5"/>
  <c r="X1016" i="5"/>
  <c r="Y1016" i="5"/>
  <c r="Z1016" i="5"/>
  <c r="AA1016" i="5"/>
  <c r="I1017" i="5"/>
  <c r="J1017" i="5"/>
  <c r="M1017" i="5"/>
  <c r="O1017" i="5"/>
  <c r="P1017" i="5"/>
  <c r="Q1017" i="5"/>
  <c r="R1017" i="5"/>
  <c r="S1017" i="5"/>
  <c r="T1017" i="5"/>
  <c r="U1017" i="5"/>
  <c r="W1017" i="5"/>
  <c r="X1017" i="5"/>
  <c r="Y1017" i="5"/>
  <c r="Z1017" i="5"/>
  <c r="AA1017" i="5"/>
  <c r="I1018" i="5"/>
  <c r="J1018" i="5"/>
  <c r="M1018" i="5"/>
  <c r="O1018" i="5"/>
  <c r="P1018" i="5"/>
  <c r="Q1018" i="5"/>
  <c r="R1018" i="5"/>
  <c r="S1018" i="5"/>
  <c r="T1018" i="5"/>
  <c r="U1018" i="5"/>
  <c r="W1018" i="5"/>
  <c r="X1018" i="5"/>
  <c r="Y1018" i="5"/>
  <c r="Z1018" i="5"/>
  <c r="AA1018" i="5"/>
  <c r="I1019" i="5"/>
  <c r="J1019" i="5"/>
  <c r="M1019" i="5"/>
  <c r="O1019" i="5"/>
  <c r="P1019" i="5"/>
  <c r="Q1019" i="5"/>
  <c r="R1019" i="5"/>
  <c r="S1019" i="5"/>
  <c r="T1019" i="5"/>
  <c r="U1019" i="5"/>
  <c r="W1019" i="5"/>
  <c r="X1019" i="5"/>
  <c r="Y1019" i="5"/>
  <c r="Z1019" i="5"/>
  <c r="AA1019" i="5"/>
  <c r="I1020" i="5"/>
  <c r="J1020" i="5"/>
  <c r="M1020" i="5"/>
  <c r="O1020" i="5"/>
  <c r="P1020" i="5"/>
  <c r="Q1020" i="5"/>
  <c r="R1020" i="5"/>
  <c r="S1020" i="5"/>
  <c r="T1020" i="5"/>
  <c r="U1020" i="5"/>
  <c r="W1020" i="5"/>
  <c r="X1020" i="5"/>
  <c r="Y1020" i="5"/>
  <c r="Z1020" i="5"/>
  <c r="AA1020" i="5"/>
  <c r="I1021" i="5"/>
  <c r="J1021" i="5"/>
  <c r="M1021" i="5"/>
  <c r="O1021" i="5"/>
  <c r="P1021" i="5"/>
  <c r="Q1021" i="5"/>
  <c r="R1021" i="5"/>
  <c r="S1021" i="5"/>
  <c r="T1021" i="5"/>
  <c r="U1021" i="5"/>
  <c r="W1021" i="5"/>
  <c r="X1021" i="5"/>
  <c r="Y1021" i="5"/>
  <c r="Z1021" i="5"/>
  <c r="AA1021" i="5"/>
  <c r="I1022" i="5"/>
  <c r="J1022" i="5"/>
  <c r="M1022" i="5"/>
  <c r="O1022" i="5"/>
  <c r="P1022" i="5"/>
  <c r="Q1022" i="5"/>
  <c r="R1022" i="5"/>
  <c r="S1022" i="5"/>
  <c r="T1022" i="5"/>
  <c r="U1022" i="5"/>
  <c r="W1022" i="5"/>
  <c r="X1022" i="5"/>
  <c r="Y1022" i="5"/>
  <c r="Z1022" i="5"/>
  <c r="AA1022" i="5"/>
  <c r="I1023" i="5"/>
  <c r="J1023" i="5"/>
  <c r="M1023" i="5"/>
  <c r="O1023" i="5"/>
  <c r="P1023" i="5"/>
  <c r="Q1023" i="5"/>
  <c r="R1023" i="5"/>
  <c r="S1023" i="5"/>
  <c r="T1023" i="5"/>
  <c r="U1023" i="5"/>
  <c r="W1023" i="5"/>
  <c r="X1023" i="5"/>
  <c r="Y1023" i="5"/>
  <c r="Z1023" i="5"/>
  <c r="AA1023" i="5"/>
  <c r="I1024" i="5"/>
  <c r="J1024" i="5"/>
  <c r="M1024" i="5"/>
  <c r="O1024" i="5"/>
  <c r="P1024" i="5"/>
  <c r="Q1024" i="5"/>
  <c r="R1024" i="5"/>
  <c r="S1024" i="5"/>
  <c r="T1024" i="5"/>
  <c r="U1024" i="5"/>
  <c r="W1024" i="5"/>
  <c r="X1024" i="5"/>
  <c r="Y1024" i="5"/>
  <c r="Z1024" i="5"/>
  <c r="AA1024" i="5"/>
  <c r="I1025" i="5"/>
  <c r="J1025" i="5"/>
  <c r="M1025" i="5"/>
  <c r="O1025" i="5"/>
  <c r="P1025" i="5"/>
  <c r="Q1025" i="5"/>
  <c r="R1025" i="5"/>
  <c r="S1025" i="5"/>
  <c r="T1025" i="5"/>
  <c r="U1025" i="5"/>
  <c r="W1025" i="5"/>
  <c r="X1025" i="5"/>
  <c r="Y1025" i="5"/>
  <c r="Z1025" i="5"/>
  <c r="AA1025" i="5"/>
  <c r="I1026" i="5"/>
  <c r="J1026" i="5"/>
  <c r="M1026" i="5"/>
  <c r="O1026" i="5"/>
  <c r="P1026" i="5"/>
  <c r="Q1026" i="5"/>
  <c r="R1026" i="5"/>
  <c r="S1026" i="5"/>
  <c r="T1026" i="5"/>
  <c r="U1026" i="5"/>
  <c r="W1026" i="5"/>
  <c r="X1026" i="5"/>
  <c r="Y1026" i="5"/>
  <c r="Z1026" i="5"/>
  <c r="AA1026" i="5"/>
  <c r="I1027" i="5"/>
  <c r="J1027" i="5"/>
  <c r="M1027" i="5"/>
  <c r="O1027" i="5"/>
  <c r="P1027" i="5"/>
  <c r="Q1027" i="5"/>
  <c r="R1027" i="5"/>
  <c r="S1027" i="5"/>
  <c r="T1027" i="5"/>
  <c r="U1027" i="5"/>
  <c r="W1027" i="5"/>
  <c r="X1027" i="5"/>
  <c r="Y1027" i="5"/>
  <c r="Z1027" i="5"/>
  <c r="AA1027" i="5"/>
  <c r="I1028" i="5"/>
  <c r="J1028" i="5"/>
  <c r="M1028" i="5"/>
  <c r="O1028" i="5"/>
  <c r="P1028" i="5"/>
  <c r="Q1028" i="5"/>
  <c r="R1028" i="5"/>
  <c r="S1028" i="5"/>
  <c r="T1028" i="5"/>
  <c r="U1028" i="5"/>
  <c r="W1028" i="5"/>
  <c r="X1028" i="5"/>
  <c r="Y1028" i="5"/>
  <c r="Z1028" i="5"/>
  <c r="AA1028" i="5"/>
  <c r="I1029" i="5"/>
  <c r="J1029" i="5"/>
  <c r="M1029" i="5"/>
  <c r="O1029" i="5"/>
  <c r="P1029" i="5"/>
  <c r="Q1029" i="5"/>
  <c r="R1029" i="5"/>
  <c r="S1029" i="5"/>
  <c r="T1029" i="5"/>
  <c r="U1029" i="5"/>
  <c r="W1029" i="5"/>
  <c r="X1029" i="5"/>
  <c r="Y1029" i="5"/>
  <c r="Z1029" i="5"/>
  <c r="AA1029" i="5"/>
  <c r="I1030" i="5"/>
  <c r="J1030" i="5"/>
  <c r="M1030" i="5"/>
  <c r="O1030" i="5"/>
  <c r="P1030" i="5"/>
  <c r="Q1030" i="5"/>
  <c r="R1030" i="5"/>
  <c r="S1030" i="5"/>
  <c r="T1030" i="5"/>
  <c r="U1030" i="5"/>
  <c r="W1030" i="5"/>
  <c r="X1030" i="5"/>
  <c r="Y1030" i="5"/>
  <c r="Z1030" i="5"/>
  <c r="AA1030" i="5"/>
  <c r="I1031" i="5"/>
  <c r="J1031" i="5"/>
  <c r="M1031" i="5"/>
  <c r="O1031" i="5"/>
  <c r="P1031" i="5"/>
  <c r="Q1031" i="5"/>
  <c r="R1031" i="5"/>
  <c r="S1031" i="5"/>
  <c r="T1031" i="5"/>
  <c r="U1031" i="5"/>
  <c r="W1031" i="5"/>
  <c r="X1031" i="5"/>
  <c r="Y1031" i="5"/>
  <c r="Z1031" i="5"/>
  <c r="AA1031" i="5"/>
  <c r="I1032" i="5"/>
  <c r="J1032" i="5"/>
  <c r="M1032" i="5"/>
  <c r="O1032" i="5"/>
  <c r="P1032" i="5"/>
  <c r="Q1032" i="5"/>
  <c r="R1032" i="5"/>
  <c r="S1032" i="5"/>
  <c r="T1032" i="5"/>
  <c r="U1032" i="5"/>
  <c r="W1032" i="5"/>
  <c r="X1032" i="5"/>
  <c r="Y1032" i="5"/>
  <c r="Z1032" i="5"/>
  <c r="AA1032" i="5"/>
  <c r="I1033" i="5"/>
  <c r="J1033" i="5"/>
  <c r="M1033" i="5"/>
  <c r="O1033" i="5"/>
  <c r="P1033" i="5"/>
  <c r="Q1033" i="5"/>
  <c r="R1033" i="5"/>
  <c r="S1033" i="5"/>
  <c r="T1033" i="5"/>
  <c r="U1033" i="5"/>
  <c r="W1033" i="5"/>
  <c r="X1033" i="5"/>
  <c r="Y1033" i="5"/>
  <c r="Z1033" i="5"/>
  <c r="AA1033" i="5"/>
  <c r="I1034" i="5"/>
  <c r="J1034" i="5"/>
  <c r="M1034" i="5"/>
  <c r="O1034" i="5"/>
  <c r="P1034" i="5"/>
  <c r="Q1034" i="5"/>
  <c r="R1034" i="5"/>
  <c r="S1034" i="5"/>
  <c r="T1034" i="5"/>
  <c r="U1034" i="5"/>
  <c r="W1034" i="5"/>
  <c r="X1034" i="5"/>
  <c r="Y1034" i="5"/>
  <c r="Z1034" i="5"/>
  <c r="AA1034" i="5"/>
  <c r="I1035" i="5"/>
  <c r="J1035" i="5"/>
  <c r="M1035" i="5"/>
  <c r="O1035" i="5"/>
  <c r="P1035" i="5"/>
  <c r="Q1035" i="5"/>
  <c r="R1035" i="5"/>
  <c r="S1035" i="5"/>
  <c r="T1035" i="5"/>
  <c r="U1035" i="5"/>
  <c r="W1035" i="5"/>
  <c r="X1035" i="5"/>
  <c r="Y1035" i="5"/>
  <c r="Z1035" i="5"/>
  <c r="AA1035" i="5"/>
  <c r="I1036" i="5"/>
  <c r="J1036" i="5"/>
  <c r="M1036" i="5"/>
  <c r="O1036" i="5"/>
  <c r="P1036" i="5"/>
  <c r="Q1036" i="5"/>
  <c r="R1036" i="5"/>
  <c r="S1036" i="5"/>
  <c r="T1036" i="5"/>
  <c r="U1036" i="5"/>
  <c r="W1036" i="5"/>
  <c r="X1036" i="5"/>
  <c r="Y1036" i="5"/>
  <c r="Z1036" i="5"/>
  <c r="AA1036" i="5"/>
  <c r="I1037" i="5"/>
  <c r="J1037" i="5"/>
  <c r="M1037" i="5"/>
  <c r="O1037" i="5"/>
  <c r="P1037" i="5"/>
  <c r="Q1037" i="5"/>
  <c r="R1037" i="5"/>
  <c r="S1037" i="5"/>
  <c r="T1037" i="5"/>
  <c r="U1037" i="5"/>
  <c r="W1037" i="5"/>
  <c r="X1037" i="5"/>
  <c r="Y1037" i="5"/>
  <c r="Z1037" i="5"/>
  <c r="AA1037" i="5"/>
  <c r="I1038" i="5"/>
  <c r="J1038" i="5"/>
  <c r="M1038" i="5"/>
  <c r="O1038" i="5"/>
  <c r="P1038" i="5"/>
  <c r="Q1038" i="5"/>
  <c r="R1038" i="5"/>
  <c r="S1038" i="5"/>
  <c r="T1038" i="5"/>
  <c r="U1038" i="5"/>
  <c r="W1038" i="5"/>
  <c r="X1038" i="5"/>
  <c r="Y1038" i="5"/>
  <c r="Z1038" i="5"/>
  <c r="AA1038" i="5"/>
  <c r="I1039" i="5"/>
  <c r="J1039" i="5"/>
  <c r="M1039" i="5"/>
  <c r="O1039" i="5"/>
  <c r="P1039" i="5"/>
  <c r="Q1039" i="5"/>
  <c r="R1039" i="5"/>
  <c r="S1039" i="5"/>
  <c r="T1039" i="5"/>
  <c r="U1039" i="5"/>
  <c r="W1039" i="5"/>
  <c r="X1039" i="5"/>
  <c r="Y1039" i="5"/>
  <c r="Z1039" i="5"/>
  <c r="AA1039" i="5"/>
  <c r="I1040" i="5"/>
  <c r="J1040" i="5"/>
  <c r="M1040" i="5"/>
  <c r="O1040" i="5"/>
  <c r="P1040" i="5"/>
  <c r="Q1040" i="5"/>
  <c r="R1040" i="5"/>
  <c r="S1040" i="5"/>
  <c r="T1040" i="5"/>
  <c r="U1040" i="5"/>
  <c r="W1040" i="5"/>
  <c r="X1040" i="5"/>
  <c r="Y1040" i="5"/>
  <c r="Z1040" i="5"/>
  <c r="AA1040" i="5"/>
  <c r="I1041" i="5"/>
  <c r="J1041" i="5"/>
  <c r="M1041" i="5"/>
  <c r="O1041" i="5"/>
  <c r="P1041" i="5"/>
  <c r="Q1041" i="5"/>
  <c r="R1041" i="5"/>
  <c r="S1041" i="5"/>
  <c r="T1041" i="5"/>
  <c r="U1041" i="5"/>
  <c r="W1041" i="5"/>
  <c r="X1041" i="5"/>
  <c r="Y1041" i="5"/>
  <c r="Z1041" i="5"/>
  <c r="AA1041" i="5"/>
  <c r="I1042" i="5"/>
  <c r="J1042" i="5"/>
  <c r="M1042" i="5"/>
  <c r="O1042" i="5"/>
  <c r="P1042" i="5"/>
  <c r="Q1042" i="5"/>
  <c r="R1042" i="5"/>
  <c r="S1042" i="5"/>
  <c r="T1042" i="5"/>
  <c r="U1042" i="5"/>
  <c r="W1042" i="5"/>
  <c r="X1042" i="5"/>
  <c r="Y1042" i="5"/>
  <c r="Z1042" i="5"/>
  <c r="AA1042" i="5"/>
  <c r="H1043" i="5"/>
  <c r="I1043" i="5"/>
  <c r="J1043" i="5"/>
  <c r="M1043" i="5"/>
  <c r="O1043" i="5"/>
  <c r="P1043" i="5"/>
  <c r="Q1043" i="5"/>
  <c r="R1043" i="5"/>
  <c r="S1043" i="5"/>
  <c r="T1043" i="5"/>
  <c r="U1043" i="5"/>
  <c r="W1043" i="5"/>
  <c r="X1043" i="5"/>
  <c r="Y1043" i="5"/>
  <c r="Z1043" i="5"/>
  <c r="AA1043" i="5"/>
  <c r="I1044" i="5"/>
  <c r="J1044" i="5"/>
  <c r="M1044" i="5"/>
  <c r="O1044" i="5"/>
  <c r="P1044" i="5"/>
  <c r="Q1044" i="5"/>
  <c r="R1044" i="5"/>
  <c r="S1044" i="5"/>
  <c r="T1044" i="5"/>
  <c r="U1044" i="5"/>
  <c r="W1044" i="5"/>
  <c r="X1044" i="5"/>
  <c r="Y1044" i="5"/>
  <c r="Z1044" i="5"/>
  <c r="AA1044" i="5"/>
  <c r="I1045" i="5"/>
  <c r="J1045" i="5"/>
  <c r="M1045" i="5"/>
  <c r="O1045" i="5"/>
  <c r="P1045" i="5"/>
  <c r="Q1045" i="5"/>
  <c r="R1045" i="5"/>
  <c r="S1045" i="5"/>
  <c r="T1045" i="5"/>
  <c r="U1045" i="5"/>
  <c r="W1045" i="5"/>
  <c r="X1045" i="5"/>
  <c r="Y1045" i="5"/>
  <c r="Z1045" i="5"/>
  <c r="AA1045" i="5"/>
  <c r="I1046" i="5"/>
  <c r="J1046" i="5"/>
  <c r="M1046" i="5"/>
  <c r="O1046" i="5"/>
  <c r="P1046" i="5"/>
  <c r="Q1046" i="5"/>
  <c r="R1046" i="5"/>
  <c r="S1046" i="5"/>
  <c r="T1046" i="5"/>
  <c r="U1046" i="5"/>
  <c r="W1046" i="5"/>
  <c r="X1046" i="5"/>
  <c r="Y1046" i="5"/>
  <c r="Z1046" i="5"/>
  <c r="AA1046" i="5"/>
  <c r="I1047" i="5"/>
  <c r="J1047" i="5"/>
  <c r="M1047" i="5"/>
  <c r="O1047" i="5"/>
  <c r="P1047" i="5"/>
  <c r="Q1047" i="5"/>
  <c r="R1047" i="5"/>
  <c r="S1047" i="5"/>
  <c r="T1047" i="5"/>
  <c r="U1047" i="5"/>
  <c r="W1047" i="5"/>
  <c r="X1047" i="5"/>
  <c r="Y1047" i="5"/>
  <c r="Z1047" i="5"/>
  <c r="AA1047" i="5"/>
  <c r="I1048" i="5"/>
  <c r="J1048" i="5"/>
  <c r="M1048" i="5"/>
  <c r="O1048" i="5"/>
  <c r="P1048" i="5"/>
  <c r="Q1048" i="5"/>
  <c r="R1048" i="5"/>
  <c r="S1048" i="5"/>
  <c r="T1048" i="5"/>
  <c r="U1048" i="5"/>
  <c r="W1048" i="5"/>
  <c r="X1048" i="5"/>
  <c r="Y1048" i="5"/>
  <c r="Z1048" i="5"/>
  <c r="AA1048" i="5"/>
  <c r="I1049" i="5"/>
  <c r="J1049" i="5"/>
  <c r="M1049" i="5"/>
  <c r="O1049" i="5"/>
  <c r="P1049" i="5"/>
  <c r="Q1049" i="5"/>
  <c r="R1049" i="5"/>
  <c r="S1049" i="5"/>
  <c r="T1049" i="5"/>
  <c r="U1049" i="5"/>
  <c r="W1049" i="5"/>
  <c r="X1049" i="5"/>
  <c r="Y1049" i="5"/>
  <c r="Z1049" i="5"/>
  <c r="AA1049" i="5"/>
  <c r="I1050" i="5"/>
  <c r="J1050" i="5"/>
  <c r="M1050" i="5"/>
  <c r="O1050" i="5"/>
  <c r="P1050" i="5"/>
  <c r="Q1050" i="5"/>
  <c r="R1050" i="5"/>
  <c r="S1050" i="5"/>
  <c r="T1050" i="5"/>
  <c r="U1050" i="5"/>
  <c r="W1050" i="5"/>
  <c r="X1050" i="5"/>
  <c r="Y1050" i="5"/>
  <c r="Z1050" i="5"/>
  <c r="AA1050" i="5"/>
  <c r="I1051" i="5"/>
  <c r="J1051" i="5"/>
  <c r="M1051" i="5"/>
  <c r="O1051" i="5"/>
  <c r="P1051" i="5"/>
  <c r="Q1051" i="5"/>
  <c r="R1051" i="5"/>
  <c r="S1051" i="5"/>
  <c r="T1051" i="5"/>
  <c r="U1051" i="5"/>
  <c r="W1051" i="5"/>
  <c r="X1051" i="5"/>
  <c r="Y1051" i="5"/>
  <c r="Z1051" i="5"/>
  <c r="AA1051" i="5"/>
  <c r="I1052" i="5"/>
  <c r="J1052" i="5"/>
  <c r="M1052" i="5"/>
  <c r="O1052" i="5"/>
  <c r="P1052" i="5"/>
  <c r="Q1052" i="5"/>
  <c r="R1052" i="5"/>
  <c r="S1052" i="5"/>
  <c r="T1052" i="5"/>
  <c r="U1052" i="5"/>
  <c r="W1052" i="5"/>
  <c r="X1052" i="5"/>
  <c r="Y1052" i="5"/>
  <c r="Z1052" i="5"/>
  <c r="AA1052" i="5"/>
  <c r="I1053" i="5"/>
  <c r="J1053" i="5"/>
  <c r="M1053" i="5"/>
  <c r="O1053" i="5"/>
  <c r="P1053" i="5"/>
  <c r="Q1053" i="5"/>
  <c r="R1053" i="5"/>
  <c r="S1053" i="5"/>
  <c r="T1053" i="5"/>
  <c r="U1053" i="5"/>
  <c r="W1053" i="5"/>
  <c r="X1053" i="5"/>
  <c r="Y1053" i="5"/>
  <c r="Z1053" i="5"/>
  <c r="AA1053" i="5"/>
  <c r="I1054" i="5"/>
  <c r="J1054" i="5"/>
  <c r="M1054" i="5"/>
  <c r="O1054" i="5"/>
  <c r="P1054" i="5"/>
  <c r="Q1054" i="5"/>
  <c r="R1054" i="5"/>
  <c r="S1054" i="5"/>
  <c r="T1054" i="5"/>
  <c r="U1054" i="5"/>
  <c r="W1054" i="5"/>
  <c r="X1054" i="5"/>
  <c r="Y1054" i="5"/>
  <c r="Z1054" i="5"/>
  <c r="AA1054" i="5"/>
  <c r="I1055" i="5"/>
  <c r="J1055" i="5"/>
  <c r="M1055" i="5"/>
  <c r="O1055" i="5"/>
  <c r="P1055" i="5"/>
  <c r="Q1055" i="5"/>
  <c r="R1055" i="5"/>
  <c r="S1055" i="5"/>
  <c r="T1055" i="5"/>
  <c r="U1055" i="5"/>
  <c r="W1055" i="5"/>
  <c r="X1055" i="5"/>
  <c r="Y1055" i="5"/>
  <c r="Z1055" i="5"/>
  <c r="AA1055" i="5"/>
  <c r="I1056" i="5"/>
  <c r="J1056" i="5"/>
  <c r="M1056" i="5"/>
  <c r="O1056" i="5"/>
  <c r="P1056" i="5"/>
  <c r="Q1056" i="5"/>
  <c r="R1056" i="5"/>
  <c r="S1056" i="5"/>
  <c r="T1056" i="5"/>
  <c r="U1056" i="5"/>
  <c r="W1056" i="5"/>
  <c r="X1056" i="5"/>
  <c r="Y1056" i="5"/>
  <c r="Z1056" i="5"/>
  <c r="AA1056" i="5"/>
  <c r="I1057" i="5"/>
  <c r="J1057" i="5"/>
  <c r="M1057" i="5"/>
  <c r="O1057" i="5"/>
  <c r="P1057" i="5"/>
  <c r="Q1057" i="5"/>
  <c r="R1057" i="5"/>
  <c r="S1057" i="5"/>
  <c r="T1057" i="5"/>
  <c r="U1057" i="5"/>
  <c r="W1057" i="5"/>
  <c r="X1057" i="5"/>
  <c r="Y1057" i="5"/>
  <c r="Z1057" i="5"/>
  <c r="AA1057" i="5"/>
  <c r="I1058" i="5"/>
  <c r="J1058" i="5"/>
  <c r="M1058" i="5"/>
  <c r="O1058" i="5"/>
  <c r="P1058" i="5"/>
  <c r="Q1058" i="5"/>
  <c r="R1058" i="5"/>
  <c r="S1058" i="5"/>
  <c r="T1058" i="5"/>
  <c r="U1058" i="5"/>
  <c r="W1058" i="5"/>
  <c r="X1058" i="5"/>
  <c r="Y1058" i="5"/>
  <c r="Z1058" i="5"/>
  <c r="AA1058" i="5"/>
  <c r="I1059" i="5"/>
  <c r="J1059" i="5"/>
  <c r="M1059" i="5"/>
  <c r="O1059" i="5"/>
  <c r="P1059" i="5"/>
  <c r="Q1059" i="5"/>
  <c r="R1059" i="5"/>
  <c r="S1059" i="5"/>
  <c r="T1059" i="5"/>
  <c r="U1059" i="5"/>
  <c r="W1059" i="5"/>
  <c r="X1059" i="5"/>
  <c r="Y1059" i="5"/>
  <c r="Z1059" i="5"/>
  <c r="AA1059" i="5"/>
  <c r="I1060" i="5"/>
  <c r="J1060" i="5"/>
  <c r="M1060" i="5"/>
  <c r="O1060" i="5"/>
  <c r="P1060" i="5"/>
  <c r="Q1060" i="5"/>
  <c r="R1060" i="5"/>
  <c r="S1060" i="5"/>
  <c r="T1060" i="5"/>
  <c r="U1060" i="5"/>
  <c r="W1060" i="5"/>
  <c r="X1060" i="5"/>
  <c r="Y1060" i="5"/>
  <c r="Z1060" i="5"/>
  <c r="AA1060" i="5"/>
  <c r="I1061" i="5"/>
  <c r="J1061" i="5"/>
  <c r="M1061" i="5"/>
  <c r="O1061" i="5"/>
  <c r="P1061" i="5"/>
  <c r="Q1061" i="5"/>
  <c r="R1061" i="5"/>
  <c r="S1061" i="5"/>
  <c r="T1061" i="5"/>
  <c r="U1061" i="5"/>
  <c r="W1061" i="5"/>
  <c r="X1061" i="5"/>
  <c r="Y1061" i="5"/>
  <c r="Z1061" i="5"/>
  <c r="AA1061" i="5"/>
  <c r="I1062" i="5"/>
  <c r="J1062" i="5"/>
  <c r="M1062" i="5"/>
  <c r="O1062" i="5"/>
  <c r="P1062" i="5"/>
  <c r="Q1062" i="5"/>
  <c r="R1062" i="5"/>
  <c r="S1062" i="5"/>
  <c r="T1062" i="5"/>
  <c r="U1062" i="5"/>
  <c r="W1062" i="5"/>
  <c r="X1062" i="5"/>
  <c r="Y1062" i="5"/>
  <c r="Z1062" i="5"/>
  <c r="AA1062" i="5"/>
  <c r="I1063" i="5"/>
  <c r="J1063" i="5"/>
  <c r="M1063" i="5"/>
  <c r="O1063" i="5"/>
  <c r="P1063" i="5"/>
  <c r="Q1063" i="5"/>
  <c r="R1063" i="5"/>
  <c r="S1063" i="5"/>
  <c r="T1063" i="5"/>
  <c r="U1063" i="5"/>
  <c r="W1063" i="5"/>
  <c r="X1063" i="5"/>
  <c r="Y1063" i="5"/>
  <c r="Z1063" i="5"/>
  <c r="AA1063" i="5"/>
  <c r="I1064" i="5"/>
  <c r="J1064" i="5"/>
  <c r="M1064" i="5"/>
  <c r="O1064" i="5"/>
  <c r="P1064" i="5"/>
  <c r="Q1064" i="5"/>
  <c r="R1064" i="5"/>
  <c r="S1064" i="5"/>
  <c r="T1064" i="5"/>
  <c r="U1064" i="5"/>
  <c r="W1064" i="5"/>
  <c r="X1064" i="5"/>
  <c r="Y1064" i="5"/>
  <c r="Z1064" i="5"/>
  <c r="AA1064" i="5"/>
  <c r="I1065" i="5"/>
  <c r="J1065" i="5"/>
  <c r="M1065" i="5"/>
  <c r="O1065" i="5"/>
  <c r="P1065" i="5"/>
  <c r="Q1065" i="5"/>
  <c r="R1065" i="5"/>
  <c r="S1065" i="5"/>
  <c r="T1065" i="5"/>
  <c r="U1065" i="5"/>
  <c r="W1065" i="5"/>
  <c r="X1065" i="5"/>
  <c r="Y1065" i="5"/>
  <c r="Z1065" i="5"/>
  <c r="AA1065" i="5"/>
  <c r="I1066" i="5"/>
  <c r="J1066" i="5"/>
  <c r="M1066" i="5"/>
  <c r="O1066" i="5"/>
  <c r="P1066" i="5"/>
  <c r="Q1066" i="5"/>
  <c r="R1066" i="5"/>
  <c r="S1066" i="5"/>
  <c r="T1066" i="5"/>
  <c r="U1066" i="5"/>
  <c r="W1066" i="5"/>
  <c r="X1066" i="5"/>
  <c r="Y1066" i="5"/>
  <c r="Z1066" i="5"/>
  <c r="AA1066" i="5"/>
  <c r="I1067" i="5"/>
  <c r="J1067" i="5"/>
  <c r="M1067" i="5"/>
  <c r="O1067" i="5"/>
  <c r="P1067" i="5"/>
  <c r="Q1067" i="5"/>
  <c r="R1067" i="5"/>
  <c r="S1067" i="5"/>
  <c r="T1067" i="5"/>
  <c r="U1067" i="5"/>
  <c r="W1067" i="5"/>
  <c r="X1067" i="5"/>
  <c r="Y1067" i="5"/>
  <c r="Z1067" i="5"/>
  <c r="AA1067" i="5"/>
  <c r="I1068" i="5"/>
  <c r="J1068" i="5"/>
  <c r="M1068" i="5"/>
  <c r="O1068" i="5"/>
  <c r="P1068" i="5"/>
  <c r="Q1068" i="5"/>
  <c r="R1068" i="5"/>
  <c r="S1068" i="5"/>
  <c r="T1068" i="5"/>
  <c r="U1068" i="5"/>
  <c r="W1068" i="5"/>
  <c r="X1068" i="5"/>
  <c r="Y1068" i="5"/>
  <c r="Z1068" i="5"/>
  <c r="AA1068" i="5"/>
  <c r="I1069" i="5"/>
  <c r="J1069" i="5"/>
  <c r="M1069" i="5"/>
  <c r="O1069" i="5"/>
  <c r="P1069" i="5"/>
  <c r="Q1069" i="5"/>
  <c r="R1069" i="5"/>
  <c r="S1069" i="5"/>
  <c r="T1069" i="5"/>
  <c r="U1069" i="5"/>
  <c r="W1069" i="5"/>
  <c r="X1069" i="5"/>
  <c r="Y1069" i="5"/>
  <c r="Z1069" i="5"/>
  <c r="AA1069" i="5"/>
  <c r="I1070" i="5"/>
  <c r="J1070" i="5"/>
  <c r="M1070" i="5"/>
  <c r="O1070" i="5"/>
  <c r="P1070" i="5"/>
  <c r="Q1070" i="5"/>
  <c r="R1070" i="5"/>
  <c r="S1070" i="5"/>
  <c r="T1070" i="5"/>
  <c r="U1070" i="5"/>
  <c r="W1070" i="5"/>
  <c r="X1070" i="5"/>
  <c r="Y1070" i="5"/>
  <c r="Z1070" i="5"/>
  <c r="AA1070" i="5"/>
  <c r="I1071" i="5"/>
  <c r="J1071" i="5"/>
  <c r="M1071" i="5"/>
  <c r="O1071" i="5"/>
  <c r="P1071" i="5"/>
  <c r="Q1071" i="5"/>
  <c r="R1071" i="5"/>
  <c r="S1071" i="5"/>
  <c r="T1071" i="5"/>
  <c r="U1071" i="5"/>
  <c r="W1071" i="5"/>
  <c r="X1071" i="5"/>
  <c r="Y1071" i="5"/>
  <c r="Z1071" i="5"/>
  <c r="AA1071" i="5"/>
  <c r="I1072" i="5"/>
  <c r="J1072" i="5"/>
  <c r="M1072" i="5"/>
  <c r="O1072" i="5"/>
  <c r="P1072" i="5"/>
  <c r="Q1072" i="5"/>
  <c r="R1072" i="5"/>
  <c r="S1072" i="5"/>
  <c r="T1072" i="5"/>
  <c r="U1072" i="5"/>
  <c r="W1072" i="5"/>
  <c r="X1072" i="5"/>
  <c r="Y1072" i="5"/>
  <c r="Z1072" i="5"/>
  <c r="AA1072" i="5"/>
  <c r="I1073" i="5"/>
  <c r="J1073" i="5"/>
  <c r="M1073" i="5"/>
  <c r="O1073" i="5"/>
  <c r="P1073" i="5"/>
  <c r="Q1073" i="5"/>
  <c r="R1073" i="5"/>
  <c r="S1073" i="5"/>
  <c r="T1073" i="5"/>
  <c r="U1073" i="5"/>
  <c r="W1073" i="5"/>
  <c r="X1073" i="5"/>
  <c r="Y1073" i="5"/>
  <c r="Z1073" i="5"/>
  <c r="AA1073" i="5"/>
  <c r="I1074" i="5"/>
  <c r="J1074" i="5"/>
  <c r="M1074" i="5"/>
  <c r="O1074" i="5"/>
  <c r="P1074" i="5"/>
  <c r="Q1074" i="5"/>
  <c r="R1074" i="5"/>
  <c r="S1074" i="5"/>
  <c r="T1074" i="5"/>
  <c r="U1074" i="5"/>
  <c r="W1074" i="5"/>
  <c r="X1074" i="5"/>
  <c r="Y1074" i="5"/>
  <c r="Z1074" i="5"/>
  <c r="AA1074" i="5"/>
  <c r="I1075" i="5"/>
  <c r="J1075" i="5"/>
  <c r="M1075" i="5"/>
  <c r="O1075" i="5"/>
  <c r="P1075" i="5"/>
  <c r="Q1075" i="5"/>
  <c r="R1075" i="5"/>
  <c r="S1075" i="5"/>
  <c r="T1075" i="5"/>
  <c r="U1075" i="5"/>
  <c r="W1075" i="5"/>
  <c r="X1075" i="5"/>
  <c r="Y1075" i="5"/>
  <c r="Z1075" i="5"/>
  <c r="AA1075" i="5"/>
  <c r="I1076" i="5"/>
  <c r="J1076" i="5"/>
  <c r="M1076" i="5"/>
  <c r="O1076" i="5"/>
  <c r="P1076" i="5"/>
  <c r="Q1076" i="5"/>
  <c r="R1076" i="5"/>
  <c r="S1076" i="5"/>
  <c r="T1076" i="5"/>
  <c r="U1076" i="5"/>
  <c r="W1076" i="5"/>
  <c r="X1076" i="5"/>
  <c r="Y1076" i="5"/>
  <c r="Z1076" i="5"/>
  <c r="AA1076" i="5"/>
  <c r="I1077" i="5"/>
  <c r="J1077" i="5"/>
  <c r="M1077" i="5"/>
  <c r="O1077" i="5"/>
  <c r="P1077" i="5"/>
  <c r="Q1077" i="5"/>
  <c r="R1077" i="5"/>
  <c r="S1077" i="5"/>
  <c r="T1077" i="5"/>
  <c r="U1077" i="5"/>
  <c r="W1077" i="5"/>
  <c r="X1077" i="5"/>
  <c r="Y1077" i="5"/>
  <c r="Z1077" i="5"/>
  <c r="AA1077" i="5"/>
  <c r="I1078" i="5"/>
  <c r="J1078" i="5"/>
  <c r="M1078" i="5"/>
  <c r="O1078" i="5"/>
  <c r="P1078" i="5"/>
  <c r="Q1078" i="5"/>
  <c r="R1078" i="5"/>
  <c r="S1078" i="5"/>
  <c r="T1078" i="5"/>
  <c r="U1078" i="5"/>
  <c r="W1078" i="5"/>
  <c r="X1078" i="5"/>
  <c r="Y1078" i="5"/>
  <c r="Z1078" i="5"/>
  <c r="AA1078" i="5"/>
  <c r="I1079" i="5"/>
  <c r="J1079" i="5"/>
  <c r="M1079" i="5"/>
  <c r="O1079" i="5"/>
  <c r="P1079" i="5"/>
  <c r="Q1079" i="5"/>
  <c r="R1079" i="5"/>
  <c r="S1079" i="5"/>
  <c r="T1079" i="5"/>
  <c r="U1079" i="5"/>
  <c r="W1079" i="5"/>
  <c r="X1079" i="5"/>
  <c r="Y1079" i="5"/>
  <c r="Z1079" i="5"/>
  <c r="AA1079" i="5"/>
  <c r="I1080" i="5"/>
  <c r="J1080" i="5"/>
  <c r="M1080" i="5"/>
  <c r="O1080" i="5"/>
  <c r="P1080" i="5"/>
  <c r="Q1080" i="5"/>
  <c r="R1080" i="5"/>
  <c r="S1080" i="5"/>
  <c r="T1080" i="5"/>
  <c r="U1080" i="5"/>
  <c r="W1080" i="5"/>
  <c r="X1080" i="5"/>
  <c r="Y1080" i="5"/>
  <c r="Z1080" i="5"/>
  <c r="AA1080" i="5"/>
  <c r="I1081" i="5"/>
  <c r="J1081" i="5"/>
  <c r="M1081" i="5"/>
  <c r="O1081" i="5"/>
  <c r="P1081" i="5"/>
  <c r="Q1081" i="5"/>
  <c r="R1081" i="5"/>
  <c r="S1081" i="5"/>
  <c r="T1081" i="5"/>
  <c r="U1081" i="5"/>
  <c r="W1081" i="5"/>
  <c r="X1081" i="5"/>
  <c r="Y1081" i="5"/>
  <c r="Z1081" i="5"/>
  <c r="AA1081" i="5"/>
  <c r="I1082" i="5"/>
  <c r="J1082" i="5"/>
  <c r="M1082" i="5"/>
  <c r="O1082" i="5"/>
  <c r="P1082" i="5"/>
  <c r="Q1082" i="5"/>
  <c r="R1082" i="5"/>
  <c r="S1082" i="5"/>
  <c r="T1082" i="5"/>
  <c r="U1082" i="5"/>
  <c r="W1082" i="5"/>
  <c r="X1082" i="5"/>
  <c r="Y1082" i="5"/>
  <c r="Z1082" i="5"/>
  <c r="AA1082" i="5"/>
  <c r="I1083" i="5"/>
  <c r="J1083" i="5"/>
  <c r="M1083" i="5"/>
  <c r="O1083" i="5"/>
  <c r="P1083" i="5"/>
  <c r="Q1083" i="5"/>
  <c r="R1083" i="5"/>
  <c r="S1083" i="5"/>
  <c r="T1083" i="5"/>
  <c r="U1083" i="5"/>
  <c r="W1083" i="5"/>
  <c r="X1083" i="5"/>
  <c r="Y1083" i="5"/>
  <c r="Z1083" i="5"/>
  <c r="AA1083" i="5"/>
  <c r="I1084" i="5"/>
  <c r="J1084" i="5"/>
  <c r="M1084" i="5"/>
  <c r="O1084" i="5"/>
  <c r="P1084" i="5"/>
  <c r="Q1084" i="5"/>
  <c r="R1084" i="5"/>
  <c r="S1084" i="5"/>
  <c r="T1084" i="5"/>
  <c r="U1084" i="5"/>
  <c r="W1084" i="5"/>
  <c r="X1084" i="5"/>
  <c r="Y1084" i="5"/>
  <c r="Z1084" i="5"/>
  <c r="AA1084" i="5"/>
  <c r="I1085" i="5"/>
  <c r="J1085" i="5"/>
  <c r="M1085" i="5"/>
  <c r="O1085" i="5"/>
  <c r="P1085" i="5"/>
  <c r="Q1085" i="5"/>
  <c r="R1085" i="5"/>
  <c r="S1085" i="5"/>
  <c r="T1085" i="5"/>
  <c r="U1085" i="5"/>
  <c r="W1085" i="5"/>
  <c r="X1085" i="5"/>
  <c r="Y1085" i="5"/>
  <c r="Z1085" i="5"/>
  <c r="AA1085" i="5"/>
  <c r="I1086" i="5"/>
  <c r="J1086" i="5"/>
  <c r="M1086" i="5"/>
  <c r="O1086" i="5"/>
  <c r="P1086" i="5"/>
  <c r="Q1086" i="5"/>
  <c r="R1086" i="5"/>
  <c r="S1086" i="5"/>
  <c r="T1086" i="5"/>
  <c r="U1086" i="5"/>
  <c r="W1086" i="5"/>
  <c r="X1086" i="5"/>
  <c r="Y1086" i="5"/>
  <c r="Z1086" i="5"/>
  <c r="AA1086" i="5"/>
  <c r="I1087" i="5"/>
  <c r="J1087" i="5"/>
  <c r="M1087" i="5"/>
  <c r="O1087" i="5"/>
  <c r="P1087" i="5"/>
  <c r="Q1087" i="5"/>
  <c r="R1087" i="5"/>
  <c r="S1087" i="5"/>
  <c r="T1087" i="5"/>
  <c r="U1087" i="5"/>
  <c r="W1087" i="5"/>
  <c r="X1087" i="5"/>
  <c r="Y1087" i="5"/>
  <c r="Z1087" i="5"/>
  <c r="AA1087" i="5"/>
  <c r="I1088" i="5"/>
  <c r="J1088" i="5"/>
  <c r="M1088" i="5"/>
  <c r="O1088" i="5"/>
  <c r="P1088" i="5"/>
  <c r="Q1088" i="5"/>
  <c r="R1088" i="5"/>
  <c r="S1088" i="5"/>
  <c r="T1088" i="5"/>
  <c r="U1088" i="5"/>
  <c r="W1088" i="5"/>
  <c r="X1088" i="5"/>
  <c r="Y1088" i="5"/>
  <c r="Z1088" i="5"/>
  <c r="AA1088" i="5"/>
  <c r="I1089" i="5"/>
  <c r="J1089" i="5"/>
  <c r="M1089" i="5"/>
  <c r="O1089" i="5"/>
  <c r="P1089" i="5"/>
  <c r="Q1089" i="5"/>
  <c r="R1089" i="5"/>
  <c r="S1089" i="5"/>
  <c r="T1089" i="5"/>
  <c r="U1089" i="5"/>
  <c r="W1089" i="5"/>
  <c r="X1089" i="5"/>
  <c r="Y1089" i="5"/>
  <c r="Z1089" i="5"/>
  <c r="AA1089" i="5"/>
  <c r="I1090" i="5"/>
  <c r="J1090" i="5"/>
  <c r="M1090" i="5"/>
  <c r="O1090" i="5"/>
  <c r="P1090" i="5"/>
  <c r="Q1090" i="5"/>
  <c r="R1090" i="5"/>
  <c r="S1090" i="5"/>
  <c r="T1090" i="5"/>
  <c r="U1090" i="5"/>
  <c r="W1090" i="5"/>
  <c r="X1090" i="5"/>
  <c r="Y1090" i="5"/>
  <c r="Z1090" i="5"/>
  <c r="AA1090" i="5"/>
  <c r="X4" i="5"/>
  <c r="Y4" i="5"/>
  <c r="AA4" i="5"/>
  <c r="Z4" i="5"/>
  <c r="M4" i="5"/>
  <c r="I4" i="5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3" i="12"/>
  <c r="G2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2" i="12"/>
  <c r="W4" i="5"/>
  <c r="B1025" i="5"/>
  <c r="C1025" i="5"/>
  <c r="D1025" i="5" a="1"/>
  <c r="D1025" i="5" s="1"/>
  <c r="V1025" i="5" s="1"/>
  <c r="B1026" i="5"/>
  <c r="C1026" i="5"/>
  <c r="D1026" i="5" a="1"/>
  <c r="D1026" i="5" s="1"/>
  <c r="V1026" i="5" s="1"/>
  <c r="B1027" i="5"/>
  <c r="C1027" i="5"/>
  <c r="D1027" i="5" a="1"/>
  <c r="D1027" i="5" s="1"/>
  <c r="V1027" i="5" s="1"/>
  <c r="B1028" i="5"/>
  <c r="C1028" i="5"/>
  <c r="D1028" i="5" a="1"/>
  <c r="D1028" i="5" s="1"/>
  <c r="V1028" i="5" s="1"/>
  <c r="B1029" i="5"/>
  <c r="C1029" i="5"/>
  <c r="D1029" i="5" a="1"/>
  <c r="D1029" i="5" s="1"/>
  <c r="H1029" i="5" s="1"/>
  <c r="B1030" i="5"/>
  <c r="C1030" i="5"/>
  <c r="D1030" i="5" a="1"/>
  <c r="D1030" i="5" s="1"/>
  <c r="V1030" i="5" s="1"/>
  <c r="B1031" i="5"/>
  <c r="C1031" i="5"/>
  <c r="D1031" i="5" a="1"/>
  <c r="D1031" i="5" s="1"/>
  <c r="V1031" i="5" s="1"/>
  <c r="B1032" i="5"/>
  <c r="C1032" i="5"/>
  <c r="D1032" i="5" a="1"/>
  <c r="D1032" i="5" s="1"/>
  <c r="V1032" i="5" s="1"/>
  <c r="B1033" i="5"/>
  <c r="C1033" i="5"/>
  <c r="D1033" i="5" a="1"/>
  <c r="D1033" i="5" s="1"/>
  <c r="V1033" i="5" s="1"/>
  <c r="B1034" i="5"/>
  <c r="C1034" i="5"/>
  <c r="D1034" i="5" a="1"/>
  <c r="D1034" i="5" s="1"/>
  <c r="V1034" i="5" s="1"/>
  <c r="B1035" i="5"/>
  <c r="C1035" i="5"/>
  <c r="D1035" i="5" a="1"/>
  <c r="D1035" i="5" s="1"/>
  <c r="V1035" i="5" s="1"/>
  <c r="B1036" i="5"/>
  <c r="C1036" i="5"/>
  <c r="D1036" i="5" a="1"/>
  <c r="D1036" i="5" s="1"/>
  <c r="H1036" i="5" s="1"/>
  <c r="B1037" i="5"/>
  <c r="C1037" i="5"/>
  <c r="D1037" i="5" a="1"/>
  <c r="D1037" i="5" s="1"/>
  <c r="V1037" i="5" s="1"/>
  <c r="B1038" i="5"/>
  <c r="C1038" i="5"/>
  <c r="D1038" i="5" a="1"/>
  <c r="D1038" i="5" s="1"/>
  <c r="V1038" i="5" s="1"/>
  <c r="B1039" i="5"/>
  <c r="C1039" i="5"/>
  <c r="D1039" i="5" a="1"/>
  <c r="D1039" i="5" s="1"/>
  <c r="V1039" i="5" s="1"/>
  <c r="B1040" i="5"/>
  <c r="C1040" i="5"/>
  <c r="D1040" i="5" a="1"/>
  <c r="D1040" i="5" s="1"/>
  <c r="V1040" i="5" s="1"/>
  <c r="B1041" i="5"/>
  <c r="C1041" i="5"/>
  <c r="D1041" i="5" a="1"/>
  <c r="D1041" i="5" s="1"/>
  <c r="H1041" i="5" s="1"/>
  <c r="B1042" i="5"/>
  <c r="C1042" i="5"/>
  <c r="D1042" i="5" a="1"/>
  <c r="D1042" i="5" s="1"/>
  <c r="V1042" i="5" s="1"/>
  <c r="B1043" i="5"/>
  <c r="C1043" i="5"/>
  <c r="D1043" i="5" a="1"/>
  <c r="D1043" i="5" s="1"/>
  <c r="V1043" i="5" s="1"/>
  <c r="B1044" i="5"/>
  <c r="C1044" i="5"/>
  <c r="D1044" i="5" a="1"/>
  <c r="D1044" i="5" s="1"/>
  <c r="V1044" i="5" s="1"/>
  <c r="B1045" i="5"/>
  <c r="C1045" i="5"/>
  <c r="D1045" i="5" a="1"/>
  <c r="D1045" i="5" s="1"/>
  <c r="V1045" i="5" s="1"/>
  <c r="B1046" i="5"/>
  <c r="C1046" i="5"/>
  <c r="D1046" i="5" a="1"/>
  <c r="D1046" i="5" s="1"/>
  <c r="V1046" i="5" s="1"/>
  <c r="B1047" i="5"/>
  <c r="C1047" i="5"/>
  <c r="D1047" i="5" a="1"/>
  <c r="D1047" i="5" s="1"/>
  <c r="V1047" i="5" s="1"/>
  <c r="B1048" i="5"/>
  <c r="C1048" i="5"/>
  <c r="D1048" i="5" a="1"/>
  <c r="D1048" i="5" s="1"/>
  <c r="H1048" i="5" s="1"/>
  <c r="B1049" i="5"/>
  <c r="C1049" i="5"/>
  <c r="D1049" i="5" a="1"/>
  <c r="D1049" i="5" s="1"/>
  <c r="V1049" i="5" s="1"/>
  <c r="B1050" i="5"/>
  <c r="C1050" i="5"/>
  <c r="D1050" i="5" a="1"/>
  <c r="D1050" i="5" s="1"/>
  <c r="V1050" i="5" s="1"/>
  <c r="B1051" i="5"/>
  <c r="C1051" i="5"/>
  <c r="D1051" i="5" a="1"/>
  <c r="D1051" i="5" s="1"/>
  <c r="V1051" i="5" s="1"/>
  <c r="B1052" i="5"/>
  <c r="C1052" i="5"/>
  <c r="D1052" i="5" a="1"/>
  <c r="D1052" i="5" s="1"/>
  <c r="V1052" i="5" s="1"/>
  <c r="B1053" i="5"/>
  <c r="C1053" i="5"/>
  <c r="D1053" i="5" a="1"/>
  <c r="D1053" i="5" s="1"/>
  <c r="H1053" i="5" s="1"/>
  <c r="B1054" i="5"/>
  <c r="C1054" i="5"/>
  <c r="D1054" i="5" a="1"/>
  <c r="D1054" i="5" s="1"/>
  <c r="V1054" i="5" s="1"/>
  <c r="B1055" i="5"/>
  <c r="C1055" i="5"/>
  <c r="D1055" i="5" a="1"/>
  <c r="D1055" i="5" s="1"/>
  <c r="V1055" i="5" s="1"/>
  <c r="B1056" i="5"/>
  <c r="C1056" i="5"/>
  <c r="D1056" i="5" a="1"/>
  <c r="D1056" i="5" s="1"/>
  <c r="V1056" i="5" s="1"/>
  <c r="B1057" i="5"/>
  <c r="C1057" i="5"/>
  <c r="D1057" i="5" a="1"/>
  <c r="D1057" i="5" s="1"/>
  <c r="V1057" i="5" s="1"/>
  <c r="B1058" i="5"/>
  <c r="C1058" i="5"/>
  <c r="D1058" i="5" a="1"/>
  <c r="D1058" i="5" s="1"/>
  <c r="V1058" i="5" s="1"/>
  <c r="B1059" i="5"/>
  <c r="C1059" i="5"/>
  <c r="D1059" i="5" a="1"/>
  <c r="D1059" i="5" s="1"/>
  <c r="V1059" i="5" s="1"/>
  <c r="B1060" i="5"/>
  <c r="C1060" i="5"/>
  <c r="D1060" i="5" a="1"/>
  <c r="D1060" i="5" s="1"/>
  <c r="H1060" i="5" s="1"/>
  <c r="B1061" i="5"/>
  <c r="C1061" i="5"/>
  <c r="D1061" i="5" a="1"/>
  <c r="D1061" i="5" s="1"/>
  <c r="V1061" i="5" s="1"/>
  <c r="B1062" i="5"/>
  <c r="C1062" i="5"/>
  <c r="D1062" i="5" a="1"/>
  <c r="D1062" i="5" s="1"/>
  <c r="V1062" i="5" s="1"/>
  <c r="B1063" i="5"/>
  <c r="C1063" i="5"/>
  <c r="D1063" i="5" a="1"/>
  <c r="D1063" i="5" s="1"/>
  <c r="V1063" i="5" s="1"/>
  <c r="B1064" i="5"/>
  <c r="C1064" i="5"/>
  <c r="D1064" i="5" a="1"/>
  <c r="D1064" i="5" s="1"/>
  <c r="V1064" i="5" s="1"/>
  <c r="B1065" i="5"/>
  <c r="C1065" i="5"/>
  <c r="D1065" i="5" a="1"/>
  <c r="D1065" i="5" s="1"/>
  <c r="V1065" i="5" s="1"/>
  <c r="B1066" i="5"/>
  <c r="C1066" i="5"/>
  <c r="D1066" i="5" a="1"/>
  <c r="D1066" i="5" s="1"/>
  <c r="V1066" i="5" s="1"/>
  <c r="B1067" i="5"/>
  <c r="C1067" i="5"/>
  <c r="D1067" i="5" a="1"/>
  <c r="D1067" i="5" s="1"/>
  <c r="V1067" i="5" s="1"/>
  <c r="B1068" i="5"/>
  <c r="C1068" i="5"/>
  <c r="D1068" i="5" a="1"/>
  <c r="D1068" i="5" s="1"/>
  <c r="V1068" i="5" s="1"/>
  <c r="B1069" i="5"/>
  <c r="C1069" i="5"/>
  <c r="D1069" i="5" a="1"/>
  <c r="D1069" i="5" s="1"/>
  <c r="H1069" i="5" s="1"/>
  <c r="B1070" i="5"/>
  <c r="C1070" i="5"/>
  <c r="D1070" i="5" a="1"/>
  <c r="D1070" i="5" s="1"/>
  <c r="V1070" i="5" s="1"/>
  <c r="B1071" i="5"/>
  <c r="C1071" i="5"/>
  <c r="D1071" i="5" a="1"/>
  <c r="D1071" i="5" s="1"/>
  <c r="V1071" i="5" s="1"/>
  <c r="B1072" i="5"/>
  <c r="C1072" i="5"/>
  <c r="D1072" i="5" a="1"/>
  <c r="D1072" i="5" s="1"/>
  <c r="V1072" i="5" s="1"/>
  <c r="B1073" i="5"/>
  <c r="C1073" i="5"/>
  <c r="D1073" i="5" a="1"/>
  <c r="D1073" i="5" s="1"/>
  <c r="V1073" i="5" s="1"/>
  <c r="B1074" i="5"/>
  <c r="C1074" i="5"/>
  <c r="D1074" i="5" a="1"/>
  <c r="D1074" i="5" s="1"/>
  <c r="V1074" i="5" s="1"/>
  <c r="B1075" i="5"/>
  <c r="C1075" i="5"/>
  <c r="D1075" i="5" a="1"/>
  <c r="D1075" i="5" s="1"/>
  <c r="V1075" i="5" s="1"/>
  <c r="B1076" i="5"/>
  <c r="C1076" i="5"/>
  <c r="D1076" i="5" a="1"/>
  <c r="D1076" i="5" s="1"/>
  <c r="V1076" i="5" s="1"/>
  <c r="B1077" i="5"/>
  <c r="C1077" i="5"/>
  <c r="D1077" i="5" a="1"/>
  <c r="D1077" i="5" s="1"/>
  <c r="V1077" i="5" s="1"/>
  <c r="B1078" i="5"/>
  <c r="C1078" i="5"/>
  <c r="D1078" i="5" a="1"/>
  <c r="D1078" i="5" s="1"/>
  <c r="H1078" i="5" s="1"/>
  <c r="B1079" i="5"/>
  <c r="C1079" i="5"/>
  <c r="D1079" i="5" a="1"/>
  <c r="D1079" i="5" s="1"/>
  <c r="V1079" i="5" s="1"/>
  <c r="B1080" i="5"/>
  <c r="C1080" i="5"/>
  <c r="D1080" i="5" a="1"/>
  <c r="D1080" i="5" s="1"/>
  <c r="V1080" i="5" s="1"/>
  <c r="B1081" i="5"/>
  <c r="C1081" i="5"/>
  <c r="D1081" i="5" a="1"/>
  <c r="D1081" i="5" s="1"/>
  <c r="V1081" i="5" s="1"/>
  <c r="B1082" i="5"/>
  <c r="C1082" i="5"/>
  <c r="D1082" i="5" a="1"/>
  <c r="D1082" i="5" s="1"/>
  <c r="V1082" i="5" s="1"/>
  <c r="B1083" i="5"/>
  <c r="C1083" i="5"/>
  <c r="D1083" i="5" a="1"/>
  <c r="D1083" i="5" s="1"/>
  <c r="V1083" i="5" s="1"/>
  <c r="B1084" i="5"/>
  <c r="C1084" i="5"/>
  <c r="D1084" i="5" a="1"/>
  <c r="D1084" i="5" s="1"/>
  <c r="V1084" i="5" s="1"/>
  <c r="B1085" i="5"/>
  <c r="C1085" i="5"/>
  <c r="D1085" i="5" a="1"/>
  <c r="D1085" i="5" s="1"/>
  <c r="V1085" i="5" s="1"/>
  <c r="B1086" i="5"/>
  <c r="C1086" i="5"/>
  <c r="D1086" i="5" a="1"/>
  <c r="D1086" i="5" s="1"/>
  <c r="V1086" i="5" s="1"/>
  <c r="B1087" i="5"/>
  <c r="C1087" i="5"/>
  <c r="D1087" i="5" a="1"/>
  <c r="D1087" i="5" s="1"/>
  <c r="H1087" i="5" s="1"/>
  <c r="B1088" i="5"/>
  <c r="C1088" i="5"/>
  <c r="D1088" i="5" a="1"/>
  <c r="D1088" i="5" s="1"/>
  <c r="V1088" i="5" s="1"/>
  <c r="B1089" i="5"/>
  <c r="C1089" i="5"/>
  <c r="D1089" i="5" a="1"/>
  <c r="D1089" i="5" s="1"/>
  <c r="V1089" i="5" s="1"/>
  <c r="B1090" i="5"/>
  <c r="C1090" i="5"/>
  <c r="D1090" i="5" a="1"/>
  <c r="D1090" i="5" s="1"/>
  <c r="V1090" i="5" s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H1089" i="8" a="1"/>
  <c r="J1089" i="8" a="1"/>
  <c r="K1089" i="8" a="1"/>
  <c r="H1090" i="8" a="1"/>
  <c r="J1090" i="8" a="1"/>
  <c r="K1090" i="8" a="1"/>
  <c r="H1059" i="8" a="1"/>
  <c r="H1065" i="8" a="1"/>
  <c r="H1071" i="8" a="1"/>
  <c r="H1077" i="8" a="1"/>
  <c r="H1083" i="8" a="1"/>
  <c r="J1062" i="8" a="1"/>
  <c r="J1068" i="8" a="1"/>
  <c r="J1074" i="8" a="1"/>
  <c r="J1080" i="8" a="1"/>
  <c r="J1086" i="8" a="1"/>
  <c r="K1062" i="8" a="1"/>
  <c r="K1068" i="8" a="1"/>
  <c r="K1074" i="8" a="1"/>
  <c r="K1080" i="8" a="1"/>
  <c r="K1086" i="8" a="1"/>
  <c r="H1060" i="8" a="1"/>
  <c r="H1066" i="8" a="1"/>
  <c r="H1072" i="8" a="1"/>
  <c r="H1078" i="8" a="1"/>
  <c r="H1084" i="8" a="1"/>
  <c r="J1063" i="8" a="1"/>
  <c r="J1069" i="8" a="1"/>
  <c r="J1075" i="8" a="1"/>
  <c r="J1081" i="8" a="1"/>
  <c r="J1087" i="8" a="1"/>
  <c r="K1063" i="8" a="1"/>
  <c r="K1069" i="8" a="1"/>
  <c r="K1075" i="8" a="1"/>
  <c r="K1081" i="8" a="1"/>
  <c r="K1087" i="8" a="1"/>
  <c r="H1061" i="8" a="1"/>
  <c r="H1067" i="8" a="1"/>
  <c r="H1073" i="8" a="1"/>
  <c r="H1079" i="8" a="1"/>
  <c r="H1085" i="8" a="1"/>
  <c r="J1064" i="8" a="1"/>
  <c r="J1070" i="8" a="1"/>
  <c r="J1076" i="8" a="1"/>
  <c r="J1082" i="8" a="1"/>
  <c r="J1088" i="8" a="1"/>
  <c r="K1064" i="8" a="1"/>
  <c r="K1070" i="8" a="1"/>
  <c r="K1076" i="8" a="1"/>
  <c r="K1082" i="8" a="1"/>
  <c r="K1088" i="8" a="1"/>
  <c r="H1068" i="8" a="1"/>
  <c r="H1074" i="8" a="1"/>
  <c r="H1080" i="8" a="1"/>
  <c r="H1086" i="8" a="1"/>
  <c r="J1059" i="8" a="1"/>
  <c r="J1065" i="8" a="1"/>
  <c r="J1071" i="8" a="1"/>
  <c r="J1077" i="8" a="1"/>
  <c r="J1083" i="8" a="1"/>
  <c r="K1059" i="8" a="1"/>
  <c r="K1065" i="8" a="1"/>
  <c r="K1071" i="8" a="1"/>
  <c r="K1077" i="8" a="1"/>
  <c r="K1083" i="8" a="1"/>
  <c r="H1063" i="8" a="1"/>
  <c r="H1069" i="8" a="1"/>
  <c r="H1075" i="8" a="1"/>
  <c r="H1081" i="8" a="1"/>
  <c r="H1087" i="8" a="1"/>
  <c r="J1060" i="8" a="1"/>
  <c r="J1066" i="8" a="1"/>
  <c r="J1072" i="8" a="1"/>
  <c r="J1078" i="8" a="1"/>
  <c r="J1084" i="8" a="1"/>
  <c r="K1060" i="8" a="1"/>
  <c r="K1066" i="8" a="1"/>
  <c r="K1072" i="8" a="1"/>
  <c r="K1078" i="8" a="1"/>
  <c r="K1084" i="8" a="1"/>
  <c r="H1064" i="8" a="1"/>
  <c r="H1070" i="8" a="1"/>
  <c r="H1076" i="8" a="1"/>
  <c r="H1082" i="8" a="1"/>
  <c r="H1088" i="8" a="1"/>
  <c r="J1061" i="8" a="1"/>
  <c r="J1067" i="8" a="1"/>
  <c r="J1073" i="8" a="1"/>
  <c r="J1079" i="8" a="1"/>
  <c r="J1085" i="8" a="1"/>
  <c r="K1061" i="8" a="1"/>
  <c r="K1067" i="8" a="1"/>
  <c r="K1073" i="8" a="1"/>
  <c r="K1079" i="8" a="1"/>
  <c r="K1085" i="8" a="1"/>
  <c r="H1051" i="8" a="1"/>
  <c r="H1057" i="8" a="1"/>
  <c r="J1044" i="8" a="1"/>
  <c r="J1050" i="8" a="1"/>
  <c r="J1056" i="8" a="1"/>
  <c r="K1045" i="8" a="1"/>
  <c r="K1051" i="8" a="1"/>
  <c r="K1057" i="8" a="1"/>
  <c r="H1052" i="8" a="1"/>
  <c r="H1058" i="8" a="1"/>
  <c r="J1051" i="8" a="1"/>
  <c r="J1057" i="8" a="1"/>
  <c r="K1046" i="8" a="1"/>
  <c r="K1052" i="8" a="1"/>
  <c r="K1058" i="8" a="1"/>
  <c r="H1053" i="8" a="1"/>
  <c r="J1046" i="8" a="1"/>
  <c r="J1052" i="8" a="1"/>
  <c r="J1058" i="8" a="1"/>
  <c r="K1047" i="8" a="1"/>
  <c r="K1053" i="8" a="1"/>
  <c r="H1042" i="8" a="1"/>
  <c r="H1048" i="8" a="1"/>
  <c r="H1054" i="8" a="1"/>
  <c r="J1047" i="8" a="1"/>
  <c r="J1053" i="8" a="1"/>
  <c r="K1042" i="8" a="1"/>
  <c r="K1048" i="8" a="1"/>
  <c r="K1054" i="8" a="1"/>
  <c r="H1043" i="8" a="1"/>
  <c r="H1049" i="8" a="1"/>
  <c r="H1055" i="8" a="1"/>
  <c r="J1042" i="8" a="1"/>
  <c r="J1048" i="8" a="1"/>
  <c r="J1054" i="8" a="1"/>
  <c r="K1043" i="8" a="1"/>
  <c r="K1049" i="8" a="1"/>
  <c r="K1055" i="8" a="1"/>
  <c r="H1044" i="8" a="1"/>
  <c r="H1050" i="8" a="1"/>
  <c r="H1056" i="8" a="1"/>
  <c r="J1043" i="8" a="1"/>
  <c r="J1049" i="8" a="1"/>
  <c r="J1055" i="8" a="1"/>
  <c r="K1044" i="8" a="1"/>
  <c r="K1050" i="8" a="1"/>
  <c r="K1056" i="8" a="1"/>
  <c r="H1045" i="8" a="1"/>
  <c r="H1046" i="8" a="1"/>
  <c r="H1047" i="8" a="1"/>
  <c r="J1026" i="8" a="1"/>
  <c r="J1038" i="8" a="1"/>
  <c r="H1039" i="8" a="1"/>
  <c r="J1033" i="8" a="1"/>
  <c r="K1035" i="8" a="1"/>
  <c r="H1033" i="8" a="1"/>
  <c r="K1029" i="8" a="1"/>
  <c r="H1027" i="8" a="1"/>
  <c r="J1039" i="8" a="1"/>
  <c r="K1041" i="8" a="1"/>
  <c r="H1031" i="8" a="1"/>
  <c r="K1030" i="8" a="1"/>
  <c r="H1037" i="8" a="1"/>
  <c r="H1035" i="8" a="1"/>
  <c r="H1041" i="8" a="1"/>
  <c r="J1029" i="8" a="1"/>
  <c r="J1035" i="8" a="1"/>
  <c r="J1041" i="8" a="1"/>
  <c r="K1031" i="8" a="1"/>
  <c r="K1037" i="8" a="1"/>
  <c r="K1033" i="8" a="1"/>
  <c r="K1039" i="8" a="1"/>
  <c r="J1037" i="8" a="1"/>
  <c r="H1030" i="8" a="1"/>
  <c r="J1030" i="8" a="1"/>
  <c r="K1026" i="8" a="1"/>
  <c r="K1032" i="8" a="1"/>
  <c r="K1038" i="8" a="1"/>
  <c r="K1027" i="8" a="1"/>
  <c r="J1031" i="8" a="1"/>
  <c r="J1027" i="8" a="1"/>
  <c r="K1028" i="8" a="1"/>
  <c r="K1040" i="8" a="1"/>
  <c r="H1029" i="8" a="1"/>
  <c r="H1032" i="8" a="1"/>
  <c r="H1026" i="8" a="1"/>
  <c r="H1038" i="8" a="1"/>
  <c r="K1034" i="8" a="1"/>
  <c r="K1036" i="8" a="1"/>
  <c r="J1025" i="8" a="1"/>
  <c r="H1025" i="8" a="1"/>
  <c r="L1085" i="8" l="1"/>
  <c r="L1078" i="8"/>
  <c r="M1078" i="8" s="1" a="1"/>
  <c r="M1078" i="8" s="1"/>
  <c r="L1035" i="8"/>
  <c r="M1035" i="8" s="1" a="1"/>
  <c r="M1035" i="8" s="1"/>
  <c r="I1087" i="8"/>
  <c r="L1037" i="8"/>
  <c r="M1037" i="8" s="1" a="1"/>
  <c r="M1037" i="8" s="1"/>
  <c r="M1085" i="8" a="1"/>
  <c r="M1085" i="8" s="1"/>
  <c r="K1090" i="8"/>
  <c r="L1090" i="8" s="1"/>
  <c r="M1090" i="8" s="1" a="1"/>
  <c r="M1090" i="8" s="1"/>
  <c r="J1090" i="8"/>
  <c r="H1090" i="8"/>
  <c r="I1090" i="8" s="1"/>
  <c r="K1089" i="8"/>
  <c r="L1089" i="8" s="1"/>
  <c r="M1089" i="8" s="1" a="1"/>
  <c r="M1089" i="8" s="1"/>
  <c r="J1089" i="8"/>
  <c r="H1089" i="8"/>
  <c r="I1089" i="8" s="1"/>
  <c r="K1085" i="8"/>
  <c r="K1079" i="8"/>
  <c r="L1079" i="8" s="1"/>
  <c r="M1079" i="8" s="1" a="1"/>
  <c r="M1079" i="8" s="1"/>
  <c r="K1073" i="8"/>
  <c r="L1073" i="8" s="1"/>
  <c r="M1073" i="8" s="1" a="1"/>
  <c r="M1073" i="8" s="1"/>
  <c r="K1067" i="8"/>
  <c r="L1067" i="8" s="1"/>
  <c r="M1067" i="8" s="1" a="1"/>
  <c r="M1067" i="8" s="1"/>
  <c r="K1061" i="8"/>
  <c r="L1061" i="8" s="1"/>
  <c r="M1061" i="8" s="1" a="1"/>
  <c r="M1061" i="8" s="1"/>
  <c r="J1085" i="8"/>
  <c r="J1079" i="8"/>
  <c r="J1073" i="8"/>
  <c r="J1067" i="8"/>
  <c r="J1061" i="8"/>
  <c r="H1088" i="8"/>
  <c r="I1088" i="8" s="1"/>
  <c r="H1082" i="8"/>
  <c r="I1082" i="8" s="1"/>
  <c r="H1076" i="8"/>
  <c r="I1076" i="8" s="1"/>
  <c r="H1070" i="8"/>
  <c r="I1070" i="8" s="1"/>
  <c r="H1064" i="8"/>
  <c r="K1084" i="8"/>
  <c r="L1084" i="8" s="1"/>
  <c r="M1084" i="8" s="1" a="1"/>
  <c r="M1084" i="8" s="1"/>
  <c r="K1078" i="8"/>
  <c r="K1072" i="8"/>
  <c r="L1072" i="8" s="1"/>
  <c r="M1072" i="8" s="1" a="1"/>
  <c r="M1072" i="8" s="1"/>
  <c r="K1066" i="8"/>
  <c r="L1066" i="8" s="1"/>
  <c r="M1066" i="8" s="1" a="1"/>
  <c r="M1066" i="8" s="1"/>
  <c r="K1060" i="8"/>
  <c r="L1060" i="8" s="1"/>
  <c r="M1060" i="8" s="1" a="1"/>
  <c r="M1060" i="8" s="1"/>
  <c r="J1084" i="8"/>
  <c r="J1078" i="8"/>
  <c r="J1072" i="8"/>
  <c r="J1066" i="8"/>
  <c r="J1060" i="8"/>
  <c r="H1087" i="8"/>
  <c r="H1081" i="8"/>
  <c r="I1081" i="8" s="1"/>
  <c r="H1075" i="8"/>
  <c r="I1075" i="8" s="1"/>
  <c r="H1069" i="8"/>
  <c r="I1069" i="8" s="1"/>
  <c r="H1063" i="8"/>
  <c r="I1063" i="8" s="1"/>
  <c r="K1083" i="8"/>
  <c r="L1083" i="8" s="1"/>
  <c r="M1083" i="8" s="1" a="1"/>
  <c r="M1083" i="8" s="1"/>
  <c r="K1077" i="8"/>
  <c r="L1077" i="8" s="1"/>
  <c r="M1077" i="8" s="1" a="1"/>
  <c r="M1077" i="8" s="1"/>
  <c r="K1071" i="8"/>
  <c r="K1065" i="8"/>
  <c r="L1065" i="8" s="1"/>
  <c r="M1065" i="8" s="1" a="1"/>
  <c r="M1065" i="8" s="1"/>
  <c r="K1059" i="8"/>
  <c r="J1083" i="8"/>
  <c r="J1077" i="8"/>
  <c r="J1071" i="8"/>
  <c r="J1065" i="8"/>
  <c r="J1059" i="8"/>
  <c r="H1086" i="8"/>
  <c r="I1086" i="8" s="1"/>
  <c r="H1080" i="8"/>
  <c r="H1074" i="8"/>
  <c r="I1074" i="8" s="1"/>
  <c r="H1068" i="8"/>
  <c r="I1068" i="8" s="1"/>
  <c r="K1088" i="8"/>
  <c r="L1088" i="8" s="1"/>
  <c r="M1088" i="8" s="1" a="1"/>
  <c r="M1088" i="8" s="1"/>
  <c r="K1082" i="8"/>
  <c r="L1082" i="8" s="1"/>
  <c r="M1082" i="8" s="1" a="1"/>
  <c r="M1082" i="8" s="1"/>
  <c r="K1076" i="8"/>
  <c r="L1076" i="8" s="1"/>
  <c r="M1076" i="8" s="1" a="1"/>
  <c r="M1076" i="8" s="1"/>
  <c r="K1070" i="8"/>
  <c r="L1070" i="8" s="1"/>
  <c r="M1070" i="8" s="1" a="1"/>
  <c r="M1070" i="8" s="1"/>
  <c r="K1064" i="8"/>
  <c r="J1088" i="8"/>
  <c r="J1082" i="8"/>
  <c r="J1076" i="8"/>
  <c r="J1070" i="8"/>
  <c r="J1064" i="8"/>
  <c r="H1085" i="8"/>
  <c r="H1079" i="8"/>
  <c r="I1079" i="8" s="1"/>
  <c r="H1073" i="8"/>
  <c r="I1073" i="8" s="1"/>
  <c r="H1067" i="8"/>
  <c r="I1067" i="8" s="1"/>
  <c r="H1061" i="8"/>
  <c r="I1061" i="8" s="1"/>
  <c r="K1087" i="8"/>
  <c r="K1081" i="8"/>
  <c r="L1081" i="8" s="1"/>
  <c r="M1081" i="8" s="1" a="1"/>
  <c r="M1081" i="8" s="1"/>
  <c r="K1075" i="8"/>
  <c r="L1075" i="8" s="1"/>
  <c r="M1075" i="8" s="1" a="1"/>
  <c r="M1075" i="8" s="1"/>
  <c r="K1069" i="8"/>
  <c r="L1069" i="8" s="1"/>
  <c r="M1069" i="8" s="1" a="1"/>
  <c r="M1069" i="8" s="1"/>
  <c r="K1063" i="8"/>
  <c r="L1063" i="8" s="1"/>
  <c r="M1063" i="8" s="1" a="1"/>
  <c r="M1063" i="8" s="1"/>
  <c r="J1087" i="8"/>
  <c r="J1081" i="8"/>
  <c r="J1075" i="8"/>
  <c r="J1069" i="8"/>
  <c r="J1063" i="8"/>
  <c r="H1084" i="8"/>
  <c r="I1084" i="8" s="1"/>
  <c r="H1078" i="8"/>
  <c r="H1072" i="8"/>
  <c r="I1072" i="8" s="1"/>
  <c r="H1066" i="8"/>
  <c r="I1066" i="8" s="1"/>
  <c r="H1060" i="8"/>
  <c r="I1060" i="8" s="1"/>
  <c r="K1086" i="8"/>
  <c r="L1086" i="8" s="1"/>
  <c r="M1086" i="8" s="1" a="1"/>
  <c r="M1086" i="8" s="1"/>
  <c r="K1080" i="8"/>
  <c r="K1074" i="8"/>
  <c r="L1074" i="8" s="1"/>
  <c r="M1074" i="8" s="1" a="1"/>
  <c r="M1074" i="8" s="1"/>
  <c r="K1068" i="8"/>
  <c r="L1068" i="8" s="1"/>
  <c r="M1068" i="8" s="1" a="1"/>
  <c r="M1068" i="8" s="1"/>
  <c r="K1062" i="8"/>
  <c r="L1062" i="8" s="1"/>
  <c r="M1062" i="8" s="1" a="1"/>
  <c r="M1062" i="8" s="1"/>
  <c r="J1086" i="8"/>
  <c r="J1080" i="8"/>
  <c r="J1074" i="8"/>
  <c r="J1068" i="8"/>
  <c r="J1062" i="8"/>
  <c r="H1083" i="8"/>
  <c r="I1083" i="8" s="1"/>
  <c r="H1077" i="8"/>
  <c r="I1077" i="8" s="1"/>
  <c r="H1071" i="8"/>
  <c r="H1065" i="8"/>
  <c r="I1065" i="8" s="1"/>
  <c r="H1059" i="8"/>
  <c r="H1047" i="8"/>
  <c r="I1047" i="8" s="1"/>
  <c r="H1046" i="8"/>
  <c r="I1046" i="8" s="1"/>
  <c r="H1045" i="8"/>
  <c r="I1045" i="8" s="1"/>
  <c r="K1056" i="8"/>
  <c r="L1056" i="8" s="1"/>
  <c r="M1056" i="8" s="1" a="1"/>
  <c r="M1056" i="8" s="1"/>
  <c r="K1050" i="8"/>
  <c r="L1050" i="8" s="1"/>
  <c r="M1050" i="8" s="1" a="1"/>
  <c r="M1050" i="8" s="1"/>
  <c r="K1044" i="8"/>
  <c r="L1044" i="8" s="1"/>
  <c r="M1044" i="8" s="1" a="1"/>
  <c r="M1044" i="8" s="1"/>
  <c r="J1055" i="8"/>
  <c r="J1049" i="8"/>
  <c r="J1043" i="8"/>
  <c r="H1056" i="8"/>
  <c r="I1056" i="8" s="1"/>
  <c r="H1050" i="8"/>
  <c r="I1050" i="8" s="1"/>
  <c r="H1044" i="8"/>
  <c r="I1044" i="8" s="1"/>
  <c r="K1055" i="8"/>
  <c r="L1055" i="8" s="1"/>
  <c r="M1055" i="8" s="1" a="1"/>
  <c r="M1055" i="8" s="1"/>
  <c r="K1049" i="8"/>
  <c r="L1049" i="8" s="1"/>
  <c r="M1049" i="8" s="1" a="1"/>
  <c r="M1049" i="8" s="1"/>
  <c r="K1043" i="8"/>
  <c r="L1043" i="8" s="1"/>
  <c r="M1043" i="8" s="1" a="1"/>
  <c r="M1043" i="8" s="1"/>
  <c r="J1054" i="8"/>
  <c r="J1048" i="8"/>
  <c r="J1042" i="8"/>
  <c r="H1055" i="8"/>
  <c r="I1055" i="8" s="1"/>
  <c r="H1049" i="8"/>
  <c r="I1049" i="8" s="1"/>
  <c r="H1043" i="8"/>
  <c r="I1043" i="8" s="1"/>
  <c r="K1054" i="8"/>
  <c r="L1054" i="8" s="1"/>
  <c r="M1054" i="8" s="1" a="1"/>
  <c r="M1054" i="8" s="1"/>
  <c r="K1048" i="8"/>
  <c r="L1048" i="8" s="1"/>
  <c r="M1048" i="8" s="1" a="1"/>
  <c r="M1048" i="8" s="1"/>
  <c r="K1042" i="8"/>
  <c r="L1042" i="8" s="1"/>
  <c r="M1042" i="8" s="1" a="1"/>
  <c r="M1042" i="8" s="1"/>
  <c r="J1053" i="8"/>
  <c r="J1047" i="8"/>
  <c r="H1054" i="8"/>
  <c r="I1054" i="8" s="1"/>
  <c r="H1048" i="8"/>
  <c r="I1048" i="8" s="1"/>
  <c r="H1042" i="8"/>
  <c r="I1042" i="8" s="1"/>
  <c r="K1053" i="8"/>
  <c r="L1053" i="8" s="1"/>
  <c r="M1053" i="8" s="1" a="1"/>
  <c r="M1053" i="8" s="1"/>
  <c r="K1047" i="8"/>
  <c r="L1047" i="8" s="1"/>
  <c r="M1047" i="8" s="1" a="1"/>
  <c r="M1047" i="8" s="1"/>
  <c r="J1058" i="8"/>
  <c r="J1052" i="8"/>
  <c r="J1046" i="8"/>
  <c r="H1053" i="8"/>
  <c r="I1053" i="8" s="1"/>
  <c r="K1058" i="8"/>
  <c r="L1058" i="8" s="1"/>
  <c r="M1058" i="8" s="1" a="1"/>
  <c r="M1058" i="8" s="1"/>
  <c r="K1052" i="8"/>
  <c r="L1052" i="8" s="1"/>
  <c r="M1052" i="8" s="1" a="1"/>
  <c r="M1052" i="8" s="1"/>
  <c r="K1046" i="8"/>
  <c r="L1046" i="8" s="1"/>
  <c r="M1046" i="8" s="1" a="1"/>
  <c r="M1046" i="8" s="1"/>
  <c r="J1057" i="8"/>
  <c r="J1051" i="8"/>
  <c r="H1058" i="8"/>
  <c r="I1058" i="8" s="1"/>
  <c r="H1052" i="8"/>
  <c r="I1052" i="8" s="1"/>
  <c r="K1057" i="8"/>
  <c r="L1057" i="8" s="1"/>
  <c r="M1057" i="8" s="1" a="1"/>
  <c r="M1057" i="8" s="1"/>
  <c r="K1051" i="8"/>
  <c r="L1051" i="8" s="1"/>
  <c r="M1051" i="8" s="1" a="1"/>
  <c r="M1051" i="8" s="1"/>
  <c r="K1045" i="8"/>
  <c r="L1045" i="8" s="1"/>
  <c r="M1045" i="8" s="1" a="1"/>
  <c r="M1045" i="8" s="1"/>
  <c r="J1056" i="8"/>
  <c r="J1050" i="8"/>
  <c r="J1044" i="8"/>
  <c r="H1057" i="8"/>
  <c r="I1057" i="8" s="1"/>
  <c r="H1051" i="8"/>
  <c r="I1051" i="8" s="1"/>
  <c r="K1036" i="8"/>
  <c r="L1036" i="8" s="1"/>
  <c r="M1036" i="8" s="1" a="1"/>
  <c r="M1036" i="8" s="1"/>
  <c r="K1034" i="8"/>
  <c r="L1034" i="8" s="1"/>
  <c r="M1034" i="8" s="1" a="1"/>
  <c r="M1034" i="8" s="1"/>
  <c r="H1038" i="8"/>
  <c r="I1038" i="8" s="1"/>
  <c r="H1026" i="8"/>
  <c r="I1026" i="8" s="1"/>
  <c r="H1032" i="8"/>
  <c r="I1032" i="8" s="1"/>
  <c r="H1029" i="8"/>
  <c r="K1040" i="8"/>
  <c r="L1040" i="8" s="1"/>
  <c r="M1040" i="8" s="1" a="1"/>
  <c r="M1040" i="8" s="1"/>
  <c r="K1028" i="8"/>
  <c r="L1028" i="8" s="1"/>
  <c r="M1028" i="8" s="1" a="1"/>
  <c r="M1028" i="8" s="1"/>
  <c r="J1027" i="8"/>
  <c r="J1031" i="8"/>
  <c r="K1027" i="8"/>
  <c r="L1027" i="8" s="1"/>
  <c r="M1027" i="8" s="1" a="1"/>
  <c r="M1027" i="8" s="1"/>
  <c r="K1038" i="8"/>
  <c r="L1038" i="8" s="1"/>
  <c r="M1038" i="8" s="1" a="1"/>
  <c r="M1038" i="8" s="1"/>
  <c r="K1032" i="8"/>
  <c r="L1032" i="8" s="1"/>
  <c r="M1032" i="8" s="1" a="1"/>
  <c r="M1032" i="8" s="1"/>
  <c r="K1026" i="8"/>
  <c r="L1026" i="8" s="1"/>
  <c r="M1026" i="8" s="1" a="1"/>
  <c r="M1026" i="8" s="1"/>
  <c r="J1030" i="8"/>
  <c r="H1030" i="8"/>
  <c r="J1037" i="8"/>
  <c r="K1039" i="8"/>
  <c r="L1039" i="8" s="1"/>
  <c r="M1039" i="8" s="1" a="1"/>
  <c r="M1039" i="8" s="1"/>
  <c r="K1033" i="8"/>
  <c r="L1033" i="8" s="1"/>
  <c r="M1033" i="8" s="1" a="1"/>
  <c r="M1033" i="8" s="1"/>
  <c r="K1037" i="8"/>
  <c r="K1031" i="8"/>
  <c r="L1031" i="8" s="1"/>
  <c r="M1031" i="8" s="1" a="1"/>
  <c r="M1031" i="8" s="1"/>
  <c r="J1041" i="8"/>
  <c r="J1035" i="8"/>
  <c r="J1029" i="8"/>
  <c r="H1041" i="8"/>
  <c r="I1041" i="8" s="1"/>
  <c r="H1035" i="8"/>
  <c r="H1037" i="8"/>
  <c r="K1030" i="8"/>
  <c r="L1030" i="8" s="1"/>
  <c r="M1030" i="8" s="1" a="1"/>
  <c r="M1030" i="8" s="1"/>
  <c r="H1031" i="8"/>
  <c r="I1031" i="8" s="1"/>
  <c r="K1041" i="8"/>
  <c r="L1041" i="8" s="1"/>
  <c r="M1041" i="8" s="1" a="1"/>
  <c r="M1041" i="8" s="1"/>
  <c r="J1039" i="8"/>
  <c r="H1027" i="8"/>
  <c r="I1027" i="8" s="1"/>
  <c r="K1029" i="8"/>
  <c r="H1033" i="8"/>
  <c r="I1033" i="8" s="1"/>
  <c r="K1035" i="8"/>
  <c r="J1033" i="8"/>
  <c r="H1039" i="8"/>
  <c r="I1039" i="8" s="1"/>
  <c r="J1038" i="8"/>
  <c r="J1026" i="8"/>
  <c r="I1030" i="8"/>
  <c r="I1029" i="8"/>
  <c r="H1025" i="8"/>
  <c r="I1025" i="8" s="1"/>
  <c r="J1025" i="8"/>
  <c r="V1036" i="5"/>
  <c r="H1062" i="5"/>
  <c r="H1031" i="5"/>
  <c r="H1089" i="5"/>
  <c r="H1080" i="5"/>
  <c r="E1036" i="5"/>
  <c r="H1071" i="5"/>
  <c r="H1055" i="5"/>
  <c r="V1048" i="5"/>
  <c r="E1048" i="5" s="1"/>
  <c r="F1048" i="5" s="1"/>
  <c r="E1041" i="5"/>
  <c r="V1087" i="5"/>
  <c r="E1087" i="5" s="1"/>
  <c r="F1087" i="5" s="1"/>
  <c r="V1078" i="5"/>
  <c r="E1078" i="5" s="1"/>
  <c r="F1078" i="5" s="1"/>
  <c r="V1069" i="5"/>
  <c r="E1069" i="5" s="1"/>
  <c r="F1069" i="5" s="1"/>
  <c r="V1060" i="5"/>
  <c r="E1060" i="5" s="1"/>
  <c r="F1060" i="5" s="1"/>
  <c r="V1053" i="5"/>
  <c r="E1053" i="5" s="1"/>
  <c r="F1053" i="5" s="1"/>
  <c r="V1041" i="5"/>
  <c r="V1029" i="5"/>
  <c r="E1029" i="5" s="1"/>
  <c r="E1031" i="5"/>
  <c r="F1031" i="5" s="1"/>
  <c r="H1082" i="5"/>
  <c r="E1082" i="5" s="1"/>
  <c r="H1073" i="5"/>
  <c r="E1073" i="5" s="1"/>
  <c r="H1064" i="5"/>
  <c r="E1064" i="5" s="1"/>
  <c r="H1057" i="5"/>
  <c r="E1057" i="5" s="1"/>
  <c r="F1057" i="5" s="1"/>
  <c r="H1050" i="5"/>
  <c r="E1050" i="5" s="1"/>
  <c r="F1050" i="5" s="1"/>
  <c r="H1038" i="5"/>
  <c r="E1038" i="5" s="1"/>
  <c r="H1026" i="5"/>
  <c r="E1026" i="5" s="1"/>
  <c r="E1043" i="5"/>
  <c r="F1043" i="5" s="1"/>
  <c r="H1084" i="5"/>
  <c r="E1084" i="5" s="1"/>
  <c r="F1084" i="5" s="1"/>
  <c r="H1075" i="5"/>
  <c r="E1075" i="5" s="1"/>
  <c r="F1075" i="5" s="1"/>
  <c r="H1066" i="5"/>
  <c r="E1066" i="5" s="1"/>
  <c r="F1066" i="5" s="1"/>
  <c r="H1045" i="5"/>
  <c r="E1045" i="5" s="1"/>
  <c r="H1033" i="5"/>
  <c r="E1033" i="5" s="1"/>
  <c r="E1055" i="5"/>
  <c r="F1055" i="5" s="1"/>
  <c r="H1059" i="5"/>
  <c r="E1059" i="5" s="1"/>
  <c r="H1052" i="5"/>
  <c r="E1052" i="5" s="1"/>
  <c r="H1040" i="5"/>
  <c r="E1040" i="5" s="1"/>
  <c r="H1028" i="5"/>
  <c r="E1028" i="5" s="1"/>
  <c r="H1086" i="5"/>
  <c r="E1086" i="5" s="1"/>
  <c r="H1077" i="5"/>
  <c r="E1077" i="5" s="1"/>
  <c r="F1077" i="5" s="1"/>
  <c r="H1068" i="5"/>
  <c r="E1068" i="5" s="1"/>
  <c r="F1068" i="5" s="1"/>
  <c r="H1047" i="5"/>
  <c r="E1047" i="5" s="1"/>
  <c r="H1035" i="5"/>
  <c r="E1035" i="5" s="1"/>
  <c r="H1088" i="5"/>
  <c r="E1088" i="5" s="1"/>
  <c r="F1088" i="5" s="1"/>
  <c r="H1079" i="5"/>
  <c r="E1079" i="5" s="1"/>
  <c r="H1070" i="5"/>
  <c r="E1070" i="5" s="1"/>
  <c r="H1061" i="5"/>
  <c r="E1061" i="5" s="1"/>
  <c r="H1054" i="5"/>
  <c r="E1054" i="5" s="1"/>
  <c r="F1054" i="5" s="1"/>
  <c r="H1042" i="5"/>
  <c r="E1042" i="5" s="1"/>
  <c r="F1042" i="5" s="1"/>
  <c r="H1030" i="5"/>
  <c r="E1030" i="5" s="1"/>
  <c r="F1030" i="5" s="1"/>
  <c r="E1089" i="5"/>
  <c r="H1081" i="5"/>
  <c r="E1081" i="5" s="1"/>
  <c r="F1081" i="5" s="1"/>
  <c r="H1072" i="5"/>
  <c r="E1072" i="5" s="1"/>
  <c r="F1072" i="5" s="1"/>
  <c r="H1063" i="5"/>
  <c r="E1063" i="5" s="1"/>
  <c r="F1063" i="5" s="1"/>
  <c r="H1049" i="5"/>
  <c r="H1037" i="5"/>
  <c r="E1037" i="5" s="1"/>
  <c r="H1025" i="5"/>
  <c r="E1025" i="5" s="1"/>
  <c r="H1090" i="5"/>
  <c r="E1090" i="5" s="1"/>
  <c r="H1056" i="5"/>
  <c r="E1056" i="5" s="1"/>
  <c r="F1056" i="5" s="1"/>
  <c r="H1044" i="5"/>
  <c r="E1044" i="5" s="1"/>
  <c r="H1032" i="5"/>
  <c r="E1032" i="5" s="1"/>
  <c r="E1080" i="5"/>
  <c r="F1080" i="5" s="1"/>
  <c r="H1083" i="5"/>
  <c r="E1083" i="5" s="1"/>
  <c r="F1083" i="5" s="1"/>
  <c r="H1074" i="5"/>
  <c r="E1074" i="5" s="1"/>
  <c r="F1074" i="5" s="1"/>
  <c r="H1065" i="5"/>
  <c r="E1065" i="5" s="1"/>
  <c r="F1065" i="5" s="1"/>
  <c r="H1058" i="5"/>
  <c r="E1058" i="5" s="1"/>
  <c r="H1051" i="5"/>
  <c r="E1051" i="5" s="1"/>
  <c r="H1039" i="5"/>
  <c r="E1039" i="5" s="1"/>
  <c r="F1039" i="5" s="1"/>
  <c r="H1027" i="5"/>
  <c r="E1027" i="5" s="1"/>
  <c r="E1071" i="5"/>
  <c r="F1071" i="5" s="1"/>
  <c r="H1085" i="5"/>
  <c r="E1085" i="5" s="1"/>
  <c r="F1085" i="5" s="1"/>
  <c r="H1076" i="5"/>
  <c r="E1076" i="5" s="1"/>
  <c r="F1076" i="5" s="1"/>
  <c r="H1067" i="5"/>
  <c r="E1067" i="5" s="1"/>
  <c r="F1067" i="5" s="1"/>
  <c r="H1046" i="5"/>
  <c r="E1046" i="5" s="1"/>
  <c r="H1034" i="5"/>
  <c r="E1034" i="5" s="1"/>
  <c r="E1062" i="5"/>
  <c r="F1062" i="5" s="1"/>
  <c r="F1079" i="5"/>
  <c r="F1058" i="5"/>
  <c r="F1090" i="5"/>
  <c r="F1089" i="5"/>
  <c r="F1073" i="5"/>
  <c r="F1064" i="5"/>
  <c r="F1082" i="5"/>
  <c r="F1045" i="5"/>
  <c r="F1033" i="5"/>
  <c r="F1059" i="5"/>
  <c r="F1036" i="5"/>
  <c r="F1086" i="5"/>
  <c r="F1070" i="5"/>
  <c r="F1061" i="5"/>
  <c r="F1027" i="5"/>
  <c r="D13" i="9"/>
  <c r="D14" i="9"/>
  <c r="D7" i="7"/>
  <c r="D6" i="7"/>
  <c r="D5" i="7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B1015" i="5"/>
  <c r="B1015" i="8" s="1"/>
  <c r="C1015" i="5"/>
  <c r="D1015" i="8" s="1"/>
  <c r="D1015" i="5" a="1"/>
  <c r="D1015" i="5" s="1"/>
  <c r="B1016" i="5"/>
  <c r="B1016" i="8" s="1"/>
  <c r="C1016" i="5"/>
  <c r="D1016" i="8" s="1"/>
  <c r="D1016" i="5" a="1"/>
  <c r="D1016" i="5" s="1"/>
  <c r="B1017" i="5"/>
  <c r="B1017" i="8" s="1"/>
  <c r="C1017" i="5"/>
  <c r="D1017" i="8" s="1"/>
  <c r="D1017" i="5" a="1"/>
  <c r="D1017" i="5" s="1"/>
  <c r="B1018" i="5"/>
  <c r="B1018" i="8" s="1"/>
  <c r="C1018" i="5"/>
  <c r="D1018" i="8" s="1"/>
  <c r="D1018" i="5" a="1"/>
  <c r="D1018" i="5" s="1"/>
  <c r="B1019" i="5"/>
  <c r="B1019" i="8" s="1"/>
  <c r="C1019" i="5"/>
  <c r="D1019" i="8" s="1"/>
  <c r="D1019" i="5" a="1"/>
  <c r="D1019" i="5" s="1"/>
  <c r="B1020" i="5"/>
  <c r="B1020" i="8" s="1"/>
  <c r="C1020" i="5"/>
  <c r="D1020" i="8" s="1"/>
  <c r="D1020" i="5" a="1"/>
  <c r="D1020" i="5" s="1"/>
  <c r="B1021" i="5"/>
  <c r="B1021" i="8" s="1"/>
  <c r="C1021" i="5"/>
  <c r="D1021" i="8" s="1"/>
  <c r="D1021" i="5" a="1"/>
  <c r="D1021" i="5" s="1"/>
  <c r="B1022" i="5"/>
  <c r="B1022" i="8" s="1"/>
  <c r="C1022" i="5"/>
  <c r="D1022" i="8" s="1"/>
  <c r="D1022" i="5" a="1"/>
  <c r="D1022" i="5" s="1"/>
  <c r="B1023" i="5"/>
  <c r="B1023" i="8" s="1"/>
  <c r="C1023" i="5"/>
  <c r="D1023" i="8" s="1"/>
  <c r="D1023" i="5" a="1"/>
  <c r="D1023" i="5" s="1"/>
  <c r="B1024" i="5"/>
  <c r="B1024" i="8" s="1"/>
  <c r="C1024" i="5"/>
  <c r="D1024" i="8" s="1"/>
  <c r="D1024" i="5" a="1"/>
  <c r="D1024" i="5" s="1"/>
  <c r="B5" i="5"/>
  <c r="C5" i="5"/>
  <c r="D5" i="5" a="1"/>
  <c r="D5" i="5" s="1"/>
  <c r="B6" i="5"/>
  <c r="C6" i="5"/>
  <c r="D6" i="5" a="1"/>
  <c r="D6" i="5" s="1"/>
  <c r="B7" i="5"/>
  <c r="B7" i="8" s="1"/>
  <c r="C7" i="5"/>
  <c r="D7" i="8" s="1"/>
  <c r="D7" i="5" a="1"/>
  <c r="D7" i="5" s="1"/>
  <c r="B8" i="5"/>
  <c r="B8" i="8" s="1"/>
  <c r="C8" i="5"/>
  <c r="D8" i="8" s="1"/>
  <c r="D8" i="5" a="1"/>
  <c r="D8" i="5" s="1"/>
  <c r="B9" i="5"/>
  <c r="C9" i="5"/>
  <c r="D9" i="5" a="1"/>
  <c r="D9" i="5" s="1"/>
  <c r="B10" i="5"/>
  <c r="B10" i="8" s="1"/>
  <c r="C10" i="5"/>
  <c r="D10" i="8" s="1"/>
  <c r="D10" i="5" a="1"/>
  <c r="D10" i="5" s="1"/>
  <c r="B11" i="5"/>
  <c r="C11" i="5"/>
  <c r="D11" i="5" a="1"/>
  <c r="D11" i="5" s="1"/>
  <c r="B12" i="5"/>
  <c r="B12" i="8" s="1"/>
  <c r="C12" i="5"/>
  <c r="D12" i="8" s="1"/>
  <c r="D12" i="5" a="1"/>
  <c r="D12" i="5" s="1"/>
  <c r="B13" i="5"/>
  <c r="B13" i="8" s="1"/>
  <c r="C13" i="5"/>
  <c r="D13" i="8" s="1"/>
  <c r="D13" i="5" a="1"/>
  <c r="D13" i="5" s="1"/>
  <c r="B14" i="5"/>
  <c r="C14" i="5"/>
  <c r="D14" i="5" a="1"/>
  <c r="D14" i="5" s="1"/>
  <c r="B15" i="5"/>
  <c r="C15" i="5"/>
  <c r="D15" i="5" a="1"/>
  <c r="D15" i="5" s="1"/>
  <c r="B16" i="5"/>
  <c r="V8" i="8" s="1"/>
  <c r="C16" i="5"/>
  <c r="X8" i="8" s="1"/>
  <c r="D16" i="5" a="1"/>
  <c r="D16" i="5" s="1"/>
  <c r="B17" i="5"/>
  <c r="B17" i="8" s="1"/>
  <c r="C17" i="5"/>
  <c r="D17" i="8" s="1"/>
  <c r="D17" i="5" a="1"/>
  <c r="D17" i="5" s="1"/>
  <c r="B18" i="5"/>
  <c r="B18" i="8" s="1"/>
  <c r="C18" i="5"/>
  <c r="D18" i="8" s="1"/>
  <c r="D18" i="5" a="1"/>
  <c r="D18" i="5" s="1"/>
  <c r="B19" i="5"/>
  <c r="B19" i="8" s="1"/>
  <c r="C19" i="5"/>
  <c r="D19" i="8" s="1"/>
  <c r="D19" i="5" a="1"/>
  <c r="D19" i="5" s="1"/>
  <c r="B20" i="5"/>
  <c r="C20" i="5"/>
  <c r="D20" i="5" a="1"/>
  <c r="D20" i="5" s="1"/>
  <c r="B21" i="5"/>
  <c r="B21" i="8" s="1"/>
  <c r="C21" i="5"/>
  <c r="D21" i="8" s="1"/>
  <c r="D21" i="5" a="1"/>
  <c r="D21" i="5" s="1"/>
  <c r="B22" i="5"/>
  <c r="B22" i="8" s="1"/>
  <c r="C22" i="5"/>
  <c r="D22" i="8" s="1"/>
  <c r="D22" i="5" a="1"/>
  <c r="D22" i="5" s="1"/>
  <c r="B23" i="5"/>
  <c r="V9" i="8" s="1"/>
  <c r="C23" i="5"/>
  <c r="X9" i="8" s="1"/>
  <c r="D23" i="5" a="1"/>
  <c r="D23" i="5" s="1"/>
  <c r="B24" i="5"/>
  <c r="B24" i="8" s="1"/>
  <c r="C24" i="5"/>
  <c r="D24" i="8" s="1"/>
  <c r="D24" i="5" a="1"/>
  <c r="D24" i="5" s="1"/>
  <c r="B25" i="5"/>
  <c r="B25" i="8" s="1"/>
  <c r="C25" i="5"/>
  <c r="D25" i="8" s="1"/>
  <c r="D25" i="5" a="1"/>
  <c r="D25" i="5" s="1"/>
  <c r="B26" i="5"/>
  <c r="V11" i="8" s="1"/>
  <c r="C26" i="5"/>
  <c r="X11" i="8" s="1"/>
  <c r="D26" i="5" a="1"/>
  <c r="D26" i="5" s="1"/>
  <c r="B27" i="5"/>
  <c r="B27" i="8" s="1"/>
  <c r="C27" i="5"/>
  <c r="D27" i="8" s="1"/>
  <c r="D27" i="5" a="1"/>
  <c r="D27" i="5" s="1"/>
  <c r="B28" i="5"/>
  <c r="B28" i="8" s="1"/>
  <c r="C28" i="5"/>
  <c r="D28" i="8" s="1"/>
  <c r="D28" i="5" a="1"/>
  <c r="D28" i="5" s="1"/>
  <c r="B29" i="5"/>
  <c r="B29" i="8" s="1"/>
  <c r="C29" i="5"/>
  <c r="D29" i="8" s="1"/>
  <c r="D29" i="5" a="1"/>
  <c r="D29" i="5" s="1"/>
  <c r="B30" i="5"/>
  <c r="B30" i="8" s="1"/>
  <c r="C30" i="5"/>
  <c r="D30" i="8" s="1"/>
  <c r="D30" i="5" a="1"/>
  <c r="D30" i="5" s="1"/>
  <c r="B31" i="5"/>
  <c r="B31" i="8" s="1"/>
  <c r="C31" i="5"/>
  <c r="D31" i="8" s="1"/>
  <c r="D31" i="5" a="1"/>
  <c r="D31" i="5" s="1"/>
  <c r="B32" i="5"/>
  <c r="C32" i="5"/>
  <c r="D32" i="5" a="1"/>
  <c r="D32" i="5" s="1"/>
  <c r="B33" i="5"/>
  <c r="B33" i="8" s="1"/>
  <c r="C33" i="5"/>
  <c r="D33" i="8" s="1"/>
  <c r="D33" i="5" a="1"/>
  <c r="D33" i="5" s="1"/>
  <c r="B34" i="5"/>
  <c r="B34" i="8" s="1"/>
  <c r="C34" i="5"/>
  <c r="D34" i="8" s="1"/>
  <c r="D34" i="5" a="1"/>
  <c r="D34" i="5" s="1"/>
  <c r="B35" i="5"/>
  <c r="B35" i="8" s="1"/>
  <c r="C35" i="5"/>
  <c r="D35" i="8" s="1"/>
  <c r="D35" i="5" a="1"/>
  <c r="D35" i="5" s="1"/>
  <c r="B36" i="5"/>
  <c r="B36" i="8" s="1"/>
  <c r="C36" i="5"/>
  <c r="D36" i="8" s="1"/>
  <c r="D36" i="5" a="1"/>
  <c r="D36" i="5" s="1"/>
  <c r="B37" i="5"/>
  <c r="B37" i="8" s="1"/>
  <c r="C37" i="5"/>
  <c r="D37" i="8" s="1"/>
  <c r="D37" i="5" a="1"/>
  <c r="D37" i="5" s="1"/>
  <c r="B38" i="5"/>
  <c r="B38" i="8" s="1"/>
  <c r="C38" i="5"/>
  <c r="D38" i="8" s="1"/>
  <c r="D38" i="5" a="1"/>
  <c r="D38" i="5" s="1"/>
  <c r="B39" i="5"/>
  <c r="B39" i="8" s="1"/>
  <c r="C39" i="5"/>
  <c r="D39" i="8" s="1"/>
  <c r="D39" i="5" a="1"/>
  <c r="D39" i="5" s="1"/>
  <c r="B40" i="5"/>
  <c r="B40" i="8" s="1"/>
  <c r="C40" i="5"/>
  <c r="D40" i="8" s="1"/>
  <c r="D40" i="5" a="1"/>
  <c r="D40" i="5" s="1"/>
  <c r="B41" i="5"/>
  <c r="B41" i="8" s="1"/>
  <c r="C41" i="5"/>
  <c r="D41" i="8" s="1"/>
  <c r="D41" i="5" a="1"/>
  <c r="D41" i="5" s="1"/>
  <c r="B42" i="5"/>
  <c r="B42" i="8" s="1"/>
  <c r="C42" i="5"/>
  <c r="D42" i="8" s="1"/>
  <c r="D42" i="5" a="1"/>
  <c r="D42" i="5" s="1"/>
  <c r="B43" i="5"/>
  <c r="C43" i="5"/>
  <c r="D43" i="5" a="1"/>
  <c r="D43" i="5" s="1"/>
  <c r="B44" i="5"/>
  <c r="B44" i="8" s="1"/>
  <c r="C44" i="5"/>
  <c r="D44" i="8" s="1"/>
  <c r="D44" i="5" a="1"/>
  <c r="D44" i="5" s="1"/>
  <c r="B45" i="5"/>
  <c r="B45" i="8" s="1"/>
  <c r="C45" i="5"/>
  <c r="D45" i="8" s="1"/>
  <c r="D45" i="5" a="1"/>
  <c r="D45" i="5" s="1"/>
  <c r="B46" i="5"/>
  <c r="B46" i="8" s="1"/>
  <c r="C46" i="5"/>
  <c r="D46" i="8" s="1"/>
  <c r="D46" i="5" a="1"/>
  <c r="D46" i="5" s="1"/>
  <c r="B47" i="5"/>
  <c r="B47" i="8" s="1"/>
  <c r="C47" i="5"/>
  <c r="D47" i="8" s="1"/>
  <c r="D47" i="5" a="1"/>
  <c r="D47" i="5" s="1"/>
  <c r="B48" i="5"/>
  <c r="B48" i="8" s="1"/>
  <c r="C48" i="5"/>
  <c r="D48" i="8" s="1"/>
  <c r="D48" i="5" a="1"/>
  <c r="D48" i="5" s="1"/>
  <c r="B49" i="5"/>
  <c r="B49" i="8" s="1"/>
  <c r="C49" i="5"/>
  <c r="D49" i="8" s="1"/>
  <c r="D49" i="5" a="1"/>
  <c r="D49" i="5" s="1"/>
  <c r="B50" i="5"/>
  <c r="B50" i="8" s="1"/>
  <c r="C50" i="5"/>
  <c r="D50" i="8" s="1"/>
  <c r="D50" i="5" a="1"/>
  <c r="D50" i="5" s="1"/>
  <c r="B51" i="5"/>
  <c r="B51" i="8" s="1"/>
  <c r="C51" i="5"/>
  <c r="D51" i="8" s="1"/>
  <c r="D51" i="5" a="1"/>
  <c r="D51" i="5" s="1"/>
  <c r="B52" i="5"/>
  <c r="B52" i="8" s="1"/>
  <c r="C52" i="5"/>
  <c r="D52" i="8" s="1"/>
  <c r="D52" i="5" a="1"/>
  <c r="D52" i="5" s="1"/>
  <c r="B53" i="5"/>
  <c r="B53" i="8" s="1"/>
  <c r="C53" i="5"/>
  <c r="D53" i="8" s="1"/>
  <c r="D53" i="5" a="1"/>
  <c r="D53" i="5" s="1"/>
  <c r="B54" i="5"/>
  <c r="B54" i="8" s="1"/>
  <c r="C54" i="5"/>
  <c r="D54" i="8" s="1"/>
  <c r="D54" i="5" a="1"/>
  <c r="D54" i="5" s="1"/>
  <c r="B55" i="5"/>
  <c r="B55" i="8" s="1"/>
  <c r="C55" i="5"/>
  <c r="D55" i="8" s="1"/>
  <c r="D55" i="5" a="1"/>
  <c r="D55" i="5" s="1"/>
  <c r="B56" i="5"/>
  <c r="B56" i="8" s="1"/>
  <c r="C56" i="5"/>
  <c r="D56" i="8" s="1"/>
  <c r="D56" i="5" a="1"/>
  <c r="D56" i="5" s="1"/>
  <c r="B57" i="5"/>
  <c r="B57" i="8" s="1"/>
  <c r="C57" i="5"/>
  <c r="D57" i="8" s="1"/>
  <c r="D57" i="5" a="1"/>
  <c r="D57" i="5" s="1"/>
  <c r="B58" i="5"/>
  <c r="B58" i="8" s="1"/>
  <c r="C58" i="5"/>
  <c r="D58" i="8" s="1"/>
  <c r="D58" i="5" a="1"/>
  <c r="D58" i="5" s="1"/>
  <c r="B59" i="5"/>
  <c r="B59" i="8" s="1"/>
  <c r="C59" i="5"/>
  <c r="D59" i="8" s="1"/>
  <c r="D59" i="5" a="1"/>
  <c r="D59" i="5" s="1"/>
  <c r="B60" i="5"/>
  <c r="B60" i="8" s="1"/>
  <c r="C60" i="5"/>
  <c r="D60" i="8" s="1"/>
  <c r="D60" i="5" a="1"/>
  <c r="D60" i="5" s="1"/>
  <c r="B61" i="5"/>
  <c r="B61" i="8" s="1"/>
  <c r="C61" i="5"/>
  <c r="D61" i="8" s="1"/>
  <c r="D61" i="5" a="1"/>
  <c r="D61" i="5" s="1"/>
  <c r="B62" i="5"/>
  <c r="B62" i="8" s="1"/>
  <c r="C62" i="5"/>
  <c r="D62" i="8" s="1"/>
  <c r="D62" i="5" a="1"/>
  <c r="D62" i="5" s="1"/>
  <c r="B63" i="5"/>
  <c r="B63" i="8" s="1"/>
  <c r="C63" i="5"/>
  <c r="D63" i="8" s="1"/>
  <c r="D63" i="5" a="1"/>
  <c r="D63" i="5" s="1"/>
  <c r="B64" i="5"/>
  <c r="B64" i="8" s="1"/>
  <c r="C64" i="5"/>
  <c r="D64" i="8" s="1"/>
  <c r="D64" i="5" a="1"/>
  <c r="D64" i="5" s="1"/>
  <c r="B65" i="5"/>
  <c r="B65" i="8" s="1"/>
  <c r="C65" i="5"/>
  <c r="D65" i="8" s="1"/>
  <c r="D65" i="5" a="1"/>
  <c r="D65" i="5" s="1"/>
  <c r="B66" i="5"/>
  <c r="B66" i="8" s="1"/>
  <c r="C66" i="5"/>
  <c r="D66" i="8" s="1"/>
  <c r="D66" i="5" a="1"/>
  <c r="D66" i="5" s="1"/>
  <c r="B67" i="5"/>
  <c r="B67" i="8" s="1"/>
  <c r="C67" i="5"/>
  <c r="D67" i="8" s="1"/>
  <c r="D67" i="5" a="1"/>
  <c r="D67" i="5" s="1"/>
  <c r="B68" i="5"/>
  <c r="B68" i="8" s="1"/>
  <c r="C68" i="5"/>
  <c r="D68" i="8" s="1"/>
  <c r="D68" i="5" a="1"/>
  <c r="D68" i="5" s="1"/>
  <c r="B69" i="5"/>
  <c r="B69" i="8" s="1"/>
  <c r="C69" i="5"/>
  <c r="D69" i="8" s="1"/>
  <c r="D69" i="5" a="1"/>
  <c r="D69" i="5" s="1"/>
  <c r="B70" i="5"/>
  <c r="B70" i="8" s="1"/>
  <c r="C70" i="5"/>
  <c r="D70" i="8" s="1"/>
  <c r="D70" i="5" a="1"/>
  <c r="D70" i="5" s="1"/>
  <c r="B71" i="5"/>
  <c r="B71" i="8" s="1"/>
  <c r="C71" i="5"/>
  <c r="D71" i="8" s="1"/>
  <c r="D71" i="5" a="1"/>
  <c r="D71" i="5" s="1"/>
  <c r="B72" i="5"/>
  <c r="B72" i="8" s="1"/>
  <c r="C72" i="5"/>
  <c r="D72" i="8" s="1"/>
  <c r="D72" i="5" a="1"/>
  <c r="D72" i="5" s="1"/>
  <c r="B73" i="5"/>
  <c r="B73" i="8" s="1"/>
  <c r="C73" i="5"/>
  <c r="D73" i="8" s="1"/>
  <c r="D73" i="5" a="1"/>
  <c r="D73" i="5" s="1"/>
  <c r="B74" i="5"/>
  <c r="B74" i="8" s="1"/>
  <c r="C74" i="5"/>
  <c r="D74" i="8" s="1"/>
  <c r="D74" i="5" a="1"/>
  <c r="D74" i="5" s="1"/>
  <c r="B75" i="5"/>
  <c r="B75" i="8" s="1"/>
  <c r="C75" i="5"/>
  <c r="D75" i="8" s="1"/>
  <c r="D75" i="5" a="1"/>
  <c r="D75" i="5" s="1"/>
  <c r="B76" i="5"/>
  <c r="B76" i="8" s="1"/>
  <c r="C76" i="5"/>
  <c r="D76" i="8" s="1"/>
  <c r="D76" i="5" a="1"/>
  <c r="D76" i="5" s="1"/>
  <c r="B77" i="5"/>
  <c r="B77" i="8" s="1"/>
  <c r="C77" i="5"/>
  <c r="D77" i="8" s="1"/>
  <c r="D77" i="5" a="1"/>
  <c r="D77" i="5" s="1"/>
  <c r="B78" i="5"/>
  <c r="B78" i="8" s="1"/>
  <c r="C78" i="5"/>
  <c r="D78" i="8" s="1"/>
  <c r="D78" i="5" a="1"/>
  <c r="D78" i="5" s="1"/>
  <c r="B79" i="5"/>
  <c r="B79" i="8" s="1"/>
  <c r="C79" i="5"/>
  <c r="D79" i="8" s="1"/>
  <c r="D79" i="5" a="1"/>
  <c r="D79" i="5" s="1"/>
  <c r="B80" i="5"/>
  <c r="B80" i="8" s="1"/>
  <c r="C80" i="5"/>
  <c r="D80" i="8" s="1"/>
  <c r="D80" i="5" a="1"/>
  <c r="D80" i="5" s="1"/>
  <c r="B81" i="5"/>
  <c r="B81" i="8" s="1"/>
  <c r="C81" i="5"/>
  <c r="D81" i="8" s="1"/>
  <c r="D81" i="5" a="1"/>
  <c r="D81" i="5" s="1"/>
  <c r="B82" i="5"/>
  <c r="B82" i="8" s="1"/>
  <c r="C82" i="5"/>
  <c r="D82" i="8" s="1"/>
  <c r="D82" i="5" a="1"/>
  <c r="D82" i="5" s="1"/>
  <c r="B83" i="5"/>
  <c r="B83" i="8" s="1"/>
  <c r="C83" i="5"/>
  <c r="D83" i="8" s="1"/>
  <c r="D83" i="5" a="1"/>
  <c r="D83" i="5" s="1"/>
  <c r="B84" i="5"/>
  <c r="B84" i="8" s="1"/>
  <c r="C84" i="5"/>
  <c r="D84" i="8" s="1"/>
  <c r="D84" i="5" a="1"/>
  <c r="D84" i="5" s="1"/>
  <c r="B85" i="5"/>
  <c r="B85" i="8" s="1"/>
  <c r="C85" i="5"/>
  <c r="D85" i="8" s="1"/>
  <c r="D85" i="5" a="1"/>
  <c r="D85" i="5" s="1"/>
  <c r="B86" i="5"/>
  <c r="B86" i="8" s="1"/>
  <c r="C86" i="5"/>
  <c r="D86" i="8" s="1"/>
  <c r="D86" i="5" a="1"/>
  <c r="D86" i="5" s="1"/>
  <c r="B87" i="5"/>
  <c r="B87" i="8" s="1"/>
  <c r="C87" i="5"/>
  <c r="D87" i="8" s="1"/>
  <c r="D87" i="5" a="1"/>
  <c r="D87" i="5" s="1"/>
  <c r="B88" i="5"/>
  <c r="B88" i="8" s="1"/>
  <c r="C88" i="5"/>
  <c r="D88" i="8" s="1"/>
  <c r="D88" i="5" a="1"/>
  <c r="D88" i="5" s="1"/>
  <c r="B89" i="5"/>
  <c r="B89" i="8" s="1"/>
  <c r="C89" i="5"/>
  <c r="D89" i="8" s="1"/>
  <c r="D89" i="5" a="1"/>
  <c r="D89" i="5" s="1"/>
  <c r="B90" i="5"/>
  <c r="B90" i="8" s="1"/>
  <c r="C90" i="5"/>
  <c r="D90" i="8" s="1"/>
  <c r="D90" i="5" a="1"/>
  <c r="D90" i="5" s="1"/>
  <c r="B91" i="5"/>
  <c r="B91" i="8" s="1"/>
  <c r="C91" i="5"/>
  <c r="D91" i="8" s="1"/>
  <c r="D91" i="5" a="1"/>
  <c r="D91" i="5" s="1"/>
  <c r="B92" i="5"/>
  <c r="B92" i="8" s="1"/>
  <c r="C92" i="5"/>
  <c r="D92" i="8" s="1"/>
  <c r="D92" i="5" a="1"/>
  <c r="D92" i="5" s="1"/>
  <c r="B93" i="5"/>
  <c r="B93" i="8" s="1"/>
  <c r="C93" i="5"/>
  <c r="D93" i="8" s="1"/>
  <c r="D93" i="5" a="1"/>
  <c r="D93" i="5" s="1"/>
  <c r="B94" i="5"/>
  <c r="B94" i="8" s="1"/>
  <c r="C94" i="5"/>
  <c r="D94" i="8" s="1"/>
  <c r="D94" i="5" a="1"/>
  <c r="D94" i="5" s="1"/>
  <c r="B95" i="5"/>
  <c r="B95" i="8" s="1"/>
  <c r="C95" i="5"/>
  <c r="D95" i="8" s="1"/>
  <c r="D95" i="5" a="1"/>
  <c r="D95" i="5" s="1"/>
  <c r="B96" i="5"/>
  <c r="B96" i="8" s="1"/>
  <c r="C96" i="5"/>
  <c r="D96" i="8" s="1"/>
  <c r="D96" i="5" a="1"/>
  <c r="D96" i="5" s="1"/>
  <c r="B97" i="5"/>
  <c r="B97" i="8" s="1"/>
  <c r="C97" i="5"/>
  <c r="D97" i="8" s="1"/>
  <c r="D97" i="5" a="1"/>
  <c r="D97" i="5" s="1"/>
  <c r="B98" i="5"/>
  <c r="B98" i="8" s="1"/>
  <c r="C98" i="5"/>
  <c r="D98" i="8" s="1"/>
  <c r="D98" i="5" a="1"/>
  <c r="D98" i="5" s="1"/>
  <c r="B99" i="5"/>
  <c r="B99" i="8" s="1"/>
  <c r="C99" i="5"/>
  <c r="D99" i="8" s="1"/>
  <c r="D99" i="5" a="1"/>
  <c r="D99" i="5" s="1"/>
  <c r="B100" i="5"/>
  <c r="B100" i="8" s="1"/>
  <c r="C100" i="5"/>
  <c r="D100" i="8" s="1"/>
  <c r="D100" i="5" a="1"/>
  <c r="D100" i="5" s="1"/>
  <c r="B101" i="5"/>
  <c r="B101" i="8" s="1"/>
  <c r="C101" i="5"/>
  <c r="D101" i="8" s="1"/>
  <c r="D101" i="5" a="1"/>
  <c r="D101" i="5" s="1"/>
  <c r="B102" i="5"/>
  <c r="B102" i="8" s="1"/>
  <c r="C102" i="5"/>
  <c r="D102" i="8" s="1"/>
  <c r="D102" i="5" a="1"/>
  <c r="D102" i="5" s="1"/>
  <c r="B103" i="5"/>
  <c r="B103" i="8" s="1"/>
  <c r="C103" i="5"/>
  <c r="D103" i="8" s="1"/>
  <c r="D103" i="5" a="1"/>
  <c r="D103" i="5" s="1"/>
  <c r="B104" i="5"/>
  <c r="B104" i="8" s="1"/>
  <c r="C104" i="5"/>
  <c r="D104" i="8" s="1"/>
  <c r="D104" i="5" a="1"/>
  <c r="D104" i="5" s="1"/>
  <c r="B105" i="5"/>
  <c r="B105" i="8" s="1"/>
  <c r="C105" i="5"/>
  <c r="D105" i="8" s="1"/>
  <c r="D105" i="5" a="1"/>
  <c r="D105" i="5" s="1"/>
  <c r="B106" i="5"/>
  <c r="B106" i="8" s="1"/>
  <c r="C106" i="5"/>
  <c r="D106" i="8" s="1"/>
  <c r="D106" i="5" a="1"/>
  <c r="D106" i="5" s="1"/>
  <c r="B107" i="5"/>
  <c r="B107" i="8" s="1"/>
  <c r="C107" i="5"/>
  <c r="D107" i="8" s="1"/>
  <c r="D107" i="5" a="1"/>
  <c r="D107" i="5" s="1"/>
  <c r="B108" i="5"/>
  <c r="B108" i="8" s="1"/>
  <c r="C108" i="5"/>
  <c r="D108" i="8" s="1"/>
  <c r="D108" i="5" a="1"/>
  <c r="D108" i="5" s="1"/>
  <c r="B109" i="5"/>
  <c r="B109" i="8" s="1"/>
  <c r="C109" i="5"/>
  <c r="D109" i="8" s="1"/>
  <c r="D109" i="5" a="1"/>
  <c r="D109" i="5" s="1"/>
  <c r="B110" i="5"/>
  <c r="B110" i="8" s="1"/>
  <c r="C110" i="5"/>
  <c r="D110" i="8" s="1"/>
  <c r="D110" i="5" a="1"/>
  <c r="D110" i="5" s="1"/>
  <c r="B111" i="5"/>
  <c r="B111" i="8" s="1"/>
  <c r="C111" i="5"/>
  <c r="D111" i="8" s="1"/>
  <c r="D111" i="5" a="1"/>
  <c r="D111" i="5" s="1"/>
  <c r="B112" i="5"/>
  <c r="B112" i="8" s="1"/>
  <c r="C112" i="5"/>
  <c r="D112" i="8" s="1"/>
  <c r="D112" i="5" a="1"/>
  <c r="D112" i="5" s="1"/>
  <c r="B113" i="5"/>
  <c r="B113" i="8" s="1"/>
  <c r="C113" i="5"/>
  <c r="D113" i="8" s="1"/>
  <c r="D113" i="5" a="1"/>
  <c r="D113" i="5" s="1"/>
  <c r="B114" i="5"/>
  <c r="B114" i="8" s="1"/>
  <c r="C114" i="5"/>
  <c r="D114" i="8" s="1"/>
  <c r="D114" i="5" a="1"/>
  <c r="D114" i="5" s="1"/>
  <c r="B115" i="5"/>
  <c r="B115" i="8" s="1"/>
  <c r="C115" i="5"/>
  <c r="D115" i="8" s="1"/>
  <c r="D115" i="5" a="1"/>
  <c r="D115" i="5" s="1"/>
  <c r="B116" i="5"/>
  <c r="B116" i="8" s="1"/>
  <c r="C116" i="5"/>
  <c r="D116" i="8" s="1"/>
  <c r="D116" i="5" a="1"/>
  <c r="D116" i="5" s="1"/>
  <c r="B117" i="5"/>
  <c r="B117" i="8" s="1"/>
  <c r="C117" i="5"/>
  <c r="D117" i="8" s="1"/>
  <c r="D117" i="5" a="1"/>
  <c r="D117" i="5" s="1"/>
  <c r="B118" i="5"/>
  <c r="B118" i="8" s="1"/>
  <c r="C118" i="5"/>
  <c r="D118" i="8" s="1"/>
  <c r="D118" i="5" a="1"/>
  <c r="D118" i="5" s="1"/>
  <c r="B119" i="5"/>
  <c r="B119" i="8" s="1"/>
  <c r="C119" i="5"/>
  <c r="D119" i="8" s="1"/>
  <c r="D119" i="5" a="1"/>
  <c r="D119" i="5" s="1"/>
  <c r="B120" i="5"/>
  <c r="B120" i="8" s="1"/>
  <c r="C120" i="5"/>
  <c r="D120" i="8" s="1"/>
  <c r="D120" i="5" a="1"/>
  <c r="D120" i="5" s="1"/>
  <c r="B121" i="5"/>
  <c r="B121" i="8" s="1"/>
  <c r="C121" i="5"/>
  <c r="D121" i="8" s="1"/>
  <c r="D121" i="5" a="1"/>
  <c r="D121" i="5" s="1"/>
  <c r="B122" i="5"/>
  <c r="B122" i="8" s="1"/>
  <c r="C122" i="5"/>
  <c r="D122" i="8" s="1"/>
  <c r="D122" i="5" a="1"/>
  <c r="D122" i="5" s="1"/>
  <c r="B123" i="5"/>
  <c r="B123" i="8" s="1"/>
  <c r="C123" i="5"/>
  <c r="D123" i="8" s="1"/>
  <c r="D123" i="5" a="1"/>
  <c r="D123" i="5" s="1"/>
  <c r="B124" i="5"/>
  <c r="B124" i="8" s="1"/>
  <c r="C124" i="5"/>
  <c r="D124" i="8" s="1"/>
  <c r="D124" i="5" a="1"/>
  <c r="D124" i="5" s="1"/>
  <c r="B125" i="5"/>
  <c r="B125" i="8" s="1"/>
  <c r="C125" i="5"/>
  <c r="D125" i="8" s="1"/>
  <c r="D125" i="5" a="1"/>
  <c r="D125" i="5" s="1"/>
  <c r="B126" i="5"/>
  <c r="B126" i="8" s="1"/>
  <c r="C126" i="5"/>
  <c r="D126" i="8" s="1"/>
  <c r="D126" i="5" a="1"/>
  <c r="D126" i="5" s="1"/>
  <c r="B127" i="5"/>
  <c r="B127" i="8" s="1"/>
  <c r="C127" i="5"/>
  <c r="D127" i="8" s="1"/>
  <c r="D127" i="5" a="1"/>
  <c r="D127" i="5" s="1"/>
  <c r="B128" i="5"/>
  <c r="B128" i="8" s="1"/>
  <c r="C128" i="5"/>
  <c r="D128" i="8" s="1"/>
  <c r="D128" i="5" a="1"/>
  <c r="D128" i="5" s="1"/>
  <c r="B129" i="5"/>
  <c r="B129" i="8" s="1"/>
  <c r="C129" i="5"/>
  <c r="D129" i="8" s="1"/>
  <c r="D129" i="5" a="1"/>
  <c r="D129" i="5" s="1"/>
  <c r="B130" i="5"/>
  <c r="B130" i="8" s="1"/>
  <c r="C130" i="5"/>
  <c r="D130" i="8" s="1"/>
  <c r="D130" i="5" a="1"/>
  <c r="D130" i="5" s="1"/>
  <c r="B131" i="5"/>
  <c r="B131" i="8" s="1"/>
  <c r="C131" i="5"/>
  <c r="D131" i="8" s="1"/>
  <c r="D131" i="5" a="1"/>
  <c r="D131" i="5" s="1"/>
  <c r="B132" i="5"/>
  <c r="B132" i="8" s="1"/>
  <c r="C132" i="5"/>
  <c r="D132" i="8" s="1"/>
  <c r="D132" i="5" a="1"/>
  <c r="D132" i="5" s="1"/>
  <c r="B133" i="5"/>
  <c r="B133" i="8" s="1"/>
  <c r="C133" i="5"/>
  <c r="D133" i="8" s="1"/>
  <c r="D133" i="5" a="1"/>
  <c r="D133" i="5" s="1"/>
  <c r="B134" i="5"/>
  <c r="B134" i="8" s="1"/>
  <c r="C134" i="5"/>
  <c r="D134" i="8" s="1"/>
  <c r="D134" i="5" a="1"/>
  <c r="D134" i="5" s="1"/>
  <c r="B135" i="5"/>
  <c r="B135" i="8" s="1"/>
  <c r="C135" i="5"/>
  <c r="D135" i="8" s="1"/>
  <c r="D135" i="5" a="1"/>
  <c r="D135" i="5" s="1"/>
  <c r="B136" i="5"/>
  <c r="B136" i="8" s="1"/>
  <c r="C136" i="5"/>
  <c r="D136" i="8" s="1"/>
  <c r="D136" i="5" a="1"/>
  <c r="D136" i="5" s="1"/>
  <c r="B137" i="5"/>
  <c r="B137" i="8" s="1"/>
  <c r="C137" i="5"/>
  <c r="D137" i="8" s="1"/>
  <c r="D137" i="5" a="1"/>
  <c r="D137" i="5" s="1"/>
  <c r="B138" i="5"/>
  <c r="B138" i="8" s="1"/>
  <c r="C138" i="5"/>
  <c r="D138" i="8" s="1"/>
  <c r="D138" i="5" a="1"/>
  <c r="D138" i="5" s="1"/>
  <c r="B139" i="5"/>
  <c r="B139" i="8" s="1"/>
  <c r="C139" i="5"/>
  <c r="D139" i="8" s="1"/>
  <c r="D139" i="5" a="1"/>
  <c r="D139" i="5" s="1"/>
  <c r="B140" i="5"/>
  <c r="B140" i="8" s="1"/>
  <c r="C140" i="5"/>
  <c r="D140" i="8" s="1"/>
  <c r="D140" i="5" a="1"/>
  <c r="D140" i="5" s="1"/>
  <c r="B141" i="5"/>
  <c r="B141" i="8" s="1"/>
  <c r="C141" i="5"/>
  <c r="D141" i="8" s="1"/>
  <c r="D141" i="5" a="1"/>
  <c r="D141" i="5" s="1"/>
  <c r="B142" i="5"/>
  <c r="B142" i="8" s="1"/>
  <c r="C142" i="5"/>
  <c r="D142" i="8" s="1"/>
  <c r="D142" i="5" a="1"/>
  <c r="D142" i="5" s="1"/>
  <c r="B143" i="5"/>
  <c r="B143" i="8" s="1"/>
  <c r="C143" i="5"/>
  <c r="D143" i="8" s="1"/>
  <c r="D143" i="5" a="1"/>
  <c r="D143" i="5" s="1"/>
  <c r="B144" i="5"/>
  <c r="B144" i="8" s="1"/>
  <c r="C144" i="5"/>
  <c r="D144" i="8" s="1"/>
  <c r="D144" i="5" a="1"/>
  <c r="D144" i="5" s="1"/>
  <c r="B145" i="5"/>
  <c r="B145" i="8" s="1"/>
  <c r="C145" i="5"/>
  <c r="D145" i="8" s="1"/>
  <c r="D145" i="5" a="1"/>
  <c r="D145" i="5" s="1"/>
  <c r="B146" i="5"/>
  <c r="B146" i="8" s="1"/>
  <c r="C146" i="5"/>
  <c r="D146" i="8" s="1"/>
  <c r="D146" i="5" a="1"/>
  <c r="D146" i="5" s="1"/>
  <c r="B147" i="5"/>
  <c r="B147" i="8" s="1"/>
  <c r="C147" i="5"/>
  <c r="D147" i="8" s="1"/>
  <c r="D147" i="5" a="1"/>
  <c r="D147" i="5" s="1"/>
  <c r="B148" i="5"/>
  <c r="B148" i="8" s="1"/>
  <c r="C148" i="5"/>
  <c r="D148" i="8" s="1"/>
  <c r="D148" i="5" a="1"/>
  <c r="D148" i="5" s="1"/>
  <c r="B149" i="5"/>
  <c r="B149" i="8" s="1"/>
  <c r="C149" i="5"/>
  <c r="D149" i="8" s="1"/>
  <c r="D149" i="5" a="1"/>
  <c r="D149" i="5" s="1"/>
  <c r="B150" i="5"/>
  <c r="B150" i="8" s="1"/>
  <c r="C150" i="5"/>
  <c r="D150" i="8" s="1"/>
  <c r="D150" i="5" a="1"/>
  <c r="D150" i="5" s="1"/>
  <c r="B151" i="5"/>
  <c r="B151" i="8" s="1"/>
  <c r="C151" i="5"/>
  <c r="D151" i="8" s="1"/>
  <c r="D151" i="5" a="1"/>
  <c r="D151" i="5" s="1"/>
  <c r="B152" i="5"/>
  <c r="B152" i="8" s="1"/>
  <c r="C152" i="5"/>
  <c r="D152" i="8" s="1"/>
  <c r="D152" i="5" a="1"/>
  <c r="D152" i="5" s="1"/>
  <c r="B153" i="5"/>
  <c r="B153" i="8" s="1"/>
  <c r="C153" i="5"/>
  <c r="D153" i="8" s="1"/>
  <c r="D153" i="5" a="1"/>
  <c r="D153" i="5" s="1"/>
  <c r="B154" i="5"/>
  <c r="B154" i="8" s="1"/>
  <c r="C154" i="5"/>
  <c r="D154" i="8" s="1"/>
  <c r="D154" i="5" a="1"/>
  <c r="D154" i="5" s="1"/>
  <c r="B155" i="5"/>
  <c r="B155" i="8" s="1"/>
  <c r="C155" i="5"/>
  <c r="D155" i="8" s="1"/>
  <c r="D155" i="5" a="1"/>
  <c r="D155" i="5" s="1"/>
  <c r="B156" i="5"/>
  <c r="B156" i="8" s="1"/>
  <c r="C156" i="5"/>
  <c r="D156" i="8" s="1"/>
  <c r="D156" i="5" a="1"/>
  <c r="D156" i="5" s="1"/>
  <c r="B157" i="5"/>
  <c r="B157" i="8" s="1"/>
  <c r="C157" i="5"/>
  <c r="D157" i="8" s="1"/>
  <c r="D157" i="5" a="1"/>
  <c r="D157" i="5" s="1"/>
  <c r="B158" i="5"/>
  <c r="B158" i="8" s="1"/>
  <c r="C158" i="5"/>
  <c r="D158" i="8" s="1"/>
  <c r="D158" i="5" a="1"/>
  <c r="D158" i="5" s="1"/>
  <c r="B159" i="5"/>
  <c r="B159" i="8" s="1"/>
  <c r="C159" i="5"/>
  <c r="D159" i="8" s="1"/>
  <c r="D159" i="5" a="1"/>
  <c r="D159" i="5" s="1"/>
  <c r="B160" i="5"/>
  <c r="B160" i="8" s="1"/>
  <c r="C160" i="5"/>
  <c r="D160" i="8" s="1"/>
  <c r="D160" i="5" a="1"/>
  <c r="D160" i="5" s="1"/>
  <c r="B161" i="5"/>
  <c r="B161" i="8" s="1"/>
  <c r="C161" i="5"/>
  <c r="D161" i="8" s="1"/>
  <c r="D161" i="5" a="1"/>
  <c r="D161" i="5" s="1"/>
  <c r="B162" i="5"/>
  <c r="B162" i="8" s="1"/>
  <c r="C162" i="5"/>
  <c r="D162" i="8" s="1"/>
  <c r="D162" i="5" a="1"/>
  <c r="D162" i="5" s="1"/>
  <c r="B163" i="5"/>
  <c r="B163" i="8" s="1"/>
  <c r="C163" i="5"/>
  <c r="D163" i="8" s="1"/>
  <c r="D163" i="5" a="1"/>
  <c r="D163" i="5" s="1"/>
  <c r="B164" i="5"/>
  <c r="B164" i="8" s="1"/>
  <c r="C164" i="5"/>
  <c r="D164" i="8" s="1"/>
  <c r="D164" i="5" a="1"/>
  <c r="D164" i="5" s="1"/>
  <c r="B165" i="5"/>
  <c r="B165" i="8" s="1"/>
  <c r="C165" i="5"/>
  <c r="D165" i="8" s="1"/>
  <c r="D165" i="5" a="1"/>
  <c r="D165" i="5" s="1"/>
  <c r="B166" i="5"/>
  <c r="B166" i="8" s="1"/>
  <c r="C166" i="5"/>
  <c r="D166" i="8" s="1"/>
  <c r="D166" i="5" a="1"/>
  <c r="D166" i="5" s="1"/>
  <c r="B167" i="5"/>
  <c r="B167" i="8" s="1"/>
  <c r="C167" i="5"/>
  <c r="D167" i="8" s="1"/>
  <c r="D167" i="5" a="1"/>
  <c r="D167" i="5" s="1"/>
  <c r="B168" i="5"/>
  <c r="B168" i="8" s="1"/>
  <c r="C168" i="5"/>
  <c r="D168" i="8" s="1"/>
  <c r="D168" i="5" a="1"/>
  <c r="D168" i="5" s="1"/>
  <c r="B169" i="5"/>
  <c r="B169" i="8" s="1"/>
  <c r="C169" i="5"/>
  <c r="D169" i="8" s="1"/>
  <c r="D169" i="5" a="1"/>
  <c r="D169" i="5" s="1"/>
  <c r="B170" i="5"/>
  <c r="B170" i="8" s="1"/>
  <c r="C170" i="5"/>
  <c r="D170" i="8" s="1"/>
  <c r="D170" i="5" a="1"/>
  <c r="D170" i="5" s="1"/>
  <c r="B171" i="5"/>
  <c r="B171" i="8" s="1"/>
  <c r="C171" i="5"/>
  <c r="D171" i="8" s="1"/>
  <c r="D171" i="5" a="1"/>
  <c r="D171" i="5" s="1"/>
  <c r="B172" i="5"/>
  <c r="B172" i="8" s="1"/>
  <c r="C172" i="5"/>
  <c r="D172" i="8" s="1"/>
  <c r="D172" i="5" a="1"/>
  <c r="D172" i="5" s="1"/>
  <c r="B173" i="5"/>
  <c r="B173" i="8" s="1"/>
  <c r="C173" i="5"/>
  <c r="D173" i="8" s="1"/>
  <c r="D173" i="5" a="1"/>
  <c r="D173" i="5" s="1"/>
  <c r="B174" i="5"/>
  <c r="B174" i="8" s="1"/>
  <c r="C174" i="5"/>
  <c r="D174" i="8" s="1"/>
  <c r="D174" i="5" a="1"/>
  <c r="D174" i="5" s="1"/>
  <c r="B175" i="5"/>
  <c r="B175" i="8" s="1"/>
  <c r="C175" i="5"/>
  <c r="D175" i="8" s="1"/>
  <c r="D175" i="5" a="1"/>
  <c r="D175" i="5" s="1"/>
  <c r="B176" i="5"/>
  <c r="B176" i="8" s="1"/>
  <c r="C176" i="5"/>
  <c r="D176" i="8" s="1"/>
  <c r="D176" i="5" a="1"/>
  <c r="D176" i="5" s="1"/>
  <c r="B177" i="5"/>
  <c r="B177" i="8" s="1"/>
  <c r="C177" i="5"/>
  <c r="D177" i="8" s="1"/>
  <c r="D177" i="5" a="1"/>
  <c r="D177" i="5" s="1"/>
  <c r="B178" i="5"/>
  <c r="B178" i="8" s="1"/>
  <c r="C178" i="5"/>
  <c r="D178" i="8" s="1"/>
  <c r="D178" i="5" a="1"/>
  <c r="D178" i="5" s="1"/>
  <c r="B179" i="5"/>
  <c r="B179" i="8" s="1"/>
  <c r="C179" i="5"/>
  <c r="D179" i="8" s="1"/>
  <c r="D179" i="5" a="1"/>
  <c r="D179" i="5" s="1"/>
  <c r="B180" i="5"/>
  <c r="B180" i="8" s="1"/>
  <c r="C180" i="5"/>
  <c r="D180" i="8" s="1"/>
  <c r="D180" i="5" a="1"/>
  <c r="D180" i="5" s="1"/>
  <c r="B181" i="5"/>
  <c r="B181" i="8" s="1"/>
  <c r="C181" i="5"/>
  <c r="D181" i="8" s="1"/>
  <c r="D181" i="5" a="1"/>
  <c r="D181" i="5" s="1"/>
  <c r="B182" i="5"/>
  <c r="B182" i="8" s="1"/>
  <c r="C182" i="5"/>
  <c r="D182" i="8" s="1"/>
  <c r="D182" i="5" a="1"/>
  <c r="D182" i="5" s="1"/>
  <c r="B183" i="5"/>
  <c r="B183" i="8" s="1"/>
  <c r="C183" i="5"/>
  <c r="D183" i="8" s="1"/>
  <c r="D183" i="5" a="1"/>
  <c r="D183" i="5" s="1"/>
  <c r="B184" i="5"/>
  <c r="B184" i="8" s="1"/>
  <c r="C184" i="5"/>
  <c r="D184" i="8" s="1"/>
  <c r="D184" i="5" a="1"/>
  <c r="D184" i="5" s="1"/>
  <c r="B185" i="5"/>
  <c r="B185" i="8" s="1"/>
  <c r="C185" i="5"/>
  <c r="D185" i="8" s="1"/>
  <c r="D185" i="5" a="1"/>
  <c r="D185" i="5" s="1"/>
  <c r="B186" i="5"/>
  <c r="B186" i="8" s="1"/>
  <c r="C186" i="5"/>
  <c r="D186" i="8" s="1"/>
  <c r="D186" i="5" a="1"/>
  <c r="D186" i="5" s="1"/>
  <c r="B187" i="5"/>
  <c r="B187" i="8" s="1"/>
  <c r="C187" i="5"/>
  <c r="D187" i="8" s="1"/>
  <c r="D187" i="5" a="1"/>
  <c r="D187" i="5" s="1"/>
  <c r="B188" i="5"/>
  <c r="B188" i="8" s="1"/>
  <c r="C188" i="5"/>
  <c r="D188" i="8" s="1"/>
  <c r="D188" i="5" a="1"/>
  <c r="D188" i="5" s="1"/>
  <c r="B189" i="5"/>
  <c r="B189" i="8" s="1"/>
  <c r="C189" i="5"/>
  <c r="D189" i="8" s="1"/>
  <c r="D189" i="5" a="1"/>
  <c r="D189" i="5" s="1"/>
  <c r="B190" i="5"/>
  <c r="B190" i="8" s="1"/>
  <c r="C190" i="5"/>
  <c r="D190" i="8" s="1"/>
  <c r="D190" i="5" a="1"/>
  <c r="D190" i="5" s="1"/>
  <c r="B191" i="5"/>
  <c r="B191" i="8" s="1"/>
  <c r="C191" i="5"/>
  <c r="D191" i="8" s="1"/>
  <c r="D191" i="5" a="1"/>
  <c r="D191" i="5" s="1"/>
  <c r="B192" i="5"/>
  <c r="B192" i="8" s="1"/>
  <c r="C192" i="5"/>
  <c r="D192" i="8" s="1"/>
  <c r="D192" i="5" a="1"/>
  <c r="D192" i="5" s="1"/>
  <c r="B193" i="5"/>
  <c r="B193" i="8" s="1"/>
  <c r="C193" i="5"/>
  <c r="D193" i="8" s="1"/>
  <c r="D193" i="5" a="1"/>
  <c r="D193" i="5" s="1"/>
  <c r="B194" i="5"/>
  <c r="B194" i="8" s="1"/>
  <c r="C194" i="5"/>
  <c r="D194" i="8" s="1"/>
  <c r="D194" i="5" a="1"/>
  <c r="D194" i="5" s="1"/>
  <c r="B195" i="5"/>
  <c r="B195" i="8" s="1"/>
  <c r="C195" i="5"/>
  <c r="D195" i="8" s="1"/>
  <c r="D195" i="5" a="1"/>
  <c r="D195" i="5" s="1"/>
  <c r="B196" i="5"/>
  <c r="B196" i="8" s="1"/>
  <c r="C196" i="5"/>
  <c r="D196" i="8" s="1"/>
  <c r="D196" i="5" a="1"/>
  <c r="D196" i="5" s="1"/>
  <c r="B197" i="5"/>
  <c r="B197" i="8" s="1"/>
  <c r="C197" i="5"/>
  <c r="D197" i="8" s="1"/>
  <c r="D197" i="5" a="1"/>
  <c r="D197" i="5" s="1"/>
  <c r="B198" i="5"/>
  <c r="B198" i="8" s="1"/>
  <c r="C198" i="5"/>
  <c r="D198" i="8" s="1"/>
  <c r="D198" i="5" a="1"/>
  <c r="D198" i="5" s="1"/>
  <c r="B199" i="5"/>
  <c r="B199" i="8" s="1"/>
  <c r="C199" i="5"/>
  <c r="D199" i="8" s="1"/>
  <c r="D199" i="5" a="1"/>
  <c r="D199" i="5" s="1"/>
  <c r="B200" i="5"/>
  <c r="B200" i="8" s="1"/>
  <c r="C200" i="5"/>
  <c r="D200" i="8" s="1"/>
  <c r="D200" i="5" a="1"/>
  <c r="D200" i="5" s="1"/>
  <c r="B201" i="5"/>
  <c r="B201" i="8" s="1"/>
  <c r="C201" i="5"/>
  <c r="D201" i="8" s="1"/>
  <c r="D201" i="5" a="1"/>
  <c r="D201" i="5" s="1"/>
  <c r="B202" i="5"/>
  <c r="B202" i="8" s="1"/>
  <c r="C202" i="5"/>
  <c r="D202" i="8" s="1"/>
  <c r="D202" i="5" a="1"/>
  <c r="D202" i="5" s="1"/>
  <c r="B203" i="5"/>
  <c r="B203" i="8" s="1"/>
  <c r="C203" i="5"/>
  <c r="D203" i="8" s="1"/>
  <c r="D203" i="5" a="1"/>
  <c r="D203" i="5" s="1"/>
  <c r="B204" i="5"/>
  <c r="B204" i="8" s="1"/>
  <c r="C204" i="5"/>
  <c r="D204" i="8" s="1"/>
  <c r="D204" i="5" a="1"/>
  <c r="D204" i="5" s="1"/>
  <c r="B205" i="5"/>
  <c r="B205" i="8" s="1"/>
  <c r="C205" i="5"/>
  <c r="D205" i="8" s="1"/>
  <c r="D205" i="5" a="1"/>
  <c r="D205" i="5" s="1"/>
  <c r="B206" i="5"/>
  <c r="B206" i="8" s="1"/>
  <c r="C206" i="5"/>
  <c r="D206" i="8" s="1"/>
  <c r="D206" i="5" a="1"/>
  <c r="D206" i="5" s="1"/>
  <c r="B207" i="5"/>
  <c r="B207" i="8" s="1"/>
  <c r="C207" i="5"/>
  <c r="D207" i="8" s="1"/>
  <c r="D207" i="5" a="1"/>
  <c r="D207" i="5" s="1"/>
  <c r="B208" i="5"/>
  <c r="B208" i="8" s="1"/>
  <c r="C208" i="5"/>
  <c r="D208" i="8" s="1"/>
  <c r="D208" i="5" a="1"/>
  <c r="D208" i="5" s="1"/>
  <c r="B209" i="5"/>
  <c r="B209" i="8" s="1"/>
  <c r="C209" i="5"/>
  <c r="D209" i="8" s="1"/>
  <c r="D209" i="5" a="1"/>
  <c r="D209" i="5" s="1"/>
  <c r="B210" i="5"/>
  <c r="B210" i="8" s="1"/>
  <c r="C210" i="5"/>
  <c r="D210" i="8" s="1"/>
  <c r="D210" i="5" a="1"/>
  <c r="D210" i="5" s="1"/>
  <c r="B211" i="5"/>
  <c r="B211" i="8" s="1"/>
  <c r="C211" i="5"/>
  <c r="D211" i="8" s="1"/>
  <c r="D211" i="5" a="1"/>
  <c r="D211" i="5" s="1"/>
  <c r="B212" i="5"/>
  <c r="B212" i="8" s="1"/>
  <c r="C212" i="5"/>
  <c r="D212" i="8" s="1"/>
  <c r="D212" i="5" a="1"/>
  <c r="D212" i="5" s="1"/>
  <c r="B213" i="5"/>
  <c r="B213" i="8" s="1"/>
  <c r="C213" i="5"/>
  <c r="D213" i="8" s="1"/>
  <c r="D213" i="5" a="1"/>
  <c r="D213" i="5" s="1"/>
  <c r="B214" i="5"/>
  <c r="B214" i="8" s="1"/>
  <c r="C214" i="5"/>
  <c r="D214" i="8" s="1"/>
  <c r="D214" i="5" a="1"/>
  <c r="D214" i="5" s="1"/>
  <c r="B215" i="5"/>
  <c r="B215" i="8" s="1"/>
  <c r="C215" i="5"/>
  <c r="D215" i="8" s="1"/>
  <c r="D215" i="5" a="1"/>
  <c r="D215" i="5" s="1"/>
  <c r="B216" i="5"/>
  <c r="B216" i="8" s="1"/>
  <c r="C216" i="5"/>
  <c r="D216" i="8" s="1"/>
  <c r="D216" i="5" a="1"/>
  <c r="D216" i="5" s="1"/>
  <c r="B217" i="5"/>
  <c r="B217" i="8" s="1"/>
  <c r="C217" i="5"/>
  <c r="D217" i="8" s="1"/>
  <c r="D217" i="5" a="1"/>
  <c r="D217" i="5" s="1"/>
  <c r="B218" i="5"/>
  <c r="B218" i="8" s="1"/>
  <c r="C218" i="5"/>
  <c r="D218" i="8" s="1"/>
  <c r="D218" i="5" a="1"/>
  <c r="D218" i="5" s="1"/>
  <c r="B219" i="5"/>
  <c r="B219" i="8" s="1"/>
  <c r="C219" i="5"/>
  <c r="D219" i="8" s="1"/>
  <c r="D219" i="5" a="1"/>
  <c r="D219" i="5" s="1"/>
  <c r="B220" i="5"/>
  <c r="B220" i="8" s="1"/>
  <c r="C220" i="5"/>
  <c r="D220" i="8" s="1"/>
  <c r="D220" i="5" a="1"/>
  <c r="D220" i="5" s="1"/>
  <c r="B221" i="5"/>
  <c r="B221" i="8" s="1"/>
  <c r="C221" i="5"/>
  <c r="D221" i="8" s="1"/>
  <c r="D221" i="5" a="1"/>
  <c r="D221" i="5" s="1"/>
  <c r="B222" i="5"/>
  <c r="B222" i="8" s="1"/>
  <c r="C222" i="5"/>
  <c r="D222" i="8" s="1"/>
  <c r="D222" i="5" a="1"/>
  <c r="D222" i="5" s="1"/>
  <c r="B223" i="5"/>
  <c r="B223" i="8" s="1"/>
  <c r="C223" i="5"/>
  <c r="D223" i="8" s="1"/>
  <c r="D223" i="5" a="1"/>
  <c r="D223" i="5" s="1"/>
  <c r="B224" i="5"/>
  <c r="B224" i="8" s="1"/>
  <c r="C224" i="5"/>
  <c r="D224" i="8" s="1"/>
  <c r="D224" i="5" a="1"/>
  <c r="D224" i="5" s="1"/>
  <c r="B225" i="5"/>
  <c r="B225" i="8" s="1"/>
  <c r="C225" i="5"/>
  <c r="D225" i="8" s="1"/>
  <c r="D225" i="5" a="1"/>
  <c r="D225" i="5" s="1"/>
  <c r="B226" i="5"/>
  <c r="B226" i="8" s="1"/>
  <c r="C226" i="5"/>
  <c r="D226" i="8" s="1"/>
  <c r="D226" i="5" a="1"/>
  <c r="D226" i="5" s="1"/>
  <c r="B227" i="5"/>
  <c r="B227" i="8" s="1"/>
  <c r="C227" i="5"/>
  <c r="D227" i="8" s="1"/>
  <c r="D227" i="5" a="1"/>
  <c r="D227" i="5" s="1"/>
  <c r="B228" i="5"/>
  <c r="B228" i="8" s="1"/>
  <c r="C228" i="5"/>
  <c r="D228" i="8" s="1"/>
  <c r="D228" i="5" a="1"/>
  <c r="D228" i="5" s="1"/>
  <c r="B229" i="5"/>
  <c r="B229" i="8" s="1"/>
  <c r="C229" i="5"/>
  <c r="D229" i="8" s="1"/>
  <c r="D229" i="5" a="1"/>
  <c r="D229" i="5" s="1"/>
  <c r="B230" i="5"/>
  <c r="B230" i="8" s="1"/>
  <c r="C230" i="5"/>
  <c r="D230" i="8" s="1"/>
  <c r="D230" i="5" a="1"/>
  <c r="D230" i="5" s="1"/>
  <c r="B231" i="5"/>
  <c r="B231" i="8" s="1"/>
  <c r="C231" i="5"/>
  <c r="D231" i="8" s="1"/>
  <c r="D231" i="5" a="1"/>
  <c r="D231" i="5" s="1"/>
  <c r="B232" i="5"/>
  <c r="B232" i="8" s="1"/>
  <c r="C232" i="5"/>
  <c r="D232" i="8" s="1"/>
  <c r="D232" i="5" a="1"/>
  <c r="D232" i="5" s="1"/>
  <c r="B233" i="5"/>
  <c r="B233" i="8" s="1"/>
  <c r="C233" i="5"/>
  <c r="D233" i="8" s="1"/>
  <c r="D233" i="5" a="1"/>
  <c r="D233" i="5" s="1"/>
  <c r="B234" i="5"/>
  <c r="B234" i="8" s="1"/>
  <c r="C234" i="5"/>
  <c r="D234" i="8" s="1"/>
  <c r="D234" i="5" a="1"/>
  <c r="D234" i="5" s="1"/>
  <c r="B235" i="5"/>
  <c r="B235" i="8" s="1"/>
  <c r="C235" i="5"/>
  <c r="D235" i="8" s="1"/>
  <c r="D235" i="5" a="1"/>
  <c r="D235" i="5" s="1"/>
  <c r="B236" i="5"/>
  <c r="B236" i="8" s="1"/>
  <c r="C236" i="5"/>
  <c r="D236" i="8" s="1"/>
  <c r="D236" i="5" a="1"/>
  <c r="D236" i="5" s="1"/>
  <c r="B237" i="5"/>
  <c r="B237" i="8" s="1"/>
  <c r="C237" i="5"/>
  <c r="D237" i="8" s="1"/>
  <c r="D237" i="5" a="1"/>
  <c r="D237" i="5" s="1"/>
  <c r="B238" i="5"/>
  <c r="B238" i="8" s="1"/>
  <c r="C238" i="5"/>
  <c r="D238" i="8" s="1"/>
  <c r="D238" i="5" a="1"/>
  <c r="D238" i="5" s="1"/>
  <c r="B239" i="5"/>
  <c r="B239" i="8" s="1"/>
  <c r="C239" i="5"/>
  <c r="D239" i="8" s="1"/>
  <c r="D239" i="5" a="1"/>
  <c r="D239" i="5" s="1"/>
  <c r="B240" i="5"/>
  <c r="B240" i="8" s="1"/>
  <c r="C240" i="5"/>
  <c r="D240" i="8" s="1"/>
  <c r="D240" i="5" a="1"/>
  <c r="D240" i="5" s="1"/>
  <c r="B241" i="5"/>
  <c r="B241" i="8" s="1"/>
  <c r="C241" i="5"/>
  <c r="D241" i="8" s="1"/>
  <c r="D241" i="5" a="1"/>
  <c r="D241" i="5" s="1"/>
  <c r="B242" i="5"/>
  <c r="B242" i="8" s="1"/>
  <c r="C242" i="5"/>
  <c r="D242" i="8" s="1"/>
  <c r="D242" i="5" a="1"/>
  <c r="D242" i="5" s="1"/>
  <c r="B243" i="5"/>
  <c r="B243" i="8" s="1"/>
  <c r="C243" i="5"/>
  <c r="D243" i="8" s="1"/>
  <c r="D243" i="5" a="1"/>
  <c r="D243" i="5" s="1"/>
  <c r="B244" i="5"/>
  <c r="B244" i="8" s="1"/>
  <c r="C244" i="5"/>
  <c r="D244" i="8" s="1"/>
  <c r="D244" i="5" a="1"/>
  <c r="D244" i="5" s="1"/>
  <c r="B245" i="5"/>
  <c r="B245" i="8" s="1"/>
  <c r="C245" i="5"/>
  <c r="D245" i="8" s="1"/>
  <c r="D245" i="5" a="1"/>
  <c r="D245" i="5" s="1"/>
  <c r="B246" i="5"/>
  <c r="B246" i="8" s="1"/>
  <c r="C246" i="5"/>
  <c r="D246" i="8" s="1"/>
  <c r="D246" i="5" a="1"/>
  <c r="D246" i="5" s="1"/>
  <c r="B247" i="5"/>
  <c r="B247" i="8" s="1"/>
  <c r="C247" i="5"/>
  <c r="D247" i="8" s="1"/>
  <c r="D247" i="5" a="1"/>
  <c r="D247" i="5" s="1"/>
  <c r="B248" i="5"/>
  <c r="B248" i="8" s="1"/>
  <c r="C248" i="5"/>
  <c r="D248" i="8" s="1"/>
  <c r="D248" i="5" a="1"/>
  <c r="D248" i="5" s="1"/>
  <c r="B249" i="5"/>
  <c r="B249" i="8" s="1"/>
  <c r="C249" i="5"/>
  <c r="D249" i="8" s="1"/>
  <c r="D249" i="5" a="1"/>
  <c r="D249" i="5" s="1"/>
  <c r="B250" i="5"/>
  <c r="B250" i="8" s="1"/>
  <c r="C250" i="5"/>
  <c r="D250" i="8" s="1"/>
  <c r="D250" i="5" a="1"/>
  <c r="D250" i="5" s="1"/>
  <c r="B251" i="5"/>
  <c r="B251" i="8" s="1"/>
  <c r="C251" i="5"/>
  <c r="D251" i="8" s="1"/>
  <c r="D251" i="5" a="1"/>
  <c r="D251" i="5" s="1"/>
  <c r="B252" i="5"/>
  <c r="B252" i="8" s="1"/>
  <c r="C252" i="5"/>
  <c r="D252" i="8" s="1"/>
  <c r="D252" i="5" a="1"/>
  <c r="D252" i="5" s="1"/>
  <c r="B253" i="5"/>
  <c r="B253" i="8" s="1"/>
  <c r="C253" i="5"/>
  <c r="D253" i="8" s="1"/>
  <c r="D253" i="5" a="1"/>
  <c r="D253" i="5" s="1"/>
  <c r="B254" i="5"/>
  <c r="B254" i="8" s="1"/>
  <c r="C254" i="5"/>
  <c r="D254" i="8" s="1"/>
  <c r="D254" i="5" a="1"/>
  <c r="D254" i="5" s="1"/>
  <c r="B255" i="5"/>
  <c r="B255" i="8" s="1"/>
  <c r="C255" i="5"/>
  <c r="D255" i="8" s="1"/>
  <c r="D255" i="5" a="1"/>
  <c r="D255" i="5" s="1"/>
  <c r="B256" i="5"/>
  <c r="B256" i="8" s="1"/>
  <c r="C256" i="5"/>
  <c r="D256" i="8" s="1"/>
  <c r="D256" i="5" a="1"/>
  <c r="D256" i="5" s="1"/>
  <c r="B257" i="5"/>
  <c r="B257" i="8" s="1"/>
  <c r="C257" i="5"/>
  <c r="D257" i="8" s="1"/>
  <c r="D257" i="5" a="1"/>
  <c r="D257" i="5" s="1"/>
  <c r="B258" i="5"/>
  <c r="B258" i="8" s="1"/>
  <c r="C258" i="5"/>
  <c r="D258" i="8" s="1"/>
  <c r="D258" i="5" a="1"/>
  <c r="D258" i="5" s="1"/>
  <c r="B259" i="5"/>
  <c r="B259" i="8" s="1"/>
  <c r="C259" i="5"/>
  <c r="D259" i="8" s="1"/>
  <c r="D259" i="5" a="1"/>
  <c r="D259" i="5" s="1"/>
  <c r="B260" i="5"/>
  <c r="B260" i="8" s="1"/>
  <c r="C260" i="5"/>
  <c r="D260" i="8" s="1"/>
  <c r="D260" i="5" a="1"/>
  <c r="D260" i="5" s="1"/>
  <c r="B261" i="5"/>
  <c r="B261" i="8" s="1"/>
  <c r="C261" i="5"/>
  <c r="D261" i="8" s="1"/>
  <c r="D261" i="5" a="1"/>
  <c r="D261" i="5" s="1"/>
  <c r="B262" i="5"/>
  <c r="B262" i="8" s="1"/>
  <c r="C262" i="5"/>
  <c r="D262" i="8" s="1"/>
  <c r="D262" i="5" a="1"/>
  <c r="D262" i="5" s="1"/>
  <c r="B263" i="5"/>
  <c r="B263" i="8" s="1"/>
  <c r="C263" i="5"/>
  <c r="D263" i="8" s="1"/>
  <c r="D263" i="5" a="1"/>
  <c r="D263" i="5" s="1"/>
  <c r="B264" i="5"/>
  <c r="B264" i="8" s="1"/>
  <c r="C264" i="5"/>
  <c r="D264" i="8" s="1"/>
  <c r="D264" i="5" a="1"/>
  <c r="D264" i="5" s="1"/>
  <c r="B265" i="5"/>
  <c r="B265" i="8" s="1"/>
  <c r="C265" i="5"/>
  <c r="D265" i="8" s="1"/>
  <c r="D265" i="5" a="1"/>
  <c r="D265" i="5" s="1"/>
  <c r="B266" i="5"/>
  <c r="B266" i="8" s="1"/>
  <c r="C266" i="5"/>
  <c r="D266" i="8" s="1"/>
  <c r="D266" i="5" a="1"/>
  <c r="D266" i="5" s="1"/>
  <c r="B267" i="5"/>
  <c r="B267" i="8" s="1"/>
  <c r="C267" i="5"/>
  <c r="D267" i="8" s="1"/>
  <c r="D267" i="5" a="1"/>
  <c r="D267" i="5" s="1"/>
  <c r="B268" i="5"/>
  <c r="B268" i="8" s="1"/>
  <c r="C268" i="5"/>
  <c r="D268" i="8" s="1"/>
  <c r="D268" i="5" a="1"/>
  <c r="D268" i="5" s="1"/>
  <c r="B269" i="5"/>
  <c r="B269" i="8" s="1"/>
  <c r="C269" i="5"/>
  <c r="D269" i="8" s="1"/>
  <c r="D269" i="5" a="1"/>
  <c r="D269" i="5" s="1"/>
  <c r="B270" i="5"/>
  <c r="B270" i="8" s="1"/>
  <c r="C270" i="5"/>
  <c r="D270" i="8" s="1"/>
  <c r="D270" i="5" a="1"/>
  <c r="D270" i="5" s="1"/>
  <c r="B271" i="5"/>
  <c r="B271" i="8" s="1"/>
  <c r="C271" i="5"/>
  <c r="D271" i="8" s="1"/>
  <c r="D271" i="5" a="1"/>
  <c r="D271" i="5" s="1"/>
  <c r="B272" i="5"/>
  <c r="B272" i="8" s="1"/>
  <c r="C272" i="5"/>
  <c r="D272" i="8" s="1"/>
  <c r="D272" i="5" a="1"/>
  <c r="D272" i="5" s="1"/>
  <c r="B273" i="5"/>
  <c r="B273" i="8" s="1"/>
  <c r="C273" i="5"/>
  <c r="D273" i="8" s="1"/>
  <c r="D273" i="5" a="1"/>
  <c r="D273" i="5" s="1"/>
  <c r="B274" i="5"/>
  <c r="B274" i="8" s="1"/>
  <c r="C274" i="5"/>
  <c r="D274" i="8" s="1"/>
  <c r="D274" i="5" a="1"/>
  <c r="D274" i="5" s="1"/>
  <c r="B275" i="5"/>
  <c r="B275" i="8" s="1"/>
  <c r="C275" i="5"/>
  <c r="D275" i="8" s="1"/>
  <c r="D275" i="5" a="1"/>
  <c r="D275" i="5" s="1"/>
  <c r="B276" i="5"/>
  <c r="B276" i="8" s="1"/>
  <c r="C276" i="5"/>
  <c r="D276" i="8" s="1"/>
  <c r="D276" i="5" a="1"/>
  <c r="D276" i="5" s="1"/>
  <c r="B277" i="5"/>
  <c r="B277" i="8" s="1"/>
  <c r="C277" i="5"/>
  <c r="D277" i="8" s="1"/>
  <c r="D277" i="5" a="1"/>
  <c r="D277" i="5" s="1"/>
  <c r="B278" i="5"/>
  <c r="B278" i="8" s="1"/>
  <c r="C278" i="5"/>
  <c r="D278" i="8" s="1"/>
  <c r="D278" i="5" a="1"/>
  <c r="D278" i="5" s="1"/>
  <c r="B279" i="5"/>
  <c r="B279" i="8" s="1"/>
  <c r="C279" i="5"/>
  <c r="D279" i="8" s="1"/>
  <c r="D279" i="5" a="1"/>
  <c r="D279" i="5" s="1"/>
  <c r="B280" i="5"/>
  <c r="B280" i="8" s="1"/>
  <c r="C280" i="5"/>
  <c r="D280" i="8" s="1"/>
  <c r="D280" i="5" a="1"/>
  <c r="D280" i="5" s="1"/>
  <c r="B281" i="5"/>
  <c r="B281" i="8" s="1"/>
  <c r="C281" i="5"/>
  <c r="D281" i="8" s="1"/>
  <c r="D281" i="5" a="1"/>
  <c r="D281" i="5" s="1"/>
  <c r="B282" i="5"/>
  <c r="B282" i="8" s="1"/>
  <c r="C282" i="5"/>
  <c r="D282" i="8" s="1"/>
  <c r="D282" i="5" a="1"/>
  <c r="D282" i="5" s="1"/>
  <c r="B283" i="5"/>
  <c r="B283" i="8" s="1"/>
  <c r="C283" i="5"/>
  <c r="D283" i="8" s="1"/>
  <c r="D283" i="5" a="1"/>
  <c r="D283" i="5" s="1"/>
  <c r="B284" i="5"/>
  <c r="B284" i="8" s="1"/>
  <c r="C284" i="5"/>
  <c r="D284" i="8" s="1"/>
  <c r="D284" i="5" a="1"/>
  <c r="D284" i="5" s="1"/>
  <c r="B285" i="5"/>
  <c r="B285" i="8" s="1"/>
  <c r="C285" i="5"/>
  <c r="D285" i="8" s="1"/>
  <c r="D285" i="5" a="1"/>
  <c r="D285" i="5" s="1"/>
  <c r="B286" i="5"/>
  <c r="B286" i="8" s="1"/>
  <c r="C286" i="5"/>
  <c r="D286" i="8" s="1"/>
  <c r="D286" i="5" a="1"/>
  <c r="D286" i="5" s="1"/>
  <c r="B287" i="5"/>
  <c r="B287" i="8" s="1"/>
  <c r="C287" i="5"/>
  <c r="D287" i="8" s="1"/>
  <c r="D287" i="5" a="1"/>
  <c r="D287" i="5" s="1"/>
  <c r="B288" i="5"/>
  <c r="B288" i="8" s="1"/>
  <c r="C288" i="5"/>
  <c r="D288" i="8" s="1"/>
  <c r="D288" i="5" a="1"/>
  <c r="D288" i="5" s="1"/>
  <c r="B289" i="5"/>
  <c r="B289" i="8" s="1"/>
  <c r="C289" i="5"/>
  <c r="D289" i="8" s="1"/>
  <c r="D289" i="5" a="1"/>
  <c r="D289" i="5" s="1"/>
  <c r="B290" i="5"/>
  <c r="B290" i="8" s="1"/>
  <c r="C290" i="5"/>
  <c r="D290" i="8" s="1"/>
  <c r="D290" i="5" a="1"/>
  <c r="D290" i="5" s="1"/>
  <c r="B291" i="5"/>
  <c r="B291" i="8" s="1"/>
  <c r="C291" i="5"/>
  <c r="D291" i="8" s="1"/>
  <c r="D291" i="5" a="1"/>
  <c r="D291" i="5" s="1"/>
  <c r="B292" i="5"/>
  <c r="B292" i="8" s="1"/>
  <c r="C292" i="5"/>
  <c r="D292" i="8" s="1"/>
  <c r="D292" i="5" a="1"/>
  <c r="D292" i="5" s="1"/>
  <c r="B293" i="5"/>
  <c r="B293" i="8" s="1"/>
  <c r="C293" i="5"/>
  <c r="D293" i="8" s="1"/>
  <c r="D293" i="5" a="1"/>
  <c r="D293" i="5" s="1"/>
  <c r="B294" i="5"/>
  <c r="B294" i="8" s="1"/>
  <c r="C294" i="5"/>
  <c r="D294" i="8" s="1"/>
  <c r="D294" i="5" a="1"/>
  <c r="D294" i="5" s="1"/>
  <c r="B295" i="5"/>
  <c r="B295" i="8" s="1"/>
  <c r="C295" i="5"/>
  <c r="D295" i="8" s="1"/>
  <c r="D295" i="5" a="1"/>
  <c r="D295" i="5" s="1"/>
  <c r="B296" i="5"/>
  <c r="B296" i="8" s="1"/>
  <c r="C296" i="5"/>
  <c r="D296" i="8" s="1"/>
  <c r="D296" i="5" a="1"/>
  <c r="D296" i="5" s="1"/>
  <c r="B297" i="5"/>
  <c r="B297" i="8" s="1"/>
  <c r="C297" i="5"/>
  <c r="D297" i="8" s="1"/>
  <c r="D297" i="5" a="1"/>
  <c r="D297" i="5" s="1"/>
  <c r="B298" i="5"/>
  <c r="B298" i="8" s="1"/>
  <c r="C298" i="5"/>
  <c r="D298" i="8" s="1"/>
  <c r="D298" i="5" a="1"/>
  <c r="D298" i="5" s="1"/>
  <c r="B299" i="5"/>
  <c r="B299" i="8" s="1"/>
  <c r="C299" i="5"/>
  <c r="D299" i="8" s="1"/>
  <c r="D299" i="5" a="1"/>
  <c r="D299" i="5" s="1"/>
  <c r="B300" i="5"/>
  <c r="B300" i="8" s="1"/>
  <c r="C300" i="5"/>
  <c r="D300" i="8" s="1"/>
  <c r="D300" i="5" a="1"/>
  <c r="D300" i="5" s="1"/>
  <c r="B301" i="5"/>
  <c r="B301" i="8" s="1"/>
  <c r="C301" i="5"/>
  <c r="D301" i="8" s="1"/>
  <c r="D301" i="5" a="1"/>
  <c r="D301" i="5" s="1"/>
  <c r="B302" i="5"/>
  <c r="B302" i="8" s="1"/>
  <c r="C302" i="5"/>
  <c r="D302" i="8" s="1"/>
  <c r="D302" i="5" a="1"/>
  <c r="D302" i="5" s="1"/>
  <c r="B303" i="5"/>
  <c r="B303" i="8" s="1"/>
  <c r="C303" i="5"/>
  <c r="D303" i="8" s="1"/>
  <c r="D303" i="5" a="1"/>
  <c r="D303" i="5" s="1"/>
  <c r="B304" i="5"/>
  <c r="B304" i="8" s="1"/>
  <c r="C304" i="5"/>
  <c r="D304" i="8" s="1"/>
  <c r="D304" i="5" a="1"/>
  <c r="D304" i="5" s="1"/>
  <c r="B305" i="5"/>
  <c r="B305" i="8" s="1"/>
  <c r="C305" i="5"/>
  <c r="D305" i="8" s="1"/>
  <c r="D305" i="5" a="1"/>
  <c r="D305" i="5" s="1"/>
  <c r="B306" i="5"/>
  <c r="B306" i="8" s="1"/>
  <c r="C306" i="5"/>
  <c r="D306" i="8" s="1"/>
  <c r="D306" i="5" a="1"/>
  <c r="D306" i="5" s="1"/>
  <c r="B307" i="5"/>
  <c r="B307" i="8" s="1"/>
  <c r="C307" i="5"/>
  <c r="D307" i="8" s="1"/>
  <c r="D307" i="5" a="1"/>
  <c r="D307" i="5" s="1"/>
  <c r="B308" i="5"/>
  <c r="B308" i="8" s="1"/>
  <c r="C308" i="5"/>
  <c r="D308" i="8" s="1"/>
  <c r="D308" i="5" a="1"/>
  <c r="D308" i="5" s="1"/>
  <c r="B309" i="5"/>
  <c r="B309" i="8" s="1"/>
  <c r="C309" i="5"/>
  <c r="D309" i="8" s="1"/>
  <c r="D309" i="5" a="1"/>
  <c r="D309" i="5" s="1"/>
  <c r="B310" i="5"/>
  <c r="B310" i="8" s="1"/>
  <c r="C310" i="5"/>
  <c r="D310" i="8" s="1"/>
  <c r="D310" i="5" a="1"/>
  <c r="D310" i="5" s="1"/>
  <c r="B311" i="5"/>
  <c r="B311" i="8" s="1"/>
  <c r="C311" i="5"/>
  <c r="D311" i="8" s="1"/>
  <c r="D311" i="5" a="1"/>
  <c r="D311" i="5" s="1"/>
  <c r="B312" i="5"/>
  <c r="B312" i="8" s="1"/>
  <c r="C312" i="5"/>
  <c r="D312" i="8" s="1"/>
  <c r="D312" i="5" a="1"/>
  <c r="D312" i="5" s="1"/>
  <c r="B313" i="5"/>
  <c r="B313" i="8" s="1"/>
  <c r="C313" i="5"/>
  <c r="D313" i="8" s="1"/>
  <c r="D313" i="5" a="1"/>
  <c r="D313" i="5" s="1"/>
  <c r="B314" i="5"/>
  <c r="B314" i="8" s="1"/>
  <c r="C314" i="5"/>
  <c r="D314" i="8" s="1"/>
  <c r="D314" i="5" a="1"/>
  <c r="D314" i="5" s="1"/>
  <c r="B315" i="5"/>
  <c r="B315" i="8" s="1"/>
  <c r="C315" i="5"/>
  <c r="D315" i="8" s="1"/>
  <c r="D315" i="5" a="1"/>
  <c r="D315" i="5" s="1"/>
  <c r="B316" i="5"/>
  <c r="B316" i="8" s="1"/>
  <c r="C316" i="5"/>
  <c r="D316" i="8" s="1"/>
  <c r="D316" i="5" a="1"/>
  <c r="D316" i="5" s="1"/>
  <c r="B317" i="5"/>
  <c r="B317" i="8" s="1"/>
  <c r="C317" i="5"/>
  <c r="D317" i="8" s="1"/>
  <c r="D317" i="5" a="1"/>
  <c r="D317" i="5" s="1"/>
  <c r="B318" i="5"/>
  <c r="B318" i="8" s="1"/>
  <c r="C318" i="5"/>
  <c r="D318" i="8" s="1"/>
  <c r="D318" i="5" a="1"/>
  <c r="D318" i="5" s="1"/>
  <c r="B319" i="5"/>
  <c r="B319" i="8" s="1"/>
  <c r="C319" i="5"/>
  <c r="D319" i="8" s="1"/>
  <c r="D319" i="5" a="1"/>
  <c r="D319" i="5" s="1"/>
  <c r="B320" i="5"/>
  <c r="B320" i="8" s="1"/>
  <c r="C320" i="5"/>
  <c r="D320" i="8" s="1"/>
  <c r="D320" i="5" a="1"/>
  <c r="D320" i="5" s="1"/>
  <c r="B321" i="5"/>
  <c r="B321" i="8" s="1"/>
  <c r="C321" i="5"/>
  <c r="D321" i="8" s="1"/>
  <c r="D321" i="5" a="1"/>
  <c r="D321" i="5" s="1"/>
  <c r="B322" i="5"/>
  <c r="B322" i="8" s="1"/>
  <c r="C322" i="5"/>
  <c r="D322" i="8" s="1"/>
  <c r="D322" i="5" a="1"/>
  <c r="D322" i="5" s="1"/>
  <c r="B323" i="5"/>
  <c r="B323" i="8" s="1"/>
  <c r="C323" i="5"/>
  <c r="D323" i="8" s="1"/>
  <c r="D323" i="5" a="1"/>
  <c r="D323" i="5" s="1"/>
  <c r="B324" i="5"/>
  <c r="B324" i="8" s="1"/>
  <c r="C324" i="5"/>
  <c r="D324" i="8" s="1"/>
  <c r="D324" i="5" a="1"/>
  <c r="D324" i="5" s="1"/>
  <c r="B325" i="5"/>
  <c r="B325" i="8" s="1"/>
  <c r="C325" i="5"/>
  <c r="D325" i="8" s="1"/>
  <c r="D325" i="5" a="1"/>
  <c r="D325" i="5" s="1"/>
  <c r="B326" i="5"/>
  <c r="B326" i="8" s="1"/>
  <c r="C326" i="5"/>
  <c r="D326" i="8" s="1"/>
  <c r="D326" i="5" a="1"/>
  <c r="D326" i="5" s="1"/>
  <c r="B327" i="5"/>
  <c r="B327" i="8" s="1"/>
  <c r="C327" i="5"/>
  <c r="D327" i="8" s="1"/>
  <c r="D327" i="5" a="1"/>
  <c r="D327" i="5" s="1"/>
  <c r="B328" i="5"/>
  <c r="B328" i="8" s="1"/>
  <c r="C328" i="5"/>
  <c r="D328" i="8" s="1"/>
  <c r="D328" i="5" a="1"/>
  <c r="D328" i="5" s="1"/>
  <c r="B329" i="5"/>
  <c r="B329" i="8" s="1"/>
  <c r="C329" i="5"/>
  <c r="D329" i="8" s="1"/>
  <c r="D329" i="5" a="1"/>
  <c r="D329" i="5" s="1"/>
  <c r="B330" i="5"/>
  <c r="B330" i="8" s="1"/>
  <c r="C330" i="5"/>
  <c r="D330" i="8" s="1"/>
  <c r="D330" i="5" a="1"/>
  <c r="D330" i="5" s="1"/>
  <c r="B331" i="5"/>
  <c r="B331" i="8" s="1"/>
  <c r="C331" i="5"/>
  <c r="D331" i="8" s="1"/>
  <c r="D331" i="5" a="1"/>
  <c r="D331" i="5" s="1"/>
  <c r="B332" i="5"/>
  <c r="B332" i="8" s="1"/>
  <c r="C332" i="5"/>
  <c r="D332" i="8" s="1"/>
  <c r="D332" i="5" a="1"/>
  <c r="D332" i="5" s="1"/>
  <c r="B333" i="5"/>
  <c r="B333" i="8" s="1"/>
  <c r="C333" i="5"/>
  <c r="D333" i="8" s="1"/>
  <c r="D333" i="5" a="1"/>
  <c r="D333" i="5" s="1"/>
  <c r="B334" i="5"/>
  <c r="B334" i="8" s="1"/>
  <c r="C334" i="5"/>
  <c r="D334" i="8" s="1"/>
  <c r="D334" i="5" a="1"/>
  <c r="D334" i="5" s="1"/>
  <c r="B335" i="5"/>
  <c r="B335" i="8" s="1"/>
  <c r="C335" i="5"/>
  <c r="D335" i="8" s="1"/>
  <c r="D335" i="5" a="1"/>
  <c r="D335" i="5" s="1"/>
  <c r="B336" i="5"/>
  <c r="B336" i="8" s="1"/>
  <c r="C336" i="5"/>
  <c r="D336" i="8" s="1"/>
  <c r="D336" i="5" a="1"/>
  <c r="D336" i="5" s="1"/>
  <c r="B337" i="5"/>
  <c r="B337" i="8" s="1"/>
  <c r="C337" i="5"/>
  <c r="D337" i="8" s="1"/>
  <c r="D337" i="5" a="1"/>
  <c r="D337" i="5" s="1"/>
  <c r="B338" i="5"/>
  <c r="B338" i="8" s="1"/>
  <c r="C338" i="5"/>
  <c r="D338" i="8" s="1"/>
  <c r="D338" i="5" a="1"/>
  <c r="D338" i="5" s="1"/>
  <c r="B339" i="5"/>
  <c r="B339" i="8" s="1"/>
  <c r="C339" i="5"/>
  <c r="D339" i="8" s="1"/>
  <c r="D339" i="5" a="1"/>
  <c r="D339" i="5" s="1"/>
  <c r="B340" i="5"/>
  <c r="B340" i="8" s="1"/>
  <c r="C340" i="5"/>
  <c r="D340" i="8" s="1"/>
  <c r="D340" i="5" a="1"/>
  <c r="D340" i="5" s="1"/>
  <c r="B341" i="5"/>
  <c r="B341" i="8" s="1"/>
  <c r="C341" i="5"/>
  <c r="D341" i="8" s="1"/>
  <c r="D341" i="5" a="1"/>
  <c r="D341" i="5" s="1"/>
  <c r="B342" i="5"/>
  <c r="B342" i="8" s="1"/>
  <c r="C342" i="5"/>
  <c r="D342" i="8" s="1"/>
  <c r="D342" i="5" a="1"/>
  <c r="D342" i="5" s="1"/>
  <c r="B343" i="5"/>
  <c r="B343" i="8" s="1"/>
  <c r="C343" i="5"/>
  <c r="D343" i="8" s="1"/>
  <c r="D343" i="5" a="1"/>
  <c r="D343" i="5" s="1"/>
  <c r="B344" i="5"/>
  <c r="B344" i="8" s="1"/>
  <c r="C344" i="5"/>
  <c r="D344" i="8" s="1"/>
  <c r="D344" i="5" a="1"/>
  <c r="D344" i="5" s="1"/>
  <c r="B345" i="5"/>
  <c r="B345" i="8" s="1"/>
  <c r="C345" i="5"/>
  <c r="D345" i="8" s="1"/>
  <c r="D345" i="5" a="1"/>
  <c r="D345" i="5" s="1"/>
  <c r="B346" i="5"/>
  <c r="B346" i="8" s="1"/>
  <c r="C346" i="5"/>
  <c r="D346" i="8" s="1"/>
  <c r="D346" i="5" a="1"/>
  <c r="D346" i="5" s="1"/>
  <c r="B347" i="5"/>
  <c r="B347" i="8" s="1"/>
  <c r="C347" i="5"/>
  <c r="D347" i="8" s="1"/>
  <c r="D347" i="5" a="1"/>
  <c r="D347" i="5" s="1"/>
  <c r="B348" i="5"/>
  <c r="B348" i="8" s="1"/>
  <c r="C348" i="5"/>
  <c r="D348" i="8" s="1"/>
  <c r="D348" i="5" a="1"/>
  <c r="D348" i="5" s="1"/>
  <c r="B349" i="5"/>
  <c r="B349" i="8" s="1"/>
  <c r="C349" i="5"/>
  <c r="D349" i="8" s="1"/>
  <c r="D349" i="5" a="1"/>
  <c r="D349" i="5" s="1"/>
  <c r="B350" i="5"/>
  <c r="B350" i="8" s="1"/>
  <c r="C350" i="5"/>
  <c r="D350" i="8" s="1"/>
  <c r="D350" i="5" a="1"/>
  <c r="D350" i="5" s="1"/>
  <c r="B351" i="5"/>
  <c r="B351" i="8" s="1"/>
  <c r="C351" i="5"/>
  <c r="D351" i="8" s="1"/>
  <c r="D351" i="5" a="1"/>
  <c r="D351" i="5" s="1"/>
  <c r="B352" i="5"/>
  <c r="B352" i="8" s="1"/>
  <c r="C352" i="5"/>
  <c r="D352" i="8" s="1"/>
  <c r="D352" i="5" a="1"/>
  <c r="D352" i="5" s="1"/>
  <c r="B353" i="5"/>
  <c r="B353" i="8" s="1"/>
  <c r="C353" i="5"/>
  <c r="D353" i="8" s="1"/>
  <c r="D353" i="5" a="1"/>
  <c r="D353" i="5" s="1"/>
  <c r="B354" i="5"/>
  <c r="B354" i="8" s="1"/>
  <c r="C354" i="5"/>
  <c r="D354" i="8" s="1"/>
  <c r="D354" i="5" a="1"/>
  <c r="D354" i="5" s="1"/>
  <c r="B355" i="5"/>
  <c r="B355" i="8" s="1"/>
  <c r="C355" i="5"/>
  <c r="D355" i="8" s="1"/>
  <c r="D355" i="5" a="1"/>
  <c r="D355" i="5" s="1"/>
  <c r="B356" i="5"/>
  <c r="B356" i="8" s="1"/>
  <c r="C356" i="5"/>
  <c r="D356" i="8" s="1"/>
  <c r="D356" i="5" a="1"/>
  <c r="D356" i="5" s="1"/>
  <c r="B357" i="5"/>
  <c r="B357" i="8" s="1"/>
  <c r="C357" i="5"/>
  <c r="D357" i="8" s="1"/>
  <c r="D357" i="5" a="1"/>
  <c r="D357" i="5" s="1"/>
  <c r="B358" i="5"/>
  <c r="B358" i="8" s="1"/>
  <c r="C358" i="5"/>
  <c r="D358" i="8" s="1"/>
  <c r="D358" i="5" a="1"/>
  <c r="D358" i="5" s="1"/>
  <c r="B359" i="5"/>
  <c r="B359" i="8" s="1"/>
  <c r="C359" i="5"/>
  <c r="D359" i="8" s="1"/>
  <c r="D359" i="5" a="1"/>
  <c r="D359" i="5" s="1"/>
  <c r="B360" i="5"/>
  <c r="B360" i="8" s="1"/>
  <c r="C360" i="5"/>
  <c r="D360" i="8" s="1"/>
  <c r="D360" i="5" a="1"/>
  <c r="D360" i="5" s="1"/>
  <c r="B361" i="5"/>
  <c r="B361" i="8" s="1"/>
  <c r="C361" i="5"/>
  <c r="D361" i="8" s="1"/>
  <c r="D361" i="5" a="1"/>
  <c r="D361" i="5" s="1"/>
  <c r="B362" i="5"/>
  <c r="B362" i="8" s="1"/>
  <c r="C362" i="5"/>
  <c r="D362" i="8" s="1"/>
  <c r="D362" i="5" a="1"/>
  <c r="D362" i="5" s="1"/>
  <c r="B363" i="5"/>
  <c r="B363" i="8" s="1"/>
  <c r="C363" i="5"/>
  <c r="D363" i="8" s="1"/>
  <c r="D363" i="5" a="1"/>
  <c r="D363" i="5" s="1"/>
  <c r="B364" i="5"/>
  <c r="B364" i="8" s="1"/>
  <c r="C364" i="5"/>
  <c r="D364" i="8" s="1"/>
  <c r="D364" i="5" a="1"/>
  <c r="D364" i="5" s="1"/>
  <c r="B365" i="5"/>
  <c r="B365" i="8" s="1"/>
  <c r="C365" i="5"/>
  <c r="D365" i="8" s="1"/>
  <c r="D365" i="5" a="1"/>
  <c r="D365" i="5" s="1"/>
  <c r="B366" i="5"/>
  <c r="B366" i="8" s="1"/>
  <c r="C366" i="5"/>
  <c r="D366" i="8" s="1"/>
  <c r="D366" i="5" a="1"/>
  <c r="D366" i="5" s="1"/>
  <c r="B367" i="5"/>
  <c r="B367" i="8" s="1"/>
  <c r="C367" i="5"/>
  <c r="D367" i="8" s="1"/>
  <c r="D367" i="5" a="1"/>
  <c r="D367" i="5" s="1"/>
  <c r="B368" i="5"/>
  <c r="B368" i="8" s="1"/>
  <c r="C368" i="5"/>
  <c r="D368" i="8" s="1"/>
  <c r="D368" i="5" a="1"/>
  <c r="D368" i="5" s="1"/>
  <c r="B369" i="5"/>
  <c r="B369" i="8" s="1"/>
  <c r="C369" i="5"/>
  <c r="D369" i="8" s="1"/>
  <c r="D369" i="5" a="1"/>
  <c r="D369" i="5" s="1"/>
  <c r="B370" i="5"/>
  <c r="B370" i="8" s="1"/>
  <c r="C370" i="5"/>
  <c r="D370" i="8" s="1"/>
  <c r="D370" i="5" a="1"/>
  <c r="D370" i="5" s="1"/>
  <c r="B371" i="5"/>
  <c r="B371" i="8" s="1"/>
  <c r="C371" i="5"/>
  <c r="D371" i="8" s="1"/>
  <c r="D371" i="5" a="1"/>
  <c r="D371" i="5" s="1"/>
  <c r="B372" i="5"/>
  <c r="B372" i="8" s="1"/>
  <c r="C372" i="5"/>
  <c r="D372" i="8" s="1"/>
  <c r="D372" i="5" a="1"/>
  <c r="D372" i="5" s="1"/>
  <c r="B373" i="5"/>
  <c r="B373" i="8" s="1"/>
  <c r="C373" i="5"/>
  <c r="D373" i="8" s="1"/>
  <c r="D373" i="5" a="1"/>
  <c r="D373" i="5" s="1"/>
  <c r="B374" i="5"/>
  <c r="B374" i="8" s="1"/>
  <c r="C374" i="5"/>
  <c r="D374" i="8" s="1"/>
  <c r="D374" i="5" a="1"/>
  <c r="D374" i="5" s="1"/>
  <c r="B375" i="5"/>
  <c r="B375" i="8" s="1"/>
  <c r="C375" i="5"/>
  <c r="D375" i="8" s="1"/>
  <c r="D375" i="5" a="1"/>
  <c r="D375" i="5" s="1"/>
  <c r="B376" i="5"/>
  <c r="B376" i="8" s="1"/>
  <c r="C376" i="5"/>
  <c r="D376" i="8" s="1"/>
  <c r="D376" i="5" a="1"/>
  <c r="D376" i="5" s="1"/>
  <c r="B377" i="5"/>
  <c r="B377" i="8" s="1"/>
  <c r="C377" i="5"/>
  <c r="D377" i="8" s="1"/>
  <c r="D377" i="5" a="1"/>
  <c r="D377" i="5" s="1"/>
  <c r="B378" i="5"/>
  <c r="B378" i="8" s="1"/>
  <c r="C378" i="5"/>
  <c r="D378" i="8" s="1"/>
  <c r="D378" i="5" a="1"/>
  <c r="D378" i="5" s="1"/>
  <c r="B379" i="5"/>
  <c r="B379" i="8" s="1"/>
  <c r="C379" i="5"/>
  <c r="D379" i="8" s="1"/>
  <c r="D379" i="5" a="1"/>
  <c r="D379" i="5" s="1"/>
  <c r="B380" i="5"/>
  <c r="B380" i="8" s="1"/>
  <c r="C380" i="5"/>
  <c r="D380" i="8" s="1"/>
  <c r="D380" i="5" a="1"/>
  <c r="D380" i="5" s="1"/>
  <c r="B381" i="5"/>
  <c r="B381" i="8" s="1"/>
  <c r="C381" i="5"/>
  <c r="D381" i="8" s="1"/>
  <c r="D381" i="5" a="1"/>
  <c r="D381" i="5" s="1"/>
  <c r="B382" i="5"/>
  <c r="B382" i="8" s="1"/>
  <c r="C382" i="5"/>
  <c r="D382" i="8" s="1"/>
  <c r="D382" i="5" a="1"/>
  <c r="D382" i="5" s="1"/>
  <c r="B383" i="5"/>
  <c r="B383" i="8" s="1"/>
  <c r="C383" i="5"/>
  <c r="D383" i="8" s="1"/>
  <c r="D383" i="5" a="1"/>
  <c r="D383" i="5" s="1"/>
  <c r="B384" i="5"/>
  <c r="B384" i="8" s="1"/>
  <c r="C384" i="5"/>
  <c r="D384" i="8" s="1"/>
  <c r="D384" i="5" a="1"/>
  <c r="D384" i="5" s="1"/>
  <c r="B385" i="5"/>
  <c r="B385" i="8" s="1"/>
  <c r="C385" i="5"/>
  <c r="D385" i="8" s="1"/>
  <c r="D385" i="5" a="1"/>
  <c r="D385" i="5" s="1"/>
  <c r="B386" i="5"/>
  <c r="B386" i="8" s="1"/>
  <c r="C386" i="5"/>
  <c r="D386" i="8" s="1"/>
  <c r="D386" i="5" a="1"/>
  <c r="D386" i="5" s="1"/>
  <c r="B387" i="5"/>
  <c r="B387" i="8" s="1"/>
  <c r="C387" i="5"/>
  <c r="D387" i="8" s="1"/>
  <c r="D387" i="5" a="1"/>
  <c r="D387" i="5" s="1"/>
  <c r="B388" i="5"/>
  <c r="B388" i="8" s="1"/>
  <c r="C388" i="5"/>
  <c r="D388" i="8" s="1"/>
  <c r="D388" i="5" a="1"/>
  <c r="D388" i="5" s="1"/>
  <c r="B389" i="5"/>
  <c r="B389" i="8" s="1"/>
  <c r="C389" i="5"/>
  <c r="D389" i="8" s="1"/>
  <c r="D389" i="5" a="1"/>
  <c r="D389" i="5" s="1"/>
  <c r="B390" i="5"/>
  <c r="B390" i="8" s="1"/>
  <c r="C390" i="5"/>
  <c r="D390" i="8" s="1"/>
  <c r="D390" i="5" a="1"/>
  <c r="D390" i="5" s="1"/>
  <c r="B391" i="5"/>
  <c r="B391" i="8" s="1"/>
  <c r="C391" i="5"/>
  <c r="D391" i="8" s="1"/>
  <c r="D391" i="5" a="1"/>
  <c r="D391" i="5" s="1"/>
  <c r="B392" i="5"/>
  <c r="B392" i="8" s="1"/>
  <c r="C392" i="5"/>
  <c r="D392" i="8" s="1"/>
  <c r="D392" i="5" a="1"/>
  <c r="D392" i="5" s="1"/>
  <c r="B393" i="5"/>
  <c r="B393" i="8" s="1"/>
  <c r="C393" i="5"/>
  <c r="D393" i="8" s="1"/>
  <c r="D393" i="5" a="1"/>
  <c r="D393" i="5" s="1"/>
  <c r="B394" i="5"/>
  <c r="B394" i="8" s="1"/>
  <c r="C394" i="5"/>
  <c r="D394" i="8" s="1"/>
  <c r="D394" i="5" a="1"/>
  <c r="D394" i="5" s="1"/>
  <c r="B395" i="5"/>
  <c r="B395" i="8" s="1"/>
  <c r="C395" i="5"/>
  <c r="D395" i="8" s="1"/>
  <c r="D395" i="5" a="1"/>
  <c r="D395" i="5" s="1"/>
  <c r="B396" i="5"/>
  <c r="B396" i="8" s="1"/>
  <c r="C396" i="5"/>
  <c r="D396" i="8" s="1"/>
  <c r="D396" i="5" a="1"/>
  <c r="D396" i="5" s="1"/>
  <c r="B397" i="5"/>
  <c r="B397" i="8" s="1"/>
  <c r="C397" i="5"/>
  <c r="D397" i="8" s="1"/>
  <c r="D397" i="5" a="1"/>
  <c r="D397" i="5" s="1"/>
  <c r="B398" i="5"/>
  <c r="B398" i="8" s="1"/>
  <c r="C398" i="5"/>
  <c r="D398" i="8" s="1"/>
  <c r="D398" i="5" a="1"/>
  <c r="D398" i="5" s="1"/>
  <c r="B399" i="5"/>
  <c r="B399" i="8" s="1"/>
  <c r="C399" i="5"/>
  <c r="D399" i="8" s="1"/>
  <c r="D399" i="5" a="1"/>
  <c r="D399" i="5" s="1"/>
  <c r="B400" i="5"/>
  <c r="B400" i="8" s="1"/>
  <c r="C400" i="5"/>
  <c r="D400" i="8" s="1"/>
  <c r="D400" i="5" a="1"/>
  <c r="D400" i="5" s="1"/>
  <c r="B401" i="5"/>
  <c r="B401" i="8" s="1"/>
  <c r="C401" i="5"/>
  <c r="D401" i="8" s="1"/>
  <c r="D401" i="5" a="1"/>
  <c r="D401" i="5" s="1"/>
  <c r="B402" i="5"/>
  <c r="B402" i="8" s="1"/>
  <c r="C402" i="5"/>
  <c r="D402" i="8" s="1"/>
  <c r="D402" i="5" a="1"/>
  <c r="D402" i="5" s="1"/>
  <c r="B403" i="5"/>
  <c r="B403" i="8" s="1"/>
  <c r="C403" i="5"/>
  <c r="D403" i="8" s="1"/>
  <c r="D403" i="5" a="1"/>
  <c r="D403" i="5" s="1"/>
  <c r="B404" i="5"/>
  <c r="B404" i="8" s="1"/>
  <c r="C404" i="5"/>
  <c r="D404" i="8" s="1"/>
  <c r="D404" i="5" a="1"/>
  <c r="D404" i="5" s="1"/>
  <c r="B405" i="5"/>
  <c r="B405" i="8" s="1"/>
  <c r="C405" i="5"/>
  <c r="D405" i="8" s="1"/>
  <c r="D405" i="5" a="1"/>
  <c r="D405" i="5" s="1"/>
  <c r="B406" i="5"/>
  <c r="B406" i="8" s="1"/>
  <c r="C406" i="5"/>
  <c r="D406" i="8" s="1"/>
  <c r="D406" i="5" a="1"/>
  <c r="D406" i="5" s="1"/>
  <c r="B407" i="5"/>
  <c r="B407" i="8" s="1"/>
  <c r="C407" i="5"/>
  <c r="D407" i="8" s="1"/>
  <c r="D407" i="5" a="1"/>
  <c r="D407" i="5" s="1"/>
  <c r="B408" i="5"/>
  <c r="B408" i="8" s="1"/>
  <c r="C408" i="5"/>
  <c r="D408" i="8" s="1"/>
  <c r="D408" i="5" a="1"/>
  <c r="D408" i="5" s="1"/>
  <c r="B409" i="5"/>
  <c r="B409" i="8" s="1"/>
  <c r="C409" i="5"/>
  <c r="D409" i="8" s="1"/>
  <c r="D409" i="5" a="1"/>
  <c r="D409" i="5" s="1"/>
  <c r="B410" i="5"/>
  <c r="B410" i="8" s="1"/>
  <c r="C410" i="5"/>
  <c r="D410" i="8" s="1"/>
  <c r="D410" i="5" a="1"/>
  <c r="D410" i="5" s="1"/>
  <c r="B411" i="5"/>
  <c r="B411" i="8" s="1"/>
  <c r="C411" i="5"/>
  <c r="D411" i="8" s="1"/>
  <c r="D411" i="5" a="1"/>
  <c r="D411" i="5" s="1"/>
  <c r="B412" i="5"/>
  <c r="B412" i="8" s="1"/>
  <c r="C412" i="5"/>
  <c r="D412" i="8" s="1"/>
  <c r="D412" i="5" a="1"/>
  <c r="D412" i="5" s="1"/>
  <c r="B413" i="5"/>
  <c r="B413" i="8" s="1"/>
  <c r="C413" i="5"/>
  <c r="D413" i="8" s="1"/>
  <c r="D413" i="5" a="1"/>
  <c r="D413" i="5" s="1"/>
  <c r="B414" i="5"/>
  <c r="B414" i="8" s="1"/>
  <c r="C414" i="5"/>
  <c r="D414" i="8" s="1"/>
  <c r="D414" i="5" a="1"/>
  <c r="D414" i="5" s="1"/>
  <c r="B415" i="5"/>
  <c r="B415" i="8" s="1"/>
  <c r="C415" i="5"/>
  <c r="D415" i="8" s="1"/>
  <c r="D415" i="5" a="1"/>
  <c r="D415" i="5" s="1"/>
  <c r="B416" i="5"/>
  <c r="B416" i="8" s="1"/>
  <c r="C416" i="5"/>
  <c r="D416" i="8" s="1"/>
  <c r="D416" i="5" a="1"/>
  <c r="D416" i="5" s="1"/>
  <c r="B417" i="5"/>
  <c r="B417" i="8" s="1"/>
  <c r="C417" i="5"/>
  <c r="D417" i="8" s="1"/>
  <c r="D417" i="5" a="1"/>
  <c r="D417" i="5" s="1"/>
  <c r="B418" i="5"/>
  <c r="B418" i="8" s="1"/>
  <c r="C418" i="5"/>
  <c r="D418" i="8" s="1"/>
  <c r="D418" i="5" a="1"/>
  <c r="D418" i="5" s="1"/>
  <c r="B419" i="5"/>
  <c r="B419" i="8" s="1"/>
  <c r="C419" i="5"/>
  <c r="D419" i="8" s="1"/>
  <c r="D419" i="5" a="1"/>
  <c r="D419" i="5" s="1"/>
  <c r="B420" i="5"/>
  <c r="B420" i="8" s="1"/>
  <c r="C420" i="5"/>
  <c r="D420" i="8" s="1"/>
  <c r="D420" i="5" a="1"/>
  <c r="D420" i="5" s="1"/>
  <c r="B421" i="5"/>
  <c r="B421" i="8" s="1"/>
  <c r="C421" i="5"/>
  <c r="D421" i="8" s="1"/>
  <c r="D421" i="5" a="1"/>
  <c r="D421" i="5" s="1"/>
  <c r="B422" i="5"/>
  <c r="B422" i="8" s="1"/>
  <c r="C422" i="5"/>
  <c r="D422" i="8" s="1"/>
  <c r="D422" i="5" a="1"/>
  <c r="D422" i="5" s="1"/>
  <c r="B423" i="5"/>
  <c r="B423" i="8" s="1"/>
  <c r="C423" i="5"/>
  <c r="D423" i="8" s="1"/>
  <c r="D423" i="5" a="1"/>
  <c r="D423" i="5" s="1"/>
  <c r="B424" i="5"/>
  <c r="B424" i="8" s="1"/>
  <c r="C424" i="5"/>
  <c r="D424" i="8" s="1"/>
  <c r="D424" i="5" a="1"/>
  <c r="D424" i="5" s="1"/>
  <c r="B425" i="5"/>
  <c r="B425" i="8" s="1"/>
  <c r="C425" i="5"/>
  <c r="D425" i="8" s="1"/>
  <c r="D425" i="5" a="1"/>
  <c r="D425" i="5" s="1"/>
  <c r="B426" i="5"/>
  <c r="B426" i="8" s="1"/>
  <c r="C426" i="5"/>
  <c r="D426" i="8" s="1"/>
  <c r="D426" i="5" a="1"/>
  <c r="D426" i="5" s="1"/>
  <c r="B427" i="5"/>
  <c r="B427" i="8" s="1"/>
  <c r="C427" i="5"/>
  <c r="D427" i="8" s="1"/>
  <c r="D427" i="5" a="1"/>
  <c r="D427" i="5" s="1"/>
  <c r="B428" i="5"/>
  <c r="B428" i="8" s="1"/>
  <c r="C428" i="5"/>
  <c r="D428" i="8" s="1"/>
  <c r="D428" i="5" a="1"/>
  <c r="D428" i="5" s="1"/>
  <c r="B429" i="5"/>
  <c r="B429" i="8" s="1"/>
  <c r="C429" i="5"/>
  <c r="D429" i="8" s="1"/>
  <c r="D429" i="5" a="1"/>
  <c r="D429" i="5" s="1"/>
  <c r="B430" i="5"/>
  <c r="B430" i="8" s="1"/>
  <c r="C430" i="5"/>
  <c r="D430" i="8" s="1"/>
  <c r="D430" i="5" a="1"/>
  <c r="D430" i="5" s="1"/>
  <c r="B431" i="5"/>
  <c r="B431" i="8" s="1"/>
  <c r="C431" i="5"/>
  <c r="D431" i="8" s="1"/>
  <c r="D431" i="5" a="1"/>
  <c r="D431" i="5" s="1"/>
  <c r="B432" i="5"/>
  <c r="B432" i="8" s="1"/>
  <c r="C432" i="5"/>
  <c r="D432" i="8" s="1"/>
  <c r="D432" i="5" a="1"/>
  <c r="D432" i="5" s="1"/>
  <c r="B433" i="5"/>
  <c r="B433" i="8" s="1"/>
  <c r="C433" i="5"/>
  <c r="D433" i="8" s="1"/>
  <c r="D433" i="5" a="1"/>
  <c r="D433" i="5" s="1"/>
  <c r="B434" i="5"/>
  <c r="B434" i="8" s="1"/>
  <c r="C434" i="5"/>
  <c r="D434" i="8" s="1"/>
  <c r="D434" i="5" a="1"/>
  <c r="D434" i="5" s="1"/>
  <c r="B435" i="5"/>
  <c r="B435" i="8" s="1"/>
  <c r="C435" i="5"/>
  <c r="D435" i="8" s="1"/>
  <c r="D435" i="5" a="1"/>
  <c r="D435" i="5" s="1"/>
  <c r="B436" i="5"/>
  <c r="B436" i="8" s="1"/>
  <c r="C436" i="5"/>
  <c r="D436" i="8" s="1"/>
  <c r="D436" i="5" a="1"/>
  <c r="D436" i="5" s="1"/>
  <c r="B437" i="5"/>
  <c r="B437" i="8" s="1"/>
  <c r="C437" i="5"/>
  <c r="D437" i="8" s="1"/>
  <c r="D437" i="5" a="1"/>
  <c r="D437" i="5" s="1"/>
  <c r="B438" i="5"/>
  <c r="B438" i="8" s="1"/>
  <c r="C438" i="5"/>
  <c r="D438" i="8" s="1"/>
  <c r="D438" i="5" a="1"/>
  <c r="D438" i="5" s="1"/>
  <c r="B439" i="5"/>
  <c r="B439" i="8" s="1"/>
  <c r="C439" i="5"/>
  <c r="D439" i="8" s="1"/>
  <c r="D439" i="5" a="1"/>
  <c r="D439" i="5" s="1"/>
  <c r="B440" i="5"/>
  <c r="B440" i="8" s="1"/>
  <c r="C440" i="5"/>
  <c r="D440" i="8" s="1"/>
  <c r="D440" i="5" a="1"/>
  <c r="D440" i="5" s="1"/>
  <c r="B441" i="5"/>
  <c r="B441" i="8" s="1"/>
  <c r="C441" i="5"/>
  <c r="D441" i="8" s="1"/>
  <c r="D441" i="5" a="1"/>
  <c r="D441" i="5" s="1"/>
  <c r="B442" i="5"/>
  <c r="B442" i="8" s="1"/>
  <c r="C442" i="5"/>
  <c r="D442" i="8" s="1"/>
  <c r="D442" i="5" a="1"/>
  <c r="D442" i="5" s="1"/>
  <c r="B443" i="5"/>
  <c r="B443" i="8" s="1"/>
  <c r="C443" i="5"/>
  <c r="D443" i="8" s="1"/>
  <c r="D443" i="5" a="1"/>
  <c r="D443" i="5" s="1"/>
  <c r="B444" i="5"/>
  <c r="B444" i="8" s="1"/>
  <c r="C444" i="5"/>
  <c r="D444" i="8" s="1"/>
  <c r="D444" i="5" a="1"/>
  <c r="D444" i="5" s="1"/>
  <c r="B445" i="5"/>
  <c r="B445" i="8" s="1"/>
  <c r="C445" i="5"/>
  <c r="D445" i="8" s="1"/>
  <c r="D445" i="5" a="1"/>
  <c r="D445" i="5" s="1"/>
  <c r="B446" i="5"/>
  <c r="B446" i="8" s="1"/>
  <c r="C446" i="5"/>
  <c r="D446" i="8" s="1"/>
  <c r="D446" i="5" a="1"/>
  <c r="D446" i="5" s="1"/>
  <c r="B447" i="5"/>
  <c r="B447" i="8" s="1"/>
  <c r="C447" i="5"/>
  <c r="D447" i="8" s="1"/>
  <c r="D447" i="5" a="1"/>
  <c r="D447" i="5" s="1"/>
  <c r="B448" i="5"/>
  <c r="B448" i="8" s="1"/>
  <c r="C448" i="5"/>
  <c r="D448" i="8" s="1"/>
  <c r="D448" i="5" a="1"/>
  <c r="D448" i="5" s="1"/>
  <c r="B449" i="5"/>
  <c r="B449" i="8" s="1"/>
  <c r="C449" i="5"/>
  <c r="D449" i="8" s="1"/>
  <c r="D449" i="5" a="1"/>
  <c r="D449" i="5" s="1"/>
  <c r="B450" i="5"/>
  <c r="B450" i="8" s="1"/>
  <c r="C450" i="5"/>
  <c r="D450" i="8" s="1"/>
  <c r="D450" i="5" a="1"/>
  <c r="D450" i="5" s="1"/>
  <c r="B451" i="5"/>
  <c r="B451" i="8" s="1"/>
  <c r="C451" i="5"/>
  <c r="D451" i="8" s="1"/>
  <c r="D451" i="5" a="1"/>
  <c r="D451" i="5" s="1"/>
  <c r="B452" i="5"/>
  <c r="B452" i="8" s="1"/>
  <c r="C452" i="5"/>
  <c r="D452" i="8" s="1"/>
  <c r="D452" i="5" a="1"/>
  <c r="D452" i="5" s="1"/>
  <c r="B453" i="5"/>
  <c r="B453" i="8" s="1"/>
  <c r="C453" i="5"/>
  <c r="D453" i="8" s="1"/>
  <c r="D453" i="5" a="1"/>
  <c r="D453" i="5" s="1"/>
  <c r="B454" i="5"/>
  <c r="B454" i="8" s="1"/>
  <c r="C454" i="5"/>
  <c r="D454" i="8" s="1"/>
  <c r="D454" i="5" a="1"/>
  <c r="D454" i="5" s="1"/>
  <c r="B455" i="5"/>
  <c r="B455" i="8" s="1"/>
  <c r="C455" i="5"/>
  <c r="D455" i="8" s="1"/>
  <c r="D455" i="5" a="1"/>
  <c r="D455" i="5" s="1"/>
  <c r="B456" i="5"/>
  <c r="B456" i="8" s="1"/>
  <c r="C456" i="5"/>
  <c r="D456" i="8" s="1"/>
  <c r="D456" i="5" a="1"/>
  <c r="D456" i="5" s="1"/>
  <c r="B457" i="5"/>
  <c r="B457" i="8" s="1"/>
  <c r="C457" i="5"/>
  <c r="D457" i="8" s="1"/>
  <c r="D457" i="5" a="1"/>
  <c r="D457" i="5" s="1"/>
  <c r="B458" i="5"/>
  <c r="B458" i="8" s="1"/>
  <c r="C458" i="5"/>
  <c r="D458" i="8" s="1"/>
  <c r="D458" i="5" a="1"/>
  <c r="D458" i="5" s="1"/>
  <c r="B459" i="5"/>
  <c r="B459" i="8" s="1"/>
  <c r="C459" i="5"/>
  <c r="D459" i="8" s="1"/>
  <c r="D459" i="5" a="1"/>
  <c r="D459" i="5" s="1"/>
  <c r="B460" i="5"/>
  <c r="B460" i="8" s="1"/>
  <c r="C460" i="5"/>
  <c r="D460" i="8" s="1"/>
  <c r="D460" i="5" a="1"/>
  <c r="D460" i="5" s="1"/>
  <c r="B461" i="5"/>
  <c r="B461" i="8" s="1"/>
  <c r="C461" i="5"/>
  <c r="D461" i="8" s="1"/>
  <c r="D461" i="5" a="1"/>
  <c r="D461" i="5" s="1"/>
  <c r="B462" i="5"/>
  <c r="B462" i="8" s="1"/>
  <c r="C462" i="5"/>
  <c r="D462" i="8" s="1"/>
  <c r="D462" i="5" a="1"/>
  <c r="D462" i="5" s="1"/>
  <c r="B463" i="5"/>
  <c r="B463" i="8" s="1"/>
  <c r="C463" i="5"/>
  <c r="D463" i="8" s="1"/>
  <c r="D463" i="5" a="1"/>
  <c r="D463" i="5" s="1"/>
  <c r="B464" i="5"/>
  <c r="B464" i="8" s="1"/>
  <c r="C464" i="5"/>
  <c r="D464" i="8" s="1"/>
  <c r="D464" i="5" a="1"/>
  <c r="D464" i="5" s="1"/>
  <c r="B465" i="5"/>
  <c r="B465" i="8" s="1"/>
  <c r="C465" i="5"/>
  <c r="D465" i="8" s="1"/>
  <c r="D465" i="5" a="1"/>
  <c r="D465" i="5" s="1"/>
  <c r="B466" i="5"/>
  <c r="B466" i="8" s="1"/>
  <c r="C466" i="5"/>
  <c r="D466" i="8" s="1"/>
  <c r="D466" i="5" a="1"/>
  <c r="D466" i="5" s="1"/>
  <c r="B467" i="5"/>
  <c r="B467" i="8" s="1"/>
  <c r="C467" i="5"/>
  <c r="D467" i="8" s="1"/>
  <c r="D467" i="5" a="1"/>
  <c r="D467" i="5" s="1"/>
  <c r="B468" i="5"/>
  <c r="B468" i="8" s="1"/>
  <c r="C468" i="5"/>
  <c r="D468" i="8" s="1"/>
  <c r="D468" i="5" a="1"/>
  <c r="D468" i="5" s="1"/>
  <c r="B469" i="5"/>
  <c r="B469" i="8" s="1"/>
  <c r="C469" i="5"/>
  <c r="D469" i="8" s="1"/>
  <c r="D469" i="5" a="1"/>
  <c r="D469" i="5" s="1"/>
  <c r="B470" i="5"/>
  <c r="B470" i="8" s="1"/>
  <c r="C470" i="5"/>
  <c r="D470" i="8" s="1"/>
  <c r="D470" i="5" a="1"/>
  <c r="D470" i="5" s="1"/>
  <c r="B471" i="5"/>
  <c r="B471" i="8" s="1"/>
  <c r="C471" i="5"/>
  <c r="D471" i="8" s="1"/>
  <c r="D471" i="5" a="1"/>
  <c r="D471" i="5" s="1"/>
  <c r="B472" i="5"/>
  <c r="B472" i="8" s="1"/>
  <c r="C472" i="5"/>
  <c r="D472" i="8" s="1"/>
  <c r="D472" i="5" a="1"/>
  <c r="D472" i="5" s="1"/>
  <c r="B473" i="5"/>
  <c r="B473" i="8" s="1"/>
  <c r="C473" i="5"/>
  <c r="D473" i="8" s="1"/>
  <c r="D473" i="5" a="1"/>
  <c r="D473" i="5" s="1"/>
  <c r="B474" i="5"/>
  <c r="B474" i="8" s="1"/>
  <c r="C474" i="5"/>
  <c r="D474" i="8" s="1"/>
  <c r="D474" i="5" a="1"/>
  <c r="D474" i="5" s="1"/>
  <c r="B475" i="5"/>
  <c r="B475" i="8" s="1"/>
  <c r="C475" i="5"/>
  <c r="D475" i="8" s="1"/>
  <c r="D475" i="5" a="1"/>
  <c r="D475" i="5" s="1"/>
  <c r="B476" i="5"/>
  <c r="B476" i="8" s="1"/>
  <c r="C476" i="5"/>
  <c r="D476" i="8" s="1"/>
  <c r="D476" i="5" a="1"/>
  <c r="D476" i="5" s="1"/>
  <c r="B477" i="5"/>
  <c r="B477" i="8" s="1"/>
  <c r="C477" i="5"/>
  <c r="D477" i="8" s="1"/>
  <c r="D477" i="5" a="1"/>
  <c r="D477" i="5" s="1"/>
  <c r="B478" i="5"/>
  <c r="B478" i="8" s="1"/>
  <c r="C478" i="5"/>
  <c r="D478" i="8" s="1"/>
  <c r="D478" i="5" a="1"/>
  <c r="D478" i="5" s="1"/>
  <c r="B479" i="5"/>
  <c r="B479" i="8" s="1"/>
  <c r="C479" i="5"/>
  <c r="D479" i="8" s="1"/>
  <c r="D479" i="5" a="1"/>
  <c r="D479" i="5" s="1"/>
  <c r="B480" i="5"/>
  <c r="B480" i="8" s="1"/>
  <c r="C480" i="5"/>
  <c r="D480" i="8" s="1"/>
  <c r="D480" i="5" a="1"/>
  <c r="D480" i="5" s="1"/>
  <c r="B481" i="5"/>
  <c r="B481" i="8" s="1"/>
  <c r="C481" i="5"/>
  <c r="D481" i="8" s="1"/>
  <c r="D481" i="5" a="1"/>
  <c r="D481" i="5" s="1"/>
  <c r="B482" i="5"/>
  <c r="B482" i="8" s="1"/>
  <c r="C482" i="5"/>
  <c r="D482" i="8" s="1"/>
  <c r="D482" i="5" a="1"/>
  <c r="D482" i="5" s="1"/>
  <c r="B483" i="5"/>
  <c r="B483" i="8" s="1"/>
  <c r="C483" i="5"/>
  <c r="D483" i="8" s="1"/>
  <c r="D483" i="5" a="1"/>
  <c r="D483" i="5" s="1"/>
  <c r="B484" i="5"/>
  <c r="B484" i="8" s="1"/>
  <c r="C484" i="5"/>
  <c r="D484" i="8" s="1"/>
  <c r="D484" i="5" a="1"/>
  <c r="D484" i="5" s="1"/>
  <c r="B485" i="5"/>
  <c r="B485" i="8" s="1"/>
  <c r="C485" i="5"/>
  <c r="D485" i="8" s="1"/>
  <c r="D485" i="5" a="1"/>
  <c r="D485" i="5" s="1"/>
  <c r="B486" i="5"/>
  <c r="B486" i="8" s="1"/>
  <c r="C486" i="5"/>
  <c r="D486" i="8" s="1"/>
  <c r="D486" i="5" a="1"/>
  <c r="D486" i="5" s="1"/>
  <c r="B487" i="5"/>
  <c r="B487" i="8" s="1"/>
  <c r="C487" i="5"/>
  <c r="D487" i="8" s="1"/>
  <c r="D487" i="5" a="1"/>
  <c r="D487" i="5" s="1"/>
  <c r="B488" i="5"/>
  <c r="B488" i="8" s="1"/>
  <c r="C488" i="5"/>
  <c r="D488" i="8" s="1"/>
  <c r="D488" i="5" a="1"/>
  <c r="D488" i="5" s="1"/>
  <c r="B489" i="5"/>
  <c r="B489" i="8" s="1"/>
  <c r="C489" i="5"/>
  <c r="D489" i="8" s="1"/>
  <c r="D489" i="5" a="1"/>
  <c r="D489" i="5" s="1"/>
  <c r="B490" i="5"/>
  <c r="B490" i="8" s="1"/>
  <c r="C490" i="5"/>
  <c r="D490" i="8" s="1"/>
  <c r="D490" i="5" a="1"/>
  <c r="D490" i="5" s="1"/>
  <c r="B491" i="5"/>
  <c r="B491" i="8" s="1"/>
  <c r="C491" i="5"/>
  <c r="D491" i="8" s="1"/>
  <c r="D491" i="5" a="1"/>
  <c r="D491" i="5" s="1"/>
  <c r="B492" i="5"/>
  <c r="B492" i="8" s="1"/>
  <c r="C492" i="5"/>
  <c r="D492" i="8" s="1"/>
  <c r="D492" i="5" a="1"/>
  <c r="D492" i="5" s="1"/>
  <c r="B493" i="5"/>
  <c r="B493" i="8" s="1"/>
  <c r="C493" i="5"/>
  <c r="D493" i="8" s="1"/>
  <c r="D493" i="5" a="1"/>
  <c r="D493" i="5" s="1"/>
  <c r="B494" i="5"/>
  <c r="B494" i="8" s="1"/>
  <c r="C494" i="5"/>
  <c r="D494" i="8" s="1"/>
  <c r="D494" i="5" a="1"/>
  <c r="D494" i="5" s="1"/>
  <c r="B495" i="5"/>
  <c r="B495" i="8" s="1"/>
  <c r="C495" i="5"/>
  <c r="D495" i="8" s="1"/>
  <c r="D495" i="5" a="1"/>
  <c r="D495" i="5" s="1"/>
  <c r="B496" i="5"/>
  <c r="B496" i="8" s="1"/>
  <c r="C496" i="5"/>
  <c r="D496" i="8" s="1"/>
  <c r="D496" i="5" a="1"/>
  <c r="D496" i="5" s="1"/>
  <c r="B497" i="5"/>
  <c r="B497" i="8" s="1"/>
  <c r="C497" i="5"/>
  <c r="D497" i="8" s="1"/>
  <c r="D497" i="5" a="1"/>
  <c r="D497" i="5" s="1"/>
  <c r="B498" i="5"/>
  <c r="B498" i="8" s="1"/>
  <c r="C498" i="5"/>
  <c r="D498" i="8" s="1"/>
  <c r="D498" i="5" a="1"/>
  <c r="D498" i="5" s="1"/>
  <c r="B499" i="5"/>
  <c r="B499" i="8" s="1"/>
  <c r="C499" i="5"/>
  <c r="D499" i="8" s="1"/>
  <c r="D499" i="5" a="1"/>
  <c r="D499" i="5" s="1"/>
  <c r="B500" i="5"/>
  <c r="B500" i="8" s="1"/>
  <c r="C500" i="5"/>
  <c r="D500" i="8" s="1"/>
  <c r="D500" i="5" a="1"/>
  <c r="D500" i="5" s="1"/>
  <c r="B501" i="5"/>
  <c r="B501" i="8" s="1"/>
  <c r="C501" i="5"/>
  <c r="D501" i="8" s="1"/>
  <c r="D501" i="5" a="1"/>
  <c r="D501" i="5" s="1"/>
  <c r="B502" i="5"/>
  <c r="B502" i="8" s="1"/>
  <c r="C502" i="5"/>
  <c r="D502" i="8" s="1"/>
  <c r="D502" i="5" a="1"/>
  <c r="D502" i="5" s="1"/>
  <c r="B503" i="5"/>
  <c r="B503" i="8" s="1"/>
  <c r="C503" i="5"/>
  <c r="D503" i="8" s="1"/>
  <c r="D503" i="5" a="1"/>
  <c r="D503" i="5" s="1"/>
  <c r="B504" i="5"/>
  <c r="B504" i="8" s="1"/>
  <c r="C504" i="5"/>
  <c r="D504" i="8" s="1"/>
  <c r="D504" i="5" a="1"/>
  <c r="D504" i="5" s="1"/>
  <c r="B505" i="5"/>
  <c r="B505" i="8" s="1"/>
  <c r="C505" i="5"/>
  <c r="D505" i="8" s="1"/>
  <c r="D505" i="5" a="1"/>
  <c r="D505" i="5" s="1"/>
  <c r="B506" i="5"/>
  <c r="B506" i="8" s="1"/>
  <c r="C506" i="5"/>
  <c r="D506" i="8" s="1"/>
  <c r="D506" i="5" a="1"/>
  <c r="D506" i="5" s="1"/>
  <c r="B507" i="5"/>
  <c r="B507" i="8" s="1"/>
  <c r="C507" i="5"/>
  <c r="D507" i="8" s="1"/>
  <c r="D507" i="5" a="1"/>
  <c r="D507" i="5" s="1"/>
  <c r="B508" i="5"/>
  <c r="B508" i="8" s="1"/>
  <c r="C508" i="5"/>
  <c r="D508" i="8" s="1"/>
  <c r="D508" i="5" a="1"/>
  <c r="D508" i="5" s="1"/>
  <c r="B509" i="5"/>
  <c r="B509" i="8" s="1"/>
  <c r="C509" i="5"/>
  <c r="D509" i="8" s="1"/>
  <c r="D509" i="5" a="1"/>
  <c r="D509" i="5" s="1"/>
  <c r="B510" i="5"/>
  <c r="B510" i="8" s="1"/>
  <c r="C510" i="5"/>
  <c r="D510" i="8" s="1"/>
  <c r="D510" i="5" a="1"/>
  <c r="D510" i="5" s="1"/>
  <c r="B511" i="5"/>
  <c r="B511" i="8" s="1"/>
  <c r="C511" i="5"/>
  <c r="D511" i="8" s="1"/>
  <c r="D511" i="5" a="1"/>
  <c r="D511" i="5" s="1"/>
  <c r="B512" i="5"/>
  <c r="B512" i="8" s="1"/>
  <c r="C512" i="5"/>
  <c r="D512" i="8" s="1"/>
  <c r="D512" i="5" a="1"/>
  <c r="D512" i="5" s="1"/>
  <c r="B513" i="5"/>
  <c r="B513" i="8" s="1"/>
  <c r="C513" i="5"/>
  <c r="D513" i="8" s="1"/>
  <c r="D513" i="5" a="1"/>
  <c r="D513" i="5" s="1"/>
  <c r="B514" i="5"/>
  <c r="B514" i="8" s="1"/>
  <c r="C514" i="5"/>
  <c r="D514" i="8" s="1"/>
  <c r="D514" i="5" a="1"/>
  <c r="D514" i="5" s="1"/>
  <c r="B515" i="5"/>
  <c r="B515" i="8" s="1"/>
  <c r="C515" i="5"/>
  <c r="D515" i="8" s="1"/>
  <c r="D515" i="5" a="1"/>
  <c r="D515" i="5" s="1"/>
  <c r="B516" i="5"/>
  <c r="B516" i="8" s="1"/>
  <c r="C516" i="5"/>
  <c r="D516" i="8" s="1"/>
  <c r="D516" i="5" a="1"/>
  <c r="D516" i="5" s="1"/>
  <c r="B517" i="5"/>
  <c r="B517" i="8" s="1"/>
  <c r="C517" i="5"/>
  <c r="D517" i="8" s="1"/>
  <c r="D517" i="5" a="1"/>
  <c r="D517" i="5" s="1"/>
  <c r="B518" i="5"/>
  <c r="B518" i="8" s="1"/>
  <c r="C518" i="5"/>
  <c r="D518" i="8" s="1"/>
  <c r="D518" i="5" a="1"/>
  <c r="D518" i="5" s="1"/>
  <c r="B519" i="5"/>
  <c r="B519" i="8" s="1"/>
  <c r="C519" i="5"/>
  <c r="D519" i="8" s="1"/>
  <c r="D519" i="5" a="1"/>
  <c r="D519" i="5" s="1"/>
  <c r="B520" i="5"/>
  <c r="B520" i="8" s="1"/>
  <c r="C520" i="5"/>
  <c r="D520" i="8" s="1"/>
  <c r="D520" i="5" a="1"/>
  <c r="D520" i="5" s="1"/>
  <c r="B521" i="5"/>
  <c r="B521" i="8" s="1"/>
  <c r="C521" i="5"/>
  <c r="D521" i="8" s="1"/>
  <c r="D521" i="5" a="1"/>
  <c r="D521" i="5" s="1"/>
  <c r="B522" i="5"/>
  <c r="B522" i="8" s="1"/>
  <c r="C522" i="5"/>
  <c r="D522" i="8" s="1"/>
  <c r="D522" i="5" a="1"/>
  <c r="D522" i="5" s="1"/>
  <c r="B523" i="5"/>
  <c r="B523" i="8" s="1"/>
  <c r="C523" i="5"/>
  <c r="D523" i="8" s="1"/>
  <c r="D523" i="5" a="1"/>
  <c r="D523" i="5" s="1"/>
  <c r="B524" i="5"/>
  <c r="B524" i="8" s="1"/>
  <c r="C524" i="5"/>
  <c r="D524" i="8" s="1"/>
  <c r="D524" i="5" a="1"/>
  <c r="D524" i="5" s="1"/>
  <c r="B525" i="5"/>
  <c r="B525" i="8" s="1"/>
  <c r="C525" i="5"/>
  <c r="D525" i="8" s="1"/>
  <c r="D525" i="5" a="1"/>
  <c r="D525" i="5" s="1"/>
  <c r="B526" i="5"/>
  <c r="B526" i="8" s="1"/>
  <c r="C526" i="5"/>
  <c r="D526" i="8" s="1"/>
  <c r="D526" i="5" a="1"/>
  <c r="D526" i="5" s="1"/>
  <c r="B527" i="5"/>
  <c r="B527" i="8" s="1"/>
  <c r="C527" i="5"/>
  <c r="D527" i="8" s="1"/>
  <c r="D527" i="5" a="1"/>
  <c r="D527" i="5" s="1"/>
  <c r="B528" i="5"/>
  <c r="B528" i="8" s="1"/>
  <c r="C528" i="5"/>
  <c r="D528" i="8" s="1"/>
  <c r="D528" i="5" a="1"/>
  <c r="D528" i="5" s="1"/>
  <c r="B529" i="5"/>
  <c r="B529" i="8" s="1"/>
  <c r="C529" i="5"/>
  <c r="D529" i="8" s="1"/>
  <c r="D529" i="5" a="1"/>
  <c r="D529" i="5" s="1"/>
  <c r="B530" i="5"/>
  <c r="B530" i="8" s="1"/>
  <c r="C530" i="5"/>
  <c r="D530" i="8" s="1"/>
  <c r="D530" i="5" a="1"/>
  <c r="D530" i="5" s="1"/>
  <c r="B531" i="5"/>
  <c r="B531" i="8" s="1"/>
  <c r="C531" i="5"/>
  <c r="D531" i="8" s="1"/>
  <c r="D531" i="5" a="1"/>
  <c r="D531" i="5" s="1"/>
  <c r="B532" i="5"/>
  <c r="B532" i="8" s="1"/>
  <c r="C532" i="5"/>
  <c r="D532" i="8" s="1"/>
  <c r="D532" i="5" a="1"/>
  <c r="D532" i="5" s="1"/>
  <c r="B533" i="5"/>
  <c r="B533" i="8" s="1"/>
  <c r="C533" i="5"/>
  <c r="D533" i="8" s="1"/>
  <c r="D533" i="5" a="1"/>
  <c r="D533" i="5" s="1"/>
  <c r="B534" i="5"/>
  <c r="B534" i="8" s="1"/>
  <c r="C534" i="5"/>
  <c r="D534" i="8" s="1"/>
  <c r="D534" i="5" a="1"/>
  <c r="D534" i="5" s="1"/>
  <c r="B535" i="5"/>
  <c r="B535" i="8" s="1"/>
  <c r="C535" i="5"/>
  <c r="D535" i="8" s="1"/>
  <c r="D535" i="5" a="1"/>
  <c r="D535" i="5" s="1"/>
  <c r="B536" i="5"/>
  <c r="B536" i="8" s="1"/>
  <c r="C536" i="5"/>
  <c r="D536" i="8" s="1"/>
  <c r="D536" i="5" a="1"/>
  <c r="D536" i="5" s="1"/>
  <c r="B537" i="5"/>
  <c r="B537" i="8" s="1"/>
  <c r="C537" i="5"/>
  <c r="D537" i="8" s="1"/>
  <c r="D537" i="5" a="1"/>
  <c r="D537" i="5" s="1"/>
  <c r="B538" i="5"/>
  <c r="B538" i="8" s="1"/>
  <c r="C538" i="5"/>
  <c r="D538" i="8" s="1"/>
  <c r="D538" i="5" a="1"/>
  <c r="D538" i="5" s="1"/>
  <c r="B539" i="5"/>
  <c r="B539" i="8" s="1"/>
  <c r="C539" i="5"/>
  <c r="D539" i="8" s="1"/>
  <c r="D539" i="5" a="1"/>
  <c r="D539" i="5" s="1"/>
  <c r="B540" i="5"/>
  <c r="B540" i="8" s="1"/>
  <c r="C540" i="5"/>
  <c r="D540" i="8" s="1"/>
  <c r="D540" i="5" a="1"/>
  <c r="D540" i="5" s="1"/>
  <c r="B541" i="5"/>
  <c r="B541" i="8" s="1"/>
  <c r="C541" i="5"/>
  <c r="D541" i="8" s="1"/>
  <c r="D541" i="5" a="1"/>
  <c r="D541" i="5" s="1"/>
  <c r="B542" i="5"/>
  <c r="B542" i="8" s="1"/>
  <c r="C542" i="5"/>
  <c r="D542" i="8" s="1"/>
  <c r="D542" i="5" a="1"/>
  <c r="D542" i="5" s="1"/>
  <c r="B543" i="5"/>
  <c r="B543" i="8" s="1"/>
  <c r="C543" i="5"/>
  <c r="D543" i="8" s="1"/>
  <c r="D543" i="5" a="1"/>
  <c r="D543" i="5" s="1"/>
  <c r="B544" i="5"/>
  <c r="B544" i="8" s="1"/>
  <c r="C544" i="5"/>
  <c r="D544" i="8" s="1"/>
  <c r="D544" i="5" a="1"/>
  <c r="D544" i="5" s="1"/>
  <c r="B545" i="5"/>
  <c r="B545" i="8" s="1"/>
  <c r="C545" i="5"/>
  <c r="D545" i="8" s="1"/>
  <c r="D545" i="5" a="1"/>
  <c r="D545" i="5" s="1"/>
  <c r="B546" i="5"/>
  <c r="B546" i="8" s="1"/>
  <c r="C546" i="5"/>
  <c r="D546" i="8" s="1"/>
  <c r="D546" i="5" a="1"/>
  <c r="D546" i="5" s="1"/>
  <c r="B547" i="5"/>
  <c r="B547" i="8" s="1"/>
  <c r="C547" i="5"/>
  <c r="D547" i="8" s="1"/>
  <c r="D547" i="5" a="1"/>
  <c r="D547" i="5" s="1"/>
  <c r="B548" i="5"/>
  <c r="B548" i="8" s="1"/>
  <c r="C548" i="5"/>
  <c r="D548" i="8" s="1"/>
  <c r="D548" i="5" a="1"/>
  <c r="D548" i="5" s="1"/>
  <c r="B549" i="5"/>
  <c r="B549" i="8" s="1"/>
  <c r="C549" i="5"/>
  <c r="D549" i="8" s="1"/>
  <c r="D549" i="5" a="1"/>
  <c r="D549" i="5" s="1"/>
  <c r="B550" i="5"/>
  <c r="B550" i="8" s="1"/>
  <c r="C550" i="5"/>
  <c r="D550" i="8" s="1"/>
  <c r="D550" i="5" a="1"/>
  <c r="D550" i="5" s="1"/>
  <c r="B551" i="5"/>
  <c r="B551" i="8" s="1"/>
  <c r="C551" i="5"/>
  <c r="D551" i="8" s="1"/>
  <c r="D551" i="5" a="1"/>
  <c r="D551" i="5" s="1"/>
  <c r="B552" i="5"/>
  <c r="B552" i="8" s="1"/>
  <c r="C552" i="5"/>
  <c r="D552" i="8" s="1"/>
  <c r="D552" i="5" a="1"/>
  <c r="D552" i="5" s="1"/>
  <c r="B553" i="5"/>
  <c r="B553" i="8" s="1"/>
  <c r="C553" i="5"/>
  <c r="D553" i="8" s="1"/>
  <c r="D553" i="5" a="1"/>
  <c r="D553" i="5" s="1"/>
  <c r="B554" i="5"/>
  <c r="B554" i="8" s="1"/>
  <c r="C554" i="5"/>
  <c r="D554" i="8" s="1"/>
  <c r="D554" i="5" a="1"/>
  <c r="D554" i="5" s="1"/>
  <c r="B555" i="5"/>
  <c r="B555" i="8" s="1"/>
  <c r="C555" i="5"/>
  <c r="D555" i="8" s="1"/>
  <c r="D555" i="5" a="1"/>
  <c r="D555" i="5" s="1"/>
  <c r="B556" i="5"/>
  <c r="B556" i="8" s="1"/>
  <c r="C556" i="5"/>
  <c r="D556" i="8" s="1"/>
  <c r="D556" i="5" a="1"/>
  <c r="D556" i="5" s="1"/>
  <c r="B557" i="5"/>
  <c r="B557" i="8" s="1"/>
  <c r="C557" i="5"/>
  <c r="D557" i="8" s="1"/>
  <c r="D557" i="5" a="1"/>
  <c r="D557" i="5" s="1"/>
  <c r="B558" i="5"/>
  <c r="B558" i="8" s="1"/>
  <c r="C558" i="5"/>
  <c r="D558" i="8" s="1"/>
  <c r="D558" i="5" a="1"/>
  <c r="D558" i="5" s="1"/>
  <c r="B559" i="5"/>
  <c r="B559" i="8" s="1"/>
  <c r="C559" i="5"/>
  <c r="D559" i="8" s="1"/>
  <c r="D559" i="5" a="1"/>
  <c r="D559" i="5" s="1"/>
  <c r="B560" i="5"/>
  <c r="B560" i="8" s="1"/>
  <c r="C560" i="5"/>
  <c r="D560" i="8" s="1"/>
  <c r="D560" i="5" a="1"/>
  <c r="D560" i="5" s="1"/>
  <c r="B561" i="5"/>
  <c r="B561" i="8" s="1"/>
  <c r="C561" i="5"/>
  <c r="D561" i="8" s="1"/>
  <c r="D561" i="5" a="1"/>
  <c r="D561" i="5" s="1"/>
  <c r="B562" i="5"/>
  <c r="B562" i="8" s="1"/>
  <c r="C562" i="5"/>
  <c r="D562" i="8" s="1"/>
  <c r="D562" i="5" a="1"/>
  <c r="D562" i="5" s="1"/>
  <c r="B563" i="5"/>
  <c r="B563" i="8" s="1"/>
  <c r="C563" i="5"/>
  <c r="D563" i="8" s="1"/>
  <c r="D563" i="5" a="1"/>
  <c r="D563" i="5" s="1"/>
  <c r="B564" i="5"/>
  <c r="B564" i="8" s="1"/>
  <c r="C564" i="5"/>
  <c r="D564" i="8" s="1"/>
  <c r="D564" i="5" a="1"/>
  <c r="D564" i="5" s="1"/>
  <c r="B565" i="5"/>
  <c r="B565" i="8" s="1"/>
  <c r="C565" i="5"/>
  <c r="D565" i="8" s="1"/>
  <c r="D565" i="5" a="1"/>
  <c r="D565" i="5" s="1"/>
  <c r="B566" i="5"/>
  <c r="B566" i="8" s="1"/>
  <c r="C566" i="5"/>
  <c r="D566" i="8" s="1"/>
  <c r="D566" i="5" a="1"/>
  <c r="D566" i="5" s="1"/>
  <c r="B567" i="5"/>
  <c r="B567" i="8" s="1"/>
  <c r="C567" i="5"/>
  <c r="D567" i="8" s="1"/>
  <c r="D567" i="5" a="1"/>
  <c r="D567" i="5" s="1"/>
  <c r="B568" i="5"/>
  <c r="B568" i="8" s="1"/>
  <c r="C568" i="5"/>
  <c r="D568" i="8" s="1"/>
  <c r="D568" i="5" a="1"/>
  <c r="D568" i="5" s="1"/>
  <c r="B569" i="5"/>
  <c r="B569" i="8" s="1"/>
  <c r="C569" i="5"/>
  <c r="D569" i="8" s="1"/>
  <c r="D569" i="5" a="1"/>
  <c r="D569" i="5" s="1"/>
  <c r="B570" i="5"/>
  <c r="B570" i="8" s="1"/>
  <c r="C570" i="5"/>
  <c r="D570" i="8" s="1"/>
  <c r="D570" i="5" a="1"/>
  <c r="D570" i="5" s="1"/>
  <c r="B571" i="5"/>
  <c r="B571" i="8" s="1"/>
  <c r="C571" i="5"/>
  <c r="D571" i="8" s="1"/>
  <c r="D571" i="5" a="1"/>
  <c r="D571" i="5" s="1"/>
  <c r="B572" i="5"/>
  <c r="B572" i="8" s="1"/>
  <c r="C572" i="5"/>
  <c r="D572" i="8" s="1"/>
  <c r="D572" i="5" a="1"/>
  <c r="D572" i="5" s="1"/>
  <c r="B573" i="5"/>
  <c r="B573" i="8" s="1"/>
  <c r="C573" i="5"/>
  <c r="D573" i="8" s="1"/>
  <c r="D573" i="5" a="1"/>
  <c r="D573" i="5" s="1"/>
  <c r="B574" i="5"/>
  <c r="B574" i="8" s="1"/>
  <c r="C574" i="5"/>
  <c r="D574" i="8" s="1"/>
  <c r="D574" i="5" a="1"/>
  <c r="D574" i="5" s="1"/>
  <c r="B575" i="5"/>
  <c r="B575" i="8" s="1"/>
  <c r="C575" i="5"/>
  <c r="D575" i="8" s="1"/>
  <c r="D575" i="5" a="1"/>
  <c r="D575" i="5" s="1"/>
  <c r="B576" i="5"/>
  <c r="B576" i="8" s="1"/>
  <c r="C576" i="5"/>
  <c r="D576" i="8" s="1"/>
  <c r="D576" i="5" a="1"/>
  <c r="D576" i="5" s="1"/>
  <c r="B577" i="5"/>
  <c r="B577" i="8" s="1"/>
  <c r="C577" i="5"/>
  <c r="D577" i="8" s="1"/>
  <c r="D577" i="5" a="1"/>
  <c r="D577" i="5" s="1"/>
  <c r="B578" i="5"/>
  <c r="B578" i="8" s="1"/>
  <c r="C578" i="5"/>
  <c r="D578" i="8" s="1"/>
  <c r="D578" i="5" a="1"/>
  <c r="D578" i="5" s="1"/>
  <c r="B579" i="5"/>
  <c r="B579" i="8" s="1"/>
  <c r="C579" i="5"/>
  <c r="D579" i="8" s="1"/>
  <c r="D579" i="5" a="1"/>
  <c r="D579" i="5" s="1"/>
  <c r="B580" i="5"/>
  <c r="B580" i="8" s="1"/>
  <c r="C580" i="5"/>
  <c r="D580" i="8" s="1"/>
  <c r="D580" i="5" a="1"/>
  <c r="D580" i="5" s="1"/>
  <c r="B581" i="5"/>
  <c r="B581" i="8" s="1"/>
  <c r="C581" i="5"/>
  <c r="D581" i="8" s="1"/>
  <c r="D581" i="5" a="1"/>
  <c r="D581" i="5" s="1"/>
  <c r="B582" i="5"/>
  <c r="B582" i="8" s="1"/>
  <c r="C582" i="5"/>
  <c r="D582" i="8" s="1"/>
  <c r="D582" i="5" a="1"/>
  <c r="D582" i="5" s="1"/>
  <c r="B583" i="5"/>
  <c r="B583" i="8" s="1"/>
  <c r="C583" i="5"/>
  <c r="D583" i="8" s="1"/>
  <c r="D583" i="5" a="1"/>
  <c r="D583" i="5" s="1"/>
  <c r="B584" i="5"/>
  <c r="B584" i="8" s="1"/>
  <c r="C584" i="5"/>
  <c r="D584" i="8" s="1"/>
  <c r="D584" i="5" a="1"/>
  <c r="D584" i="5" s="1"/>
  <c r="B585" i="5"/>
  <c r="B585" i="8" s="1"/>
  <c r="C585" i="5"/>
  <c r="D585" i="8" s="1"/>
  <c r="D585" i="5" a="1"/>
  <c r="D585" i="5" s="1"/>
  <c r="B586" i="5"/>
  <c r="B586" i="8" s="1"/>
  <c r="C586" i="5"/>
  <c r="D586" i="8" s="1"/>
  <c r="D586" i="5" a="1"/>
  <c r="D586" i="5" s="1"/>
  <c r="B587" i="5"/>
  <c r="B587" i="8" s="1"/>
  <c r="C587" i="5"/>
  <c r="D587" i="8" s="1"/>
  <c r="D587" i="5" a="1"/>
  <c r="D587" i="5" s="1"/>
  <c r="B588" i="5"/>
  <c r="B588" i="8" s="1"/>
  <c r="C588" i="5"/>
  <c r="D588" i="8" s="1"/>
  <c r="D588" i="5" a="1"/>
  <c r="D588" i="5" s="1"/>
  <c r="B589" i="5"/>
  <c r="B589" i="8" s="1"/>
  <c r="C589" i="5"/>
  <c r="D589" i="8" s="1"/>
  <c r="D589" i="5" a="1"/>
  <c r="D589" i="5" s="1"/>
  <c r="B590" i="5"/>
  <c r="B590" i="8" s="1"/>
  <c r="C590" i="5"/>
  <c r="D590" i="8" s="1"/>
  <c r="D590" i="5" a="1"/>
  <c r="D590" i="5" s="1"/>
  <c r="B591" i="5"/>
  <c r="B591" i="8" s="1"/>
  <c r="C591" i="5"/>
  <c r="D591" i="8" s="1"/>
  <c r="D591" i="5" a="1"/>
  <c r="D591" i="5" s="1"/>
  <c r="B592" i="5"/>
  <c r="B592" i="8" s="1"/>
  <c r="C592" i="5"/>
  <c r="D592" i="8" s="1"/>
  <c r="D592" i="5" a="1"/>
  <c r="D592" i="5" s="1"/>
  <c r="B593" i="5"/>
  <c r="B593" i="8" s="1"/>
  <c r="C593" i="5"/>
  <c r="D593" i="8" s="1"/>
  <c r="D593" i="5" a="1"/>
  <c r="D593" i="5" s="1"/>
  <c r="B594" i="5"/>
  <c r="B594" i="8" s="1"/>
  <c r="C594" i="5"/>
  <c r="D594" i="8" s="1"/>
  <c r="D594" i="5" a="1"/>
  <c r="D594" i="5" s="1"/>
  <c r="B595" i="5"/>
  <c r="B595" i="8" s="1"/>
  <c r="C595" i="5"/>
  <c r="D595" i="8" s="1"/>
  <c r="D595" i="5" a="1"/>
  <c r="D595" i="5" s="1"/>
  <c r="B596" i="5"/>
  <c r="B596" i="8" s="1"/>
  <c r="C596" i="5"/>
  <c r="D596" i="8" s="1"/>
  <c r="D596" i="5" a="1"/>
  <c r="D596" i="5" s="1"/>
  <c r="B597" i="5"/>
  <c r="B597" i="8" s="1"/>
  <c r="C597" i="5"/>
  <c r="D597" i="8" s="1"/>
  <c r="D597" i="5" a="1"/>
  <c r="D597" i="5" s="1"/>
  <c r="B598" i="5"/>
  <c r="B598" i="8" s="1"/>
  <c r="C598" i="5"/>
  <c r="D598" i="8" s="1"/>
  <c r="D598" i="5" a="1"/>
  <c r="D598" i="5" s="1"/>
  <c r="B599" i="5"/>
  <c r="B599" i="8" s="1"/>
  <c r="C599" i="5"/>
  <c r="D599" i="8" s="1"/>
  <c r="D599" i="5" a="1"/>
  <c r="D599" i="5" s="1"/>
  <c r="B600" i="5"/>
  <c r="B600" i="8" s="1"/>
  <c r="C600" i="5"/>
  <c r="D600" i="8" s="1"/>
  <c r="D600" i="5" a="1"/>
  <c r="D600" i="5" s="1"/>
  <c r="B601" i="5"/>
  <c r="B601" i="8" s="1"/>
  <c r="C601" i="5"/>
  <c r="D601" i="8" s="1"/>
  <c r="D601" i="5" a="1"/>
  <c r="D601" i="5" s="1"/>
  <c r="B602" i="5"/>
  <c r="B602" i="8" s="1"/>
  <c r="C602" i="5"/>
  <c r="D602" i="8" s="1"/>
  <c r="D602" i="5" a="1"/>
  <c r="D602" i="5" s="1"/>
  <c r="B603" i="5"/>
  <c r="B603" i="8" s="1"/>
  <c r="C603" i="5"/>
  <c r="D603" i="8" s="1"/>
  <c r="D603" i="5" a="1"/>
  <c r="D603" i="5" s="1"/>
  <c r="B604" i="5"/>
  <c r="B604" i="8" s="1"/>
  <c r="C604" i="5"/>
  <c r="D604" i="8" s="1"/>
  <c r="D604" i="5" a="1"/>
  <c r="D604" i="5" s="1"/>
  <c r="B605" i="5"/>
  <c r="B605" i="8" s="1"/>
  <c r="C605" i="5"/>
  <c r="D605" i="8" s="1"/>
  <c r="D605" i="5" a="1"/>
  <c r="D605" i="5" s="1"/>
  <c r="B606" i="5"/>
  <c r="B606" i="8" s="1"/>
  <c r="C606" i="5"/>
  <c r="D606" i="8" s="1"/>
  <c r="D606" i="5" a="1"/>
  <c r="D606" i="5" s="1"/>
  <c r="B607" i="5"/>
  <c r="B607" i="8" s="1"/>
  <c r="C607" i="5"/>
  <c r="D607" i="8" s="1"/>
  <c r="D607" i="5" a="1"/>
  <c r="D607" i="5" s="1"/>
  <c r="B608" i="5"/>
  <c r="B608" i="8" s="1"/>
  <c r="C608" i="5"/>
  <c r="D608" i="8" s="1"/>
  <c r="D608" i="5" a="1"/>
  <c r="D608" i="5" s="1"/>
  <c r="B609" i="5"/>
  <c r="B609" i="8" s="1"/>
  <c r="C609" i="5"/>
  <c r="D609" i="8" s="1"/>
  <c r="D609" i="5" a="1"/>
  <c r="D609" i="5" s="1"/>
  <c r="B610" i="5"/>
  <c r="B610" i="8" s="1"/>
  <c r="C610" i="5"/>
  <c r="D610" i="8" s="1"/>
  <c r="D610" i="5" a="1"/>
  <c r="D610" i="5" s="1"/>
  <c r="B611" i="5"/>
  <c r="B611" i="8" s="1"/>
  <c r="C611" i="5"/>
  <c r="D611" i="8" s="1"/>
  <c r="D611" i="5" a="1"/>
  <c r="D611" i="5" s="1"/>
  <c r="B612" i="5"/>
  <c r="B612" i="8" s="1"/>
  <c r="C612" i="5"/>
  <c r="D612" i="8" s="1"/>
  <c r="D612" i="5" a="1"/>
  <c r="D612" i="5" s="1"/>
  <c r="B613" i="5"/>
  <c r="B613" i="8" s="1"/>
  <c r="C613" i="5"/>
  <c r="D613" i="8" s="1"/>
  <c r="D613" i="5" a="1"/>
  <c r="D613" i="5" s="1"/>
  <c r="B614" i="5"/>
  <c r="B614" i="8" s="1"/>
  <c r="C614" i="5"/>
  <c r="D614" i="8" s="1"/>
  <c r="D614" i="5" a="1"/>
  <c r="D614" i="5" s="1"/>
  <c r="B615" i="5"/>
  <c r="B615" i="8" s="1"/>
  <c r="C615" i="5"/>
  <c r="D615" i="8" s="1"/>
  <c r="D615" i="5" a="1"/>
  <c r="D615" i="5" s="1"/>
  <c r="B616" i="5"/>
  <c r="B616" i="8" s="1"/>
  <c r="C616" i="5"/>
  <c r="D616" i="8" s="1"/>
  <c r="D616" i="5" a="1"/>
  <c r="D616" i="5" s="1"/>
  <c r="B617" i="5"/>
  <c r="B617" i="8" s="1"/>
  <c r="C617" i="5"/>
  <c r="D617" i="8" s="1"/>
  <c r="D617" i="5" a="1"/>
  <c r="D617" i="5" s="1"/>
  <c r="B618" i="5"/>
  <c r="B618" i="8" s="1"/>
  <c r="C618" i="5"/>
  <c r="D618" i="8" s="1"/>
  <c r="D618" i="5" a="1"/>
  <c r="D618" i="5" s="1"/>
  <c r="B619" i="5"/>
  <c r="B619" i="8" s="1"/>
  <c r="C619" i="5"/>
  <c r="D619" i="8" s="1"/>
  <c r="D619" i="5" a="1"/>
  <c r="D619" i="5" s="1"/>
  <c r="B620" i="5"/>
  <c r="B620" i="8" s="1"/>
  <c r="C620" i="5"/>
  <c r="D620" i="8" s="1"/>
  <c r="D620" i="5" a="1"/>
  <c r="D620" i="5" s="1"/>
  <c r="B621" i="5"/>
  <c r="B621" i="8" s="1"/>
  <c r="C621" i="5"/>
  <c r="D621" i="8" s="1"/>
  <c r="D621" i="5" a="1"/>
  <c r="D621" i="5" s="1"/>
  <c r="B622" i="5"/>
  <c r="B622" i="8" s="1"/>
  <c r="C622" i="5"/>
  <c r="D622" i="8" s="1"/>
  <c r="D622" i="5" a="1"/>
  <c r="D622" i="5" s="1"/>
  <c r="B623" i="5"/>
  <c r="B623" i="8" s="1"/>
  <c r="C623" i="5"/>
  <c r="D623" i="8" s="1"/>
  <c r="D623" i="5" a="1"/>
  <c r="D623" i="5" s="1"/>
  <c r="B624" i="5"/>
  <c r="B624" i="8" s="1"/>
  <c r="C624" i="5"/>
  <c r="D624" i="8" s="1"/>
  <c r="D624" i="5" a="1"/>
  <c r="D624" i="5" s="1"/>
  <c r="B625" i="5"/>
  <c r="B625" i="8" s="1"/>
  <c r="C625" i="5"/>
  <c r="D625" i="8" s="1"/>
  <c r="D625" i="5" a="1"/>
  <c r="D625" i="5" s="1"/>
  <c r="B626" i="5"/>
  <c r="B626" i="8" s="1"/>
  <c r="C626" i="5"/>
  <c r="D626" i="8" s="1"/>
  <c r="D626" i="5" a="1"/>
  <c r="D626" i="5" s="1"/>
  <c r="B627" i="5"/>
  <c r="B627" i="8" s="1"/>
  <c r="C627" i="5"/>
  <c r="D627" i="8" s="1"/>
  <c r="D627" i="5" a="1"/>
  <c r="D627" i="5" s="1"/>
  <c r="B628" i="5"/>
  <c r="B628" i="8" s="1"/>
  <c r="C628" i="5"/>
  <c r="D628" i="8" s="1"/>
  <c r="D628" i="5" a="1"/>
  <c r="D628" i="5" s="1"/>
  <c r="B629" i="5"/>
  <c r="B629" i="8" s="1"/>
  <c r="C629" i="5"/>
  <c r="D629" i="8" s="1"/>
  <c r="D629" i="5" a="1"/>
  <c r="D629" i="5" s="1"/>
  <c r="B630" i="5"/>
  <c r="B630" i="8" s="1"/>
  <c r="C630" i="5"/>
  <c r="D630" i="8" s="1"/>
  <c r="D630" i="5" a="1"/>
  <c r="D630" i="5" s="1"/>
  <c r="B631" i="5"/>
  <c r="B631" i="8" s="1"/>
  <c r="C631" i="5"/>
  <c r="D631" i="8" s="1"/>
  <c r="D631" i="5" a="1"/>
  <c r="D631" i="5" s="1"/>
  <c r="B632" i="5"/>
  <c r="B632" i="8" s="1"/>
  <c r="C632" i="5"/>
  <c r="D632" i="8" s="1"/>
  <c r="D632" i="5" a="1"/>
  <c r="D632" i="5" s="1"/>
  <c r="B633" i="5"/>
  <c r="B633" i="8" s="1"/>
  <c r="C633" i="5"/>
  <c r="D633" i="8" s="1"/>
  <c r="D633" i="5" a="1"/>
  <c r="D633" i="5" s="1"/>
  <c r="B634" i="5"/>
  <c r="B634" i="8" s="1"/>
  <c r="C634" i="5"/>
  <c r="D634" i="8" s="1"/>
  <c r="D634" i="5" a="1"/>
  <c r="D634" i="5" s="1"/>
  <c r="B635" i="5"/>
  <c r="B635" i="8" s="1"/>
  <c r="C635" i="5"/>
  <c r="D635" i="8" s="1"/>
  <c r="D635" i="5" a="1"/>
  <c r="D635" i="5" s="1"/>
  <c r="B636" i="5"/>
  <c r="B636" i="8" s="1"/>
  <c r="C636" i="5"/>
  <c r="D636" i="8" s="1"/>
  <c r="D636" i="5" a="1"/>
  <c r="D636" i="5" s="1"/>
  <c r="B637" i="5"/>
  <c r="B637" i="8" s="1"/>
  <c r="C637" i="5"/>
  <c r="D637" i="8" s="1"/>
  <c r="D637" i="5" a="1"/>
  <c r="D637" i="5" s="1"/>
  <c r="B638" i="5"/>
  <c r="B638" i="8" s="1"/>
  <c r="C638" i="5"/>
  <c r="D638" i="8" s="1"/>
  <c r="D638" i="5" a="1"/>
  <c r="D638" i="5" s="1"/>
  <c r="B639" i="5"/>
  <c r="B639" i="8" s="1"/>
  <c r="C639" i="5"/>
  <c r="D639" i="8" s="1"/>
  <c r="D639" i="5" a="1"/>
  <c r="D639" i="5" s="1"/>
  <c r="B640" i="5"/>
  <c r="B640" i="8" s="1"/>
  <c r="C640" i="5"/>
  <c r="D640" i="8" s="1"/>
  <c r="D640" i="5" a="1"/>
  <c r="D640" i="5" s="1"/>
  <c r="B641" i="5"/>
  <c r="B641" i="8" s="1"/>
  <c r="C641" i="5"/>
  <c r="D641" i="8" s="1"/>
  <c r="D641" i="5" a="1"/>
  <c r="D641" i="5" s="1"/>
  <c r="B642" i="5"/>
  <c r="B642" i="8" s="1"/>
  <c r="C642" i="5"/>
  <c r="D642" i="8" s="1"/>
  <c r="D642" i="5" a="1"/>
  <c r="D642" i="5" s="1"/>
  <c r="B643" i="5"/>
  <c r="B643" i="8" s="1"/>
  <c r="C643" i="5"/>
  <c r="D643" i="8" s="1"/>
  <c r="D643" i="5" a="1"/>
  <c r="D643" i="5" s="1"/>
  <c r="B644" i="5"/>
  <c r="B644" i="8" s="1"/>
  <c r="C644" i="5"/>
  <c r="D644" i="8" s="1"/>
  <c r="D644" i="5" a="1"/>
  <c r="D644" i="5" s="1"/>
  <c r="B645" i="5"/>
  <c r="B645" i="8" s="1"/>
  <c r="C645" i="5"/>
  <c r="D645" i="8" s="1"/>
  <c r="D645" i="5" a="1"/>
  <c r="D645" i="5" s="1"/>
  <c r="B646" i="5"/>
  <c r="B646" i="8" s="1"/>
  <c r="C646" i="5"/>
  <c r="D646" i="8" s="1"/>
  <c r="D646" i="5" a="1"/>
  <c r="D646" i="5" s="1"/>
  <c r="B647" i="5"/>
  <c r="B647" i="8" s="1"/>
  <c r="C647" i="5"/>
  <c r="D647" i="8" s="1"/>
  <c r="D647" i="5" a="1"/>
  <c r="D647" i="5" s="1"/>
  <c r="B648" i="5"/>
  <c r="B648" i="8" s="1"/>
  <c r="C648" i="5"/>
  <c r="D648" i="8" s="1"/>
  <c r="D648" i="5" a="1"/>
  <c r="D648" i="5" s="1"/>
  <c r="B649" i="5"/>
  <c r="B649" i="8" s="1"/>
  <c r="C649" i="5"/>
  <c r="D649" i="8" s="1"/>
  <c r="D649" i="5" a="1"/>
  <c r="D649" i="5" s="1"/>
  <c r="B650" i="5"/>
  <c r="B650" i="8" s="1"/>
  <c r="C650" i="5"/>
  <c r="D650" i="8" s="1"/>
  <c r="D650" i="5" a="1"/>
  <c r="D650" i="5" s="1"/>
  <c r="B651" i="5"/>
  <c r="B651" i="8" s="1"/>
  <c r="C651" i="5"/>
  <c r="D651" i="8" s="1"/>
  <c r="D651" i="5" a="1"/>
  <c r="D651" i="5" s="1"/>
  <c r="B652" i="5"/>
  <c r="B652" i="8" s="1"/>
  <c r="C652" i="5"/>
  <c r="D652" i="8" s="1"/>
  <c r="D652" i="5" a="1"/>
  <c r="D652" i="5" s="1"/>
  <c r="B653" i="5"/>
  <c r="B653" i="8" s="1"/>
  <c r="C653" i="5"/>
  <c r="D653" i="8" s="1"/>
  <c r="D653" i="5" a="1"/>
  <c r="D653" i="5" s="1"/>
  <c r="B654" i="5"/>
  <c r="B654" i="8" s="1"/>
  <c r="C654" i="5"/>
  <c r="D654" i="8" s="1"/>
  <c r="D654" i="5" a="1"/>
  <c r="D654" i="5" s="1"/>
  <c r="B655" i="5"/>
  <c r="B655" i="8" s="1"/>
  <c r="C655" i="5"/>
  <c r="D655" i="8" s="1"/>
  <c r="D655" i="5" a="1"/>
  <c r="D655" i="5" s="1"/>
  <c r="B656" i="5"/>
  <c r="B656" i="8" s="1"/>
  <c r="C656" i="5"/>
  <c r="D656" i="8" s="1"/>
  <c r="D656" i="5" a="1"/>
  <c r="D656" i="5" s="1"/>
  <c r="B657" i="5"/>
  <c r="B657" i="8" s="1"/>
  <c r="C657" i="5"/>
  <c r="D657" i="8" s="1"/>
  <c r="D657" i="5" a="1"/>
  <c r="D657" i="5" s="1"/>
  <c r="B658" i="5"/>
  <c r="B658" i="8" s="1"/>
  <c r="C658" i="5"/>
  <c r="D658" i="8" s="1"/>
  <c r="D658" i="5" a="1"/>
  <c r="D658" i="5" s="1"/>
  <c r="B659" i="5"/>
  <c r="B659" i="8" s="1"/>
  <c r="C659" i="5"/>
  <c r="D659" i="8" s="1"/>
  <c r="D659" i="5" a="1"/>
  <c r="D659" i="5" s="1"/>
  <c r="B660" i="5"/>
  <c r="B660" i="8" s="1"/>
  <c r="C660" i="5"/>
  <c r="D660" i="8" s="1"/>
  <c r="D660" i="5" a="1"/>
  <c r="D660" i="5" s="1"/>
  <c r="B661" i="5"/>
  <c r="B661" i="8" s="1"/>
  <c r="C661" i="5"/>
  <c r="D661" i="8" s="1"/>
  <c r="D661" i="5" a="1"/>
  <c r="D661" i="5" s="1"/>
  <c r="B662" i="5"/>
  <c r="B662" i="8" s="1"/>
  <c r="C662" i="5"/>
  <c r="D662" i="8" s="1"/>
  <c r="D662" i="5" a="1"/>
  <c r="D662" i="5" s="1"/>
  <c r="B663" i="5"/>
  <c r="B663" i="8" s="1"/>
  <c r="C663" i="5"/>
  <c r="D663" i="8" s="1"/>
  <c r="D663" i="5" a="1"/>
  <c r="D663" i="5" s="1"/>
  <c r="B664" i="5"/>
  <c r="B664" i="8" s="1"/>
  <c r="C664" i="5"/>
  <c r="D664" i="8" s="1"/>
  <c r="D664" i="5" a="1"/>
  <c r="D664" i="5" s="1"/>
  <c r="B665" i="5"/>
  <c r="B665" i="8" s="1"/>
  <c r="C665" i="5"/>
  <c r="D665" i="8" s="1"/>
  <c r="D665" i="5" a="1"/>
  <c r="D665" i="5" s="1"/>
  <c r="B666" i="5"/>
  <c r="B666" i="8" s="1"/>
  <c r="C666" i="5"/>
  <c r="D666" i="8" s="1"/>
  <c r="D666" i="5" a="1"/>
  <c r="D666" i="5" s="1"/>
  <c r="B667" i="5"/>
  <c r="B667" i="8" s="1"/>
  <c r="C667" i="5"/>
  <c r="D667" i="8" s="1"/>
  <c r="D667" i="5" a="1"/>
  <c r="D667" i="5" s="1"/>
  <c r="B668" i="5"/>
  <c r="B668" i="8" s="1"/>
  <c r="C668" i="5"/>
  <c r="D668" i="8" s="1"/>
  <c r="D668" i="5" a="1"/>
  <c r="D668" i="5" s="1"/>
  <c r="B669" i="5"/>
  <c r="B669" i="8" s="1"/>
  <c r="C669" i="5"/>
  <c r="D669" i="8" s="1"/>
  <c r="D669" i="5" a="1"/>
  <c r="D669" i="5" s="1"/>
  <c r="B670" i="5"/>
  <c r="B670" i="8" s="1"/>
  <c r="C670" i="5"/>
  <c r="D670" i="8" s="1"/>
  <c r="D670" i="5" a="1"/>
  <c r="D670" i="5" s="1"/>
  <c r="B671" i="5"/>
  <c r="B671" i="8" s="1"/>
  <c r="C671" i="5"/>
  <c r="D671" i="8" s="1"/>
  <c r="D671" i="5" a="1"/>
  <c r="D671" i="5" s="1"/>
  <c r="B672" i="5"/>
  <c r="B672" i="8" s="1"/>
  <c r="C672" i="5"/>
  <c r="D672" i="8" s="1"/>
  <c r="D672" i="5" a="1"/>
  <c r="D672" i="5" s="1"/>
  <c r="B673" i="5"/>
  <c r="B673" i="8" s="1"/>
  <c r="C673" i="5"/>
  <c r="D673" i="8" s="1"/>
  <c r="D673" i="5" a="1"/>
  <c r="D673" i="5" s="1"/>
  <c r="B674" i="5"/>
  <c r="B674" i="8" s="1"/>
  <c r="C674" i="5"/>
  <c r="D674" i="8" s="1"/>
  <c r="D674" i="5" a="1"/>
  <c r="D674" i="5" s="1"/>
  <c r="B675" i="5"/>
  <c r="B675" i="8" s="1"/>
  <c r="C675" i="5"/>
  <c r="D675" i="8" s="1"/>
  <c r="D675" i="5" a="1"/>
  <c r="D675" i="5" s="1"/>
  <c r="B676" i="5"/>
  <c r="B676" i="8" s="1"/>
  <c r="C676" i="5"/>
  <c r="D676" i="8" s="1"/>
  <c r="D676" i="5" a="1"/>
  <c r="D676" i="5" s="1"/>
  <c r="B677" i="5"/>
  <c r="B677" i="8" s="1"/>
  <c r="C677" i="5"/>
  <c r="D677" i="8" s="1"/>
  <c r="D677" i="5" a="1"/>
  <c r="D677" i="5" s="1"/>
  <c r="B678" i="5"/>
  <c r="B678" i="8" s="1"/>
  <c r="C678" i="5"/>
  <c r="D678" i="8" s="1"/>
  <c r="D678" i="5" a="1"/>
  <c r="D678" i="5" s="1"/>
  <c r="B679" i="5"/>
  <c r="B679" i="8" s="1"/>
  <c r="C679" i="5"/>
  <c r="D679" i="8" s="1"/>
  <c r="D679" i="5" a="1"/>
  <c r="D679" i="5" s="1"/>
  <c r="B680" i="5"/>
  <c r="B680" i="8" s="1"/>
  <c r="C680" i="5"/>
  <c r="D680" i="8" s="1"/>
  <c r="D680" i="5" a="1"/>
  <c r="D680" i="5" s="1"/>
  <c r="B681" i="5"/>
  <c r="B681" i="8" s="1"/>
  <c r="C681" i="5"/>
  <c r="D681" i="8" s="1"/>
  <c r="D681" i="5" a="1"/>
  <c r="D681" i="5" s="1"/>
  <c r="B682" i="5"/>
  <c r="B682" i="8" s="1"/>
  <c r="C682" i="5"/>
  <c r="D682" i="8" s="1"/>
  <c r="D682" i="5" a="1"/>
  <c r="D682" i="5" s="1"/>
  <c r="B683" i="5"/>
  <c r="B683" i="8" s="1"/>
  <c r="C683" i="5"/>
  <c r="D683" i="8" s="1"/>
  <c r="D683" i="5" a="1"/>
  <c r="D683" i="5" s="1"/>
  <c r="B684" i="5"/>
  <c r="B684" i="8" s="1"/>
  <c r="C684" i="5"/>
  <c r="D684" i="8" s="1"/>
  <c r="D684" i="5" a="1"/>
  <c r="D684" i="5" s="1"/>
  <c r="B685" i="5"/>
  <c r="B685" i="8" s="1"/>
  <c r="C685" i="5"/>
  <c r="D685" i="8" s="1"/>
  <c r="D685" i="5" a="1"/>
  <c r="D685" i="5" s="1"/>
  <c r="B686" i="5"/>
  <c r="B686" i="8" s="1"/>
  <c r="C686" i="5"/>
  <c r="D686" i="8" s="1"/>
  <c r="D686" i="5" a="1"/>
  <c r="D686" i="5" s="1"/>
  <c r="B687" i="5"/>
  <c r="B687" i="8" s="1"/>
  <c r="C687" i="5"/>
  <c r="D687" i="8" s="1"/>
  <c r="D687" i="5" a="1"/>
  <c r="D687" i="5" s="1"/>
  <c r="B688" i="5"/>
  <c r="B688" i="8" s="1"/>
  <c r="C688" i="5"/>
  <c r="D688" i="8" s="1"/>
  <c r="D688" i="5" a="1"/>
  <c r="D688" i="5" s="1"/>
  <c r="B689" i="5"/>
  <c r="B689" i="8" s="1"/>
  <c r="C689" i="5"/>
  <c r="D689" i="8" s="1"/>
  <c r="D689" i="5" a="1"/>
  <c r="D689" i="5" s="1"/>
  <c r="B690" i="5"/>
  <c r="B690" i="8" s="1"/>
  <c r="C690" i="5"/>
  <c r="D690" i="8" s="1"/>
  <c r="D690" i="5" a="1"/>
  <c r="D690" i="5" s="1"/>
  <c r="B691" i="5"/>
  <c r="B691" i="8" s="1"/>
  <c r="C691" i="5"/>
  <c r="D691" i="8" s="1"/>
  <c r="D691" i="5" a="1"/>
  <c r="D691" i="5" s="1"/>
  <c r="B692" i="5"/>
  <c r="B692" i="8" s="1"/>
  <c r="C692" i="5"/>
  <c r="D692" i="8" s="1"/>
  <c r="D692" i="5" a="1"/>
  <c r="D692" i="5" s="1"/>
  <c r="B693" i="5"/>
  <c r="B693" i="8" s="1"/>
  <c r="C693" i="5"/>
  <c r="D693" i="8" s="1"/>
  <c r="D693" i="5" a="1"/>
  <c r="D693" i="5" s="1"/>
  <c r="B694" i="5"/>
  <c r="B694" i="8" s="1"/>
  <c r="C694" i="5"/>
  <c r="D694" i="8" s="1"/>
  <c r="D694" i="5" a="1"/>
  <c r="D694" i="5" s="1"/>
  <c r="B695" i="5"/>
  <c r="B695" i="8" s="1"/>
  <c r="C695" i="5"/>
  <c r="D695" i="8" s="1"/>
  <c r="D695" i="5" a="1"/>
  <c r="D695" i="5" s="1"/>
  <c r="B696" i="5"/>
  <c r="B696" i="8" s="1"/>
  <c r="C696" i="5"/>
  <c r="D696" i="8" s="1"/>
  <c r="D696" i="5" a="1"/>
  <c r="D696" i="5" s="1"/>
  <c r="B697" i="5"/>
  <c r="B697" i="8" s="1"/>
  <c r="C697" i="5"/>
  <c r="D697" i="8" s="1"/>
  <c r="D697" i="5" a="1"/>
  <c r="D697" i="5" s="1"/>
  <c r="B698" i="5"/>
  <c r="B698" i="8" s="1"/>
  <c r="C698" i="5"/>
  <c r="D698" i="8" s="1"/>
  <c r="D698" i="5" a="1"/>
  <c r="D698" i="5" s="1"/>
  <c r="B699" i="5"/>
  <c r="B699" i="8" s="1"/>
  <c r="C699" i="5"/>
  <c r="D699" i="8" s="1"/>
  <c r="D699" i="5" a="1"/>
  <c r="D699" i="5" s="1"/>
  <c r="B700" i="5"/>
  <c r="B700" i="8" s="1"/>
  <c r="C700" i="5"/>
  <c r="D700" i="8" s="1"/>
  <c r="D700" i="5" a="1"/>
  <c r="D700" i="5" s="1"/>
  <c r="B701" i="5"/>
  <c r="B701" i="8" s="1"/>
  <c r="C701" i="5"/>
  <c r="D701" i="8" s="1"/>
  <c r="D701" i="5" a="1"/>
  <c r="D701" i="5" s="1"/>
  <c r="B702" i="5"/>
  <c r="B702" i="8" s="1"/>
  <c r="C702" i="5"/>
  <c r="D702" i="8" s="1"/>
  <c r="D702" i="5" a="1"/>
  <c r="D702" i="5" s="1"/>
  <c r="B703" i="5"/>
  <c r="B703" i="8" s="1"/>
  <c r="C703" i="5"/>
  <c r="D703" i="8" s="1"/>
  <c r="D703" i="5" a="1"/>
  <c r="D703" i="5" s="1"/>
  <c r="B704" i="5"/>
  <c r="B704" i="8" s="1"/>
  <c r="C704" i="5"/>
  <c r="D704" i="8" s="1"/>
  <c r="D704" i="5" a="1"/>
  <c r="D704" i="5" s="1"/>
  <c r="B705" i="5"/>
  <c r="B705" i="8" s="1"/>
  <c r="C705" i="5"/>
  <c r="D705" i="8" s="1"/>
  <c r="D705" i="5" a="1"/>
  <c r="D705" i="5" s="1"/>
  <c r="B706" i="5"/>
  <c r="B706" i="8" s="1"/>
  <c r="C706" i="5"/>
  <c r="D706" i="8" s="1"/>
  <c r="D706" i="5" a="1"/>
  <c r="D706" i="5" s="1"/>
  <c r="B707" i="5"/>
  <c r="B707" i="8" s="1"/>
  <c r="C707" i="5"/>
  <c r="D707" i="8" s="1"/>
  <c r="D707" i="5" a="1"/>
  <c r="D707" i="5" s="1"/>
  <c r="B708" i="5"/>
  <c r="B708" i="8" s="1"/>
  <c r="C708" i="5"/>
  <c r="D708" i="8" s="1"/>
  <c r="D708" i="5" a="1"/>
  <c r="D708" i="5" s="1"/>
  <c r="B709" i="5"/>
  <c r="B709" i="8" s="1"/>
  <c r="C709" i="5"/>
  <c r="D709" i="8" s="1"/>
  <c r="D709" i="5" a="1"/>
  <c r="D709" i="5" s="1"/>
  <c r="B710" i="5"/>
  <c r="B710" i="8" s="1"/>
  <c r="C710" i="5"/>
  <c r="D710" i="8" s="1"/>
  <c r="D710" i="5" a="1"/>
  <c r="D710" i="5" s="1"/>
  <c r="B711" i="5"/>
  <c r="B711" i="8" s="1"/>
  <c r="C711" i="5"/>
  <c r="D711" i="8" s="1"/>
  <c r="D711" i="5" a="1"/>
  <c r="D711" i="5" s="1"/>
  <c r="B712" i="5"/>
  <c r="B712" i="8" s="1"/>
  <c r="C712" i="5"/>
  <c r="D712" i="8" s="1"/>
  <c r="D712" i="5" a="1"/>
  <c r="D712" i="5" s="1"/>
  <c r="B713" i="5"/>
  <c r="B713" i="8" s="1"/>
  <c r="C713" i="5"/>
  <c r="D713" i="8" s="1"/>
  <c r="D713" i="5" a="1"/>
  <c r="D713" i="5" s="1"/>
  <c r="B714" i="5"/>
  <c r="B714" i="8" s="1"/>
  <c r="C714" i="5"/>
  <c r="D714" i="8" s="1"/>
  <c r="D714" i="5" a="1"/>
  <c r="D714" i="5" s="1"/>
  <c r="B715" i="5"/>
  <c r="B715" i="8" s="1"/>
  <c r="C715" i="5"/>
  <c r="D715" i="8" s="1"/>
  <c r="D715" i="5" a="1"/>
  <c r="D715" i="5" s="1"/>
  <c r="B716" i="5"/>
  <c r="B716" i="8" s="1"/>
  <c r="C716" i="5"/>
  <c r="D716" i="8" s="1"/>
  <c r="D716" i="5" a="1"/>
  <c r="D716" i="5" s="1"/>
  <c r="B717" i="5"/>
  <c r="B717" i="8" s="1"/>
  <c r="C717" i="5"/>
  <c r="D717" i="8" s="1"/>
  <c r="D717" i="5" a="1"/>
  <c r="D717" i="5" s="1"/>
  <c r="B718" i="5"/>
  <c r="B718" i="8" s="1"/>
  <c r="C718" i="5"/>
  <c r="D718" i="8" s="1"/>
  <c r="D718" i="5" a="1"/>
  <c r="D718" i="5" s="1"/>
  <c r="B719" i="5"/>
  <c r="B719" i="8" s="1"/>
  <c r="C719" i="5"/>
  <c r="D719" i="8" s="1"/>
  <c r="D719" i="5" a="1"/>
  <c r="D719" i="5" s="1"/>
  <c r="B720" i="5"/>
  <c r="B720" i="8" s="1"/>
  <c r="C720" i="5"/>
  <c r="D720" i="8" s="1"/>
  <c r="D720" i="5" a="1"/>
  <c r="D720" i="5" s="1"/>
  <c r="B721" i="5"/>
  <c r="B721" i="8" s="1"/>
  <c r="C721" i="5"/>
  <c r="D721" i="8" s="1"/>
  <c r="D721" i="5" a="1"/>
  <c r="D721" i="5" s="1"/>
  <c r="B722" i="5"/>
  <c r="B722" i="8" s="1"/>
  <c r="C722" i="5"/>
  <c r="D722" i="8" s="1"/>
  <c r="D722" i="5" a="1"/>
  <c r="D722" i="5" s="1"/>
  <c r="B723" i="5"/>
  <c r="B723" i="8" s="1"/>
  <c r="C723" i="5"/>
  <c r="D723" i="8" s="1"/>
  <c r="D723" i="5" a="1"/>
  <c r="D723" i="5" s="1"/>
  <c r="B724" i="5"/>
  <c r="B724" i="8" s="1"/>
  <c r="C724" i="5"/>
  <c r="D724" i="8" s="1"/>
  <c r="D724" i="5" a="1"/>
  <c r="D724" i="5" s="1"/>
  <c r="B725" i="5"/>
  <c r="B725" i="8" s="1"/>
  <c r="C725" i="5"/>
  <c r="D725" i="8" s="1"/>
  <c r="D725" i="5" a="1"/>
  <c r="D725" i="5" s="1"/>
  <c r="B726" i="5"/>
  <c r="B726" i="8" s="1"/>
  <c r="C726" i="5"/>
  <c r="D726" i="8" s="1"/>
  <c r="D726" i="5" a="1"/>
  <c r="D726" i="5" s="1"/>
  <c r="B727" i="5"/>
  <c r="B727" i="8" s="1"/>
  <c r="C727" i="5"/>
  <c r="D727" i="8" s="1"/>
  <c r="D727" i="5" a="1"/>
  <c r="D727" i="5" s="1"/>
  <c r="B728" i="5"/>
  <c r="B728" i="8" s="1"/>
  <c r="C728" i="5"/>
  <c r="D728" i="8" s="1"/>
  <c r="D728" i="5" a="1"/>
  <c r="D728" i="5" s="1"/>
  <c r="B729" i="5"/>
  <c r="B729" i="8" s="1"/>
  <c r="C729" i="5"/>
  <c r="D729" i="8" s="1"/>
  <c r="D729" i="5" a="1"/>
  <c r="D729" i="5" s="1"/>
  <c r="B730" i="5"/>
  <c r="B730" i="8" s="1"/>
  <c r="C730" i="5"/>
  <c r="D730" i="8" s="1"/>
  <c r="D730" i="5" a="1"/>
  <c r="D730" i="5" s="1"/>
  <c r="B731" i="5"/>
  <c r="B731" i="8" s="1"/>
  <c r="C731" i="5"/>
  <c r="D731" i="8" s="1"/>
  <c r="D731" i="5" a="1"/>
  <c r="D731" i="5" s="1"/>
  <c r="B732" i="5"/>
  <c r="B732" i="8" s="1"/>
  <c r="C732" i="5"/>
  <c r="D732" i="8" s="1"/>
  <c r="D732" i="5" a="1"/>
  <c r="D732" i="5" s="1"/>
  <c r="B733" i="5"/>
  <c r="B733" i="8" s="1"/>
  <c r="C733" i="5"/>
  <c r="D733" i="8" s="1"/>
  <c r="D733" i="5" a="1"/>
  <c r="D733" i="5" s="1"/>
  <c r="B734" i="5"/>
  <c r="B734" i="8" s="1"/>
  <c r="C734" i="5"/>
  <c r="D734" i="8" s="1"/>
  <c r="D734" i="5" a="1"/>
  <c r="D734" i="5" s="1"/>
  <c r="B735" i="5"/>
  <c r="B735" i="8" s="1"/>
  <c r="C735" i="5"/>
  <c r="D735" i="8" s="1"/>
  <c r="D735" i="5" a="1"/>
  <c r="D735" i="5" s="1"/>
  <c r="B736" i="5"/>
  <c r="B736" i="8" s="1"/>
  <c r="C736" i="5"/>
  <c r="D736" i="8" s="1"/>
  <c r="D736" i="5" a="1"/>
  <c r="D736" i="5" s="1"/>
  <c r="B737" i="5"/>
  <c r="B737" i="8" s="1"/>
  <c r="C737" i="5"/>
  <c r="D737" i="8" s="1"/>
  <c r="D737" i="5" a="1"/>
  <c r="D737" i="5" s="1"/>
  <c r="B738" i="5"/>
  <c r="B738" i="8" s="1"/>
  <c r="C738" i="5"/>
  <c r="D738" i="8" s="1"/>
  <c r="D738" i="5" a="1"/>
  <c r="D738" i="5" s="1"/>
  <c r="B739" i="5"/>
  <c r="B739" i="8" s="1"/>
  <c r="C739" i="5"/>
  <c r="D739" i="8" s="1"/>
  <c r="D739" i="5" a="1"/>
  <c r="D739" i="5" s="1"/>
  <c r="B740" i="5"/>
  <c r="B740" i="8" s="1"/>
  <c r="C740" i="5"/>
  <c r="D740" i="8" s="1"/>
  <c r="D740" i="5" a="1"/>
  <c r="D740" i="5" s="1"/>
  <c r="B741" i="5"/>
  <c r="B741" i="8" s="1"/>
  <c r="C741" i="5"/>
  <c r="D741" i="8" s="1"/>
  <c r="D741" i="5" a="1"/>
  <c r="D741" i="5" s="1"/>
  <c r="B742" i="5"/>
  <c r="B742" i="8" s="1"/>
  <c r="C742" i="5"/>
  <c r="D742" i="8" s="1"/>
  <c r="D742" i="5" a="1"/>
  <c r="D742" i="5" s="1"/>
  <c r="B743" i="5"/>
  <c r="B743" i="8" s="1"/>
  <c r="C743" i="5"/>
  <c r="D743" i="8" s="1"/>
  <c r="D743" i="5" a="1"/>
  <c r="D743" i="5" s="1"/>
  <c r="B744" i="5"/>
  <c r="B744" i="8" s="1"/>
  <c r="C744" i="5"/>
  <c r="D744" i="8" s="1"/>
  <c r="D744" i="5" a="1"/>
  <c r="D744" i="5" s="1"/>
  <c r="B745" i="5"/>
  <c r="B745" i="8" s="1"/>
  <c r="C745" i="5"/>
  <c r="D745" i="8" s="1"/>
  <c r="D745" i="5" a="1"/>
  <c r="D745" i="5" s="1"/>
  <c r="B746" i="5"/>
  <c r="B746" i="8" s="1"/>
  <c r="C746" i="5"/>
  <c r="D746" i="8" s="1"/>
  <c r="D746" i="5" a="1"/>
  <c r="D746" i="5" s="1"/>
  <c r="B747" i="5"/>
  <c r="B747" i="8" s="1"/>
  <c r="C747" i="5"/>
  <c r="D747" i="8" s="1"/>
  <c r="D747" i="5" a="1"/>
  <c r="D747" i="5" s="1"/>
  <c r="B748" i="5"/>
  <c r="B748" i="8" s="1"/>
  <c r="C748" i="5"/>
  <c r="D748" i="8" s="1"/>
  <c r="D748" i="5" a="1"/>
  <c r="D748" i="5" s="1"/>
  <c r="B749" i="5"/>
  <c r="B749" i="8" s="1"/>
  <c r="C749" i="5"/>
  <c r="D749" i="8" s="1"/>
  <c r="D749" i="5" a="1"/>
  <c r="D749" i="5" s="1"/>
  <c r="B750" i="5"/>
  <c r="B750" i="8" s="1"/>
  <c r="C750" i="5"/>
  <c r="D750" i="8" s="1"/>
  <c r="D750" i="5" a="1"/>
  <c r="D750" i="5" s="1"/>
  <c r="B751" i="5"/>
  <c r="B751" i="8" s="1"/>
  <c r="C751" i="5"/>
  <c r="D751" i="8" s="1"/>
  <c r="D751" i="5" a="1"/>
  <c r="D751" i="5" s="1"/>
  <c r="B752" i="5"/>
  <c r="B752" i="8" s="1"/>
  <c r="C752" i="5"/>
  <c r="D752" i="8" s="1"/>
  <c r="D752" i="5" a="1"/>
  <c r="D752" i="5" s="1"/>
  <c r="B753" i="5"/>
  <c r="B753" i="8" s="1"/>
  <c r="C753" i="5"/>
  <c r="D753" i="8" s="1"/>
  <c r="D753" i="5" a="1"/>
  <c r="D753" i="5" s="1"/>
  <c r="B754" i="5"/>
  <c r="B754" i="8" s="1"/>
  <c r="C754" i="5"/>
  <c r="D754" i="8" s="1"/>
  <c r="D754" i="5" a="1"/>
  <c r="D754" i="5" s="1"/>
  <c r="B755" i="5"/>
  <c r="B755" i="8" s="1"/>
  <c r="C755" i="5"/>
  <c r="D755" i="8" s="1"/>
  <c r="D755" i="5" a="1"/>
  <c r="D755" i="5" s="1"/>
  <c r="B756" i="5"/>
  <c r="B756" i="8" s="1"/>
  <c r="C756" i="5"/>
  <c r="D756" i="8" s="1"/>
  <c r="D756" i="5" a="1"/>
  <c r="D756" i="5" s="1"/>
  <c r="B757" i="5"/>
  <c r="B757" i="8" s="1"/>
  <c r="C757" i="5"/>
  <c r="D757" i="8" s="1"/>
  <c r="D757" i="5" a="1"/>
  <c r="D757" i="5" s="1"/>
  <c r="B758" i="5"/>
  <c r="B758" i="8" s="1"/>
  <c r="C758" i="5"/>
  <c r="D758" i="8" s="1"/>
  <c r="D758" i="5" a="1"/>
  <c r="D758" i="5" s="1"/>
  <c r="B759" i="5"/>
  <c r="B759" i="8" s="1"/>
  <c r="C759" i="5"/>
  <c r="D759" i="8" s="1"/>
  <c r="D759" i="5" a="1"/>
  <c r="D759" i="5" s="1"/>
  <c r="B760" i="5"/>
  <c r="B760" i="8" s="1"/>
  <c r="C760" i="5"/>
  <c r="D760" i="8" s="1"/>
  <c r="D760" i="5" a="1"/>
  <c r="D760" i="5" s="1"/>
  <c r="B761" i="5"/>
  <c r="B761" i="8" s="1"/>
  <c r="C761" i="5"/>
  <c r="D761" i="8" s="1"/>
  <c r="D761" i="5" a="1"/>
  <c r="D761" i="5" s="1"/>
  <c r="B762" i="5"/>
  <c r="B762" i="8" s="1"/>
  <c r="C762" i="5"/>
  <c r="D762" i="8" s="1"/>
  <c r="D762" i="5" a="1"/>
  <c r="D762" i="5" s="1"/>
  <c r="B763" i="5"/>
  <c r="B763" i="8" s="1"/>
  <c r="C763" i="5"/>
  <c r="D763" i="8" s="1"/>
  <c r="D763" i="5" a="1"/>
  <c r="D763" i="5" s="1"/>
  <c r="B764" i="5"/>
  <c r="B764" i="8" s="1"/>
  <c r="C764" i="5"/>
  <c r="D764" i="8" s="1"/>
  <c r="D764" i="5" a="1"/>
  <c r="D764" i="5" s="1"/>
  <c r="B765" i="5"/>
  <c r="B765" i="8" s="1"/>
  <c r="C765" i="5"/>
  <c r="D765" i="8" s="1"/>
  <c r="D765" i="5" a="1"/>
  <c r="D765" i="5" s="1"/>
  <c r="B766" i="5"/>
  <c r="B766" i="8" s="1"/>
  <c r="C766" i="5"/>
  <c r="D766" i="8" s="1"/>
  <c r="D766" i="5" a="1"/>
  <c r="D766" i="5" s="1"/>
  <c r="B767" i="5"/>
  <c r="B767" i="8" s="1"/>
  <c r="C767" i="5"/>
  <c r="D767" i="8" s="1"/>
  <c r="D767" i="5" a="1"/>
  <c r="D767" i="5" s="1"/>
  <c r="B768" i="5"/>
  <c r="B768" i="8" s="1"/>
  <c r="C768" i="5"/>
  <c r="D768" i="8" s="1"/>
  <c r="D768" i="5" a="1"/>
  <c r="D768" i="5" s="1"/>
  <c r="B769" i="5"/>
  <c r="B769" i="8" s="1"/>
  <c r="C769" i="5"/>
  <c r="D769" i="8" s="1"/>
  <c r="D769" i="5" a="1"/>
  <c r="D769" i="5" s="1"/>
  <c r="B770" i="5"/>
  <c r="B770" i="8" s="1"/>
  <c r="C770" i="5"/>
  <c r="D770" i="8" s="1"/>
  <c r="D770" i="5" a="1"/>
  <c r="D770" i="5" s="1"/>
  <c r="B771" i="5"/>
  <c r="B771" i="8" s="1"/>
  <c r="C771" i="5"/>
  <c r="D771" i="8" s="1"/>
  <c r="D771" i="5" a="1"/>
  <c r="D771" i="5" s="1"/>
  <c r="B772" i="5"/>
  <c r="B772" i="8" s="1"/>
  <c r="C772" i="5"/>
  <c r="D772" i="8" s="1"/>
  <c r="D772" i="5" a="1"/>
  <c r="D772" i="5" s="1"/>
  <c r="B773" i="5"/>
  <c r="B773" i="8" s="1"/>
  <c r="C773" i="5"/>
  <c r="D773" i="8" s="1"/>
  <c r="D773" i="5" a="1"/>
  <c r="D773" i="5" s="1"/>
  <c r="B774" i="5"/>
  <c r="B774" i="8" s="1"/>
  <c r="C774" i="5"/>
  <c r="D774" i="8" s="1"/>
  <c r="D774" i="5" a="1"/>
  <c r="D774" i="5" s="1"/>
  <c r="B775" i="5"/>
  <c r="B775" i="8" s="1"/>
  <c r="C775" i="5"/>
  <c r="D775" i="8" s="1"/>
  <c r="D775" i="5" a="1"/>
  <c r="D775" i="5" s="1"/>
  <c r="B776" i="5"/>
  <c r="B776" i="8" s="1"/>
  <c r="C776" i="5"/>
  <c r="D776" i="8" s="1"/>
  <c r="D776" i="5" a="1"/>
  <c r="D776" i="5" s="1"/>
  <c r="B777" i="5"/>
  <c r="B777" i="8" s="1"/>
  <c r="C777" i="5"/>
  <c r="D777" i="8" s="1"/>
  <c r="D777" i="5" a="1"/>
  <c r="D777" i="5" s="1"/>
  <c r="B778" i="5"/>
  <c r="B778" i="8" s="1"/>
  <c r="C778" i="5"/>
  <c r="D778" i="8" s="1"/>
  <c r="D778" i="5" a="1"/>
  <c r="D778" i="5" s="1"/>
  <c r="B779" i="5"/>
  <c r="B779" i="8" s="1"/>
  <c r="C779" i="5"/>
  <c r="D779" i="8" s="1"/>
  <c r="D779" i="5" a="1"/>
  <c r="D779" i="5" s="1"/>
  <c r="B780" i="5"/>
  <c r="B780" i="8" s="1"/>
  <c r="C780" i="5"/>
  <c r="D780" i="8" s="1"/>
  <c r="D780" i="5" a="1"/>
  <c r="D780" i="5" s="1"/>
  <c r="B781" i="5"/>
  <c r="B781" i="8" s="1"/>
  <c r="C781" i="5"/>
  <c r="D781" i="8" s="1"/>
  <c r="D781" i="5" a="1"/>
  <c r="D781" i="5" s="1"/>
  <c r="B782" i="5"/>
  <c r="B782" i="8" s="1"/>
  <c r="C782" i="5"/>
  <c r="D782" i="8" s="1"/>
  <c r="D782" i="5" a="1"/>
  <c r="D782" i="5" s="1"/>
  <c r="B783" i="5"/>
  <c r="B783" i="8" s="1"/>
  <c r="C783" i="5"/>
  <c r="D783" i="8" s="1"/>
  <c r="D783" i="5" a="1"/>
  <c r="D783" i="5" s="1"/>
  <c r="B784" i="5"/>
  <c r="B784" i="8" s="1"/>
  <c r="C784" i="5"/>
  <c r="D784" i="8" s="1"/>
  <c r="D784" i="5" a="1"/>
  <c r="D784" i="5" s="1"/>
  <c r="B785" i="5"/>
  <c r="C785" i="5"/>
  <c r="D785" i="5" a="1"/>
  <c r="D785" i="5" s="1"/>
  <c r="B786" i="5"/>
  <c r="B786" i="8" s="1"/>
  <c r="C786" i="5"/>
  <c r="D786" i="8" s="1"/>
  <c r="D786" i="5" a="1"/>
  <c r="D786" i="5" s="1"/>
  <c r="B787" i="5"/>
  <c r="B787" i="8" s="1"/>
  <c r="C787" i="5"/>
  <c r="D787" i="8" s="1"/>
  <c r="D787" i="5" a="1"/>
  <c r="D787" i="5" s="1"/>
  <c r="B788" i="5"/>
  <c r="C788" i="5"/>
  <c r="D788" i="5" a="1"/>
  <c r="D788" i="5" s="1"/>
  <c r="B789" i="5"/>
  <c r="B789" i="8" s="1"/>
  <c r="C789" i="5"/>
  <c r="D789" i="8" s="1"/>
  <c r="D789" i="5" a="1"/>
  <c r="D789" i="5" s="1"/>
  <c r="B790" i="5"/>
  <c r="B790" i="8" s="1"/>
  <c r="C790" i="5"/>
  <c r="D790" i="8" s="1"/>
  <c r="D790" i="5" a="1"/>
  <c r="D790" i="5" s="1"/>
  <c r="B791" i="5"/>
  <c r="B791" i="8" s="1"/>
  <c r="C791" i="5"/>
  <c r="D791" i="8" s="1"/>
  <c r="D791" i="5" a="1"/>
  <c r="D791" i="5" s="1"/>
  <c r="B792" i="5"/>
  <c r="B792" i="8" s="1"/>
  <c r="C792" i="5"/>
  <c r="D792" i="8" s="1"/>
  <c r="D792" i="5" a="1"/>
  <c r="D792" i="5" s="1"/>
  <c r="B793" i="5"/>
  <c r="B793" i="8" s="1"/>
  <c r="C793" i="5"/>
  <c r="D793" i="8" s="1"/>
  <c r="D793" i="5" a="1"/>
  <c r="D793" i="5" s="1"/>
  <c r="B794" i="5"/>
  <c r="B794" i="8" s="1"/>
  <c r="C794" i="5"/>
  <c r="D794" i="8" s="1"/>
  <c r="D794" i="5" a="1"/>
  <c r="D794" i="5" s="1"/>
  <c r="B795" i="5"/>
  <c r="B795" i="8" s="1"/>
  <c r="C795" i="5"/>
  <c r="D795" i="8" s="1"/>
  <c r="D795" i="5" a="1"/>
  <c r="D795" i="5" s="1"/>
  <c r="B796" i="5"/>
  <c r="B796" i="8" s="1"/>
  <c r="C796" i="5"/>
  <c r="D796" i="8" s="1"/>
  <c r="D796" i="5" a="1"/>
  <c r="D796" i="5" s="1"/>
  <c r="B797" i="5"/>
  <c r="B797" i="8" s="1"/>
  <c r="C797" i="5"/>
  <c r="D797" i="8" s="1"/>
  <c r="D797" i="5" a="1"/>
  <c r="D797" i="5" s="1"/>
  <c r="B798" i="5"/>
  <c r="B798" i="8" s="1"/>
  <c r="C798" i="5"/>
  <c r="D798" i="8" s="1"/>
  <c r="D798" i="5" a="1"/>
  <c r="D798" i="5" s="1"/>
  <c r="B799" i="5"/>
  <c r="B799" i="8" s="1"/>
  <c r="C799" i="5"/>
  <c r="D799" i="8" s="1"/>
  <c r="D799" i="5" a="1"/>
  <c r="D799" i="5" s="1"/>
  <c r="B800" i="5"/>
  <c r="B800" i="8" s="1"/>
  <c r="C800" i="5"/>
  <c r="D800" i="8" s="1"/>
  <c r="D800" i="5" a="1"/>
  <c r="D800" i="5" s="1"/>
  <c r="B801" i="5"/>
  <c r="B801" i="8" s="1"/>
  <c r="C801" i="5"/>
  <c r="D801" i="8" s="1"/>
  <c r="D801" i="5" a="1"/>
  <c r="D801" i="5" s="1"/>
  <c r="B802" i="5"/>
  <c r="B802" i="8" s="1"/>
  <c r="C802" i="5"/>
  <c r="D802" i="8" s="1"/>
  <c r="D802" i="5" a="1"/>
  <c r="D802" i="5" s="1"/>
  <c r="B803" i="5"/>
  <c r="B803" i="8" s="1"/>
  <c r="C803" i="5"/>
  <c r="D803" i="8" s="1"/>
  <c r="D803" i="5" a="1"/>
  <c r="D803" i="5" s="1"/>
  <c r="B804" i="5"/>
  <c r="B804" i="8" s="1"/>
  <c r="C804" i="5"/>
  <c r="D804" i="8" s="1"/>
  <c r="D804" i="5" a="1"/>
  <c r="D804" i="5" s="1"/>
  <c r="B805" i="5"/>
  <c r="B805" i="8" s="1"/>
  <c r="C805" i="5"/>
  <c r="D805" i="8" s="1"/>
  <c r="D805" i="5" a="1"/>
  <c r="D805" i="5" s="1"/>
  <c r="B806" i="5"/>
  <c r="B806" i="8" s="1"/>
  <c r="C806" i="5"/>
  <c r="D806" i="8" s="1"/>
  <c r="D806" i="5" a="1"/>
  <c r="D806" i="5" s="1"/>
  <c r="B807" i="5"/>
  <c r="B807" i="8" s="1"/>
  <c r="C807" i="5"/>
  <c r="D807" i="8" s="1"/>
  <c r="D807" i="5" a="1"/>
  <c r="D807" i="5" s="1"/>
  <c r="B808" i="5"/>
  <c r="B808" i="8" s="1"/>
  <c r="C808" i="5"/>
  <c r="D808" i="8" s="1"/>
  <c r="D808" i="5" a="1"/>
  <c r="D808" i="5" s="1"/>
  <c r="B809" i="5"/>
  <c r="B809" i="8" s="1"/>
  <c r="C809" i="5"/>
  <c r="D809" i="8" s="1"/>
  <c r="D809" i="5" a="1"/>
  <c r="D809" i="5" s="1"/>
  <c r="B810" i="5"/>
  <c r="B810" i="8" s="1"/>
  <c r="C810" i="5"/>
  <c r="D810" i="8" s="1"/>
  <c r="D810" i="5" a="1"/>
  <c r="D810" i="5" s="1"/>
  <c r="B811" i="5"/>
  <c r="B811" i="8" s="1"/>
  <c r="C811" i="5"/>
  <c r="D811" i="8" s="1"/>
  <c r="D811" i="5" a="1"/>
  <c r="D811" i="5" s="1"/>
  <c r="B812" i="5"/>
  <c r="B812" i="8" s="1"/>
  <c r="C812" i="5"/>
  <c r="D812" i="8" s="1"/>
  <c r="D812" i="5" a="1"/>
  <c r="D812" i="5" s="1"/>
  <c r="B813" i="5"/>
  <c r="B813" i="8" s="1"/>
  <c r="C813" i="5"/>
  <c r="D813" i="8" s="1"/>
  <c r="D813" i="5" a="1"/>
  <c r="D813" i="5" s="1"/>
  <c r="B814" i="5"/>
  <c r="B814" i="8" s="1"/>
  <c r="C814" i="5"/>
  <c r="D814" i="8" s="1"/>
  <c r="D814" i="5" a="1"/>
  <c r="D814" i="5" s="1"/>
  <c r="B815" i="5"/>
  <c r="B815" i="8" s="1"/>
  <c r="C815" i="5"/>
  <c r="D815" i="8" s="1"/>
  <c r="D815" i="5" a="1"/>
  <c r="D815" i="5" s="1"/>
  <c r="B816" i="5"/>
  <c r="B816" i="8" s="1"/>
  <c r="C816" i="5"/>
  <c r="D816" i="8" s="1"/>
  <c r="D816" i="5" a="1"/>
  <c r="D816" i="5" s="1"/>
  <c r="B817" i="5"/>
  <c r="B817" i="8" s="1"/>
  <c r="C817" i="5"/>
  <c r="D817" i="8" s="1"/>
  <c r="D817" i="5" a="1"/>
  <c r="D817" i="5" s="1"/>
  <c r="B818" i="5"/>
  <c r="B818" i="8" s="1"/>
  <c r="C818" i="5"/>
  <c r="D818" i="8" s="1"/>
  <c r="D818" i="5" a="1"/>
  <c r="D818" i="5" s="1"/>
  <c r="B819" i="5"/>
  <c r="B819" i="8" s="1"/>
  <c r="C819" i="5"/>
  <c r="D819" i="8" s="1"/>
  <c r="D819" i="5" a="1"/>
  <c r="D819" i="5" s="1"/>
  <c r="B820" i="5"/>
  <c r="B820" i="8" s="1"/>
  <c r="C820" i="5"/>
  <c r="D820" i="8" s="1"/>
  <c r="D820" i="5" a="1"/>
  <c r="D820" i="5" s="1"/>
  <c r="B821" i="5"/>
  <c r="B821" i="8" s="1"/>
  <c r="C821" i="5"/>
  <c r="D821" i="8" s="1"/>
  <c r="D821" i="5" a="1"/>
  <c r="D821" i="5" s="1"/>
  <c r="B822" i="5"/>
  <c r="B822" i="8" s="1"/>
  <c r="C822" i="5"/>
  <c r="D822" i="8" s="1"/>
  <c r="D822" i="5" a="1"/>
  <c r="D822" i="5" s="1"/>
  <c r="B823" i="5"/>
  <c r="B823" i="8" s="1"/>
  <c r="C823" i="5"/>
  <c r="D823" i="8" s="1"/>
  <c r="D823" i="5" a="1"/>
  <c r="D823" i="5" s="1"/>
  <c r="B824" i="5"/>
  <c r="B824" i="8" s="1"/>
  <c r="C824" i="5"/>
  <c r="D824" i="8" s="1"/>
  <c r="D824" i="5" a="1"/>
  <c r="D824" i="5" s="1"/>
  <c r="B825" i="5"/>
  <c r="B825" i="8" s="1"/>
  <c r="C825" i="5"/>
  <c r="D825" i="8" s="1"/>
  <c r="D825" i="5" a="1"/>
  <c r="D825" i="5" s="1"/>
  <c r="B826" i="5"/>
  <c r="B826" i="8" s="1"/>
  <c r="C826" i="5"/>
  <c r="D826" i="8" s="1"/>
  <c r="D826" i="5" a="1"/>
  <c r="D826" i="5" s="1"/>
  <c r="B827" i="5"/>
  <c r="B827" i="8" s="1"/>
  <c r="C827" i="5"/>
  <c r="D827" i="8" s="1"/>
  <c r="D827" i="5" a="1"/>
  <c r="D827" i="5" s="1"/>
  <c r="B828" i="5"/>
  <c r="B828" i="8" s="1"/>
  <c r="C828" i="5"/>
  <c r="D828" i="8" s="1"/>
  <c r="D828" i="5" a="1"/>
  <c r="D828" i="5" s="1"/>
  <c r="B829" i="5"/>
  <c r="B829" i="8" s="1"/>
  <c r="C829" i="5"/>
  <c r="D829" i="8" s="1"/>
  <c r="D829" i="5" a="1"/>
  <c r="D829" i="5" s="1"/>
  <c r="B830" i="5"/>
  <c r="B830" i="8" s="1"/>
  <c r="C830" i="5"/>
  <c r="D830" i="8" s="1"/>
  <c r="D830" i="5" a="1"/>
  <c r="D830" i="5" s="1"/>
  <c r="B831" i="5"/>
  <c r="B831" i="8" s="1"/>
  <c r="C831" i="5"/>
  <c r="D831" i="8" s="1"/>
  <c r="D831" i="5" a="1"/>
  <c r="D831" i="5" s="1"/>
  <c r="B832" i="5"/>
  <c r="B832" i="8" s="1"/>
  <c r="C832" i="5"/>
  <c r="D832" i="8" s="1"/>
  <c r="D832" i="5" a="1"/>
  <c r="D832" i="5" s="1"/>
  <c r="B833" i="5"/>
  <c r="B833" i="8" s="1"/>
  <c r="C833" i="5"/>
  <c r="D833" i="8" s="1"/>
  <c r="D833" i="5" a="1"/>
  <c r="D833" i="5" s="1"/>
  <c r="B834" i="5"/>
  <c r="B834" i="8" s="1"/>
  <c r="C834" i="5"/>
  <c r="D834" i="8" s="1"/>
  <c r="D834" i="5" a="1"/>
  <c r="D834" i="5" s="1"/>
  <c r="B835" i="5"/>
  <c r="B835" i="8" s="1"/>
  <c r="C835" i="5"/>
  <c r="D835" i="8" s="1"/>
  <c r="D835" i="5" a="1"/>
  <c r="D835" i="5" s="1"/>
  <c r="B836" i="5"/>
  <c r="B836" i="8" s="1"/>
  <c r="C836" i="5"/>
  <c r="D836" i="8" s="1"/>
  <c r="D836" i="5" a="1"/>
  <c r="D836" i="5" s="1"/>
  <c r="B837" i="5"/>
  <c r="B837" i="8" s="1"/>
  <c r="C837" i="5"/>
  <c r="D837" i="8" s="1"/>
  <c r="D837" i="5" a="1"/>
  <c r="D837" i="5" s="1"/>
  <c r="B838" i="5"/>
  <c r="B838" i="8" s="1"/>
  <c r="C838" i="5"/>
  <c r="D838" i="8" s="1"/>
  <c r="D838" i="5" a="1"/>
  <c r="D838" i="5" s="1"/>
  <c r="B839" i="5"/>
  <c r="B839" i="8" s="1"/>
  <c r="C839" i="5"/>
  <c r="D839" i="8" s="1"/>
  <c r="D839" i="5" a="1"/>
  <c r="D839" i="5" s="1"/>
  <c r="B840" i="5"/>
  <c r="B840" i="8" s="1"/>
  <c r="C840" i="5"/>
  <c r="D840" i="8" s="1"/>
  <c r="D840" i="5" a="1"/>
  <c r="D840" i="5" s="1"/>
  <c r="B841" i="5"/>
  <c r="B841" i="8" s="1"/>
  <c r="C841" i="5"/>
  <c r="D841" i="8" s="1"/>
  <c r="D841" i="5" a="1"/>
  <c r="D841" i="5" s="1"/>
  <c r="B842" i="5"/>
  <c r="B842" i="8" s="1"/>
  <c r="C842" i="5"/>
  <c r="D842" i="8" s="1"/>
  <c r="D842" i="5" a="1"/>
  <c r="D842" i="5" s="1"/>
  <c r="B843" i="5"/>
  <c r="B843" i="8" s="1"/>
  <c r="C843" i="5"/>
  <c r="D843" i="8" s="1"/>
  <c r="D843" i="5" a="1"/>
  <c r="D843" i="5" s="1"/>
  <c r="B844" i="5"/>
  <c r="B844" i="8" s="1"/>
  <c r="C844" i="5"/>
  <c r="D844" i="8" s="1"/>
  <c r="D844" i="5" a="1"/>
  <c r="D844" i="5" s="1"/>
  <c r="B845" i="5"/>
  <c r="B845" i="8" s="1"/>
  <c r="C845" i="5"/>
  <c r="D845" i="8" s="1"/>
  <c r="D845" i="5" a="1"/>
  <c r="D845" i="5" s="1"/>
  <c r="B846" i="5"/>
  <c r="B846" i="8" s="1"/>
  <c r="C846" i="5"/>
  <c r="D846" i="8" s="1"/>
  <c r="D846" i="5" a="1"/>
  <c r="D846" i="5" s="1"/>
  <c r="B847" i="5"/>
  <c r="B847" i="8" s="1"/>
  <c r="C847" i="5"/>
  <c r="D847" i="8" s="1"/>
  <c r="D847" i="5" a="1"/>
  <c r="D847" i="5" s="1"/>
  <c r="B848" i="5"/>
  <c r="B848" i="8" s="1"/>
  <c r="C848" i="5"/>
  <c r="D848" i="8" s="1"/>
  <c r="D848" i="5" a="1"/>
  <c r="D848" i="5" s="1"/>
  <c r="B849" i="5"/>
  <c r="B849" i="8" s="1"/>
  <c r="C849" i="5"/>
  <c r="D849" i="8" s="1"/>
  <c r="D849" i="5" a="1"/>
  <c r="D849" i="5" s="1"/>
  <c r="B850" i="5"/>
  <c r="B850" i="8" s="1"/>
  <c r="C850" i="5"/>
  <c r="D850" i="8" s="1"/>
  <c r="D850" i="5" a="1"/>
  <c r="D850" i="5" s="1"/>
  <c r="B851" i="5"/>
  <c r="B851" i="8" s="1"/>
  <c r="C851" i="5"/>
  <c r="D851" i="8" s="1"/>
  <c r="D851" i="5" a="1"/>
  <c r="D851" i="5" s="1"/>
  <c r="B852" i="5"/>
  <c r="B852" i="8" s="1"/>
  <c r="C852" i="5"/>
  <c r="D852" i="8" s="1"/>
  <c r="D852" i="5" a="1"/>
  <c r="D852" i="5" s="1"/>
  <c r="B853" i="5"/>
  <c r="B853" i="8" s="1"/>
  <c r="C853" i="5"/>
  <c r="D853" i="8" s="1"/>
  <c r="D853" i="5" a="1"/>
  <c r="D853" i="5" s="1"/>
  <c r="B854" i="5"/>
  <c r="B854" i="8" s="1"/>
  <c r="C854" i="5"/>
  <c r="D854" i="8" s="1"/>
  <c r="D854" i="5" a="1"/>
  <c r="D854" i="5" s="1"/>
  <c r="B855" i="5"/>
  <c r="B855" i="8" s="1"/>
  <c r="C855" i="5"/>
  <c r="D855" i="8" s="1"/>
  <c r="D855" i="5" a="1"/>
  <c r="D855" i="5" s="1"/>
  <c r="B856" i="5"/>
  <c r="B856" i="8" s="1"/>
  <c r="C856" i="5"/>
  <c r="D856" i="8" s="1"/>
  <c r="D856" i="5" a="1"/>
  <c r="D856" i="5" s="1"/>
  <c r="B857" i="5"/>
  <c r="B857" i="8" s="1"/>
  <c r="C857" i="5"/>
  <c r="D857" i="8" s="1"/>
  <c r="D857" i="5" a="1"/>
  <c r="D857" i="5" s="1"/>
  <c r="B858" i="5"/>
  <c r="C858" i="5"/>
  <c r="D858" i="5" a="1"/>
  <c r="D858" i="5" s="1"/>
  <c r="B859" i="5"/>
  <c r="B859" i="8" s="1"/>
  <c r="C859" i="5"/>
  <c r="D859" i="8" s="1"/>
  <c r="D859" i="5" a="1"/>
  <c r="D859" i="5" s="1"/>
  <c r="B860" i="5"/>
  <c r="B860" i="8" s="1"/>
  <c r="C860" i="5"/>
  <c r="D860" i="8" s="1"/>
  <c r="D860" i="5" a="1"/>
  <c r="D860" i="5" s="1"/>
  <c r="B861" i="5"/>
  <c r="B861" i="8" s="1"/>
  <c r="C861" i="5"/>
  <c r="D861" i="8" s="1"/>
  <c r="D861" i="5" a="1"/>
  <c r="D861" i="5" s="1"/>
  <c r="B862" i="5"/>
  <c r="B862" i="8" s="1"/>
  <c r="C862" i="5"/>
  <c r="D862" i="8" s="1"/>
  <c r="D862" i="5" a="1"/>
  <c r="D862" i="5" s="1"/>
  <c r="B863" i="5"/>
  <c r="B863" i="8" s="1"/>
  <c r="C863" i="5"/>
  <c r="D863" i="8" s="1"/>
  <c r="D863" i="5" a="1"/>
  <c r="D863" i="5" s="1"/>
  <c r="B864" i="5"/>
  <c r="B864" i="8" s="1"/>
  <c r="C864" i="5"/>
  <c r="D864" i="8" s="1"/>
  <c r="D864" i="5" a="1"/>
  <c r="D864" i="5" s="1"/>
  <c r="B865" i="5"/>
  <c r="B865" i="8" s="1"/>
  <c r="C865" i="5"/>
  <c r="D865" i="8" s="1"/>
  <c r="D865" i="5" a="1"/>
  <c r="D865" i="5" s="1"/>
  <c r="B866" i="5"/>
  <c r="B866" i="8" s="1"/>
  <c r="C866" i="5"/>
  <c r="D866" i="8" s="1"/>
  <c r="D866" i="5" a="1"/>
  <c r="D866" i="5" s="1"/>
  <c r="B867" i="5"/>
  <c r="B867" i="8" s="1"/>
  <c r="C867" i="5"/>
  <c r="D867" i="8" s="1"/>
  <c r="D867" i="5" a="1"/>
  <c r="D867" i="5" s="1"/>
  <c r="B868" i="5"/>
  <c r="B868" i="8" s="1"/>
  <c r="C868" i="5"/>
  <c r="D868" i="8" s="1"/>
  <c r="D868" i="5" a="1"/>
  <c r="D868" i="5" s="1"/>
  <c r="B869" i="5"/>
  <c r="B869" i="8" s="1"/>
  <c r="C869" i="5"/>
  <c r="D869" i="8" s="1"/>
  <c r="D869" i="5" a="1"/>
  <c r="D869" i="5" s="1"/>
  <c r="B870" i="5"/>
  <c r="C870" i="5"/>
  <c r="D870" i="5" a="1"/>
  <c r="D870" i="5" s="1"/>
  <c r="B871" i="5"/>
  <c r="C871" i="5"/>
  <c r="D871" i="5" a="1"/>
  <c r="D871" i="5" s="1"/>
  <c r="B872" i="5"/>
  <c r="B872" i="8" s="1"/>
  <c r="C872" i="5"/>
  <c r="D872" i="8" s="1"/>
  <c r="D872" i="5" a="1"/>
  <c r="D872" i="5" s="1"/>
  <c r="B873" i="5"/>
  <c r="B873" i="8" s="1"/>
  <c r="C873" i="5"/>
  <c r="D873" i="8" s="1"/>
  <c r="D873" i="5" a="1"/>
  <c r="D873" i="5" s="1"/>
  <c r="B874" i="5"/>
  <c r="B874" i="8" s="1"/>
  <c r="C874" i="5"/>
  <c r="D874" i="8" s="1"/>
  <c r="D874" i="5" a="1"/>
  <c r="D874" i="5" s="1"/>
  <c r="B875" i="5"/>
  <c r="B875" i="8" s="1"/>
  <c r="C875" i="5"/>
  <c r="D875" i="8" s="1"/>
  <c r="D875" i="5" a="1"/>
  <c r="D875" i="5" s="1"/>
  <c r="B876" i="5"/>
  <c r="B876" i="8" s="1"/>
  <c r="C876" i="5"/>
  <c r="D876" i="8" s="1"/>
  <c r="D876" i="5" a="1"/>
  <c r="D876" i="5" s="1"/>
  <c r="B877" i="5"/>
  <c r="B877" i="8" s="1"/>
  <c r="C877" i="5"/>
  <c r="D877" i="8" s="1"/>
  <c r="D877" i="5" a="1"/>
  <c r="D877" i="5" s="1"/>
  <c r="B878" i="5"/>
  <c r="B878" i="8" s="1"/>
  <c r="C878" i="5"/>
  <c r="D878" i="8" s="1"/>
  <c r="D878" i="5" a="1"/>
  <c r="D878" i="5" s="1"/>
  <c r="B879" i="5"/>
  <c r="B879" i="8" s="1"/>
  <c r="C879" i="5"/>
  <c r="D879" i="8" s="1"/>
  <c r="D879" i="5" a="1"/>
  <c r="D879" i="5" s="1"/>
  <c r="B880" i="5"/>
  <c r="B880" i="8" s="1"/>
  <c r="C880" i="5"/>
  <c r="D880" i="8" s="1"/>
  <c r="D880" i="5" a="1"/>
  <c r="D880" i="5" s="1"/>
  <c r="B881" i="5"/>
  <c r="B881" i="8" s="1"/>
  <c r="C881" i="5"/>
  <c r="D881" i="8" s="1"/>
  <c r="D881" i="5" a="1"/>
  <c r="D881" i="5" s="1"/>
  <c r="B882" i="5"/>
  <c r="B882" i="8" s="1"/>
  <c r="C882" i="5"/>
  <c r="D882" i="8" s="1"/>
  <c r="D882" i="5" a="1"/>
  <c r="D882" i="5" s="1"/>
  <c r="B883" i="5"/>
  <c r="B883" i="8" s="1"/>
  <c r="C883" i="5"/>
  <c r="D883" i="8" s="1"/>
  <c r="D883" i="5" a="1"/>
  <c r="D883" i="5" s="1"/>
  <c r="B884" i="5"/>
  <c r="B884" i="8" s="1"/>
  <c r="C884" i="5"/>
  <c r="D884" i="8" s="1"/>
  <c r="D884" i="5" a="1"/>
  <c r="D884" i="5" s="1"/>
  <c r="B885" i="5"/>
  <c r="B885" i="8" s="1"/>
  <c r="C885" i="5"/>
  <c r="D885" i="8" s="1"/>
  <c r="D885" i="5" a="1"/>
  <c r="D885" i="5" s="1"/>
  <c r="B886" i="5"/>
  <c r="B886" i="8" s="1"/>
  <c r="C886" i="5"/>
  <c r="D886" i="8" s="1"/>
  <c r="D886" i="5" a="1"/>
  <c r="D886" i="5" s="1"/>
  <c r="B887" i="5"/>
  <c r="B887" i="8" s="1"/>
  <c r="C887" i="5"/>
  <c r="D887" i="8" s="1"/>
  <c r="D887" i="5" a="1"/>
  <c r="D887" i="5" s="1"/>
  <c r="B888" i="5"/>
  <c r="B888" i="8" s="1"/>
  <c r="C888" i="5"/>
  <c r="D888" i="8" s="1"/>
  <c r="D888" i="5" a="1"/>
  <c r="D888" i="5" s="1"/>
  <c r="B889" i="5"/>
  <c r="B889" i="8" s="1"/>
  <c r="C889" i="5"/>
  <c r="D889" i="8" s="1"/>
  <c r="D889" i="5" a="1"/>
  <c r="D889" i="5" s="1"/>
  <c r="B890" i="5"/>
  <c r="B890" i="8" s="1"/>
  <c r="C890" i="5"/>
  <c r="D890" i="8" s="1"/>
  <c r="D890" i="5" a="1"/>
  <c r="D890" i="5" s="1"/>
  <c r="B891" i="5"/>
  <c r="B891" i="8" s="1"/>
  <c r="C891" i="5"/>
  <c r="D891" i="8" s="1"/>
  <c r="D891" i="5" a="1"/>
  <c r="D891" i="5" s="1"/>
  <c r="B892" i="5"/>
  <c r="B892" i="8" s="1"/>
  <c r="C892" i="5"/>
  <c r="D892" i="8" s="1"/>
  <c r="D892" i="5" a="1"/>
  <c r="D892" i="5" s="1"/>
  <c r="B893" i="5"/>
  <c r="B893" i="8" s="1"/>
  <c r="C893" i="5"/>
  <c r="D893" i="8" s="1"/>
  <c r="D893" i="5" a="1"/>
  <c r="D893" i="5" s="1"/>
  <c r="B894" i="5"/>
  <c r="B894" i="8" s="1"/>
  <c r="C894" i="5"/>
  <c r="D894" i="8" s="1"/>
  <c r="D894" i="5" a="1"/>
  <c r="D894" i="5" s="1"/>
  <c r="B895" i="5"/>
  <c r="B895" i="8" s="1"/>
  <c r="C895" i="5"/>
  <c r="D895" i="8" s="1"/>
  <c r="D895" i="5" a="1"/>
  <c r="D895" i="5" s="1"/>
  <c r="B896" i="5"/>
  <c r="B896" i="8" s="1"/>
  <c r="C896" i="5"/>
  <c r="D896" i="8" s="1"/>
  <c r="D896" i="5" a="1"/>
  <c r="D896" i="5" s="1"/>
  <c r="B897" i="5"/>
  <c r="B897" i="8" s="1"/>
  <c r="C897" i="5"/>
  <c r="D897" i="8" s="1"/>
  <c r="D897" i="5" a="1"/>
  <c r="D897" i="5" s="1"/>
  <c r="B898" i="5"/>
  <c r="B898" i="8" s="1"/>
  <c r="C898" i="5"/>
  <c r="D898" i="8" s="1"/>
  <c r="D898" i="5" a="1"/>
  <c r="D898" i="5" s="1"/>
  <c r="B899" i="5"/>
  <c r="B899" i="8" s="1"/>
  <c r="C899" i="5"/>
  <c r="D899" i="8" s="1"/>
  <c r="D899" i="5" a="1"/>
  <c r="D899" i="5" s="1"/>
  <c r="B900" i="5"/>
  <c r="B900" i="8" s="1"/>
  <c r="C900" i="5"/>
  <c r="D900" i="8" s="1"/>
  <c r="D900" i="5" a="1"/>
  <c r="D900" i="5" s="1"/>
  <c r="B901" i="5"/>
  <c r="B901" i="8" s="1"/>
  <c r="C901" i="5"/>
  <c r="D901" i="8" s="1"/>
  <c r="D901" i="5" a="1"/>
  <c r="D901" i="5" s="1"/>
  <c r="B902" i="5"/>
  <c r="B902" i="8" s="1"/>
  <c r="C902" i="5"/>
  <c r="D902" i="8" s="1"/>
  <c r="D902" i="5" a="1"/>
  <c r="D902" i="5" s="1"/>
  <c r="B903" i="5"/>
  <c r="B903" i="8" s="1"/>
  <c r="C903" i="5"/>
  <c r="D903" i="8" s="1"/>
  <c r="D903" i="5" a="1"/>
  <c r="D903" i="5" s="1"/>
  <c r="B904" i="5"/>
  <c r="B904" i="8" s="1"/>
  <c r="C904" i="5"/>
  <c r="D904" i="8" s="1"/>
  <c r="D904" i="5" a="1"/>
  <c r="D904" i="5" s="1"/>
  <c r="B905" i="5"/>
  <c r="B905" i="8" s="1"/>
  <c r="C905" i="5"/>
  <c r="D905" i="8" s="1"/>
  <c r="D905" i="5" a="1"/>
  <c r="D905" i="5" s="1"/>
  <c r="B906" i="5"/>
  <c r="B906" i="8" s="1"/>
  <c r="C906" i="5"/>
  <c r="D906" i="8" s="1"/>
  <c r="D906" i="5" a="1"/>
  <c r="D906" i="5" s="1"/>
  <c r="B907" i="5"/>
  <c r="B907" i="8" s="1"/>
  <c r="C907" i="5"/>
  <c r="D907" i="8" s="1"/>
  <c r="D907" i="5" a="1"/>
  <c r="D907" i="5" s="1"/>
  <c r="B908" i="5"/>
  <c r="B908" i="8" s="1"/>
  <c r="C908" i="5"/>
  <c r="D908" i="8" s="1"/>
  <c r="D908" i="5" a="1"/>
  <c r="D908" i="5" s="1"/>
  <c r="B909" i="5"/>
  <c r="B909" i="8" s="1"/>
  <c r="C909" i="5"/>
  <c r="D909" i="8" s="1"/>
  <c r="D909" i="5" a="1"/>
  <c r="D909" i="5" s="1"/>
  <c r="B910" i="5"/>
  <c r="B910" i="8" s="1"/>
  <c r="C910" i="5"/>
  <c r="D910" i="8" s="1"/>
  <c r="D910" i="5" a="1"/>
  <c r="D910" i="5" s="1"/>
  <c r="B911" i="5"/>
  <c r="B911" i="8" s="1"/>
  <c r="C911" i="5"/>
  <c r="D911" i="8" s="1"/>
  <c r="D911" i="5" a="1"/>
  <c r="D911" i="5" s="1"/>
  <c r="B912" i="5"/>
  <c r="B912" i="8" s="1"/>
  <c r="C912" i="5"/>
  <c r="D912" i="8" s="1"/>
  <c r="D912" i="5" a="1"/>
  <c r="D912" i="5" s="1"/>
  <c r="B913" i="5"/>
  <c r="B913" i="8" s="1"/>
  <c r="C913" i="5"/>
  <c r="D913" i="8" s="1"/>
  <c r="D913" i="5" a="1"/>
  <c r="D913" i="5" s="1"/>
  <c r="B914" i="5"/>
  <c r="B914" i="8" s="1"/>
  <c r="C914" i="5"/>
  <c r="D914" i="8" s="1"/>
  <c r="D914" i="5" a="1"/>
  <c r="D914" i="5" s="1"/>
  <c r="B915" i="5"/>
  <c r="B915" i="8" s="1"/>
  <c r="C915" i="5"/>
  <c r="D915" i="8" s="1"/>
  <c r="D915" i="5" a="1"/>
  <c r="D915" i="5" s="1"/>
  <c r="B916" i="5"/>
  <c r="B916" i="8" s="1"/>
  <c r="C916" i="5"/>
  <c r="D916" i="8" s="1"/>
  <c r="D916" i="5" a="1"/>
  <c r="D916" i="5" s="1"/>
  <c r="B917" i="5"/>
  <c r="B917" i="8" s="1"/>
  <c r="C917" i="5"/>
  <c r="D917" i="8" s="1"/>
  <c r="D917" i="5" a="1"/>
  <c r="D917" i="5" s="1"/>
  <c r="B918" i="5"/>
  <c r="B918" i="8" s="1"/>
  <c r="C918" i="5"/>
  <c r="D918" i="8" s="1"/>
  <c r="D918" i="5" a="1"/>
  <c r="D918" i="5" s="1"/>
  <c r="B919" i="5"/>
  <c r="B919" i="8" s="1"/>
  <c r="C919" i="5"/>
  <c r="D919" i="8" s="1"/>
  <c r="D919" i="5" a="1"/>
  <c r="D919" i="5" s="1"/>
  <c r="B920" i="5"/>
  <c r="B920" i="8" s="1"/>
  <c r="C920" i="5"/>
  <c r="D920" i="8" s="1"/>
  <c r="D920" i="5" a="1"/>
  <c r="D920" i="5" s="1"/>
  <c r="B921" i="5"/>
  <c r="B921" i="8" s="1"/>
  <c r="C921" i="5"/>
  <c r="D921" i="8" s="1"/>
  <c r="D921" i="5" a="1"/>
  <c r="D921" i="5" s="1"/>
  <c r="B922" i="5"/>
  <c r="B922" i="8" s="1"/>
  <c r="C922" i="5"/>
  <c r="D922" i="8" s="1"/>
  <c r="D922" i="5" a="1"/>
  <c r="D922" i="5" s="1"/>
  <c r="B923" i="5"/>
  <c r="B923" i="8" s="1"/>
  <c r="C923" i="5"/>
  <c r="D923" i="8" s="1"/>
  <c r="D923" i="5" a="1"/>
  <c r="D923" i="5" s="1"/>
  <c r="B924" i="5"/>
  <c r="B924" i="8" s="1"/>
  <c r="C924" i="5"/>
  <c r="D924" i="8" s="1"/>
  <c r="D924" i="5" a="1"/>
  <c r="D924" i="5" s="1"/>
  <c r="B925" i="5"/>
  <c r="B925" i="8" s="1"/>
  <c r="C925" i="5"/>
  <c r="D925" i="8" s="1"/>
  <c r="D925" i="5" a="1"/>
  <c r="D925" i="5" s="1"/>
  <c r="B926" i="5"/>
  <c r="B926" i="8" s="1"/>
  <c r="C926" i="5"/>
  <c r="D926" i="8" s="1"/>
  <c r="D926" i="5" a="1"/>
  <c r="D926" i="5" s="1"/>
  <c r="B927" i="5"/>
  <c r="B927" i="8" s="1"/>
  <c r="C927" i="5"/>
  <c r="D927" i="8" s="1"/>
  <c r="D927" i="5" a="1"/>
  <c r="D927" i="5" s="1"/>
  <c r="B928" i="5"/>
  <c r="B928" i="8" s="1"/>
  <c r="C928" i="5"/>
  <c r="D928" i="8" s="1"/>
  <c r="D928" i="5" a="1"/>
  <c r="D928" i="5" s="1"/>
  <c r="B929" i="5"/>
  <c r="B929" i="8" s="1"/>
  <c r="C929" i="5"/>
  <c r="D929" i="8" s="1"/>
  <c r="D929" i="5" a="1"/>
  <c r="D929" i="5" s="1"/>
  <c r="B930" i="5"/>
  <c r="B930" i="8" s="1"/>
  <c r="C930" i="5"/>
  <c r="D930" i="8" s="1"/>
  <c r="D930" i="5" a="1"/>
  <c r="D930" i="5" s="1"/>
  <c r="B931" i="5"/>
  <c r="B931" i="8" s="1"/>
  <c r="C931" i="5"/>
  <c r="D931" i="8" s="1"/>
  <c r="D931" i="5" a="1"/>
  <c r="D931" i="5" s="1"/>
  <c r="B932" i="5"/>
  <c r="B932" i="8" s="1"/>
  <c r="C932" i="5"/>
  <c r="D932" i="8" s="1"/>
  <c r="D932" i="5" a="1"/>
  <c r="D932" i="5" s="1"/>
  <c r="B933" i="5"/>
  <c r="B933" i="8" s="1"/>
  <c r="C933" i="5"/>
  <c r="D933" i="8" s="1"/>
  <c r="D933" i="5" a="1"/>
  <c r="D933" i="5" s="1"/>
  <c r="B934" i="5"/>
  <c r="B934" i="8" s="1"/>
  <c r="C934" i="5"/>
  <c r="D934" i="8" s="1"/>
  <c r="D934" i="5" a="1"/>
  <c r="D934" i="5" s="1"/>
  <c r="B935" i="5"/>
  <c r="B935" i="8" s="1"/>
  <c r="C935" i="5"/>
  <c r="D935" i="8" s="1"/>
  <c r="D935" i="5" a="1"/>
  <c r="D935" i="5" s="1"/>
  <c r="B936" i="5"/>
  <c r="B936" i="8" s="1"/>
  <c r="C936" i="5"/>
  <c r="D936" i="8" s="1"/>
  <c r="D936" i="5" a="1"/>
  <c r="D936" i="5" s="1"/>
  <c r="B937" i="5"/>
  <c r="B937" i="8" s="1"/>
  <c r="C937" i="5"/>
  <c r="D937" i="8" s="1"/>
  <c r="D937" i="5" a="1"/>
  <c r="D937" i="5" s="1"/>
  <c r="B938" i="5"/>
  <c r="B938" i="8" s="1"/>
  <c r="C938" i="5"/>
  <c r="D938" i="8" s="1"/>
  <c r="D938" i="5" a="1"/>
  <c r="D938" i="5" s="1"/>
  <c r="B939" i="5"/>
  <c r="B939" i="8" s="1"/>
  <c r="C939" i="5"/>
  <c r="D939" i="8" s="1"/>
  <c r="D939" i="5" a="1"/>
  <c r="D939" i="5" s="1"/>
  <c r="B940" i="5"/>
  <c r="B940" i="8" s="1"/>
  <c r="C940" i="5"/>
  <c r="D940" i="8" s="1"/>
  <c r="D940" i="5" a="1"/>
  <c r="D940" i="5" s="1"/>
  <c r="B941" i="5"/>
  <c r="B941" i="8" s="1"/>
  <c r="C941" i="5"/>
  <c r="D941" i="8" s="1"/>
  <c r="D941" i="5" a="1"/>
  <c r="D941" i="5" s="1"/>
  <c r="B942" i="5"/>
  <c r="B942" i="8" s="1"/>
  <c r="C942" i="5"/>
  <c r="D942" i="8" s="1"/>
  <c r="D942" i="5" a="1"/>
  <c r="D942" i="5" s="1"/>
  <c r="B943" i="5"/>
  <c r="B943" i="8" s="1"/>
  <c r="C943" i="5"/>
  <c r="D943" i="8" s="1"/>
  <c r="D943" i="5" a="1"/>
  <c r="D943" i="5" s="1"/>
  <c r="B944" i="5"/>
  <c r="B944" i="8" s="1"/>
  <c r="C944" i="5"/>
  <c r="D944" i="8" s="1"/>
  <c r="D944" i="5" a="1"/>
  <c r="D944" i="5" s="1"/>
  <c r="B945" i="5"/>
  <c r="B945" i="8" s="1"/>
  <c r="C945" i="5"/>
  <c r="D945" i="8" s="1"/>
  <c r="D945" i="5" a="1"/>
  <c r="D945" i="5" s="1"/>
  <c r="B946" i="5"/>
  <c r="B946" i="8" s="1"/>
  <c r="C946" i="5"/>
  <c r="D946" i="8" s="1"/>
  <c r="D946" i="5" a="1"/>
  <c r="D946" i="5" s="1"/>
  <c r="B947" i="5"/>
  <c r="B947" i="8" s="1"/>
  <c r="C947" i="5"/>
  <c r="D947" i="8" s="1"/>
  <c r="D947" i="5" a="1"/>
  <c r="D947" i="5" s="1"/>
  <c r="B948" i="5"/>
  <c r="B948" i="8" s="1"/>
  <c r="C948" i="5"/>
  <c r="D948" i="8" s="1"/>
  <c r="D948" i="5" a="1"/>
  <c r="D948" i="5" s="1"/>
  <c r="B949" i="5"/>
  <c r="B949" i="8" s="1"/>
  <c r="C949" i="5"/>
  <c r="D949" i="8" s="1"/>
  <c r="D949" i="5" a="1"/>
  <c r="D949" i="5" s="1"/>
  <c r="B950" i="5"/>
  <c r="B950" i="8" s="1"/>
  <c r="C950" i="5"/>
  <c r="D950" i="8" s="1"/>
  <c r="D950" i="5" a="1"/>
  <c r="D950" i="5" s="1"/>
  <c r="B951" i="5"/>
  <c r="B951" i="8" s="1"/>
  <c r="C951" i="5"/>
  <c r="D951" i="8" s="1"/>
  <c r="D951" i="5" a="1"/>
  <c r="D951" i="5" s="1"/>
  <c r="B952" i="5"/>
  <c r="B952" i="8" s="1"/>
  <c r="C952" i="5"/>
  <c r="D952" i="8" s="1"/>
  <c r="D952" i="5" a="1"/>
  <c r="D952" i="5" s="1"/>
  <c r="B953" i="5"/>
  <c r="B953" i="8" s="1"/>
  <c r="C953" i="5"/>
  <c r="D953" i="8" s="1"/>
  <c r="D953" i="5" a="1"/>
  <c r="D953" i="5" s="1"/>
  <c r="B954" i="5"/>
  <c r="B954" i="8" s="1"/>
  <c r="C954" i="5"/>
  <c r="D954" i="8" s="1"/>
  <c r="D954" i="5" a="1"/>
  <c r="D954" i="5" s="1"/>
  <c r="B955" i="5"/>
  <c r="B955" i="8" s="1"/>
  <c r="C955" i="5"/>
  <c r="D955" i="8" s="1"/>
  <c r="D955" i="5" a="1"/>
  <c r="D955" i="5" s="1"/>
  <c r="B956" i="5"/>
  <c r="B956" i="8" s="1"/>
  <c r="C956" i="5"/>
  <c r="D956" i="8" s="1"/>
  <c r="D956" i="5" a="1"/>
  <c r="D956" i="5" s="1"/>
  <c r="B957" i="5"/>
  <c r="B957" i="8" s="1"/>
  <c r="C957" i="5"/>
  <c r="D957" i="8" s="1"/>
  <c r="D957" i="5" a="1"/>
  <c r="D957" i="5" s="1"/>
  <c r="B958" i="5"/>
  <c r="B958" i="8" s="1"/>
  <c r="C958" i="5"/>
  <c r="D958" i="8" s="1"/>
  <c r="D958" i="5" a="1"/>
  <c r="D958" i="5" s="1"/>
  <c r="B959" i="5"/>
  <c r="B959" i="8" s="1"/>
  <c r="C959" i="5"/>
  <c r="D959" i="8" s="1"/>
  <c r="D959" i="5" a="1"/>
  <c r="D959" i="5" s="1"/>
  <c r="B960" i="5"/>
  <c r="B960" i="8" s="1"/>
  <c r="C960" i="5"/>
  <c r="D960" i="8" s="1"/>
  <c r="D960" i="5" a="1"/>
  <c r="D960" i="5" s="1"/>
  <c r="B961" i="5"/>
  <c r="B961" i="8" s="1"/>
  <c r="C961" i="5"/>
  <c r="D961" i="8" s="1"/>
  <c r="D961" i="5" a="1"/>
  <c r="D961" i="5" s="1"/>
  <c r="B962" i="5"/>
  <c r="B962" i="8" s="1"/>
  <c r="C962" i="5"/>
  <c r="D962" i="8" s="1"/>
  <c r="D962" i="5" a="1"/>
  <c r="D962" i="5" s="1"/>
  <c r="B963" i="5"/>
  <c r="B963" i="8" s="1"/>
  <c r="C963" i="5"/>
  <c r="D963" i="8" s="1"/>
  <c r="D963" i="5" a="1"/>
  <c r="D963" i="5" s="1"/>
  <c r="B964" i="5"/>
  <c r="B964" i="8" s="1"/>
  <c r="C964" i="5"/>
  <c r="D964" i="8" s="1"/>
  <c r="D964" i="5" a="1"/>
  <c r="D964" i="5" s="1"/>
  <c r="B965" i="5"/>
  <c r="B965" i="8" s="1"/>
  <c r="C965" i="5"/>
  <c r="D965" i="8" s="1"/>
  <c r="D965" i="5" a="1"/>
  <c r="D965" i="5" s="1"/>
  <c r="B966" i="5"/>
  <c r="B966" i="8" s="1"/>
  <c r="C966" i="5"/>
  <c r="D966" i="8" s="1"/>
  <c r="D966" i="5" a="1"/>
  <c r="D966" i="5" s="1"/>
  <c r="B967" i="5"/>
  <c r="B967" i="8" s="1"/>
  <c r="C967" i="5"/>
  <c r="D967" i="8" s="1"/>
  <c r="D967" i="5" a="1"/>
  <c r="D967" i="5" s="1"/>
  <c r="B968" i="5"/>
  <c r="B968" i="8" s="1"/>
  <c r="C968" i="5"/>
  <c r="D968" i="8" s="1"/>
  <c r="D968" i="5" a="1"/>
  <c r="D968" i="5" s="1"/>
  <c r="B969" i="5"/>
  <c r="B969" i="8" s="1"/>
  <c r="C969" i="5"/>
  <c r="D969" i="8" s="1"/>
  <c r="D969" i="5" a="1"/>
  <c r="D969" i="5" s="1"/>
  <c r="B970" i="5"/>
  <c r="B970" i="8" s="1"/>
  <c r="C970" i="5"/>
  <c r="D970" i="8" s="1"/>
  <c r="D970" i="5" a="1"/>
  <c r="D970" i="5" s="1"/>
  <c r="B971" i="5"/>
  <c r="B971" i="8" s="1"/>
  <c r="C971" i="5"/>
  <c r="D971" i="8" s="1"/>
  <c r="D971" i="5" a="1"/>
  <c r="D971" i="5" s="1"/>
  <c r="B972" i="5"/>
  <c r="B972" i="8" s="1"/>
  <c r="C972" i="5"/>
  <c r="D972" i="8" s="1"/>
  <c r="D972" i="5" a="1"/>
  <c r="D972" i="5" s="1"/>
  <c r="B973" i="5"/>
  <c r="B973" i="8" s="1"/>
  <c r="C973" i="5"/>
  <c r="D973" i="8" s="1"/>
  <c r="D973" i="5" a="1"/>
  <c r="D973" i="5" s="1"/>
  <c r="B974" i="5"/>
  <c r="B974" i="8" s="1"/>
  <c r="C974" i="5"/>
  <c r="D974" i="8" s="1"/>
  <c r="D974" i="5" a="1"/>
  <c r="D974" i="5" s="1"/>
  <c r="B975" i="5"/>
  <c r="B975" i="8" s="1"/>
  <c r="C975" i="5"/>
  <c r="D975" i="8" s="1"/>
  <c r="D975" i="5" a="1"/>
  <c r="D975" i="5" s="1"/>
  <c r="B976" i="5"/>
  <c r="B976" i="8" s="1"/>
  <c r="C976" i="5"/>
  <c r="D976" i="8" s="1"/>
  <c r="D976" i="5" a="1"/>
  <c r="D976" i="5" s="1"/>
  <c r="B977" i="5"/>
  <c r="B977" i="8" s="1"/>
  <c r="C977" i="5"/>
  <c r="D977" i="8" s="1"/>
  <c r="D977" i="5" a="1"/>
  <c r="D977" i="5" s="1"/>
  <c r="B978" i="5"/>
  <c r="B978" i="8" s="1"/>
  <c r="C978" i="5"/>
  <c r="D978" i="8" s="1"/>
  <c r="D978" i="5" a="1"/>
  <c r="D978" i="5" s="1"/>
  <c r="B979" i="5"/>
  <c r="B979" i="8" s="1"/>
  <c r="C979" i="5"/>
  <c r="D979" i="8" s="1"/>
  <c r="D979" i="5" a="1"/>
  <c r="D979" i="5" s="1"/>
  <c r="B980" i="5"/>
  <c r="B980" i="8" s="1"/>
  <c r="C980" i="5"/>
  <c r="D980" i="8" s="1"/>
  <c r="D980" i="5" a="1"/>
  <c r="D980" i="5" s="1"/>
  <c r="B981" i="5"/>
  <c r="B981" i="8" s="1"/>
  <c r="C981" i="5"/>
  <c r="D981" i="8" s="1"/>
  <c r="D981" i="5" a="1"/>
  <c r="D981" i="5" s="1"/>
  <c r="B982" i="5"/>
  <c r="B982" i="8" s="1"/>
  <c r="C982" i="5"/>
  <c r="D982" i="8" s="1"/>
  <c r="D982" i="5" a="1"/>
  <c r="D982" i="5" s="1"/>
  <c r="B983" i="5"/>
  <c r="B983" i="8" s="1"/>
  <c r="C983" i="5"/>
  <c r="D983" i="8" s="1"/>
  <c r="D983" i="5" a="1"/>
  <c r="D983" i="5" s="1"/>
  <c r="B984" i="5"/>
  <c r="B984" i="8" s="1"/>
  <c r="C984" i="5"/>
  <c r="D984" i="8" s="1"/>
  <c r="D984" i="5" a="1"/>
  <c r="D984" i="5" s="1"/>
  <c r="B985" i="5"/>
  <c r="B985" i="8" s="1"/>
  <c r="C985" i="5"/>
  <c r="D985" i="8" s="1"/>
  <c r="D985" i="5" a="1"/>
  <c r="D985" i="5" s="1"/>
  <c r="B986" i="5"/>
  <c r="B986" i="8" s="1"/>
  <c r="C986" i="5"/>
  <c r="D986" i="8" s="1"/>
  <c r="D986" i="5" a="1"/>
  <c r="D986" i="5" s="1"/>
  <c r="B987" i="5"/>
  <c r="B987" i="8" s="1"/>
  <c r="C987" i="5"/>
  <c r="D987" i="8" s="1"/>
  <c r="D987" i="5" a="1"/>
  <c r="D987" i="5" s="1"/>
  <c r="B988" i="5"/>
  <c r="B988" i="8" s="1"/>
  <c r="C988" i="5"/>
  <c r="D988" i="8" s="1"/>
  <c r="D988" i="5" a="1"/>
  <c r="D988" i="5" s="1"/>
  <c r="B989" i="5"/>
  <c r="B989" i="8" s="1"/>
  <c r="C989" i="5"/>
  <c r="D989" i="8" s="1"/>
  <c r="D989" i="5" a="1"/>
  <c r="D989" i="5" s="1"/>
  <c r="B990" i="5"/>
  <c r="B990" i="8" s="1"/>
  <c r="C990" i="5"/>
  <c r="D990" i="8" s="1"/>
  <c r="D990" i="5" a="1"/>
  <c r="D990" i="5" s="1"/>
  <c r="B991" i="5"/>
  <c r="B991" i="8" s="1"/>
  <c r="C991" i="5"/>
  <c r="D991" i="8" s="1"/>
  <c r="D991" i="5" a="1"/>
  <c r="D991" i="5" s="1"/>
  <c r="B992" i="5"/>
  <c r="B992" i="8" s="1"/>
  <c r="C992" i="5"/>
  <c r="D992" i="8" s="1"/>
  <c r="D992" i="5" a="1"/>
  <c r="D992" i="5" s="1"/>
  <c r="B993" i="5"/>
  <c r="B993" i="8" s="1"/>
  <c r="C993" i="5"/>
  <c r="D993" i="8" s="1"/>
  <c r="D993" i="5" a="1"/>
  <c r="D993" i="5" s="1"/>
  <c r="B994" i="5"/>
  <c r="B994" i="8" s="1"/>
  <c r="C994" i="5"/>
  <c r="D994" i="8" s="1"/>
  <c r="D994" i="5" a="1"/>
  <c r="D994" i="5" s="1"/>
  <c r="B995" i="5"/>
  <c r="B995" i="8" s="1"/>
  <c r="C995" i="5"/>
  <c r="D995" i="8" s="1"/>
  <c r="D995" i="5" a="1"/>
  <c r="D995" i="5" s="1"/>
  <c r="B996" i="5"/>
  <c r="B996" i="8" s="1"/>
  <c r="C996" i="5"/>
  <c r="D996" i="8" s="1"/>
  <c r="D996" i="5" a="1"/>
  <c r="D996" i="5" s="1"/>
  <c r="B997" i="5"/>
  <c r="B997" i="8" s="1"/>
  <c r="C997" i="5"/>
  <c r="D997" i="8" s="1"/>
  <c r="D997" i="5" a="1"/>
  <c r="D997" i="5" s="1"/>
  <c r="B998" i="5"/>
  <c r="B998" i="8" s="1"/>
  <c r="C998" i="5"/>
  <c r="D998" i="8" s="1"/>
  <c r="D998" i="5" a="1"/>
  <c r="D998" i="5" s="1"/>
  <c r="B999" i="5"/>
  <c r="B999" i="8" s="1"/>
  <c r="C999" i="5"/>
  <c r="D999" i="8" s="1"/>
  <c r="D999" i="5" a="1"/>
  <c r="D999" i="5" s="1"/>
  <c r="B1000" i="5"/>
  <c r="B1000" i="8" s="1"/>
  <c r="C1000" i="5"/>
  <c r="D1000" i="8" s="1"/>
  <c r="D1000" i="5" a="1"/>
  <c r="D1000" i="5" s="1"/>
  <c r="B1001" i="5"/>
  <c r="B1001" i="8" s="1"/>
  <c r="C1001" i="5"/>
  <c r="D1001" i="8" s="1"/>
  <c r="D1001" i="5" a="1"/>
  <c r="D1001" i="5" s="1"/>
  <c r="B1002" i="5"/>
  <c r="B1002" i="8" s="1"/>
  <c r="C1002" i="5"/>
  <c r="D1002" i="8" s="1"/>
  <c r="D1002" i="5" a="1"/>
  <c r="D1002" i="5" s="1"/>
  <c r="B1003" i="5"/>
  <c r="B1003" i="8" s="1"/>
  <c r="C1003" i="5"/>
  <c r="D1003" i="8" s="1"/>
  <c r="D1003" i="5" a="1"/>
  <c r="D1003" i="5" s="1"/>
  <c r="B1004" i="5"/>
  <c r="B1004" i="8" s="1"/>
  <c r="C1004" i="5"/>
  <c r="D1004" i="8" s="1"/>
  <c r="D1004" i="5" a="1"/>
  <c r="D1004" i="5" s="1"/>
  <c r="B1005" i="5"/>
  <c r="B1005" i="8" s="1"/>
  <c r="C1005" i="5"/>
  <c r="D1005" i="8" s="1"/>
  <c r="D1005" i="5" a="1"/>
  <c r="D1005" i="5" s="1"/>
  <c r="B1006" i="5"/>
  <c r="B1006" i="8" s="1"/>
  <c r="C1006" i="5"/>
  <c r="D1006" i="8" s="1"/>
  <c r="D1006" i="5" a="1"/>
  <c r="D1006" i="5" s="1"/>
  <c r="B1007" i="5"/>
  <c r="B1007" i="8" s="1"/>
  <c r="C1007" i="5"/>
  <c r="D1007" i="8" s="1"/>
  <c r="D1007" i="5" a="1"/>
  <c r="D1007" i="5" s="1"/>
  <c r="B1008" i="5"/>
  <c r="B1008" i="8" s="1"/>
  <c r="C1008" i="5"/>
  <c r="D1008" i="8" s="1"/>
  <c r="D1008" i="5" a="1"/>
  <c r="D1008" i="5" s="1"/>
  <c r="B1009" i="5"/>
  <c r="B1009" i="8" s="1"/>
  <c r="C1009" i="5"/>
  <c r="D1009" i="8" s="1"/>
  <c r="D1009" i="5" a="1"/>
  <c r="D1009" i="5" s="1"/>
  <c r="B1010" i="5"/>
  <c r="B1010" i="8" s="1"/>
  <c r="C1010" i="5"/>
  <c r="D1010" i="8" s="1"/>
  <c r="D1010" i="5" a="1"/>
  <c r="D1010" i="5" s="1"/>
  <c r="B1011" i="5"/>
  <c r="B1011" i="8" s="1"/>
  <c r="C1011" i="5"/>
  <c r="D1011" i="8" s="1"/>
  <c r="D1011" i="5" a="1"/>
  <c r="D1011" i="5" s="1"/>
  <c r="B1012" i="5"/>
  <c r="B1012" i="8" s="1"/>
  <c r="C1012" i="5"/>
  <c r="D1012" i="8" s="1"/>
  <c r="D1012" i="5" a="1"/>
  <c r="D1012" i="5" s="1"/>
  <c r="B1013" i="5"/>
  <c r="B1013" i="8" s="1"/>
  <c r="C1013" i="5"/>
  <c r="D1013" i="8" s="1"/>
  <c r="D1013" i="5" a="1"/>
  <c r="D1013" i="5" s="1"/>
  <c r="B1014" i="5"/>
  <c r="B1014" i="8" s="1"/>
  <c r="C1014" i="5"/>
  <c r="D1014" i="8" s="1"/>
  <c r="D1014" i="5" a="1"/>
  <c r="D1014" i="5" s="1"/>
  <c r="D4" i="5" a="1"/>
  <c r="D4" i="5" s="1"/>
  <c r="U4" i="5"/>
  <c r="T4" i="5"/>
  <c r="S4" i="5"/>
  <c r="R4" i="5"/>
  <c r="Q4" i="5"/>
  <c r="P4" i="5"/>
  <c r="O4" i="5"/>
  <c r="J4" i="5"/>
  <c r="C4" i="5"/>
  <c r="B4" i="5"/>
  <c r="H1062" i="8" a="1"/>
  <c r="J1045" i="8" a="1"/>
  <c r="J1036" i="8" a="1"/>
  <c r="H1036" i="8" a="1"/>
  <c r="J1040" i="8" a="1"/>
  <c r="J1034" i="8" a="1"/>
  <c r="J1028" i="8" a="1"/>
  <c r="H1040" i="8" a="1"/>
  <c r="H1034" i="8" a="1"/>
  <c r="H1028" i="8" a="1"/>
  <c r="J1032" i="8" a="1"/>
  <c r="K1025" i="8" a="1"/>
  <c r="H1062" i="8" l="1"/>
  <c r="I1062" i="8" s="1"/>
  <c r="J1045" i="8"/>
  <c r="J1032" i="8"/>
  <c r="H1028" i="8"/>
  <c r="I1028" i="8" s="1"/>
  <c r="H1034" i="8"/>
  <c r="I1034" i="8" s="1"/>
  <c r="H1040" i="8"/>
  <c r="I1040" i="8" s="1"/>
  <c r="J1028" i="8"/>
  <c r="J1034" i="8"/>
  <c r="J1040" i="8"/>
  <c r="H1036" i="8"/>
  <c r="I1036" i="8" s="1"/>
  <c r="J1036" i="8"/>
  <c r="K1025" i="8"/>
  <c r="L1025" i="8" s="1"/>
  <c r="M1025" i="8" s="1" a="1"/>
  <c r="M1025" i="8" s="1"/>
  <c r="L890" i="8"/>
  <c r="I890" i="8"/>
  <c r="L909" i="8"/>
  <c r="I909" i="8"/>
  <c r="L885" i="8"/>
  <c r="I885" i="8"/>
  <c r="L869" i="8"/>
  <c r="I869" i="8"/>
  <c r="L777" i="8"/>
  <c r="I777" i="8"/>
  <c r="L725" i="8"/>
  <c r="I725" i="8"/>
  <c r="L717" i="8"/>
  <c r="I717" i="8"/>
  <c r="L713" i="8"/>
  <c r="I713" i="8"/>
  <c r="L561" i="8"/>
  <c r="I561" i="8"/>
  <c r="L477" i="8"/>
  <c r="I477" i="8"/>
  <c r="L413" i="8"/>
  <c r="I413" i="8"/>
  <c r="L385" i="8"/>
  <c r="I385" i="8"/>
  <c r="L361" i="8"/>
  <c r="I361" i="8"/>
  <c r="L313" i="8"/>
  <c r="I313" i="8"/>
  <c r="L1012" i="8"/>
  <c r="I1012" i="8"/>
  <c r="L996" i="8"/>
  <c r="I996" i="8"/>
  <c r="L764" i="8"/>
  <c r="I764" i="8"/>
  <c r="L660" i="8"/>
  <c r="I660" i="8"/>
  <c r="L636" i="8"/>
  <c r="I636" i="8"/>
  <c r="L632" i="8"/>
  <c r="I632" i="8"/>
  <c r="L620" i="8"/>
  <c r="I620" i="8"/>
  <c r="L556" i="8"/>
  <c r="I556" i="8"/>
  <c r="L500" i="8"/>
  <c r="I500" i="8"/>
  <c r="L424" i="8"/>
  <c r="I424" i="8"/>
  <c r="L384" i="8"/>
  <c r="I384" i="8"/>
  <c r="L956" i="8"/>
  <c r="I956" i="8"/>
  <c r="L987" i="8"/>
  <c r="I987" i="8"/>
  <c r="L851" i="8"/>
  <c r="I851" i="8"/>
  <c r="L779" i="8"/>
  <c r="I779" i="8"/>
  <c r="L775" i="8"/>
  <c r="I775" i="8"/>
  <c r="L723" i="8"/>
  <c r="I723" i="8"/>
  <c r="L719" i="8"/>
  <c r="I719" i="8"/>
  <c r="L715" i="8"/>
  <c r="I715" i="8"/>
  <c r="L711" i="8"/>
  <c r="I711" i="8"/>
  <c r="L671" i="8"/>
  <c r="I671" i="8"/>
  <c r="L627" i="8"/>
  <c r="I627" i="8"/>
  <c r="L619" i="8"/>
  <c r="I619" i="8"/>
  <c r="L519" i="8"/>
  <c r="I519" i="8"/>
  <c r="L503" i="8"/>
  <c r="I503" i="8"/>
  <c r="L419" i="8"/>
  <c r="I419" i="8"/>
  <c r="L403" i="8"/>
  <c r="I403" i="8"/>
  <c r="L1015" i="8"/>
  <c r="I1015" i="8"/>
  <c r="L924" i="8"/>
  <c r="I924" i="8"/>
  <c r="L838" i="8"/>
  <c r="I838" i="8"/>
  <c r="L822" i="8"/>
  <c r="I822" i="8"/>
  <c r="L778" i="8"/>
  <c r="I778" i="8"/>
  <c r="L774" i="8"/>
  <c r="I774" i="8"/>
  <c r="L718" i="8"/>
  <c r="I718" i="8"/>
  <c r="L694" i="8"/>
  <c r="I694" i="8"/>
  <c r="L518" i="8"/>
  <c r="I518" i="8"/>
  <c r="L450" i="8"/>
  <c r="I450" i="8"/>
  <c r="L1018" i="8"/>
  <c r="I1018" i="8"/>
  <c r="C1004" i="8"/>
  <c r="V1004" i="5"/>
  <c r="H1004" i="5"/>
  <c r="C1000" i="8"/>
  <c r="V1000" i="5"/>
  <c r="H1000" i="5"/>
  <c r="E1000" i="5" s="1"/>
  <c r="F1000" i="5" s="1"/>
  <c r="C992" i="8"/>
  <c r="V992" i="5"/>
  <c r="H992" i="5"/>
  <c r="E992" i="5" s="1"/>
  <c r="C984" i="8"/>
  <c r="V984" i="5"/>
  <c r="H984" i="5"/>
  <c r="C980" i="8"/>
  <c r="V980" i="5"/>
  <c r="H980" i="5"/>
  <c r="E980" i="5" s="1"/>
  <c r="C976" i="8"/>
  <c r="V976" i="5"/>
  <c r="H976" i="5"/>
  <c r="E976" i="5" s="1"/>
  <c r="F976" i="5" s="1"/>
  <c r="C968" i="8"/>
  <c r="V968" i="5"/>
  <c r="H968" i="5"/>
  <c r="E968" i="5" s="1"/>
  <c r="F968" i="5" s="1"/>
  <c r="C964" i="8"/>
  <c r="V964" i="5"/>
  <c r="H964" i="5"/>
  <c r="C960" i="8"/>
  <c r="V960" i="5"/>
  <c r="H960" i="5"/>
  <c r="E960" i="5" s="1"/>
  <c r="F960" i="5" s="1"/>
  <c r="C956" i="8"/>
  <c r="V956" i="5"/>
  <c r="H956" i="5"/>
  <c r="E956" i="5" s="1"/>
  <c r="C952" i="8"/>
  <c r="V952" i="5"/>
  <c r="H952" i="5"/>
  <c r="E952" i="5" s="1"/>
  <c r="F952" i="5" s="1"/>
  <c r="C948" i="8"/>
  <c r="V948" i="5"/>
  <c r="H948" i="5"/>
  <c r="C944" i="8"/>
  <c r="V944" i="5"/>
  <c r="H944" i="5"/>
  <c r="E944" i="5" s="1"/>
  <c r="C940" i="8"/>
  <c r="V940" i="5"/>
  <c r="H940" i="5"/>
  <c r="E940" i="5" s="1"/>
  <c r="F940" i="5" s="1"/>
  <c r="C936" i="8"/>
  <c r="V936" i="5"/>
  <c r="H936" i="5"/>
  <c r="E936" i="5" s="1"/>
  <c r="C932" i="8"/>
  <c r="V932" i="5"/>
  <c r="H932" i="5"/>
  <c r="C928" i="8"/>
  <c r="V928" i="5"/>
  <c r="H928" i="5"/>
  <c r="E928" i="5" s="1"/>
  <c r="F928" i="5" s="1"/>
  <c r="C924" i="8"/>
  <c r="V924" i="5"/>
  <c r="H924" i="5"/>
  <c r="E924" i="5" s="1"/>
  <c r="F924" i="5" s="1"/>
  <c r="C920" i="8"/>
  <c r="V920" i="5"/>
  <c r="H920" i="5"/>
  <c r="E920" i="5" s="1"/>
  <c r="C916" i="8"/>
  <c r="V916" i="5"/>
  <c r="H916" i="5"/>
  <c r="C912" i="8"/>
  <c r="V912" i="5"/>
  <c r="H912" i="5"/>
  <c r="E912" i="5" s="1"/>
  <c r="C908" i="8"/>
  <c r="V908" i="5"/>
  <c r="H908" i="5"/>
  <c r="E908" i="5" s="1"/>
  <c r="C904" i="8"/>
  <c r="V904" i="5"/>
  <c r="H904" i="5"/>
  <c r="E904" i="5" s="1"/>
  <c r="F904" i="5" s="1"/>
  <c r="C900" i="8"/>
  <c r="V900" i="5"/>
  <c r="H900" i="5"/>
  <c r="C896" i="8"/>
  <c r="V896" i="5"/>
  <c r="H896" i="5"/>
  <c r="E896" i="5" s="1"/>
  <c r="F896" i="5" s="1"/>
  <c r="C892" i="8"/>
  <c r="V892" i="5"/>
  <c r="H892" i="5"/>
  <c r="E892" i="5" s="1"/>
  <c r="F892" i="5" s="1"/>
  <c r="C888" i="8"/>
  <c r="V888" i="5"/>
  <c r="H888" i="5"/>
  <c r="E888" i="5" s="1"/>
  <c r="F888" i="5" s="1"/>
  <c r="C884" i="8"/>
  <c r="V884" i="5"/>
  <c r="H884" i="5"/>
  <c r="C880" i="8"/>
  <c r="V880" i="5"/>
  <c r="H880" i="5"/>
  <c r="E880" i="5" s="1"/>
  <c r="F880" i="5" s="1"/>
  <c r="C876" i="8"/>
  <c r="V876" i="5"/>
  <c r="H876" i="5"/>
  <c r="E876" i="5" s="1"/>
  <c r="C872" i="8"/>
  <c r="V872" i="5"/>
  <c r="H872" i="5"/>
  <c r="E872" i="5" s="1"/>
  <c r="C868" i="8"/>
  <c r="V868" i="5"/>
  <c r="H868" i="5"/>
  <c r="C864" i="8"/>
  <c r="V864" i="5"/>
  <c r="H864" i="5"/>
  <c r="E864" i="5" s="1"/>
  <c r="C860" i="8"/>
  <c r="V860" i="5"/>
  <c r="H860" i="5"/>
  <c r="E860" i="5" s="1"/>
  <c r="C856" i="8"/>
  <c r="V856" i="5"/>
  <c r="H856" i="5"/>
  <c r="E856" i="5" s="1"/>
  <c r="F856" i="5" s="1"/>
  <c r="C852" i="8"/>
  <c r="V852" i="5"/>
  <c r="H852" i="5"/>
  <c r="C848" i="8"/>
  <c r="V848" i="5"/>
  <c r="H848" i="5"/>
  <c r="E848" i="5" s="1"/>
  <c r="C844" i="8"/>
  <c r="V844" i="5"/>
  <c r="H844" i="5"/>
  <c r="E844" i="5" s="1"/>
  <c r="C840" i="8"/>
  <c r="V840" i="5"/>
  <c r="H840" i="5"/>
  <c r="E840" i="5" s="1"/>
  <c r="C836" i="8"/>
  <c r="V836" i="5"/>
  <c r="H836" i="5"/>
  <c r="C832" i="8"/>
  <c r="V832" i="5"/>
  <c r="H832" i="5"/>
  <c r="E832" i="5" s="1"/>
  <c r="F832" i="5" s="1"/>
  <c r="C828" i="8"/>
  <c r="V828" i="5"/>
  <c r="H828" i="5"/>
  <c r="E828" i="5" s="1"/>
  <c r="C824" i="8"/>
  <c r="V824" i="5"/>
  <c r="H824" i="5"/>
  <c r="E824" i="5" s="1"/>
  <c r="C820" i="8"/>
  <c r="V820" i="5"/>
  <c r="H820" i="5"/>
  <c r="C816" i="8"/>
  <c r="V816" i="5"/>
  <c r="H816" i="5"/>
  <c r="E816" i="5" s="1"/>
  <c r="F816" i="5" s="1"/>
  <c r="C812" i="8"/>
  <c r="V812" i="5"/>
  <c r="H812" i="5"/>
  <c r="E812" i="5" s="1"/>
  <c r="F812" i="5" s="1"/>
  <c r="C808" i="8"/>
  <c r="V808" i="5"/>
  <c r="H808" i="5"/>
  <c r="E808" i="5" s="1"/>
  <c r="F808" i="5" s="1"/>
  <c r="C804" i="8"/>
  <c r="V804" i="5"/>
  <c r="H804" i="5"/>
  <c r="C800" i="8"/>
  <c r="V800" i="5"/>
  <c r="H800" i="5"/>
  <c r="E800" i="5" s="1"/>
  <c r="C796" i="8"/>
  <c r="V796" i="5"/>
  <c r="H796" i="5"/>
  <c r="E796" i="5" s="1"/>
  <c r="F796" i="5" s="1"/>
  <c r="C792" i="8"/>
  <c r="V792" i="5"/>
  <c r="H792" i="5"/>
  <c r="E792" i="5" s="1"/>
  <c r="V788" i="5"/>
  <c r="H788" i="5"/>
  <c r="E788" i="5" s="1"/>
  <c r="F788" i="5" s="1"/>
  <c r="C784" i="8"/>
  <c r="V784" i="5"/>
  <c r="H784" i="5"/>
  <c r="C780" i="8"/>
  <c r="V780" i="5"/>
  <c r="H780" i="5"/>
  <c r="C776" i="8"/>
  <c r="V776" i="5"/>
  <c r="H776" i="5"/>
  <c r="C772" i="8"/>
  <c r="V772" i="5"/>
  <c r="H772" i="5"/>
  <c r="E772" i="5" s="1"/>
  <c r="C768" i="8"/>
  <c r="H768" i="5"/>
  <c r="E768" i="5" s="1"/>
  <c r="F768" i="5" s="1"/>
  <c r="V768" i="5"/>
  <c r="C764" i="8"/>
  <c r="H764" i="5"/>
  <c r="E764" i="5" s="1"/>
  <c r="V764" i="5"/>
  <c r="C760" i="8"/>
  <c r="V760" i="5"/>
  <c r="H760" i="5"/>
  <c r="C756" i="8"/>
  <c r="H756" i="5"/>
  <c r="V756" i="5"/>
  <c r="C752" i="8"/>
  <c r="H752" i="5"/>
  <c r="E752" i="5" s="1"/>
  <c r="V752" i="5"/>
  <c r="C748" i="8"/>
  <c r="V748" i="5"/>
  <c r="H748" i="5"/>
  <c r="C744" i="8"/>
  <c r="H744" i="5"/>
  <c r="V744" i="5"/>
  <c r="C740" i="8"/>
  <c r="H740" i="5"/>
  <c r="V740" i="5"/>
  <c r="C736" i="8"/>
  <c r="V736" i="5"/>
  <c r="H736" i="5"/>
  <c r="C732" i="8"/>
  <c r="H732" i="5"/>
  <c r="E732" i="5" s="1"/>
  <c r="V732" i="5"/>
  <c r="C728" i="8"/>
  <c r="H728" i="5"/>
  <c r="V728" i="5"/>
  <c r="C724" i="8"/>
  <c r="V724" i="5"/>
  <c r="H724" i="5"/>
  <c r="E724" i="5" s="1"/>
  <c r="F724" i="5" s="1"/>
  <c r="E724" i="8" s="1"/>
  <c r="C720" i="8"/>
  <c r="H720" i="5"/>
  <c r="E720" i="5" s="1"/>
  <c r="V720" i="5"/>
  <c r="C716" i="8"/>
  <c r="H716" i="5"/>
  <c r="E716" i="5" s="1"/>
  <c r="V716" i="5"/>
  <c r="C712" i="8"/>
  <c r="V712" i="5"/>
  <c r="H712" i="5"/>
  <c r="C708" i="8"/>
  <c r="H708" i="5"/>
  <c r="V708" i="5"/>
  <c r="C704" i="8"/>
  <c r="H704" i="5"/>
  <c r="E704" i="5" s="1"/>
  <c r="V704" i="5"/>
  <c r="C700" i="8"/>
  <c r="V700" i="5"/>
  <c r="H700" i="5"/>
  <c r="C696" i="8"/>
  <c r="H696" i="5"/>
  <c r="V696" i="5"/>
  <c r="C692" i="8"/>
  <c r="H692" i="5"/>
  <c r="V692" i="5"/>
  <c r="C688" i="8"/>
  <c r="V688" i="5"/>
  <c r="H688" i="5"/>
  <c r="C684" i="8"/>
  <c r="H684" i="5"/>
  <c r="E684" i="5" s="1"/>
  <c r="V684" i="5"/>
  <c r="C680" i="8"/>
  <c r="H680" i="5"/>
  <c r="V680" i="5"/>
  <c r="C1012" i="8"/>
  <c r="V1012" i="5"/>
  <c r="H1012" i="5"/>
  <c r="E1012" i="5" s="1"/>
  <c r="C996" i="8"/>
  <c r="V996" i="5"/>
  <c r="H996" i="5"/>
  <c r="C988" i="8"/>
  <c r="V988" i="5"/>
  <c r="H988" i="5"/>
  <c r="C972" i="8"/>
  <c r="V972" i="5"/>
  <c r="H972" i="5"/>
  <c r="C1008" i="8"/>
  <c r="V1008" i="5"/>
  <c r="H1008" i="5"/>
  <c r="E1008" i="5" s="1"/>
  <c r="F1008" i="5" s="1"/>
  <c r="E1008" i="8" s="1"/>
  <c r="C1011" i="8"/>
  <c r="V1011" i="5"/>
  <c r="H1011" i="5"/>
  <c r="C1007" i="8"/>
  <c r="H1007" i="5"/>
  <c r="E1007" i="5" s="1"/>
  <c r="V1007" i="5"/>
  <c r="C1003" i="8"/>
  <c r="V1003" i="5"/>
  <c r="H1003" i="5"/>
  <c r="C999" i="8"/>
  <c r="V999" i="5"/>
  <c r="H999" i="5"/>
  <c r="E999" i="5" s="1"/>
  <c r="F999" i="5" s="1"/>
  <c r="E999" i="8" s="1"/>
  <c r="C995" i="8"/>
  <c r="H995" i="5"/>
  <c r="V995" i="5"/>
  <c r="C991" i="8"/>
  <c r="V991" i="5"/>
  <c r="H991" i="5"/>
  <c r="C987" i="8"/>
  <c r="V987" i="5"/>
  <c r="H987" i="5"/>
  <c r="E987" i="5" s="1"/>
  <c r="F987" i="5" s="1"/>
  <c r="C983" i="8"/>
  <c r="H983" i="5"/>
  <c r="V983" i="5"/>
  <c r="C979" i="8"/>
  <c r="V979" i="5"/>
  <c r="H979" i="5"/>
  <c r="C975" i="8"/>
  <c r="V975" i="5"/>
  <c r="H975" i="5"/>
  <c r="C971" i="8"/>
  <c r="V971" i="5"/>
  <c r="H971" i="5"/>
  <c r="E971" i="5" s="1"/>
  <c r="C967" i="8"/>
  <c r="V967" i="5"/>
  <c r="H967" i="5"/>
  <c r="E967" i="5" s="1"/>
  <c r="F967" i="5" s="1"/>
  <c r="E967" i="8" s="1"/>
  <c r="C963" i="8"/>
  <c r="V963" i="5"/>
  <c r="H963" i="5"/>
  <c r="C959" i="8"/>
  <c r="H959" i="5"/>
  <c r="E959" i="5" s="1"/>
  <c r="F959" i="5" s="1"/>
  <c r="V959" i="5"/>
  <c r="C955" i="8"/>
  <c r="V955" i="5"/>
  <c r="H955" i="5"/>
  <c r="E955" i="5" s="1"/>
  <c r="F955" i="5" s="1"/>
  <c r="C951" i="8"/>
  <c r="V951" i="5"/>
  <c r="H951" i="5"/>
  <c r="E951" i="5" s="1"/>
  <c r="C947" i="8"/>
  <c r="H947" i="5"/>
  <c r="E947" i="5" s="1"/>
  <c r="V947" i="5"/>
  <c r="C943" i="8"/>
  <c r="V943" i="5"/>
  <c r="H943" i="5"/>
  <c r="C939" i="8"/>
  <c r="V939" i="5"/>
  <c r="H939" i="5"/>
  <c r="E939" i="5" s="1"/>
  <c r="C935" i="8"/>
  <c r="V935" i="5"/>
  <c r="H935" i="5"/>
  <c r="E935" i="5" s="1"/>
  <c r="F935" i="5" s="1"/>
  <c r="E935" i="8" s="1"/>
  <c r="C931" i="8"/>
  <c r="V931" i="5"/>
  <c r="H931" i="5"/>
  <c r="C927" i="8"/>
  <c r="V927" i="5"/>
  <c r="H927" i="5"/>
  <c r="C923" i="8"/>
  <c r="H923" i="5"/>
  <c r="V923" i="5"/>
  <c r="C919" i="8"/>
  <c r="V919" i="5"/>
  <c r="H919" i="5"/>
  <c r="E919" i="5" s="1"/>
  <c r="C915" i="8"/>
  <c r="V915" i="5"/>
  <c r="H915" i="5"/>
  <c r="C911" i="8"/>
  <c r="H911" i="5"/>
  <c r="E911" i="5" s="1"/>
  <c r="V911" i="5"/>
  <c r="C907" i="8"/>
  <c r="V907" i="5"/>
  <c r="H907" i="5"/>
  <c r="E907" i="5" s="1"/>
  <c r="F907" i="5" s="1"/>
  <c r="C903" i="8"/>
  <c r="V903" i="5"/>
  <c r="H903" i="5"/>
  <c r="E903" i="5" s="1"/>
  <c r="F903" i="5" s="1"/>
  <c r="E903" i="8" s="1"/>
  <c r="C899" i="8"/>
  <c r="H899" i="5"/>
  <c r="E899" i="5" s="1"/>
  <c r="V899" i="5"/>
  <c r="C895" i="8"/>
  <c r="V895" i="5"/>
  <c r="H895" i="5"/>
  <c r="C891" i="8"/>
  <c r="V891" i="5"/>
  <c r="H891" i="5"/>
  <c r="E891" i="5" s="1"/>
  <c r="C887" i="8"/>
  <c r="H887" i="5"/>
  <c r="V887" i="5"/>
  <c r="C883" i="8"/>
  <c r="V883" i="5"/>
  <c r="H883" i="5"/>
  <c r="C879" i="8"/>
  <c r="V879" i="5"/>
  <c r="H879" i="5"/>
  <c r="C875" i="8"/>
  <c r="H875" i="5"/>
  <c r="V875" i="5"/>
  <c r="V871" i="5"/>
  <c r="H871" i="5"/>
  <c r="C867" i="8"/>
  <c r="V867" i="5"/>
  <c r="H867" i="5"/>
  <c r="C863" i="8"/>
  <c r="H863" i="5"/>
  <c r="E863" i="5" s="1"/>
  <c r="V863" i="5"/>
  <c r="C859" i="8"/>
  <c r="V859" i="5"/>
  <c r="H859" i="5"/>
  <c r="C855" i="8"/>
  <c r="V855" i="5"/>
  <c r="H855" i="5"/>
  <c r="C851" i="8"/>
  <c r="H851" i="5"/>
  <c r="V851" i="5"/>
  <c r="C847" i="8"/>
  <c r="V847" i="5"/>
  <c r="H847" i="5"/>
  <c r="C843" i="8"/>
  <c r="V843" i="5"/>
  <c r="H843" i="5"/>
  <c r="C839" i="8"/>
  <c r="H839" i="5"/>
  <c r="E839" i="5" s="1"/>
  <c r="V839" i="5"/>
  <c r="C835" i="8"/>
  <c r="V835" i="5"/>
  <c r="H835" i="5"/>
  <c r="C831" i="8"/>
  <c r="V831" i="5"/>
  <c r="H831" i="5"/>
  <c r="C827" i="8"/>
  <c r="H827" i="5"/>
  <c r="E827" i="5" s="1"/>
  <c r="V827" i="5"/>
  <c r="C823" i="8"/>
  <c r="V823" i="5"/>
  <c r="H823" i="5"/>
  <c r="C819" i="8"/>
  <c r="V819" i="5"/>
  <c r="H819" i="5"/>
  <c r="C815" i="8"/>
  <c r="H815" i="5"/>
  <c r="E815" i="5" s="1"/>
  <c r="V815" i="5"/>
  <c r="C811" i="8"/>
  <c r="V811" i="5"/>
  <c r="H811" i="5"/>
  <c r="C807" i="8"/>
  <c r="V807" i="5"/>
  <c r="H807" i="5"/>
  <c r="C803" i="8"/>
  <c r="H803" i="5"/>
  <c r="V803" i="5"/>
  <c r="C799" i="8"/>
  <c r="V799" i="5"/>
  <c r="H799" i="5"/>
  <c r="C795" i="8"/>
  <c r="V795" i="5"/>
  <c r="H795" i="5"/>
  <c r="C791" i="8"/>
  <c r="H791" i="5"/>
  <c r="E791" i="5" s="1"/>
  <c r="V791" i="5"/>
  <c r="C787" i="8"/>
  <c r="V787" i="5"/>
  <c r="H787" i="5"/>
  <c r="C783" i="8"/>
  <c r="V783" i="5"/>
  <c r="H783" i="5"/>
  <c r="C779" i="8"/>
  <c r="H779" i="5"/>
  <c r="E779" i="5" s="1"/>
  <c r="V779" i="5"/>
  <c r="C775" i="8"/>
  <c r="V775" i="5"/>
  <c r="H775" i="5"/>
  <c r="C771" i="8"/>
  <c r="V771" i="5"/>
  <c r="H771" i="5"/>
  <c r="C767" i="8"/>
  <c r="V767" i="5"/>
  <c r="H767" i="5"/>
  <c r="C763" i="8"/>
  <c r="V763" i="5"/>
  <c r="H763" i="5"/>
  <c r="C759" i="8"/>
  <c r="V759" i="5"/>
  <c r="H759" i="5"/>
  <c r="C755" i="8"/>
  <c r="V755" i="5"/>
  <c r="H755" i="5"/>
  <c r="C751" i="8"/>
  <c r="V751" i="5"/>
  <c r="H751" i="5"/>
  <c r="C747" i="8"/>
  <c r="V747" i="5"/>
  <c r="H747" i="5"/>
  <c r="C743" i="8"/>
  <c r="V743" i="5"/>
  <c r="H743" i="5"/>
  <c r="C739" i="8"/>
  <c r="V739" i="5"/>
  <c r="H739" i="5"/>
  <c r="C735" i="8"/>
  <c r="V735" i="5"/>
  <c r="H735" i="5"/>
  <c r="C731" i="8"/>
  <c r="V731" i="5"/>
  <c r="H731" i="5"/>
  <c r="C727" i="8"/>
  <c r="V727" i="5"/>
  <c r="H727" i="5"/>
  <c r="C723" i="8"/>
  <c r="V723" i="5"/>
  <c r="H723" i="5"/>
  <c r="C719" i="8"/>
  <c r="V719" i="5"/>
  <c r="H719" i="5"/>
  <c r="C715" i="8"/>
  <c r="V715" i="5"/>
  <c r="H715" i="5"/>
  <c r="C711" i="8"/>
  <c r="V711" i="5"/>
  <c r="H711" i="5"/>
  <c r="C707" i="8"/>
  <c r="V707" i="5"/>
  <c r="H707" i="5"/>
  <c r="C703" i="8"/>
  <c r="V703" i="5"/>
  <c r="H703" i="5"/>
  <c r="C699" i="8"/>
  <c r="V699" i="5"/>
  <c r="H699" i="5"/>
  <c r="C695" i="8"/>
  <c r="V695" i="5"/>
  <c r="H695" i="5"/>
  <c r="C691" i="8"/>
  <c r="V691" i="5"/>
  <c r="H691" i="5"/>
  <c r="C687" i="8"/>
  <c r="V687" i="5"/>
  <c r="H687" i="5"/>
  <c r="C683" i="8"/>
  <c r="V683" i="5"/>
  <c r="H683" i="5"/>
  <c r="C679" i="8"/>
  <c r="V679" i="5"/>
  <c r="H679" i="5"/>
  <c r="C675" i="8"/>
  <c r="V675" i="5"/>
  <c r="H675" i="5"/>
  <c r="C671" i="8"/>
  <c r="V671" i="5"/>
  <c r="H671" i="5"/>
  <c r="C667" i="8"/>
  <c r="V667" i="5"/>
  <c r="H667" i="5"/>
  <c r="C663" i="8"/>
  <c r="V663" i="5"/>
  <c r="H663" i="5"/>
  <c r="C659" i="8"/>
  <c r="V659" i="5"/>
  <c r="H659" i="5"/>
  <c r="C655" i="8"/>
  <c r="V655" i="5"/>
  <c r="H655" i="5"/>
  <c r="C651" i="8"/>
  <c r="V651" i="5"/>
  <c r="H651" i="5"/>
  <c r="C647" i="8"/>
  <c r="H647" i="5"/>
  <c r="E647" i="5" s="1"/>
  <c r="V647" i="5"/>
  <c r="C643" i="8"/>
  <c r="V643" i="5"/>
  <c r="H643" i="5"/>
  <c r="E643" i="5" s="1"/>
  <c r="C639" i="8"/>
  <c r="V639" i="5"/>
  <c r="H639" i="5"/>
  <c r="C635" i="8"/>
  <c r="H635" i="5"/>
  <c r="E635" i="5" s="1"/>
  <c r="V635" i="5"/>
  <c r="C631" i="8"/>
  <c r="V631" i="5"/>
  <c r="H631" i="5"/>
  <c r="C627" i="8"/>
  <c r="H627" i="5"/>
  <c r="V627" i="5"/>
  <c r="C623" i="8"/>
  <c r="H623" i="5"/>
  <c r="E623" i="5" s="1"/>
  <c r="F623" i="5" s="1"/>
  <c r="V623" i="5"/>
  <c r="C619" i="8"/>
  <c r="V619" i="5"/>
  <c r="H619" i="5"/>
  <c r="C615" i="8"/>
  <c r="H615" i="5"/>
  <c r="E615" i="5" s="1"/>
  <c r="F615" i="5" s="1"/>
  <c r="V615" i="5"/>
  <c r="C1006" i="8"/>
  <c r="V1006" i="5"/>
  <c r="H1006" i="5"/>
  <c r="E1006" i="5" s="1"/>
  <c r="F1006" i="5" s="1"/>
  <c r="C994" i="8"/>
  <c r="V994" i="5"/>
  <c r="H994" i="5"/>
  <c r="C986" i="8"/>
  <c r="V986" i="5"/>
  <c r="H986" i="5"/>
  <c r="C978" i="8"/>
  <c r="V978" i="5"/>
  <c r="H978" i="5"/>
  <c r="C970" i="8"/>
  <c r="V970" i="5"/>
  <c r="H970" i="5"/>
  <c r="E970" i="5" s="1"/>
  <c r="F970" i="5" s="1"/>
  <c r="C966" i="8"/>
  <c r="V966" i="5"/>
  <c r="H966" i="5"/>
  <c r="C958" i="8"/>
  <c r="V958" i="5"/>
  <c r="H958" i="5"/>
  <c r="C954" i="8"/>
  <c r="V954" i="5"/>
  <c r="H954" i="5"/>
  <c r="C950" i="8"/>
  <c r="V950" i="5"/>
  <c r="H950" i="5"/>
  <c r="E950" i="5" s="1"/>
  <c r="F950" i="5" s="1"/>
  <c r="C946" i="8"/>
  <c r="V946" i="5"/>
  <c r="H946" i="5"/>
  <c r="C942" i="8"/>
  <c r="V942" i="5"/>
  <c r="H942" i="5"/>
  <c r="C938" i="8"/>
  <c r="V938" i="5"/>
  <c r="H938" i="5"/>
  <c r="C934" i="8"/>
  <c r="V934" i="5"/>
  <c r="H934" i="5"/>
  <c r="E934" i="5" s="1"/>
  <c r="F934" i="5" s="1"/>
  <c r="C930" i="8"/>
  <c r="V930" i="5"/>
  <c r="H930" i="5"/>
  <c r="C926" i="8"/>
  <c r="V926" i="5"/>
  <c r="H926" i="5"/>
  <c r="C922" i="8"/>
  <c r="V922" i="5"/>
  <c r="H922" i="5"/>
  <c r="C918" i="8"/>
  <c r="V918" i="5"/>
  <c r="H918" i="5"/>
  <c r="E918" i="5" s="1"/>
  <c r="C914" i="8"/>
  <c r="V914" i="5"/>
  <c r="H914" i="5"/>
  <c r="C910" i="8"/>
  <c r="V910" i="5"/>
  <c r="H910" i="5"/>
  <c r="C906" i="8"/>
  <c r="V906" i="5"/>
  <c r="H906" i="5"/>
  <c r="C902" i="8"/>
  <c r="V902" i="5"/>
  <c r="H902" i="5"/>
  <c r="E902" i="5" s="1"/>
  <c r="C898" i="8"/>
  <c r="V898" i="5"/>
  <c r="H898" i="5"/>
  <c r="C894" i="8"/>
  <c r="V894" i="5"/>
  <c r="H894" i="5"/>
  <c r="C890" i="8"/>
  <c r="V890" i="5"/>
  <c r="H890" i="5"/>
  <c r="C886" i="8"/>
  <c r="V886" i="5"/>
  <c r="H886" i="5"/>
  <c r="E886" i="5" s="1"/>
  <c r="F886" i="5" s="1"/>
  <c r="C882" i="8"/>
  <c r="V882" i="5"/>
  <c r="H882" i="5"/>
  <c r="C878" i="8"/>
  <c r="V878" i="5"/>
  <c r="H878" i="5"/>
  <c r="C874" i="8"/>
  <c r="V874" i="5"/>
  <c r="H874" i="5"/>
  <c r="V870" i="5"/>
  <c r="H870" i="5"/>
  <c r="C866" i="8"/>
  <c r="V866" i="5"/>
  <c r="H866" i="5"/>
  <c r="E866" i="5" s="1"/>
  <c r="C862" i="8"/>
  <c r="V862" i="5"/>
  <c r="H862" i="5"/>
  <c r="E862" i="5" s="1"/>
  <c r="F862" i="5" s="1"/>
  <c r="C858" i="8"/>
  <c r="W10" i="8"/>
  <c r="V858" i="5"/>
  <c r="H858" i="5"/>
  <c r="C854" i="8"/>
  <c r="V854" i="5"/>
  <c r="H854" i="5"/>
  <c r="E854" i="5" s="1"/>
  <c r="C850" i="8"/>
  <c r="V850" i="5"/>
  <c r="H850" i="5"/>
  <c r="C846" i="8"/>
  <c r="V846" i="5"/>
  <c r="H846" i="5"/>
  <c r="C842" i="8"/>
  <c r="V842" i="5"/>
  <c r="H842" i="5"/>
  <c r="C838" i="8"/>
  <c r="V838" i="5"/>
  <c r="H838" i="5"/>
  <c r="E838" i="5" s="1"/>
  <c r="C834" i="8"/>
  <c r="V834" i="5"/>
  <c r="H834" i="5"/>
  <c r="C830" i="8"/>
  <c r="V830" i="5"/>
  <c r="H830" i="5"/>
  <c r="C826" i="8"/>
  <c r="V826" i="5"/>
  <c r="H826" i="5"/>
  <c r="C822" i="8"/>
  <c r="V822" i="5"/>
  <c r="H822" i="5"/>
  <c r="E822" i="5" s="1"/>
  <c r="F822" i="5" s="1"/>
  <c r="C818" i="8"/>
  <c r="V818" i="5"/>
  <c r="H818" i="5"/>
  <c r="C814" i="8"/>
  <c r="V814" i="5"/>
  <c r="H814" i="5"/>
  <c r="C810" i="8"/>
  <c r="V810" i="5"/>
  <c r="H810" i="5"/>
  <c r="C806" i="8"/>
  <c r="V806" i="5"/>
  <c r="H806" i="5"/>
  <c r="E806" i="5" s="1"/>
  <c r="C802" i="8"/>
  <c r="V802" i="5"/>
  <c r="H802" i="5"/>
  <c r="C798" i="8"/>
  <c r="V798" i="5"/>
  <c r="H798" i="5"/>
  <c r="C794" i="8"/>
  <c r="V794" i="5"/>
  <c r="H794" i="5"/>
  <c r="C790" i="8"/>
  <c r="V790" i="5"/>
  <c r="H790" i="5"/>
  <c r="E790" i="5" s="1"/>
  <c r="F790" i="5" s="1"/>
  <c r="C786" i="8"/>
  <c r="V786" i="5"/>
  <c r="H786" i="5"/>
  <c r="C782" i="8"/>
  <c r="V782" i="5"/>
  <c r="H782" i="5"/>
  <c r="C778" i="8"/>
  <c r="V778" i="5"/>
  <c r="H778" i="5"/>
  <c r="C774" i="8"/>
  <c r="V774" i="5"/>
  <c r="H774" i="5"/>
  <c r="E774" i="5" s="1"/>
  <c r="C770" i="8"/>
  <c r="V770" i="5"/>
  <c r="H770" i="5"/>
  <c r="C766" i="8"/>
  <c r="V766" i="5"/>
  <c r="H766" i="5"/>
  <c r="C762" i="8"/>
  <c r="H762" i="5"/>
  <c r="E762" i="5" s="1"/>
  <c r="V762" i="5"/>
  <c r="C758" i="8"/>
  <c r="V758" i="5"/>
  <c r="H758" i="5"/>
  <c r="E758" i="5" s="1"/>
  <c r="C754" i="8"/>
  <c r="V754" i="5"/>
  <c r="H754" i="5"/>
  <c r="C750" i="8"/>
  <c r="H750" i="5"/>
  <c r="E750" i="5" s="1"/>
  <c r="V750" i="5"/>
  <c r="C746" i="8"/>
  <c r="V746" i="5"/>
  <c r="H746" i="5"/>
  <c r="C742" i="8"/>
  <c r="V742" i="5"/>
  <c r="H742" i="5"/>
  <c r="E742" i="5" s="1"/>
  <c r="C738" i="8"/>
  <c r="H738" i="5"/>
  <c r="V738" i="5"/>
  <c r="C734" i="8"/>
  <c r="V734" i="5"/>
  <c r="H734" i="5"/>
  <c r="C730" i="8"/>
  <c r="V730" i="5"/>
  <c r="H730" i="5"/>
  <c r="C726" i="8"/>
  <c r="H726" i="5"/>
  <c r="V726" i="5"/>
  <c r="C722" i="8"/>
  <c r="V722" i="5"/>
  <c r="H722" i="5"/>
  <c r="C718" i="8"/>
  <c r="V718" i="5"/>
  <c r="H718" i="5"/>
  <c r="C714" i="8"/>
  <c r="H714" i="5"/>
  <c r="E714" i="5" s="1"/>
  <c r="V714" i="5"/>
  <c r="C710" i="8"/>
  <c r="V710" i="5"/>
  <c r="H710" i="5"/>
  <c r="E710" i="5" s="1"/>
  <c r="C706" i="8"/>
  <c r="V706" i="5"/>
  <c r="H706" i="5"/>
  <c r="C702" i="8"/>
  <c r="H702" i="5"/>
  <c r="E702" i="5" s="1"/>
  <c r="V702" i="5"/>
  <c r="C698" i="8"/>
  <c r="V698" i="5"/>
  <c r="H698" i="5"/>
  <c r="C694" i="8"/>
  <c r="V694" i="5"/>
  <c r="H694" i="5"/>
  <c r="E694" i="5" s="1"/>
  <c r="C690" i="8"/>
  <c r="H690" i="5"/>
  <c r="V690" i="5"/>
  <c r="C686" i="8"/>
  <c r="V686" i="5"/>
  <c r="H686" i="5"/>
  <c r="C682" i="8"/>
  <c r="V682" i="5"/>
  <c r="H682" i="5"/>
  <c r="C678" i="8"/>
  <c r="H678" i="5"/>
  <c r="V678" i="5"/>
  <c r="C674" i="8"/>
  <c r="V674" i="5"/>
  <c r="H674" i="5"/>
  <c r="C670" i="8"/>
  <c r="V670" i="5"/>
  <c r="H670" i="5"/>
  <c r="C666" i="8"/>
  <c r="H666" i="5"/>
  <c r="E666" i="5" s="1"/>
  <c r="V666" i="5"/>
  <c r="C1010" i="8"/>
  <c r="V1010" i="5"/>
  <c r="H1010" i="5"/>
  <c r="E1010" i="5" s="1"/>
  <c r="C1002" i="8"/>
  <c r="V1002" i="5"/>
  <c r="H1002" i="5"/>
  <c r="C990" i="8"/>
  <c r="V990" i="5"/>
  <c r="H990" i="5"/>
  <c r="C982" i="8"/>
  <c r="V982" i="5"/>
  <c r="H982" i="5"/>
  <c r="C974" i="8"/>
  <c r="V974" i="5"/>
  <c r="H974" i="5"/>
  <c r="E974" i="5" s="1"/>
  <c r="C962" i="8"/>
  <c r="V962" i="5"/>
  <c r="H962" i="5"/>
  <c r="D858" i="8"/>
  <c r="X10" i="8"/>
  <c r="C1014" i="8"/>
  <c r="V1014" i="5"/>
  <c r="H1014" i="5"/>
  <c r="E1014" i="5" s="1"/>
  <c r="C998" i="8"/>
  <c r="V998" i="5"/>
  <c r="H998" i="5"/>
  <c r="B858" i="8"/>
  <c r="V10" i="8"/>
  <c r="C1013" i="8"/>
  <c r="V1013" i="5"/>
  <c r="H1013" i="5"/>
  <c r="C1009" i="8"/>
  <c r="V1009" i="5"/>
  <c r="H1009" i="5"/>
  <c r="E1009" i="5" s="1"/>
  <c r="F1009" i="5" s="1"/>
  <c r="C1005" i="8"/>
  <c r="H1005" i="5"/>
  <c r="V1005" i="5"/>
  <c r="C1001" i="8"/>
  <c r="V1001" i="5"/>
  <c r="H1001" i="5"/>
  <c r="C997" i="8"/>
  <c r="V997" i="5"/>
  <c r="H997" i="5"/>
  <c r="C993" i="8"/>
  <c r="H993" i="5"/>
  <c r="V993" i="5"/>
  <c r="C989" i="8"/>
  <c r="V989" i="5"/>
  <c r="H989" i="5"/>
  <c r="E989" i="5" s="1"/>
  <c r="F989" i="5" s="1"/>
  <c r="E989" i="8" s="1"/>
  <c r="C985" i="8"/>
  <c r="V985" i="5"/>
  <c r="H985" i="5"/>
  <c r="C981" i="8"/>
  <c r="H981" i="5"/>
  <c r="E981" i="5" s="1"/>
  <c r="V981" i="5"/>
  <c r="C977" i="8"/>
  <c r="V977" i="5"/>
  <c r="H977" i="5"/>
  <c r="E977" i="5" s="1"/>
  <c r="F977" i="5" s="1"/>
  <c r="C973" i="8"/>
  <c r="V973" i="5"/>
  <c r="H973" i="5"/>
  <c r="E973" i="5" s="1"/>
  <c r="C969" i="8"/>
  <c r="H969" i="5"/>
  <c r="E969" i="5" s="1"/>
  <c r="F969" i="5" s="1"/>
  <c r="V969" i="5"/>
  <c r="C965" i="8"/>
  <c r="V965" i="5"/>
  <c r="H965" i="5"/>
  <c r="C961" i="8"/>
  <c r="V961" i="5"/>
  <c r="H961" i="5"/>
  <c r="E961" i="5" s="1"/>
  <c r="F961" i="5" s="1"/>
  <c r="C957" i="8"/>
  <c r="H957" i="5"/>
  <c r="V957" i="5"/>
  <c r="C953" i="8"/>
  <c r="V953" i="5"/>
  <c r="H953" i="5"/>
  <c r="C949" i="8"/>
  <c r="V949" i="5"/>
  <c r="H949" i="5"/>
  <c r="C945" i="8"/>
  <c r="H945" i="5"/>
  <c r="V945" i="5"/>
  <c r="C941" i="8"/>
  <c r="V941" i="5"/>
  <c r="H941" i="5"/>
  <c r="E941" i="5" s="1"/>
  <c r="F941" i="5" s="1"/>
  <c r="E941" i="8" s="1"/>
  <c r="C937" i="8"/>
  <c r="V937" i="5"/>
  <c r="H937" i="5"/>
  <c r="C933" i="8"/>
  <c r="H933" i="5"/>
  <c r="E933" i="5" s="1"/>
  <c r="F933" i="5" s="1"/>
  <c r="V933" i="5"/>
  <c r="C929" i="8"/>
  <c r="V929" i="5"/>
  <c r="H929" i="5"/>
  <c r="E929" i="5" s="1"/>
  <c r="C925" i="8"/>
  <c r="V925" i="5"/>
  <c r="H925" i="5"/>
  <c r="E925" i="5" s="1"/>
  <c r="C921" i="8"/>
  <c r="H921" i="5"/>
  <c r="E921" i="5" s="1"/>
  <c r="V921" i="5"/>
  <c r="C917" i="8"/>
  <c r="V917" i="5"/>
  <c r="H917" i="5"/>
  <c r="C913" i="8"/>
  <c r="V913" i="5"/>
  <c r="H913" i="5"/>
  <c r="E913" i="5" s="1"/>
  <c r="F913" i="5" s="1"/>
  <c r="C909" i="8"/>
  <c r="H909" i="5"/>
  <c r="V909" i="5"/>
  <c r="C905" i="8"/>
  <c r="V905" i="5"/>
  <c r="H905" i="5"/>
  <c r="C901" i="8"/>
  <c r="V901" i="5"/>
  <c r="H901" i="5"/>
  <c r="C897" i="8"/>
  <c r="H897" i="5"/>
  <c r="V897" i="5"/>
  <c r="C893" i="8"/>
  <c r="V893" i="5"/>
  <c r="H893" i="5"/>
  <c r="E893" i="5" s="1"/>
  <c r="C889" i="8"/>
  <c r="V889" i="5"/>
  <c r="H889" i="5"/>
  <c r="C885" i="8"/>
  <c r="H885" i="5"/>
  <c r="E885" i="5" s="1"/>
  <c r="V885" i="5"/>
  <c r="C881" i="8"/>
  <c r="V881" i="5"/>
  <c r="H881" i="5"/>
  <c r="E881" i="5" s="1"/>
  <c r="C877" i="8"/>
  <c r="V877" i="5"/>
  <c r="H877" i="5"/>
  <c r="E877" i="5" s="1"/>
  <c r="F877" i="5" s="1"/>
  <c r="E877" i="8" s="1"/>
  <c r="C873" i="8"/>
  <c r="H873" i="5"/>
  <c r="E873" i="5" s="1"/>
  <c r="V873" i="5"/>
  <c r="C869" i="8"/>
  <c r="V869" i="5"/>
  <c r="H869" i="5"/>
  <c r="C865" i="8"/>
  <c r="V865" i="5"/>
  <c r="H865" i="5"/>
  <c r="E865" i="5" s="1"/>
  <c r="C861" i="8"/>
  <c r="H861" i="5"/>
  <c r="V861" i="5"/>
  <c r="C857" i="8"/>
  <c r="V857" i="5"/>
  <c r="H857" i="5"/>
  <c r="C853" i="8"/>
  <c r="V853" i="5"/>
  <c r="H853" i="5"/>
  <c r="C849" i="8"/>
  <c r="H849" i="5"/>
  <c r="V849" i="5"/>
  <c r="C845" i="8"/>
  <c r="V845" i="5"/>
  <c r="H845" i="5"/>
  <c r="E845" i="5" s="1"/>
  <c r="C841" i="8"/>
  <c r="V841" i="5"/>
  <c r="H841" i="5"/>
  <c r="C837" i="8"/>
  <c r="H837" i="5"/>
  <c r="E837" i="5" s="1"/>
  <c r="V837" i="5"/>
  <c r="C833" i="8"/>
  <c r="V833" i="5"/>
  <c r="H833" i="5"/>
  <c r="E833" i="5" s="1"/>
  <c r="C829" i="8"/>
  <c r="V829" i="5"/>
  <c r="H829" i="5"/>
  <c r="E829" i="5" s="1"/>
  <c r="F829" i="5" s="1"/>
  <c r="E829" i="8" s="1"/>
  <c r="C825" i="8"/>
  <c r="H825" i="5"/>
  <c r="E825" i="5" s="1"/>
  <c r="F825" i="5" s="1"/>
  <c r="V825" i="5"/>
  <c r="C821" i="8"/>
  <c r="V821" i="5"/>
  <c r="H821" i="5"/>
  <c r="C817" i="8"/>
  <c r="V817" i="5"/>
  <c r="H817" i="5"/>
  <c r="E817" i="5" s="1"/>
  <c r="F817" i="5" s="1"/>
  <c r="C813" i="8"/>
  <c r="H813" i="5"/>
  <c r="V813" i="5"/>
  <c r="C809" i="8"/>
  <c r="V809" i="5"/>
  <c r="H809" i="5"/>
  <c r="C805" i="8"/>
  <c r="V805" i="5"/>
  <c r="H805" i="5"/>
  <c r="C801" i="8"/>
  <c r="H801" i="5"/>
  <c r="V801" i="5"/>
  <c r="C797" i="8"/>
  <c r="V797" i="5"/>
  <c r="H797" i="5"/>
  <c r="E797" i="5" s="1"/>
  <c r="C793" i="8"/>
  <c r="V793" i="5"/>
  <c r="H793" i="5"/>
  <c r="C789" i="8"/>
  <c r="H789" i="5"/>
  <c r="E789" i="5" s="1"/>
  <c r="F789" i="5" s="1"/>
  <c r="V789" i="5"/>
  <c r="V785" i="5"/>
  <c r="H785" i="5"/>
  <c r="C781" i="8"/>
  <c r="V781" i="5"/>
  <c r="H781" i="5"/>
  <c r="C777" i="8"/>
  <c r="H777" i="5"/>
  <c r="V777" i="5"/>
  <c r="C773" i="8"/>
  <c r="V773" i="5"/>
  <c r="H773" i="5"/>
  <c r="E773" i="5" s="1"/>
  <c r="C769" i="8"/>
  <c r="V769" i="5"/>
  <c r="H769" i="5"/>
  <c r="C765" i="8"/>
  <c r="V765" i="5"/>
  <c r="H765" i="5"/>
  <c r="C761" i="8"/>
  <c r="V761" i="5"/>
  <c r="H761" i="5"/>
  <c r="E761" i="5" s="1"/>
  <c r="C757" i="8"/>
  <c r="V757" i="5"/>
  <c r="H757" i="5"/>
  <c r="E757" i="5" s="1"/>
  <c r="C753" i="8"/>
  <c r="V753" i="5"/>
  <c r="H753" i="5"/>
  <c r="C749" i="8"/>
  <c r="V749" i="5"/>
  <c r="H749" i="5"/>
  <c r="C745" i="8"/>
  <c r="V745" i="5"/>
  <c r="H745" i="5"/>
  <c r="E745" i="5" s="1"/>
  <c r="C741" i="8"/>
  <c r="V741" i="5"/>
  <c r="H741" i="5"/>
  <c r="E741" i="5" s="1"/>
  <c r="F741" i="5" s="1"/>
  <c r="C737" i="8"/>
  <c r="V737" i="5"/>
  <c r="H737" i="5"/>
  <c r="C733" i="8"/>
  <c r="V733" i="5"/>
  <c r="H733" i="5"/>
  <c r="C729" i="8"/>
  <c r="V729" i="5"/>
  <c r="H729" i="5"/>
  <c r="E729" i="5" s="1"/>
  <c r="F729" i="5" s="1"/>
  <c r="C725" i="8"/>
  <c r="V725" i="5"/>
  <c r="H725" i="5"/>
  <c r="E725" i="5" s="1"/>
  <c r="C721" i="8"/>
  <c r="V721" i="5"/>
  <c r="H721" i="5"/>
  <c r="C717" i="8"/>
  <c r="V717" i="5"/>
  <c r="H717" i="5"/>
  <c r="C713" i="8"/>
  <c r="V713" i="5"/>
  <c r="H713" i="5"/>
  <c r="E713" i="5" s="1"/>
  <c r="C709" i="8"/>
  <c r="V709" i="5"/>
  <c r="H709" i="5"/>
  <c r="E709" i="5" s="1"/>
  <c r="C705" i="8"/>
  <c r="V705" i="5"/>
  <c r="H705" i="5"/>
  <c r="C701" i="8"/>
  <c r="V701" i="5"/>
  <c r="H701" i="5"/>
  <c r="C697" i="8"/>
  <c r="V697" i="5"/>
  <c r="H697" i="5"/>
  <c r="E697" i="5" s="1"/>
  <c r="C693" i="8"/>
  <c r="V693" i="5"/>
  <c r="H693" i="5"/>
  <c r="E693" i="5" s="1"/>
  <c r="F693" i="5" s="1"/>
  <c r="C689" i="8"/>
  <c r="V689" i="5"/>
  <c r="H689" i="5"/>
  <c r="C685" i="8"/>
  <c r="V685" i="5"/>
  <c r="H685" i="5"/>
  <c r="C681" i="8"/>
  <c r="V681" i="5"/>
  <c r="H681" i="5"/>
  <c r="E681" i="5" s="1"/>
  <c r="F681" i="5" s="1"/>
  <c r="C677" i="8"/>
  <c r="V677" i="5"/>
  <c r="H677" i="5"/>
  <c r="E677" i="5" s="1"/>
  <c r="C673" i="8"/>
  <c r="V673" i="5"/>
  <c r="H673" i="5"/>
  <c r="C669" i="8"/>
  <c r="V669" i="5"/>
  <c r="H669" i="5"/>
  <c r="C665" i="8"/>
  <c r="V665" i="5"/>
  <c r="H665" i="5"/>
  <c r="E665" i="5" s="1"/>
  <c r="C661" i="8"/>
  <c r="V661" i="5"/>
  <c r="H661" i="5"/>
  <c r="E661" i="5" s="1"/>
  <c r="C657" i="8"/>
  <c r="V657" i="5"/>
  <c r="H657" i="5"/>
  <c r="C653" i="8"/>
  <c r="H653" i="5"/>
  <c r="E653" i="5" s="1"/>
  <c r="V653" i="5"/>
  <c r="C649" i="8"/>
  <c r="H649" i="5"/>
  <c r="V649" i="5"/>
  <c r="C645" i="8"/>
  <c r="V645" i="5"/>
  <c r="H645" i="5"/>
  <c r="E645" i="5" s="1"/>
  <c r="F645" i="5" s="1"/>
  <c r="C641" i="8"/>
  <c r="V641" i="5"/>
  <c r="H641" i="5"/>
  <c r="C637" i="8"/>
  <c r="V637" i="5"/>
  <c r="H637" i="5"/>
  <c r="C633" i="8"/>
  <c r="H633" i="5"/>
  <c r="V633" i="5"/>
  <c r="C629" i="8"/>
  <c r="V629" i="5"/>
  <c r="H629" i="5"/>
  <c r="E629" i="5" s="1"/>
  <c r="C625" i="8"/>
  <c r="V625" i="5"/>
  <c r="H625" i="5"/>
  <c r="C621" i="8"/>
  <c r="H621" i="5"/>
  <c r="E621" i="5" s="1"/>
  <c r="V621" i="5"/>
  <c r="C617" i="8"/>
  <c r="V617" i="5"/>
  <c r="H617" i="5"/>
  <c r="E617" i="5" s="1"/>
  <c r="C613" i="8"/>
  <c r="V613" i="5"/>
  <c r="H613" i="5"/>
  <c r="E613" i="5" s="1"/>
  <c r="C609" i="8"/>
  <c r="H609" i="5"/>
  <c r="E609" i="5" s="1"/>
  <c r="V609" i="5"/>
  <c r="C605" i="8"/>
  <c r="V605" i="5"/>
  <c r="H605" i="5"/>
  <c r="C601" i="8"/>
  <c r="V601" i="5"/>
  <c r="H601" i="5"/>
  <c r="E601" i="5" s="1"/>
  <c r="F601" i="5" s="1"/>
  <c r="C597" i="8"/>
  <c r="H597" i="5"/>
  <c r="V597" i="5"/>
  <c r="C593" i="8"/>
  <c r="V593" i="5"/>
  <c r="H593" i="5"/>
  <c r="C589" i="8"/>
  <c r="V589" i="5"/>
  <c r="H589" i="5"/>
  <c r="C585" i="8"/>
  <c r="H585" i="5"/>
  <c r="V585" i="5"/>
  <c r="C581" i="8"/>
  <c r="V581" i="5"/>
  <c r="H581" i="5"/>
  <c r="E581" i="5" s="1"/>
  <c r="C577" i="8"/>
  <c r="V577" i="5"/>
  <c r="H577" i="5"/>
  <c r="C573" i="8"/>
  <c r="H573" i="5"/>
  <c r="E573" i="5" s="1"/>
  <c r="V573" i="5"/>
  <c r="C569" i="8"/>
  <c r="V569" i="5"/>
  <c r="H569" i="5"/>
  <c r="E569" i="5" s="1"/>
  <c r="C565" i="8"/>
  <c r="V565" i="5"/>
  <c r="H565" i="5"/>
  <c r="E565" i="5" s="1"/>
  <c r="F565" i="5" s="1"/>
  <c r="C561" i="8"/>
  <c r="H561" i="5"/>
  <c r="E561" i="5" s="1"/>
  <c r="V561" i="5"/>
  <c r="C557" i="8"/>
  <c r="V557" i="5"/>
  <c r="H557" i="5"/>
  <c r="C553" i="8"/>
  <c r="V553" i="5"/>
  <c r="H553" i="5"/>
  <c r="E553" i="5" s="1"/>
  <c r="C549" i="8"/>
  <c r="H549" i="5"/>
  <c r="V549" i="5"/>
  <c r="C545" i="8"/>
  <c r="V545" i="5"/>
  <c r="H545" i="5"/>
  <c r="C541" i="8"/>
  <c r="V541" i="5"/>
  <c r="H541" i="5"/>
  <c r="C537" i="8"/>
  <c r="H537" i="5"/>
  <c r="V537" i="5"/>
  <c r="C533" i="8"/>
  <c r="V533" i="5"/>
  <c r="H533" i="5"/>
  <c r="E533" i="5" s="1"/>
  <c r="C529" i="8"/>
  <c r="V529" i="5"/>
  <c r="H529" i="5"/>
  <c r="C525" i="8"/>
  <c r="H525" i="5"/>
  <c r="E525" i="5" s="1"/>
  <c r="V525" i="5"/>
  <c r="C521" i="8"/>
  <c r="V521" i="5"/>
  <c r="H521" i="5"/>
  <c r="E521" i="5" s="1"/>
  <c r="C517" i="8"/>
  <c r="V517" i="5"/>
  <c r="H517" i="5"/>
  <c r="E517" i="5" s="1"/>
  <c r="C513" i="8"/>
  <c r="H513" i="5"/>
  <c r="E513" i="5" s="1"/>
  <c r="V513" i="5"/>
  <c r="C509" i="8"/>
  <c r="V509" i="5"/>
  <c r="H509" i="5"/>
  <c r="C505" i="8"/>
  <c r="V505" i="5"/>
  <c r="H505" i="5"/>
  <c r="E505" i="5" s="1"/>
  <c r="C501" i="8"/>
  <c r="H501" i="5"/>
  <c r="V501" i="5"/>
  <c r="C497" i="8"/>
  <c r="V497" i="5"/>
  <c r="H497" i="5"/>
  <c r="C493" i="8"/>
  <c r="V493" i="5"/>
  <c r="H493" i="5"/>
  <c r="C489" i="8"/>
  <c r="H489" i="5"/>
  <c r="V489" i="5"/>
  <c r="C485" i="8"/>
  <c r="V485" i="5"/>
  <c r="H485" i="5"/>
  <c r="E485" i="5" s="1"/>
  <c r="C481" i="8"/>
  <c r="V481" i="5"/>
  <c r="H481" i="5"/>
  <c r="C477" i="8"/>
  <c r="H477" i="5"/>
  <c r="E477" i="5" s="1"/>
  <c r="V477" i="5"/>
  <c r="C473" i="8"/>
  <c r="V473" i="5"/>
  <c r="H473" i="5"/>
  <c r="E473" i="5" s="1"/>
  <c r="C469" i="8"/>
  <c r="V469" i="5"/>
  <c r="H469" i="5"/>
  <c r="E469" i="5" s="1"/>
  <c r="C465" i="8"/>
  <c r="H465" i="5"/>
  <c r="E465" i="5" s="1"/>
  <c r="V465" i="5"/>
  <c r="C461" i="8"/>
  <c r="V461" i="5"/>
  <c r="H461" i="5"/>
  <c r="C457" i="8"/>
  <c r="V457" i="5"/>
  <c r="H457" i="5"/>
  <c r="E457" i="5" s="1"/>
  <c r="C453" i="8"/>
  <c r="H453" i="5"/>
  <c r="V453" i="5"/>
  <c r="C449" i="8"/>
  <c r="V449" i="5"/>
  <c r="H449" i="5"/>
  <c r="C445" i="8"/>
  <c r="V445" i="5"/>
  <c r="H445" i="5"/>
  <c r="C441" i="8"/>
  <c r="H441" i="5"/>
  <c r="V441" i="5"/>
  <c r="C437" i="8"/>
  <c r="V437" i="5"/>
  <c r="H437" i="5"/>
  <c r="E437" i="5" s="1"/>
  <c r="C433" i="8"/>
  <c r="V433" i="5"/>
  <c r="H433" i="5"/>
  <c r="C429" i="8"/>
  <c r="H429" i="5"/>
  <c r="E429" i="5" s="1"/>
  <c r="V429" i="5"/>
  <c r="C425" i="8"/>
  <c r="V425" i="5"/>
  <c r="H425" i="5"/>
  <c r="E425" i="5" s="1"/>
  <c r="C421" i="8"/>
  <c r="V421" i="5"/>
  <c r="H421" i="5"/>
  <c r="E421" i="5" s="1"/>
  <c r="C417" i="8"/>
  <c r="H417" i="5"/>
  <c r="E417" i="5" s="1"/>
  <c r="V417" i="5"/>
  <c r="C413" i="8"/>
  <c r="V413" i="5"/>
  <c r="H413" i="5"/>
  <c r="C409" i="8"/>
  <c r="V409" i="5"/>
  <c r="H409" i="5"/>
  <c r="E409" i="5" s="1"/>
  <c r="C405" i="8"/>
  <c r="H405" i="5"/>
  <c r="V405" i="5"/>
  <c r="C401" i="8"/>
  <c r="V401" i="5"/>
  <c r="H401" i="5"/>
  <c r="C397" i="8"/>
  <c r="V397" i="5"/>
  <c r="H397" i="5"/>
  <c r="C393" i="8"/>
  <c r="V393" i="5"/>
  <c r="H393" i="5"/>
  <c r="E393" i="5" s="1"/>
  <c r="C389" i="8"/>
  <c r="V389" i="5"/>
  <c r="H389" i="5"/>
  <c r="E389" i="5" s="1"/>
  <c r="F389" i="5" s="1"/>
  <c r="C385" i="8"/>
  <c r="V385" i="5"/>
  <c r="H385" i="5"/>
  <c r="C381" i="8"/>
  <c r="V381" i="5"/>
  <c r="H381" i="5"/>
  <c r="C377" i="8"/>
  <c r="V377" i="5"/>
  <c r="H377" i="5"/>
  <c r="E377" i="5" s="1"/>
  <c r="C373" i="8"/>
  <c r="V373" i="5"/>
  <c r="H373" i="5"/>
  <c r="E373" i="5" s="1"/>
  <c r="C369" i="8"/>
  <c r="V369" i="5"/>
  <c r="H369" i="5"/>
  <c r="C365" i="8"/>
  <c r="V365" i="5"/>
  <c r="H365" i="5"/>
  <c r="C361" i="8"/>
  <c r="V361" i="5"/>
  <c r="H361" i="5"/>
  <c r="E361" i="5" s="1"/>
  <c r="C357" i="8"/>
  <c r="V357" i="5"/>
  <c r="H357" i="5"/>
  <c r="E357" i="5" s="1"/>
  <c r="C353" i="8"/>
  <c r="V353" i="5"/>
  <c r="H353" i="5"/>
  <c r="C349" i="8"/>
  <c r="V349" i="5"/>
  <c r="H349" i="5"/>
  <c r="C345" i="8"/>
  <c r="V345" i="5"/>
  <c r="H345" i="5"/>
  <c r="E345" i="5" s="1"/>
  <c r="F345" i="5" s="1"/>
  <c r="C341" i="8"/>
  <c r="V341" i="5"/>
  <c r="H341" i="5"/>
  <c r="E341" i="5" s="1"/>
  <c r="C337" i="8"/>
  <c r="V337" i="5"/>
  <c r="H337" i="5"/>
  <c r="C333" i="8"/>
  <c r="V333" i="5"/>
  <c r="H333" i="5"/>
  <c r="C329" i="8"/>
  <c r="V329" i="5"/>
  <c r="H329" i="5"/>
  <c r="E329" i="5" s="1"/>
  <c r="C325" i="8"/>
  <c r="V325" i="5"/>
  <c r="H325" i="5"/>
  <c r="E325" i="5" s="1"/>
  <c r="C321" i="8"/>
  <c r="V321" i="5"/>
  <c r="H321" i="5"/>
  <c r="C317" i="8"/>
  <c r="V317" i="5"/>
  <c r="H317" i="5"/>
  <c r="C313" i="8"/>
  <c r="V313" i="5"/>
  <c r="H313" i="5"/>
  <c r="E313" i="5" s="1"/>
  <c r="C309" i="8"/>
  <c r="V309" i="5"/>
  <c r="H309" i="5"/>
  <c r="E309" i="5" s="1"/>
  <c r="C305" i="8"/>
  <c r="V305" i="5"/>
  <c r="H305" i="5"/>
  <c r="C301" i="8"/>
  <c r="V301" i="5"/>
  <c r="H301" i="5"/>
  <c r="C297" i="8"/>
  <c r="V297" i="5"/>
  <c r="H297" i="5"/>
  <c r="E297" i="5" s="1"/>
  <c r="C293" i="8"/>
  <c r="V293" i="5"/>
  <c r="H293" i="5"/>
  <c r="E293" i="5" s="1"/>
  <c r="C289" i="8"/>
  <c r="V289" i="5"/>
  <c r="H289" i="5"/>
  <c r="C285" i="8"/>
  <c r="V285" i="5"/>
  <c r="H285" i="5"/>
  <c r="C281" i="8"/>
  <c r="V281" i="5"/>
  <c r="H281" i="5"/>
  <c r="E281" i="5" s="1"/>
  <c r="F281" i="5" s="1"/>
  <c r="C277" i="8"/>
  <c r="V277" i="5"/>
  <c r="H277" i="5"/>
  <c r="E277" i="5" s="1"/>
  <c r="C273" i="8"/>
  <c r="H273" i="5"/>
  <c r="E273" i="5" s="1"/>
  <c r="V273" i="5"/>
  <c r="C269" i="8"/>
  <c r="V269" i="5"/>
  <c r="H269" i="5"/>
  <c r="C265" i="8"/>
  <c r="V265" i="5"/>
  <c r="H265" i="5"/>
  <c r="E265" i="5" s="1"/>
  <c r="C261" i="8"/>
  <c r="H261" i="5"/>
  <c r="V261" i="5"/>
  <c r="C257" i="8"/>
  <c r="V257" i="5"/>
  <c r="H257" i="5"/>
  <c r="C253" i="8"/>
  <c r="V253" i="5"/>
  <c r="H253" i="5"/>
  <c r="C249" i="8"/>
  <c r="V249" i="5"/>
  <c r="H249" i="5"/>
  <c r="E249" i="5" s="1"/>
  <c r="C245" i="8"/>
  <c r="V245" i="5"/>
  <c r="H245" i="5"/>
  <c r="E245" i="5" s="1"/>
  <c r="C241" i="8"/>
  <c r="V241" i="5"/>
  <c r="H241" i="5"/>
  <c r="C237" i="8"/>
  <c r="V237" i="5"/>
  <c r="H237" i="5"/>
  <c r="C233" i="8"/>
  <c r="V233" i="5"/>
  <c r="H233" i="5"/>
  <c r="E233" i="5" s="1"/>
  <c r="C229" i="8"/>
  <c r="V229" i="5"/>
  <c r="H229" i="5"/>
  <c r="E229" i="5" s="1"/>
  <c r="C225" i="8"/>
  <c r="V225" i="5"/>
  <c r="H225" i="5"/>
  <c r="C221" i="8"/>
  <c r="V221" i="5"/>
  <c r="H221" i="5"/>
  <c r="C217" i="8"/>
  <c r="V217" i="5"/>
  <c r="H217" i="5"/>
  <c r="E217" i="5" s="1"/>
  <c r="F217" i="5" s="1"/>
  <c r="C213" i="8"/>
  <c r="V213" i="5"/>
  <c r="H213" i="5"/>
  <c r="E213" i="5" s="1"/>
  <c r="C209" i="8"/>
  <c r="V209" i="5"/>
  <c r="H209" i="5"/>
  <c r="C205" i="8"/>
  <c r="V205" i="5"/>
  <c r="H205" i="5"/>
  <c r="C201" i="8"/>
  <c r="V201" i="5"/>
  <c r="H201" i="5"/>
  <c r="C197" i="8"/>
  <c r="V197" i="5"/>
  <c r="H197" i="5"/>
  <c r="E197" i="5" s="1"/>
  <c r="C193" i="8"/>
  <c r="V193" i="5"/>
  <c r="H193" i="5"/>
  <c r="C189" i="8"/>
  <c r="V189" i="5"/>
  <c r="H189" i="5"/>
  <c r="C185" i="8"/>
  <c r="V185" i="5"/>
  <c r="H185" i="5"/>
  <c r="E185" i="5" s="1"/>
  <c r="C181" i="8"/>
  <c r="V181" i="5"/>
  <c r="H181" i="5"/>
  <c r="E181" i="5" s="1"/>
  <c r="F181" i="5" s="1"/>
  <c r="C177" i="8"/>
  <c r="V177" i="5"/>
  <c r="H177" i="5"/>
  <c r="C173" i="8"/>
  <c r="V173" i="5"/>
  <c r="H173" i="5"/>
  <c r="C169" i="8"/>
  <c r="V169" i="5"/>
  <c r="H169" i="5"/>
  <c r="E169" i="5" s="1"/>
  <c r="F169" i="5" s="1"/>
  <c r="C165" i="8"/>
  <c r="V165" i="5"/>
  <c r="H165" i="5"/>
  <c r="C161" i="8"/>
  <c r="V161" i="5"/>
  <c r="H161" i="5"/>
  <c r="C157" i="8"/>
  <c r="V157" i="5"/>
  <c r="H157" i="5"/>
  <c r="C153" i="8"/>
  <c r="V153" i="5"/>
  <c r="H153" i="5"/>
  <c r="E153" i="5" s="1"/>
  <c r="C149" i="8"/>
  <c r="V149" i="5"/>
  <c r="H149" i="5"/>
  <c r="E149" i="5" s="1"/>
  <c r="C145" i="8"/>
  <c r="V145" i="5"/>
  <c r="H145" i="5"/>
  <c r="C141" i="8"/>
  <c r="V141" i="5"/>
  <c r="H141" i="5"/>
  <c r="C137" i="8"/>
  <c r="V137" i="5"/>
  <c r="H137" i="5"/>
  <c r="E137" i="5" s="1"/>
  <c r="C133" i="8"/>
  <c r="V133" i="5"/>
  <c r="H133" i="5"/>
  <c r="E133" i="5" s="1"/>
  <c r="C129" i="8"/>
  <c r="V129" i="5"/>
  <c r="H129" i="5"/>
  <c r="C125" i="8"/>
  <c r="V125" i="5"/>
  <c r="H125" i="5"/>
  <c r="C121" i="8"/>
  <c r="V121" i="5"/>
  <c r="H121" i="5"/>
  <c r="E121" i="5" s="1"/>
  <c r="C117" i="8"/>
  <c r="V117" i="5"/>
  <c r="H117" i="5"/>
  <c r="E117" i="5" s="1"/>
  <c r="C113" i="8"/>
  <c r="V113" i="5"/>
  <c r="H113" i="5"/>
  <c r="C109" i="8"/>
  <c r="V109" i="5"/>
  <c r="H109" i="5"/>
  <c r="C105" i="8"/>
  <c r="V105" i="5"/>
  <c r="H105" i="5"/>
  <c r="E105" i="5" s="1"/>
  <c r="C101" i="8"/>
  <c r="V101" i="5"/>
  <c r="H101" i="5"/>
  <c r="E101" i="5" s="1"/>
  <c r="C97" i="8"/>
  <c r="V97" i="5"/>
  <c r="H97" i="5"/>
  <c r="C93" i="8"/>
  <c r="V93" i="5"/>
  <c r="H93" i="5"/>
  <c r="C89" i="8"/>
  <c r="V89" i="5"/>
  <c r="H89" i="5"/>
  <c r="E89" i="5" s="1"/>
  <c r="C85" i="8"/>
  <c r="V85" i="5"/>
  <c r="H85" i="5"/>
  <c r="E85" i="5" s="1"/>
  <c r="C81" i="8"/>
  <c r="V81" i="5"/>
  <c r="H81" i="5"/>
  <c r="C77" i="8"/>
  <c r="V77" i="5"/>
  <c r="H77" i="5"/>
  <c r="C73" i="8"/>
  <c r="V73" i="5"/>
  <c r="H73" i="5"/>
  <c r="E73" i="5" s="1"/>
  <c r="F73" i="5" s="1"/>
  <c r="C69" i="8"/>
  <c r="V69" i="5"/>
  <c r="H69" i="5"/>
  <c r="E69" i="5" s="1"/>
  <c r="C65" i="8"/>
  <c r="V65" i="5"/>
  <c r="H65" i="5"/>
  <c r="C61" i="8"/>
  <c r="V61" i="5"/>
  <c r="H61" i="5"/>
  <c r="C57" i="8"/>
  <c r="V57" i="5"/>
  <c r="H57" i="5"/>
  <c r="E57" i="5" s="1"/>
  <c r="C53" i="8"/>
  <c r="V53" i="5"/>
  <c r="H53" i="5"/>
  <c r="E53" i="5" s="1"/>
  <c r="C49" i="8"/>
  <c r="V49" i="5"/>
  <c r="H49" i="5"/>
  <c r="C45" i="8"/>
  <c r="V45" i="5"/>
  <c r="H45" i="5"/>
  <c r="C41" i="8"/>
  <c r="V41" i="5"/>
  <c r="H41" i="5"/>
  <c r="E41" i="5" s="1"/>
  <c r="C37" i="8"/>
  <c r="V37" i="5"/>
  <c r="H37" i="5"/>
  <c r="E37" i="5" s="1"/>
  <c r="F37" i="5" s="1"/>
  <c r="C33" i="8"/>
  <c r="V33" i="5"/>
  <c r="H33" i="5"/>
  <c r="C29" i="8"/>
  <c r="V29" i="5"/>
  <c r="H29" i="5"/>
  <c r="C25" i="8"/>
  <c r="V25" i="5"/>
  <c r="H25" i="5"/>
  <c r="E25" i="5" s="1"/>
  <c r="F25" i="5" s="1"/>
  <c r="C21" i="8"/>
  <c r="V21" i="5"/>
  <c r="H21" i="5"/>
  <c r="E21" i="5" s="1"/>
  <c r="C17" i="8"/>
  <c r="V17" i="5"/>
  <c r="H17" i="5"/>
  <c r="C13" i="8"/>
  <c r="V13" i="5"/>
  <c r="H13" i="5"/>
  <c r="V9" i="5"/>
  <c r="H9" i="5"/>
  <c r="V5" i="5"/>
  <c r="H5" i="5"/>
  <c r="C1021" i="8"/>
  <c r="V1021" i="5"/>
  <c r="H1021" i="5"/>
  <c r="C1017" i="8"/>
  <c r="H1017" i="5"/>
  <c r="V1017" i="5"/>
  <c r="C676" i="8"/>
  <c r="V676" i="5"/>
  <c r="H676" i="5"/>
  <c r="E676" i="5" s="1"/>
  <c r="C672" i="8"/>
  <c r="H672" i="5"/>
  <c r="E672" i="5" s="1"/>
  <c r="V672" i="5"/>
  <c r="C668" i="8"/>
  <c r="H668" i="5"/>
  <c r="E668" i="5" s="1"/>
  <c r="F668" i="5" s="1"/>
  <c r="V668" i="5"/>
  <c r="C664" i="8"/>
  <c r="V664" i="5"/>
  <c r="H664" i="5"/>
  <c r="C660" i="8"/>
  <c r="H660" i="5"/>
  <c r="V660" i="5"/>
  <c r="C656" i="8"/>
  <c r="H656" i="5"/>
  <c r="E656" i="5" s="1"/>
  <c r="V656" i="5"/>
  <c r="C652" i="8"/>
  <c r="V652" i="5"/>
  <c r="H652" i="5"/>
  <c r="C648" i="8"/>
  <c r="V648" i="5"/>
  <c r="H648" i="5"/>
  <c r="C644" i="8"/>
  <c r="V644" i="5"/>
  <c r="H644" i="5"/>
  <c r="E644" i="5" s="1"/>
  <c r="C640" i="8"/>
  <c r="H640" i="5"/>
  <c r="E640" i="5" s="1"/>
  <c r="V640" i="5"/>
  <c r="C636" i="8"/>
  <c r="V636" i="5"/>
  <c r="H636" i="5"/>
  <c r="C632" i="8"/>
  <c r="V632" i="5"/>
  <c r="H632" i="5"/>
  <c r="C628" i="8"/>
  <c r="V628" i="5"/>
  <c r="H628" i="5"/>
  <c r="E628" i="5" s="1"/>
  <c r="C624" i="8"/>
  <c r="V624" i="5"/>
  <c r="H624" i="5"/>
  <c r="C620" i="8"/>
  <c r="V620" i="5"/>
  <c r="H620" i="5"/>
  <c r="C616" i="8"/>
  <c r="V616" i="5"/>
  <c r="H616" i="5"/>
  <c r="E616" i="5" s="1"/>
  <c r="F616" i="5" s="1"/>
  <c r="C612" i="8"/>
  <c r="V612" i="5"/>
  <c r="H612" i="5"/>
  <c r="E612" i="5" s="1"/>
  <c r="C608" i="8"/>
  <c r="V608" i="5"/>
  <c r="H608" i="5"/>
  <c r="C604" i="8"/>
  <c r="V604" i="5"/>
  <c r="H604" i="5"/>
  <c r="C600" i="8"/>
  <c r="V600" i="5"/>
  <c r="H600" i="5"/>
  <c r="E600" i="5" s="1"/>
  <c r="C596" i="8"/>
  <c r="V596" i="5"/>
  <c r="H596" i="5"/>
  <c r="E596" i="5" s="1"/>
  <c r="C592" i="8"/>
  <c r="V592" i="5"/>
  <c r="H592" i="5"/>
  <c r="C588" i="8"/>
  <c r="V588" i="5"/>
  <c r="H588" i="5"/>
  <c r="C584" i="8"/>
  <c r="V584" i="5"/>
  <c r="H584" i="5"/>
  <c r="E584" i="5" s="1"/>
  <c r="C580" i="8"/>
  <c r="V580" i="5"/>
  <c r="H580" i="5"/>
  <c r="E580" i="5" s="1"/>
  <c r="C576" i="8"/>
  <c r="V576" i="5"/>
  <c r="H576" i="5"/>
  <c r="C572" i="8"/>
  <c r="V572" i="5"/>
  <c r="H572" i="5"/>
  <c r="C568" i="8"/>
  <c r="V568" i="5"/>
  <c r="H568" i="5"/>
  <c r="E568" i="5" s="1"/>
  <c r="F568" i="5" s="1"/>
  <c r="C564" i="8"/>
  <c r="V564" i="5"/>
  <c r="H564" i="5"/>
  <c r="E564" i="5" s="1"/>
  <c r="C560" i="8"/>
  <c r="V560" i="5"/>
  <c r="H560" i="5"/>
  <c r="C556" i="8"/>
  <c r="V556" i="5"/>
  <c r="H556" i="5"/>
  <c r="C552" i="8"/>
  <c r="V552" i="5"/>
  <c r="H552" i="5"/>
  <c r="E552" i="5" s="1"/>
  <c r="C548" i="8"/>
  <c r="V548" i="5"/>
  <c r="H548" i="5"/>
  <c r="E548" i="5" s="1"/>
  <c r="C544" i="8"/>
  <c r="V544" i="5"/>
  <c r="H544" i="5"/>
  <c r="C540" i="8"/>
  <c r="V540" i="5"/>
  <c r="H540" i="5"/>
  <c r="C536" i="8"/>
  <c r="V536" i="5"/>
  <c r="H536" i="5"/>
  <c r="E536" i="5" s="1"/>
  <c r="C532" i="8"/>
  <c r="V532" i="5"/>
  <c r="H532" i="5"/>
  <c r="E532" i="5" s="1"/>
  <c r="C528" i="8"/>
  <c r="V528" i="5"/>
  <c r="H528" i="5"/>
  <c r="C524" i="8"/>
  <c r="V524" i="5"/>
  <c r="H524" i="5"/>
  <c r="C520" i="8"/>
  <c r="V520" i="5"/>
  <c r="H520" i="5"/>
  <c r="E520" i="5" s="1"/>
  <c r="C516" i="8"/>
  <c r="V516" i="5"/>
  <c r="H516" i="5"/>
  <c r="E516" i="5" s="1"/>
  <c r="C512" i="8"/>
  <c r="V512" i="5"/>
  <c r="H512" i="5"/>
  <c r="C508" i="8"/>
  <c r="V508" i="5"/>
  <c r="H508" i="5"/>
  <c r="C504" i="8"/>
  <c r="V504" i="5"/>
  <c r="H504" i="5"/>
  <c r="E504" i="5" s="1"/>
  <c r="C500" i="8"/>
  <c r="V500" i="5"/>
  <c r="H500" i="5"/>
  <c r="E500" i="5" s="1"/>
  <c r="C496" i="8"/>
  <c r="V496" i="5"/>
  <c r="H496" i="5"/>
  <c r="C492" i="8"/>
  <c r="V492" i="5"/>
  <c r="H492" i="5"/>
  <c r="C488" i="8"/>
  <c r="V488" i="5"/>
  <c r="H488" i="5"/>
  <c r="E488" i="5" s="1"/>
  <c r="F488" i="5" s="1"/>
  <c r="C484" i="8"/>
  <c r="V484" i="5"/>
  <c r="H484" i="5"/>
  <c r="E484" i="5" s="1"/>
  <c r="C480" i="8"/>
  <c r="V480" i="5"/>
  <c r="H480" i="5"/>
  <c r="C476" i="8"/>
  <c r="V476" i="5"/>
  <c r="H476" i="5"/>
  <c r="C472" i="8"/>
  <c r="V472" i="5"/>
  <c r="H472" i="5"/>
  <c r="E472" i="5" s="1"/>
  <c r="C468" i="8"/>
  <c r="V468" i="5"/>
  <c r="H468" i="5"/>
  <c r="E468" i="5" s="1"/>
  <c r="F468" i="5" s="1"/>
  <c r="E468" i="8" s="1"/>
  <c r="C464" i="8"/>
  <c r="V464" i="5"/>
  <c r="H464" i="5"/>
  <c r="C460" i="8"/>
  <c r="V460" i="5"/>
  <c r="H460" i="5"/>
  <c r="C456" i="8"/>
  <c r="V456" i="5"/>
  <c r="H456" i="5"/>
  <c r="E456" i="5" s="1"/>
  <c r="C452" i="8"/>
  <c r="V452" i="5"/>
  <c r="H452" i="5"/>
  <c r="E452" i="5" s="1"/>
  <c r="C448" i="8"/>
  <c r="V448" i="5"/>
  <c r="H448" i="5"/>
  <c r="C444" i="8"/>
  <c r="V444" i="5"/>
  <c r="H444" i="5"/>
  <c r="C440" i="8"/>
  <c r="V440" i="5"/>
  <c r="H440" i="5"/>
  <c r="E440" i="5" s="1"/>
  <c r="F440" i="5" s="1"/>
  <c r="C436" i="8"/>
  <c r="V436" i="5"/>
  <c r="H436" i="5"/>
  <c r="E436" i="5" s="1"/>
  <c r="C432" i="8"/>
  <c r="V432" i="5"/>
  <c r="H432" i="5"/>
  <c r="C428" i="8"/>
  <c r="V428" i="5"/>
  <c r="H428" i="5"/>
  <c r="C424" i="8"/>
  <c r="V424" i="5"/>
  <c r="H424" i="5"/>
  <c r="E424" i="5" s="1"/>
  <c r="C420" i="8"/>
  <c r="V420" i="5"/>
  <c r="H420" i="5"/>
  <c r="E420" i="5" s="1"/>
  <c r="F420" i="5" s="1"/>
  <c r="E420" i="8" s="1"/>
  <c r="C416" i="8"/>
  <c r="V416" i="5"/>
  <c r="H416" i="5"/>
  <c r="C412" i="8"/>
  <c r="V412" i="5"/>
  <c r="H412" i="5"/>
  <c r="C408" i="8"/>
  <c r="V408" i="5"/>
  <c r="H408" i="5"/>
  <c r="E408" i="5" s="1"/>
  <c r="C404" i="8"/>
  <c r="V404" i="5"/>
  <c r="H404" i="5"/>
  <c r="E404" i="5" s="1"/>
  <c r="C400" i="8"/>
  <c r="V400" i="5"/>
  <c r="H400" i="5"/>
  <c r="C396" i="8"/>
  <c r="V396" i="5"/>
  <c r="H396" i="5"/>
  <c r="C392" i="8"/>
  <c r="V392" i="5"/>
  <c r="H392" i="5"/>
  <c r="E392" i="5" s="1"/>
  <c r="F392" i="5" s="1"/>
  <c r="C388" i="8"/>
  <c r="V388" i="5"/>
  <c r="H388" i="5"/>
  <c r="E388" i="5" s="1"/>
  <c r="C384" i="8"/>
  <c r="V384" i="5"/>
  <c r="H384" i="5"/>
  <c r="C380" i="8"/>
  <c r="V380" i="5"/>
  <c r="H380" i="5"/>
  <c r="C376" i="8"/>
  <c r="V376" i="5"/>
  <c r="H376" i="5"/>
  <c r="E376" i="5" s="1"/>
  <c r="C372" i="8"/>
  <c r="V372" i="5"/>
  <c r="H372" i="5"/>
  <c r="E372" i="5" s="1"/>
  <c r="C368" i="8"/>
  <c r="V368" i="5"/>
  <c r="H368" i="5"/>
  <c r="C364" i="8"/>
  <c r="V364" i="5"/>
  <c r="H364" i="5"/>
  <c r="C360" i="8"/>
  <c r="V360" i="5"/>
  <c r="H360" i="5"/>
  <c r="E360" i="5" s="1"/>
  <c r="C356" i="8"/>
  <c r="V356" i="5"/>
  <c r="H356" i="5"/>
  <c r="E356" i="5" s="1"/>
  <c r="F356" i="5" s="1"/>
  <c r="E356" i="8" s="1"/>
  <c r="C352" i="8"/>
  <c r="V352" i="5"/>
  <c r="H352" i="5"/>
  <c r="C348" i="8"/>
  <c r="V348" i="5"/>
  <c r="H348" i="5"/>
  <c r="C344" i="8"/>
  <c r="V344" i="5"/>
  <c r="H344" i="5"/>
  <c r="E344" i="5" s="1"/>
  <c r="C340" i="8"/>
  <c r="V340" i="5"/>
  <c r="H340" i="5"/>
  <c r="E340" i="5" s="1"/>
  <c r="C336" i="8"/>
  <c r="V336" i="5"/>
  <c r="H336" i="5"/>
  <c r="C332" i="8"/>
  <c r="V332" i="5"/>
  <c r="H332" i="5"/>
  <c r="C328" i="8"/>
  <c r="V328" i="5"/>
  <c r="H328" i="5"/>
  <c r="E328" i="5" s="1"/>
  <c r="F328" i="5" s="1"/>
  <c r="C324" i="8"/>
  <c r="V324" i="5"/>
  <c r="H324" i="5"/>
  <c r="E324" i="5" s="1"/>
  <c r="F324" i="5" s="1"/>
  <c r="E324" i="8" s="1"/>
  <c r="C320" i="8"/>
  <c r="V320" i="5"/>
  <c r="H320" i="5"/>
  <c r="C316" i="8"/>
  <c r="V316" i="5"/>
  <c r="H316" i="5"/>
  <c r="C312" i="8"/>
  <c r="V312" i="5"/>
  <c r="H312" i="5"/>
  <c r="E312" i="5" s="1"/>
  <c r="C308" i="8"/>
  <c r="V308" i="5"/>
  <c r="H308" i="5"/>
  <c r="E308" i="5" s="1"/>
  <c r="C304" i="8"/>
  <c r="V304" i="5"/>
  <c r="H304" i="5"/>
  <c r="C300" i="8"/>
  <c r="V300" i="5"/>
  <c r="H300" i="5"/>
  <c r="C296" i="8"/>
  <c r="V296" i="5"/>
  <c r="H296" i="5"/>
  <c r="E296" i="5" s="1"/>
  <c r="C292" i="8"/>
  <c r="V292" i="5"/>
  <c r="H292" i="5"/>
  <c r="E292" i="5" s="1"/>
  <c r="C288" i="8"/>
  <c r="V288" i="5"/>
  <c r="H288" i="5"/>
  <c r="C284" i="8"/>
  <c r="V284" i="5"/>
  <c r="H284" i="5"/>
  <c r="C280" i="8"/>
  <c r="V280" i="5"/>
  <c r="H280" i="5"/>
  <c r="E280" i="5" s="1"/>
  <c r="C276" i="8"/>
  <c r="H276" i="5"/>
  <c r="V276" i="5"/>
  <c r="C272" i="8"/>
  <c r="V272" i="5"/>
  <c r="H272" i="5"/>
  <c r="C268" i="8"/>
  <c r="V268" i="5"/>
  <c r="H268" i="5"/>
  <c r="C264" i="8"/>
  <c r="V264" i="5"/>
  <c r="H264" i="5"/>
  <c r="E264" i="5" s="1"/>
  <c r="C260" i="8"/>
  <c r="V260" i="5"/>
  <c r="H260" i="5"/>
  <c r="E260" i="5" s="1"/>
  <c r="C256" i="8"/>
  <c r="V256" i="5"/>
  <c r="H256" i="5"/>
  <c r="C252" i="8"/>
  <c r="V252" i="5"/>
  <c r="H252" i="5"/>
  <c r="C248" i="8"/>
  <c r="V248" i="5"/>
  <c r="H248" i="5"/>
  <c r="E248" i="5" s="1"/>
  <c r="C244" i="8"/>
  <c r="V244" i="5"/>
  <c r="H244" i="5"/>
  <c r="E244" i="5" s="1"/>
  <c r="C240" i="8"/>
  <c r="V240" i="5"/>
  <c r="H240" i="5"/>
  <c r="C236" i="8"/>
  <c r="V236" i="5"/>
  <c r="H236" i="5"/>
  <c r="C232" i="8"/>
  <c r="V232" i="5"/>
  <c r="H232" i="5"/>
  <c r="E232" i="5" s="1"/>
  <c r="F232" i="5" s="1"/>
  <c r="C228" i="8"/>
  <c r="V228" i="5"/>
  <c r="H228" i="5"/>
  <c r="C224" i="8"/>
  <c r="V224" i="5"/>
  <c r="H224" i="5"/>
  <c r="C220" i="8"/>
  <c r="V220" i="5"/>
  <c r="H220" i="5"/>
  <c r="C216" i="8"/>
  <c r="V216" i="5"/>
  <c r="H216" i="5"/>
  <c r="E216" i="5" s="1"/>
  <c r="C212" i="8"/>
  <c r="V212" i="5"/>
  <c r="H212" i="5"/>
  <c r="E212" i="5" s="1"/>
  <c r="C208" i="8"/>
  <c r="V208" i="5"/>
  <c r="H208" i="5"/>
  <c r="C204" i="8"/>
  <c r="V204" i="5"/>
  <c r="H204" i="5"/>
  <c r="C200" i="8"/>
  <c r="V200" i="5"/>
  <c r="H200" i="5"/>
  <c r="E200" i="5" s="1"/>
  <c r="C196" i="8"/>
  <c r="V196" i="5"/>
  <c r="H196" i="5"/>
  <c r="E196" i="5" s="1"/>
  <c r="C192" i="8"/>
  <c r="V192" i="5"/>
  <c r="H192" i="5"/>
  <c r="C188" i="8"/>
  <c r="V188" i="5"/>
  <c r="H188" i="5"/>
  <c r="C184" i="8"/>
  <c r="V184" i="5"/>
  <c r="H184" i="5"/>
  <c r="E184" i="5" s="1"/>
  <c r="C180" i="8"/>
  <c r="V180" i="5"/>
  <c r="H180" i="5"/>
  <c r="E180" i="5" s="1"/>
  <c r="F180" i="5" s="1"/>
  <c r="E180" i="8" s="1"/>
  <c r="C176" i="8"/>
  <c r="V176" i="5"/>
  <c r="H176" i="5"/>
  <c r="C172" i="8"/>
  <c r="V172" i="5"/>
  <c r="H172" i="5"/>
  <c r="C168" i="8"/>
  <c r="V168" i="5"/>
  <c r="H168" i="5"/>
  <c r="E168" i="5" s="1"/>
  <c r="C164" i="8"/>
  <c r="V164" i="5"/>
  <c r="H164" i="5"/>
  <c r="E164" i="5" s="1"/>
  <c r="C160" i="8"/>
  <c r="V160" i="5"/>
  <c r="H160" i="5"/>
  <c r="C156" i="8"/>
  <c r="V156" i="5"/>
  <c r="H156" i="5"/>
  <c r="C152" i="8"/>
  <c r="V152" i="5"/>
  <c r="H152" i="5"/>
  <c r="E152" i="5" s="1"/>
  <c r="C148" i="8"/>
  <c r="V148" i="5"/>
  <c r="H148" i="5"/>
  <c r="E148" i="5" s="1"/>
  <c r="C144" i="8"/>
  <c r="V144" i="5"/>
  <c r="H144" i="5"/>
  <c r="C140" i="8"/>
  <c r="V140" i="5"/>
  <c r="H140" i="5"/>
  <c r="C136" i="8"/>
  <c r="V136" i="5"/>
  <c r="H136" i="5"/>
  <c r="E136" i="5" s="1"/>
  <c r="F136" i="5" s="1"/>
  <c r="C132" i="8"/>
  <c r="V132" i="5"/>
  <c r="H132" i="5"/>
  <c r="E132" i="5" s="1"/>
  <c r="C128" i="8"/>
  <c r="V128" i="5"/>
  <c r="H128" i="5"/>
  <c r="C124" i="8"/>
  <c r="V124" i="5"/>
  <c r="H124" i="5"/>
  <c r="C120" i="8"/>
  <c r="V120" i="5"/>
  <c r="H120" i="5"/>
  <c r="E120" i="5" s="1"/>
  <c r="C116" i="8"/>
  <c r="V116" i="5"/>
  <c r="H116" i="5"/>
  <c r="E116" i="5" s="1"/>
  <c r="C112" i="8"/>
  <c r="V112" i="5"/>
  <c r="H112" i="5"/>
  <c r="C108" i="8"/>
  <c r="V108" i="5"/>
  <c r="H108" i="5"/>
  <c r="C104" i="8"/>
  <c r="V104" i="5"/>
  <c r="H104" i="5"/>
  <c r="E104" i="5" s="1"/>
  <c r="F104" i="5" s="1"/>
  <c r="C100" i="8"/>
  <c r="V100" i="5"/>
  <c r="H100" i="5"/>
  <c r="E100" i="5" s="1"/>
  <c r="C96" i="8"/>
  <c r="V96" i="5"/>
  <c r="H96" i="5"/>
  <c r="C92" i="8"/>
  <c r="V92" i="5"/>
  <c r="H92" i="5"/>
  <c r="C88" i="8"/>
  <c r="V88" i="5"/>
  <c r="H88" i="5"/>
  <c r="E88" i="5" s="1"/>
  <c r="F88" i="5" s="1"/>
  <c r="C84" i="8"/>
  <c r="V84" i="5"/>
  <c r="H84" i="5"/>
  <c r="E84" i="5" s="1"/>
  <c r="F84" i="5" s="1"/>
  <c r="E84" i="8" s="1"/>
  <c r="C80" i="8"/>
  <c r="V80" i="5"/>
  <c r="H80" i="5"/>
  <c r="C76" i="8"/>
  <c r="V76" i="5"/>
  <c r="H76" i="5"/>
  <c r="C72" i="8"/>
  <c r="V72" i="5"/>
  <c r="H72" i="5"/>
  <c r="E72" i="5" s="1"/>
  <c r="C68" i="8"/>
  <c r="V68" i="5"/>
  <c r="H68" i="5"/>
  <c r="E68" i="5" s="1"/>
  <c r="C64" i="8"/>
  <c r="V64" i="5"/>
  <c r="H64" i="5"/>
  <c r="C60" i="8"/>
  <c r="V60" i="5"/>
  <c r="H60" i="5"/>
  <c r="C56" i="8"/>
  <c r="V56" i="5"/>
  <c r="H56" i="5"/>
  <c r="E56" i="5" s="1"/>
  <c r="C52" i="8"/>
  <c r="V52" i="5"/>
  <c r="H52" i="5"/>
  <c r="E52" i="5" s="1"/>
  <c r="F52" i="5" s="1"/>
  <c r="E52" i="8" s="1"/>
  <c r="C48" i="8"/>
  <c r="V48" i="5"/>
  <c r="H48" i="5"/>
  <c r="C44" i="8"/>
  <c r="V44" i="5"/>
  <c r="H44" i="5"/>
  <c r="C40" i="8"/>
  <c r="V40" i="5"/>
  <c r="H40" i="5"/>
  <c r="E40" i="5" s="1"/>
  <c r="C36" i="8"/>
  <c r="V36" i="5"/>
  <c r="H36" i="5"/>
  <c r="E36" i="5" s="1"/>
  <c r="V32" i="5"/>
  <c r="H32" i="5"/>
  <c r="E32" i="5" s="1"/>
  <c r="F32" i="5" s="1"/>
  <c r="C28" i="8"/>
  <c r="V28" i="5"/>
  <c r="H28" i="5"/>
  <c r="E28" i="5" s="1"/>
  <c r="C24" i="8"/>
  <c r="V24" i="5"/>
  <c r="H24" i="5"/>
  <c r="C20" i="8"/>
  <c r="W12" i="8"/>
  <c r="V20" i="5"/>
  <c r="H20" i="5"/>
  <c r="E20" i="5" s="1"/>
  <c r="W8" i="8"/>
  <c r="V16" i="5"/>
  <c r="H16" i="5"/>
  <c r="C12" i="8"/>
  <c r="V12" i="5"/>
  <c r="H12" i="5"/>
  <c r="C8" i="8"/>
  <c r="V8" i="5"/>
  <c r="H8" i="5"/>
  <c r="E8" i="5" s="1"/>
  <c r="C1024" i="8"/>
  <c r="V1024" i="5"/>
  <c r="H1024" i="5"/>
  <c r="E1024" i="5" s="1"/>
  <c r="C1020" i="8"/>
  <c r="V1020" i="5"/>
  <c r="H1020" i="5"/>
  <c r="C1016" i="8"/>
  <c r="V1016" i="5"/>
  <c r="H1016" i="5"/>
  <c r="D20" i="8"/>
  <c r="X12" i="8"/>
  <c r="B20" i="8"/>
  <c r="V12" i="8"/>
  <c r="C611" i="8"/>
  <c r="H611" i="5"/>
  <c r="E611" i="5" s="1"/>
  <c r="F611" i="5" s="1"/>
  <c r="E611" i="8" s="1"/>
  <c r="V611" i="5"/>
  <c r="C607" i="8"/>
  <c r="V607" i="5"/>
  <c r="H607" i="5"/>
  <c r="C603" i="8"/>
  <c r="V603" i="5"/>
  <c r="H603" i="5"/>
  <c r="E603" i="5" s="1"/>
  <c r="C599" i="8"/>
  <c r="H599" i="5"/>
  <c r="E599" i="5" s="1"/>
  <c r="V599" i="5"/>
  <c r="C595" i="8"/>
  <c r="V595" i="5"/>
  <c r="H595" i="5"/>
  <c r="C591" i="8"/>
  <c r="V591" i="5"/>
  <c r="H591" i="5"/>
  <c r="C587" i="8"/>
  <c r="H587" i="5"/>
  <c r="V587" i="5"/>
  <c r="C583" i="8"/>
  <c r="V583" i="5"/>
  <c r="H583" i="5"/>
  <c r="C579" i="8"/>
  <c r="V579" i="5"/>
  <c r="H579" i="5"/>
  <c r="C575" i="8"/>
  <c r="V575" i="5"/>
  <c r="H575" i="5"/>
  <c r="C571" i="8"/>
  <c r="V571" i="5"/>
  <c r="H571" i="5"/>
  <c r="E571" i="5" s="1"/>
  <c r="F571" i="5" s="1"/>
  <c r="C567" i="8"/>
  <c r="V567" i="5"/>
  <c r="H567" i="5"/>
  <c r="C563" i="8"/>
  <c r="V563" i="5"/>
  <c r="H563" i="5"/>
  <c r="C559" i="8"/>
  <c r="V559" i="5"/>
  <c r="H559" i="5"/>
  <c r="C555" i="8"/>
  <c r="V555" i="5"/>
  <c r="H555" i="5"/>
  <c r="E555" i="5" s="1"/>
  <c r="C551" i="8"/>
  <c r="V551" i="5"/>
  <c r="H551" i="5"/>
  <c r="C547" i="8"/>
  <c r="V547" i="5"/>
  <c r="H547" i="5"/>
  <c r="C543" i="8"/>
  <c r="V543" i="5"/>
  <c r="H543" i="5"/>
  <c r="C539" i="8"/>
  <c r="V539" i="5"/>
  <c r="H539" i="5"/>
  <c r="E539" i="5" s="1"/>
  <c r="C535" i="8"/>
  <c r="V535" i="5"/>
  <c r="H535" i="5"/>
  <c r="C531" i="8"/>
  <c r="V531" i="5"/>
  <c r="H531" i="5"/>
  <c r="C527" i="8"/>
  <c r="V527" i="5"/>
  <c r="H527" i="5"/>
  <c r="C523" i="8"/>
  <c r="V523" i="5"/>
  <c r="H523" i="5"/>
  <c r="E523" i="5" s="1"/>
  <c r="C519" i="8"/>
  <c r="V519" i="5"/>
  <c r="H519" i="5"/>
  <c r="C515" i="8"/>
  <c r="V515" i="5"/>
  <c r="H515" i="5"/>
  <c r="C511" i="8"/>
  <c r="V511" i="5"/>
  <c r="H511" i="5"/>
  <c r="C507" i="8"/>
  <c r="V507" i="5"/>
  <c r="H507" i="5"/>
  <c r="E507" i="5" s="1"/>
  <c r="C503" i="8"/>
  <c r="V503" i="5"/>
  <c r="H503" i="5"/>
  <c r="C499" i="8"/>
  <c r="V499" i="5"/>
  <c r="H499" i="5"/>
  <c r="C495" i="8"/>
  <c r="V495" i="5"/>
  <c r="H495" i="5"/>
  <c r="C491" i="8"/>
  <c r="V491" i="5"/>
  <c r="H491" i="5"/>
  <c r="E491" i="5" s="1"/>
  <c r="C487" i="8"/>
  <c r="V487" i="5"/>
  <c r="H487" i="5"/>
  <c r="C483" i="8"/>
  <c r="V483" i="5"/>
  <c r="H483" i="5"/>
  <c r="C479" i="8"/>
  <c r="V479" i="5"/>
  <c r="H479" i="5"/>
  <c r="C475" i="8"/>
  <c r="V475" i="5"/>
  <c r="H475" i="5"/>
  <c r="E475" i="5" s="1"/>
  <c r="C471" i="8"/>
  <c r="V471" i="5"/>
  <c r="H471" i="5"/>
  <c r="C467" i="8"/>
  <c r="V467" i="5"/>
  <c r="H467" i="5"/>
  <c r="C463" i="8"/>
  <c r="V463" i="5"/>
  <c r="H463" i="5"/>
  <c r="C459" i="8"/>
  <c r="V459" i="5"/>
  <c r="H459" i="5"/>
  <c r="E459" i="5" s="1"/>
  <c r="C455" i="8"/>
  <c r="V455" i="5"/>
  <c r="H455" i="5"/>
  <c r="C451" i="8"/>
  <c r="V451" i="5"/>
  <c r="H451" i="5"/>
  <c r="C447" i="8"/>
  <c r="V447" i="5"/>
  <c r="H447" i="5"/>
  <c r="C443" i="8"/>
  <c r="V443" i="5"/>
  <c r="H443" i="5"/>
  <c r="E443" i="5" s="1"/>
  <c r="C439" i="8"/>
  <c r="V439" i="5"/>
  <c r="H439" i="5"/>
  <c r="C435" i="8"/>
  <c r="V435" i="5"/>
  <c r="H435" i="5"/>
  <c r="C431" i="8"/>
  <c r="V431" i="5"/>
  <c r="H431" i="5"/>
  <c r="C427" i="8"/>
  <c r="V427" i="5"/>
  <c r="H427" i="5"/>
  <c r="E427" i="5" s="1"/>
  <c r="C423" i="8"/>
  <c r="V423" i="5"/>
  <c r="H423" i="5"/>
  <c r="C419" i="8"/>
  <c r="V419" i="5"/>
  <c r="H419" i="5"/>
  <c r="C415" i="8"/>
  <c r="V415" i="5"/>
  <c r="H415" i="5"/>
  <c r="C411" i="8"/>
  <c r="V411" i="5"/>
  <c r="H411" i="5"/>
  <c r="E411" i="5" s="1"/>
  <c r="C407" i="8"/>
  <c r="V407" i="5"/>
  <c r="H407" i="5"/>
  <c r="C403" i="8"/>
  <c r="V403" i="5"/>
  <c r="H403" i="5"/>
  <c r="C399" i="8"/>
  <c r="V399" i="5"/>
  <c r="H399" i="5"/>
  <c r="C395" i="8"/>
  <c r="V395" i="5"/>
  <c r="H395" i="5"/>
  <c r="E395" i="5" s="1"/>
  <c r="F395" i="5" s="1"/>
  <c r="C391" i="8"/>
  <c r="V391" i="5"/>
  <c r="H391" i="5"/>
  <c r="C387" i="8"/>
  <c r="V387" i="5"/>
  <c r="H387" i="5"/>
  <c r="C383" i="8"/>
  <c r="V383" i="5"/>
  <c r="H383" i="5"/>
  <c r="C379" i="8"/>
  <c r="V379" i="5"/>
  <c r="H379" i="5"/>
  <c r="E379" i="5" s="1"/>
  <c r="F379" i="5" s="1"/>
  <c r="E379" i="8" s="1"/>
  <c r="C375" i="8"/>
  <c r="V375" i="5"/>
  <c r="H375" i="5"/>
  <c r="C371" i="8"/>
  <c r="V371" i="5"/>
  <c r="H371" i="5"/>
  <c r="C367" i="8"/>
  <c r="V367" i="5"/>
  <c r="H367" i="5"/>
  <c r="C363" i="8"/>
  <c r="V363" i="5"/>
  <c r="H363" i="5"/>
  <c r="E363" i="5" s="1"/>
  <c r="F363" i="5" s="1"/>
  <c r="E363" i="8" s="1"/>
  <c r="C359" i="8"/>
  <c r="V359" i="5"/>
  <c r="H359" i="5"/>
  <c r="C355" i="8"/>
  <c r="V355" i="5"/>
  <c r="H355" i="5"/>
  <c r="C351" i="8"/>
  <c r="V351" i="5"/>
  <c r="H351" i="5"/>
  <c r="C347" i="8"/>
  <c r="V347" i="5"/>
  <c r="H347" i="5"/>
  <c r="E347" i="5" s="1"/>
  <c r="C343" i="8"/>
  <c r="V343" i="5"/>
  <c r="H343" i="5"/>
  <c r="C339" i="8"/>
  <c r="V339" i="5"/>
  <c r="H339" i="5"/>
  <c r="C335" i="8"/>
  <c r="V335" i="5"/>
  <c r="H335" i="5"/>
  <c r="C331" i="8"/>
  <c r="V331" i="5"/>
  <c r="H331" i="5"/>
  <c r="E331" i="5" s="1"/>
  <c r="C327" i="8"/>
  <c r="V327" i="5"/>
  <c r="H327" i="5"/>
  <c r="C323" i="8"/>
  <c r="V323" i="5"/>
  <c r="H323" i="5"/>
  <c r="C319" i="8"/>
  <c r="V319" i="5"/>
  <c r="H319" i="5"/>
  <c r="E319" i="5" s="1"/>
  <c r="C315" i="8"/>
  <c r="V315" i="5"/>
  <c r="H315" i="5"/>
  <c r="E315" i="5" s="1"/>
  <c r="F315" i="5" s="1"/>
  <c r="E315" i="8" s="1"/>
  <c r="C311" i="8"/>
  <c r="V311" i="5"/>
  <c r="H311" i="5"/>
  <c r="C307" i="8"/>
  <c r="V307" i="5"/>
  <c r="H307" i="5"/>
  <c r="C303" i="8"/>
  <c r="V303" i="5"/>
  <c r="H303" i="5"/>
  <c r="E303" i="5" s="1"/>
  <c r="C299" i="8"/>
  <c r="V299" i="5"/>
  <c r="H299" i="5"/>
  <c r="E299" i="5" s="1"/>
  <c r="F299" i="5" s="1"/>
  <c r="E299" i="8" s="1"/>
  <c r="C295" i="8"/>
  <c r="V295" i="5"/>
  <c r="H295" i="5"/>
  <c r="C291" i="8"/>
  <c r="V291" i="5"/>
  <c r="H291" i="5"/>
  <c r="C287" i="8"/>
  <c r="V287" i="5"/>
  <c r="H287" i="5"/>
  <c r="E287" i="5" s="1"/>
  <c r="C283" i="8"/>
  <c r="V283" i="5"/>
  <c r="H283" i="5"/>
  <c r="E283" i="5" s="1"/>
  <c r="C279" i="8"/>
  <c r="V279" i="5"/>
  <c r="H279" i="5"/>
  <c r="C275" i="8"/>
  <c r="H275" i="5"/>
  <c r="E275" i="5" s="1"/>
  <c r="V275" i="5"/>
  <c r="C271" i="8"/>
  <c r="H271" i="5"/>
  <c r="V271" i="5"/>
  <c r="C267" i="8"/>
  <c r="V267" i="5"/>
  <c r="H267" i="5"/>
  <c r="E267" i="5" s="1"/>
  <c r="F267" i="5" s="1"/>
  <c r="E267" i="8" s="1"/>
  <c r="C263" i="8"/>
  <c r="V263" i="5"/>
  <c r="H263" i="5"/>
  <c r="C259" i="8"/>
  <c r="H259" i="5"/>
  <c r="E259" i="5" s="1"/>
  <c r="V259" i="5"/>
  <c r="C255" i="8"/>
  <c r="V255" i="5"/>
  <c r="H255" i="5"/>
  <c r="E255" i="5" s="1"/>
  <c r="F255" i="5" s="1"/>
  <c r="C251" i="8"/>
  <c r="V251" i="5"/>
  <c r="H251" i="5"/>
  <c r="E251" i="5" s="1"/>
  <c r="F251" i="5" s="1"/>
  <c r="E251" i="8" s="1"/>
  <c r="C247" i="8"/>
  <c r="H247" i="5"/>
  <c r="E247" i="5" s="1"/>
  <c r="F247" i="5" s="1"/>
  <c r="E247" i="8" s="1"/>
  <c r="V247" i="5"/>
  <c r="C243" i="8"/>
  <c r="V243" i="5"/>
  <c r="H243" i="5"/>
  <c r="C239" i="8"/>
  <c r="V239" i="5"/>
  <c r="H239" i="5"/>
  <c r="E239" i="5" s="1"/>
  <c r="C235" i="8"/>
  <c r="H235" i="5"/>
  <c r="V235" i="5"/>
  <c r="C231" i="8"/>
  <c r="V231" i="5"/>
  <c r="H231" i="5"/>
  <c r="C227" i="8"/>
  <c r="V227" i="5"/>
  <c r="H227" i="5"/>
  <c r="C223" i="8"/>
  <c r="H223" i="5"/>
  <c r="V223" i="5"/>
  <c r="C219" i="8"/>
  <c r="V219" i="5"/>
  <c r="H219" i="5"/>
  <c r="E219" i="5" s="1"/>
  <c r="F219" i="5" s="1"/>
  <c r="E219" i="8" s="1"/>
  <c r="C215" i="8"/>
  <c r="V215" i="5"/>
  <c r="H215" i="5"/>
  <c r="C211" i="8"/>
  <c r="H211" i="5"/>
  <c r="E211" i="5" s="1"/>
  <c r="F211" i="5" s="1"/>
  <c r="E211" i="8" s="1"/>
  <c r="V211" i="5"/>
  <c r="C207" i="8"/>
  <c r="V207" i="5"/>
  <c r="H207" i="5"/>
  <c r="E207" i="5" s="1"/>
  <c r="C203" i="8"/>
  <c r="V203" i="5"/>
  <c r="H203" i="5"/>
  <c r="E203" i="5" s="1"/>
  <c r="F203" i="5" s="1"/>
  <c r="E203" i="8" s="1"/>
  <c r="C199" i="8"/>
  <c r="H199" i="5"/>
  <c r="E199" i="5" s="1"/>
  <c r="F199" i="5" s="1"/>
  <c r="V199" i="5"/>
  <c r="C195" i="8"/>
  <c r="V195" i="5"/>
  <c r="H195" i="5"/>
  <c r="C191" i="8"/>
  <c r="V191" i="5"/>
  <c r="H191" i="5"/>
  <c r="E191" i="5" s="1"/>
  <c r="C187" i="8"/>
  <c r="H187" i="5"/>
  <c r="V187" i="5"/>
  <c r="C183" i="8"/>
  <c r="V183" i="5"/>
  <c r="H183" i="5"/>
  <c r="C179" i="8"/>
  <c r="V179" i="5"/>
  <c r="H179" i="5"/>
  <c r="C175" i="8"/>
  <c r="H175" i="5"/>
  <c r="V175" i="5"/>
  <c r="C171" i="8"/>
  <c r="V171" i="5"/>
  <c r="H171" i="5"/>
  <c r="E171" i="5" s="1"/>
  <c r="F171" i="5" s="1"/>
  <c r="E171" i="8" s="1"/>
  <c r="C167" i="8"/>
  <c r="V167" i="5"/>
  <c r="H167" i="5"/>
  <c r="C163" i="8"/>
  <c r="H163" i="5"/>
  <c r="E163" i="5" s="1"/>
  <c r="V163" i="5"/>
  <c r="C159" i="8"/>
  <c r="V159" i="5"/>
  <c r="H159" i="5"/>
  <c r="E159" i="5" s="1"/>
  <c r="C155" i="8"/>
  <c r="V155" i="5"/>
  <c r="H155" i="5"/>
  <c r="E155" i="5" s="1"/>
  <c r="F155" i="5" s="1"/>
  <c r="E155" i="8" s="1"/>
  <c r="C151" i="8"/>
  <c r="H151" i="5"/>
  <c r="E151" i="5" s="1"/>
  <c r="F151" i="5" s="1"/>
  <c r="V151" i="5"/>
  <c r="C147" i="8"/>
  <c r="V147" i="5"/>
  <c r="H147" i="5"/>
  <c r="C143" i="8"/>
  <c r="V143" i="5"/>
  <c r="H143" i="5"/>
  <c r="E143" i="5" s="1"/>
  <c r="C139" i="8"/>
  <c r="H139" i="5"/>
  <c r="V139" i="5"/>
  <c r="C135" i="8"/>
  <c r="V135" i="5"/>
  <c r="H135" i="5"/>
  <c r="C131" i="8"/>
  <c r="V131" i="5"/>
  <c r="H131" i="5"/>
  <c r="C127" i="8"/>
  <c r="H127" i="5"/>
  <c r="V127" i="5"/>
  <c r="C123" i="8"/>
  <c r="V123" i="5"/>
  <c r="H123" i="5"/>
  <c r="E123" i="5" s="1"/>
  <c r="F123" i="5" s="1"/>
  <c r="E123" i="8" s="1"/>
  <c r="C119" i="8"/>
  <c r="V119" i="5"/>
  <c r="H119" i="5"/>
  <c r="C115" i="8"/>
  <c r="H115" i="5"/>
  <c r="E115" i="5" s="1"/>
  <c r="V115" i="5"/>
  <c r="C111" i="8"/>
  <c r="V111" i="5"/>
  <c r="H111" i="5"/>
  <c r="E111" i="5" s="1"/>
  <c r="C107" i="8"/>
  <c r="V107" i="5"/>
  <c r="H107" i="5"/>
  <c r="E107" i="5" s="1"/>
  <c r="F107" i="5" s="1"/>
  <c r="E107" i="8" s="1"/>
  <c r="C103" i="8"/>
  <c r="H103" i="5"/>
  <c r="E103" i="5" s="1"/>
  <c r="F103" i="5" s="1"/>
  <c r="V103" i="5"/>
  <c r="C99" i="8"/>
  <c r="V99" i="5"/>
  <c r="H99" i="5"/>
  <c r="C95" i="8"/>
  <c r="V95" i="5"/>
  <c r="H95" i="5"/>
  <c r="E95" i="5" s="1"/>
  <c r="C91" i="8"/>
  <c r="H91" i="5"/>
  <c r="V91" i="5"/>
  <c r="C87" i="8"/>
  <c r="V87" i="5"/>
  <c r="H87" i="5"/>
  <c r="C83" i="8"/>
  <c r="V83" i="5"/>
  <c r="H83" i="5"/>
  <c r="C79" i="8"/>
  <c r="H79" i="5"/>
  <c r="V79" i="5"/>
  <c r="C75" i="8"/>
  <c r="V75" i="5"/>
  <c r="H75" i="5"/>
  <c r="E75" i="5" s="1"/>
  <c r="F75" i="5" s="1"/>
  <c r="C71" i="8"/>
  <c r="V71" i="5"/>
  <c r="H71" i="5"/>
  <c r="C67" i="8"/>
  <c r="H67" i="5"/>
  <c r="E67" i="5" s="1"/>
  <c r="V67" i="5"/>
  <c r="C63" i="8"/>
  <c r="V63" i="5"/>
  <c r="H63" i="5"/>
  <c r="E63" i="5" s="1"/>
  <c r="C59" i="8"/>
  <c r="V59" i="5"/>
  <c r="H59" i="5"/>
  <c r="E59" i="5" s="1"/>
  <c r="F59" i="5" s="1"/>
  <c r="E59" i="8" s="1"/>
  <c r="C55" i="8"/>
  <c r="H55" i="5"/>
  <c r="E55" i="5" s="1"/>
  <c r="V55" i="5"/>
  <c r="C51" i="8"/>
  <c r="V51" i="5"/>
  <c r="H51" i="5"/>
  <c r="C47" i="8"/>
  <c r="V47" i="5"/>
  <c r="H47" i="5"/>
  <c r="E47" i="5" s="1"/>
  <c r="H43" i="5"/>
  <c r="E43" i="5" s="1"/>
  <c r="F43" i="5" s="1"/>
  <c r="V43" i="5"/>
  <c r="C39" i="8"/>
  <c r="V39" i="5"/>
  <c r="H39" i="5"/>
  <c r="E39" i="5" s="1"/>
  <c r="F39" i="5" s="1"/>
  <c r="C35" i="8"/>
  <c r="V35" i="5"/>
  <c r="H35" i="5"/>
  <c r="E35" i="5" s="1"/>
  <c r="C31" i="8"/>
  <c r="H31" i="5"/>
  <c r="E31" i="5" s="1"/>
  <c r="V31" i="5"/>
  <c r="C27" i="8"/>
  <c r="V27" i="5"/>
  <c r="H27" i="5"/>
  <c r="W9" i="8"/>
  <c r="V23" i="5"/>
  <c r="H23" i="5"/>
  <c r="E23" i="5" s="1"/>
  <c r="F23" i="5" s="1"/>
  <c r="Y9" i="8" s="1"/>
  <c r="C19" i="8"/>
  <c r="H19" i="5"/>
  <c r="V19" i="5"/>
  <c r="V15" i="5"/>
  <c r="H15" i="5"/>
  <c r="E15" i="5" s="1"/>
  <c r="F15" i="5" s="1"/>
  <c r="C11" i="8"/>
  <c r="V11" i="5"/>
  <c r="H11" i="5"/>
  <c r="C7" i="8"/>
  <c r="H7" i="5"/>
  <c r="V7" i="5"/>
  <c r="C1023" i="8"/>
  <c r="V1023" i="5"/>
  <c r="H1023" i="5"/>
  <c r="E1023" i="5" s="1"/>
  <c r="C1019" i="8"/>
  <c r="H1019" i="5"/>
  <c r="E1019" i="5" s="1"/>
  <c r="F1019" i="5" s="1"/>
  <c r="V1019" i="5"/>
  <c r="C1015" i="8"/>
  <c r="V1015" i="5"/>
  <c r="H1015" i="5"/>
  <c r="D11" i="8"/>
  <c r="X7" i="8"/>
  <c r="F1049" i="5"/>
  <c r="E1049" i="5"/>
  <c r="B11" i="8"/>
  <c r="V7" i="8"/>
  <c r="C662" i="8"/>
  <c r="V662" i="5"/>
  <c r="H662" i="5"/>
  <c r="C658" i="8"/>
  <c r="V658" i="5"/>
  <c r="H658" i="5"/>
  <c r="C654" i="8"/>
  <c r="H654" i="5"/>
  <c r="V654" i="5"/>
  <c r="C650" i="8"/>
  <c r="V650" i="5"/>
  <c r="H650" i="5"/>
  <c r="E650" i="5" s="1"/>
  <c r="F650" i="5" s="1"/>
  <c r="E650" i="8" s="1"/>
  <c r="C646" i="8"/>
  <c r="V646" i="5"/>
  <c r="H646" i="5"/>
  <c r="C642" i="8"/>
  <c r="H642" i="5"/>
  <c r="E642" i="5" s="1"/>
  <c r="F642" i="5" s="1"/>
  <c r="E642" i="8" s="1"/>
  <c r="V642" i="5"/>
  <c r="C638" i="8"/>
  <c r="V638" i="5"/>
  <c r="H638" i="5"/>
  <c r="E638" i="5" s="1"/>
  <c r="F638" i="5" s="1"/>
  <c r="E638" i="8" s="1"/>
  <c r="C634" i="8"/>
  <c r="V634" i="5"/>
  <c r="H634" i="5"/>
  <c r="E634" i="5" s="1"/>
  <c r="F634" i="5" s="1"/>
  <c r="E634" i="8" s="1"/>
  <c r="C630" i="8"/>
  <c r="V630" i="5"/>
  <c r="H630" i="5"/>
  <c r="C626" i="8"/>
  <c r="V626" i="5"/>
  <c r="H626" i="5"/>
  <c r="C622" i="8"/>
  <c r="V622" i="5"/>
  <c r="H622" i="5"/>
  <c r="E622" i="5" s="1"/>
  <c r="C618" i="8"/>
  <c r="V618" i="5"/>
  <c r="H618" i="5"/>
  <c r="E618" i="5" s="1"/>
  <c r="F618" i="5" s="1"/>
  <c r="E618" i="8" s="1"/>
  <c r="C614" i="8"/>
  <c r="V614" i="5"/>
  <c r="H614" i="5"/>
  <c r="C610" i="8"/>
  <c r="V610" i="5"/>
  <c r="H610" i="5"/>
  <c r="C606" i="8"/>
  <c r="V606" i="5"/>
  <c r="H606" i="5"/>
  <c r="E606" i="5" s="1"/>
  <c r="C602" i="8"/>
  <c r="V602" i="5"/>
  <c r="H602" i="5"/>
  <c r="E602" i="5" s="1"/>
  <c r="C598" i="8"/>
  <c r="V598" i="5"/>
  <c r="H598" i="5"/>
  <c r="C594" i="8"/>
  <c r="V594" i="5"/>
  <c r="H594" i="5"/>
  <c r="C590" i="8"/>
  <c r="V590" i="5"/>
  <c r="H590" i="5"/>
  <c r="E590" i="5" s="1"/>
  <c r="C586" i="8"/>
  <c r="V586" i="5"/>
  <c r="H586" i="5"/>
  <c r="E586" i="5" s="1"/>
  <c r="C582" i="8"/>
  <c r="V582" i="5"/>
  <c r="H582" i="5"/>
  <c r="C578" i="8"/>
  <c r="V578" i="5"/>
  <c r="H578" i="5"/>
  <c r="C574" i="8"/>
  <c r="V574" i="5"/>
  <c r="H574" i="5"/>
  <c r="E574" i="5" s="1"/>
  <c r="C570" i="8"/>
  <c r="V570" i="5"/>
  <c r="H570" i="5"/>
  <c r="E570" i="5" s="1"/>
  <c r="F570" i="5" s="1"/>
  <c r="E570" i="8" s="1"/>
  <c r="C566" i="8"/>
  <c r="V566" i="5"/>
  <c r="H566" i="5"/>
  <c r="C562" i="8"/>
  <c r="V562" i="5"/>
  <c r="H562" i="5"/>
  <c r="C558" i="8"/>
  <c r="V558" i="5"/>
  <c r="H558" i="5"/>
  <c r="E558" i="5" s="1"/>
  <c r="C554" i="8"/>
  <c r="V554" i="5"/>
  <c r="H554" i="5"/>
  <c r="E554" i="5" s="1"/>
  <c r="C550" i="8"/>
  <c r="V550" i="5"/>
  <c r="H550" i="5"/>
  <c r="C546" i="8"/>
  <c r="V546" i="5"/>
  <c r="H546" i="5"/>
  <c r="C542" i="8"/>
  <c r="V542" i="5"/>
  <c r="H542" i="5"/>
  <c r="E542" i="5" s="1"/>
  <c r="C538" i="8"/>
  <c r="V538" i="5"/>
  <c r="H538" i="5"/>
  <c r="E538" i="5" s="1"/>
  <c r="C534" i="8"/>
  <c r="V534" i="5"/>
  <c r="H534" i="5"/>
  <c r="C530" i="8"/>
  <c r="V530" i="5"/>
  <c r="H530" i="5"/>
  <c r="C526" i="8"/>
  <c r="V526" i="5"/>
  <c r="H526" i="5"/>
  <c r="E526" i="5" s="1"/>
  <c r="F526" i="5" s="1"/>
  <c r="E526" i="8" s="1"/>
  <c r="C522" i="8"/>
  <c r="V522" i="5"/>
  <c r="H522" i="5"/>
  <c r="E522" i="5" s="1"/>
  <c r="C518" i="8"/>
  <c r="V518" i="5"/>
  <c r="H518" i="5"/>
  <c r="C514" i="8"/>
  <c r="V514" i="5"/>
  <c r="H514" i="5"/>
  <c r="C510" i="8"/>
  <c r="V510" i="5"/>
  <c r="H510" i="5"/>
  <c r="E510" i="5" s="1"/>
  <c r="F510" i="5" s="1"/>
  <c r="C506" i="8"/>
  <c r="V506" i="5"/>
  <c r="H506" i="5"/>
  <c r="E506" i="5" s="1"/>
  <c r="C502" i="8"/>
  <c r="V502" i="5"/>
  <c r="H502" i="5"/>
  <c r="C498" i="8"/>
  <c r="V498" i="5"/>
  <c r="H498" i="5"/>
  <c r="C494" i="8"/>
  <c r="V494" i="5"/>
  <c r="H494" i="5"/>
  <c r="E494" i="5" s="1"/>
  <c r="F494" i="5" s="1"/>
  <c r="E494" i="8" s="1"/>
  <c r="C490" i="8"/>
  <c r="V490" i="5"/>
  <c r="H490" i="5"/>
  <c r="E490" i="5" s="1"/>
  <c r="F490" i="5" s="1"/>
  <c r="E490" i="8" s="1"/>
  <c r="C486" i="8"/>
  <c r="V486" i="5"/>
  <c r="H486" i="5"/>
  <c r="C482" i="8"/>
  <c r="V482" i="5"/>
  <c r="H482" i="5"/>
  <c r="C478" i="8"/>
  <c r="V478" i="5"/>
  <c r="H478" i="5"/>
  <c r="E478" i="5" s="1"/>
  <c r="F478" i="5" s="1"/>
  <c r="E478" i="8" s="1"/>
  <c r="C474" i="8"/>
  <c r="V474" i="5"/>
  <c r="H474" i="5"/>
  <c r="E474" i="5" s="1"/>
  <c r="F474" i="5" s="1"/>
  <c r="E474" i="8" s="1"/>
  <c r="C470" i="8"/>
  <c r="V470" i="5"/>
  <c r="H470" i="5"/>
  <c r="C466" i="8"/>
  <c r="V466" i="5"/>
  <c r="H466" i="5"/>
  <c r="C462" i="8"/>
  <c r="V462" i="5"/>
  <c r="H462" i="5"/>
  <c r="E462" i="5" s="1"/>
  <c r="C458" i="8"/>
  <c r="V458" i="5"/>
  <c r="H458" i="5"/>
  <c r="E458" i="5" s="1"/>
  <c r="C454" i="8"/>
  <c r="V454" i="5"/>
  <c r="H454" i="5"/>
  <c r="C450" i="8"/>
  <c r="V450" i="5"/>
  <c r="H450" i="5"/>
  <c r="C446" i="8"/>
  <c r="V446" i="5"/>
  <c r="H446" i="5"/>
  <c r="E446" i="5" s="1"/>
  <c r="C442" i="8"/>
  <c r="V442" i="5"/>
  <c r="H442" i="5"/>
  <c r="E442" i="5" s="1"/>
  <c r="C438" i="8"/>
  <c r="V438" i="5"/>
  <c r="H438" i="5"/>
  <c r="C434" i="8"/>
  <c r="V434" i="5"/>
  <c r="H434" i="5"/>
  <c r="C430" i="8"/>
  <c r="V430" i="5"/>
  <c r="H430" i="5"/>
  <c r="E430" i="5" s="1"/>
  <c r="F430" i="5" s="1"/>
  <c r="E430" i="8" s="1"/>
  <c r="C426" i="8"/>
  <c r="V426" i="5"/>
  <c r="H426" i="5"/>
  <c r="E426" i="5" s="1"/>
  <c r="C422" i="8"/>
  <c r="V422" i="5"/>
  <c r="H422" i="5"/>
  <c r="C418" i="8"/>
  <c r="V418" i="5"/>
  <c r="H418" i="5"/>
  <c r="C414" i="8"/>
  <c r="V414" i="5"/>
  <c r="H414" i="5"/>
  <c r="E414" i="5" s="1"/>
  <c r="F414" i="5" s="1"/>
  <c r="E414" i="8" s="1"/>
  <c r="C410" i="8"/>
  <c r="V410" i="5"/>
  <c r="H410" i="5"/>
  <c r="E410" i="5" s="1"/>
  <c r="F410" i="5" s="1"/>
  <c r="E410" i="8" s="1"/>
  <c r="C406" i="8"/>
  <c r="V406" i="5"/>
  <c r="H406" i="5"/>
  <c r="C402" i="8"/>
  <c r="V402" i="5"/>
  <c r="H402" i="5"/>
  <c r="C398" i="8"/>
  <c r="V398" i="5"/>
  <c r="H398" i="5"/>
  <c r="E398" i="5" s="1"/>
  <c r="C394" i="8"/>
  <c r="V394" i="5"/>
  <c r="H394" i="5"/>
  <c r="E394" i="5" s="1"/>
  <c r="C390" i="8"/>
  <c r="V390" i="5"/>
  <c r="H390" i="5"/>
  <c r="C386" i="8"/>
  <c r="H386" i="5"/>
  <c r="E386" i="5" s="1"/>
  <c r="F386" i="5" s="1"/>
  <c r="E386" i="8" s="1"/>
  <c r="V386" i="5"/>
  <c r="C382" i="8"/>
  <c r="V382" i="5"/>
  <c r="H382" i="5"/>
  <c r="E382" i="5" s="1"/>
  <c r="C378" i="8"/>
  <c r="V378" i="5"/>
  <c r="H378" i="5"/>
  <c r="E378" i="5" s="1"/>
  <c r="C374" i="8"/>
  <c r="H374" i="5"/>
  <c r="E374" i="5" s="1"/>
  <c r="V374" i="5"/>
  <c r="C370" i="8"/>
  <c r="V370" i="5"/>
  <c r="H370" i="5"/>
  <c r="C366" i="8"/>
  <c r="V366" i="5"/>
  <c r="H366" i="5"/>
  <c r="E366" i="5" s="1"/>
  <c r="C362" i="8"/>
  <c r="H362" i="5"/>
  <c r="V362" i="5"/>
  <c r="C358" i="8"/>
  <c r="V358" i="5"/>
  <c r="H358" i="5"/>
  <c r="C354" i="8"/>
  <c r="V354" i="5"/>
  <c r="H354" i="5"/>
  <c r="C350" i="8"/>
  <c r="H350" i="5"/>
  <c r="V350" i="5"/>
  <c r="C346" i="8"/>
  <c r="V346" i="5"/>
  <c r="H346" i="5"/>
  <c r="E346" i="5" s="1"/>
  <c r="F346" i="5" s="1"/>
  <c r="E346" i="8" s="1"/>
  <c r="C342" i="8"/>
  <c r="V342" i="5"/>
  <c r="H342" i="5"/>
  <c r="C338" i="8"/>
  <c r="H338" i="5"/>
  <c r="E338" i="5" s="1"/>
  <c r="V338" i="5"/>
  <c r="C334" i="8"/>
  <c r="V334" i="5"/>
  <c r="H334" i="5"/>
  <c r="E334" i="5" s="1"/>
  <c r="F334" i="5" s="1"/>
  <c r="E334" i="8" s="1"/>
  <c r="C330" i="8"/>
  <c r="V330" i="5"/>
  <c r="H330" i="5"/>
  <c r="E330" i="5" s="1"/>
  <c r="F330" i="5" s="1"/>
  <c r="E330" i="8" s="1"/>
  <c r="C326" i="8"/>
  <c r="H326" i="5"/>
  <c r="E326" i="5" s="1"/>
  <c r="F326" i="5" s="1"/>
  <c r="E326" i="8" s="1"/>
  <c r="V326" i="5"/>
  <c r="C322" i="8"/>
  <c r="V322" i="5"/>
  <c r="H322" i="5"/>
  <c r="C318" i="8"/>
  <c r="V318" i="5"/>
  <c r="H318" i="5"/>
  <c r="E318" i="5" s="1"/>
  <c r="F318" i="5" s="1"/>
  <c r="E318" i="8" s="1"/>
  <c r="C314" i="8"/>
  <c r="H314" i="5"/>
  <c r="V314" i="5"/>
  <c r="C310" i="8"/>
  <c r="V310" i="5"/>
  <c r="H310" i="5"/>
  <c r="C306" i="8"/>
  <c r="V306" i="5"/>
  <c r="H306" i="5"/>
  <c r="C302" i="8"/>
  <c r="H302" i="5"/>
  <c r="V302" i="5"/>
  <c r="C298" i="8"/>
  <c r="V298" i="5"/>
  <c r="H298" i="5"/>
  <c r="E298" i="5" s="1"/>
  <c r="C294" i="8"/>
  <c r="V294" i="5"/>
  <c r="H294" i="5"/>
  <c r="C290" i="8"/>
  <c r="H290" i="5"/>
  <c r="E290" i="5" s="1"/>
  <c r="V290" i="5"/>
  <c r="C286" i="8"/>
  <c r="V286" i="5"/>
  <c r="H286" i="5"/>
  <c r="E286" i="5" s="1"/>
  <c r="F286" i="5" s="1"/>
  <c r="E286" i="8" s="1"/>
  <c r="C282" i="8"/>
  <c r="V282" i="5"/>
  <c r="H282" i="5"/>
  <c r="E282" i="5" s="1"/>
  <c r="C278" i="8"/>
  <c r="H278" i="5"/>
  <c r="E278" i="5" s="1"/>
  <c r="F278" i="5" s="1"/>
  <c r="E278" i="8" s="1"/>
  <c r="V278" i="5"/>
  <c r="C274" i="8"/>
  <c r="V274" i="5"/>
  <c r="H274" i="5"/>
  <c r="C270" i="8"/>
  <c r="V270" i="5"/>
  <c r="H270" i="5"/>
  <c r="E270" i="5" s="1"/>
  <c r="C266" i="8"/>
  <c r="V266" i="5"/>
  <c r="H266" i="5"/>
  <c r="E266" i="5" s="1"/>
  <c r="C262" i="8"/>
  <c r="V262" i="5"/>
  <c r="H262" i="5"/>
  <c r="C258" i="8"/>
  <c r="V258" i="5"/>
  <c r="H258" i="5"/>
  <c r="C254" i="8"/>
  <c r="V254" i="5"/>
  <c r="H254" i="5"/>
  <c r="E254" i="5" s="1"/>
  <c r="F254" i="5" s="1"/>
  <c r="E254" i="8" s="1"/>
  <c r="C250" i="8"/>
  <c r="V250" i="5"/>
  <c r="H250" i="5"/>
  <c r="E250" i="5" s="1"/>
  <c r="C246" i="8"/>
  <c r="V246" i="5"/>
  <c r="H246" i="5"/>
  <c r="C242" i="8"/>
  <c r="V242" i="5"/>
  <c r="H242" i="5"/>
  <c r="C238" i="8"/>
  <c r="V238" i="5"/>
  <c r="H238" i="5"/>
  <c r="E238" i="5" s="1"/>
  <c r="F238" i="5" s="1"/>
  <c r="E238" i="8" s="1"/>
  <c r="C234" i="8"/>
  <c r="V234" i="5"/>
  <c r="H234" i="5"/>
  <c r="E234" i="5" s="1"/>
  <c r="F234" i="5" s="1"/>
  <c r="E234" i="8" s="1"/>
  <c r="C230" i="8"/>
  <c r="V230" i="5"/>
  <c r="H230" i="5"/>
  <c r="C226" i="8"/>
  <c r="V226" i="5"/>
  <c r="H226" i="5"/>
  <c r="C222" i="8"/>
  <c r="V222" i="5"/>
  <c r="H222" i="5"/>
  <c r="E222" i="5" s="1"/>
  <c r="F222" i="5" s="1"/>
  <c r="E222" i="8" s="1"/>
  <c r="C218" i="8"/>
  <c r="V218" i="5"/>
  <c r="H218" i="5"/>
  <c r="E218" i="5" s="1"/>
  <c r="C214" i="8"/>
  <c r="V214" i="5"/>
  <c r="H214" i="5"/>
  <c r="C210" i="8"/>
  <c r="V210" i="5"/>
  <c r="H210" i="5"/>
  <c r="C206" i="8"/>
  <c r="V206" i="5"/>
  <c r="H206" i="5"/>
  <c r="E206" i="5" s="1"/>
  <c r="F206" i="5" s="1"/>
  <c r="E206" i="8" s="1"/>
  <c r="C202" i="8"/>
  <c r="V202" i="5"/>
  <c r="H202" i="5"/>
  <c r="E202" i="5" s="1"/>
  <c r="C198" i="8"/>
  <c r="V198" i="5"/>
  <c r="H198" i="5"/>
  <c r="C194" i="8"/>
  <c r="V194" i="5"/>
  <c r="H194" i="5"/>
  <c r="C190" i="8"/>
  <c r="V190" i="5"/>
  <c r="H190" i="5"/>
  <c r="E190" i="5" s="1"/>
  <c r="C186" i="8"/>
  <c r="V186" i="5"/>
  <c r="H186" i="5"/>
  <c r="E186" i="5" s="1"/>
  <c r="F186" i="5" s="1"/>
  <c r="E186" i="8" s="1"/>
  <c r="C182" i="8"/>
  <c r="V182" i="5"/>
  <c r="H182" i="5"/>
  <c r="C178" i="8"/>
  <c r="V178" i="5"/>
  <c r="H178" i="5"/>
  <c r="C174" i="8"/>
  <c r="V174" i="5"/>
  <c r="H174" i="5"/>
  <c r="C170" i="8"/>
  <c r="V170" i="5"/>
  <c r="H170" i="5"/>
  <c r="E170" i="5" s="1"/>
  <c r="C166" i="8"/>
  <c r="V166" i="5"/>
  <c r="H166" i="5"/>
  <c r="C162" i="8"/>
  <c r="V162" i="5"/>
  <c r="H162" i="5"/>
  <c r="C158" i="8"/>
  <c r="V158" i="5"/>
  <c r="H158" i="5"/>
  <c r="E158" i="5" s="1"/>
  <c r="C154" i="8"/>
  <c r="V154" i="5"/>
  <c r="H154" i="5"/>
  <c r="E154" i="5" s="1"/>
  <c r="C150" i="8"/>
  <c r="V150" i="5"/>
  <c r="H150" i="5"/>
  <c r="C146" i="8"/>
  <c r="V146" i="5"/>
  <c r="H146" i="5"/>
  <c r="C142" i="8"/>
  <c r="V142" i="5"/>
  <c r="H142" i="5"/>
  <c r="E142" i="5" s="1"/>
  <c r="C138" i="8"/>
  <c r="V138" i="5"/>
  <c r="H138" i="5"/>
  <c r="C134" i="8"/>
  <c r="V134" i="5"/>
  <c r="H134" i="5"/>
  <c r="C130" i="8"/>
  <c r="V130" i="5"/>
  <c r="H130" i="5"/>
  <c r="C126" i="8"/>
  <c r="V126" i="5"/>
  <c r="H126" i="5"/>
  <c r="E126" i="5" s="1"/>
  <c r="C122" i="8"/>
  <c r="V122" i="5"/>
  <c r="H122" i="5"/>
  <c r="E122" i="5" s="1"/>
  <c r="C118" i="8"/>
  <c r="V118" i="5"/>
  <c r="H118" i="5"/>
  <c r="C114" i="8"/>
  <c r="V114" i="5"/>
  <c r="H114" i="5"/>
  <c r="C110" i="8"/>
  <c r="V110" i="5"/>
  <c r="H110" i="5"/>
  <c r="E110" i="5" s="1"/>
  <c r="F110" i="5" s="1"/>
  <c r="E110" i="8" s="1"/>
  <c r="C106" i="8"/>
  <c r="V106" i="5"/>
  <c r="H106" i="5"/>
  <c r="E106" i="5" s="1"/>
  <c r="C102" i="8"/>
  <c r="V102" i="5"/>
  <c r="H102" i="5"/>
  <c r="C98" i="8"/>
  <c r="V98" i="5"/>
  <c r="H98" i="5"/>
  <c r="C94" i="8"/>
  <c r="V94" i="5"/>
  <c r="H94" i="5"/>
  <c r="E94" i="5" s="1"/>
  <c r="C90" i="8"/>
  <c r="V90" i="5"/>
  <c r="H90" i="5"/>
  <c r="E90" i="5" s="1"/>
  <c r="C86" i="8"/>
  <c r="V86" i="5"/>
  <c r="H86" i="5"/>
  <c r="C82" i="8"/>
  <c r="V82" i="5"/>
  <c r="H82" i="5"/>
  <c r="C78" i="8"/>
  <c r="V78" i="5"/>
  <c r="H78" i="5"/>
  <c r="E78" i="5" s="1"/>
  <c r="C74" i="8"/>
  <c r="V74" i="5"/>
  <c r="H74" i="5"/>
  <c r="E74" i="5" s="1"/>
  <c r="C70" i="8"/>
  <c r="V70" i="5"/>
  <c r="H70" i="5"/>
  <c r="C66" i="8"/>
  <c r="V66" i="5"/>
  <c r="H66" i="5"/>
  <c r="C62" i="8"/>
  <c r="V62" i="5"/>
  <c r="H62" i="5"/>
  <c r="E62" i="5" s="1"/>
  <c r="C58" i="8"/>
  <c r="V58" i="5"/>
  <c r="H58" i="5"/>
  <c r="E58" i="5" s="1"/>
  <c r="C54" i="8"/>
  <c r="V54" i="5"/>
  <c r="H54" i="5"/>
  <c r="C50" i="8"/>
  <c r="V50" i="5"/>
  <c r="H50" i="5"/>
  <c r="C46" i="8"/>
  <c r="V46" i="5"/>
  <c r="H46" i="5"/>
  <c r="E46" i="5" s="1"/>
  <c r="C42" i="8"/>
  <c r="V42" i="5"/>
  <c r="H42" i="5"/>
  <c r="E42" i="5" s="1"/>
  <c r="C38" i="8"/>
  <c r="V38" i="5"/>
  <c r="H38" i="5"/>
  <c r="C34" i="8"/>
  <c r="V34" i="5"/>
  <c r="H34" i="5"/>
  <c r="C30" i="8"/>
  <c r="V30" i="5"/>
  <c r="H30" i="5"/>
  <c r="E30" i="5" s="1"/>
  <c r="W11" i="8"/>
  <c r="V26" i="5"/>
  <c r="H26" i="5"/>
  <c r="E26" i="5" s="1"/>
  <c r="C22" i="8"/>
  <c r="V22" i="5"/>
  <c r="H22" i="5"/>
  <c r="C18" i="8"/>
  <c r="V18" i="5"/>
  <c r="H18" i="5"/>
  <c r="V14" i="5"/>
  <c r="H14" i="5"/>
  <c r="C10" i="8"/>
  <c r="V10" i="5"/>
  <c r="H10" i="5"/>
  <c r="V6" i="5"/>
  <c r="H6" i="5"/>
  <c r="C1022" i="8"/>
  <c r="V1022" i="5"/>
  <c r="H1022" i="5"/>
  <c r="E1022" i="5" s="1"/>
  <c r="F1022" i="5" s="1"/>
  <c r="C1018" i="8"/>
  <c r="V1018" i="5"/>
  <c r="H1018" i="5"/>
  <c r="E1018" i="5" s="1"/>
  <c r="F185" i="5"/>
  <c r="F40" i="5"/>
  <c r="F273" i="5"/>
  <c r="E273" i="8" s="1"/>
  <c r="F361" i="5"/>
  <c r="E361" i="8" s="1"/>
  <c r="F609" i="5"/>
  <c r="E609" i="8" s="1"/>
  <c r="F672" i="5"/>
  <c r="F713" i="5"/>
  <c r="F621" i="5"/>
  <c r="E621" i="8" s="1"/>
  <c r="F665" i="5"/>
  <c r="F848" i="5"/>
  <c r="F791" i="5"/>
  <c r="E791" i="8" s="1"/>
  <c r="F838" i="5"/>
  <c r="F702" i="5"/>
  <c r="E702" i="8" s="1"/>
  <c r="F1010" i="5"/>
  <c r="E1010" i="8" s="1"/>
  <c r="F1041" i="5"/>
  <c r="F974" i="5"/>
  <c r="E974" i="8" s="1"/>
  <c r="F661" i="5"/>
  <c r="F1025" i="5"/>
  <c r="F95" i="5"/>
  <c r="F105" i="5"/>
  <c r="F213" i="5"/>
  <c r="E213" i="8" s="1"/>
  <c r="F137" i="5"/>
  <c r="F245" i="5"/>
  <c r="E245" i="8" s="1"/>
  <c r="F373" i="5"/>
  <c r="E373" i="8" s="1"/>
  <c r="F313" i="5"/>
  <c r="E313" i="8" s="1"/>
  <c r="F424" i="5"/>
  <c r="E424" i="8" s="1"/>
  <c r="F533" i="5"/>
  <c r="F475" i="5"/>
  <c r="E475" i="8" s="1"/>
  <c r="F536" i="5"/>
  <c r="E536" i="8" s="1"/>
  <c r="F421" i="5"/>
  <c r="E421" i="8" s="1"/>
  <c r="F584" i="5"/>
  <c r="E584" i="8" s="1"/>
  <c r="F732" i="5"/>
  <c r="F908" i="5"/>
  <c r="E908" i="8" s="1"/>
  <c r="F1014" i="5"/>
  <c r="E1014" i="8" s="1"/>
  <c r="F752" i="5"/>
  <c r="E752" i="8" s="1"/>
  <c r="F89" i="5"/>
  <c r="F197" i="5"/>
  <c r="F153" i="5"/>
  <c r="F280" i="5"/>
  <c r="E280" i="8" s="1"/>
  <c r="F265" i="5"/>
  <c r="E265" i="8" s="1"/>
  <c r="F504" i="5"/>
  <c r="E504" i="8" s="1"/>
  <c r="F411" i="5"/>
  <c r="E411" i="8" s="1"/>
  <c r="F443" i="5"/>
  <c r="E443" i="8" s="1"/>
  <c r="F429" i="5"/>
  <c r="E429" i="8" s="1"/>
  <c r="F757" i="5"/>
  <c r="E757" i="8" s="1"/>
  <c r="F553" i="5"/>
  <c r="E553" i="8" s="1"/>
  <c r="F758" i="5"/>
  <c r="F936" i="5"/>
  <c r="E936" i="8" s="1"/>
  <c r="F876" i="5"/>
  <c r="E876" i="8" s="1"/>
  <c r="F800" i="5"/>
  <c r="E800" i="8" s="1"/>
  <c r="F57" i="5"/>
  <c r="F184" i="5"/>
  <c r="E184" i="8" s="1"/>
  <c r="F47" i="5"/>
  <c r="F309" i="5"/>
  <c r="E309" i="8" s="1"/>
  <c r="F505" i="5"/>
  <c r="F725" i="5"/>
  <c r="F779" i="5"/>
  <c r="E779" i="8" s="1"/>
  <c r="F840" i="5"/>
  <c r="E840" i="8" s="1"/>
  <c r="F827" i="5"/>
  <c r="E827" i="8" s="1"/>
  <c r="F762" i="5"/>
  <c r="E762" i="8" s="1"/>
  <c r="F902" i="5"/>
  <c r="F1032" i="5"/>
  <c r="F1007" i="5"/>
  <c r="E1007" i="8" s="1"/>
  <c r="F885" i="5"/>
  <c r="E885" i="8" s="1"/>
  <c r="F344" i="5"/>
  <c r="E344" i="8" s="1"/>
  <c r="F716" i="5"/>
  <c r="F714" i="5"/>
  <c r="E714" i="8" s="1"/>
  <c r="F918" i="5"/>
  <c r="E918" i="8" s="1"/>
  <c r="F85" i="5"/>
  <c r="F56" i="5"/>
  <c r="F63" i="5"/>
  <c r="F283" i="5"/>
  <c r="E283" i="8" s="1"/>
  <c r="F357" i="5"/>
  <c r="F425" i="5"/>
  <c r="E425" i="8" s="1"/>
  <c r="F513" i="5"/>
  <c r="E513" i="8" s="1"/>
  <c r="F761" i="5"/>
  <c r="E761" i="8" s="1"/>
  <c r="F854" i="5"/>
  <c r="F1038" i="5"/>
  <c r="F911" i="5"/>
  <c r="F1034" i="5"/>
  <c r="F239" i="5"/>
  <c r="E239" i="8" s="1"/>
  <c r="F8" i="5"/>
  <c r="F72" i="5"/>
  <c r="F408" i="5"/>
  <c r="E408" i="8" s="1"/>
  <c r="F376" i="5"/>
  <c r="E376" i="8" s="1"/>
  <c r="F520" i="5"/>
  <c r="F437" i="5"/>
  <c r="E437" i="8" s="1"/>
  <c r="F427" i="5"/>
  <c r="F573" i="5"/>
  <c r="F569" i="5"/>
  <c r="F517" i="5"/>
  <c r="E517" i="8" s="1"/>
  <c r="F677" i="5"/>
  <c r="E677" i="8" s="1"/>
  <c r="F694" i="5"/>
  <c r="F863" i="5"/>
  <c r="E863" i="8" s="1"/>
  <c r="F828" i="5"/>
  <c r="E828" i="8" s="1"/>
  <c r="F944" i="5"/>
  <c r="E944" i="8" s="1"/>
  <c r="F1040" i="5"/>
  <c r="F920" i="5"/>
  <c r="E920" i="8" s="1"/>
  <c r="F1035" i="5"/>
  <c r="F393" i="5"/>
  <c r="F248" i="5"/>
  <c r="E248" i="8" s="1"/>
  <c r="F233" i="5"/>
  <c r="E233" i="8" s="1"/>
  <c r="F249" i="5"/>
  <c r="E249" i="8" s="1"/>
  <c r="F331" i="5"/>
  <c r="E331" i="8" s="1"/>
  <c r="F303" i="5"/>
  <c r="E303" i="8" s="1"/>
  <c r="F456" i="5"/>
  <c r="E456" i="8" s="1"/>
  <c r="F507" i="5"/>
  <c r="E507" i="8" s="1"/>
  <c r="F491" i="5"/>
  <c r="F525" i="5"/>
  <c r="F561" i="5"/>
  <c r="F697" i="5"/>
  <c r="E697" i="8" s="1"/>
  <c r="F599" i="5"/>
  <c r="E599" i="8" s="1"/>
  <c r="F613" i="5"/>
  <c r="E613" i="8" s="1"/>
  <c r="F806" i="5"/>
  <c r="E806" i="8" s="1"/>
  <c r="F774" i="5"/>
  <c r="F860" i="5"/>
  <c r="E860" i="8" s="1"/>
  <c r="F1044" i="5"/>
  <c r="F929" i="5"/>
  <c r="E929" i="8" s="1"/>
  <c r="F1051" i="5"/>
  <c r="F1047" i="5"/>
  <c r="F912" i="5"/>
  <c r="E912" i="8" s="1"/>
  <c r="F1037" i="5"/>
  <c r="F55" i="5"/>
  <c r="E55" i="8" s="1"/>
  <c r="F521" i="5"/>
  <c r="E521" i="8" s="1"/>
  <c r="F417" i="5"/>
  <c r="F41" i="5"/>
  <c r="F149" i="5"/>
  <c r="E149" i="8" s="1"/>
  <c r="F159" i="5"/>
  <c r="E159" i="8" s="1"/>
  <c r="F191" i="5"/>
  <c r="F293" i="5"/>
  <c r="F341" i="5"/>
  <c r="E341" i="8" s="1"/>
  <c r="F312" i="5"/>
  <c r="F457" i="5"/>
  <c r="E457" i="8" s="1"/>
  <c r="F603" i="5"/>
  <c r="E603" i="8" s="1"/>
  <c r="F622" i="5"/>
  <c r="E622" i="8" s="1"/>
  <c r="F629" i="5"/>
  <c r="F815" i="5"/>
  <c r="F844" i="5"/>
  <c r="E844" i="8" s="1"/>
  <c r="F865" i="5"/>
  <c r="E865" i="8" s="1"/>
  <c r="F864" i="5"/>
  <c r="E864" i="8" s="1"/>
  <c r="F1046" i="5"/>
  <c r="F873" i="5"/>
  <c r="E873" i="8" s="1"/>
  <c r="F981" i="5"/>
  <c r="E981" i="8" s="1"/>
  <c r="F992" i="5"/>
  <c r="E992" i="8" s="1"/>
  <c r="F921" i="5"/>
  <c r="F720" i="5"/>
  <c r="E720" i="8" s="1"/>
  <c r="F143" i="5"/>
  <c r="F168" i="5"/>
  <c r="E168" i="8" s="1"/>
  <c r="F121" i="5"/>
  <c r="E121" i="8" s="1"/>
  <c r="F229" i="5"/>
  <c r="F200" i="5"/>
  <c r="F207" i="5"/>
  <c r="E207" i="8" s="1"/>
  <c r="F360" i="5"/>
  <c r="F325" i="5"/>
  <c r="E325" i="8" s="1"/>
  <c r="F319" i="5"/>
  <c r="E319" i="8" s="1"/>
  <c r="F297" i="5"/>
  <c r="E297" i="8" s="1"/>
  <c r="F409" i="5"/>
  <c r="F555" i="5"/>
  <c r="E555" i="8" s="1"/>
  <c r="F473" i="5"/>
  <c r="E473" i="8" s="1"/>
  <c r="F374" i="5"/>
  <c r="E374" i="8" s="1"/>
  <c r="F465" i="5"/>
  <c r="E465" i="8" s="1"/>
  <c r="F539" i="5"/>
  <c r="F617" i="5"/>
  <c r="E617" i="8" s="1"/>
  <c r="F704" i="5"/>
  <c r="E704" i="8" s="1"/>
  <c r="F824" i="5"/>
  <c r="E824" i="8" s="1"/>
  <c r="F764" i="5"/>
  <c r="E764" i="8" s="1"/>
  <c r="F837" i="5"/>
  <c r="F866" i="5"/>
  <c r="E866" i="8" s="1"/>
  <c r="F971" i="5"/>
  <c r="E971" i="8" s="1"/>
  <c r="F947" i="5"/>
  <c r="F1026" i="5"/>
  <c r="F21" i="5"/>
  <c r="F653" i="5"/>
  <c r="F899" i="5"/>
  <c r="E899" i="8" s="1"/>
  <c r="F111" i="5"/>
  <c r="F152" i="5"/>
  <c r="E152" i="8" s="1"/>
  <c r="F69" i="5"/>
  <c r="F101" i="5"/>
  <c r="F216" i="5"/>
  <c r="E216" i="8" s="1"/>
  <c r="F287" i="5"/>
  <c r="E287" i="8" s="1"/>
  <c r="F329" i="5"/>
  <c r="F277" i="5"/>
  <c r="F472" i="5"/>
  <c r="E472" i="8" s="1"/>
  <c r="F485" i="5"/>
  <c r="E485" i="8" s="1"/>
  <c r="F523" i="5"/>
  <c r="E523" i="8" s="1"/>
  <c r="F469" i="5"/>
  <c r="E469" i="8" s="1"/>
  <c r="F666" i="5"/>
  <c r="E666" i="8" s="1"/>
  <c r="F640" i="5"/>
  <c r="F647" i="5"/>
  <c r="E647" i="8" s="1"/>
  <c r="F742" i="5"/>
  <c r="E742" i="8" s="1"/>
  <c r="F833" i="5"/>
  <c r="E833" i="8" s="1"/>
  <c r="F684" i="5"/>
  <c r="E684" i="8" s="1"/>
  <c r="F773" i="5"/>
  <c r="E773" i="8" s="1"/>
  <c r="F839" i="5"/>
  <c r="E839" i="8" s="1"/>
  <c r="F872" i="5"/>
  <c r="E872" i="8" s="1"/>
  <c r="F980" i="5"/>
  <c r="E980" i="8" s="1"/>
  <c r="F956" i="5"/>
  <c r="E956" i="8" s="1"/>
  <c r="F891" i="5"/>
  <c r="E891" i="8" s="1"/>
  <c r="F1028" i="5"/>
  <c r="F939" i="5"/>
  <c r="E939" i="8" s="1"/>
  <c r="F1029" i="5"/>
  <c r="F750" i="5"/>
  <c r="E750" i="8" s="1"/>
  <c r="F120" i="5"/>
  <c r="F53" i="5"/>
  <c r="F31" i="5"/>
  <c r="E31" i="8" s="1"/>
  <c r="F117" i="5"/>
  <c r="F264" i="5"/>
  <c r="E264" i="8" s="1"/>
  <c r="F347" i="5"/>
  <c r="E347" i="8" s="1"/>
  <c r="F377" i="5"/>
  <c r="E377" i="8" s="1"/>
  <c r="F296" i="5"/>
  <c r="E296" i="8" s="1"/>
  <c r="F459" i="5"/>
  <c r="E459" i="8" s="1"/>
  <c r="F581" i="5"/>
  <c r="E581" i="8" s="1"/>
  <c r="F338" i="5"/>
  <c r="E338" i="8" s="1"/>
  <c r="F552" i="5"/>
  <c r="F477" i="5"/>
  <c r="E477" i="8" s="1"/>
  <c r="F600" i="5"/>
  <c r="E600" i="8" s="1"/>
  <c r="F709" i="5"/>
  <c r="F745" i="5"/>
  <c r="E745" i="8" s="1"/>
  <c r="F635" i="5"/>
  <c r="F656" i="5"/>
  <c r="E656" i="8" s="1"/>
  <c r="F710" i="5"/>
  <c r="E710" i="8" s="1"/>
  <c r="F643" i="5"/>
  <c r="E643" i="8" s="1"/>
  <c r="F792" i="5"/>
  <c r="E792" i="8" s="1"/>
  <c r="F881" i="5"/>
  <c r="E881" i="8" s="1"/>
  <c r="F1052" i="5"/>
  <c r="H4" i="5"/>
  <c r="V4" i="5"/>
  <c r="E1006" i="8"/>
  <c r="E970" i="8"/>
  <c r="E969" i="8"/>
  <c r="E968" i="8"/>
  <c r="E955" i="8"/>
  <c r="E933" i="8"/>
  <c r="E921" i="8"/>
  <c r="E911" i="8"/>
  <c r="E907" i="8"/>
  <c r="C788" i="8"/>
  <c r="B788" i="8"/>
  <c r="D785" i="8"/>
  <c r="B785" i="8"/>
  <c r="E904" i="8"/>
  <c r="E896" i="8"/>
  <c r="C785" i="8"/>
  <c r="D788" i="8"/>
  <c r="E886" i="8"/>
  <c r="E862" i="8"/>
  <c r="E848" i="8"/>
  <c r="E838" i="8"/>
  <c r="E837" i="8"/>
  <c r="E825" i="8"/>
  <c r="E812" i="8"/>
  <c r="E790" i="8"/>
  <c r="E789" i="8"/>
  <c r="E741" i="8"/>
  <c r="E729" i="8"/>
  <c r="E716" i="8"/>
  <c r="E694" i="8"/>
  <c r="E693" i="8"/>
  <c r="E681" i="8"/>
  <c r="E672" i="8"/>
  <c r="E668" i="8"/>
  <c r="E645" i="8"/>
  <c r="B32" i="8"/>
  <c r="B26" i="8"/>
  <c r="B23" i="8"/>
  <c r="E640" i="8"/>
  <c r="E616" i="8"/>
  <c r="E615" i="8"/>
  <c r="E601" i="8"/>
  <c r="E569" i="8"/>
  <c r="E568" i="8"/>
  <c r="E565" i="8"/>
  <c r="E561" i="8"/>
  <c r="C32" i="8"/>
  <c r="C26" i="8"/>
  <c r="C23" i="8"/>
  <c r="D32" i="8"/>
  <c r="D26" i="8"/>
  <c r="D23" i="8"/>
  <c r="C870" i="8"/>
  <c r="C4" i="8"/>
  <c r="B4" i="8"/>
  <c r="B871" i="8"/>
  <c r="D4" i="8"/>
  <c r="B870" i="8"/>
  <c r="C871" i="8"/>
  <c r="D871" i="8"/>
  <c r="D870" i="8"/>
  <c r="E552" i="8"/>
  <c r="E539" i="8"/>
  <c r="E525" i="8"/>
  <c r="E520" i="8"/>
  <c r="E510" i="8"/>
  <c r="E505" i="8"/>
  <c r="E491" i="8"/>
  <c r="E488" i="8"/>
  <c r="E440" i="8"/>
  <c r="E427" i="8"/>
  <c r="C43" i="8"/>
  <c r="C16" i="8"/>
  <c r="C15" i="8"/>
  <c r="C14" i="8"/>
  <c r="C9" i="8"/>
  <c r="C6" i="8"/>
  <c r="C5" i="8"/>
  <c r="D43" i="8"/>
  <c r="D16" i="8"/>
  <c r="D15" i="8"/>
  <c r="D14" i="8"/>
  <c r="D9" i="8"/>
  <c r="D6" i="8"/>
  <c r="D5" i="8"/>
  <c r="B43" i="8"/>
  <c r="B16" i="8"/>
  <c r="B15" i="8"/>
  <c r="B14" i="8"/>
  <c r="B9" i="8"/>
  <c r="B6" i="8"/>
  <c r="B5" i="8"/>
  <c r="E417" i="8"/>
  <c r="E409" i="8"/>
  <c r="E393" i="8"/>
  <c r="E392" i="8"/>
  <c r="E360" i="8"/>
  <c r="E345" i="8"/>
  <c r="E329" i="8"/>
  <c r="E328" i="8"/>
  <c r="E312" i="8"/>
  <c r="E293" i="8"/>
  <c r="E277" i="8"/>
  <c r="E255" i="8"/>
  <c r="E232" i="8"/>
  <c r="E229" i="8"/>
  <c r="E217" i="8"/>
  <c r="E199" i="8"/>
  <c r="E197" i="8"/>
  <c r="E191" i="8"/>
  <c r="E185" i="8"/>
  <c r="E181" i="8"/>
  <c r="E169" i="8"/>
  <c r="E153" i="8"/>
  <c r="E151" i="8"/>
  <c r="E143" i="8"/>
  <c r="E1009" i="8"/>
  <c r="E1000" i="8"/>
  <c r="E987" i="8"/>
  <c r="E977" i="8"/>
  <c r="E976" i="8"/>
  <c r="E961" i="8"/>
  <c r="E960" i="8"/>
  <c r="E959" i="8"/>
  <c r="E952" i="8"/>
  <c r="E950" i="8"/>
  <c r="E947" i="8"/>
  <c r="E940" i="8"/>
  <c r="E934" i="8"/>
  <c r="E913" i="8"/>
  <c r="E902" i="8"/>
  <c r="E854" i="8"/>
  <c r="E822" i="8"/>
  <c r="E817" i="8"/>
  <c r="E774" i="8"/>
  <c r="E768" i="8"/>
  <c r="E758" i="8"/>
  <c r="E725" i="8"/>
  <c r="E713" i="8"/>
  <c r="E709" i="8"/>
  <c r="E665" i="8"/>
  <c r="E653" i="8"/>
  <c r="E629" i="8"/>
  <c r="E573" i="8"/>
  <c r="E395" i="8"/>
  <c r="E389" i="8"/>
  <c r="E357" i="8"/>
  <c r="E281" i="8"/>
  <c r="E136" i="8"/>
  <c r="E120" i="8"/>
  <c r="E111" i="8"/>
  <c r="E104" i="8"/>
  <c r="E88" i="8"/>
  <c r="E73" i="8"/>
  <c r="E892" i="8"/>
  <c r="E533" i="8"/>
  <c r="E856" i="8"/>
  <c r="E832" i="8"/>
  <c r="E816" i="8"/>
  <c r="E808" i="8"/>
  <c r="E815" i="8"/>
  <c r="E924" i="8"/>
  <c r="E661" i="8"/>
  <c r="E888" i="8"/>
  <c r="E796" i="8"/>
  <c r="E928" i="8"/>
  <c r="E880" i="8"/>
  <c r="E623" i="8"/>
  <c r="E200" i="8"/>
  <c r="E732" i="8"/>
  <c r="E635" i="8"/>
  <c r="E571" i="8"/>
  <c r="E95" i="8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P34" i="4"/>
  <c r="AQ34" i="4"/>
  <c r="AR34" i="4"/>
  <c r="AS34" i="4"/>
  <c r="AT34" i="4"/>
  <c r="AU34" i="4"/>
  <c r="AV34" i="4"/>
  <c r="AW34" i="4"/>
  <c r="AX34" i="4"/>
  <c r="AY34" i="4"/>
  <c r="AZ34" i="4"/>
  <c r="BA34" i="4"/>
  <c r="BB34" i="4"/>
  <c r="BC34" i="4"/>
  <c r="BD34" i="4"/>
  <c r="BE34" i="4"/>
  <c r="BF34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CY34" i="4"/>
  <c r="CZ34" i="4"/>
  <c r="DA34" i="4"/>
  <c r="DB34" i="4"/>
  <c r="DC34" i="4"/>
  <c r="DD34" i="4"/>
  <c r="DE34" i="4"/>
  <c r="DF34" i="4"/>
  <c r="DG34" i="4"/>
  <c r="DH34" i="4"/>
  <c r="DI34" i="4"/>
  <c r="DJ34" i="4"/>
  <c r="DK34" i="4"/>
  <c r="DL34" i="4"/>
  <c r="DM34" i="4"/>
  <c r="DN34" i="4"/>
  <c r="DO34" i="4"/>
  <c r="DP34" i="4"/>
  <c r="DQ34" i="4"/>
  <c r="DR34" i="4"/>
  <c r="DS34" i="4"/>
  <c r="DT34" i="4"/>
  <c r="DU34" i="4"/>
  <c r="DV34" i="4"/>
  <c r="DW34" i="4"/>
  <c r="DX34" i="4"/>
  <c r="DY34" i="4"/>
  <c r="DZ34" i="4"/>
  <c r="EA34" i="4"/>
  <c r="EB34" i="4"/>
  <c r="EC34" i="4"/>
  <c r="ED34" i="4"/>
  <c r="EE34" i="4"/>
  <c r="EF34" i="4"/>
  <c r="EG34" i="4"/>
  <c r="EH34" i="4"/>
  <c r="EI34" i="4"/>
  <c r="EJ34" i="4"/>
  <c r="EK34" i="4"/>
  <c r="EL34" i="4"/>
  <c r="EM34" i="4"/>
  <c r="EN34" i="4"/>
  <c r="EO34" i="4"/>
  <c r="EP34" i="4"/>
  <c r="EQ34" i="4"/>
  <c r="ER34" i="4"/>
  <c r="ES34" i="4"/>
  <c r="ET34" i="4"/>
  <c r="EU34" i="4"/>
  <c r="EV34" i="4"/>
  <c r="EW34" i="4"/>
  <c r="EX34" i="4"/>
  <c r="EY34" i="4"/>
  <c r="EZ34" i="4"/>
  <c r="FA34" i="4"/>
  <c r="FB34" i="4"/>
  <c r="FC34" i="4"/>
  <c r="FD34" i="4"/>
  <c r="FE34" i="4"/>
  <c r="FF34" i="4"/>
  <c r="FG34" i="4"/>
  <c r="FH34" i="4"/>
  <c r="FI34" i="4"/>
  <c r="FJ34" i="4"/>
  <c r="FK34" i="4"/>
  <c r="FL34" i="4"/>
  <c r="FM34" i="4"/>
  <c r="FN34" i="4"/>
  <c r="FO34" i="4"/>
  <c r="FP34" i="4"/>
  <c r="FQ34" i="4"/>
  <c r="FR34" i="4"/>
  <c r="FS34" i="4"/>
  <c r="FT34" i="4"/>
  <c r="FU34" i="4"/>
  <c r="FV34" i="4"/>
  <c r="FW34" i="4"/>
  <c r="FX34" i="4"/>
  <c r="FY34" i="4"/>
  <c r="FZ34" i="4"/>
  <c r="GA34" i="4"/>
  <c r="GB34" i="4"/>
  <c r="GC34" i="4"/>
  <c r="GD34" i="4"/>
  <c r="GE34" i="4"/>
  <c r="GF34" i="4"/>
  <c r="GG34" i="4"/>
  <c r="GH34" i="4"/>
  <c r="GI34" i="4"/>
  <c r="GJ34" i="4"/>
  <c r="GK34" i="4"/>
  <c r="GL34" i="4"/>
  <c r="GM34" i="4"/>
  <c r="GN34" i="4"/>
  <c r="H34" i="4"/>
  <c r="I34" i="4"/>
  <c r="J34" i="4"/>
  <c r="K34" i="4"/>
  <c r="M34" i="4"/>
  <c r="L34" i="4"/>
  <c r="L858" i="8" l="1"/>
  <c r="I858" i="8"/>
  <c r="E1003" i="5"/>
  <c r="F1003" i="5" s="1"/>
  <c r="E1003" i="8" s="1"/>
  <c r="E972" i="5"/>
  <c r="F972" i="5" s="1"/>
  <c r="E972" i="8" s="1"/>
  <c r="E712" i="5"/>
  <c r="F712" i="5" s="1"/>
  <c r="E712" i="8" s="1"/>
  <c r="E760" i="5"/>
  <c r="F760" i="5" s="1"/>
  <c r="E760" i="8" s="1"/>
  <c r="E776" i="5"/>
  <c r="F776" i="5" s="1"/>
  <c r="E776" i="8" s="1"/>
  <c r="E1017" i="5"/>
  <c r="F1017" i="5" s="1"/>
  <c r="E803" i="5"/>
  <c r="F803" i="5" s="1"/>
  <c r="E803" i="8" s="1"/>
  <c r="E851" i="5"/>
  <c r="F851" i="5" s="1"/>
  <c r="E851" i="8" s="1"/>
  <c r="E962" i="5"/>
  <c r="F962" i="5" s="1"/>
  <c r="E962" i="8" s="1"/>
  <c r="E1002" i="5"/>
  <c r="F1002" i="5" s="1"/>
  <c r="E1002" i="8" s="1"/>
  <c r="E674" i="5"/>
  <c r="F674" i="5" s="1"/>
  <c r="E674" i="8" s="1"/>
  <c r="E706" i="5"/>
  <c r="F706" i="5" s="1"/>
  <c r="E706" i="8" s="1"/>
  <c r="E722" i="5"/>
  <c r="F722" i="5" s="1"/>
  <c r="E722" i="8" s="1"/>
  <c r="E754" i="5"/>
  <c r="F754" i="5" s="1"/>
  <c r="E754" i="8" s="1"/>
  <c r="E770" i="5"/>
  <c r="F770" i="5" s="1"/>
  <c r="E770" i="8" s="1"/>
  <c r="E786" i="5"/>
  <c r="F786" i="5" s="1"/>
  <c r="E786" i="8" s="1"/>
  <c r="E802" i="5"/>
  <c r="F802" i="5" s="1"/>
  <c r="E802" i="8" s="1"/>
  <c r="F26" i="5"/>
  <c r="Y11" i="8" s="1"/>
  <c r="F115" i="5"/>
  <c r="F260" i="5"/>
  <c r="E260" i="8" s="1"/>
  <c r="F500" i="5"/>
  <c r="E500" i="8" s="1"/>
  <c r="F90" i="5"/>
  <c r="F202" i="5"/>
  <c r="E202" i="8" s="1"/>
  <c r="F378" i="5"/>
  <c r="E378" i="8" s="1"/>
  <c r="F506" i="5"/>
  <c r="E506" i="8" s="1"/>
  <c r="F1024" i="5"/>
  <c r="F436" i="5"/>
  <c r="E436" i="8" s="1"/>
  <c r="F548" i="5"/>
  <c r="E548" i="8" s="1"/>
  <c r="F580" i="5"/>
  <c r="E580" i="8" s="1"/>
  <c r="F644" i="5"/>
  <c r="E644" i="8" s="1"/>
  <c r="F106" i="5"/>
  <c r="E106" i="8" s="1"/>
  <c r="F282" i="5"/>
  <c r="E282" i="8" s="1"/>
  <c r="F1023" i="5"/>
  <c r="F259" i="5"/>
  <c r="E259" i="8" s="1"/>
  <c r="F20" i="5"/>
  <c r="Y12" i="8" s="1"/>
  <c r="F148" i="5"/>
  <c r="E148" i="8" s="1"/>
  <c r="E228" i="5"/>
  <c r="F340" i="5"/>
  <c r="E340" i="8" s="1"/>
  <c r="F452" i="5"/>
  <c r="E452" i="8" s="1"/>
  <c r="F564" i="5"/>
  <c r="E564" i="8" s="1"/>
  <c r="F596" i="5"/>
  <c r="E596" i="8" s="1"/>
  <c r="F676" i="5"/>
  <c r="E676" i="8" s="1"/>
  <c r="F170" i="5"/>
  <c r="E170" i="8" s="1"/>
  <c r="F602" i="5"/>
  <c r="E602" i="8" s="1"/>
  <c r="F36" i="5"/>
  <c r="F116" i="5"/>
  <c r="F244" i="5"/>
  <c r="E244" i="8" s="1"/>
  <c r="F388" i="5"/>
  <c r="E388" i="8" s="1"/>
  <c r="F532" i="5"/>
  <c r="E532" i="8" s="1"/>
  <c r="F30" i="5"/>
  <c r="F46" i="5"/>
  <c r="F62" i="5"/>
  <c r="E62" i="8" s="1"/>
  <c r="F78" i="5"/>
  <c r="E78" i="8" s="1"/>
  <c r="F94" i="5"/>
  <c r="E94" i="8" s="1"/>
  <c r="F126" i="5"/>
  <c r="E126" i="8" s="1"/>
  <c r="F142" i="5"/>
  <c r="E142" i="8" s="1"/>
  <c r="F158" i="5"/>
  <c r="E158" i="8" s="1"/>
  <c r="E174" i="5"/>
  <c r="F122" i="5"/>
  <c r="E122" i="8" s="1"/>
  <c r="F266" i="5"/>
  <c r="E266" i="8" s="1"/>
  <c r="F442" i="5"/>
  <c r="E442" i="8" s="1"/>
  <c r="F554" i="5"/>
  <c r="E554" i="8" s="1"/>
  <c r="F67" i="5"/>
  <c r="E67" i="8" s="1"/>
  <c r="F132" i="5"/>
  <c r="E132" i="8" s="1"/>
  <c r="F292" i="5"/>
  <c r="E292" i="8" s="1"/>
  <c r="F516" i="5"/>
  <c r="E516" i="8" s="1"/>
  <c r="F628" i="5"/>
  <c r="E628" i="8" s="1"/>
  <c r="F74" i="5"/>
  <c r="E74" i="8" s="1"/>
  <c r="E138" i="5"/>
  <c r="F522" i="5"/>
  <c r="E522" i="8" s="1"/>
  <c r="F275" i="5"/>
  <c r="E275" i="8" s="1"/>
  <c r="F196" i="5"/>
  <c r="E196" i="8" s="1"/>
  <c r="F218" i="5"/>
  <c r="E218" i="8" s="1"/>
  <c r="F42" i="5"/>
  <c r="F538" i="5"/>
  <c r="E538" i="8" s="1"/>
  <c r="F35" i="5"/>
  <c r="F68" i="5"/>
  <c r="F212" i="5"/>
  <c r="E212" i="8" s="1"/>
  <c r="F404" i="5"/>
  <c r="E404" i="8" s="1"/>
  <c r="F154" i="5"/>
  <c r="E154" i="8" s="1"/>
  <c r="F298" i="5"/>
  <c r="E298" i="8" s="1"/>
  <c r="F426" i="5"/>
  <c r="E426" i="8" s="1"/>
  <c r="F586" i="5"/>
  <c r="E586" i="8" s="1"/>
  <c r="F100" i="5"/>
  <c r="F372" i="5"/>
  <c r="E372" i="8" s="1"/>
  <c r="F394" i="5"/>
  <c r="E394" i="8" s="1"/>
  <c r="F250" i="5"/>
  <c r="E250" i="8" s="1"/>
  <c r="F58" i="5"/>
  <c r="F458" i="5"/>
  <c r="E458" i="8" s="1"/>
  <c r="F163" i="5"/>
  <c r="E163" i="8" s="1"/>
  <c r="F164" i="5"/>
  <c r="E164" i="8" s="1"/>
  <c r="F308" i="5"/>
  <c r="E308" i="8" s="1"/>
  <c r="F484" i="5"/>
  <c r="E484" i="8" s="1"/>
  <c r="F612" i="5"/>
  <c r="E612" i="8" s="1"/>
  <c r="F797" i="5"/>
  <c r="E797" i="8" s="1"/>
  <c r="F845" i="5"/>
  <c r="E845" i="8" s="1"/>
  <c r="F893" i="5"/>
  <c r="E893" i="8" s="1"/>
  <c r="F925" i="5"/>
  <c r="E925" i="8" s="1"/>
  <c r="F973" i="5"/>
  <c r="E973" i="8" s="1"/>
  <c r="F919" i="5"/>
  <c r="E919" i="8" s="1"/>
  <c r="F951" i="5"/>
  <c r="E951" i="8" s="1"/>
  <c r="F1012" i="5"/>
  <c r="E1012" i="8" s="1"/>
  <c r="F772" i="5"/>
  <c r="E772" i="8" s="1"/>
  <c r="F190" i="5"/>
  <c r="E190" i="8" s="1"/>
  <c r="F382" i="5"/>
  <c r="E382" i="8" s="1"/>
  <c r="F398" i="5"/>
  <c r="E398" i="8" s="1"/>
  <c r="F446" i="5"/>
  <c r="E446" i="8" s="1"/>
  <c r="F542" i="5"/>
  <c r="E542" i="8" s="1"/>
  <c r="F558" i="5"/>
  <c r="E558" i="8" s="1"/>
  <c r="F574" i="5"/>
  <c r="E574" i="8" s="1"/>
  <c r="F590" i="5"/>
  <c r="E590" i="8" s="1"/>
  <c r="F606" i="5"/>
  <c r="E606" i="8" s="1"/>
  <c r="F270" i="5"/>
  <c r="E270" i="8" s="1"/>
  <c r="F1018" i="5"/>
  <c r="E4" i="5"/>
  <c r="F290" i="5"/>
  <c r="E290" i="8" s="1"/>
  <c r="F28" i="5"/>
  <c r="F366" i="5"/>
  <c r="E366" i="8" s="1"/>
  <c r="F462" i="5"/>
  <c r="E462" i="8" s="1"/>
  <c r="F133" i="5"/>
  <c r="E165" i="5"/>
  <c r="F165" i="5" s="1"/>
  <c r="E165" i="8" s="1"/>
  <c r="E22" i="5"/>
  <c r="E38" i="5"/>
  <c r="E54" i="5"/>
  <c r="E70" i="5"/>
  <c r="E6" i="5"/>
  <c r="E51" i="5"/>
  <c r="E83" i="5"/>
  <c r="E99" i="5"/>
  <c r="E131" i="5"/>
  <c r="E147" i="5"/>
  <c r="E179" i="5"/>
  <c r="E195" i="5"/>
  <c r="E227" i="5"/>
  <c r="E243" i="5"/>
  <c r="E291" i="5"/>
  <c r="E307" i="5"/>
  <c r="E323" i="5"/>
  <c r="E339" i="5"/>
  <c r="E355" i="5"/>
  <c r="E371" i="5"/>
  <c r="E387" i="5"/>
  <c r="E403" i="5"/>
  <c r="E419" i="5"/>
  <c r="E435" i="5"/>
  <c r="E451" i="5"/>
  <c r="E467" i="5"/>
  <c r="E483" i="5"/>
  <c r="E499" i="5"/>
  <c r="E10" i="5"/>
  <c r="E314" i="5"/>
  <c r="E362" i="5"/>
  <c r="E19" i="5"/>
  <c r="E276" i="5"/>
  <c r="E660" i="5"/>
  <c r="E13" i="5"/>
  <c r="E29" i="5"/>
  <c r="E45" i="5"/>
  <c r="E71" i="5"/>
  <c r="E87" i="5"/>
  <c r="E119" i="5"/>
  <c r="E135" i="5"/>
  <c r="E167" i="5"/>
  <c r="E183" i="5"/>
  <c r="E215" i="5"/>
  <c r="E231" i="5"/>
  <c r="E263" i="5"/>
  <c r="E279" i="5"/>
  <c r="E295" i="5"/>
  <c r="E311" i="5"/>
  <c r="E327" i="5"/>
  <c r="E343" i="5"/>
  <c r="E359" i="5"/>
  <c r="E375" i="5"/>
  <c r="E391" i="5"/>
  <c r="E407" i="5"/>
  <c r="E423" i="5"/>
  <c r="E439" i="5"/>
  <c r="E455" i="5"/>
  <c r="E471" i="5"/>
  <c r="E487" i="5"/>
  <c r="E503" i="5"/>
  <c r="E519" i="5"/>
  <c r="E535" i="5"/>
  <c r="E551" i="5"/>
  <c r="E567" i="5"/>
  <c r="E583" i="5"/>
  <c r="E632" i="5"/>
  <c r="E648" i="5"/>
  <c r="E14" i="5"/>
  <c r="E302" i="5"/>
  <c r="E350" i="5"/>
  <c r="E654" i="5"/>
  <c r="E7" i="5"/>
  <c r="E24" i="5"/>
  <c r="E18" i="5"/>
  <c r="E34" i="5"/>
  <c r="E50" i="5"/>
  <c r="E66" i="5"/>
  <c r="E82" i="5"/>
  <c r="E98" i="5"/>
  <c r="E114" i="5"/>
  <c r="E130" i="5"/>
  <c r="E146" i="5"/>
  <c r="E162" i="5"/>
  <c r="E178" i="5"/>
  <c r="E194" i="5"/>
  <c r="E210" i="5"/>
  <c r="E226" i="5"/>
  <c r="E242" i="5"/>
  <c r="E258" i="5"/>
  <c r="E274" i="5"/>
  <c r="E306" i="5"/>
  <c r="E322" i="5"/>
  <c r="F322" i="5" s="1"/>
  <c r="E322" i="8" s="1"/>
  <c r="E354" i="5"/>
  <c r="E370" i="5"/>
  <c r="E402" i="5"/>
  <c r="E418" i="5"/>
  <c r="E434" i="5"/>
  <c r="E450" i="5"/>
  <c r="E466" i="5"/>
  <c r="E482" i="5"/>
  <c r="E498" i="5"/>
  <c r="E514" i="5"/>
  <c r="E530" i="5"/>
  <c r="E546" i="5"/>
  <c r="E562" i="5"/>
  <c r="E578" i="5"/>
  <c r="E594" i="5"/>
  <c r="E610" i="5"/>
  <c r="E626" i="5"/>
  <c r="E658" i="5"/>
  <c r="E1015" i="5"/>
  <c r="E11" i="5"/>
  <c r="E27" i="5"/>
  <c r="E91" i="5"/>
  <c r="E139" i="5"/>
  <c r="E187" i="5"/>
  <c r="E235" i="5"/>
  <c r="E587" i="5"/>
  <c r="E1016" i="5"/>
  <c r="E12" i="5"/>
  <c r="E44" i="5"/>
  <c r="E60" i="5"/>
  <c r="E76" i="5"/>
  <c r="E92" i="5"/>
  <c r="E108" i="5"/>
  <c r="E124" i="5"/>
  <c r="E140" i="5"/>
  <c r="E156" i="5"/>
  <c r="E172" i="5"/>
  <c r="E188" i="5"/>
  <c r="E204" i="5"/>
  <c r="J3" i="10"/>
  <c r="I3" i="10"/>
  <c r="H3" i="10"/>
  <c r="W7" i="8"/>
  <c r="G3" i="10"/>
  <c r="E335" i="5"/>
  <c r="E351" i="5"/>
  <c r="E367" i="5"/>
  <c r="E383" i="5"/>
  <c r="E399" i="5"/>
  <c r="E415" i="5"/>
  <c r="E431" i="5"/>
  <c r="E447" i="5"/>
  <c r="E463" i="5"/>
  <c r="E479" i="5"/>
  <c r="E495" i="5"/>
  <c r="E511" i="5"/>
  <c r="E527" i="5"/>
  <c r="E543" i="5"/>
  <c r="E559" i="5"/>
  <c r="E575" i="5"/>
  <c r="E591" i="5"/>
  <c r="E607" i="5"/>
  <c r="E86" i="5"/>
  <c r="E102" i="5"/>
  <c r="E118" i="5"/>
  <c r="E134" i="5"/>
  <c r="E150" i="5"/>
  <c r="E166" i="5"/>
  <c r="E182" i="5"/>
  <c r="E198" i="5"/>
  <c r="E214" i="5"/>
  <c r="E230" i="5"/>
  <c r="E246" i="5"/>
  <c r="E262" i="5"/>
  <c r="E294" i="5"/>
  <c r="E310" i="5"/>
  <c r="E342" i="5"/>
  <c r="E358" i="5"/>
  <c r="E390" i="5"/>
  <c r="E406" i="5"/>
  <c r="E422" i="5"/>
  <c r="E438" i="5"/>
  <c r="E454" i="5"/>
  <c r="E470" i="5"/>
  <c r="E486" i="5"/>
  <c r="E502" i="5"/>
  <c r="E518" i="5"/>
  <c r="E534" i="5"/>
  <c r="E550" i="5"/>
  <c r="E566" i="5"/>
  <c r="E582" i="5"/>
  <c r="E598" i="5"/>
  <c r="E614" i="5"/>
  <c r="E630" i="5"/>
  <c r="E646" i="5"/>
  <c r="E662" i="5"/>
  <c r="E79" i="5"/>
  <c r="E127" i="5"/>
  <c r="E175" i="5"/>
  <c r="E223" i="5"/>
  <c r="E271" i="5"/>
  <c r="E1020" i="5"/>
  <c r="E16" i="5"/>
  <c r="E48" i="5"/>
  <c r="E64" i="5"/>
  <c r="E80" i="5"/>
  <c r="E96" i="5"/>
  <c r="E112" i="5"/>
  <c r="E128" i="5"/>
  <c r="E144" i="5"/>
  <c r="E160" i="5"/>
  <c r="E176" i="5"/>
  <c r="E192" i="5"/>
  <c r="F192" i="5" s="1"/>
  <c r="E192" i="8" s="1"/>
  <c r="E208" i="5"/>
  <c r="E224" i="5"/>
  <c r="E240" i="5"/>
  <c r="E256" i="5"/>
  <c r="E272" i="5"/>
  <c r="E288" i="5"/>
  <c r="E304" i="5"/>
  <c r="E320" i="5"/>
  <c r="E336" i="5"/>
  <c r="E352" i="5"/>
  <c r="E368" i="5"/>
  <c r="E384" i="5"/>
  <c r="E201" i="5"/>
  <c r="F201" i="5" s="1"/>
  <c r="E201" i="8" s="1"/>
  <c r="E515" i="5"/>
  <c r="E531" i="5"/>
  <c r="E547" i="5"/>
  <c r="E563" i="5"/>
  <c r="E579" i="5"/>
  <c r="E595" i="5"/>
  <c r="E9" i="5"/>
  <c r="E441" i="5"/>
  <c r="E489" i="5"/>
  <c r="E537" i="5"/>
  <c r="E585" i="5"/>
  <c r="E633" i="5"/>
  <c r="E649" i="5"/>
  <c r="E777" i="5"/>
  <c r="E998" i="5"/>
  <c r="E678" i="5"/>
  <c r="E726" i="5"/>
  <c r="E870" i="5"/>
  <c r="E627" i="5"/>
  <c r="E804" i="5"/>
  <c r="E820" i="5"/>
  <c r="E836" i="5"/>
  <c r="E852" i="5"/>
  <c r="E868" i="5"/>
  <c r="E884" i="5"/>
  <c r="E900" i="5"/>
  <c r="E916" i="5"/>
  <c r="E932" i="5"/>
  <c r="E948" i="5"/>
  <c r="E964" i="5"/>
  <c r="E984" i="5"/>
  <c r="E61" i="5"/>
  <c r="E77" i="5"/>
  <c r="E93" i="5"/>
  <c r="E109" i="5"/>
  <c r="E125" i="5"/>
  <c r="E141" i="5"/>
  <c r="E157" i="5"/>
  <c r="E173" i="5"/>
  <c r="E189" i="5"/>
  <c r="E205" i="5"/>
  <c r="E221" i="5"/>
  <c r="E237" i="5"/>
  <c r="F237" i="5" s="1"/>
  <c r="E237" i="8" s="1"/>
  <c r="E253" i="5"/>
  <c r="E269" i="5"/>
  <c r="E285" i="5"/>
  <c r="E301" i="5"/>
  <c r="E317" i="5"/>
  <c r="E333" i="5"/>
  <c r="E349" i="5"/>
  <c r="E365" i="5"/>
  <c r="E381" i="5"/>
  <c r="E397" i="5"/>
  <c r="E413" i="5"/>
  <c r="E445" i="5"/>
  <c r="E461" i="5"/>
  <c r="E493" i="5"/>
  <c r="E509" i="5"/>
  <c r="E541" i="5"/>
  <c r="E557" i="5"/>
  <c r="E589" i="5"/>
  <c r="E605" i="5"/>
  <c r="E637" i="5"/>
  <c r="E669" i="5"/>
  <c r="E685" i="5"/>
  <c r="E701" i="5"/>
  <c r="E717" i="5"/>
  <c r="E733" i="5"/>
  <c r="E749" i="5"/>
  <c r="E765" i="5"/>
  <c r="E781" i="5"/>
  <c r="E813" i="5"/>
  <c r="E861" i="5"/>
  <c r="E909" i="5"/>
  <c r="E957" i="5"/>
  <c r="E1005" i="5"/>
  <c r="E982" i="5"/>
  <c r="E682" i="5"/>
  <c r="E698" i="5"/>
  <c r="E730" i="5"/>
  <c r="E746" i="5"/>
  <c r="E778" i="5"/>
  <c r="E794" i="5"/>
  <c r="E810" i="5"/>
  <c r="E826" i="5"/>
  <c r="E842" i="5"/>
  <c r="E858" i="5"/>
  <c r="E874" i="5"/>
  <c r="E890" i="5"/>
  <c r="E906" i="5"/>
  <c r="E922" i="5"/>
  <c r="E938" i="5"/>
  <c r="E954" i="5"/>
  <c r="E978" i="5"/>
  <c r="E631" i="5"/>
  <c r="E663" i="5"/>
  <c r="E679" i="5"/>
  <c r="E695" i="5"/>
  <c r="E711" i="5"/>
  <c r="E727" i="5"/>
  <c r="E743" i="5"/>
  <c r="E759" i="5"/>
  <c r="E775" i="5"/>
  <c r="E807" i="5"/>
  <c r="E823" i="5"/>
  <c r="E855" i="5"/>
  <c r="E871" i="5"/>
  <c r="E887" i="5"/>
  <c r="E983" i="5"/>
  <c r="E692" i="5"/>
  <c r="E708" i="5"/>
  <c r="E740" i="5"/>
  <c r="E756" i="5"/>
  <c r="E664" i="5"/>
  <c r="E17" i="5"/>
  <c r="E33" i="5"/>
  <c r="E49" i="5"/>
  <c r="E65" i="5"/>
  <c r="E81" i="5"/>
  <c r="E97" i="5"/>
  <c r="E113" i="5"/>
  <c r="E129" i="5"/>
  <c r="E145" i="5"/>
  <c r="E161" i="5"/>
  <c r="E177" i="5"/>
  <c r="E193" i="5"/>
  <c r="E209" i="5"/>
  <c r="E225" i="5"/>
  <c r="E241" i="5"/>
  <c r="E257" i="5"/>
  <c r="E289" i="5"/>
  <c r="E305" i="5"/>
  <c r="E321" i="5"/>
  <c r="E337" i="5"/>
  <c r="E353" i="5"/>
  <c r="E369" i="5"/>
  <c r="E385" i="5"/>
  <c r="E401" i="5"/>
  <c r="E433" i="5"/>
  <c r="E449" i="5"/>
  <c r="E481" i="5"/>
  <c r="E497" i="5"/>
  <c r="E529" i="5"/>
  <c r="E545" i="5"/>
  <c r="E577" i="5"/>
  <c r="E593" i="5"/>
  <c r="E625" i="5"/>
  <c r="E641" i="5"/>
  <c r="E657" i="5"/>
  <c r="E673" i="5"/>
  <c r="E689" i="5"/>
  <c r="E705" i="5"/>
  <c r="E721" i="5"/>
  <c r="E737" i="5"/>
  <c r="E753" i="5"/>
  <c r="E769" i="5"/>
  <c r="E785" i="5"/>
  <c r="E801" i="5"/>
  <c r="E849" i="5"/>
  <c r="E897" i="5"/>
  <c r="E945" i="5"/>
  <c r="E993" i="5"/>
  <c r="E990" i="5"/>
  <c r="E670" i="5"/>
  <c r="E686" i="5"/>
  <c r="E718" i="5"/>
  <c r="E734" i="5"/>
  <c r="E766" i="5"/>
  <c r="E782" i="5"/>
  <c r="E798" i="5"/>
  <c r="E814" i="5"/>
  <c r="E830" i="5"/>
  <c r="E846" i="5"/>
  <c r="E878" i="5"/>
  <c r="E894" i="5"/>
  <c r="E910" i="5"/>
  <c r="E926" i="5"/>
  <c r="E942" i="5"/>
  <c r="E958" i="5"/>
  <c r="E986" i="5"/>
  <c r="E619" i="5"/>
  <c r="E651" i="5"/>
  <c r="E667" i="5"/>
  <c r="E683" i="5"/>
  <c r="E699" i="5"/>
  <c r="E715" i="5"/>
  <c r="E731" i="5"/>
  <c r="E747" i="5"/>
  <c r="E763" i="5"/>
  <c r="E795" i="5"/>
  <c r="E811" i="5"/>
  <c r="E843" i="5"/>
  <c r="E859" i="5"/>
  <c r="E875" i="5"/>
  <c r="E923" i="5"/>
  <c r="E680" i="5"/>
  <c r="E696" i="5"/>
  <c r="E728" i="5"/>
  <c r="E744" i="5"/>
  <c r="E220" i="5"/>
  <c r="E236" i="5"/>
  <c r="E252" i="5"/>
  <c r="E268" i="5"/>
  <c r="E284" i="5"/>
  <c r="E300" i="5"/>
  <c r="E316" i="5"/>
  <c r="F316" i="5" s="1"/>
  <c r="E316" i="8" s="1"/>
  <c r="E332" i="5"/>
  <c r="E348" i="5"/>
  <c r="E364" i="5"/>
  <c r="E380" i="5"/>
  <c r="E396" i="5"/>
  <c r="E412" i="5"/>
  <c r="E428" i="5"/>
  <c r="E444" i="5"/>
  <c r="E460" i="5"/>
  <c r="E476" i="5"/>
  <c r="E492" i="5"/>
  <c r="E508" i="5"/>
  <c r="E524" i="5"/>
  <c r="E540" i="5"/>
  <c r="E556" i="5"/>
  <c r="E572" i="5"/>
  <c r="E588" i="5"/>
  <c r="E604" i="5"/>
  <c r="E620" i="5"/>
  <c r="E636" i="5"/>
  <c r="E652" i="5"/>
  <c r="E1021" i="5"/>
  <c r="E805" i="5"/>
  <c r="E821" i="5"/>
  <c r="E853" i="5"/>
  <c r="E869" i="5"/>
  <c r="E901" i="5"/>
  <c r="E917" i="5"/>
  <c r="E949" i="5"/>
  <c r="E965" i="5"/>
  <c r="E997" i="5"/>
  <c r="E1013" i="5"/>
  <c r="E879" i="5"/>
  <c r="E895" i="5"/>
  <c r="E927" i="5"/>
  <c r="E943" i="5"/>
  <c r="E975" i="5"/>
  <c r="E991" i="5"/>
  <c r="E988" i="5"/>
  <c r="E700" i="5"/>
  <c r="E748" i="5"/>
  <c r="E780" i="5"/>
  <c r="E818" i="5"/>
  <c r="E834" i="5"/>
  <c r="E850" i="5"/>
  <c r="E882" i="5"/>
  <c r="E898" i="5"/>
  <c r="E914" i="5"/>
  <c r="E930" i="5"/>
  <c r="E946" i="5"/>
  <c r="E966" i="5"/>
  <c r="E994" i="5"/>
  <c r="E639" i="5"/>
  <c r="E655" i="5"/>
  <c r="E671" i="5"/>
  <c r="E687" i="5"/>
  <c r="E703" i="5"/>
  <c r="E719" i="5"/>
  <c r="E735" i="5"/>
  <c r="E751" i="5"/>
  <c r="E767" i="5"/>
  <c r="E783" i="5"/>
  <c r="E799" i="5"/>
  <c r="E831" i="5"/>
  <c r="E847" i="5"/>
  <c r="E261" i="5"/>
  <c r="E405" i="5"/>
  <c r="E453" i="5"/>
  <c r="E501" i="5"/>
  <c r="E549" i="5"/>
  <c r="E597" i="5"/>
  <c r="E690" i="5"/>
  <c r="E738" i="5"/>
  <c r="E1004" i="5"/>
  <c r="E400" i="5"/>
  <c r="E416" i="5"/>
  <c r="E432" i="5"/>
  <c r="E448" i="5"/>
  <c r="E464" i="5"/>
  <c r="E480" i="5"/>
  <c r="E496" i="5"/>
  <c r="E512" i="5"/>
  <c r="E528" i="5"/>
  <c r="E544" i="5"/>
  <c r="E560" i="5"/>
  <c r="E576" i="5"/>
  <c r="E592" i="5"/>
  <c r="E608" i="5"/>
  <c r="E624" i="5"/>
  <c r="E5" i="5"/>
  <c r="E793" i="5"/>
  <c r="E809" i="5"/>
  <c r="E841" i="5"/>
  <c r="E857" i="5"/>
  <c r="E889" i="5"/>
  <c r="E905" i="5"/>
  <c r="E937" i="5"/>
  <c r="E953" i="5"/>
  <c r="E985" i="5"/>
  <c r="E1001" i="5"/>
  <c r="E883" i="5"/>
  <c r="E915" i="5"/>
  <c r="E931" i="5"/>
  <c r="E963" i="5"/>
  <c r="E979" i="5"/>
  <c r="E1011" i="5"/>
  <c r="E996" i="5"/>
  <c r="E688" i="5"/>
  <c r="E736" i="5"/>
  <c r="E784" i="5"/>
  <c r="E659" i="5"/>
  <c r="E675" i="5"/>
  <c r="E691" i="5"/>
  <c r="E707" i="5"/>
  <c r="E723" i="5"/>
  <c r="E739" i="5"/>
  <c r="E755" i="5"/>
  <c r="E771" i="5"/>
  <c r="E787" i="5"/>
  <c r="E819" i="5"/>
  <c r="E835" i="5"/>
  <c r="E867" i="5"/>
  <c r="E995" i="5"/>
  <c r="E788" i="8"/>
  <c r="H38" i="4"/>
  <c r="H39" i="4"/>
  <c r="H41" i="4"/>
  <c r="T41" i="4"/>
  <c r="AF41" i="4"/>
  <c r="AR41" i="4"/>
  <c r="BD41" i="4"/>
  <c r="BP41" i="4"/>
  <c r="CB41" i="4"/>
  <c r="CN41" i="4"/>
  <c r="CZ41" i="4"/>
  <c r="DL41" i="4"/>
  <c r="DX41" i="4"/>
  <c r="EJ41" i="4"/>
  <c r="EV41" i="4"/>
  <c r="FH41" i="4"/>
  <c r="FT41" i="4"/>
  <c r="GF41" i="4"/>
  <c r="K39" i="4"/>
  <c r="W39" i="4"/>
  <c r="AI39" i="4"/>
  <c r="AU39" i="4"/>
  <c r="BG39" i="4"/>
  <c r="BS39" i="4"/>
  <c r="CE39" i="4"/>
  <c r="CQ39" i="4"/>
  <c r="DC39" i="4"/>
  <c r="DO39" i="4"/>
  <c r="EA39" i="4"/>
  <c r="EM39" i="4"/>
  <c r="EY39" i="4"/>
  <c r="FK39" i="4"/>
  <c r="FW39" i="4"/>
  <c r="GI39" i="4"/>
  <c r="J37" i="4"/>
  <c r="X37" i="4"/>
  <c r="AJ37" i="4"/>
  <c r="AV37" i="4"/>
  <c r="BH37" i="4"/>
  <c r="BT37" i="4"/>
  <c r="CF37" i="4"/>
  <c r="CR37" i="4"/>
  <c r="DD37" i="4"/>
  <c r="DP37" i="4"/>
  <c r="EB37" i="4"/>
  <c r="EN37" i="4"/>
  <c r="EZ37" i="4"/>
  <c r="FL37" i="4"/>
  <c r="FX37" i="4"/>
  <c r="GJ37" i="4"/>
  <c r="N40" i="4"/>
  <c r="Z40" i="4"/>
  <c r="AL40" i="4"/>
  <c r="AX40" i="4"/>
  <c r="BJ40" i="4"/>
  <c r="BV40" i="4"/>
  <c r="CH40" i="4"/>
  <c r="CT40" i="4"/>
  <c r="DF40" i="4"/>
  <c r="DR40" i="4"/>
  <c r="ED40" i="4"/>
  <c r="EP40" i="4"/>
  <c r="I41" i="4"/>
  <c r="U41" i="4"/>
  <c r="AG41" i="4"/>
  <c r="AS41" i="4"/>
  <c r="BE41" i="4"/>
  <c r="BQ41" i="4"/>
  <c r="CC41" i="4"/>
  <c r="CO41" i="4"/>
  <c r="DA41" i="4"/>
  <c r="DM41" i="4"/>
  <c r="DY41" i="4"/>
  <c r="EK41" i="4"/>
  <c r="EW41" i="4"/>
  <c r="FI41" i="4"/>
  <c r="FU41" i="4"/>
  <c r="GG41" i="4"/>
  <c r="L39" i="4"/>
  <c r="X39" i="4"/>
  <c r="AJ39" i="4"/>
  <c r="AV39" i="4"/>
  <c r="BH39" i="4"/>
  <c r="BT39" i="4"/>
  <c r="CF39" i="4"/>
  <c r="CR39" i="4"/>
  <c r="DD39" i="4"/>
  <c r="DP39" i="4"/>
  <c r="EB39" i="4"/>
  <c r="EN39" i="4"/>
  <c r="EZ39" i="4"/>
  <c r="FL39" i="4"/>
  <c r="FX39" i="4"/>
  <c r="GJ39" i="4"/>
  <c r="K37" i="4"/>
  <c r="Y37" i="4"/>
  <c r="AK37" i="4"/>
  <c r="AW37" i="4"/>
  <c r="BI37" i="4"/>
  <c r="BU37" i="4"/>
  <c r="CG37" i="4"/>
  <c r="CS37" i="4"/>
  <c r="DE37" i="4"/>
  <c r="DQ37" i="4"/>
  <c r="EC37" i="4"/>
  <c r="EO37" i="4"/>
  <c r="FA37" i="4"/>
  <c r="FM37" i="4"/>
  <c r="FY37" i="4"/>
  <c r="GK37" i="4"/>
  <c r="O40" i="4"/>
  <c r="AA40" i="4"/>
  <c r="AM40" i="4"/>
  <c r="AY40" i="4"/>
  <c r="BK40" i="4"/>
  <c r="BW40" i="4"/>
  <c r="CI40" i="4"/>
  <c r="CU40" i="4"/>
  <c r="DG40" i="4"/>
  <c r="DS40" i="4"/>
  <c r="EE40" i="4"/>
  <c r="EQ40" i="4"/>
  <c r="FC40" i="4"/>
  <c r="J41" i="4"/>
  <c r="V41" i="4"/>
  <c r="AH41" i="4"/>
  <c r="AT41" i="4"/>
  <c r="BF41" i="4"/>
  <c r="BR41" i="4"/>
  <c r="CD41" i="4"/>
  <c r="CP41" i="4"/>
  <c r="DB41" i="4"/>
  <c r="DN41" i="4"/>
  <c r="DZ41" i="4"/>
  <c r="EL41" i="4"/>
  <c r="EX41" i="4"/>
  <c r="FJ41" i="4"/>
  <c r="FV41" i="4"/>
  <c r="GH41" i="4"/>
  <c r="M39" i="4"/>
  <c r="Y39" i="4"/>
  <c r="AK39" i="4"/>
  <c r="AW39" i="4"/>
  <c r="BI39" i="4"/>
  <c r="BU39" i="4"/>
  <c r="CG39" i="4"/>
  <c r="CS39" i="4"/>
  <c r="DE39" i="4"/>
  <c r="DQ39" i="4"/>
  <c r="EC39" i="4"/>
  <c r="EO39" i="4"/>
  <c r="FA39" i="4"/>
  <c r="FM39" i="4"/>
  <c r="FY39" i="4"/>
  <c r="GK39" i="4"/>
  <c r="L37" i="4"/>
  <c r="Z37" i="4"/>
  <c r="AL37" i="4"/>
  <c r="AX37" i="4"/>
  <c r="BJ37" i="4"/>
  <c r="BV37" i="4"/>
  <c r="CH37" i="4"/>
  <c r="CT37" i="4"/>
  <c r="DF37" i="4"/>
  <c r="DR37" i="4"/>
  <c r="ED37" i="4"/>
  <c r="EP37" i="4"/>
  <c r="FB37" i="4"/>
  <c r="FN37" i="4"/>
  <c r="FZ37" i="4"/>
  <c r="GL37" i="4"/>
  <c r="P40" i="4"/>
  <c r="AB40" i="4"/>
  <c r="AN40" i="4"/>
  <c r="AZ40" i="4"/>
  <c r="BL40" i="4"/>
  <c r="BX40" i="4"/>
  <c r="CJ40" i="4"/>
  <c r="CV40" i="4"/>
  <c r="DH40" i="4"/>
  <c r="DT40" i="4"/>
  <c r="EF40" i="4"/>
  <c r="ER40" i="4"/>
  <c r="FD40" i="4"/>
  <c r="FP40" i="4"/>
  <c r="K41" i="4"/>
  <c r="W41" i="4"/>
  <c r="AI41" i="4"/>
  <c r="AU41" i="4"/>
  <c r="BG41" i="4"/>
  <c r="BS41" i="4"/>
  <c r="CE41" i="4"/>
  <c r="CQ41" i="4"/>
  <c r="DC41" i="4"/>
  <c r="DO41" i="4"/>
  <c r="EA41" i="4"/>
  <c r="EM41" i="4"/>
  <c r="EY41" i="4"/>
  <c r="FK41" i="4"/>
  <c r="FW41" i="4"/>
  <c r="GI41" i="4"/>
  <c r="N39" i="4"/>
  <c r="Z39" i="4"/>
  <c r="AL39" i="4"/>
  <c r="AX39" i="4"/>
  <c r="BJ39" i="4"/>
  <c r="BV39" i="4"/>
  <c r="CH39" i="4"/>
  <c r="CT39" i="4"/>
  <c r="DF39" i="4"/>
  <c r="DR39" i="4"/>
  <c r="ED39" i="4"/>
  <c r="EP39" i="4"/>
  <c r="FB39" i="4"/>
  <c r="FN39" i="4"/>
  <c r="FZ39" i="4"/>
  <c r="GL39" i="4"/>
  <c r="M37" i="4"/>
  <c r="AA37" i="4"/>
  <c r="AM37" i="4"/>
  <c r="AY37" i="4"/>
  <c r="BK37" i="4"/>
  <c r="BW37" i="4"/>
  <c r="CI37" i="4"/>
  <c r="CU37" i="4"/>
  <c r="DG37" i="4"/>
  <c r="DS37" i="4"/>
  <c r="EE37" i="4"/>
  <c r="EQ37" i="4"/>
  <c r="FC37" i="4"/>
  <c r="FO37" i="4"/>
  <c r="GA37" i="4"/>
  <c r="GM37" i="4"/>
  <c r="Q40" i="4"/>
  <c r="AC40" i="4"/>
  <c r="AO40" i="4"/>
  <c r="BA40" i="4"/>
  <c r="BM40" i="4"/>
  <c r="BY40" i="4"/>
  <c r="CK40" i="4"/>
  <c r="CW40" i="4"/>
  <c r="DI40" i="4"/>
  <c r="DU40" i="4"/>
  <c r="EG40" i="4"/>
  <c r="ES40" i="4"/>
  <c r="FE40" i="4"/>
  <c r="FQ40" i="4"/>
  <c r="L41" i="4"/>
  <c r="X41" i="4"/>
  <c r="AJ41" i="4"/>
  <c r="AV41" i="4"/>
  <c r="BH41" i="4"/>
  <c r="BT41" i="4"/>
  <c r="CF41" i="4"/>
  <c r="CR41" i="4"/>
  <c r="DD41" i="4"/>
  <c r="DP41" i="4"/>
  <c r="EB41" i="4"/>
  <c r="EN41" i="4"/>
  <c r="EZ41" i="4"/>
  <c r="FL41" i="4"/>
  <c r="FX41" i="4"/>
  <c r="GJ41" i="4"/>
  <c r="O39" i="4"/>
  <c r="AA39" i="4"/>
  <c r="AM39" i="4"/>
  <c r="AY39" i="4"/>
  <c r="BK39" i="4"/>
  <c r="BW39" i="4"/>
  <c r="CI39" i="4"/>
  <c r="CU39" i="4"/>
  <c r="DG39" i="4"/>
  <c r="DS39" i="4"/>
  <c r="EE39" i="4"/>
  <c r="EQ39" i="4"/>
  <c r="FC39" i="4"/>
  <c r="FO39" i="4"/>
  <c r="GA39" i="4"/>
  <c r="GM39" i="4"/>
  <c r="P37" i="4"/>
  <c r="AB37" i="4"/>
  <c r="AN37" i="4"/>
  <c r="AZ37" i="4"/>
  <c r="BL37" i="4"/>
  <c r="BX37" i="4"/>
  <c r="CJ37" i="4"/>
  <c r="CV37" i="4"/>
  <c r="DH37" i="4"/>
  <c r="DT37" i="4"/>
  <c r="EF37" i="4"/>
  <c r="ER37" i="4"/>
  <c r="FD37" i="4"/>
  <c r="FP37" i="4"/>
  <c r="GB37" i="4"/>
  <c r="GN37" i="4"/>
  <c r="R40" i="4"/>
  <c r="AD40" i="4"/>
  <c r="AP40" i="4"/>
  <c r="BB40" i="4"/>
  <c r="BN40" i="4"/>
  <c r="BZ40" i="4"/>
  <c r="CL40" i="4"/>
  <c r="CX40" i="4"/>
  <c r="DJ40" i="4"/>
  <c r="DV40" i="4"/>
  <c r="M41" i="4"/>
  <c r="Y41" i="4"/>
  <c r="AK41" i="4"/>
  <c r="AW41" i="4"/>
  <c r="BI41" i="4"/>
  <c r="BU41" i="4"/>
  <c r="CG41" i="4"/>
  <c r="CS41" i="4"/>
  <c r="DE41" i="4"/>
  <c r="DQ41" i="4"/>
  <c r="EC41" i="4"/>
  <c r="EO41" i="4"/>
  <c r="FA41" i="4"/>
  <c r="FM41" i="4"/>
  <c r="FY41" i="4"/>
  <c r="GK41" i="4"/>
  <c r="P39" i="4"/>
  <c r="AB39" i="4"/>
  <c r="AN39" i="4"/>
  <c r="AZ39" i="4"/>
  <c r="BL39" i="4"/>
  <c r="BX39" i="4"/>
  <c r="CJ39" i="4"/>
  <c r="CV39" i="4"/>
  <c r="DH39" i="4"/>
  <c r="DT39" i="4"/>
  <c r="EF39" i="4"/>
  <c r="ER39" i="4"/>
  <c r="FD39" i="4"/>
  <c r="FP39" i="4"/>
  <c r="GB39" i="4"/>
  <c r="GN39" i="4"/>
  <c r="Q37" i="4"/>
  <c r="AC37" i="4"/>
  <c r="AO37" i="4"/>
  <c r="BA37" i="4"/>
  <c r="BM37" i="4"/>
  <c r="BY37" i="4"/>
  <c r="CK37" i="4"/>
  <c r="CW37" i="4"/>
  <c r="DI37" i="4"/>
  <c r="DU37" i="4"/>
  <c r="EG37" i="4"/>
  <c r="ES37" i="4"/>
  <c r="FE37" i="4"/>
  <c r="FQ37" i="4"/>
  <c r="GC37" i="4"/>
  <c r="H37" i="4"/>
  <c r="S40" i="4"/>
  <c r="AE40" i="4"/>
  <c r="AQ40" i="4"/>
  <c r="BC40" i="4"/>
  <c r="BO40" i="4"/>
  <c r="CA40" i="4"/>
  <c r="CM40" i="4"/>
  <c r="CY40" i="4"/>
  <c r="DK40" i="4"/>
  <c r="DW40" i="4"/>
  <c r="EI40" i="4"/>
  <c r="EU40" i="4"/>
  <c r="FG40" i="4"/>
  <c r="FS40" i="4"/>
  <c r="N41" i="4"/>
  <c r="Z41" i="4"/>
  <c r="AL41" i="4"/>
  <c r="AX41" i="4"/>
  <c r="BJ41" i="4"/>
  <c r="BV41" i="4"/>
  <c r="CH41" i="4"/>
  <c r="CT41" i="4"/>
  <c r="DF41" i="4"/>
  <c r="DR41" i="4"/>
  <c r="ED41" i="4"/>
  <c r="EP41" i="4"/>
  <c r="FB41" i="4"/>
  <c r="FN41" i="4"/>
  <c r="FZ41" i="4"/>
  <c r="GL41" i="4"/>
  <c r="Q39" i="4"/>
  <c r="AC39" i="4"/>
  <c r="AO39" i="4"/>
  <c r="BA39" i="4"/>
  <c r="BM39" i="4"/>
  <c r="BY39" i="4"/>
  <c r="CK39" i="4"/>
  <c r="CW39" i="4"/>
  <c r="DI39" i="4"/>
  <c r="DU39" i="4"/>
  <c r="EG39" i="4"/>
  <c r="ES39" i="4"/>
  <c r="FE39" i="4"/>
  <c r="FQ39" i="4"/>
  <c r="GC39" i="4"/>
  <c r="R37" i="4"/>
  <c r="AD37" i="4"/>
  <c r="AP37" i="4"/>
  <c r="BB37" i="4"/>
  <c r="BN37" i="4"/>
  <c r="BZ37" i="4"/>
  <c r="CL37" i="4"/>
  <c r="CX37" i="4"/>
  <c r="DJ37" i="4"/>
  <c r="DV37" i="4"/>
  <c r="EH37" i="4"/>
  <c r="ET37" i="4"/>
  <c r="FF37" i="4"/>
  <c r="FR37" i="4"/>
  <c r="GD37" i="4"/>
  <c r="H40" i="4"/>
  <c r="T40" i="4"/>
  <c r="AF40" i="4"/>
  <c r="AR40" i="4"/>
  <c r="BD40" i="4"/>
  <c r="BP40" i="4"/>
  <c r="CB40" i="4"/>
  <c r="CN40" i="4"/>
  <c r="CZ40" i="4"/>
  <c r="DL40" i="4"/>
  <c r="DX40" i="4"/>
  <c r="O41" i="4"/>
  <c r="AA41" i="4"/>
  <c r="AM41" i="4"/>
  <c r="AY41" i="4"/>
  <c r="BK41" i="4"/>
  <c r="BW41" i="4"/>
  <c r="CI41" i="4"/>
  <c r="CU41" i="4"/>
  <c r="DG41" i="4"/>
  <c r="DS41" i="4"/>
  <c r="EE41" i="4"/>
  <c r="EQ41" i="4"/>
  <c r="FC41" i="4"/>
  <c r="FO41" i="4"/>
  <c r="GA41" i="4"/>
  <c r="GM41" i="4"/>
  <c r="R39" i="4"/>
  <c r="AD39" i="4"/>
  <c r="AP39" i="4"/>
  <c r="BB39" i="4"/>
  <c r="BN39" i="4"/>
  <c r="BZ39" i="4"/>
  <c r="CL39" i="4"/>
  <c r="CX39" i="4"/>
  <c r="DJ39" i="4"/>
  <c r="DV39" i="4"/>
  <c r="EH39" i="4"/>
  <c r="ET39" i="4"/>
  <c r="FF39" i="4"/>
  <c r="FR39" i="4"/>
  <c r="GD39" i="4"/>
  <c r="S37" i="4"/>
  <c r="AE37" i="4"/>
  <c r="AQ37" i="4"/>
  <c r="BC37" i="4"/>
  <c r="BO37" i="4"/>
  <c r="CA37" i="4"/>
  <c r="CM37" i="4"/>
  <c r="CY37" i="4"/>
  <c r="DK37" i="4"/>
  <c r="DW37" i="4"/>
  <c r="EI37" i="4"/>
  <c r="EU37" i="4"/>
  <c r="FG37" i="4"/>
  <c r="FS37" i="4"/>
  <c r="GE37" i="4"/>
  <c r="I40" i="4"/>
  <c r="U40" i="4"/>
  <c r="AG40" i="4"/>
  <c r="AS40" i="4"/>
  <c r="BE40" i="4"/>
  <c r="BQ40" i="4"/>
  <c r="CC40" i="4"/>
  <c r="CO40" i="4"/>
  <c r="DA40" i="4"/>
  <c r="DM40" i="4"/>
  <c r="P41" i="4"/>
  <c r="AB41" i="4"/>
  <c r="AN41" i="4"/>
  <c r="AZ41" i="4"/>
  <c r="BL41" i="4"/>
  <c r="BX41" i="4"/>
  <c r="CJ41" i="4"/>
  <c r="CV41" i="4"/>
  <c r="DH41" i="4"/>
  <c r="DT41" i="4"/>
  <c r="EF41" i="4"/>
  <c r="ER41" i="4"/>
  <c r="FD41" i="4"/>
  <c r="FP41" i="4"/>
  <c r="GB41" i="4"/>
  <c r="GN41" i="4"/>
  <c r="S39" i="4"/>
  <c r="AE39" i="4"/>
  <c r="AQ39" i="4"/>
  <c r="BC39" i="4"/>
  <c r="BO39" i="4"/>
  <c r="CA39" i="4"/>
  <c r="CM39" i="4"/>
  <c r="CY39" i="4"/>
  <c r="DK39" i="4"/>
  <c r="DW39" i="4"/>
  <c r="EI39" i="4"/>
  <c r="EU39" i="4"/>
  <c r="FG39" i="4"/>
  <c r="FS39" i="4"/>
  <c r="GE39" i="4"/>
  <c r="T37" i="4"/>
  <c r="AF37" i="4"/>
  <c r="AR37" i="4"/>
  <c r="BD37" i="4"/>
  <c r="BP37" i="4"/>
  <c r="CB37" i="4"/>
  <c r="CN37" i="4"/>
  <c r="CZ37" i="4"/>
  <c r="DL37" i="4"/>
  <c r="DX37" i="4"/>
  <c r="EJ37" i="4"/>
  <c r="EV37" i="4"/>
  <c r="FH37" i="4"/>
  <c r="FT37" i="4"/>
  <c r="GF37" i="4"/>
  <c r="J40" i="4"/>
  <c r="V40" i="4"/>
  <c r="AH40" i="4"/>
  <c r="AT40" i="4"/>
  <c r="BF40" i="4"/>
  <c r="BR40" i="4"/>
  <c r="CD40" i="4"/>
  <c r="CP40" i="4"/>
  <c r="DB40" i="4"/>
  <c r="DN40" i="4"/>
  <c r="DZ40" i="4"/>
  <c r="Q41" i="4"/>
  <c r="AC41" i="4"/>
  <c r="AO41" i="4"/>
  <c r="BA41" i="4"/>
  <c r="BM41" i="4"/>
  <c r="BY41" i="4"/>
  <c r="CK41" i="4"/>
  <c r="CW41" i="4"/>
  <c r="DI41" i="4"/>
  <c r="DU41" i="4"/>
  <c r="EG41" i="4"/>
  <c r="ES41" i="4"/>
  <c r="FE41" i="4"/>
  <c r="FQ41" i="4"/>
  <c r="GC41" i="4"/>
  <c r="T39" i="4"/>
  <c r="AF39" i="4"/>
  <c r="AR39" i="4"/>
  <c r="BD39" i="4"/>
  <c r="BP39" i="4"/>
  <c r="CB39" i="4"/>
  <c r="CN39" i="4"/>
  <c r="CZ39" i="4"/>
  <c r="DL39" i="4"/>
  <c r="DX39" i="4"/>
  <c r="EJ39" i="4"/>
  <c r="EV39" i="4"/>
  <c r="FH39" i="4"/>
  <c r="FT39" i="4"/>
  <c r="GF39" i="4"/>
  <c r="U37" i="4"/>
  <c r="AG37" i="4"/>
  <c r="AS37" i="4"/>
  <c r="BE37" i="4"/>
  <c r="BQ37" i="4"/>
  <c r="CC37" i="4"/>
  <c r="CO37" i="4"/>
  <c r="DA37" i="4"/>
  <c r="DM37" i="4"/>
  <c r="DY37" i="4"/>
  <c r="EK37" i="4"/>
  <c r="EW37" i="4"/>
  <c r="FI37" i="4"/>
  <c r="FU37" i="4"/>
  <c r="GG37" i="4"/>
  <c r="K40" i="4"/>
  <c r="W40" i="4"/>
  <c r="AI40" i="4"/>
  <c r="AU40" i="4"/>
  <c r="BG40" i="4"/>
  <c r="BS40" i="4"/>
  <c r="CE40" i="4"/>
  <c r="CQ40" i="4"/>
  <c r="DC40" i="4"/>
  <c r="DO40" i="4"/>
  <c r="EA40" i="4"/>
  <c r="EM40" i="4"/>
  <c r="EY40" i="4"/>
  <c r="R41" i="4"/>
  <c r="AD41" i="4"/>
  <c r="AP41" i="4"/>
  <c r="BB41" i="4"/>
  <c r="BN41" i="4"/>
  <c r="BZ41" i="4"/>
  <c r="CL41" i="4"/>
  <c r="CX41" i="4"/>
  <c r="DJ41" i="4"/>
  <c r="DV41" i="4"/>
  <c r="EH41" i="4"/>
  <c r="ET41" i="4"/>
  <c r="FF41" i="4"/>
  <c r="FR41" i="4"/>
  <c r="GD41" i="4"/>
  <c r="I39" i="4"/>
  <c r="U39" i="4"/>
  <c r="AG39" i="4"/>
  <c r="AS39" i="4"/>
  <c r="BE39" i="4"/>
  <c r="BQ39" i="4"/>
  <c r="CC39" i="4"/>
  <c r="CO39" i="4"/>
  <c r="DA39" i="4"/>
  <c r="DM39" i="4"/>
  <c r="DY39" i="4"/>
  <c r="EK39" i="4"/>
  <c r="EW39" i="4"/>
  <c r="FI39" i="4"/>
  <c r="FU39" i="4"/>
  <c r="GG39" i="4"/>
  <c r="V37" i="4"/>
  <c r="AH37" i="4"/>
  <c r="AT37" i="4"/>
  <c r="BF37" i="4"/>
  <c r="BR37" i="4"/>
  <c r="CD37" i="4"/>
  <c r="CP37" i="4"/>
  <c r="DB37" i="4"/>
  <c r="DN37" i="4"/>
  <c r="DZ37" i="4"/>
  <c r="EL37" i="4"/>
  <c r="EX37" i="4"/>
  <c r="FJ37" i="4"/>
  <c r="FV37" i="4"/>
  <c r="GH37" i="4"/>
  <c r="L40" i="4"/>
  <c r="X40" i="4"/>
  <c r="AJ40" i="4"/>
  <c r="AV40" i="4"/>
  <c r="BH40" i="4"/>
  <c r="BT40" i="4"/>
  <c r="CF40" i="4"/>
  <c r="CR40" i="4"/>
  <c r="DD40" i="4"/>
  <c r="DP40" i="4"/>
  <c r="S41" i="4"/>
  <c r="AE41" i="4"/>
  <c r="AQ41" i="4"/>
  <c r="BC41" i="4"/>
  <c r="BO41" i="4"/>
  <c r="CA41" i="4"/>
  <c r="CM41" i="4"/>
  <c r="CY41" i="4"/>
  <c r="DK41" i="4"/>
  <c r="DW41" i="4"/>
  <c r="EI41" i="4"/>
  <c r="EU41" i="4"/>
  <c r="FG41" i="4"/>
  <c r="FS41" i="4"/>
  <c r="GE41" i="4"/>
  <c r="J39" i="4"/>
  <c r="V39" i="4"/>
  <c r="AH39" i="4"/>
  <c r="AT39" i="4"/>
  <c r="BF39" i="4"/>
  <c r="BR39" i="4"/>
  <c r="CD39" i="4"/>
  <c r="CP39" i="4"/>
  <c r="DB39" i="4"/>
  <c r="DN39" i="4"/>
  <c r="DZ39" i="4"/>
  <c r="EL39" i="4"/>
  <c r="EX39" i="4"/>
  <c r="FJ39" i="4"/>
  <c r="FV39" i="4"/>
  <c r="GH39" i="4"/>
  <c r="W37" i="4"/>
  <c r="AI37" i="4"/>
  <c r="AU37" i="4"/>
  <c r="BG37" i="4"/>
  <c r="BS37" i="4"/>
  <c r="CE37" i="4"/>
  <c r="CQ37" i="4"/>
  <c r="DC37" i="4"/>
  <c r="DO37" i="4"/>
  <c r="EA37" i="4"/>
  <c r="EM37" i="4"/>
  <c r="EY37" i="4"/>
  <c r="FK37" i="4"/>
  <c r="FW37" i="4"/>
  <c r="GI37" i="4"/>
  <c r="M40" i="4"/>
  <c r="Y40" i="4"/>
  <c r="AK40" i="4"/>
  <c r="AW40" i="4"/>
  <c r="BI40" i="4"/>
  <c r="BU40" i="4"/>
  <c r="CG40" i="4"/>
  <c r="CS40" i="4"/>
  <c r="DE40" i="4"/>
  <c r="DQ40" i="4"/>
  <c r="ET40" i="4"/>
  <c r="FL40" i="4"/>
  <c r="GA40" i="4"/>
  <c r="GM40" i="4"/>
  <c r="S38" i="4"/>
  <c r="AE38" i="4"/>
  <c r="AQ38" i="4"/>
  <c r="BC38" i="4"/>
  <c r="BO38" i="4"/>
  <c r="CA38" i="4"/>
  <c r="CM38" i="4"/>
  <c r="CY38" i="4"/>
  <c r="DK38" i="4"/>
  <c r="DW38" i="4"/>
  <c r="EI38" i="4"/>
  <c r="EU38" i="4"/>
  <c r="FG38" i="4"/>
  <c r="FS38" i="4"/>
  <c r="GE38" i="4"/>
  <c r="EV40" i="4"/>
  <c r="FM40" i="4"/>
  <c r="GB40" i="4"/>
  <c r="GN40" i="4"/>
  <c r="T38" i="4"/>
  <c r="AF38" i="4"/>
  <c r="AR38" i="4"/>
  <c r="BD38" i="4"/>
  <c r="BP38" i="4"/>
  <c r="CB38" i="4"/>
  <c r="CN38" i="4"/>
  <c r="CZ38" i="4"/>
  <c r="DL38" i="4"/>
  <c r="DX38" i="4"/>
  <c r="EJ38" i="4"/>
  <c r="EV38" i="4"/>
  <c r="FH38" i="4"/>
  <c r="FT38" i="4"/>
  <c r="GF38" i="4"/>
  <c r="EW40" i="4"/>
  <c r="FN40" i="4"/>
  <c r="GC40" i="4"/>
  <c r="I38" i="4"/>
  <c r="U38" i="4"/>
  <c r="AG38" i="4"/>
  <c r="AS38" i="4"/>
  <c r="BE38" i="4"/>
  <c r="BQ38" i="4"/>
  <c r="CC38" i="4"/>
  <c r="CO38" i="4"/>
  <c r="DA38" i="4"/>
  <c r="DM38" i="4"/>
  <c r="DY38" i="4"/>
  <c r="EK38" i="4"/>
  <c r="EW38" i="4"/>
  <c r="FI38" i="4"/>
  <c r="FU38" i="4"/>
  <c r="GG38" i="4"/>
  <c r="DY40" i="4"/>
  <c r="EX40" i="4"/>
  <c r="FO40" i="4"/>
  <c r="GD40" i="4"/>
  <c r="J38" i="4"/>
  <c r="V38" i="4"/>
  <c r="AH38" i="4"/>
  <c r="AT38" i="4"/>
  <c r="BF38" i="4"/>
  <c r="BR38" i="4"/>
  <c r="CD38" i="4"/>
  <c r="CP38" i="4"/>
  <c r="DB38" i="4"/>
  <c r="DN38" i="4"/>
  <c r="DZ38" i="4"/>
  <c r="EL38" i="4"/>
  <c r="EX38" i="4"/>
  <c r="FJ38" i="4"/>
  <c r="FV38" i="4"/>
  <c r="GH38" i="4"/>
  <c r="EB40" i="4"/>
  <c r="EZ40" i="4"/>
  <c r="FR40" i="4"/>
  <c r="GE40" i="4"/>
  <c r="K38" i="4"/>
  <c r="W38" i="4"/>
  <c r="AI38" i="4"/>
  <c r="AU38" i="4"/>
  <c r="BG38" i="4"/>
  <c r="BS38" i="4"/>
  <c r="CE38" i="4"/>
  <c r="CQ38" i="4"/>
  <c r="DC38" i="4"/>
  <c r="DO38" i="4"/>
  <c r="EA38" i="4"/>
  <c r="EM38" i="4"/>
  <c r="EY38" i="4"/>
  <c r="FK38" i="4"/>
  <c r="FW38" i="4"/>
  <c r="GI38" i="4"/>
  <c r="EC40" i="4"/>
  <c r="FA40" i="4"/>
  <c r="FT40" i="4"/>
  <c r="GF40" i="4"/>
  <c r="L38" i="4"/>
  <c r="X38" i="4"/>
  <c r="AJ38" i="4"/>
  <c r="AV38" i="4"/>
  <c r="BH38" i="4"/>
  <c r="BT38" i="4"/>
  <c r="CF38" i="4"/>
  <c r="CR38" i="4"/>
  <c r="DD38" i="4"/>
  <c r="DP38" i="4"/>
  <c r="EB38" i="4"/>
  <c r="EN38" i="4"/>
  <c r="EZ38" i="4"/>
  <c r="FL38" i="4"/>
  <c r="FX38" i="4"/>
  <c r="GJ38" i="4"/>
  <c r="EH40" i="4"/>
  <c r="FB40" i="4"/>
  <c r="FU40" i="4"/>
  <c r="GG40" i="4"/>
  <c r="M38" i="4"/>
  <c r="Y38" i="4"/>
  <c r="AK38" i="4"/>
  <c r="AW38" i="4"/>
  <c r="BI38" i="4"/>
  <c r="BU38" i="4"/>
  <c r="CG38" i="4"/>
  <c r="CS38" i="4"/>
  <c r="DE38" i="4"/>
  <c r="DQ38" i="4"/>
  <c r="EC38" i="4"/>
  <c r="EO38" i="4"/>
  <c r="FA38" i="4"/>
  <c r="FM38" i="4"/>
  <c r="FY38" i="4"/>
  <c r="GK38" i="4"/>
  <c r="EJ40" i="4"/>
  <c r="FF40" i="4"/>
  <c r="FV40" i="4"/>
  <c r="GH40" i="4"/>
  <c r="N38" i="4"/>
  <c r="Z38" i="4"/>
  <c r="AL38" i="4"/>
  <c r="AX38" i="4"/>
  <c r="BJ38" i="4"/>
  <c r="BV38" i="4"/>
  <c r="CH38" i="4"/>
  <c r="CT38" i="4"/>
  <c r="DF38" i="4"/>
  <c r="DR38" i="4"/>
  <c r="ED38" i="4"/>
  <c r="EP38" i="4"/>
  <c r="FB38" i="4"/>
  <c r="FN38" i="4"/>
  <c r="FZ38" i="4"/>
  <c r="GL38" i="4"/>
  <c r="EK40" i="4"/>
  <c r="FH40" i="4"/>
  <c r="FW40" i="4"/>
  <c r="GI40" i="4"/>
  <c r="O38" i="4"/>
  <c r="AA38" i="4"/>
  <c r="AM38" i="4"/>
  <c r="AY38" i="4"/>
  <c r="BK38" i="4"/>
  <c r="BW38" i="4"/>
  <c r="CI38" i="4"/>
  <c r="CU38" i="4"/>
  <c r="DG38" i="4"/>
  <c r="DS38" i="4"/>
  <c r="EE38" i="4"/>
  <c r="EQ38" i="4"/>
  <c r="FC38" i="4"/>
  <c r="FO38" i="4"/>
  <c r="GA38" i="4"/>
  <c r="GM38" i="4"/>
  <c r="EL40" i="4"/>
  <c r="FI40" i="4"/>
  <c r="FX40" i="4"/>
  <c r="GJ40" i="4"/>
  <c r="P38" i="4"/>
  <c r="AB38" i="4"/>
  <c r="AN38" i="4"/>
  <c r="AZ38" i="4"/>
  <c r="BL38" i="4"/>
  <c r="BX38" i="4"/>
  <c r="CJ38" i="4"/>
  <c r="CV38" i="4"/>
  <c r="DH38" i="4"/>
  <c r="DT38" i="4"/>
  <c r="EF38" i="4"/>
  <c r="ER38" i="4"/>
  <c r="FD38" i="4"/>
  <c r="FP38" i="4"/>
  <c r="GB38" i="4"/>
  <c r="GN38" i="4"/>
  <c r="EN40" i="4"/>
  <c r="FJ40" i="4"/>
  <c r="FY40" i="4"/>
  <c r="GK40" i="4"/>
  <c r="Q38" i="4"/>
  <c r="AC38" i="4"/>
  <c r="AO38" i="4"/>
  <c r="BA38" i="4"/>
  <c r="BM38" i="4"/>
  <c r="BY38" i="4"/>
  <c r="CK38" i="4"/>
  <c r="CW38" i="4"/>
  <c r="DI38" i="4"/>
  <c r="DU38" i="4"/>
  <c r="EG38" i="4"/>
  <c r="ES38" i="4"/>
  <c r="FE38" i="4"/>
  <c r="FQ38" i="4"/>
  <c r="GC38" i="4"/>
  <c r="EO40" i="4"/>
  <c r="FK40" i="4"/>
  <c r="FZ40" i="4"/>
  <c r="GL40" i="4"/>
  <c r="R38" i="4"/>
  <c r="AD38" i="4"/>
  <c r="AP38" i="4"/>
  <c r="BB38" i="4"/>
  <c r="BN38" i="4"/>
  <c r="BZ38" i="4"/>
  <c r="CL38" i="4"/>
  <c r="CX38" i="4"/>
  <c r="DJ38" i="4"/>
  <c r="DV38" i="4"/>
  <c r="EH38" i="4"/>
  <c r="ET38" i="4"/>
  <c r="FF38" i="4"/>
  <c r="FR38" i="4"/>
  <c r="GD38" i="4"/>
  <c r="O37" i="4"/>
  <c r="N37" i="4"/>
  <c r="I37" i="4"/>
  <c r="E36" i="8"/>
  <c r="E89" i="8"/>
  <c r="E37" i="8"/>
  <c r="E25" i="8"/>
  <c r="E116" i="8"/>
  <c r="E117" i="8"/>
  <c r="E75" i="8"/>
  <c r="E40" i="8"/>
  <c r="E53" i="8"/>
  <c r="E133" i="8"/>
  <c r="E1017" i="8"/>
  <c r="E28" i="8"/>
  <c r="E41" i="8"/>
  <c r="E68" i="8"/>
  <c r="E1018" i="8"/>
  <c r="E39" i="8"/>
  <c r="E105" i="8"/>
  <c r="E42" i="8"/>
  <c r="E56" i="8"/>
  <c r="E69" i="8"/>
  <c r="E1019" i="8"/>
  <c r="E103" i="8"/>
  <c r="E30" i="8"/>
  <c r="E57" i="8"/>
  <c r="E58" i="8"/>
  <c r="E137" i="8"/>
  <c r="E63" i="8"/>
  <c r="E72" i="8"/>
  <c r="E85" i="8"/>
  <c r="E1022" i="8"/>
  <c r="E8" i="8"/>
  <c r="E20" i="8"/>
  <c r="E46" i="8"/>
  <c r="E100" i="8"/>
  <c r="E1023" i="8"/>
  <c r="E90" i="8"/>
  <c r="E115" i="8"/>
  <c r="E21" i="8"/>
  <c r="E35" i="8"/>
  <c r="E47" i="8"/>
  <c r="E101" i="8"/>
  <c r="E1024" i="8"/>
  <c r="G4" i="5"/>
  <c r="F4" i="8" s="1"/>
  <c r="F4" i="5"/>
  <c r="G1023" i="5" l="1"/>
  <c r="F1023" i="8" s="1"/>
  <c r="G506" i="5"/>
  <c r="F506" i="8" s="1"/>
  <c r="G739" i="5"/>
  <c r="F739" i="8" s="1"/>
  <c r="F739" i="5"/>
  <c r="E739" i="8" s="1"/>
  <c r="F963" i="5"/>
  <c r="E963" i="8" s="1"/>
  <c r="G963" i="5"/>
  <c r="F963" i="8" s="1"/>
  <c r="G809" i="5"/>
  <c r="F809" i="8" s="1"/>
  <c r="F809" i="5"/>
  <c r="E809" i="8" s="1"/>
  <c r="G480" i="5"/>
  <c r="F480" i="8" s="1"/>
  <c r="F480" i="5"/>
  <c r="E480" i="8" s="1"/>
  <c r="G501" i="5"/>
  <c r="F501" i="8" s="1"/>
  <c r="F501" i="5"/>
  <c r="E501" i="8" s="1"/>
  <c r="F703" i="5"/>
  <c r="E703" i="8" s="1"/>
  <c r="G703" i="5"/>
  <c r="F703" i="8" s="1"/>
  <c r="F850" i="5"/>
  <c r="E850" i="8" s="1"/>
  <c r="G850" i="5"/>
  <c r="F850" i="8" s="1"/>
  <c r="F879" i="5"/>
  <c r="E879" i="8" s="1"/>
  <c r="G879" i="5"/>
  <c r="F879" i="8" s="1"/>
  <c r="G652" i="5"/>
  <c r="F652" i="8" s="1"/>
  <c r="F652" i="5"/>
  <c r="E652" i="8" s="1"/>
  <c r="G460" i="5"/>
  <c r="F460" i="8" s="1"/>
  <c r="F460" i="5"/>
  <c r="E460" i="8" s="1"/>
  <c r="F284" i="5"/>
  <c r="E284" i="8" s="1"/>
  <c r="G284" i="5"/>
  <c r="F284" i="8" s="1"/>
  <c r="F843" i="5"/>
  <c r="E843" i="8" s="1"/>
  <c r="G843" i="5"/>
  <c r="F843" i="8" s="1"/>
  <c r="F986" i="5"/>
  <c r="E986" i="8" s="1"/>
  <c r="G986" i="5"/>
  <c r="F986" i="8" s="1"/>
  <c r="G766" i="5"/>
  <c r="F766" i="8" s="1"/>
  <c r="F766" i="5"/>
  <c r="E766" i="8" s="1"/>
  <c r="F769" i="5"/>
  <c r="E769" i="8" s="1"/>
  <c r="G769" i="5"/>
  <c r="F769" i="8" s="1"/>
  <c r="F545" i="5"/>
  <c r="E545" i="8" s="1"/>
  <c r="G545" i="5"/>
  <c r="F545" i="8" s="1"/>
  <c r="G305" i="5"/>
  <c r="F305" i="8" s="1"/>
  <c r="F305" i="5"/>
  <c r="E305" i="8" s="1"/>
  <c r="F97" i="5"/>
  <c r="E97" i="8" s="1"/>
  <c r="G97" i="5"/>
  <c r="F97" i="8" s="1"/>
  <c r="F887" i="5"/>
  <c r="E887" i="8" s="1"/>
  <c r="G887" i="5"/>
  <c r="F887" i="8" s="1"/>
  <c r="F663" i="5"/>
  <c r="E663" i="8" s="1"/>
  <c r="G663" i="5"/>
  <c r="F663" i="8" s="1"/>
  <c r="G810" i="5"/>
  <c r="F810" i="8" s="1"/>
  <c r="F810" i="5"/>
  <c r="E810" i="8" s="1"/>
  <c r="F813" i="5"/>
  <c r="E813" i="8" s="1"/>
  <c r="G813" i="5"/>
  <c r="F813" i="8" s="1"/>
  <c r="F557" i="5"/>
  <c r="E557" i="8" s="1"/>
  <c r="G557" i="5"/>
  <c r="F557" i="8" s="1"/>
  <c r="G317" i="5"/>
  <c r="F317" i="8" s="1"/>
  <c r="F317" i="5"/>
  <c r="E317" i="8" s="1"/>
  <c r="G141" i="5"/>
  <c r="F141" i="8" s="1"/>
  <c r="F141" i="5"/>
  <c r="E141" i="8" s="1"/>
  <c r="F884" i="5"/>
  <c r="E884" i="8" s="1"/>
  <c r="G884" i="5"/>
  <c r="F884" i="8" s="1"/>
  <c r="G649" i="5"/>
  <c r="F649" i="8" s="1"/>
  <c r="F649" i="5"/>
  <c r="E649" i="8" s="1"/>
  <c r="F515" i="5"/>
  <c r="E515" i="8" s="1"/>
  <c r="G515" i="5"/>
  <c r="F515" i="8" s="1"/>
  <c r="G240" i="5"/>
  <c r="F240" i="8" s="1"/>
  <c r="F240" i="5"/>
  <c r="E240" i="8" s="1"/>
  <c r="F64" i="5"/>
  <c r="E64" i="8" s="1"/>
  <c r="G64" i="5"/>
  <c r="F64" i="8" s="1"/>
  <c r="F614" i="5"/>
  <c r="E614" i="8" s="1"/>
  <c r="G614" i="5"/>
  <c r="F614" i="8" s="1"/>
  <c r="F422" i="5"/>
  <c r="E422" i="8" s="1"/>
  <c r="G422" i="5"/>
  <c r="F422" i="8" s="1"/>
  <c r="F198" i="5"/>
  <c r="E198" i="8" s="1"/>
  <c r="G198" i="5"/>
  <c r="F198" i="8" s="1"/>
  <c r="G543" i="5"/>
  <c r="F543" i="8" s="1"/>
  <c r="F543" i="5"/>
  <c r="E543" i="8" s="1"/>
  <c r="F351" i="5"/>
  <c r="E351" i="8" s="1"/>
  <c r="G351" i="5"/>
  <c r="F351" i="8" s="1"/>
  <c r="F140" i="5"/>
  <c r="E140" i="8" s="1"/>
  <c r="G140" i="5"/>
  <c r="F140" i="8" s="1"/>
  <c r="F139" i="5"/>
  <c r="E139" i="8" s="1"/>
  <c r="G139" i="5"/>
  <c r="F139" i="8" s="1"/>
  <c r="F530" i="5"/>
  <c r="E530" i="8" s="1"/>
  <c r="G530" i="5"/>
  <c r="F530" i="8" s="1"/>
  <c r="G130" i="5"/>
  <c r="F130" i="8" s="1"/>
  <c r="F130" i="5"/>
  <c r="E130" i="8" s="1"/>
  <c r="G302" i="5"/>
  <c r="F302" i="8" s="1"/>
  <c r="F302" i="5"/>
  <c r="E302" i="8" s="1"/>
  <c r="F455" i="5"/>
  <c r="E455" i="8" s="1"/>
  <c r="G455" i="5"/>
  <c r="F455" i="8" s="1"/>
  <c r="F263" i="5"/>
  <c r="E263" i="8" s="1"/>
  <c r="G263" i="5"/>
  <c r="F263" i="8" s="1"/>
  <c r="F660" i="5"/>
  <c r="E660" i="8" s="1"/>
  <c r="G660" i="5"/>
  <c r="F660" i="8" s="1"/>
  <c r="F403" i="5"/>
  <c r="E403" i="8" s="1"/>
  <c r="G403" i="5"/>
  <c r="F403" i="8" s="1"/>
  <c r="F147" i="5"/>
  <c r="E147" i="8" s="1"/>
  <c r="G147" i="5"/>
  <c r="F147" i="8" s="1"/>
  <c r="G165" i="5"/>
  <c r="F165" i="8" s="1"/>
  <c r="G286" i="5"/>
  <c r="F286" i="8" s="1"/>
  <c r="G318" i="5"/>
  <c r="F318" i="8" s="1"/>
  <c r="G558" i="5"/>
  <c r="F558" i="8" s="1"/>
  <c r="G270" i="5"/>
  <c r="F270" i="8" s="1"/>
  <c r="G893" i="5"/>
  <c r="F893" i="8" s="1"/>
  <c r="G163" i="5"/>
  <c r="F163" i="8" s="1"/>
  <c r="G211" i="5"/>
  <c r="F211" i="8" s="1"/>
  <c r="G538" i="5"/>
  <c r="F538" i="8" s="1"/>
  <c r="G275" i="5"/>
  <c r="F275" i="8" s="1"/>
  <c r="G474" i="5"/>
  <c r="F474" i="8" s="1"/>
  <c r="G602" i="5"/>
  <c r="F602" i="8" s="1"/>
  <c r="G452" i="5"/>
  <c r="F452" i="8" s="1"/>
  <c r="G548" i="5"/>
  <c r="F548" i="8" s="1"/>
  <c r="G90" i="5"/>
  <c r="F90" i="8" s="1"/>
  <c r="F723" i="5"/>
  <c r="E723" i="8" s="1"/>
  <c r="G723" i="5"/>
  <c r="F723" i="8" s="1"/>
  <c r="F931" i="5"/>
  <c r="E931" i="8" s="1"/>
  <c r="G931" i="5"/>
  <c r="F931" i="8" s="1"/>
  <c r="F793" i="5"/>
  <c r="E793" i="8" s="1"/>
  <c r="G793" i="5"/>
  <c r="F793" i="8" s="1"/>
  <c r="F464" i="5"/>
  <c r="E464" i="8" s="1"/>
  <c r="G464" i="5"/>
  <c r="F464" i="8" s="1"/>
  <c r="F453" i="5"/>
  <c r="E453" i="8" s="1"/>
  <c r="G453" i="5"/>
  <c r="F453" i="8" s="1"/>
  <c r="F687" i="5"/>
  <c r="E687" i="8" s="1"/>
  <c r="G687" i="5"/>
  <c r="F687" i="8" s="1"/>
  <c r="F834" i="5"/>
  <c r="E834" i="8" s="1"/>
  <c r="G834" i="5"/>
  <c r="F834" i="8" s="1"/>
  <c r="F1013" i="5"/>
  <c r="E1013" i="8" s="1"/>
  <c r="G1013" i="5"/>
  <c r="F1013" i="8" s="1"/>
  <c r="F636" i="5"/>
  <c r="E636" i="8" s="1"/>
  <c r="G636" i="5"/>
  <c r="F636" i="8" s="1"/>
  <c r="G444" i="5"/>
  <c r="F444" i="8" s="1"/>
  <c r="F444" i="5"/>
  <c r="E444" i="8" s="1"/>
  <c r="G268" i="5"/>
  <c r="F268" i="8" s="1"/>
  <c r="F268" i="5"/>
  <c r="E268" i="8" s="1"/>
  <c r="F811" i="5"/>
  <c r="E811" i="8" s="1"/>
  <c r="G811" i="5"/>
  <c r="F811" i="8" s="1"/>
  <c r="F958" i="5"/>
  <c r="E958" i="8" s="1"/>
  <c r="G958" i="5"/>
  <c r="F958" i="8" s="1"/>
  <c r="G734" i="5"/>
  <c r="F734" i="8" s="1"/>
  <c r="F734" i="5"/>
  <c r="E734" i="8" s="1"/>
  <c r="F753" i="5"/>
  <c r="E753" i="8" s="1"/>
  <c r="G753" i="5"/>
  <c r="F753" i="8" s="1"/>
  <c r="F529" i="5"/>
  <c r="E529" i="8" s="1"/>
  <c r="G529" i="5"/>
  <c r="F529" i="8" s="1"/>
  <c r="G289" i="5"/>
  <c r="F289" i="8" s="1"/>
  <c r="F289" i="5"/>
  <c r="E289" i="8" s="1"/>
  <c r="G81" i="5"/>
  <c r="F81" i="8" s="1"/>
  <c r="F81" i="5"/>
  <c r="E81" i="8" s="1"/>
  <c r="F871" i="5"/>
  <c r="E871" i="8" s="1"/>
  <c r="G871" i="5"/>
  <c r="F871" i="8" s="1"/>
  <c r="F631" i="5"/>
  <c r="E631" i="8" s="1"/>
  <c r="G631" i="5"/>
  <c r="F631" i="8" s="1"/>
  <c r="F794" i="5"/>
  <c r="E794" i="8" s="1"/>
  <c r="G794" i="5"/>
  <c r="F794" i="8" s="1"/>
  <c r="F781" i="5"/>
  <c r="E781" i="8" s="1"/>
  <c r="G781" i="5"/>
  <c r="F781" i="8" s="1"/>
  <c r="F541" i="5"/>
  <c r="E541" i="8" s="1"/>
  <c r="G541" i="5"/>
  <c r="F541" i="8" s="1"/>
  <c r="F301" i="5"/>
  <c r="E301" i="8" s="1"/>
  <c r="G301" i="5"/>
  <c r="F301" i="8" s="1"/>
  <c r="F125" i="5"/>
  <c r="E125" i="8" s="1"/>
  <c r="G125" i="5"/>
  <c r="F125" i="8" s="1"/>
  <c r="F868" i="5"/>
  <c r="E868" i="8" s="1"/>
  <c r="G868" i="5"/>
  <c r="F868" i="8" s="1"/>
  <c r="F633" i="5"/>
  <c r="E633" i="8" s="1"/>
  <c r="G633" i="5"/>
  <c r="F633" i="8" s="1"/>
  <c r="G201" i="5"/>
  <c r="F201" i="8" s="1"/>
  <c r="F224" i="5"/>
  <c r="E224" i="8" s="1"/>
  <c r="G224" i="5"/>
  <c r="F224" i="8" s="1"/>
  <c r="F48" i="5"/>
  <c r="E48" i="8" s="1"/>
  <c r="G48" i="5"/>
  <c r="F48" i="8" s="1"/>
  <c r="F598" i="5"/>
  <c r="E598" i="8" s="1"/>
  <c r="G598" i="5"/>
  <c r="F598" i="8" s="1"/>
  <c r="G406" i="5"/>
  <c r="F406" i="8" s="1"/>
  <c r="F406" i="5"/>
  <c r="E406" i="8" s="1"/>
  <c r="F182" i="5"/>
  <c r="E182" i="8" s="1"/>
  <c r="G182" i="5"/>
  <c r="F182" i="8" s="1"/>
  <c r="F527" i="5"/>
  <c r="E527" i="8" s="1"/>
  <c r="G527" i="5"/>
  <c r="F527" i="8" s="1"/>
  <c r="G335" i="5"/>
  <c r="F335" i="8" s="1"/>
  <c r="F335" i="5"/>
  <c r="E335" i="8" s="1"/>
  <c r="F124" i="5"/>
  <c r="E124" i="8" s="1"/>
  <c r="G124" i="5"/>
  <c r="F124" i="8" s="1"/>
  <c r="F91" i="5"/>
  <c r="E91" i="8" s="1"/>
  <c r="G91" i="5"/>
  <c r="F91" i="8" s="1"/>
  <c r="G514" i="5"/>
  <c r="F514" i="8" s="1"/>
  <c r="F514" i="5"/>
  <c r="E514" i="8" s="1"/>
  <c r="F306" i="5"/>
  <c r="E306" i="8" s="1"/>
  <c r="G306" i="5"/>
  <c r="F306" i="8" s="1"/>
  <c r="F114" i="5"/>
  <c r="E114" i="8" s="1"/>
  <c r="G114" i="5"/>
  <c r="F114" i="8" s="1"/>
  <c r="F14" i="5"/>
  <c r="G14" i="5"/>
  <c r="F14" i="8" s="1"/>
  <c r="F439" i="5"/>
  <c r="E439" i="8" s="1"/>
  <c r="G439" i="5"/>
  <c r="F439" i="8" s="1"/>
  <c r="F231" i="5"/>
  <c r="E231" i="8" s="1"/>
  <c r="G231" i="5"/>
  <c r="F231" i="8" s="1"/>
  <c r="G276" i="5"/>
  <c r="F276" i="8" s="1"/>
  <c r="F276" i="5"/>
  <c r="E276" i="8" s="1"/>
  <c r="G387" i="5"/>
  <c r="F387" i="8" s="1"/>
  <c r="F387" i="5"/>
  <c r="E387" i="8" s="1"/>
  <c r="F131" i="5"/>
  <c r="E131" i="8" s="1"/>
  <c r="G131" i="5"/>
  <c r="F131" i="8" s="1"/>
  <c r="G28" i="5"/>
  <c r="F28" i="8" s="1"/>
  <c r="G542" i="5"/>
  <c r="F542" i="8" s="1"/>
  <c r="G254" i="5"/>
  <c r="F254" i="8" s="1"/>
  <c r="G951" i="5"/>
  <c r="F951" i="8" s="1"/>
  <c r="G845" i="5"/>
  <c r="F845" i="8" s="1"/>
  <c r="G100" i="5"/>
  <c r="F100" i="8" s="1"/>
  <c r="G490" i="5"/>
  <c r="F490" i="8" s="1"/>
  <c r="G266" i="5"/>
  <c r="F266" i="8" s="1"/>
  <c r="G126" i="5"/>
  <c r="F126" i="8" s="1"/>
  <c r="G52" i="5"/>
  <c r="F52" i="8" s="1"/>
  <c r="F707" i="5"/>
  <c r="E707" i="8" s="1"/>
  <c r="G707" i="5"/>
  <c r="F707" i="8" s="1"/>
  <c r="F915" i="5"/>
  <c r="E915" i="8" s="1"/>
  <c r="G915" i="5"/>
  <c r="F915" i="8" s="1"/>
  <c r="G5" i="5"/>
  <c r="F5" i="8" s="1"/>
  <c r="F5" i="5"/>
  <c r="F448" i="5"/>
  <c r="E448" i="8" s="1"/>
  <c r="G448" i="5"/>
  <c r="F448" i="8" s="1"/>
  <c r="F405" i="5"/>
  <c r="E405" i="8" s="1"/>
  <c r="G405" i="5"/>
  <c r="F405" i="8" s="1"/>
  <c r="F671" i="5"/>
  <c r="E671" i="8" s="1"/>
  <c r="G671" i="5"/>
  <c r="F671" i="8" s="1"/>
  <c r="G818" i="5"/>
  <c r="F818" i="8" s="1"/>
  <c r="F818" i="5"/>
  <c r="E818" i="8" s="1"/>
  <c r="F997" i="5"/>
  <c r="E997" i="8" s="1"/>
  <c r="G997" i="5"/>
  <c r="F997" i="8" s="1"/>
  <c r="F620" i="5"/>
  <c r="E620" i="8" s="1"/>
  <c r="G620" i="5"/>
  <c r="F620" i="8" s="1"/>
  <c r="F428" i="5"/>
  <c r="E428" i="8" s="1"/>
  <c r="G428" i="5"/>
  <c r="F428" i="8" s="1"/>
  <c r="F252" i="5"/>
  <c r="E252" i="8" s="1"/>
  <c r="G252" i="5"/>
  <c r="F252" i="8" s="1"/>
  <c r="F795" i="5"/>
  <c r="E795" i="8" s="1"/>
  <c r="G795" i="5"/>
  <c r="F795" i="8" s="1"/>
  <c r="F942" i="5"/>
  <c r="E942" i="8" s="1"/>
  <c r="G942" i="5"/>
  <c r="F942" i="8" s="1"/>
  <c r="G718" i="5"/>
  <c r="F718" i="8" s="1"/>
  <c r="F718" i="5"/>
  <c r="E718" i="8" s="1"/>
  <c r="G737" i="5"/>
  <c r="F737" i="8" s="1"/>
  <c r="F737" i="5"/>
  <c r="E737" i="8" s="1"/>
  <c r="G497" i="5"/>
  <c r="F497" i="8" s="1"/>
  <c r="F497" i="5"/>
  <c r="E497" i="8" s="1"/>
  <c r="G257" i="5"/>
  <c r="F257" i="8" s="1"/>
  <c r="F257" i="5"/>
  <c r="E257" i="8" s="1"/>
  <c r="G65" i="5"/>
  <c r="F65" i="8" s="1"/>
  <c r="F65" i="5"/>
  <c r="E65" i="8" s="1"/>
  <c r="G855" i="5"/>
  <c r="F855" i="8" s="1"/>
  <c r="F855" i="5"/>
  <c r="E855" i="8" s="1"/>
  <c r="F978" i="5"/>
  <c r="E978" i="8" s="1"/>
  <c r="G978" i="5"/>
  <c r="F978" i="8" s="1"/>
  <c r="F778" i="5"/>
  <c r="E778" i="8" s="1"/>
  <c r="G778" i="5"/>
  <c r="F778" i="8" s="1"/>
  <c r="F765" i="5"/>
  <c r="E765" i="8" s="1"/>
  <c r="G765" i="5"/>
  <c r="F765" i="8" s="1"/>
  <c r="G509" i="5"/>
  <c r="F509" i="8" s="1"/>
  <c r="F509" i="5"/>
  <c r="E509" i="8" s="1"/>
  <c r="F285" i="5"/>
  <c r="E285" i="8" s="1"/>
  <c r="G285" i="5"/>
  <c r="F285" i="8" s="1"/>
  <c r="F109" i="5"/>
  <c r="E109" i="8" s="1"/>
  <c r="G109" i="5"/>
  <c r="F109" i="8" s="1"/>
  <c r="G852" i="5"/>
  <c r="F852" i="8" s="1"/>
  <c r="F852" i="5"/>
  <c r="E852" i="8" s="1"/>
  <c r="F585" i="5"/>
  <c r="E585" i="8" s="1"/>
  <c r="G585" i="5"/>
  <c r="F585" i="8" s="1"/>
  <c r="F208" i="5"/>
  <c r="E208" i="8" s="1"/>
  <c r="G208" i="5"/>
  <c r="F208" i="8" s="1"/>
  <c r="F16" i="5"/>
  <c r="Y8" i="8" s="1"/>
  <c r="G16" i="5"/>
  <c r="F16" i="8" s="1"/>
  <c r="F582" i="5"/>
  <c r="E582" i="8" s="1"/>
  <c r="G582" i="5"/>
  <c r="F582" i="8" s="1"/>
  <c r="F390" i="5"/>
  <c r="E390" i="8" s="1"/>
  <c r="G390" i="5"/>
  <c r="F390" i="8" s="1"/>
  <c r="F166" i="5"/>
  <c r="E166" i="8" s="1"/>
  <c r="G166" i="5"/>
  <c r="F166" i="8" s="1"/>
  <c r="F511" i="5"/>
  <c r="E511" i="8" s="1"/>
  <c r="G511" i="5"/>
  <c r="F511" i="8" s="1"/>
  <c r="G108" i="5"/>
  <c r="F108" i="8" s="1"/>
  <c r="F108" i="5"/>
  <c r="E108" i="8" s="1"/>
  <c r="F27" i="5"/>
  <c r="E27" i="8" s="1"/>
  <c r="G27" i="5"/>
  <c r="F27" i="8" s="1"/>
  <c r="F498" i="5"/>
  <c r="E498" i="8" s="1"/>
  <c r="G498" i="5"/>
  <c r="F498" i="8" s="1"/>
  <c r="F274" i="5"/>
  <c r="E274" i="8" s="1"/>
  <c r="G274" i="5"/>
  <c r="F274" i="8" s="1"/>
  <c r="G98" i="5"/>
  <c r="F98" i="8" s="1"/>
  <c r="F98" i="5"/>
  <c r="E98" i="8" s="1"/>
  <c r="G648" i="5"/>
  <c r="F648" i="8" s="1"/>
  <c r="F648" i="5"/>
  <c r="E648" i="8" s="1"/>
  <c r="F423" i="5"/>
  <c r="E423" i="8" s="1"/>
  <c r="G423" i="5"/>
  <c r="F423" i="8" s="1"/>
  <c r="F215" i="5"/>
  <c r="E215" i="8" s="1"/>
  <c r="G215" i="5"/>
  <c r="F215" i="8" s="1"/>
  <c r="F19" i="5"/>
  <c r="E19" i="8" s="1"/>
  <c r="G19" i="5"/>
  <c r="F19" i="8" s="1"/>
  <c r="F371" i="5"/>
  <c r="E371" i="8" s="1"/>
  <c r="G371" i="5"/>
  <c r="F371" i="8" s="1"/>
  <c r="F99" i="5"/>
  <c r="E99" i="8" s="1"/>
  <c r="G99" i="5"/>
  <c r="F99" i="8" s="1"/>
  <c r="G133" i="5"/>
  <c r="F133" i="8" s="1"/>
  <c r="G238" i="5"/>
  <c r="F238" i="8" s="1"/>
  <c r="G190" i="5"/>
  <c r="F190" i="8" s="1"/>
  <c r="G458" i="5"/>
  <c r="F458" i="8" s="1"/>
  <c r="G186" i="5"/>
  <c r="F186" i="8" s="1"/>
  <c r="G250" i="5"/>
  <c r="F250" i="8" s="1"/>
  <c r="G522" i="5"/>
  <c r="F522" i="8" s="1"/>
  <c r="G516" i="5"/>
  <c r="F516" i="8" s="1"/>
  <c r="G94" i="5"/>
  <c r="F94" i="8" s="1"/>
  <c r="G532" i="5"/>
  <c r="F532" i="8" s="1"/>
  <c r="G340" i="5"/>
  <c r="F340" i="8" s="1"/>
  <c r="G436" i="5"/>
  <c r="F436" i="8" s="1"/>
  <c r="G570" i="5"/>
  <c r="F570" i="8" s="1"/>
  <c r="F691" i="5"/>
  <c r="E691" i="8" s="1"/>
  <c r="G691" i="5"/>
  <c r="F691" i="8" s="1"/>
  <c r="F883" i="5"/>
  <c r="E883" i="8" s="1"/>
  <c r="G883" i="5"/>
  <c r="F883" i="8" s="1"/>
  <c r="F624" i="5"/>
  <c r="E624" i="8" s="1"/>
  <c r="G624" i="5"/>
  <c r="F624" i="8" s="1"/>
  <c r="F432" i="5"/>
  <c r="E432" i="8" s="1"/>
  <c r="G432" i="5"/>
  <c r="F432" i="8" s="1"/>
  <c r="F261" i="5"/>
  <c r="E261" i="8" s="1"/>
  <c r="G261" i="5"/>
  <c r="F261" i="8" s="1"/>
  <c r="F655" i="5"/>
  <c r="E655" i="8" s="1"/>
  <c r="G655" i="5"/>
  <c r="F655" i="8" s="1"/>
  <c r="F780" i="5"/>
  <c r="E780" i="8" s="1"/>
  <c r="G780" i="5"/>
  <c r="F780" i="8" s="1"/>
  <c r="F965" i="5"/>
  <c r="E965" i="8" s="1"/>
  <c r="G965" i="5"/>
  <c r="F965" i="8" s="1"/>
  <c r="F604" i="5"/>
  <c r="E604" i="8" s="1"/>
  <c r="G604" i="5"/>
  <c r="F604" i="8" s="1"/>
  <c r="G412" i="5"/>
  <c r="F412" i="8" s="1"/>
  <c r="F412" i="5"/>
  <c r="E412" i="8" s="1"/>
  <c r="G236" i="5"/>
  <c r="F236" i="8" s="1"/>
  <c r="F236" i="5"/>
  <c r="E236" i="8" s="1"/>
  <c r="F763" i="5"/>
  <c r="E763" i="8" s="1"/>
  <c r="G763" i="5"/>
  <c r="F763" i="8" s="1"/>
  <c r="G926" i="5"/>
  <c r="F926" i="8" s="1"/>
  <c r="F926" i="5"/>
  <c r="E926" i="8" s="1"/>
  <c r="G686" i="5"/>
  <c r="F686" i="8" s="1"/>
  <c r="F686" i="5"/>
  <c r="E686" i="8" s="1"/>
  <c r="G721" i="5"/>
  <c r="F721" i="8" s="1"/>
  <c r="F721" i="5"/>
  <c r="E721" i="8" s="1"/>
  <c r="G481" i="5"/>
  <c r="F481" i="8" s="1"/>
  <c r="F481" i="5"/>
  <c r="E481" i="8" s="1"/>
  <c r="F241" i="5"/>
  <c r="E241" i="8" s="1"/>
  <c r="G241" i="5"/>
  <c r="F241" i="8" s="1"/>
  <c r="F49" i="5"/>
  <c r="E49" i="8" s="1"/>
  <c r="G49" i="5"/>
  <c r="F49" i="8" s="1"/>
  <c r="F823" i="5"/>
  <c r="E823" i="8" s="1"/>
  <c r="G823" i="5"/>
  <c r="F823" i="8" s="1"/>
  <c r="G954" i="5"/>
  <c r="F954" i="8" s="1"/>
  <c r="F954" i="5"/>
  <c r="E954" i="8" s="1"/>
  <c r="F746" i="5"/>
  <c r="E746" i="8" s="1"/>
  <c r="G746" i="5"/>
  <c r="F746" i="8" s="1"/>
  <c r="F749" i="5"/>
  <c r="E749" i="8" s="1"/>
  <c r="G749" i="5"/>
  <c r="F749" i="8" s="1"/>
  <c r="F493" i="5"/>
  <c r="E493" i="8" s="1"/>
  <c r="G493" i="5"/>
  <c r="F493" i="8" s="1"/>
  <c r="F269" i="5"/>
  <c r="E269" i="8" s="1"/>
  <c r="G269" i="5"/>
  <c r="F269" i="8" s="1"/>
  <c r="F93" i="5"/>
  <c r="E93" i="8" s="1"/>
  <c r="G93" i="5"/>
  <c r="F93" i="8" s="1"/>
  <c r="G836" i="5"/>
  <c r="F836" i="8" s="1"/>
  <c r="F836" i="5"/>
  <c r="E836" i="8" s="1"/>
  <c r="F537" i="5"/>
  <c r="E537" i="8" s="1"/>
  <c r="G537" i="5"/>
  <c r="F537" i="8" s="1"/>
  <c r="F384" i="5"/>
  <c r="E384" i="8" s="1"/>
  <c r="G384" i="5"/>
  <c r="F384" i="8" s="1"/>
  <c r="G192" i="5"/>
  <c r="F192" i="8" s="1"/>
  <c r="F1020" i="5"/>
  <c r="E1020" i="8" s="1"/>
  <c r="G1020" i="5"/>
  <c r="F1020" i="8" s="1"/>
  <c r="G566" i="5"/>
  <c r="F566" i="8" s="1"/>
  <c r="F566" i="5"/>
  <c r="E566" i="8" s="1"/>
  <c r="G358" i="5"/>
  <c r="F358" i="8" s="1"/>
  <c r="F358" i="5"/>
  <c r="E358" i="8" s="1"/>
  <c r="G150" i="5"/>
  <c r="F150" i="8" s="1"/>
  <c r="F150" i="5"/>
  <c r="E150" i="8" s="1"/>
  <c r="F495" i="5"/>
  <c r="E495" i="8" s="1"/>
  <c r="G495" i="5"/>
  <c r="F495" i="8" s="1"/>
  <c r="G92" i="5"/>
  <c r="F92" i="8" s="1"/>
  <c r="F92" i="5"/>
  <c r="E92" i="8" s="1"/>
  <c r="F11" i="5"/>
  <c r="G11" i="5"/>
  <c r="F11" i="8" s="1"/>
  <c r="F482" i="5"/>
  <c r="E482" i="8" s="1"/>
  <c r="G482" i="5"/>
  <c r="F482" i="8" s="1"/>
  <c r="F258" i="5"/>
  <c r="E258" i="8" s="1"/>
  <c r="G258" i="5"/>
  <c r="F258" i="8" s="1"/>
  <c r="F82" i="5"/>
  <c r="E82" i="8" s="1"/>
  <c r="G82" i="5"/>
  <c r="F82" i="8" s="1"/>
  <c r="F632" i="5"/>
  <c r="E632" i="8" s="1"/>
  <c r="G632" i="5"/>
  <c r="F632" i="8" s="1"/>
  <c r="F407" i="5"/>
  <c r="E407" i="8" s="1"/>
  <c r="G407" i="5"/>
  <c r="F407" i="8" s="1"/>
  <c r="F183" i="5"/>
  <c r="E183" i="8" s="1"/>
  <c r="G183" i="5"/>
  <c r="F183" i="8" s="1"/>
  <c r="F362" i="5"/>
  <c r="E362" i="8" s="1"/>
  <c r="G362" i="5"/>
  <c r="F362" i="8" s="1"/>
  <c r="G355" i="5"/>
  <c r="F355" i="8" s="1"/>
  <c r="F355" i="5"/>
  <c r="E355" i="8" s="1"/>
  <c r="F83" i="5"/>
  <c r="E83" i="8" s="1"/>
  <c r="G83" i="5"/>
  <c r="F83" i="8" s="1"/>
  <c r="G386" i="5"/>
  <c r="F386" i="8" s="1"/>
  <c r="G23" i="5"/>
  <c r="F23" i="8" s="1"/>
  <c r="G526" i="5"/>
  <c r="F526" i="8" s="1"/>
  <c r="G935" i="5"/>
  <c r="F935" i="8" s="1"/>
  <c r="G586" i="5"/>
  <c r="F586" i="8" s="1"/>
  <c r="G346" i="5"/>
  <c r="F346" i="8" s="1"/>
  <c r="G42" i="5"/>
  <c r="F42" i="8" s="1"/>
  <c r="G330" i="5"/>
  <c r="F330" i="8" s="1"/>
  <c r="G292" i="5"/>
  <c r="F292" i="8" s="1"/>
  <c r="G122" i="5"/>
  <c r="F122" i="8" s="1"/>
  <c r="G170" i="5"/>
  <c r="F170" i="8" s="1"/>
  <c r="G282" i="5"/>
  <c r="F282" i="8" s="1"/>
  <c r="G500" i="5"/>
  <c r="F500" i="8" s="1"/>
  <c r="G995" i="5"/>
  <c r="F995" i="8" s="1"/>
  <c r="G675" i="5"/>
  <c r="F675" i="8" s="1"/>
  <c r="F675" i="5"/>
  <c r="E675" i="8" s="1"/>
  <c r="F1001" i="5"/>
  <c r="E1001" i="8" s="1"/>
  <c r="G1001" i="5"/>
  <c r="F1001" i="8" s="1"/>
  <c r="F608" i="5"/>
  <c r="E608" i="8" s="1"/>
  <c r="G608" i="5"/>
  <c r="F608" i="8" s="1"/>
  <c r="F416" i="5"/>
  <c r="E416" i="8" s="1"/>
  <c r="G416" i="5"/>
  <c r="F416" i="8" s="1"/>
  <c r="F847" i="5"/>
  <c r="E847" i="8" s="1"/>
  <c r="G847" i="5"/>
  <c r="F847" i="8" s="1"/>
  <c r="F639" i="5"/>
  <c r="E639" i="8" s="1"/>
  <c r="G639" i="5"/>
  <c r="F639" i="8" s="1"/>
  <c r="F748" i="5"/>
  <c r="E748" i="8" s="1"/>
  <c r="G748" i="5"/>
  <c r="F748" i="8" s="1"/>
  <c r="F949" i="5"/>
  <c r="E949" i="8" s="1"/>
  <c r="G949" i="5"/>
  <c r="F949" i="8" s="1"/>
  <c r="F588" i="5"/>
  <c r="E588" i="8" s="1"/>
  <c r="G588" i="5"/>
  <c r="F588" i="8" s="1"/>
  <c r="F396" i="5"/>
  <c r="E396" i="8" s="1"/>
  <c r="G396" i="5"/>
  <c r="F396" i="8" s="1"/>
  <c r="F220" i="5"/>
  <c r="E220" i="8" s="1"/>
  <c r="G220" i="5"/>
  <c r="F220" i="8" s="1"/>
  <c r="F747" i="5"/>
  <c r="E747" i="8" s="1"/>
  <c r="G747" i="5"/>
  <c r="F747" i="8" s="1"/>
  <c r="F910" i="5"/>
  <c r="E910" i="8" s="1"/>
  <c r="G910" i="5"/>
  <c r="F910" i="8" s="1"/>
  <c r="F670" i="5"/>
  <c r="E670" i="8" s="1"/>
  <c r="G670" i="5"/>
  <c r="F670" i="8" s="1"/>
  <c r="F705" i="5"/>
  <c r="E705" i="8" s="1"/>
  <c r="G705" i="5"/>
  <c r="F705" i="8" s="1"/>
  <c r="F449" i="5"/>
  <c r="E449" i="8" s="1"/>
  <c r="G449" i="5"/>
  <c r="F449" i="8" s="1"/>
  <c r="F225" i="5"/>
  <c r="E225" i="8" s="1"/>
  <c r="G225" i="5"/>
  <c r="F225" i="8" s="1"/>
  <c r="F33" i="5"/>
  <c r="E33" i="8" s="1"/>
  <c r="G33" i="5"/>
  <c r="F33" i="8" s="1"/>
  <c r="F807" i="5"/>
  <c r="E807" i="8" s="1"/>
  <c r="G807" i="5"/>
  <c r="F807" i="8" s="1"/>
  <c r="G938" i="5"/>
  <c r="F938" i="8" s="1"/>
  <c r="F938" i="5"/>
  <c r="E938" i="8" s="1"/>
  <c r="G730" i="5"/>
  <c r="F730" i="8" s="1"/>
  <c r="F730" i="5"/>
  <c r="E730" i="8" s="1"/>
  <c r="F733" i="5"/>
  <c r="E733" i="8" s="1"/>
  <c r="G733" i="5"/>
  <c r="F733" i="8" s="1"/>
  <c r="F461" i="5"/>
  <c r="E461" i="8" s="1"/>
  <c r="G461" i="5"/>
  <c r="F461" i="8" s="1"/>
  <c r="G253" i="5"/>
  <c r="F253" i="8" s="1"/>
  <c r="F253" i="5"/>
  <c r="E253" i="8" s="1"/>
  <c r="F77" i="5"/>
  <c r="E77" i="8" s="1"/>
  <c r="G77" i="5"/>
  <c r="F77" i="8" s="1"/>
  <c r="G820" i="5"/>
  <c r="F820" i="8" s="1"/>
  <c r="F820" i="5"/>
  <c r="E820" i="8" s="1"/>
  <c r="G489" i="5"/>
  <c r="F489" i="8" s="1"/>
  <c r="F489" i="5"/>
  <c r="E489" i="8" s="1"/>
  <c r="G368" i="5"/>
  <c r="F368" i="8" s="1"/>
  <c r="F368" i="5"/>
  <c r="E368" i="8" s="1"/>
  <c r="G271" i="5"/>
  <c r="F271" i="8" s="1"/>
  <c r="F271" i="5"/>
  <c r="E271" i="8" s="1"/>
  <c r="F550" i="5"/>
  <c r="E550" i="8" s="1"/>
  <c r="G550" i="5"/>
  <c r="F550" i="8" s="1"/>
  <c r="F342" i="5"/>
  <c r="E342" i="8" s="1"/>
  <c r="G342" i="5"/>
  <c r="F342" i="8" s="1"/>
  <c r="F134" i="5"/>
  <c r="E134" i="8" s="1"/>
  <c r="G134" i="5"/>
  <c r="F134" i="8" s="1"/>
  <c r="F479" i="5"/>
  <c r="E479" i="8" s="1"/>
  <c r="G479" i="5"/>
  <c r="F479" i="8" s="1"/>
  <c r="F76" i="5"/>
  <c r="E76" i="8" s="1"/>
  <c r="G76" i="5"/>
  <c r="F76" i="8" s="1"/>
  <c r="F1015" i="5"/>
  <c r="E1015" i="8" s="1"/>
  <c r="G1015" i="5"/>
  <c r="F1015" i="8" s="1"/>
  <c r="G466" i="5"/>
  <c r="F466" i="8" s="1"/>
  <c r="F466" i="5"/>
  <c r="E466" i="8" s="1"/>
  <c r="G242" i="5"/>
  <c r="F242" i="8" s="1"/>
  <c r="F242" i="5"/>
  <c r="E242" i="8" s="1"/>
  <c r="F66" i="5"/>
  <c r="E66" i="8" s="1"/>
  <c r="G66" i="5"/>
  <c r="F66" i="8" s="1"/>
  <c r="F583" i="5"/>
  <c r="E583" i="8" s="1"/>
  <c r="G583" i="5"/>
  <c r="F583" i="8" s="1"/>
  <c r="F391" i="5"/>
  <c r="E391" i="8" s="1"/>
  <c r="G391" i="5"/>
  <c r="F391" i="8" s="1"/>
  <c r="F167" i="5"/>
  <c r="E167" i="8" s="1"/>
  <c r="G167" i="5"/>
  <c r="F167" i="8" s="1"/>
  <c r="F314" i="5"/>
  <c r="E314" i="8" s="1"/>
  <c r="G314" i="5"/>
  <c r="F314" i="8" s="1"/>
  <c r="F339" i="5"/>
  <c r="E339" i="8" s="1"/>
  <c r="G339" i="5"/>
  <c r="F339" i="8" s="1"/>
  <c r="F51" i="5"/>
  <c r="E51" i="8" s="1"/>
  <c r="G51" i="5"/>
  <c r="F51" i="8" s="1"/>
  <c r="G668" i="5"/>
  <c r="F668" i="8" s="1"/>
  <c r="G290" i="5"/>
  <c r="F290" i="8" s="1"/>
  <c r="G622" i="5"/>
  <c r="F622" i="8" s="1"/>
  <c r="G462" i="5"/>
  <c r="F462" i="8" s="1"/>
  <c r="G494" i="5"/>
  <c r="F494" i="8" s="1"/>
  <c r="G919" i="5"/>
  <c r="F919" i="8" s="1"/>
  <c r="G797" i="5"/>
  <c r="F797" i="8" s="1"/>
  <c r="G234" i="5"/>
  <c r="F234" i="8" s="1"/>
  <c r="G404" i="5"/>
  <c r="F404" i="8" s="1"/>
  <c r="G138" i="5"/>
  <c r="F138" i="8" s="1"/>
  <c r="G78" i="5"/>
  <c r="F78" i="8" s="1"/>
  <c r="G388" i="5"/>
  <c r="F388" i="8" s="1"/>
  <c r="G650" i="5"/>
  <c r="F650" i="8" s="1"/>
  <c r="G228" i="5"/>
  <c r="F228" i="8" s="1"/>
  <c r="G106" i="5"/>
  <c r="F106" i="8" s="1"/>
  <c r="G1024" i="5"/>
  <c r="F1024" i="8" s="1"/>
  <c r="F995" i="5"/>
  <c r="E995" i="8" s="1"/>
  <c r="F659" i="5"/>
  <c r="E659" i="8" s="1"/>
  <c r="G659" i="5"/>
  <c r="F659" i="8" s="1"/>
  <c r="F985" i="5"/>
  <c r="E985" i="8" s="1"/>
  <c r="G985" i="5"/>
  <c r="F985" i="8" s="1"/>
  <c r="F592" i="5"/>
  <c r="E592" i="8" s="1"/>
  <c r="G592" i="5"/>
  <c r="F592" i="8" s="1"/>
  <c r="G400" i="5"/>
  <c r="F400" i="8" s="1"/>
  <c r="F400" i="5"/>
  <c r="E400" i="8" s="1"/>
  <c r="F831" i="5"/>
  <c r="E831" i="8" s="1"/>
  <c r="G831" i="5"/>
  <c r="F831" i="8" s="1"/>
  <c r="F994" i="5"/>
  <c r="E994" i="8" s="1"/>
  <c r="G994" i="5"/>
  <c r="F994" i="8" s="1"/>
  <c r="F700" i="5"/>
  <c r="E700" i="8" s="1"/>
  <c r="G700" i="5"/>
  <c r="F700" i="8" s="1"/>
  <c r="G917" i="5"/>
  <c r="F917" i="8" s="1"/>
  <c r="F917" i="5"/>
  <c r="E917" i="8" s="1"/>
  <c r="F572" i="5"/>
  <c r="E572" i="8" s="1"/>
  <c r="G572" i="5"/>
  <c r="F572" i="8" s="1"/>
  <c r="F380" i="5"/>
  <c r="E380" i="8" s="1"/>
  <c r="G380" i="5"/>
  <c r="F380" i="8" s="1"/>
  <c r="G744" i="5"/>
  <c r="F744" i="8" s="1"/>
  <c r="F744" i="5"/>
  <c r="E744" i="8" s="1"/>
  <c r="G731" i="5"/>
  <c r="F731" i="8" s="1"/>
  <c r="F731" i="5"/>
  <c r="E731" i="8" s="1"/>
  <c r="F894" i="5"/>
  <c r="E894" i="8" s="1"/>
  <c r="G894" i="5"/>
  <c r="F894" i="8" s="1"/>
  <c r="F990" i="5"/>
  <c r="E990" i="8" s="1"/>
  <c r="G990" i="5"/>
  <c r="F990" i="8" s="1"/>
  <c r="F689" i="5"/>
  <c r="E689" i="8" s="1"/>
  <c r="G689" i="5"/>
  <c r="F689" i="8" s="1"/>
  <c r="F433" i="5"/>
  <c r="E433" i="8" s="1"/>
  <c r="G433" i="5"/>
  <c r="F433" i="8" s="1"/>
  <c r="F209" i="5"/>
  <c r="E209" i="8" s="1"/>
  <c r="G209" i="5"/>
  <c r="F209" i="8" s="1"/>
  <c r="G17" i="5"/>
  <c r="F17" i="8" s="1"/>
  <c r="F17" i="5"/>
  <c r="E17" i="8" s="1"/>
  <c r="F775" i="5"/>
  <c r="E775" i="8" s="1"/>
  <c r="G775" i="5"/>
  <c r="F775" i="8" s="1"/>
  <c r="F922" i="5"/>
  <c r="E922" i="8" s="1"/>
  <c r="G922" i="5"/>
  <c r="F922" i="8" s="1"/>
  <c r="G698" i="5"/>
  <c r="F698" i="8" s="1"/>
  <c r="F698" i="5"/>
  <c r="E698" i="8" s="1"/>
  <c r="F717" i="5"/>
  <c r="E717" i="8" s="1"/>
  <c r="G717" i="5"/>
  <c r="F717" i="8" s="1"/>
  <c r="G445" i="5"/>
  <c r="F445" i="8" s="1"/>
  <c r="F445" i="5"/>
  <c r="E445" i="8" s="1"/>
  <c r="G237" i="5"/>
  <c r="F237" i="8" s="1"/>
  <c r="F61" i="5"/>
  <c r="E61" i="8" s="1"/>
  <c r="G61" i="5"/>
  <c r="F61" i="8" s="1"/>
  <c r="F804" i="5"/>
  <c r="E804" i="8" s="1"/>
  <c r="G804" i="5"/>
  <c r="F804" i="8" s="1"/>
  <c r="F441" i="5"/>
  <c r="E441" i="8" s="1"/>
  <c r="G441" i="5"/>
  <c r="F441" i="8" s="1"/>
  <c r="F352" i="5"/>
  <c r="E352" i="8" s="1"/>
  <c r="G352" i="5"/>
  <c r="F352" i="8" s="1"/>
  <c r="F176" i="5"/>
  <c r="E176" i="8" s="1"/>
  <c r="G176" i="5"/>
  <c r="F176" i="8" s="1"/>
  <c r="F223" i="5"/>
  <c r="E223" i="8" s="1"/>
  <c r="G223" i="5"/>
  <c r="F223" i="8" s="1"/>
  <c r="F534" i="5"/>
  <c r="E534" i="8" s="1"/>
  <c r="G534" i="5"/>
  <c r="F534" i="8" s="1"/>
  <c r="F310" i="5"/>
  <c r="E310" i="8" s="1"/>
  <c r="G310" i="5"/>
  <c r="F310" i="8" s="1"/>
  <c r="F118" i="5"/>
  <c r="E118" i="8" s="1"/>
  <c r="G118" i="5"/>
  <c r="F118" i="8" s="1"/>
  <c r="F463" i="5"/>
  <c r="E463" i="8" s="1"/>
  <c r="G463" i="5"/>
  <c r="F463" i="8" s="1"/>
  <c r="K3" i="10"/>
  <c r="U29" i="8" s="1" a="1"/>
  <c r="U29" i="8" s="1"/>
  <c r="F60" i="5"/>
  <c r="E60" i="8" s="1"/>
  <c r="G60" i="5"/>
  <c r="F60" i="8" s="1"/>
  <c r="G658" i="5"/>
  <c r="F658" i="8" s="1"/>
  <c r="F658" i="5"/>
  <c r="E658" i="8" s="1"/>
  <c r="F450" i="5"/>
  <c r="E450" i="8" s="1"/>
  <c r="G450" i="5"/>
  <c r="F450" i="8" s="1"/>
  <c r="F226" i="5"/>
  <c r="E226" i="8" s="1"/>
  <c r="G226" i="5"/>
  <c r="F226" i="8" s="1"/>
  <c r="F50" i="5"/>
  <c r="E50" i="8" s="1"/>
  <c r="G50" i="5"/>
  <c r="F50" i="8" s="1"/>
  <c r="F567" i="5"/>
  <c r="E567" i="8" s="1"/>
  <c r="G567" i="5"/>
  <c r="F567" i="8" s="1"/>
  <c r="F375" i="5"/>
  <c r="E375" i="8" s="1"/>
  <c r="G375" i="5"/>
  <c r="F375" i="8" s="1"/>
  <c r="F135" i="5"/>
  <c r="E135" i="8" s="1"/>
  <c r="G135" i="5"/>
  <c r="F135" i="8" s="1"/>
  <c r="F10" i="5"/>
  <c r="E10" i="8" s="1"/>
  <c r="G10" i="5"/>
  <c r="F10" i="8" s="1"/>
  <c r="G323" i="5"/>
  <c r="F323" i="8" s="1"/>
  <c r="F323" i="5"/>
  <c r="E323" i="8" s="1"/>
  <c r="F6" i="5"/>
  <c r="G6" i="5"/>
  <c r="F6" i="8" s="1"/>
  <c r="G40" i="5"/>
  <c r="F40" i="8" s="1"/>
  <c r="G606" i="5"/>
  <c r="F606" i="8" s="1"/>
  <c r="G446" i="5"/>
  <c r="F446" i="8" s="1"/>
  <c r="G510" i="5"/>
  <c r="F510" i="8" s="1"/>
  <c r="G58" i="5"/>
  <c r="F58" i="8" s="1"/>
  <c r="G426" i="5"/>
  <c r="F426" i="8" s="1"/>
  <c r="G218" i="5"/>
  <c r="F218" i="8" s="1"/>
  <c r="F138" i="5"/>
  <c r="E138" i="8" s="1"/>
  <c r="G414" i="5"/>
  <c r="F414" i="8" s="1"/>
  <c r="G829" i="5"/>
  <c r="F829" i="8" s="1"/>
  <c r="F228" i="5"/>
  <c r="E228" i="8" s="1"/>
  <c r="G260" i="5"/>
  <c r="F260" i="8" s="1"/>
  <c r="F867" i="5"/>
  <c r="E867" i="8" s="1"/>
  <c r="G867" i="5"/>
  <c r="F867" i="8" s="1"/>
  <c r="F784" i="5"/>
  <c r="E784" i="8" s="1"/>
  <c r="G784" i="5"/>
  <c r="F784" i="8" s="1"/>
  <c r="F953" i="5"/>
  <c r="E953" i="8" s="1"/>
  <c r="G953" i="5"/>
  <c r="F953" i="8" s="1"/>
  <c r="F576" i="5"/>
  <c r="E576" i="8" s="1"/>
  <c r="G576" i="5"/>
  <c r="F576" i="8" s="1"/>
  <c r="G1004" i="5"/>
  <c r="F1004" i="8" s="1"/>
  <c r="F799" i="5"/>
  <c r="E799" i="8" s="1"/>
  <c r="G799" i="5"/>
  <c r="F799" i="8" s="1"/>
  <c r="F966" i="5"/>
  <c r="E966" i="8" s="1"/>
  <c r="G966" i="5"/>
  <c r="F966" i="8" s="1"/>
  <c r="F988" i="5"/>
  <c r="E988" i="8" s="1"/>
  <c r="G988" i="5"/>
  <c r="F988" i="8" s="1"/>
  <c r="F901" i="5"/>
  <c r="E901" i="8" s="1"/>
  <c r="G901" i="5"/>
  <c r="F901" i="8" s="1"/>
  <c r="F556" i="5"/>
  <c r="E556" i="8" s="1"/>
  <c r="G556" i="5"/>
  <c r="F556" i="8" s="1"/>
  <c r="G364" i="5"/>
  <c r="F364" i="8" s="1"/>
  <c r="F364" i="5"/>
  <c r="E364" i="8" s="1"/>
  <c r="F728" i="5"/>
  <c r="E728" i="8" s="1"/>
  <c r="G728" i="5"/>
  <c r="F728" i="8" s="1"/>
  <c r="F715" i="5"/>
  <c r="E715" i="8" s="1"/>
  <c r="G715" i="5"/>
  <c r="F715" i="8" s="1"/>
  <c r="F878" i="5"/>
  <c r="E878" i="8" s="1"/>
  <c r="G878" i="5"/>
  <c r="F878" i="8" s="1"/>
  <c r="F993" i="5"/>
  <c r="E993" i="8" s="1"/>
  <c r="G993" i="5"/>
  <c r="F993" i="8" s="1"/>
  <c r="G673" i="5"/>
  <c r="F673" i="8" s="1"/>
  <c r="F673" i="5"/>
  <c r="E673" i="8" s="1"/>
  <c r="F401" i="5"/>
  <c r="E401" i="8" s="1"/>
  <c r="G401" i="5"/>
  <c r="F401" i="8" s="1"/>
  <c r="F193" i="5"/>
  <c r="E193" i="8" s="1"/>
  <c r="G193" i="5"/>
  <c r="F193" i="8" s="1"/>
  <c r="F664" i="5"/>
  <c r="E664" i="8" s="1"/>
  <c r="G664" i="5"/>
  <c r="F664" i="8" s="1"/>
  <c r="F759" i="5"/>
  <c r="E759" i="8" s="1"/>
  <c r="G759" i="5"/>
  <c r="F759" i="8" s="1"/>
  <c r="F906" i="5"/>
  <c r="E906" i="8" s="1"/>
  <c r="G906" i="5"/>
  <c r="F906" i="8" s="1"/>
  <c r="F682" i="5"/>
  <c r="E682" i="8" s="1"/>
  <c r="G682" i="5"/>
  <c r="F682" i="8" s="1"/>
  <c r="G701" i="5"/>
  <c r="F701" i="8" s="1"/>
  <c r="F701" i="5"/>
  <c r="E701" i="8" s="1"/>
  <c r="F413" i="5"/>
  <c r="E413" i="8" s="1"/>
  <c r="G413" i="5"/>
  <c r="F413" i="8" s="1"/>
  <c r="G984" i="5"/>
  <c r="F984" i="8" s="1"/>
  <c r="F984" i="5"/>
  <c r="E984" i="8" s="1"/>
  <c r="F627" i="5"/>
  <c r="E627" i="8" s="1"/>
  <c r="G627" i="5"/>
  <c r="F627" i="8" s="1"/>
  <c r="F9" i="5"/>
  <c r="G9" i="5"/>
  <c r="F9" i="8" s="1"/>
  <c r="F336" i="5"/>
  <c r="E336" i="8" s="1"/>
  <c r="G336" i="5"/>
  <c r="F336" i="8" s="1"/>
  <c r="F160" i="5"/>
  <c r="E160" i="8" s="1"/>
  <c r="G160" i="5"/>
  <c r="F160" i="8" s="1"/>
  <c r="F175" i="5"/>
  <c r="E175" i="8" s="1"/>
  <c r="G175" i="5"/>
  <c r="F175" i="8" s="1"/>
  <c r="F518" i="5"/>
  <c r="E518" i="8" s="1"/>
  <c r="G518" i="5"/>
  <c r="F518" i="8" s="1"/>
  <c r="F294" i="5"/>
  <c r="E294" i="8" s="1"/>
  <c r="G294" i="5"/>
  <c r="F294" i="8" s="1"/>
  <c r="F102" i="5"/>
  <c r="E102" i="8" s="1"/>
  <c r="G102" i="5"/>
  <c r="F102" i="8" s="1"/>
  <c r="G447" i="5"/>
  <c r="F447" i="8" s="1"/>
  <c r="F447" i="5"/>
  <c r="E447" i="8" s="1"/>
  <c r="F44" i="5"/>
  <c r="E44" i="8" s="1"/>
  <c r="G44" i="5"/>
  <c r="F44" i="8" s="1"/>
  <c r="F626" i="5"/>
  <c r="E626" i="8" s="1"/>
  <c r="G626" i="5"/>
  <c r="F626" i="8" s="1"/>
  <c r="F434" i="5"/>
  <c r="E434" i="8" s="1"/>
  <c r="G434" i="5"/>
  <c r="F434" i="8" s="1"/>
  <c r="G210" i="5"/>
  <c r="F210" i="8" s="1"/>
  <c r="F34" i="5"/>
  <c r="E34" i="8" s="1"/>
  <c r="G34" i="5"/>
  <c r="F34" i="8" s="1"/>
  <c r="F551" i="5"/>
  <c r="E551" i="8" s="1"/>
  <c r="G551" i="5"/>
  <c r="F551" i="8" s="1"/>
  <c r="G359" i="5"/>
  <c r="F359" i="8" s="1"/>
  <c r="F359" i="5"/>
  <c r="E359" i="8" s="1"/>
  <c r="F119" i="5"/>
  <c r="E119" i="8" s="1"/>
  <c r="G119" i="5"/>
  <c r="F119" i="8" s="1"/>
  <c r="F499" i="5"/>
  <c r="E499" i="8" s="1"/>
  <c r="G499" i="5"/>
  <c r="F499" i="8" s="1"/>
  <c r="G307" i="5"/>
  <c r="F307" i="8" s="1"/>
  <c r="F307" i="5"/>
  <c r="E307" i="8" s="1"/>
  <c r="F70" i="5"/>
  <c r="E70" i="8" s="1"/>
  <c r="G70" i="5"/>
  <c r="F70" i="8" s="1"/>
  <c r="G39" i="5"/>
  <c r="F39" i="8" s="1"/>
  <c r="G43" i="5"/>
  <c r="F43" i="8" s="1"/>
  <c r="G877" i="5"/>
  <c r="F877" i="8" s="1"/>
  <c r="G903" i="5"/>
  <c r="F903" i="8" s="1"/>
  <c r="G484" i="5"/>
  <c r="F484" i="8" s="1"/>
  <c r="G74" i="5"/>
  <c r="F74" i="8" s="1"/>
  <c r="G132" i="5"/>
  <c r="F132" i="8" s="1"/>
  <c r="G174" i="5"/>
  <c r="F174" i="8" s="1"/>
  <c r="G62" i="5"/>
  <c r="F62" i="8" s="1"/>
  <c r="G244" i="5"/>
  <c r="F244" i="8" s="1"/>
  <c r="G676" i="5"/>
  <c r="F676" i="8" s="1"/>
  <c r="G180" i="5"/>
  <c r="F180" i="8" s="1"/>
  <c r="F835" i="5"/>
  <c r="E835" i="8" s="1"/>
  <c r="G835" i="5"/>
  <c r="F835" i="8" s="1"/>
  <c r="F736" i="5"/>
  <c r="E736" i="8" s="1"/>
  <c r="G736" i="5"/>
  <c r="F736" i="8" s="1"/>
  <c r="F937" i="5"/>
  <c r="E937" i="8" s="1"/>
  <c r="G937" i="5"/>
  <c r="F937" i="8" s="1"/>
  <c r="G560" i="5"/>
  <c r="F560" i="8" s="1"/>
  <c r="F560" i="5"/>
  <c r="E560" i="8" s="1"/>
  <c r="F1004" i="5"/>
  <c r="E1004" i="8" s="1"/>
  <c r="F783" i="5"/>
  <c r="E783" i="8" s="1"/>
  <c r="G783" i="5"/>
  <c r="F783" i="8" s="1"/>
  <c r="F946" i="5"/>
  <c r="E946" i="8" s="1"/>
  <c r="G946" i="5"/>
  <c r="F946" i="8" s="1"/>
  <c r="F991" i="5"/>
  <c r="E991" i="8" s="1"/>
  <c r="G991" i="5"/>
  <c r="F991" i="8" s="1"/>
  <c r="F869" i="5"/>
  <c r="E869" i="8" s="1"/>
  <c r="G869" i="5"/>
  <c r="F869" i="8" s="1"/>
  <c r="F540" i="5"/>
  <c r="E540" i="8" s="1"/>
  <c r="G540" i="5"/>
  <c r="F540" i="8" s="1"/>
  <c r="F348" i="5"/>
  <c r="E348" i="8" s="1"/>
  <c r="G348" i="5"/>
  <c r="F348" i="8" s="1"/>
  <c r="G696" i="5"/>
  <c r="F696" i="8" s="1"/>
  <c r="F696" i="5"/>
  <c r="E696" i="8" s="1"/>
  <c r="F699" i="5"/>
  <c r="E699" i="8" s="1"/>
  <c r="G699" i="5"/>
  <c r="F699" i="8" s="1"/>
  <c r="F846" i="5"/>
  <c r="E846" i="8" s="1"/>
  <c r="G846" i="5"/>
  <c r="F846" i="8" s="1"/>
  <c r="G945" i="5"/>
  <c r="F945" i="8" s="1"/>
  <c r="F945" i="5"/>
  <c r="E945" i="8" s="1"/>
  <c r="G657" i="5"/>
  <c r="F657" i="8" s="1"/>
  <c r="F657" i="5"/>
  <c r="E657" i="8" s="1"/>
  <c r="F385" i="5"/>
  <c r="E385" i="8" s="1"/>
  <c r="G385" i="5"/>
  <c r="F385" i="8" s="1"/>
  <c r="G177" i="5"/>
  <c r="F177" i="8" s="1"/>
  <c r="F177" i="5"/>
  <c r="E177" i="8" s="1"/>
  <c r="G756" i="5"/>
  <c r="F756" i="8" s="1"/>
  <c r="F756" i="5"/>
  <c r="E756" i="8" s="1"/>
  <c r="F743" i="5"/>
  <c r="E743" i="8" s="1"/>
  <c r="G743" i="5"/>
  <c r="F743" i="8" s="1"/>
  <c r="F890" i="5"/>
  <c r="E890" i="8" s="1"/>
  <c r="G890" i="5"/>
  <c r="F890" i="8" s="1"/>
  <c r="F982" i="5"/>
  <c r="E982" i="8" s="1"/>
  <c r="G982" i="5"/>
  <c r="F982" i="8" s="1"/>
  <c r="F685" i="5"/>
  <c r="E685" i="8" s="1"/>
  <c r="G685" i="5"/>
  <c r="F685" i="8" s="1"/>
  <c r="G397" i="5"/>
  <c r="F397" i="8" s="1"/>
  <c r="F397" i="5"/>
  <c r="E397" i="8" s="1"/>
  <c r="F221" i="5"/>
  <c r="E221" i="8" s="1"/>
  <c r="G221" i="5"/>
  <c r="F221" i="8" s="1"/>
  <c r="F964" i="5"/>
  <c r="E964" i="8" s="1"/>
  <c r="G964" i="5"/>
  <c r="F964" i="8" s="1"/>
  <c r="F870" i="5"/>
  <c r="E870" i="8" s="1"/>
  <c r="G870" i="5"/>
  <c r="F870" i="8" s="1"/>
  <c r="F595" i="5"/>
  <c r="E595" i="8" s="1"/>
  <c r="G595" i="5"/>
  <c r="F595" i="8" s="1"/>
  <c r="F320" i="5"/>
  <c r="E320" i="8" s="1"/>
  <c r="G320" i="5"/>
  <c r="F320" i="8" s="1"/>
  <c r="G144" i="5"/>
  <c r="F144" i="8" s="1"/>
  <c r="F144" i="5"/>
  <c r="E144" i="8" s="1"/>
  <c r="F127" i="5"/>
  <c r="E127" i="8" s="1"/>
  <c r="G127" i="5"/>
  <c r="F127" i="8" s="1"/>
  <c r="F502" i="5"/>
  <c r="E502" i="8" s="1"/>
  <c r="G502" i="5"/>
  <c r="F502" i="8" s="1"/>
  <c r="G262" i="5"/>
  <c r="F262" i="8" s="1"/>
  <c r="F262" i="5"/>
  <c r="E262" i="8" s="1"/>
  <c r="G86" i="5"/>
  <c r="F86" i="8" s="1"/>
  <c r="F86" i="5"/>
  <c r="E86" i="8" s="1"/>
  <c r="G431" i="5"/>
  <c r="F431" i="8" s="1"/>
  <c r="F431" i="5"/>
  <c r="E431" i="8" s="1"/>
  <c r="F204" i="5"/>
  <c r="E204" i="8" s="1"/>
  <c r="G204" i="5"/>
  <c r="F204" i="8" s="1"/>
  <c r="F12" i="5"/>
  <c r="E12" i="8" s="1"/>
  <c r="G12" i="5"/>
  <c r="F12" i="8" s="1"/>
  <c r="F610" i="5"/>
  <c r="E610" i="8" s="1"/>
  <c r="G610" i="5"/>
  <c r="F610" i="8" s="1"/>
  <c r="G418" i="5"/>
  <c r="F418" i="8" s="1"/>
  <c r="F418" i="5"/>
  <c r="E418" i="8" s="1"/>
  <c r="F210" i="5"/>
  <c r="E210" i="8" s="1"/>
  <c r="F18" i="5"/>
  <c r="E18" i="8" s="1"/>
  <c r="G18" i="5"/>
  <c r="F18" i="8" s="1"/>
  <c r="F535" i="5"/>
  <c r="E535" i="8" s="1"/>
  <c r="G535" i="5"/>
  <c r="F535" i="8" s="1"/>
  <c r="G343" i="5"/>
  <c r="F343" i="8" s="1"/>
  <c r="F343" i="5"/>
  <c r="E343" i="8" s="1"/>
  <c r="F87" i="5"/>
  <c r="E87" i="8" s="1"/>
  <c r="G87" i="5"/>
  <c r="F87" i="8" s="1"/>
  <c r="F483" i="5"/>
  <c r="E483" i="8" s="1"/>
  <c r="G483" i="5"/>
  <c r="F483" i="8" s="1"/>
  <c r="F291" i="5"/>
  <c r="E291" i="8" s="1"/>
  <c r="G291" i="5"/>
  <c r="F291" i="8" s="1"/>
  <c r="F54" i="5"/>
  <c r="E54" i="8" s="1"/>
  <c r="G54" i="5"/>
  <c r="F54" i="8" s="1"/>
  <c r="G941" i="5"/>
  <c r="F941" i="8" s="1"/>
  <c r="G1030" i="5"/>
  <c r="G361" i="5"/>
  <c r="F361" i="8" s="1"/>
  <c r="G281" i="5"/>
  <c r="F281" i="8" s="1"/>
  <c r="G1041" i="5"/>
  <c r="G1090" i="5"/>
  <c r="G395" i="5"/>
  <c r="F395" i="8" s="1"/>
  <c r="G601" i="5"/>
  <c r="F601" i="8" s="1"/>
  <c r="G255" i="5"/>
  <c r="F255" i="8" s="1"/>
  <c r="G273" i="5"/>
  <c r="F273" i="8" s="1"/>
  <c r="G974" i="5"/>
  <c r="F974" i="8" s="1"/>
  <c r="G928" i="5"/>
  <c r="F928" i="8" s="1"/>
  <c r="G754" i="5"/>
  <c r="F754" i="8" s="1"/>
  <c r="G185" i="5"/>
  <c r="F185" i="8" s="1"/>
  <c r="G848" i="5"/>
  <c r="F848" i="8" s="1"/>
  <c r="G838" i="5"/>
  <c r="F838" i="8" s="1"/>
  <c r="G960" i="5"/>
  <c r="F960" i="8" s="1"/>
  <c r="G665" i="5"/>
  <c r="F665" i="8" s="1"/>
  <c r="G137" i="5"/>
  <c r="F137" i="8" s="1"/>
  <c r="G886" i="5"/>
  <c r="F886" i="8" s="1"/>
  <c r="G950" i="5"/>
  <c r="F950" i="8" s="1"/>
  <c r="G47" i="5"/>
  <c r="F47" i="8" s="1"/>
  <c r="G840" i="5"/>
  <c r="F840" i="8" s="1"/>
  <c r="G961" i="5"/>
  <c r="F961" i="8" s="1"/>
  <c r="G712" i="5"/>
  <c r="F712" i="8" s="1"/>
  <c r="G741" i="5"/>
  <c r="F741" i="8" s="1"/>
  <c r="G1050" i="5"/>
  <c r="G105" i="5"/>
  <c r="F105" i="8" s="1"/>
  <c r="G1066" i="5"/>
  <c r="G896" i="5"/>
  <c r="F896" i="8" s="1"/>
  <c r="G443" i="5"/>
  <c r="F443" i="8" s="1"/>
  <c r="G757" i="5"/>
  <c r="F757" i="8" s="1"/>
  <c r="G181" i="5"/>
  <c r="F181" i="8" s="1"/>
  <c r="G309" i="5"/>
  <c r="F309" i="8" s="1"/>
  <c r="G725" i="5"/>
  <c r="F725" i="8" s="1"/>
  <c r="G762" i="5"/>
  <c r="F762" i="8" s="1"/>
  <c r="G1089" i="5"/>
  <c r="G714" i="5"/>
  <c r="F714" i="8" s="1"/>
  <c r="G171" i="5"/>
  <c r="F171" i="8" s="1"/>
  <c r="G761" i="5"/>
  <c r="F761" i="8" s="1"/>
  <c r="G8" i="5"/>
  <c r="F8" i="8" s="1"/>
  <c r="G517" i="5"/>
  <c r="F517" i="8" s="1"/>
  <c r="G920" i="5"/>
  <c r="F920" i="8" s="1"/>
  <c r="G1035" i="5"/>
  <c r="G697" i="5"/>
  <c r="F697" i="8" s="1"/>
  <c r="G1044" i="5"/>
  <c r="G912" i="5"/>
  <c r="F912" i="8" s="1"/>
  <c r="G603" i="5"/>
  <c r="F603" i="8" s="1"/>
  <c r="G615" i="5"/>
  <c r="F615" i="8" s="1"/>
  <c r="G713" i="5"/>
  <c r="F713" i="8" s="1"/>
  <c r="G1073" i="5"/>
  <c r="G95" i="5"/>
  <c r="F95" i="8" s="1"/>
  <c r="G488" i="5"/>
  <c r="F488" i="8" s="1"/>
  <c r="G584" i="5"/>
  <c r="F584" i="8" s="1"/>
  <c r="G681" i="5"/>
  <c r="F681" i="8" s="1"/>
  <c r="G411" i="5"/>
  <c r="F411" i="8" s="1"/>
  <c r="G1063" i="5"/>
  <c r="G184" i="5"/>
  <c r="F184" i="8" s="1"/>
  <c r="G1075" i="5"/>
  <c r="G1076" i="5"/>
  <c r="G1034" i="5"/>
  <c r="G376" i="5"/>
  <c r="F376" i="8" s="1"/>
  <c r="G437" i="5"/>
  <c r="F437" i="8" s="1"/>
  <c r="G1068" i="5"/>
  <c r="G248" i="5"/>
  <c r="F248" i="8" s="1"/>
  <c r="G491" i="5"/>
  <c r="F491" i="8" s="1"/>
  <c r="G702" i="5"/>
  <c r="F702" i="8" s="1"/>
  <c r="G536" i="5"/>
  <c r="F536" i="8" s="1"/>
  <c r="G802" i="5"/>
  <c r="F802" i="8" s="1"/>
  <c r="G940" i="5"/>
  <c r="F940" i="8" s="1"/>
  <c r="G280" i="5"/>
  <c r="F280" i="8" s="1"/>
  <c r="G429" i="5"/>
  <c r="F429" i="8" s="1"/>
  <c r="G876" i="5"/>
  <c r="F876" i="8" s="1"/>
  <c r="G969" i="5"/>
  <c r="F969" i="8" s="1"/>
  <c r="G1007" i="5"/>
  <c r="F1007" i="8" s="1"/>
  <c r="G918" i="5"/>
  <c r="F918" i="8" s="1"/>
  <c r="G283" i="5"/>
  <c r="F283" i="8" s="1"/>
  <c r="G513" i="5"/>
  <c r="F513" i="8" s="1"/>
  <c r="G854" i="5"/>
  <c r="F854" i="8" s="1"/>
  <c r="G808" i="5"/>
  <c r="F808" i="8" s="1"/>
  <c r="G1062" i="5"/>
  <c r="G507" i="5"/>
  <c r="F507" i="8" s="1"/>
  <c r="G806" i="5"/>
  <c r="F806" i="8" s="1"/>
  <c r="G832" i="5"/>
  <c r="F832" i="8" s="1"/>
  <c r="G851" i="5"/>
  <c r="F851" i="8" s="1"/>
  <c r="G1069" i="5"/>
  <c r="G959" i="5"/>
  <c r="F959" i="8" s="1"/>
  <c r="G232" i="5"/>
  <c r="F232" i="8" s="1"/>
  <c r="G1042" i="5"/>
  <c r="G1056" i="5"/>
  <c r="G249" i="5"/>
  <c r="F249" i="8" s="1"/>
  <c r="G521" i="5"/>
  <c r="F521" i="8" s="1"/>
  <c r="G293" i="5"/>
  <c r="F293" i="8" s="1"/>
  <c r="G816" i="5"/>
  <c r="F816" i="8" s="1"/>
  <c r="G977" i="5"/>
  <c r="F977" i="8" s="1"/>
  <c r="G822" i="5"/>
  <c r="F822" i="8" s="1"/>
  <c r="G1053" i="5"/>
  <c r="G752" i="5"/>
  <c r="F752" i="8" s="1"/>
  <c r="G169" i="5"/>
  <c r="F169" i="8" s="1"/>
  <c r="G722" i="5"/>
  <c r="F722" i="8" s="1"/>
  <c r="G885" i="5"/>
  <c r="F885" i="8" s="1"/>
  <c r="G344" i="5"/>
  <c r="F344" i="8" s="1"/>
  <c r="G357" i="5"/>
  <c r="F357" i="8" s="1"/>
  <c r="G425" i="5"/>
  <c r="F425" i="8" s="1"/>
  <c r="G568" i="5"/>
  <c r="F568" i="8" s="1"/>
  <c r="G1081" i="5"/>
  <c r="G72" i="5"/>
  <c r="F72" i="8" s="1"/>
  <c r="G408" i="5"/>
  <c r="F408" i="8" s="1"/>
  <c r="G796" i="5"/>
  <c r="F796" i="8" s="1"/>
  <c r="G904" i="5"/>
  <c r="F904" i="8" s="1"/>
  <c r="G103" i="5"/>
  <c r="F103" i="8" s="1"/>
  <c r="G456" i="5"/>
  <c r="F456" i="8" s="1"/>
  <c r="G860" i="5"/>
  <c r="F860" i="8" s="1"/>
  <c r="G417" i="5"/>
  <c r="F417" i="8" s="1"/>
  <c r="G341" i="5"/>
  <c r="F341" i="8" s="1"/>
  <c r="G629" i="5"/>
  <c r="F629" i="8" s="1"/>
  <c r="G217" i="5"/>
  <c r="F217" i="8" s="1"/>
  <c r="G609" i="5"/>
  <c r="F609" i="8" s="1"/>
  <c r="G245" i="5"/>
  <c r="F245" i="8" s="1"/>
  <c r="G533" i="5"/>
  <c r="F533" i="8" s="1"/>
  <c r="G1080" i="5"/>
  <c r="G267" i="5"/>
  <c r="F267" i="8" s="1"/>
  <c r="G505" i="5"/>
  <c r="F505" i="8" s="1"/>
  <c r="G827" i="5"/>
  <c r="F827" i="8" s="1"/>
  <c r="G902" i="5"/>
  <c r="F902" i="8" s="1"/>
  <c r="G569" i="5"/>
  <c r="F569" i="8" s="1"/>
  <c r="G694" i="5"/>
  <c r="F694" i="8" s="1"/>
  <c r="G968" i="5"/>
  <c r="F968" i="8" s="1"/>
  <c r="G774" i="5"/>
  <c r="F774" i="8" s="1"/>
  <c r="G159" i="5"/>
  <c r="F159" i="8" s="1"/>
  <c r="G565" i="5"/>
  <c r="F565" i="8" s="1"/>
  <c r="G844" i="5"/>
  <c r="F844" i="8" s="1"/>
  <c r="G251" i="5"/>
  <c r="F251" i="8" s="1"/>
  <c r="G672" i="5"/>
  <c r="F672" i="8" s="1"/>
  <c r="G791" i="5"/>
  <c r="F791" i="8" s="1"/>
  <c r="G475" i="5"/>
  <c r="F475" i="8" s="1"/>
  <c r="G421" i="5"/>
  <c r="F421" i="8" s="1"/>
  <c r="G732" i="5"/>
  <c r="F732" i="8" s="1"/>
  <c r="G970" i="5"/>
  <c r="F970" i="8" s="1"/>
  <c r="G104" i="5"/>
  <c r="F104" i="8" s="1"/>
  <c r="G265" i="5"/>
  <c r="F265" i="8" s="1"/>
  <c r="G73" i="5"/>
  <c r="F73" i="8" s="1"/>
  <c r="G693" i="5"/>
  <c r="F693" i="8" s="1"/>
  <c r="G1032" i="5"/>
  <c r="G1031" i="5"/>
  <c r="G63" i="5"/>
  <c r="F63" i="8" s="1"/>
  <c r="G616" i="5"/>
  <c r="F616" i="8" s="1"/>
  <c r="G1040" i="5"/>
  <c r="G561" i="5"/>
  <c r="F561" i="8" s="1"/>
  <c r="G1047" i="5"/>
  <c r="G1061" i="5"/>
  <c r="G136" i="5"/>
  <c r="F136" i="8" s="1"/>
  <c r="G828" i="5"/>
  <c r="F828" i="8" s="1"/>
  <c r="G880" i="5"/>
  <c r="F880" i="8" s="1"/>
  <c r="G319" i="5"/>
  <c r="F319" i="8" s="1"/>
  <c r="G473" i="5"/>
  <c r="F473" i="8" s="1"/>
  <c r="G824" i="5"/>
  <c r="F824" i="8" s="1"/>
  <c r="G1039" i="5"/>
  <c r="G111" i="5"/>
  <c r="F111" i="8" s="1"/>
  <c r="G817" i="5"/>
  <c r="F817" i="8" s="1"/>
  <c r="G989" i="5"/>
  <c r="F989" i="8" s="1"/>
  <c r="G1071" i="5"/>
  <c r="G750" i="5"/>
  <c r="F750" i="8" s="1"/>
  <c r="G120" i="5"/>
  <c r="F120" i="8" s="1"/>
  <c r="G315" i="5"/>
  <c r="F315" i="8" s="1"/>
  <c r="G459" i="5"/>
  <c r="F459" i="8" s="1"/>
  <c r="G635" i="5"/>
  <c r="F635" i="8" s="1"/>
  <c r="G792" i="5"/>
  <c r="F792" i="8" s="1"/>
  <c r="G1045" i="5"/>
  <c r="G15" i="5"/>
  <c r="F15" i="8" s="1"/>
  <c r="G1086" i="5"/>
  <c r="G1003" i="5"/>
  <c r="F1003" i="8" s="1"/>
  <c r="G153" i="5"/>
  <c r="F153" i="8" s="1"/>
  <c r="G504" i="5"/>
  <c r="F504" i="8" s="1"/>
  <c r="G553" i="5"/>
  <c r="F553" i="8" s="1"/>
  <c r="G724" i="5"/>
  <c r="F724" i="8" s="1"/>
  <c r="G776" i="5"/>
  <c r="F776" i="8" s="1"/>
  <c r="G1055" i="5"/>
  <c r="G328" i="5"/>
  <c r="F328" i="8" s="1"/>
  <c r="G1060" i="5"/>
  <c r="G929" i="5"/>
  <c r="F929" i="8" s="1"/>
  <c r="G1054" i="5"/>
  <c r="G41" i="5"/>
  <c r="F41" i="8" s="1"/>
  <c r="G933" i="5"/>
  <c r="F933" i="8" s="1"/>
  <c r="G992" i="5"/>
  <c r="F992" i="8" s="1"/>
  <c r="G200" i="5"/>
  <c r="F200" i="8" s="1"/>
  <c r="G617" i="5"/>
  <c r="F617" i="8" s="1"/>
  <c r="G899" i="5"/>
  <c r="F899" i="8" s="1"/>
  <c r="G277" i="5"/>
  <c r="F277" i="8" s="1"/>
  <c r="G647" i="5"/>
  <c r="F647" i="8" s="1"/>
  <c r="G684" i="5"/>
  <c r="F684" i="8" s="1"/>
  <c r="G1028" i="5"/>
  <c r="G1083" i="5"/>
  <c r="G31" i="5"/>
  <c r="F31" i="8" s="1"/>
  <c r="G377" i="5"/>
  <c r="F377" i="8" s="1"/>
  <c r="G552" i="5"/>
  <c r="F552" i="8" s="1"/>
  <c r="G1052" i="5"/>
  <c r="G955" i="5"/>
  <c r="F955" i="8" s="1"/>
  <c r="G1072" i="5"/>
  <c r="G779" i="5"/>
  <c r="F779" i="8" s="1"/>
  <c r="G952" i="5"/>
  <c r="F952" i="8" s="1"/>
  <c r="G1074" i="5"/>
  <c r="G1051" i="5"/>
  <c r="G987" i="5"/>
  <c r="F987" i="8" s="1"/>
  <c r="G297" i="5"/>
  <c r="F297" i="8" s="1"/>
  <c r="G764" i="5"/>
  <c r="F764" i="8" s="1"/>
  <c r="G21" i="5"/>
  <c r="F21" i="8" s="1"/>
  <c r="G216" i="5"/>
  <c r="F216" i="8" s="1"/>
  <c r="G523" i="5"/>
  <c r="F523" i="8" s="1"/>
  <c r="G389" i="5"/>
  <c r="F389" i="8" s="1"/>
  <c r="G571" i="5"/>
  <c r="F571" i="8" s="1"/>
  <c r="G1065" i="5"/>
  <c r="G1022" i="5"/>
  <c r="F1022" i="8" s="1"/>
  <c r="G1002" i="5"/>
  <c r="F1002" i="8" s="1"/>
  <c r="G1078" i="5"/>
  <c r="G107" i="5"/>
  <c r="F107" i="8" s="1"/>
  <c r="G892" i="5"/>
  <c r="F892" i="8" s="1"/>
  <c r="G944" i="5"/>
  <c r="F944" i="8" s="1"/>
  <c r="G621" i="5"/>
  <c r="F621" i="8" s="1"/>
  <c r="G786" i="5"/>
  <c r="F786" i="8" s="1"/>
  <c r="G213" i="5"/>
  <c r="F213" i="8" s="1"/>
  <c r="G313" i="5"/>
  <c r="F313" i="8" s="1"/>
  <c r="G89" i="5"/>
  <c r="F89" i="8" s="1"/>
  <c r="G800" i="5"/>
  <c r="F800" i="8" s="1"/>
  <c r="G1087" i="5"/>
  <c r="G1006" i="5"/>
  <c r="F1006" i="8" s="1"/>
  <c r="G924" i="5"/>
  <c r="F924" i="8" s="1"/>
  <c r="G967" i="5"/>
  <c r="F967" i="8" s="1"/>
  <c r="G168" i="5"/>
  <c r="F168" i="8" s="1"/>
  <c r="G472" i="5"/>
  <c r="F472" i="8" s="1"/>
  <c r="G469" i="5"/>
  <c r="F469" i="8" s="1"/>
  <c r="G264" i="5"/>
  <c r="F264" i="8" s="1"/>
  <c r="G758" i="5"/>
  <c r="F758" i="8" s="1"/>
  <c r="G440" i="5"/>
  <c r="F440" i="8" s="1"/>
  <c r="G1084" i="5"/>
  <c r="G825" i="5"/>
  <c r="F825" i="8" s="1"/>
  <c r="G972" i="5"/>
  <c r="F972" i="8" s="1"/>
  <c r="G815" i="5"/>
  <c r="F815" i="8" s="1"/>
  <c r="G803" i="5"/>
  <c r="F803" i="8" s="1"/>
  <c r="G921" i="5"/>
  <c r="F921" i="8" s="1"/>
  <c r="G207" i="5"/>
  <c r="F207" i="8" s="1"/>
  <c r="G465" i="5"/>
  <c r="F465" i="8" s="1"/>
  <c r="G638" i="5"/>
  <c r="F638" i="8" s="1"/>
  <c r="G971" i="5"/>
  <c r="F971" i="8" s="1"/>
  <c r="G59" i="5"/>
  <c r="F59" i="8" s="1"/>
  <c r="G379" i="5"/>
  <c r="F379" i="8" s="1"/>
  <c r="G742" i="5"/>
  <c r="F742" i="8" s="1"/>
  <c r="G729" i="5"/>
  <c r="F729" i="8" s="1"/>
  <c r="G1019" i="5"/>
  <c r="F1019" i="8" s="1"/>
  <c r="G581" i="5"/>
  <c r="F581" i="8" s="1"/>
  <c r="G600" i="5"/>
  <c r="F600" i="8" s="1"/>
  <c r="G661" i="5"/>
  <c r="F661" i="8" s="1"/>
  <c r="G424" i="5"/>
  <c r="F424" i="8" s="1"/>
  <c r="G1014" i="5"/>
  <c r="F1014" i="8" s="1"/>
  <c r="G197" i="5"/>
  <c r="F197" i="8" s="1"/>
  <c r="G770" i="5"/>
  <c r="F770" i="8" s="1"/>
  <c r="G936" i="5"/>
  <c r="F936" i="8" s="1"/>
  <c r="G716" i="5"/>
  <c r="F716" i="8" s="1"/>
  <c r="G1038" i="5"/>
  <c r="G393" i="5"/>
  <c r="F393" i="8" s="1"/>
  <c r="G25" i="5"/>
  <c r="F25" i="8" s="1"/>
  <c r="G1046" i="5"/>
  <c r="G1070" i="5"/>
  <c r="G409" i="5"/>
  <c r="F409" i="8" s="1"/>
  <c r="G1027" i="5"/>
  <c r="G287" i="5"/>
  <c r="F287" i="8" s="1"/>
  <c r="G872" i="5"/>
  <c r="F872" i="8" s="1"/>
  <c r="G939" i="5"/>
  <c r="F939" i="8" s="1"/>
  <c r="G656" i="5"/>
  <c r="F656" i="8" s="1"/>
  <c r="G862" i="5"/>
  <c r="F862" i="8" s="1"/>
  <c r="G1025" i="5"/>
  <c r="G908" i="5"/>
  <c r="F908" i="8" s="1"/>
  <c r="G155" i="5"/>
  <c r="F155" i="8" s="1"/>
  <c r="G85" i="5"/>
  <c r="F85" i="8" s="1"/>
  <c r="G788" i="5"/>
  <c r="F788" i="8" s="1"/>
  <c r="G911" i="5"/>
  <c r="F911" i="8" s="1"/>
  <c r="G863" i="5"/>
  <c r="F863" i="8" s="1"/>
  <c r="G331" i="5"/>
  <c r="F331" i="8" s="1"/>
  <c r="G599" i="5"/>
  <c r="F599" i="8" s="1"/>
  <c r="G199" i="5"/>
  <c r="F199" i="8" s="1"/>
  <c r="G623" i="5"/>
  <c r="F623" i="8" s="1"/>
  <c r="G1064" i="5"/>
  <c r="G121" i="5"/>
  <c r="F121" i="8" s="1"/>
  <c r="G88" i="5"/>
  <c r="F88" i="8" s="1"/>
  <c r="G1033" i="5"/>
  <c r="G101" i="5"/>
  <c r="F101" i="8" s="1"/>
  <c r="G329" i="5"/>
  <c r="F329" i="8" s="1"/>
  <c r="G485" i="5"/>
  <c r="F485" i="8" s="1"/>
  <c r="G666" i="5"/>
  <c r="F666" i="8" s="1"/>
  <c r="G674" i="5"/>
  <c r="F674" i="8" s="1"/>
  <c r="G980" i="5"/>
  <c r="F980" i="8" s="1"/>
  <c r="G1029" i="5"/>
  <c r="G347" i="5"/>
  <c r="F347" i="8" s="1"/>
  <c r="G296" i="5"/>
  <c r="F296" i="8" s="1"/>
  <c r="G709" i="5"/>
  <c r="F709" i="8" s="1"/>
  <c r="G710" i="5"/>
  <c r="F710" i="8" s="1"/>
  <c r="G881" i="5"/>
  <c r="F881" i="8" s="1"/>
  <c r="G247" i="5"/>
  <c r="F247" i="8" s="1"/>
  <c r="G1057" i="5"/>
  <c r="G573" i="5"/>
  <c r="F573" i="8" s="1"/>
  <c r="G1037" i="5"/>
  <c r="G312" i="5"/>
  <c r="F312" i="8" s="1"/>
  <c r="G864" i="5"/>
  <c r="F864" i="8" s="1"/>
  <c r="G873" i="5"/>
  <c r="F873" i="8" s="1"/>
  <c r="G1058" i="5"/>
  <c r="G812" i="5"/>
  <c r="F812" i="8" s="1"/>
  <c r="G947" i="5"/>
  <c r="F947" i="8" s="1"/>
  <c r="G833" i="5"/>
  <c r="F833" i="8" s="1"/>
  <c r="G888" i="5"/>
  <c r="F888" i="8" s="1"/>
  <c r="G891" i="5"/>
  <c r="F891" i="8" s="1"/>
  <c r="G1077" i="5"/>
  <c r="G203" i="5"/>
  <c r="F203" i="8" s="1"/>
  <c r="G1000" i="5"/>
  <c r="F1000" i="8" s="1"/>
  <c r="G1049" i="5"/>
  <c r="G962" i="5"/>
  <c r="F962" i="8" s="1"/>
  <c r="G866" i="5"/>
  <c r="F866" i="8" s="1"/>
  <c r="G773" i="5"/>
  <c r="F773" i="8" s="1"/>
  <c r="G1088" i="5"/>
  <c r="G56" i="5"/>
  <c r="F56" i="8" s="1"/>
  <c r="G345" i="5"/>
  <c r="F345" i="8" s="1"/>
  <c r="G278" i="5"/>
  <c r="F278" i="8" s="1"/>
  <c r="G1059" i="5"/>
  <c r="G1043" i="5"/>
  <c r="G55" i="5"/>
  <c r="F55" i="8" s="1"/>
  <c r="G913" i="5"/>
  <c r="F913" i="8" s="1"/>
  <c r="G325" i="5"/>
  <c r="F325" i="8" s="1"/>
  <c r="G430" i="5"/>
  <c r="F430" i="8" s="1"/>
  <c r="G1008" i="5"/>
  <c r="F1008" i="8" s="1"/>
  <c r="G640" i="5"/>
  <c r="F640" i="8" s="1"/>
  <c r="G299" i="5"/>
  <c r="F299" i="8" s="1"/>
  <c r="G790" i="5"/>
  <c r="F790" i="8" s="1"/>
  <c r="G57" i="5"/>
  <c r="F57" i="8" s="1"/>
  <c r="G645" i="5"/>
  <c r="F645" i="8" s="1"/>
  <c r="G677" i="5"/>
  <c r="F677" i="8" s="1"/>
  <c r="G525" i="5"/>
  <c r="F525" i="8" s="1"/>
  <c r="G720" i="5"/>
  <c r="F720" i="8" s="1"/>
  <c r="G229" i="5"/>
  <c r="F229" i="8" s="1"/>
  <c r="G152" i="5"/>
  <c r="F152" i="8" s="1"/>
  <c r="G956" i="5"/>
  <c r="F956" i="8" s="1"/>
  <c r="G363" i="5"/>
  <c r="F363" i="8" s="1"/>
  <c r="G1017" i="5"/>
  <c r="F1017" i="8" s="1"/>
  <c r="G934" i="5"/>
  <c r="F934" i="8" s="1"/>
  <c r="G392" i="5"/>
  <c r="F392" i="8" s="1"/>
  <c r="G1085" i="5"/>
  <c r="G760" i="5"/>
  <c r="F760" i="8" s="1"/>
  <c r="G239" i="5"/>
  <c r="F239" i="8" s="1"/>
  <c r="G191" i="5"/>
  <c r="F191" i="8" s="1"/>
  <c r="G789" i="5"/>
  <c r="F789" i="8" s="1"/>
  <c r="G653" i="5"/>
  <c r="F653" i="8" s="1"/>
  <c r="G69" i="5"/>
  <c r="F69" i="8" s="1"/>
  <c r="G642" i="5"/>
  <c r="F642" i="8" s="1"/>
  <c r="G907" i="5"/>
  <c r="F907" i="8" s="1"/>
  <c r="G324" i="5"/>
  <c r="F324" i="8" s="1"/>
  <c r="G999" i="5"/>
  <c r="F999" i="8" s="1"/>
  <c r="G374" i="5"/>
  <c r="F374" i="8" s="1"/>
  <c r="G110" i="5"/>
  <c r="F110" i="8" s="1"/>
  <c r="G1010" i="5"/>
  <c r="F1010" i="8" s="1"/>
  <c r="G427" i="5"/>
  <c r="F427" i="8" s="1"/>
  <c r="G303" i="5"/>
  <c r="F303" i="8" s="1"/>
  <c r="G981" i="5"/>
  <c r="F981" i="8" s="1"/>
  <c r="G706" i="5"/>
  <c r="F706" i="8" s="1"/>
  <c r="G839" i="5"/>
  <c r="F839" i="8" s="1"/>
  <c r="G477" i="5"/>
  <c r="F477" i="8" s="1"/>
  <c r="G643" i="5"/>
  <c r="F643" i="8" s="1"/>
  <c r="G856" i="5"/>
  <c r="F856" i="8" s="1"/>
  <c r="G117" i="5"/>
  <c r="F117" i="8" s="1"/>
  <c r="G1082" i="5"/>
  <c r="G32" i="5"/>
  <c r="F32" i="8" s="1"/>
  <c r="G613" i="5"/>
  <c r="F613" i="8" s="1"/>
  <c r="G457" i="5"/>
  <c r="F457" i="8" s="1"/>
  <c r="G865" i="5"/>
  <c r="F865" i="8" s="1"/>
  <c r="G37" i="5"/>
  <c r="F37" i="8" s="1"/>
  <c r="G1048" i="5"/>
  <c r="G837" i="5"/>
  <c r="F837" i="8" s="1"/>
  <c r="G149" i="5"/>
  <c r="F149" i="8" s="1"/>
  <c r="G360" i="5"/>
  <c r="F360" i="8" s="1"/>
  <c r="G539" i="5"/>
  <c r="F539" i="8" s="1"/>
  <c r="G1026" i="5"/>
  <c r="G219" i="5"/>
  <c r="F219" i="8" s="1"/>
  <c r="G555" i="5"/>
  <c r="F555" i="8" s="1"/>
  <c r="G745" i="5"/>
  <c r="F745" i="8" s="1"/>
  <c r="G143" i="5"/>
  <c r="F143" i="8" s="1"/>
  <c r="G1036" i="5"/>
  <c r="G768" i="5"/>
  <c r="F768" i="8" s="1"/>
  <c r="G233" i="5"/>
  <c r="F233" i="8" s="1"/>
  <c r="G1079" i="5"/>
  <c r="G1009" i="5"/>
  <c r="F1009" i="8" s="1"/>
  <c r="G976" i="5"/>
  <c r="F976" i="8" s="1"/>
  <c r="G1067" i="5"/>
  <c r="G53" i="5"/>
  <c r="F53" i="8" s="1"/>
  <c r="G326" i="5"/>
  <c r="F326" i="8" s="1"/>
  <c r="G520" i="5"/>
  <c r="F520" i="8" s="1"/>
  <c r="G704" i="5"/>
  <c r="F704" i="8" s="1"/>
  <c r="G338" i="5"/>
  <c r="F338" i="8" s="1"/>
  <c r="G590" i="5"/>
  <c r="F590" i="8" s="1"/>
  <c r="G398" i="5"/>
  <c r="F398" i="8" s="1"/>
  <c r="G222" i="5"/>
  <c r="F222" i="8" s="1"/>
  <c r="G973" i="5"/>
  <c r="F973" i="8" s="1"/>
  <c r="G298" i="5"/>
  <c r="F298" i="8" s="1"/>
  <c r="G212" i="5"/>
  <c r="F212" i="8" s="1"/>
  <c r="G612" i="5"/>
  <c r="F612" i="8" s="1"/>
  <c r="G67" i="5"/>
  <c r="F67" i="8" s="1"/>
  <c r="F174" i="5"/>
  <c r="E174" i="8" s="1"/>
  <c r="G148" i="5"/>
  <c r="F148" i="8" s="1"/>
  <c r="G84" i="5"/>
  <c r="F84" i="8" s="1"/>
  <c r="G115" i="5"/>
  <c r="F115" i="8" s="1"/>
  <c r="F819" i="5"/>
  <c r="E819" i="8" s="1"/>
  <c r="G819" i="5"/>
  <c r="F819" i="8" s="1"/>
  <c r="F688" i="5"/>
  <c r="E688" i="8" s="1"/>
  <c r="G688" i="5"/>
  <c r="F688" i="8" s="1"/>
  <c r="F905" i="5"/>
  <c r="E905" i="8" s="1"/>
  <c r="G905" i="5"/>
  <c r="F905" i="8" s="1"/>
  <c r="F544" i="5"/>
  <c r="E544" i="8" s="1"/>
  <c r="G544" i="5"/>
  <c r="F544" i="8" s="1"/>
  <c r="F738" i="5"/>
  <c r="E738" i="8" s="1"/>
  <c r="G738" i="5"/>
  <c r="F738" i="8" s="1"/>
  <c r="F767" i="5"/>
  <c r="E767" i="8" s="1"/>
  <c r="G767" i="5"/>
  <c r="F767" i="8" s="1"/>
  <c r="F930" i="5"/>
  <c r="E930" i="8" s="1"/>
  <c r="G930" i="5"/>
  <c r="F930" i="8" s="1"/>
  <c r="F975" i="5"/>
  <c r="E975" i="8" s="1"/>
  <c r="G975" i="5"/>
  <c r="F975" i="8" s="1"/>
  <c r="G853" i="5"/>
  <c r="F853" i="8" s="1"/>
  <c r="F853" i="5"/>
  <c r="E853" i="8" s="1"/>
  <c r="F524" i="5"/>
  <c r="E524" i="8" s="1"/>
  <c r="G524" i="5"/>
  <c r="F524" i="8" s="1"/>
  <c r="F332" i="5"/>
  <c r="E332" i="8" s="1"/>
  <c r="G332" i="5"/>
  <c r="F332" i="8" s="1"/>
  <c r="F680" i="5"/>
  <c r="E680" i="8" s="1"/>
  <c r="G680" i="5"/>
  <c r="F680" i="8" s="1"/>
  <c r="G683" i="5"/>
  <c r="F683" i="8" s="1"/>
  <c r="F683" i="5"/>
  <c r="E683" i="8" s="1"/>
  <c r="F830" i="5"/>
  <c r="E830" i="8" s="1"/>
  <c r="G830" i="5"/>
  <c r="F830" i="8" s="1"/>
  <c r="F897" i="5"/>
  <c r="E897" i="8" s="1"/>
  <c r="G897" i="5"/>
  <c r="F897" i="8" s="1"/>
  <c r="F641" i="5"/>
  <c r="E641" i="8" s="1"/>
  <c r="G641" i="5"/>
  <c r="F641" i="8" s="1"/>
  <c r="G369" i="5"/>
  <c r="F369" i="8" s="1"/>
  <c r="F369" i="5"/>
  <c r="E369" i="8" s="1"/>
  <c r="F161" i="5"/>
  <c r="E161" i="8" s="1"/>
  <c r="G161" i="5"/>
  <c r="F161" i="8" s="1"/>
  <c r="F740" i="5"/>
  <c r="E740" i="8" s="1"/>
  <c r="G740" i="5"/>
  <c r="F740" i="8" s="1"/>
  <c r="G727" i="5"/>
  <c r="F727" i="8" s="1"/>
  <c r="F727" i="5"/>
  <c r="E727" i="8" s="1"/>
  <c r="F874" i="5"/>
  <c r="E874" i="8" s="1"/>
  <c r="G874" i="5"/>
  <c r="F874" i="8" s="1"/>
  <c r="F1005" i="5"/>
  <c r="E1005" i="8" s="1"/>
  <c r="G1005" i="5"/>
  <c r="F1005" i="8" s="1"/>
  <c r="G669" i="5"/>
  <c r="F669" i="8" s="1"/>
  <c r="F669" i="5"/>
  <c r="E669" i="8" s="1"/>
  <c r="G381" i="5"/>
  <c r="F381" i="8" s="1"/>
  <c r="F381" i="5"/>
  <c r="E381" i="8" s="1"/>
  <c r="F205" i="5"/>
  <c r="E205" i="8" s="1"/>
  <c r="G205" i="5"/>
  <c r="F205" i="8" s="1"/>
  <c r="F948" i="5"/>
  <c r="E948" i="8" s="1"/>
  <c r="G948" i="5"/>
  <c r="F948" i="8" s="1"/>
  <c r="G726" i="5"/>
  <c r="F726" i="8" s="1"/>
  <c r="F726" i="5"/>
  <c r="E726" i="8" s="1"/>
  <c r="F579" i="5"/>
  <c r="E579" i="8" s="1"/>
  <c r="G579" i="5"/>
  <c r="F579" i="8" s="1"/>
  <c r="F304" i="5"/>
  <c r="E304" i="8" s="1"/>
  <c r="G304" i="5"/>
  <c r="F304" i="8" s="1"/>
  <c r="F128" i="5"/>
  <c r="E128" i="8" s="1"/>
  <c r="G128" i="5"/>
  <c r="F128" i="8" s="1"/>
  <c r="F79" i="5"/>
  <c r="E79" i="8" s="1"/>
  <c r="G79" i="5"/>
  <c r="F79" i="8" s="1"/>
  <c r="G486" i="5"/>
  <c r="F486" i="8" s="1"/>
  <c r="F486" i="5"/>
  <c r="E486" i="8" s="1"/>
  <c r="G246" i="5"/>
  <c r="F246" i="8" s="1"/>
  <c r="F607" i="5"/>
  <c r="E607" i="8" s="1"/>
  <c r="G607" i="5"/>
  <c r="F607" i="8" s="1"/>
  <c r="F415" i="5"/>
  <c r="E415" i="8" s="1"/>
  <c r="G415" i="5"/>
  <c r="F415" i="8" s="1"/>
  <c r="F188" i="5"/>
  <c r="E188" i="8" s="1"/>
  <c r="G188" i="5"/>
  <c r="F188" i="8" s="1"/>
  <c r="G1016" i="5"/>
  <c r="F1016" i="8" s="1"/>
  <c r="F1016" i="5"/>
  <c r="E1016" i="8" s="1"/>
  <c r="G594" i="5"/>
  <c r="F594" i="8" s="1"/>
  <c r="F594" i="5"/>
  <c r="E594" i="8" s="1"/>
  <c r="F402" i="5"/>
  <c r="E402" i="8" s="1"/>
  <c r="G402" i="5"/>
  <c r="F402" i="8" s="1"/>
  <c r="G194" i="5"/>
  <c r="F194" i="8" s="1"/>
  <c r="F194" i="5"/>
  <c r="E194" i="8" s="1"/>
  <c r="F24" i="5"/>
  <c r="E24" i="8" s="1"/>
  <c r="G24" i="5"/>
  <c r="F24" i="8" s="1"/>
  <c r="F519" i="5"/>
  <c r="E519" i="8" s="1"/>
  <c r="G519" i="5"/>
  <c r="F519" i="8" s="1"/>
  <c r="F327" i="5"/>
  <c r="E327" i="8" s="1"/>
  <c r="G327" i="5"/>
  <c r="F327" i="8" s="1"/>
  <c r="G71" i="5"/>
  <c r="F71" i="8" s="1"/>
  <c r="F71" i="5"/>
  <c r="E71" i="8" s="1"/>
  <c r="F467" i="5"/>
  <c r="E467" i="8" s="1"/>
  <c r="G467" i="5"/>
  <c r="F467" i="8" s="1"/>
  <c r="G243" i="5"/>
  <c r="F243" i="8" s="1"/>
  <c r="F243" i="5"/>
  <c r="E243" i="8" s="1"/>
  <c r="F38" i="5"/>
  <c r="E38" i="8" s="1"/>
  <c r="G38" i="5"/>
  <c r="F38" i="8" s="1"/>
  <c r="G206" i="5"/>
  <c r="F206" i="8" s="1"/>
  <c r="G123" i="5"/>
  <c r="F123" i="8" s="1"/>
  <c r="G478" i="5"/>
  <c r="F478" i="8" s="1"/>
  <c r="G308" i="5"/>
  <c r="F308" i="8" s="1"/>
  <c r="G68" i="5"/>
  <c r="F68" i="8" s="1"/>
  <c r="G468" i="5"/>
  <c r="F468" i="8" s="1"/>
  <c r="G410" i="5"/>
  <c r="F410" i="8" s="1"/>
  <c r="G46" i="5"/>
  <c r="F46" i="8" s="1"/>
  <c r="G116" i="5"/>
  <c r="F116" i="8" s="1"/>
  <c r="G20" i="5"/>
  <c r="F20" i="8" s="1"/>
  <c r="F787" i="5"/>
  <c r="E787" i="8" s="1"/>
  <c r="G787" i="5"/>
  <c r="F787" i="8" s="1"/>
  <c r="F996" i="5"/>
  <c r="E996" i="8" s="1"/>
  <c r="G996" i="5"/>
  <c r="F996" i="8" s="1"/>
  <c r="G889" i="5"/>
  <c r="F889" i="8" s="1"/>
  <c r="F889" i="5"/>
  <c r="E889" i="8" s="1"/>
  <c r="F528" i="5"/>
  <c r="E528" i="8" s="1"/>
  <c r="G528" i="5"/>
  <c r="F528" i="8" s="1"/>
  <c r="G690" i="5"/>
  <c r="F690" i="8" s="1"/>
  <c r="F690" i="5"/>
  <c r="E690" i="8" s="1"/>
  <c r="G751" i="5"/>
  <c r="F751" i="8" s="1"/>
  <c r="F751" i="5"/>
  <c r="E751" i="8" s="1"/>
  <c r="F914" i="5"/>
  <c r="E914" i="8" s="1"/>
  <c r="G914" i="5"/>
  <c r="F914" i="8" s="1"/>
  <c r="F943" i="5"/>
  <c r="E943" i="8" s="1"/>
  <c r="G943" i="5"/>
  <c r="F943" i="8" s="1"/>
  <c r="F821" i="5"/>
  <c r="E821" i="8" s="1"/>
  <c r="G821" i="5"/>
  <c r="F821" i="8" s="1"/>
  <c r="F508" i="5"/>
  <c r="E508" i="8" s="1"/>
  <c r="G508" i="5"/>
  <c r="F508" i="8" s="1"/>
  <c r="G316" i="5"/>
  <c r="F316" i="8" s="1"/>
  <c r="F923" i="5"/>
  <c r="E923" i="8" s="1"/>
  <c r="G923" i="5"/>
  <c r="F923" i="8" s="1"/>
  <c r="F667" i="5"/>
  <c r="E667" i="8" s="1"/>
  <c r="G667" i="5"/>
  <c r="F667" i="8" s="1"/>
  <c r="F814" i="5"/>
  <c r="E814" i="8" s="1"/>
  <c r="G814" i="5"/>
  <c r="F814" i="8" s="1"/>
  <c r="G849" i="5"/>
  <c r="F849" i="8" s="1"/>
  <c r="F849" i="5"/>
  <c r="E849" i="8" s="1"/>
  <c r="F625" i="5"/>
  <c r="E625" i="8" s="1"/>
  <c r="G625" i="5"/>
  <c r="F625" i="8" s="1"/>
  <c r="G353" i="5"/>
  <c r="F353" i="8" s="1"/>
  <c r="F353" i="5"/>
  <c r="E353" i="8" s="1"/>
  <c r="F145" i="5"/>
  <c r="E145" i="8" s="1"/>
  <c r="G145" i="5"/>
  <c r="F145" i="8" s="1"/>
  <c r="G708" i="5"/>
  <c r="F708" i="8" s="1"/>
  <c r="F708" i="5"/>
  <c r="E708" i="8" s="1"/>
  <c r="F711" i="5"/>
  <c r="E711" i="8" s="1"/>
  <c r="G711" i="5"/>
  <c r="F711" i="8" s="1"/>
  <c r="G858" i="5"/>
  <c r="F858" i="8" s="1"/>
  <c r="F858" i="5"/>
  <c r="F957" i="5"/>
  <c r="E957" i="8" s="1"/>
  <c r="G957" i="5"/>
  <c r="F957" i="8" s="1"/>
  <c r="F637" i="5"/>
  <c r="E637" i="8" s="1"/>
  <c r="G637" i="5"/>
  <c r="F637" i="8" s="1"/>
  <c r="G365" i="5"/>
  <c r="F365" i="8" s="1"/>
  <c r="F365" i="5"/>
  <c r="E365" i="8" s="1"/>
  <c r="G189" i="5"/>
  <c r="F189" i="8" s="1"/>
  <c r="F189" i="5"/>
  <c r="E189" i="8" s="1"/>
  <c r="F932" i="5"/>
  <c r="E932" i="8" s="1"/>
  <c r="G932" i="5"/>
  <c r="F932" i="8" s="1"/>
  <c r="G678" i="5"/>
  <c r="F678" i="8" s="1"/>
  <c r="F678" i="5"/>
  <c r="E678" i="8" s="1"/>
  <c r="G563" i="5"/>
  <c r="F563" i="8" s="1"/>
  <c r="F563" i="5"/>
  <c r="E563" i="8" s="1"/>
  <c r="G288" i="5"/>
  <c r="F288" i="8" s="1"/>
  <c r="F288" i="5"/>
  <c r="E288" i="8" s="1"/>
  <c r="G112" i="5"/>
  <c r="F112" i="8" s="1"/>
  <c r="F112" i="5"/>
  <c r="E112" i="8" s="1"/>
  <c r="F662" i="5"/>
  <c r="E662" i="8" s="1"/>
  <c r="G662" i="5"/>
  <c r="F662" i="8" s="1"/>
  <c r="F470" i="5"/>
  <c r="E470" i="8" s="1"/>
  <c r="G470" i="5"/>
  <c r="F470" i="8" s="1"/>
  <c r="F246" i="5"/>
  <c r="E246" i="8" s="1"/>
  <c r="F591" i="5"/>
  <c r="E591" i="8" s="1"/>
  <c r="G591" i="5"/>
  <c r="F591" i="8" s="1"/>
  <c r="F399" i="5"/>
  <c r="E399" i="8" s="1"/>
  <c r="G399" i="5"/>
  <c r="F399" i="8" s="1"/>
  <c r="F172" i="5"/>
  <c r="E172" i="8" s="1"/>
  <c r="G172" i="5"/>
  <c r="F172" i="8" s="1"/>
  <c r="G587" i="5"/>
  <c r="F587" i="8" s="1"/>
  <c r="F587" i="5"/>
  <c r="E587" i="8" s="1"/>
  <c r="F578" i="5"/>
  <c r="E578" i="8" s="1"/>
  <c r="G578" i="5"/>
  <c r="F578" i="8" s="1"/>
  <c r="G370" i="5"/>
  <c r="F370" i="8" s="1"/>
  <c r="F370" i="5"/>
  <c r="E370" i="8" s="1"/>
  <c r="F178" i="5"/>
  <c r="E178" i="8" s="1"/>
  <c r="G178" i="5"/>
  <c r="F178" i="8" s="1"/>
  <c r="F7" i="5"/>
  <c r="E7" i="8" s="1"/>
  <c r="G7" i="5"/>
  <c r="F7" i="8" s="1"/>
  <c r="F503" i="5"/>
  <c r="E503" i="8" s="1"/>
  <c r="G503" i="5"/>
  <c r="F503" i="8" s="1"/>
  <c r="F311" i="5"/>
  <c r="E311" i="8" s="1"/>
  <c r="G311" i="5"/>
  <c r="F311" i="8" s="1"/>
  <c r="G45" i="5"/>
  <c r="F45" i="8" s="1"/>
  <c r="F45" i="5"/>
  <c r="E45" i="8" s="1"/>
  <c r="G451" i="5"/>
  <c r="F451" i="8" s="1"/>
  <c r="F451" i="5"/>
  <c r="E451" i="8" s="1"/>
  <c r="F227" i="5"/>
  <c r="E227" i="8" s="1"/>
  <c r="G227" i="5"/>
  <c r="F227" i="8" s="1"/>
  <c r="F22" i="5"/>
  <c r="E22" i="8" s="1"/>
  <c r="G22" i="5"/>
  <c r="F22" i="8" s="1"/>
  <c r="G334" i="5"/>
  <c r="F334" i="8" s="1"/>
  <c r="G75" i="5"/>
  <c r="F75" i="8" s="1"/>
  <c r="G574" i="5"/>
  <c r="F574" i="8" s="1"/>
  <c r="G382" i="5"/>
  <c r="F382" i="8" s="1"/>
  <c r="G772" i="5"/>
  <c r="F772" i="8" s="1"/>
  <c r="G925" i="5"/>
  <c r="F925" i="8" s="1"/>
  <c r="G420" i="5"/>
  <c r="F420" i="8" s="1"/>
  <c r="G154" i="5"/>
  <c r="F154" i="8" s="1"/>
  <c r="G196" i="5"/>
  <c r="F196" i="8" s="1"/>
  <c r="G618" i="5"/>
  <c r="F618" i="8" s="1"/>
  <c r="G554" i="5"/>
  <c r="F554" i="8" s="1"/>
  <c r="G158" i="5"/>
  <c r="F158" i="8" s="1"/>
  <c r="G596" i="5"/>
  <c r="F596" i="8" s="1"/>
  <c r="G644" i="5"/>
  <c r="F644" i="8" s="1"/>
  <c r="G378" i="5"/>
  <c r="F378" i="8" s="1"/>
  <c r="G394" i="5"/>
  <c r="F394" i="8" s="1"/>
  <c r="F771" i="5"/>
  <c r="E771" i="8" s="1"/>
  <c r="G771" i="5"/>
  <c r="F771" i="8" s="1"/>
  <c r="F1011" i="5"/>
  <c r="E1011" i="8" s="1"/>
  <c r="G1011" i="5"/>
  <c r="F1011" i="8" s="1"/>
  <c r="F857" i="5"/>
  <c r="E857" i="8" s="1"/>
  <c r="G857" i="5"/>
  <c r="F857" i="8" s="1"/>
  <c r="F512" i="5"/>
  <c r="E512" i="8" s="1"/>
  <c r="G512" i="5"/>
  <c r="F512" i="8" s="1"/>
  <c r="F597" i="5"/>
  <c r="E597" i="8" s="1"/>
  <c r="G597" i="5"/>
  <c r="F597" i="8" s="1"/>
  <c r="F735" i="5"/>
  <c r="E735" i="8" s="1"/>
  <c r="G735" i="5"/>
  <c r="F735" i="8" s="1"/>
  <c r="F898" i="5"/>
  <c r="E898" i="8" s="1"/>
  <c r="G898" i="5"/>
  <c r="F898" i="8" s="1"/>
  <c r="F927" i="5"/>
  <c r="E927" i="8" s="1"/>
  <c r="G927" i="5"/>
  <c r="F927" i="8" s="1"/>
  <c r="F805" i="5"/>
  <c r="E805" i="8" s="1"/>
  <c r="G805" i="5"/>
  <c r="F805" i="8" s="1"/>
  <c r="G492" i="5"/>
  <c r="F492" i="8" s="1"/>
  <c r="F492" i="5"/>
  <c r="E492" i="8" s="1"/>
  <c r="F875" i="5"/>
  <c r="E875" i="8" s="1"/>
  <c r="G875" i="5"/>
  <c r="F875" i="8" s="1"/>
  <c r="F651" i="5"/>
  <c r="E651" i="8" s="1"/>
  <c r="G651" i="5"/>
  <c r="F651" i="8" s="1"/>
  <c r="F798" i="5"/>
  <c r="E798" i="8" s="1"/>
  <c r="G798" i="5"/>
  <c r="F798" i="8" s="1"/>
  <c r="G801" i="5"/>
  <c r="F801" i="8" s="1"/>
  <c r="F801" i="5"/>
  <c r="E801" i="8" s="1"/>
  <c r="F593" i="5"/>
  <c r="E593" i="8" s="1"/>
  <c r="G593" i="5"/>
  <c r="F593" i="8" s="1"/>
  <c r="G337" i="5"/>
  <c r="F337" i="8" s="1"/>
  <c r="F337" i="5"/>
  <c r="E337" i="8" s="1"/>
  <c r="F129" i="5"/>
  <c r="E129" i="8" s="1"/>
  <c r="G129" i="5"/>
  <c r="F129" i="8" s="1"/>
  <c r="F692" i="5"/>
  <c r="E692" i="8" s="1"/>
  <c r="G692" i="5"/>
  <c r="F692" i="8" s="1"/>
  <c r="G695" i="5"/>
  <c r="F695" i="8" s="1"/>
  <c r="F695" i="5"/>
  <c r="E695" i="8" s="1"/>
  <c r="F842" i="5"/>
  <c r="E842" i="8" s="1"/>
  <c r="G842" i="5"/>
  <c r="F842" i="8" s="1"/>
  <c r="F909" i="5"/>
  <c r="E909" i="8" s="1"/>
  <c r="G909" i="5"/>
  <c r="F909" i="8" s="1"/>
  <c r="F605" i="5"/>
  <c r="E605" i="8" s="1"/>
  <c r="G605" i="5"/>
  <c r="F605" i="8" s="1"/>
  <c r="F349" i="5"/>
  <c r="E349" i="8" s="1"/>
  <c r="G349" i="5"/>
  <c r="F349" i="8" s="1"/>
  <c r="G173" i="5"/>
  <c r="F173" i="8" s="1"/>
  <c r="F173" i="5"/>
  <c r="E173" i="8" s="1"/>
  <c r="F916" i="5"/>
  <c r="E916" i="8" s="1"/>
  <c r="G916" i="5"/>
  <c r="F916" i="8" s="1"/>
  <c r="F998" i="5"/>
  <c r="E998" i="8" s="1"/>
  <c r="G998" i="5"/>
  <c r="F998" i="8" s="1"/>
  <c r="F547" i="5"/>
  <c r="E547" i="8" s="1"/>
  <c r="G547" i="5"/>
  <c r="F547" i="8" s="1"/>
  <c r="F272" i="5"/>
  <c r="E272" i="8" s="1"/>
  <c r="G272" i="5"/>
  <c r="F272" i="8" s="1"/>
  <c r="G96" i="5"/>
  <c r="F96" i="8" s="1"/>
  <c r="F96" i="5"/>
  <c r="E96" i="8" s="1"/>
  <c r="F646" i="5"/>
  <c r="E646" i="8" s="1"/>
  <c r="G646" i="5"/>
  <c r="F646" i="8" s="1"/>
  <c r="F454" i="5"/>
  <c r="E454" i="8" s="1"/>
  <c r="G454" i="5"/>
  <c r="F454" i="8" s="1"/>
  <c r="G230" i="5"/>
  <c r="F230" i="8" s="1"/>
  <c r="F230" i="5"/>
  <c r="E230" i="8" s="1"/>
  <c r="F575" i="5"/>
  <c r="E575" i="8" s="1"/>
  <c r="G575" i="5"/>
  <c r="F575" i="8" s="1"/>
  <c r="F383" i="5"/>
  <c r="E383" i="8" s="1"/>
  <c r="G383" i="5"/>
  <c r="F383" i="8" s="1"/>
  <c r="G156" i="5"/>
  <c r="F156" i="8" s="1"/>
  <c r="F235" i="5"/>
  <c r="E235" i="8" s="1"/>
  <c r="G235" i="5"/>
  <c r="F235" i="8" s="1"/>
  <c r="F562" i="5"/>
  <c r="E562" i="8" s="1"/>
  <c r="G562" i="5"/>
  <c r="F562" i="8" s="1"/>
  <c r="F354" i="5"/>
  <c r="E354" i="8" s="1"/>
  <c r="G354" i="5"/>
  <c r="F354" i="8" s="1"/>
  <c r="F162" i="5"/>
  <c r="E162" i="8" s="1"/>
  <c r="G162" i="5"/>
  <c r="F162" i="8" s="1"/>
  <c r="F654" i="5"/>
  <c r="E654" i="8" s="1"/>
  <c r="G654" i="5"/>
  <c r="F654" i="8" s="1"/>
  <c r="F487" i="5"/>
  <c r="E487" i="8" s="1"/>
  <c r="G487" i="5"/>
  <c r="F487" i="8" s="1"/>
  <c r="F295" i="5"/>
  <c r="E295" i="8" s="1"/>
  <c r="G295" i="5"/>
  <c r="F295" i="8" s="1"/>
  <c r="G29" i="5"/>
  <c r="F29" i="8" s="1"/>
  <c r="F29" i="5"/>
  <c r="E29" i="8" s="1"/>
  <c r="F435" i="5"/>
  <c r="E435" i="8" s="1"/>
  <c r="G435" i="5"/>
  <c r="F435" i="8" s="1"/>
  <c r="F195" i="5"/>
  <c r="E195" i="8" s="1"/>
  <c r="G195" i="5"/>
  <c r="F195" i="8" s="1"/>
  <c r="G151" i="5"/>
  <c r="F151" i="8" s="1"/>
  <c r="G1018" i="5"/>
  <c r="F1018" i="8" s="1"/>
  <c r="G164" i="5"/>
  <c r="F164" i="8" s="1"/>
  <c r="G611" i="5"/>
  <c r="F611" i="8" s="1"/>
  <c r="G35" i="5"/>
  <c r="F35" i="8" s="1"/>
  <c r="G634" i="5"/>
  <c r="F634" i="8" s="1"/>
  <c r="G142" i="5"/>
  <c r="F142" i="8" s="1"/>
  <c r="G564" i="5"/>
  <c r="F564" i="8" s="1"/>
  <c r="G259" i="5"/>
  <c r="F259" i="8" s="1"/>
  <c r="G580" i="5"/>
  <c r="F580" i="8" s="1"/>
  <c r="G202" i="5"/>
  <c r="F202" i="8" s="1"/>
  <c r="G26" i="5"/>
  <c r="F26" i="8" s="1"/>
  <c r="G755" i="5"/>
  <c r="F755" i="8" s="1"/>
  <c r="F755" i="5"/>
  <c r="E755" i="8" s="1"/>
  <c r="F979" i="5"/>
  <c r="E979" i="8" s="1"/>
  <c r="G979" i="5"/>
  <c r="F979" i="8" s="1"/>
  <c r="F841" i="5"/>
  <c r="E841" i="8" s="1"/>
  <c r="G841" i="5"/>
  <c r="F841" i="8" s="1"/>
  <c r="F496" i="5"/>
  <c r="E496" i="8" s="1"/>
  <c r="G496" i="5"/>
  <c r="F496" i="8" s="1"/>
  <c r="F549" i="5"/>
  <c r="E549" i="8" s="1"/>
  <c r="G549" i="5"/>
  <c r="F549" i="8" s="1"/>
  <c r="G719" i="5"/>
  <c r="F719" i="8" s="1"/>
  <c r="F719" i="5"/>
  <c r="E719" i="8" s="1"/>
  <c r="F882" i="5"/>
  <c r="E882" i="8" s="1"/>
  <c r="G882" i="5"/>
  <c r="F882" i="8" s="1"/>
  <c r="F895" i="5"/>
  <c r="E895" i="8" s="1"/>
  <c r="G895" i="5"/>
  <c r="F895" i="8" s="1"/>
  <c r="F1021" i="5"/>
  <c r="E1021" i="8" s="1"/>
  <c r="G1021" i="5"/>
  <c r="F1021" i="8" s="1"/>
  <c r="F476" i="5"/>
  <c r="E476" i="8" s="1"/>
  <c r="G476" i="5"/>
  <c r="F476" i="8" s="1"/>
  <c r="F300" i="5"/>
  <c r="E300" i="8" s="1"/>
  <c r="G300" i="5"/>
  <c r="F300" i="8" s="1"/>
  <c r="F859" i="5"/>
  <c r="E859" i="8" s="1"/>
  <c r="G859" i="5"/>
  <c r="F859" i="8" s="1"/>
  <c r="F619" i="5"/>
  <c r="E619" i="8" s="1"/>
  <c r="G619" i="5"/>
  <c r="F619" i="8" s="1"/>
  <c r="G782" i="5"/>
  <c r="F782" i="8" s="1"/>
  <c r="F782" i="5"/>
  <c r="E782" i="8" s="1"/>
  <c r="F785" i="5"/>
  <c r="E785" i="8" s="1"/>
  <c r="G785" i="5"/>
  <c r="F785" i="8" s="1"/>
  <c r="F577" i="5"/>
  <c r="E577" i="8" s="1"/>
  <c r="G577" i="5"/>
  <c r="F577" i="8" s="1"/>
  <c r="F321" i="5"/>
  <c r="E321" i="8" s="1"/>
  <c r="G321" i="5"/>
  <c r="F321" i="8" s="1"/>
  <c r="G113" i="5"/>
  <c r="F113" i="8" s="1"/>
  <c r="F113" i="5"/>
  <c r="E113" i="8" s="1"/>
  <c r="G983" i="5"/>
  <c r="F983" i="8" s="1"/>
  <c r="F983" i="5"/>
  <c r="E983" i="8" s="1"/>
  <c r="G679" i="5"/>
  <c r="F679" i="8" s="1"/>
  <c r="F679" i="5"/>
  <c r="E679" i="8" s="1"/>
  <c r="F826" i="5"/>
  <c r="E826" i="8" s="1"/>
  <c r="G826" i="5"/>
  <c r="F826" i="8" s="1"/>
  <c r="G861" i="5"/>
  <c r="F861" i="8" s="1"/>
  <c r="F861" i="5"/>
  <c r="E861" i="8" s="1"/>
  <c r="G589" i="5"/>
  <c r="F589" i="8" s="1"/>
  <c r="F589" i="5"/>
  <c r="E589" i="8" s="1"/>
  <c r="F333" i="5"/>
  <c r="E333" i="8" s="1"/>
  <c r="G333" i="5"/>
  <c r="F333" i="8" s="1"/>
  <c r="F157" i="5"/>
  <c r="E157" i="8" s="1"/>
  <c r="G157" i="5"/>
  <c r="F157" i="8" s="1"/>
  <c r="F900" i="5"/>
  <c r="E900" i="8" s="1"/>
  <c r="G900" i="5"/>
  <c r="F900" i="8" s="1"/>
  <c r="F777" i="5"/>
  <c r="E777" i="8" s="1"/>
  <c r="G777" i="5"/>
  <c r="F777" i="8" s="1"/>
  <c r="F531" i="5"/>
  <c r="E531" i="8" s="1"/>
  <c r="G531" i="5"/>
  <c r="F531" i="8" s="1"/>
  <c r="F256" i="5"/>
  <c r="E256" i="8" s="1"/>
  <c r="G256" i="5"/>
  <c r="F256" i="8" s="1"/>
  <c r="F80" i="5"/>
  <c r="E80" i="8" s="1"/>
  <c r="G80" i="5"/>
  <c r="F80" i="8" s="1"/>
  <c r="F630" i="5"/>
  <c r="E630" i="8" s="1"/>
  <c r="G630" i="5"/>
  <c r="F630" i="8" s="1"/>
  <c r="G438" i="5"/>
  <c r="F438" i="8" s="1"/>
  <c r="F438" i="5"/>
  <c r="E438" i="8" s="1"/>
  <c r="F214" i="5"/>
  <c r="E214" i="8" s="1"/>
  <c r="G214" i="5"/>
  <c r="F214" i="8" s="1"/>
  <c r="F559" i="5"/>
  <c r="E559" i="8" s="1"/>
  <c r="G559" i="5"/>
  <c r="F559" i="8" s="1"/>
  <c r="G367" i="5"/>
  <c r="F367" i="8" s="1"/>
  <c r="F367" i="5"/>
  <c r="E367" i="8" s="1"/>
  <c r="F156" i="5"/>
  <c r="E156" i="8" s="1"/>
  <c r="F187" i="5"/>
  <c r="E187" i="8" s="1"/>
  <c r="G187" i="5"/>
  <c r="F187" i="8" s="1"/>
  <c r="F546" i="5"/>
  <c r="E546" i="8" s="1"/>
  <c r="G546" i="5"/>
  <c r="F546" i="8" s="1"/>
  <c r="G322" i="5"/>
  <c r="F322" i="8" s="1"/>
  <c r="G146" i="5"/>
  <c r="F146" i="8" s="1"/>
  <c r="F146" i="5"/>
  <c r="E146" i="8" s="1"/>
  <c r="G350" i="5"/>
  <c r="F350" i="8" s="1"/>
  <c r="F350" i="5"/>
  <c r="E350" i="8" s="1"/>
  <c r="F471" i="5"/>
  <c r="E471" i="8" s="1"/>
  <c r="G471" i="5"/>
  <c r="F471" i="8" s="1"/>
  <c r="G279" i="5"/>
  <c r="F279" i="8" s="1"/>
  <c r="F279" i="5"/>
  <c r="E279" i="8" s="1"/>
  <c r="F13" i="5"/>
  <c r="E13" i="8" s="1"/>
  <c r="G13" i="5"/>
  <c r="F13" i="8" s="1"/>
  <c r="F419" i="5"/>
  <c r="E419" i="8" s="1"/>
  <c r="G419" i="5"/>
  <c r="F419" i="8" s="1"/>
  <c r="G179" i="5"/>
  <c r="F179" i="8" s="1"/>
  <c r="F179" i="5"/>
  <c r="E179" i="8" s="1"/>
  <c r="G373" i="5"/>
  <c r="F373" i="8" s="1"/>
  <c r="G366" i="5"/>
  <c r="F366" i="8" s="1"/>
  <c r="G1012" i="5"/>
  <c r="F1012" i="8" s="1"/>
  <c r="G372" i="5"/>
  <c r="F372" i="8" s="1"/>
  <c r="G356" i="5"/>
  <c r="F356" i="8" s="1"/>
  <c r="G628" i="5"/>
  <c r="F628" i="8" s="1"/>
  <c r="G442" i="5"/>
  <c r="F442" i="8" s="1"/>
  <c r="G30" i="5"/>
  <c r="F30" i="8" s="1"/>
  <c r="G36" i="5"/>
  <c r="F36" i="8" s="1"/>
  <c r="M660" i="8" a="1"/>
  <c r="M660" i="8" s="1"/>
  <c r="M890" i="8" a="1"/>
  <c r="M890" i="8" s="1"/>
  <c r="M384" i="8" a="1"/>
  <c r="M384" i="8" s="1"/>
  <c r="M851" i="8" a="1"/>
  <c r="M851" i="8" s="1"/>
  <c r="M711" i="8" a="1"/>
  <c r="M711" i="8" s="1"/>
  <c r="M361" i="8" a="1"/>
  <c r="M361" i="8" s="1"/>
  <c r="M718" i="8" a="1"/>
  <c r="M718" i="8" s="1"/>
  <c r="M713" i="8" a="1"/>
  <c r="M713" i="8" s="1"/>
  <c r="M717" i="8" a="1"/>
  <c r="M717" i="8" s="1"/>
  <c r="M777" i="8" a="1"/>
  <c r="M777" i="8" s="1"/>
  <c r="M715" i="8" a="1"/>
  <c r="M715" i="8" s="1"/>
  <c r="M956" i="8" a="1"/>
  <c r="M956" i="8" s="1"/>
  <c r="M987" i="8" a="1"/>
  <c r="M987" i="8" s="1"/>
  <c r="M996" i="8" a="1"/>
  <c r="M996" i="8" s="1"/>
  <c r="M313" i="8" a="1"/>
  <c r="M313" i="8" s="1"/>
  <c r="M779" i="8" a="1"/>
  <c r="M779" i="8" s="1"/>
  <c r="M694" i="8" a="1"/>
  <c r="M694" i="8" s="1"/>
  <c r="M775" i="8" a="1"/>
  <c r="M775" i="8" s="1"/>
  <c r="M561" i="8" a="1"/>
  <c r="M561" i="8" s="1"/>
  <c r="M385" i="8" a="1"/>
  <c r="M385" i="8" s="1"/>
  <c r="M424" i="8" a="1"/>
  <c r="M424" i="8" s="1"/>
  <c r="M764" i="8" a="1"/>
  <c r="M764" i="8" s="1"/>
  <c r="M1015" i="8" a="1"/>
  <c r="M1015" i="8" s="1"/>
  <c r="M778" i="8" a="1"/>
  <c r="M778" i="8" s="1"/>
  <c r="M519" i="8" a="1"/>
  <c r="M519" i="8" s="1"/>
  <c r="M518" i="8" a="1"/>
  <c r="M518" i="8" s="1"/>
  <c r="M885" i="8" a="1"/>
  <c r="M885" i="8" s="1"/>
  <c r="M556" i="8" a="1"/>
  <c r="M556" i="8" s="1"/>
  <c r="M477" i="8" a="1"/>
  <c r="M477" i="8" s="1"/>
  <c r="M632" i="8" a="1"/>
  <c r="M632" i="8" s="1"/>
  <c r="M413" i="8" a="1"/>
  <c r="M413" i="8" s="1"/>
  <c r="M500" i="8" a="1"/>
  <c r="M500" i="8" s="1"/>
  <c r="M403" i="8" a="1"/>
  <c r="M403" i="8" s="1"/>
  <c r="M620" i="8" a="1"/>
  <c r="M620" i="8" s="1"/>
  <c r="M450" i="8" a="1"/>
  <c r="M450" i="8" s="1"/>
  <c r="M723" i="8" a="1"/>
  <c r="M723" i="8" s="1"/>
  <c r="M719" i="8" a="1"/>
  <c r="M719" i="8" s="1"/>
  <c r="M869" i="8" a="1"/>
  <c r="M869" i="8" s="1"/>
  <c r="M636" i="8" a="1"/>
  <c r="M636" i="8" s="1"/>
  <c r="M1012" i="8" a="1"/>
  <c r="M1012" i="8" s="1"/>
  <c r="M671" i="8" a="1"/>
  <c r="M671" i="8" s="1"/>
  <c r="M822" i="8" a="1"/>
  <c r="M822" i="8" s="1"/>
  <c r="M725" i="8" a="1"/>
  <c r="M725" i="8" s="1"/>
  <c r="M503" i="8" a="1"/>
  <c r="M503" i="8" s="1"/>
  <c r="M627" i="8" a="1"/>
  <c r="M627" i="8" s="1"/>
  <c r="M774" i="8" a="1"/>
  <c r="M774" i="8" s="1"/>
  <c r="M924" i="8" a="1"/>
  <c r="M924" i="8" s="1"/>
  <c r="M909" i="8" a="1"/>
  <c r="M909" i="8" s="1"/>
  <c r="M838" i="8" a="1"/>
  <c r="M838" i="8" s="1"/>
  <c r="M1018" i="8" a="1"/>
  <c r="M1018" i="8" s="1"/>
  <c r="E23" i="8"/>
  <c r="E26" i="8"/>
  <c r="E32" i="8"/>
  <c r="E43" i="8"/>
  <c r="E14" i="8"/>
  <c r="E5" i="8"/>
  <c r="E16" i="8"/>
  <c r="E4" i="8"/>
  <c r="E15" i="8"/>
  <c r="E9" i="8"/>
  <c r="E6" i="8"/>
  <c r="K609" i="8" a="1"/>
  <c r="K513" i="8" a="1"/>
  <c r="K600" i="8" a="1"/>
  <c r="K158" i="8" a="1"/>
  <c r="K663" i="8" a="1"/>
  <c r="K13" i="8" a="1"/>
  <c r="K52" i="8" a="1"/>
  <c r="K403" i="8" a="1"/>
  <c r="K601" i="8" a="1"/>
  <c r="K608" i="8" a="1"/>
  <c r="K134" i="8" a="1"/>
  <c r="H683" i="8" a="1"/>
  <c r="H33" i="8" a="1"/>
  <c r="H120" i="8" a="1"/>
  <c r="H503" i="8" a="1"/>
  <c r="H685" i="8" a="1"/>
  <c r="H829" i="8" a="1"/>
  <c r="H266" i="8" a="1"/>
  <c r="H771" i="8" a="1"/>
  <c r="H121" i="8" a="1"/>
  <c r="H128" i="8" a="1"/>
  <c r="H495" i="8" a="1"/>
  <c r="H858" i="8" a="1"/>
  <c r="K977" i="8" a="1"/>
  <c r="K430" i="8" a="1"/>
  <c r="K103" i="8" a="1"/>
  <c r="K285" i="8" a="1"/>
  <c r="K324" i="8" a="1"/>
  <c r="K836" i="8" a="1"/>
  <c r="K726" i="8" a="1"/>
  <c r="K985" i="8" a="1"/>
  <c r="K406" i="8" a="1"/>
  <c r="K95" i="8" a="1"/>
  <c r="H305" i="8" a="1"/>
  <c r="H392" i="8" a="1"/>
  <c r="H936" i="8" a="1"/>
  <c r="H810" i="8" a="1"/>
  <c r="H967" i="8" a="1"/>
  <c r="H538" i="8" a="1"/>
  <c r="H195" i="8" a="1"/>
  <c r="H393" i="8" a="1"/>
  <c r="H400" i="8" a="1"/>
  <c r="H928" i="8" a="1"/>
  <c r="K814" i="8" a="1"/>
  <c r="K1003" i="8" a="1"/>
  <c r="K606" i="8" a="1"/>
  <c r="K279" i="8" a="1"/>
  <c r="K461" i="8" a="1"/>
  <c r="K500" i="8" a="1"/>
  <c r="K42" i="8" a="1"/>
  <c r="K918" i="8" a="1"/>
  <c r="K996" i="8" a="1"/>
  <c r="H843" i="8" a="1"/>
  <c r="H193" i="8" a="1"/>
  <c r="H280" i="8" a="1"/>
  <c r="H824" i="8" a="1"/>
  <c r="H698" i="8" a="1"/>
  <c r="K910" i="8" a="1"/>
  <c r="K728" i="8" a="1"/>
  <c r="K7" i="8" a="1"/>
  <c r="K359" i="8" a="1"/>
  <c r="K541" i="8" a="1"/>
  <c r="K580" i="8" a="1"/>
  <c r="K122" i="8" a="1"/>
  <c r="K627" i="8" a="1"/>
  <c r="K752" i="8" a="1"/>
  <c r="K662" i="8" a="1"/>
  <c r="K351" i="8" a="1"/>
  <c r="H465" i="8" a="1"/>
  <c r="H552" i="8" a="1"/>
  <c r="H110" i="8" a="1"/>
  <c r="H615" i="8" a="1"/>
  <c r="H772" i="8" a="1"/>
  <c r="H35" i="8" a="1"/>
  <c r="K737" i="8" a="1"/>
  <c r="K929" i="8" a="1"/>
  <c r="K382" i="8" a="1"/>
  <c r="K55" i="8" a="1"/>
  <c r="K237" i="8" a="1"/>
  <c r="K276" i="8" a="1"/>
  <c r="K998" i="8" a="1"/>
  <c r="K678" i="8" a="1"/>
  <c r="K937" i="8" a="1"/>
  <c r="K358" i="8" a="1"/>
  <c r="K47" i="8" a="1"/>
  <c r="H257" i="8" a="1"/>
  <c r="H344" i="8" a="1"/>
  <c r="H888" i="8" a="1"/>
  <c r="H762" i="8" a="1"/>
  <c r="H919" i="8" a="1"/>
  <c r="H490" i="8" a="1"/>
  <c r="H147" i="8" a="1"/>
  <c r="H345" i="8" a="1"/>
  <c r="H352" i="8" a="1"/>
  <c r="H880" i="8" a="1"/>
  <c r="K766" i="8" a="1"/>
  <c r="K955" i="8" a="1"/>
  <c r="K558" i="8" a="1"/>
  <c r="K231" i="8" a="1"/>
  <c r="K413" i="8" a="1"/>
  <c r="K452" i="8" a="1"/>
  <c r="K964" i="8" a="1"/>
  <c r="K854" i="8" a="1"/>
  <c r="K979" i="8" a="1"/>
  <c r="K534" i="8" a="1"/>
  <c r="K223" i="8" a="1"/>
  <c r="H433" i="8" a="1"/>
  <c r="H520" i="8" a="1"/>
  <c r="H78" i="8" a="1"/>
  <c r="H954" i="8" a="1"/>
  <c r="H740" i="8" a="1"/>
  <c r="H1023" i="8" a="1"/>
  <c r="H323" i="8" a="1"/>
  <c r="H521" i="8" a="1"/>
  <c r="H528" i="8" a="1"/>
  <c r="H54" i="8" a="1"/>
  <c r="H820" i="8" a="1"/>
  <c r="K655" i="8" a="1"/>
  <c r="K28" i="8" a="1"/>
  <c r="K108" i="8" a="1"/>
  <c r="K443" i="8" a="1"/>
  <c r="H692" i="8" a="1"/>
  <c r="H847" i="8" a="1"/>
  <c r="H197" i="8" a="1"/>
  <c r="H300" i="8" a="1"/>
  <c r="H796" i="8" a="1"/>
  <c r="H951" i="8" a="1"/>
  <c r="K417" i="8" a="1"/>
  <c r="K504" i="8" a="1"/>
  <c r="K62" i="8" a="1"/>
  <c r="K938" i="8" a="1"/>
  <c r="K724" i="8" a="1"/>
  <c r="K650" i="8" a="1"/>
  <c r="K307" i="8" a="1"/>
  <c r="K505" i="8" a="1"/>
  <c r="K512" i="8" a="1"/>
  <c r="K38" i="8" a="1"/>
  <c r="H958" i="8" a="1"/>
  <c r="H776" i="8" a="1"/>
  <c r="H8" i="8" a="1"/>
  <c r="H407" i="8" a="1"/>
  <c r="H589" i="8" a="1"/>
  <c r="H628" i="8" a="1"/>
  <c r="H170" i="8" a="1"/>
  <c r="H675" i="8" a="1"/>
  <c r="H25" i="8" a="1"/>
  <c r="H1020" i="8" a="1"/>
  <c r="H399" i="8" a="1"/>
  <c r="K689" i="8" a="1"/>
  <c r="K881" i="8" a="1"/>
  <c r="K334" i="8" a="1"/>
  <c r="K839" i="8" a="1"/>
  <c r="K189" i="8" a="1"/>
  <c r="K228" i="8" a="1"/>
  <c r="K579" i="8" a="1"/>
  <c r="K777" i="8" a="1"/>
  <c r="K889" i="8" a="1"/>
  <c r="K310" i="8" a="1"/>
  <c r="H859" i="8" a="1"/>
  <c r="H209" i="8" a="1"/>
  <c r="H296" i="8" a="1"/>
  <c r="H840" i="8" a="1"/>
  <c r="H714" i="8" a="1"/>
  <c r="H1005" i="8" a="1"/>
  <c r="H442" i="8" a="1"/>
  <c r="H99" i="8" a="1"/>
  <c r="H297" i="8" a="1"/>
  <c r="H304" i="8" a="1"/>
  <c r="H832" i="8" a="1"/>
  <c r="K718" i="8" a="1"/>
  <c r="K907" i="8" a="1"/>
  <c r="K510" i="8" a="1"/>
  <c r="K183" i="8" a="1"/>
  <c r="K365" i="8" a="1"/>
  <c r="K404" i="8" a="1"/>
  <c r="K916" i="8" a="1"/>
  <c r="K806" i="8" a="1"/>
  <c r="K931" i="8" a="1"/>
  <c r="H747" i="8" a="1"/>
  <c r="H97" i="8" a="1"/>
  <c r="H184" i="8" a="1"/>
  <c r="H567" i="8" a="1"/>
  <c r="H749" i="8" a="1"/>
  <c r="K798" i="8" a="1"/>
  <c r="K987" i="8" a="1"/>
  <c r="K590" i="8" a="1"/>
  <c r="K263" i="8" a="1"/>
  <c r="K445" i="8" a="1"/>
  <c r="K484" i="8" a="1"/>
  <c r="H23" i="8" a="1"/>
  <c r="K902" i="8" a="1"/>
  <c r="K1011" i="8" a="1"/>
  <c r="K566" i="8" a="1"/>
  <c r="K255" i="8" a="1"/>
  <c r="H369" i="8" a="1"/>
  <c r="H456" i="8" a="1"/>
  <c r="K5" i="8" a="1"/>
  <c r="H890" i="8" a="1"/>
  <c r="H1012" i="8" a="1"/>
  <c r="H602" i="8" a="1"/>
  <c r="K641" i="8" a="1"/>
  <c r="K833" i="8" a="1"/>
  <c r="K286" i="8" a="1"/>
  <c r="K791" i="8" a="1"/>
  <c r="K141" i="8" a="1"/>
  <c r="K180" i="8" a="1"/>
  <c r="K531" i="8" a="1"/>
  <c r="K729" i="8" a="1"/>
  <c r="K841" i="8" a="1"/>
  <c r="K262" i="8" a="1"/>
  <c r="H811" i="8" a="1"/>
  <c r="H161" i="8" a="1"/>
  <c r="H248" i="8" a="1"/>
  <c r="H792" i="8" a="1"/>
  <c r="H666" i="8" a="1"/>
  <c r="H957" i="8" a="1"/>
  <c r="H394" i="8" a="1"/>
  <c r="H51" i="8" a="1"/>
  <c r="H249" i="8" a="1"/>
  <c r="H256" i="8" a="1"/>
  <c r="H866" i="8" a="1"/>
  <c r="K670" i="8" a="1"/>
  <c r="K1009" i="8" a="1"/>
  <c r="K462" i="8" a="1"/>
  <c r="K135" i="8" a="1"/>
  <c r="K317" i="8" a="1"/>
  <c r="K356" i="8" a="1"/>
  <c r="K868" i="8" a="1"/>
  <c r="K758" i="8" a="1"/>
  <c r="K883" i="8" a="1"/>
  <c r="K438" i="8" a="1"/>
  <c r="K127" i="8" a="1"/>
  <c r="H337" i="8" a="1"/>
  <c r="H424" i="8" a="1"/>
  <c r="H968" i="8" a="1"/>
  <c r="H842" i="8" a="1"/>
  <c r="H999" i="8" a="1"/>
  <c r="H570" i="8" a="1"/>
  <c r="H227" i="8" a="1"/>
  <c r="H425" i="8" a="1"/>
  <c r="H432" i="8" a="1"/>
  <c r="H960" i="8" a="1"/>
  <c r="H83" i="8" a="1"/>
  <c r="K930" i="8" a="1"/>
  <c r="K748" i="8" a="1"/>
  <c r="K1016" i="8" a="1"/>
  <c r="K347" i="8" a="1"/>
  <c r="H618" i="8" a="1"/>
  <c r="H751" i="8" a="1"/>
  <c r="H101" i="8" a="1"/>
  <c r="H204" i="8" a="1"/>
  <c r="H539" i="8" a="1"/>
  <c r="H522" i="8" a="1"/>
  <c r="K735" i="8" a="1"/>
  <c r="K321" i="8" a="1"/>
  <c r="K408" i="8" a="1"/>
  <c r="K952" i="8" a="1"/>
  <c r="K826" i="8" a="1"/>
  <c r="K983" i="8" a="1"/>
  <c r="K554" i="8" a="1"/>
  <c r="K211" i="8" a="1"/>
  <c r="K409" i="8" a="1"/>
  <c r="K416" i="8" a="1"/>
  <c r="K944" i="8" a="1"/>
  <c r="H846" i="8" a="1"/>
  <c r="H680" i="8" a="1"/>
  <c r="H638" i="8" a="1"/>
  <c r="H311" i="8" a="1"/>
  <c r="H493" i="8" a="1"/>
  <c r="H532" i="8" a="1"/>
  <c r="H74" i="8" a="1"/>
  <c r="H950" i="8" a="1"/>
  <c r="H704" i="8" a="1"/>
  <c r="H614" i="8" a="1"/>
  <c r="H303" i="8" a="1"/>
  <c r="K593" i="8" a="1"/>
  <c r="K1017" i="8" a="1"/>
  <c r="K238" i="8" a="1"/>
  <c r="K743" i="8" a="1"/>
  <c r="K93" i="8" a="1"/>
  <c r="K132" i="8" a="1"/>
  <c r="K483" i="8" a="1"/>
  <c r="K681" i="8" a="1"/>
  <c r="K793" i="8" a="1"/>
  <c r="K214" i="8" a="1"/>
  <c r="H763" i="8" a="1"/>
  <c r="H113" i="8" a="1"/>
  <c r="H200" i="8" a="1"/>
  <c r="H583" i="8" a="1"/>
  <c r="H765" i="8" a="1"/>
  <c r="H909" i="8" a="1"/>
  <c r="H346" i="8" a="1"/>
  <c r="H851" i="8" a="1"/>
  <c r="H201" i="8" a="1"/>
  <c r="H208" i="8" a="1"/>
  <c r="H575" i="8" a="1"/>
  <c r="K769" i="8" a="1"/>
  <c r="K961" i="8" a="1"/>
  <c r="K414" i="8" a="1"/>
  <c r="K87" i="8" a="1"/>
  <c r="K269" i="8" a="1"/>
  <c r="K308" i="8" a="1"/>
  <c r="K820" i="8" a="1"/>
  <c r="K710" i="8" a="1"/>
  <c r="K969" i="8" a="1"/>
  <c r="H651" i="8" a="1"/>
  <c r="H24" i="8" a="1"/>
  <c r="H88" i="8" a="1"/>
  <c r="H471" i="8" a="1"/>
  <c r="H653" i="8" a="1"/>
  <c r="K702" i="8" a="1"/>
  <c r="K891" i="8" a="1"/>
  <c r="K494" i="8" a="1"/>
  <c r="K167" i="8" a="1"/>
  <c r="K349" i="8" a="1"/>
  <c r="K388" i="8" a="1"/>
  <c r="K900" i="8" a="1"/>
  <c r="K790" i="8" a="1"/>
  <c r="K915" i="8" a="1"/>
  <c r="K470" i="8" a="1"/>
  <c r="K159" i="8" a="1"/>
  <c r="H273" i="8" a="1"/>
  <c r="H360" i="8" a="1"/>
  <c r="H904" i="8" a="1"/>
  <c r="H778" i="8" a="1"/>
  <c r="H935" i="8" a="1"/>
  <c r="H506" i="8" a="1"/>
  <c r="K545" i="8" a="1"/>
  <c r="K632" i="8" a="1"/>
  <c r="K190" i="8" a="1"/>
  <c r="K695" i="8" a="1"/>
  <c r="K45" i="8" a="1"/>
  <c r="K84" i="8" a="1"/>
  <c r="K435" i="8" a="1"/>
  <c r="K633" i="8" a="1"/>
  <c r="K640" i="8" a="1"/>
  <c r="K166" i="8" a="1"/>
  <c r="H715" i="8" a="1"/>
  <c r="H65" i="8" a="1"/>
  <c r="H152" i="8" a="1"/>
  <c r="H535" i="8" a="1"/>
  <c r="H717" i="8" a="1"/>
  <c r="H861" i="8" a="1"/>
  <c r="H298" i="8" a="1"/>
  <c r="H803" i="8" a="1"/>
  <c r="H153" i="8" a="1"/>
  <c r="H160" i="8" a="1"/>
  <c r="H527" i="8" a="1"/>
  <c r="K721" i="8" a="1"/>
  <c r="K913" i="8" a="1"/>
  <c r="K366" i="8" a="1"/>
  <c r="H32" i="8" a="1"/>
  <c r="K221" i="8" a="1"/>
  <c r="K260" i="8" a="1"/>
  <c r="K611" i="8" a="1"/>
  <c r="K1010" i="8" a="1"/>
  <c r="K921" i="8" a="1"/>
  <c r="K342" i="8" a="1"/>
  <c r="K1022" i="8" a="1"/>
  <c r="H241" i="8" a="1"/>
  <c r="H328" i="8" a="1"/>
  <c r="H872" i="8" a="1"/>
  <c r="H746" i="8" a="1"/>
  <c r="H903" i="8" a="1"/>
  <c r="H474" i="8" a="1"/>
  <c r="H131" i="8" a="1"/>
  <c r="H329" i="8" a="1"/>
  <c r="H336" i="8" a="1"/>
  <c r="H864" i="8" a="1"/>
  <c r="H710" i="8" a="1"/>
  <c r="K818" i="8" a="1"/>
  <c r="K1007" i="8" a="1"/>
  <c r="K610" i="8" a="1"/>
  <c r="K251" i="8" a="1"/>
  <c r="H804" i="8" a="1"/>
  <c r="H655" i="8" a="1"/>
  <c r="H28" i="8" a="1"/>
  <c r="H108" i="8" a="1"/>
  <c r="H443" i="8" a="1"/>
  <c r="K225" i="8" a="1"/>
  <c r="K312" i="8" a="1"/>
  <c r="K856" i="8" a="1"/>
  <c r="K730" i="8" a="1"/>
  <c r="K887" i="8" a="1"/>
  <c r="K458" i="8" a="1"/>
  <c r="K115" i="8" a="1"/>
  <c r="K313" i="8" a="1"/>
  <c r="K320" i="8" a="1"/>
  <c r="K848" i="8" a="1"/>
  <c r="H750" i="8" a="1"/>
  <c r="H939" i="8" a="1"/>
  <c r="H542" i="8" a="1"/>
  <c r="H215" i="8" a="1"/>
  <c r="H397" i="8" a="1"/>
  <c r="H436" i="8" a="1"/>
  <c r="H948" i="8" a="1"/>
  <c r="H838" i="8" a="1"/>
  <c r="H963" i="8" a="1"/>
  <c r="H518" i="8" a="1"/>
  <c r="H207" i="8" a="1"/>
  <c r="K497" i="8" a="1"/>
  <c r="K584" i="8" a="1"/>
  <c r="K142" i="8" a="1"/>
  <c r="K647" i="8" a="1"/>
  <c r="K10" i="8" a="1"/>
  <c r="K36" i="8" a="1"/>
  <c r="K387" i="8" a="1"/>
  <c r="K585" i="8" a="1"/>
  <c r="K592" i="8" a="1"/>
  <c r="K118" i="8" a="1"/>
  <c r="H667" i="8" a="1"/>
  <c r="H17" i="8" a="1"/>
  <c r="H104" i="8" a="1"/>
  <c r="H487" i="8" a="1"/>
  <c r="H669" i="8" a="1"/>
  <c r="H813" i="8" a="1"/>
  <c r="H250" i="8" a="1"/>
  <c r="H755" i="8" a="1"/>
  <c r="H105" i="8" a="1"/>
  <c r="H112" i="8" a="1"/>
  <c r="H479" i="8" a="1"/>
  <c r="K673" i="8" a="1"/>
  <c r="K865" i="8" a="1"/>
  <c r="K318" i="8" a="1"/>
  <c r="K823" i="8" a="1"/>
  <c r="K173" i="8" a="1"/>
  <c r="K212" i="8" a="1"/>
  <c r="K563" i="8" a="1"/>
  <c r="K761" i="8" a="1"/>
  <c r="K873" i="8" a="1"/>
  <c r="H926" i="8" a="1"/>
  <c r="H744" i="8" a="1"/>
  <c r="H39" i="8" a="1"/>
  <c r="H375" i="8" a="1"/>
  <c r="H557" i="8" a="1"/>
  <c r="K753" i="8" a="1"/>
  <c r="K945" i="8" a="1"/>
  <c r="K398" i="8" a="1"/>
  <c r="K71" i="8" a="1"/>
  <c r="K253" i="8" a="1"/>
  <c r="K292" i="8" a="1"/>
  <c r="K804" i="8" a="1"/>
  <c r="K694" i="8" a="1"/>
  <c r="K953" i="8" a="1"/>
  <c r="K374" i="8" a="1"/>
  <c r="H827" i="8" a="1"/>
  <c r="H177" i="8" a="1"/>
  <c r="H264" i="8" a="1"/>
  <c r="H808" i="8" a="1"/>
  <c r="H682" i="8" a="1"/>
  <c r="H973" i="8" a="1"/>
  <c r="H410" i="8" a="1"/>
  <c r="K449" i="8" a="1"/>
  <c r="K536" i="8" a="1"/>
  <c r="K94" i="8" a="1"/>
  <c r="K978" i="8" a="1"/>
  <c r="K756" i="8" a="1"/>
  <c r="K19" i="8" a="1"/>
  <c r="K339" i="8" a="1"/>
  <c r="K537" i="8" a="1"/>
  <c r="K544" i="8" a="1"/>
  <c r="K70" i="8" a="1"/>
  <c r="H619" i="8" a="1"/>
  <c r="K871" i="8" a="1"/>
  <c r="H56" i="8" a="1"/>
  <c r="H439" i="8" a="1"/>
  <c r="H621" i="8" a="1"/>
  <c r="H660" i="8" a="1"/>
  <c r="H202" i="8" a="1"/>
  <c r="H707" i="8" a="1"/>
  <c r="H57" i="8" a="1"/>
  <c r="H64" i="8" a="1"/>
  <c r="H431" i="8" a="1"/>
  <c r="K625" i="8" a="1"/>
  <c r="K817" i="8" a="1"/>
  <c r="K270" i="8" a="1"/>
  <c r="K775" i="8" a="1"/>
  <c r="K125" i="8" a="1"/>
  <c r="K164" i="8" a="1"/>
  <c r="K515" i="8" a="1"/>
  <c r="K713" i="8" a="1"/>
  <c r="K825" i="8" a="1"/>
  <c r="K246" i="8" a="1"/>
  <c r="H795" i="8" a="1"/>
  <c r="H145" i="8" a="1"/>
  <c r="H232" i="8" a="1"/>
  <c r="H1014" i="8" a="1"/>
  <c r="H982" i="8" a="1"/>
  <c r="H941" i="8" a="1"/>
  <c r="H378" i="8" a="1"/>
  <c r="K788" i="8" a="1"/>
  <c r="H233" i="8" a="1"/>
  <c r="H240" i="8" a="1"/>
  <c r="H607" i="8" a="1"/>
  <c r="H281" i="8" a="1"/>
  <c r="K722" i="8" a="1"/>
  <c r="K911" i="8" a="1"/>
  <c r="K514" i="8" a="1"/>
  <c r="K155" i="8" a="1"/>
  <c r="H67" i="8" a="1"/>
  <c r="H930" i="8" a="1"/>
  <c r="H748" i="8" a="1"/>
  <c r="H1016" i="8" a="1"/>
  <c r="H347" i="8" a="1"/>
  <c r="H835" i="8" a="1"/>
  <c r="K779" i="8" a="1"/>
  <c r="K129" i="8" a="1"/>
  <c r="K216" i="8" a="1"/>
  <c r="K599" i="8" a="1"/>
  <c r="K781" i="8" a="1"/>
  <c r="K925" i="8" a="1"/>
  <c r="K362" i="8" a="1"/>
  <c r="K867" i="8" a="1"/>
  <c r="K217" i="8" a="1"/>
  <c r="K224" i="8" a="1"/>
  <c r="K591" i="8" a="1"/>
  <c r="H990" i="8" a="1"/>
  <c r="H993" i="8" a="1"/>
  <c r="H446" i="8" a="1"/>
  <c r="H119" i="8" a="1"/>
  <c r="H301" i="8" a="1"/>
  <c r="H340" i="8" a="1"/>
  <c r="H852" i="8" a="1"/>
  <c r="H742" i="8" a="1"/>
  <c r="H1001" i="8" a="1"/>
  <c r="H422" i="8" a="1"/>
  <c r="H111" i="8" a="1"/>
  <c r="K401" i="8" a="1"/>
  <c r="K488" i="8" a="1"/>
  <c r="K46" i="8" a="1"/>
  <c r="K922" i="8" a="1"/>
  <c r="K708" i="8" a="1"/>
  <c r="K634" i="8" a="1"/>
  <c r="K291" i="8" a="1"/>
  <c r="K489" i="8" a="1"/>
  <c r="K496" i="8" a="1"/>
  <c r="K22" i="8" a="1"/>
  <c r="H942" i="8" a="1"/>
  <c r="H760" i="8" a="1"/>
  <c r="K20" i="8" a="1"/>
  <c r="H391" i="8" a="1"/>
  <c r="H573" i="8" a="1"/>
  <c r="H612" i="8" a="1"/>
  <c r="H154" i="8" a="1"/>
  <c r="H659" i="8" a="1"/>
  <c r="H784" i="8" a="1"/>
  <c r="H31" i="8" a="1"/>
  <c r="H383" i="8" a="1"/>
  <c r="K577" i="8" a="1"/>
  <c r="K664" i="8" a="1"/>
  <c r="K222" i="8" a="1"/>
  <c r="K727" i="8" a="1"/>
  <c r="K77" i="8" a="1"/>
  <c r="K116" i="8" a="1"/>
  <c r="K467" i="8" a="1"/>
  <c r="K665" i="8" a="1"/>
  <c r="K672" i="8" a="1"/>
  <c r="H814" i="8" a="1"/>
  <c r="H1003" i="8" a="1"/>
  <c r="H606" i="8" a="1"/>
  <c r="H279" i="8" a="1"/>
  <c r="H461" i="8" a="1"/>
  <c r="K657" i="8" a="1"/>
  <c r="K849" i="8" a="1"/>
  <c r="K302" i="8" a="1"/>
  <c r="K807" i="8" a="1"/>
  <c r="K157" i="8" a="1"/>
  <c r="K196" i="8" a="1"/>
  <c r="K547" i="8" a="1"/>
  <c r="K745" i="8" a="1"/>
  <c r="K857" i="8" a="1"/>
  <c r="K278" i="8" a="1"/>
  <c r="H731" i="8" a="1"/>
  <c r="H81" i="8" a="1"/>
  <c r="H168" i="8" a="1"/>
  <c r="H551" i="8" a="1"/>
  <c r="H733" i="8" a="1"/>
  <c r="H877" i="8" a="1"/>
  <c r="H314" i="8" a="1"/>
  <c r="K353" i="8" a="1"/>
  <c r="K440" i="8" a="1"/>
  <c r="K992" i="8" a="1"/>
  <c r="K874" i="8" a="1"/>
  <c r="K1008" i="8" a="1"/>
  <c r="K586" i="8" a="1"/>
  <c r="K243" i="8" a="1"/>
  <c r="K441" i="8" a="1"/>
  <c r="K448" i="8" a="1"/>
  <c r="K980" i="8" a="1"/>
  <c r="H894" i="8" a="1"/>
  <c r="H712" i="8" a="1"/>
  <c r="K11" i="8" a="1"/>
  <c r="H343" i="8" a="1"/>
  <c r="H525" i="8" a="1"/>
  <c r="H564" i="8" a="1"/>
  <c r="H106" i="8" a="1"/>
  <c r="H1006" i="8" a="1"/>
  <c r="H736" i="8" a="1"/>
  <c r="H646" i="8" a="1"/>
  <c r="H335" i="8" a="1"/>
  <c r="K529" i="8" a="1"/>
  <c r="K616" i="8" a="1"/>
  <c r="K174" i="8" a="1"/>
  <c r="K679" i="8" a="1"/>
  <c r="K29" i="8" a="1"/>
  <c r="K68" i="8" a="1"/>
  <c r="K419" i="8" a="1"/>
  <c r="K617" i="8" a="1"/>
  <c r="K624" i="8" a="1"/>
  <c r="K150" i="8" a="1"/>
  <c r="H699" i="8" a="1"/>
  <c r="H49" i="8" a="1"/>
  <c r="H136" i="8" a="1"/>
  <c r="H519" i="8" a="1"/>
  <c r="H701" i="8" a="1"/>
  <c r="H845" i="8" a="1"/>
  <c r="H282" i="8" a="1"/>
  <c r="H787" i="8" a="1"/>
  <c r="H137" i="8" a="1"/>
  <c r="H144" i="8" a="1"/>
  <c r="H511" i="8" a="1"/>
  <c r="H969" i="8" a="1"/>
  <c r="K773" i="8" a="1"/>
  <c r="K965" i="8" a="1"/>
  <c r="K418" i="8" a="1"/>
  <c r="K59" i="8" a="1"/>
  <c r="H694" i="8" a="1"/>
  <c r="H818" i="8" a="1"/>
  <c r="H1007" i="8" a="1"/>
  <c r="H610" i="8" a="1"/>
  <c r="H251" i="8" a="1"/>
  <c r="H761" i="8" a="1"/>
  <c r="K683" i="8" a="1"/>
  <c r="K33" i="8" a="1"/>
  <c r="K120" i="8" a="1"/>
  <c r="K503" i="8" a="1"/>
  <c r="K685" i="8" a="1"/>
  <c r="K829" i="8" a="1"/>
  <c r="K266" i="8" a="1"/>
  <c r="K771" i="8" a="1"/>
  <c r="K121" i="8" a="1"/>
  <c r="K128" i="8" a="1"/>
  <c r="K495" i="8" a="1"/>
  <c r="H705" i="8" a="1"/>
  <c r="H897" i="8" a="1"/>
  <c r="H350" i="8" a="1"/>
  <c r="H855" i="8" a="1"/>
  <c r="H205" i="8" a="1"/>
  <c r="H244" i="8" a="1"/>
  <c r="H595" i="8" a="1"/>
  <c r="H974" i="8" a="1"/>
  <c r="H905" i="8" a="1"/>
  <c r="H326" i="8" a="1"/>
  <c r="K16" i="8" a="1"/>
  <c r="K305" i="8" a="1"/>
  <c r="K392" i="8" a="1"/>
  <c r="K936" i="8" a="1"/>
  <c r="K810" i="8" a="1"/>
  <c r="K967" i="8" a="1"/>
  <c r="K538" i="8" a="1"/>
  <c r="K195" i="8" a="1"/>
  <c r="K393" i="8" a="1"/>
  <c r="K400" i="8" a="1"/>
  <c r="K928" i="8" a="1"/>
  <c r="H830" i="8" a="1"/>
  <c r="H972" i="8" a="1"/>
  <c r="H622" i="8" a="1"/>
  <c r="H295" i="8" a="1"/>
  <c r="H477" i="8" a="1"/>
  <c r="H516" i="8" a="1"/>
  <c r="H58" i="8" a="1"/>
  <c r="H934" i="8" a="1"/>
  <c r="H688" i="8" a="1"/>
  <c r="H598" i="8" a="1"/>
  <c r="H287" i="8" a="1"/>
  <c r="K481" i="8" a="1"/>
  <c r="K568" i="8" a="1"/>
  <c r="K126" i="8" a="1"/>
  <c r="K631" i="8" a="1"/>
  <c r="H26" i="8" a="1"/>
  <c r="K1024" i="8" a="1"/>
  <c r="K371" i="8" a="1"/>
  <c r="K569" i="8" a="1"/>
  <c r="K576" i="8" a="1"/>
  <c r="H718" i="8" a="1"/>
  <c r="H907" i="8" a="1"/>
  <c r="H510" i="8" a="1"/>
  <c r="H183" i="8" a="1"/>
  <c r="H365" i="8" a="1"/>
  <c r="K561" i="8" a="1"/>
  <c r="K648" i="8" a="1"/>
  <c r="K206" i="8" a="1"/>
  <c r="K711" i="8" a="1"/>
  <c r="K61" i="8" a="1"/>
  <c r="K100" i="8" a="1"/>
  <c r="K451" i="8" a="1"/>
  <c r="K649" i="8" a="1"/>
  <c r="K656" i="8" a="1"/>
  <c r="K182" i="8" a="1"/>
  <c r="H635" i="8" a="1"/>
  <c r="K785" i="8" a="1"/>
  <c r="H72" i="8" a="1"/>
  <c r="H455" i="8" a="1"/>
  <c r="H637" i="8" a="1"/>
  <c r="H676" i="8" a="1"/>
  <c r="H218" i="8" a="1"/>
  <c r="K257" i="8" a="1"/>
  <c r="K344" i="8" a="1"/>
  <c r="K888" i="8" a="1"/>
  <c r="K762" i="8" a="1"/>
  <c r="K919" i="8" a="1"/>
  <c r="K490" i="8" a="1"/>
  <c r="K147" i="8" a="1"/>
  <c r="K345" i="8" a="1"/>
  <c r="K352" i="8" a="1"/>
  <c r="K880" i="8" a="1"/>
  <c r="H782" i="8" a="1"/>
  <c r="H971" i="8" a="1"/>
  <c r="H574" i="8" a="1"/>
  <c r="H247" i="8" a="1"/>
  <c r="H429" i="8" a="1"/>
  <c r="H468" i="8" a="1"/>
  <c r="H984" i="8" a="1"/>
  <c r="H886" i="8" a="1"/>
  <c r="H995" i="8" a="1"/>
  <c r="H550" i="8" a="1"/>
  <c r="H239" i="8" a="1"/>
  <c r="K433" i="8" a="1"/>
  <c r="K520" i="8" a="1"/>
  <c r="K78" i="8" a="1"/>
  <c r="K954" i="8" a="1"/>
  <c r="K740" i="8" a="1"/>
  <c r="K1023" i="8" a="1"/>
  <c r="K323" i="8" a="1"/>
  <c r="K521" i="8" a="1"/>
  <c r="K528" i="8" a="1"/>
  <c r="K54" i="8" a="1"/>
  <c r="H986" i="8" a="1"/>
  <c r="K6" i="8" a="1"/>
  <c r="H40" i="8" a="1"/>
  <c r="H423" i="8" a="1"/>
  <c r="H605" i="8" a="1"/>
  <c r="H644" i="8" a="1"/>
  <c r="H186" i="8" a="1"/>
  <c r="H691" i="8" a="1"/>
  <c r="H41" i="8" a="1"/>
  <c r="H48" i="8" a="1"/>
  <c r="H415" i="8" a="1"/>
  <c r="H288" i="8" a="1"/>
  <c r="K677" i="8" a="1"/>
  <c r="K869" i="8" a="1"/>
  <c r="K322" i="8" a="1"/>
  <c r="K1018" i="8" a="1"/>
  <c r="H265" i="8" a="1"/>
  <c r="H722" i="8" a="1"/>
  <c r="H911" i="8" a="1"/>
  <c r="H514" i="8" a="1"/>
  <c r="K958" i="8" a="1"/>
  <c r="K776" i="8" a="1"/>
  <c r="K8" i="8" a="1"/>
  <c r="K407" i="8" a="1"/>
  <c r="K589" i="8" a="1"/>
  <c r="K628" i="8" a="1"/>
  <c r="K170" i="8" a="1"/>
  <c r="K675" i="8" a="1"/>
  <c r="K25" i="8" a="1"/>
  <c r="K1020" i="8" a="1"/>
  <c r="K399" i="8" a="1"/>
  <c r="H609" i="8" a="1"/>
  <c r="H801" i="8" a="1"/>
  <c r="H254" i="8" a="1"/>
  <c r="H759" i="8" a="1"/>
  <c r="H109" i="8" a="1"/>
  <c r="H148" i="8" a="1"/>
  <c r="H499" i="8" a="1"/>
  <c r="H697" i="8" a="1"/>
  <c r="H809" i="8" a="1"/>
  <c r="H230" i="8" a="1"/>
  <c r="K859" i="8" a="1"/>
  <c r="K209" i="8" a="1"/>
  <c r="K296" i="8" a="1"/>
  <c r="K840" i="8" a="1"/>
  <c r="K714" i="8" a="1"/>
  <c r="K1005" i="8" a="1"/>
  <c r="K442" i="8" a="1"/>
  <c r="K99" i="8" a="1"/>
  <c r="K297" i="8" a="1"/>
  <c r="K304" i="8" a="1"/>
  <c r="K832" i="8" a="1"/>
  <c r="H734" i="8" a="1"/>
  <c r="H923" i="8" a="1"/>
  <c r="H526" i="8" a="1"/>
  <c r="H199" i="8" a="1"/>
  <c r="H381" i="8" a="1"/>
  <c r="H420" i="8" a="1"/>
  <c r="H932" i="8" a="1"/>
  <c r="H822" i="8" a="1"/>
  <c r="H947" i="8" a="1"/>
  <c r="H502" i="8" a="1"/>
  <c r="H191" i="8" a="1"/>
  <c r="K385" i="8" a="1"/>
  <c r="K472" i="8" a="1"/>
  <c r="K30" i="8" a="1"/>
  <c r="K906" i="8" a="1"/>
  <c r="K692" i="8" a="1"/>
  <c r="K618" i="8" a="1"/>
  <c r="K275" i="8" a="1"/>
  <c r="K473" i="8" a="1"/>
  <c r="K480" i="8" a="1"/>
  <c r="H769" i="8" a="1"/>
  <c r="H961" i="8" a="1"/>
  <c r="H414" i="8" a="1"/>
  <c r="H87" i="8" a="1"/>
  <c r="H269" i="8" a="1"/>
  <c r="K465" i="8" a="1"/>
  <c r="K552" i="8" a="1"/>
  <c r="K110" i="8" a="1"/>
  <c r="K615" i="8" a="1"/>
  <c r="K772" i="8" a="1"/>
  <c r="K35" i="8" a="1"/>
  <c r="K355" i="8" a="1"/>
  <c r="K553" i="8" a="1"/>
  <c r="K560" i="8" a="1"/>
  <c r="K86" i="8" a="1"/>
  <c r="H910" i="8" a="1"/>
  <c r="H728" i="8" a="1"/>
  <c r="H7" i="8" a="1"/>
  <c r="H359" i="8" a="1"/>
  <c r="H541" i="8" a="1"/>
  <c r="H580" i="8" a="1"/>
  <c r="K811" i="8" a="1"/>
  <c r="K161" i="8" a="1"/>
  <c r="K248" i="8" a="1"/>
  <c r="K792" i="8" a="1"/>
  <c r="K666" i="8" a="1"/>
  <c r="K957" i="8" a="1"/>
  <c r="K394" i="8" a="1"/>
  <c r="K51" i="8" a="1"/>
  <c r="K249" i="8" a="1"/>
  <c r="K256" i="8" a="1"/>
  <c r="K866" i="8" a="1"/>
  <c r="H686" i="8" a="1"/>
  <c r="H875" i="8" a="1"/>
  <c r="H478" i="8" a="1"/>
  <c r="H151" i="8" a="1"/>
  <c r="H333" i="8" a="1"/>
  <c r="H372" i="8" a="1"/>
  <c r="H884" i="8" a="1"/>
  <c r="H774" i="8" a="1"/>
  <c r="H899" i="8" a="1"/>
  <c r="H454" i="8" a="1"/>
  <c r="H143" i="8" a="1"/>
  <c r="K337" i="8" a="1"/>
  <c r="K424" i="8" a="1"/>
  <c r="K968" i="8" a="1"/>
  <c r="K842" i="8" a="1"/>
  <c r="K999" i="8" a="1"/>
  <c r="K570" i="8" a="1"/>
  <c r="K227" i="8" a="1"/>
  <c r="K425" i="8" a="1"/>
  <c r="K432" i="8" a="1"/>
  <c r="K960" i="8" a="1"/>
  <c r="H878" i="8" a="1"/>
  <c r="H696" i="8" a="1"/>
  <c r="H654" i="8" a="1"/>
  <c r="H327" i="8" a="1"/>
  <c r="H509" i="8" a="1"/>
  <c r="H548" i="8" a="1"/>
  <c r="H90" i="8" a="1"/>
  <c r="H970" i="8" a="1"/>
  <c r="H720" i="8" a="1"/>
  <c r="H630" i="8" a="1"/>
  <c r="H319" i="8" a="1"/>
  <c r="H486" i="8" a="1"/>
  <c r="K581" i="8" a="1"/>
  <c r="K1021" i="8" a="1"/>
  <c r="K226" i="8" a="1"/>
  <c r="K91" i="8" a="1"/>
  <c r="H953" i="8" a="1"/>
  <c r="H773" i="8" a="1"/>
  <c r="H965" i="8" a="1"/>
  <c r="H418" i="8" a="1"/>
  <c r="H59" i="8" a="1"/>
  <c r="H873" i="8" a="1"/>
  <c r="K846" i="8" a="1"/>
  <c r="K680" i="8" a="1"/>
  <c r="K638" i="8" a="1"/>
  <c r="K311" i="8" a="1"/>
  <c r="K493" i="8" a="1"/>
  <c r="K532" i="8" a="1"/>
  <c r="K74" i="8" a="1"/>
  <c r="K950" i="8" a="1"/>
  <c r="K704" i="8" a="1"/>
  <c r="K614" i="8" a="1"/>
  <c r="K303" i="8" a="1"/>
  <c r="H513" i="8" a="1"/>
  <c r="H600" i="8" a="1"/>
  <c r="H158" i="8" a="1"/>
  <c r="H663" i="8" a="1"/>
  <c r="H13" i="8" a="1"/>
  <c r="H52" i="8" a="1"/>
  <c r="H403" i="8" a="1"/>
  <c r="H601" i="8" a="1"/>
  <c r="H608" i="8" a="1"/>
  <c r="H134" i="8" a="1"/>
  <c r="K763" i="8" a="1"/>
  <c r="K113" i="8" a="1"/>
  <c r="K200" i="8" a="1"/>
  <c r="K583" i="8" a="1"/>
  <c r="K765" i="8" a="1"/>
  <c r="K909" i="8" a="1"/>
  <c r="K346" i="8" a="1"/>
  <c r="K851" i="8" a="1"/>
  <c r="K201" i="8" a="1"/>
  <c r="K208" i="8" a="1"/>
  <c r="K575" i="8" a="1"/>
  <c r="K858" i="8" a="1"/>
  <c r="H977" i="8" a="1"/>
  <c r="H430" i="8" a="1"/>
  <c r="H103" i="8" a="1"/>
  <c r="H285" i="8" a="1"/>
  <c r="H324" i="8" a="1"/>
  <c r="H836" i="8" a="1"/>
  <c r="H726" i="8" a="1"/>
  <c r="H985" i="8" a="1"/>
  <c r="H406" i="8" a="1"/>
  <c r="H95" i="8" a="1"/>
  <c r="K289" i="8" a="1"/>
  <c r="K376" i="8" a="1"/>
  <c r="K920" i="8" a="1"/>
  <c r="K794" i="8" a="1"/>
  <c r="K951" i="8" a="1"/>
  <c r="K522" i="8" a="1"/>
  <c r="K179" i="8" a="1"/>
  <c r="K377" i="8" a="1"/>
  <c r="K384" i="8" a="1"/>
  <c r="H673" i="8" a="1"/>
  <c r="H865" i="8" a="1"/>
  <c r="H318" i="8" a="1"/>
  <c r="H823" i="8" a="1"/>
  <c r="H173" i="8" a="1"/>
  <c r="K369" i="8" a="1"/>
  <c r="K456" i="8" a="1"/>
  <c r="H5" i="8" a="1"/>
  <c r="K890" i="8" a="1"/>
  <c r="K1012" i="8" a="1"/>
  <c r="K602" i="8" a="1"/>
  <c r="K259" i="8" a="1"/>
  <c r="K457" i="8" a="1"/>
  <c r="K464" i="8" a="1"/>
  <c r="K1004" i="8" a="1"/>
  <c r="H798" i="8" a="1"/>
  <c r="H987" i="8" a="1"/>
  <c r="H590" i="8" a="1"/>
  <c r="H263" i="8" a="1"/>
  <c r="H445" i="8" a="1"/>
  <c r="H484" i="8" a="1"/>
  <c r="K715" i="8" a="1"/>
  <c r="K65" i="8" a="1"/>
  <c r="K152" i="8" a="1"/>
  <c r="K535" i="8" a="1"/>
  <c r="K717" i="8" a="1"/>
  <c r="K861" i="8" a="1"/>
  <c r="K298" i="8" a="1"/>
  <c r="K803" i="8" a="1"/>
  <c r="K153" i="8" a="1"/>
  <c r="K160" i="8" a="1"/>
  <c r="K527" i="8" a="1"/>
  <c r="H737" i="8" a="1"/>
  <c r="H929" i="8" a="1"/>
  <c r="H382" i="8" a="1"/>
  <c r="H55" i="8" a="1"/>
  <c r="H237" i="8" a="1"/>
  <c r="H276" i="8" a="1"/>
  <c r="H998" i="8" a="1"/>
  <c r="H678" i="8" a="1"/>
  <c r="H937" i="8" a="1"/>
  <c r="H358" i="8" a="1"/>
  <c r="H47" i="8" a="1"/>
  <c r="K241" i="8" a="1"/>
  <c r="K328" i="8" a="1"/>
  <c r="K872" i="8" a="1"/>
  <c r="K746" i="8" a="1"/>
  <c r="K903" i="8" a="1"/>
  <c r="K474" i="8" a="1"/>
  <c r="K131" i="8" a="1"/>
  <c r="K329" i="8" a="1"/>
  <c r="K336" i="8" a="1"/>
  <c r="K864" i="8" a="1"/>
  <c r="H766" i="8" a="1"/>
  <c r="H955" i="8" a="1"/>
  <c r="H558" i="8" a="1"/>
  <c r="H231" i="8" a="1"/>
  <c r="H413" i="8" a="1"/>
  <c r="H452" i="8" a="1"/>
  <c r="H964" i="8" a="1"/>
  <c r="H854" i="8" a="1"/>
  <c r="H979" i="8" a="1"/>
  <c r="H534" i="8" a="1"/>
  <c r="H223" i="8" a="1"/>
  <c r="H102" i="8" a="1"/>
  <c r="K485" i="8" a="1"/>
  <c r="K588" i="8" a="1"/>
  <c r="K130" i="8" a="1"/>
  <c r="H255" i="8" a="1"/>
  <c r="H272" i="8" a="1"/>
  <c r="H677" i="8" a="1"/>
  <c r="H869" i="8" a="1"/>
  <c r="H322" i="8" a="1"/>
  <c r="H1018" i="8" a="1"/>
  <c r="H192" i="8" a="1"/>
  <c r="K750" i="8" a="1"/>
  <c r="K939" i="8" a="1"/>
  <c r="K542" i="8" a="1"/>
  <c r="K215" i="8" a="1"/>
  <c r="K397" i="8" a="1"/>
  <c r="K436" i="8" a="1"/>
  <c r="K948" i="8" a="1"/>
  <c r="K838" i="8" a="1"/>
  <c r="K963" i="8" a="1"/>
  <c r="K518" i="8" a="1"/>
  <c r="K207" i="8" a="1"/>
  <c r="H417" i="8" a="1"/>
  <c r="H504" i="8" a="1"/>
  <c r="H62" i="8" a="1"/>
  <c r="H938" i="8" a="1"/>
  <c r="H724" i="8" a="1"/>
  <c r="H650" i="8" a="1"/>
  <c r="H307" i="8" a="1"/>
  <c r="H505" i="8" a="1"/>
  <c r="H512" i="8" a="1"/>
  <c r="H38" i="8" a="1"/>
  <c r="K667" i="8" a="1"/>
  <c r="K17" i="8" a="1"/>
  <c r="K104" i="8" a="1"/>
  <c r="K487" i="8" a="1"/>
  <c r="K669" i="8" a="1"/>
  <c r="K813" i="8" a="1"/>
  <c r="K250" i="8" a="1"/>
  <c r="K755" i="8" a="1"/>
  <c r="K105" i="8" a="1"/>
  <c r="K112" i="8" a="1"/>
  <c r="K479" i="8" a="1"/>
  <c r="H689" i="8" a="1"/>
  <c r="H881" i="8" a="1"/>
  <c r="H334" i="8" a="1"/>
  <c r="H839" i="8" a="1"/>
  <c r="H189" i="8" a="1"/>
  <c r="H228" i="8" a="1"/>
  <c r="H579" i="8" a="1"/>
  <c r="H777" i="8" a="1"/>
  <c r="H889" i="8" a="1"/>
  <c r="H310" i="8" a="1"/>
  <c r="K843" i="8" a="1"/>
  <c r="K193" i="8" a="1"/>
  <c r="K280" i="8" a="1"/>
  <c r="K824" i="8" a="1"/>
  <c r="K698" i="8" a="1"/>
  <c r="K989" i="8" a="1"/>
  <c r="K426" i="8" a="1"/>
  <c r="K83" i="8" a="1"/>
  <c r="K281" i="8" a="1"/>
  <c r="K288" i="8" a="1"/>
  <c r="H577" i="8" a="1"/>
  <c r="H664" i="8" a="1"/>
  <c r="H222" i="8" a="1"/>
  <c r="H727" i="8" a="1"/>
  <c r="H77" i="8" a="1"/>
  <c r="K273" i="8" a="1"/>
  <c r="K360" i="8" a="1"/>
  <c r="K904" i="8" a="1"/>
  <c r="K778" i="8" a="1"/>
  <c r="K935" i="8" a="1"/>
  <c r="K506" i="8" a="1"/>
  <c r="K163" i="8" a="1"/>
  <c r="K361" i="8" a="1"/>
  <c r="K368" i="8" a="1"/>
  <c r="K896" i="8" a="1"/>
  <c r="H702" i="8" a="1"/>
  <c r="H891" i="8" a="1"/>
  <c r="H494" i="8" a="1"/>
  <c r="H167" i="8" a="1"/>
  <c r="H349" i="8" a="1"/>
  <c r="H388" i="8" a="1"/>
  <c r="K619" i="8" a="1"/>
  <c r="H871" i="8" a="1"/>
  <c r="K56" i="8" a="1"/>
  <c r="K439" i="8" a="1"/>
  <c r="K621" i="8" a="1"/>
  <c r="K660" i="8" a="1"/>
  <c r="K202" i="8" a="1"/>
  <c r="K707" i="8" a="1"/>
  <c r="K57" i="8" a="1"/>
  <c r="K64" i="8" a="1"/>
  <c r="K431" i="8" a="1"/>
  <c r="H641" i="8" a="1"/>
  <c r="H833" i="8" a="1"/>
  <c r="H286" i="8" a="1"/>
  <c r="H791" i="8" a="1"/>
  <c r="H141" i="8" a="1"/>
  <c r="H180" i="8" a="1"/>
  <c r="H531" i="8" a="1"/>
  <c r="H729" i="8" a="1"/>
  <c r="H841" i="8" a="1"/>
  <c r="H262" i="8" a="1"/>
  <c r="K795" i="8" a="1"/>
  <c r="K145" i="8" a="1"/>
  <c r="K232" i="8" a="1"/>
  <c r="K1014" i="8" a="1"/>
  <c r="K982" i="8" a="1"/>
  <c r="K941" i="8" a="1"/>
  <c r="K378" i="8" a="1"/>
  <c r="H788" i="8" a="1"/>
  <c r="K233" i="8" a="1"/>
  <c r="K240" i="8" a="1"/>
  <c r="K607" i="8" a="1"/>
  <c r="H670" i="8" a="1"/>
  <c r="H1009" i="8" a="1"/>
  <c r="H462" i="8" a="1"/>
  <c r="H135" i="8" a="1"/>
  <c r="H317" i="8" a="1"/>
  <c r="H356" i="8" a="1"/>
  <c r="H868" i="8" a="1"/>
  <c r="H758" i="8" a="1"/>
  <c r="H883" i="8" a="1"/>
  <c r="H438" i="8" a="1"/>
  <c r="H127" i="8" a="1"/>
  <c r="H559" i="8" a="1"/>
  <c r="K389" i="8" a="1"/>
  <c r="K492" i="8" a="1"/>
  <c r="K1000" i="8" a="1"/>
  <c r="K693" i="8" a="1"/>
  <c r="H470" i="8" a="1"/>
  <c r="H581" i="8" a="1"/>
  <c r="H1021" i="8" a="1"/>
  <c r="H226" i="8" a="1"/>
  <c r="H916" i="8" a="1"/>
  <c r="K390" i="8" a="1"/>
  <c r="K990" i="8" a="1"/>
  <c r="K993" i="8" a="1"/>
  <c r="K446" i="8" a="1"/>
  <c r="K119" i="8" a="1"/>
  <c r="K301" i="8" a="1"/>
  <c r="K340" i="8" a="1"/>
  <c r="K852" i="8" a="1"/>
  <c r="K742" i="8" a="1"/>
  <c r="K1001" i="8" a="1"/>
  <c r="K422" i="8" a="1"/>
  <c r="K111" i="8" a="1"/>
  <c r="H321" i="8" a="1"/>
  <c r="H408" i="8" a="1"/>
  <c r="H952" i="8" a="1"/>
  <c r="H826" i="8" a="1"/>
  <c r="H983" i="8" a="1"/>
  <c r="H554" i="8" a="1"/>
  <c r="H211" i="8" a="1"/>
  <c r="H409" i="8" a="1"/>
  <c r="H416" i="8" a="1"/>
  <c r="H944" i="8" a="1"/>
  <c r="K942" i="8" a="1"/>
  <c r="K760" i="8" a="1"/>
  <c r="H20" i="8" a="1"/>
  <c r="K391" i="8" a="1"/>
  <c r="K573" i="8" a="1"/>
  <c r="K612" i="8" a="1"/>
  <c r="K154" i="8" a="1"/>
  <c r="K659" i="8" a="1"/>
  <c r="K784" i="8" a="1"/>
  <c r="K31" i="8" a="1"/>
  <c r="K383" i="8" a="1"/>
  <c r="H593" i="8" a="1"/>
  <c r="H1017" i="8" a="1"/>
  <c r="H238" i="8" a="1"/>
  <c r="H743" i="8" a="1"/>
  <c r="H93" i="8" a="1"/>
  <c r="H132" i="8" a="1"/>
  <c r="H483" i="8" a="1"/>
  <c r="H681" i="8" a="1"/>
  <c r="H793" i="8" a="1"/>
  <c r="H214" i="8" a="1"/>
  <c r="K747" i="8" a="1"/>
  <c r="K97" i="8" a="1"/>
  <c r="K184" i="8" a="1"/>
  <c r="K567" i="8" a="1"/>
  <c r="K749" i="8" a="1"/>
  <c r="K893" i="8" a="1"/>
  <c r="K330" i="8" a="1"/>
  <c r="K835" i="8" a="1"/>
  <c r="K185" i="8" a="1"/>
  <c r="K192" i="8" a="1"/>
  <c r="H481" i="8" a="1"/>
  <c r="H568" i="8" a="1"/>
  <c r="H126" i="8" a="1"/>
  <c r="H631" i="8" a="1"/>
  <c r="K827" i="8" a="1"/>
  <c r="K177" i="8" a="1"/>
  <c r="K264" i="8" a="1"/>
  <c r="K808" i="8" a="1"/>
  <c r="K682" i="8" a="1"/>
  <c r="K973" i="8" a="1"/>
  <c r="K410" i="8" a="1"/>
  <c r="K67" i="8" a="1"/>
  <c r="K265" i="8" a="1"/>
  <c r="K272" i="8" a="1"/>
  <c r="K800" i="8" a="1"/>
  <c r="H753" i="8" a="1"/>
  <c r="H945" i="8" a="1"/>
  <c r="H398" i="8" a="1"/>
  <c r="H71" i="8" a="1"/>
  <c r="H253" i="8" a="1"/>
  <c r="H292" i="8" a="1"/>
  <c r="K894" i="8" a="1"/>
  <c r="K712" i="8" a="1"/>
  <c r="H11" i="8" a="1"/>
  <c r="K343" i="8" a="1"/>
  <c r="K525" i="8" a="1"/>
  <c r="K564" i="8" a="1"/>
  <c r="K106" i="8" a="1"/>
  <c r="K1006" i="8" a="1"/>
  <c r="K736" i="8" a="1"/>
  <c r="K646" i="8" a="1"/>
  <c r="K335" i="8" a="1"/>
  <c r="H545" i="8" a="1"/>
  <c r="H632" i="8" a="1"/>
  <c r="H190" i="8" a="1"/>
  <c r="H695" i="8" a="1"/>
  <c r="H45" i="8" a="1"/>
  <c r="H84" i="8" a="1"/>
  <c r="H435" i="8" a="1"/>
  <c r="H633" i="8" a="1"/>
  <c r="H640" i="8" a="1"/>
  <c r="H166" i="8" a="1"/>
  <c r="K699" i="8" a="1"/>
  <c r="K49" i="8" a="1"/>
  <c r="K136" i="8" a="1"/>
  <c r="K519" i="8" a="1"/>
  <c r="K701" i="8" a="1"/>
  <c r="K845" i="8" a="1"/>
  <c r="K282" i="8" a="1"/>
  <c r="K787" i="8" a="1"/>
  <c r="K137" i="8" a="1"/>
  <c r="K144" i="8" a="1"/>
  <c r="K511" i="8" a="1"/>
  <c r="H721" i="8" a="1"/>
  <c r="H913" i="8" a="1"/>
  <c r="H366" i="8" a="1"/>
  <c r="K32" i="8" a="1"/>
  <c r="H221" i="8" a="1"/>
  <c r="H260" i="8" a="1"/>
  <c r="H611" i="8" a="1"/>
  <c r="H1010" i="8" a="1"/>
  <c r="H921" i="8" a="1"/>
  <c r="H342" i="8" a="1"/>
  <c r="H1022" i="8" a="1"/>
  <c r="H175" i="8" a="1"/>
  <c r="K293" i="8" a="1"/>
  <c r="K396" i="8" a="1"/>
  <c r="K892" i="8" a="1"/>
  <c r="K764" i="8" a="1"/>
  <c r="H86" i="8" a="1"/>
  <c r="H485" i="8" a="1"/>
  <c r="H588" i="8" a="1"/>
  <c r="H130" i="8" a="1"/>
  <c r="K738" i="8" a="1"/>
  <c r="K705" i="8" a="1"/>
  <c r="K897" i="8" a="1"/>
  <c r="K350" i="8" a="1"/>
  <c r="K855" i="8" a="1"/>
  <c r="K205" i="8" a="1"/>
  <c r="K244" i="8" a="1"/>
  <c r="K595" i="8" a="1"/>
  <c r="K974" i="8" a="1"/>
  <c r="K905" i="8" a="1"/>
  <c r="K326" i="8" a="1"/>
  <c r="H16" i="8" a="1"/>
  <c r="H225" i="8" a="1"/>
  <c r="H312" i="8" a="1"/>
  <c r="H856" i="8" a="1"/>
  <c r="H730" i="8" a="1"/>
  <c r="H887" i="8" a="1"/>
  <c r="H458" i="8" a="1"/>
  <c r="H115" i="8" a="1"/>
  <c r="H313" i="8" a="1"/>
  <c r="H320" i="8" a="1"/>
  <c r="H848" i="8" a="1"/>
  <c r="K830" i="8" a="1"/>
  <c r="K972" i="8" a="1"/>
  <c r="K622" i="8" a="1"/>
  <c r="K295" i="8" a="1"/>
  <c r="K477" i="8" a="1"/>
  <c r="K516" i="8" a="1"/>
  <c r="K58" i="8" a="1"/>
  <c r="K934" i="8" a="1"/>
  <c r="K688" i="8" a="1"/>
  <c r="K598" i="8" a="1"/>
  <c r="K287" i="8" a="1"/>
  <c r="H497" i="8" a="1"/>
  <c r="H584" i="8" a="1"/>
  <c r="H142" i="8" a="1"/>
  <c r="H647" i="8" a="1"/>
  <c r="H10" i="8" a="1"/>
  <c r="H36" i="8" a="1"/>
  <c r="H387" i="8" a="1"/>
  <c r="H585" i="8" a="1"/>
  <c r="H592" i="8" a="1"/>
  <c r="H118" i="8" a="1"/>
  <c r="K651" i="8" a="1"/>
  <c r="K24" i="8" a="1"/>
  <c r="K88" i="8" a="1"/>
  <c r="K471" i="8" a="1"/>
  <c r="K653" i="8" a="1"/>
  <c r="K797" i="8" a="1"/>
  <c r="K234" i="8" a="1"/>
  <c r="K739" i="8" a="1"/>
  <c r="K89" i="8" a="1"/>
  <c r="K96" i="8" a="1"/>
  <c r="H385" i="8" a="1"/>
  <c r="H472" i="8" a="1"/>
  <c r="H30" i="8" a="1"/>
  <c r="H906" i="8" a="1"/>
  <c r="K731" i="8" a="1"/>
  <c r="K81" i="8" a="1"/>
  <c r="K168" i="8" a="1"/>
  <c r="K551" i="8" a="1"/>
  <c r="K733" i="8" a="1"/>
  <c r="K877" i="8" a="1"/>
  <c r="K314" i="8" a="1"/>
  <c r="K819" i="8" a="1"/>
  <c r="K169" i="8" a="1"/>
  <c r="K176" i="8" a="1"/>
  <c r="K543" i="8" a="1"/>
  <c r="H657" i="8" a="1"/>
  <c r="H849" i="8" a="1"/>
  <c r="H302" i="8" a="1"/>
  <c r="H807" i="8" a="1"/>
  <c r="H157" i="8" a="1"/>
  <c r="H196" i="8" a="1"/>
  <c r="K782" i="8" a="1"/>
  <c r="K971" i="8" a="1"/>
  <c r="K574" i="8" a="1"/>
  <c r="K247" i="8" a="1"/>
  <c r="K429" i="8" a="1"/>
  <c r="K468" i="8" a="1"/>
  <c r="K984" i="8" a="1"/>
  <c r="K886" i="8" a="1"/>
  <c r="K995" i="8" a="1"/>
  <c r="K550" i="8" a="1"/>
  <c r="K239" i="8" a="1"/>
  <c r="H449" i="8" a="1"/>
  <c r="H536" i="8" a="1"/>
  <c r="H94" i="8" a="1"/>
  <c r="H978" i="8" a="1"/>
  <c r="H756" i="8" a="1"/>
  <c r="H19" i="8" a="1"/>
  <c r="H339" i="8" a="1"/>
  <c r="H537" i="8" a="1"/>
  <c r="H544" i="8" a="1"/>
  <c r="H70" i="8" a="1"/>
  <c r="K986" i="8" a="1"/>
  <c r="H6" i="8" a="1"/>
  <c r="K40" i="8" a="1"/>
  <c r="K423" i="8" a="1"/>
  <c r="K605" i="8" a="1"/>
  <c r="K644" i="8" a="1"/>
  <c r="K186" i="8" a="1"/>
  <c r="K691" i="8" a="1"/>
  <c r="K41" i="8" a="1"/>
  <c r="K48" i="8" a="1"/>
  <c r="K415" i="8" a="1"/>
  <c r="H625" i="8" a="1"/>
  <c r="H817" i="8" a="1"/>
  <c r="H270" i="8" a="1"/>
  <c r="H775" i="8" a="1"/>
  <c r="H125" i="8" a="1"/>
  <c r="H164" i="8" a="1"/>
  <c r="H515" i="8" a="1"/>
  <c r="H713" i="8" a="1"/>
  <c r="H825" i="8" a="1"/>
  <c r="H246" i="8" a="1"/>
  <c r="K26" i="8" a="1"/>
  <c r="K847" i="8" a="1"/>
  <c r="K197" i="8" a="1"/>
  <c r="K300" i="8" a="1"/>
  <c r="K796" i="8" a="1"/>
  <c r="K12" i="8" a="1"/>
  <c r="H543" i="8" a="1"/>
  <c r="H389" i="8" a="1"/>
  <c r="H492" i="8" a="1"/>
  <c r="H1000" i="8" a="1"/>
  <c r="K885" i="8" a="1"/>
  <c r="K801" i="8" a="1"/>
  <c r="H599" i="8" a="1"/>
  <c r="K381" i="8" a="1"/>
  <c r="H634" i="8" a="1"/>
  <c r="K643" i="8" a="1"/>
  <c r="K676" i="8" a="1"/>
  <c r="K686" i="8" a="1"/>
  <c r="H440" i="8" a="1"/>
  <c r="K327" i="8" a="1"/>
  <c r="H29" i="8" a="1"/>
  <c r="H159" i="8" a="1"/>
  <c r="K639" i="8" a="1"/>
  <c r="H4" i="8" a="1"/>
  <c r="K92" i="8" a="1"/>
  <c r="K427" i="8" a="1"/>
  <c r="H426" i="8" a="1"/>
  <c r="H735" i="8" a="1"/>
  <c r="H85" i="8" a="1"/>
  <c r="H188" i="8" a="1"/>
  <c r="H523" i="8" a="1"/>
  <c r="H467" i="8" a="1"/>
  <c r="K623" i="8" a="1"/>
  <c r="H15" i="8" a="1"/>
  <c r="K76" i="8" a="1"/>
  <c r="K411" i="8" a="1"/>
  <c r="H451" i="8" a="1"/>
  <c r="H623" i="8" a="1"/>
  <c r="K15" i="8" a="1"/>
  <c r="H76" i="8" a="1"/>
  <c r="H411" i="8" a="1"/>
  <c r="H138" i="8" a="1"/>
  <c r="K703" i="8" a="1"/>
  <c r="K53" i="8" a="1"/>
  <c r="K156" i="8" a="1"/>
  <c r="K491" i="8" a="1"/>
  <c r="H355" i="8" a="1"/>
  <c r="H994" i="8" a="1"/>
  <c r="H98" i="8" a="1"/>
  <c r="H60" i="8" a="1"/>
  <c r="H395" i="8" a="1"/>
  <c r="H918" i="8" a="1"/>
  <c r="K850" i="8" a="1"/>
  <c r="K684" i="8" a="1"/>
  <c r="K642" i="8" a="1"/>
  <c r="K283" i="8" a="1"/>
  <c r="H1011" i="8" a="1"/>
  <c r="H1002" i="8" a="1"/>
  <c r="H997" i="8" a="1"/>
  <c r="H450" i="8" a="1"/>
  <c r="K767" i="8" a="1"/>
  <c r="K486" i="8" a="1"/>
  <c r="H597" i="8" a="1"/>
  <c r="H789" i="8" a="1"/>
  <c r="H242" i="8" a="1"/>
  <c r="K671" i="8" a="1"/>
  <c r="J204" i="8" a="1"/>
  <c r="J966" i="8" a="1"/>
  <c r="J359" i="8" a="1"/>
  <c r="J634" i="8" a="1"/>
  <c r="J325" i="8" a="1"/>
  <c r="J655" i="8" a="1"/>
  <c r="J998" i="8" a="1"/>
  <c r="J798" i="8" a="1"/>
  <c r="J486" i="8" a="1"/>
  <c r="J304" i="8" a="1"/>
  <c r="J500" i="8" a="1"/>
  <c r="J978" i="8" a="1"/>
  <c r="J977" i="8" a="1"/>
  <c r="J624" i="8" a="1"/>
  <c r="J482" i="8" a="1"/>
  <c r="J494" i="8" a="1"/>
  <c r="J620" i="8" a="1"/>
  <c r="J281" i="8" a="1"/>
  <c r="J66" i="8" a="1"/>
  <c r="J413" i="8" a="1"/>
  <c r="J230" i="8" a="1"/>
  <c r="J231" i="8" a="1"/>
  <c r="J102" i="8" a="1"/>
  <c r="J787" i="8" a="1"/>
  <c r="J529" i="8" a="1"/>
  <c r="J822" i="8" a="1"/>
  <c r="J692" i="8" a="1"/>
  <c r="J185" i="8" a="1"/>
  <c r="J641" i="8" a="1"/>
  <c r="J368" i="8" a="1"/>
  <c r="J677" i="8" a="1"/>
  <c r="J717" i="8" a="1"/>
  <c r="J499" i="8" a="1"/>
  <c r="J506" i="8" a="1"/>
  <c r="J579" i="8" a="1"/>
  <c r="J617" i="8" a="1"/>
  <c r="J183" i="8" a="1"/>
  <c r="J541" i="8" a="1"/>
  <c r="J590" i="8" a="1"/>
  <c r="J661" i="8" a="1"/>
  <c r="J184" i="8" a="1"/>
  <c r="J702" i="8" a="1"/>
  <c r="J804" i="8" a="1"/>
  <c r="J305" i="8" a="1"/>
  <c r="J178" i="8" a="1"/>
  <c r="J21" i="8" a="1"/>
  <c r="J335" i="8" a="1"/>
  <c r="J673" i="8" a="1"/>
  <c r="J26" i="8" a="1"/>
  <c r="J962" i="8" a="1"/>
  <c r="J957" i="8" a="1"/>
  <c r="J546" i="8" a="1"/>
  <c r="J284" i="8" a="1"/>
  <c r="J180" i="8" a="1"/>
  <c r="J820" i="8" a="1"/>
  <c r="J643" i="8" a="1"/>
  <c r="J934" i="8" a="1"/>
  <c r="J945" i="8" a="1"/>
  <c r="J408" i="8" a="1"/>
  <c r="J329" i="8" a="1"/>
  <c r="J298" i="8" a="1"/>
  <c r="J731" i="8" a="1"/>
  <c r="J1009" i="8" a="1"/>
  <c r="J296" i="8" a="1"/>
  <c r="J45" i="8" a="1"/>
  <c r="J539" i="8" a="1"/>
  <c r="J472" i="8" a="1"/>
  <c r="J682" i="8" a="1"/>
  <c r="J603" i="8" a="1"/>
  <c r="J561" i="8" a="1"/>
  <c r="J845" i="8" a="1"/>
  <c r="J463" i="8" a="1"/>
  <c r="K254" i="8" a="1"/>
  <c r="H781" i="8" a="1"/>
  <c r="K420" i="8" a="1"/>
  <c r="H291" i="8" a="1"/>
  <c r="K768" i="8" a="1"/>
  <c r="K218" i="8" a="1"/>
  <c r="K875" i="8" a="1"/>
  <c r="H992" i="8" a="1"/>
  <c r="K509" i="8" a="1"/>
  <c r="H68" i="8" a="1"/>
  <c r="H293" i="8" a="1"/>
  <c r="K914" i="8" a="1"/>
  <c r="K732" i="8" a="1"/>
  <c r="K27" i="8" a="1"/>
  <c r="K331" i="8" a="1"/>
  <c r="H547" i="8" a="1"/>
  <c r="H639" i="8" a="1"/>
  <c r="K4" i="8" a="1"/>
  <c r="H92" i="8" a="1"/>
  <c r="H427" i="8" a="1"/>
  <c r="H739" i="8" a="1"/>
  <c r="K898" i="8" a="1"/>
  <c r="K716" i="8" a="1"/>
  <c r="K1015" i="8" a="1"/>
  <c r="K315" i="8" a="1"/>
  <c r="H723" i="8" a="1"/>
  <c r="H898" i="8" a="1"/>
  <c r="H716" i="8" a="1"/>
  <c r="H1015" i="8" a="1"/>
  <c r="H315" i="8" a="1"/>
  <c r="H371" i="8" a="1"/>
  <c r="K994" i="8" a="1"/>
  <c r="K98" i="8" a="1"/>
  <c r="K60" i="8" a="1"/>
  <c r="K395" i="8" a="1"/>
  <c r="H627" i="8" a="1"/>
  <c r="H882" i="8" a="1"/>
  <c r="H700" i="8" a="1"/>
  <c r="H658" i="8" a="1"/>
  <c r="H299" i="8" a="1"/>
  <c r="H473" i="8" a="1"/>
  <c r="K754" i="8" a="1"/>
  <c r="K943" i="8" a="1"/>
  <c r="K546" i="8" a="1"/>
  <c r="H931" i="8" a="1"/>
  <c r="H464" i="8" a="1"/>
  <c r="H709" i="8" a="1"/>
  <c r="H901" i="8" a="1"/>
  <c r="H354" i="8" a="1"/>
  <c r="K405" i="8" a="1"/>
  <c r="K102" i="8" a="1"/>
  <c r="H501" i="8" a="1"/>
  <c r="H604" i="8" a="1"/>
  <c r="H146" i="8" a="1"/>
  <c r="K988" i="8" a="1"/>
  <c r="J19" i="8" a="1"/>
  <c r="J391" i="8" a="1"/>
  <c r="J219" i="8" a="1"/>
  <c r="J421" i="8" a="1"/>
  <c r="J493" i="8" a="1"/>
  <c r="J245" i="8" a="1"/>
  <c r="J984" i="8" a="1"/>
  <c r="J380" i="8" a="1"/>
  <c r="J365" i="8" a="1"/>
  <c r="J852" i="8" a="1"/>
  <c r="J456" i="8" a="1"/>
  <c r="J451" i="8" a="1"/>
  <c r="J571" i="8" a="1"/>
  <c r="J158" i="8" a="1"/>
  <c r="J341" i="8" a="1"/>
  <c r="J301" i="8" a="1"/>
  <c r="J140" i="8" a="1"/>
  <c r="J443" i="8" a="1"/>
  <c r="J50" i="8" a="1"/>
  <c r="J429" i="8" a="1"/>
  <c r="J563" i="8" a="1"/>
  <c r="J147" i="8" a="1"/>
  <c r="J388" i="8" a="1"/>
  <c r="J513" i="8" a="1"/>
  <c r="J354" i="8" a="1"/>
  <c r="J345" i="8" a="1"/>
  <c r="J924" i="8" a="1"/>
  <c r="J1019" i="8" a="1"/>
  <c r="J865" i="8" a="1"/>
  <c r="J426" i="8" a="1"/>
  <c r="J651" i="8" a="1"/>
  <c r="J392" i="8" a="1"/>
  <c r="J686" i="8" a="1"/>
  <c r="J103" i="8" a="1"/>
  <c r="J621" i="8" a="1"/>
  <c r="J738" i="8" a="1"/>
  <c r="J229" i="8" a="1"/>
  <c r="J360" i="8" a="1"/>
  <c r="J197" i="8" a="1"/>
  <c r="J386" i="8" a="1"/>
  <c r="J516" i="8" a="1"/>
  <c r="J24" i="8" a="1"/>
  <c r="J23" i="8" a="1"/>
  <c r="J883" i="8" a="1"/>
  <c r="J402" i="8" a="1"/>
  <c r="J450" i="8" a="1"/>
  <c r="J973" i="8" a="1"/>
  <c r="J839" i="8" a="1"/>
  <c r="J723" i="8" a="1"/>
  <c r="J38" i="8" a="1"/>
  <c r="J1006" i="8" a="1"/>
  <c r="J59" i="8" a="1"/>
  <c r="J572" i="8" a="1"/>
  <c r="J57" i="8" a="1"/>
  <c r="J446" i="8" a="1"/>
  <c r="J16" i="8" a="1"/>
  <c r="J375" i="8" a="1"/>
  <c r="J742" i="8" a="1"/>
  <c r="J349" i="8" a="1"/>
  <c r="J956" i="8" a="1"/>
  <c r="J842" i="8" a="1"/>
  <c r="J490" i="8" a="1"/>
  <c r="J527" i="8" a="1"/>
  <c r="J107" i="8" a="1"/>
  <c r="J78" i="8" a="1"/>
  <c r="J745" i="8" a="1"/>
  <c r="J234" i="8" a="1"/>
  <c r="J462" i="8" a="1"/>
  <c r="J900" i="8" a="1"/>
  <c r="J747" i="8" a="1"/>
  <c r="J654" i="8" a="1"/>
  <c r="J566" i="8" a="1"/>
  <c r="K759" i="8" a="1"/>
  <c r="H925" i="8" a="1"/>
  <c r="K932" i="8" a="1"/>
  <c r="H489" i="8" a="1"/>
  <c r="K1019" i="8" a="1"/>
  <c r="K723" i="8" a="1"/>
  <c r="K478" i="8" a="1"/>
  <c r="H874" i="8" a="1"/>
  <c r="K548" i="8" a="1"/>
  <c r="H419" i="8" a="1"/>
  <c r="H396" i="8" a="1"/>
  <c r="K802" i="8" a="1"/>
  <c r="K991" i="8" a="1"/>
  <c r="K594" i="8" a="1"/>
  <c r="K235" i="8" a="1"/>
  <c r="H819" i="8" a="1"/>
  <c r="H914" i="8" a="1"/>
  <c r="H732" i="8" a="1"/>
  <c r="H27" i="8" a="1"/>
  <c r="H331" i="8" a="1"/>
  <c r="H665" i="8" a="1"/>
  <c r="K786" i="8" a="1"/>
  <c r="K975" i="8" a="1"/>
  <c r="K578" i="8" a="1"/>
  <c r="K219" i="8" a="1"/>
  <c r="H649" i="8" a="1"/>
  <c r="H786" i="8" a="1"/>
  <c r="H975" i="8" a="1"/>
  <c r="H578" i="8" a="1"/>
  <c r="H219" i="8" a="1"/>
  <c r="H643" i="8" a="1"/>
  <c r="K882" i="8" a="1"/>
  <c r="K700" i="8" a="1"/>
  <c r="K658" i="8" a="1"/>
  <c r="K299" i="8" a="1"/>
  <c r="H553" i="8" a="1"/>
  <c r="H770" i="8" a="1"/>
  <c r="H959" i="8" a="1"/>
  <c r="H562" i="8" a="1"/>
  <c r="H203" i="8" a="1"/>
  <c r="H996" i="8" a="1"/>
  <c r="K1002" i="8" a="1"/>
  <c r="K997" i="8" a="1"/>
  <c r="K450" i="8" a="1"/>
  <c r="K863" i="8" a="1"/>
  <c r="H582" i="8" a="1"/>
  <c r="H613" i="8" a="1"/>
  <c r="H805" i="8" a="1"/>
  <c r="H258" i="8" a="1"/>
  <c r="K981" i="8" a="1"/>
  <c r="K559" i="8" a="1"/>
  <c r="H405" i="8" a="1"/>
  <c r="H508" i="8" a="1"/>
  <c r="H18" i="8" a="1"/>
  <c r="K220" i="8" a="1"/>
  <c r="J253" i="8" a="1"/>
  <c r="J67" i="8" a="1"/>
  <c r="J827" i="8" a="1"/>
  <c r="J816" i="8" a="1"/>
  <c r="J155" i="8" a="1"/>
  <c r="J878" i="8" a="1"/>
  <c r="J288" i="8" a="1"/>
  <c r="J857" i="8" a="1"/>
  <c r="J551" i="8" a="1"/>
  <c r="J589" i="8" a="1"/>
  <c r="J344" i="8" a="1"/>
  <c r="J39" i="8" a="1"/>
  <c r="J558" i="8" a="1"/>
  <c r="J1001" i="8" a="1"/>
  <c r="J749" i="8" a="1"/>
  <c r="J342" i="8" a="1"/>
  <c r="J233" i="8" a="1"/>
  <c r="J95" i="8" a="1"/>
  <c r="J616" i="8" a="1"/>
  <c r="J487" i="8" a="1"/>
  <c r="J514" i="8" a="1"/>
  <c r="J832" i="8" a="1"/>
  <c r="J435" i="8" a="1"/>
  <c r="J812" i="8" a="1"/>
  <c r="J292" i="8" a="1"/>
  <c r="J110" i="8" a="1"/>
  <c r="J993" i="8" a="1"/>
  <c r="J504" i="8" a="1"/>
  <c r="J237" i="8" a="1"/>
  <c r="J191" i="8" a="1"/>
  <c r="J157" i="8" a="1"/>
  <c r="J83" i="8" a="1"/>
  <c r="J76" i="8" a="1"/>
  <c r="J597" i="8" a="1"/>
  <c r="J938" i="8" a="1"/>
  <c r="J260" i="8" a="1"/>
  <c r="J846" i="8" a="1"/>
  <c r="J173" i="8" a="1"/>
  <c r="J707" i="8" a="1"/>
  <c r="J698" i="8" a="1"/>
  <c r="J372" i="8" a="1"/>
  <c r="J779" i="8" a="1"/>
  <c r="J940" i="8" a="1"/>
  <c r="J888" i="8" a="1"/>
  <c r="J89" i="8" a="1"/>
  <c r="J904" i="8" a="1"/>
  <c r="J112" i="8" a="1"/>
  <c r="J30" i="8" a="1"/>
  <c r="J428" i="8" a="1"/>
  <c r="J578" i="8" a="1"/>
  <c r="J324" i="8" a="1"/>
  <c r="J206" i="8" a="1"/>
  <c r="J240" i="8" a="1"/>
  <c r="J818" i="8" a="1"/>
  <c r="J628" i="8" a="1"/>
  <c r="J318" i="8" a="1"/>
  <c r="J214" i="8" a="1"/>
  <c r="J784" i="8" a="1"/>
  <c r="J671" i="8" a="1"/>
  <c r="J300" i="8" a="1"/>
  <c r="J64" i="8" a="1"/>
  <c r="J212" i="8" a="1"/>
  <c r="J732" i="8" a="1"/>
  <c r="J44" i="8" a="1"/>
  <c r="J649" i="8" a="1"/>
  <c r="J11" i="8" a="1"/>
  <c r="J148" i="8" a="1"/>
  <c r="J766" i="8" a="1"/>
  <c r="J395" i="8" a="1"/>
  <c r="J933" i="8" a="1"/>
  <c r="J195" i="8" a="1"/>
  <c r="K109" i="8" a="1"/>
  <c r="H362" i="8" a="1"/>
  <c r="K822" i="8" a="1"/>
  <c r="H496" i="8" a="1"/>
  <c r="H289" i="8" a="1"/>
  <c r="K73" i="8" a="1"/>
  <c r="K151" i="8" a="1"/>
  <c r="H1008" i="8" a="1"/>
  <c r="K90" i="8" a="1"/>
  <c r="H617" i="8" a="1"/>
  <c r="H892" i="8" a="1"/>
  <c r="K706" i="8" a="1"/>
  <c r="K895" i="8" a="1"/>
  <c r="K498" i="8" a="1"/>
  <c r="K139" i="8" a="1"/>
  <c r="H745" i="8" a="1"/>
  <c r="H802" i="8" a="1"/>
  <c r="H991" i="8" a="1"/>
  <c r="H594" i="8" a="1"/>
  <c r="H235" i="8" a="1"/>
  <c r="H89" i="8" a="1"/>
  <c r="K690" i="8" a="1"/>
  <c r="K879" i="8" a="1"/>
  <c r="K482" i="8" a="1"/>
  <c r="K123" i="8" a="1"/>
  <c r="H73" i="8" a="1"/>
  <c r="H690" i="8" a="1"/>
  <c r="H879" i="8" a="1"/>
  <c r="H482" i="8" a="1"/>
  <c r="H123" i="8" a="1"/>
  <c r="H569" i="8" a="1"/>
  <c r="K770" i="8" a="1"/>
  <c r="K959" i="8" a="1"/>
  <c r="K562" i="8" a="1"/>
  <c r="K203" i="8" a="1"/>
  <c r="H752" i="8" a="1"/>
  <c r="H674" i="8" a="1"/>
  <c r="H1013" i="8" a="1"/>
  <c r="H466" i="8" a="1"/>
  <c r="H187" i="8" a="1"/>
  <c r="H480" i="8" a="1"/>
  <c r="K709" i="8" a="1"/>
  <c r="K901" i="8" a="1"/>
  <c r="K354" i="8" a="1"/>
  <c r="K309" i="8" a="1"/>
  <c r="H198" i="8" a="1"/>
  <c r="H517" i="8" a="1"/>
  <c r="H620" i="8" a="1"/>
  <c r="H162" i="8" a="1"/>
  <c r="K338" i="8" a="1"/>
  <c r="K175" i="8" a="1"/>
  <c r="H309" i="8" a="1"/>
  <c r="H412" i="8" a="1"/>
  <c r="H908" i="8" a="1"/>
  <c r="K18" i="8" a="1"/>
  <c r="J485" i="8" a="1"/>
  <c r="J31" i="8" a="1"/>
  <c r="J522" i="8" a="1"/>
  <c r="J512" i="8" a="1"/>
  <c r="J880" i="8" a="1"/>
  <c r="J902" i="8" a="1"/>
  <c r="J488" i="8" a="1"/>
  <c r="J645" i="8" a="1"/>
  <c r="J177" i="8" a="1"/>
  <c r="J877" i="8" a="1"/>
  <c r="J208" i="8" a="1"/>
  <c r="J242" i="8" a="1"/>
  <c r="J287" i="8" a="1"/>
  <c r="J744" i="8" a="1"/>
  <c r="J982" i="8" a="1"/>
  <c r="J36" i="8" a="1"/>
  <c r="J515" i="8" a="1"/>
  <c r="J131" i="8" a="1"/>
  <c r="J394" i="8" a="1"/>
  <c r="J980" i="8" a="1"/>
  <c r="J870" i="8" a="1"/>
  <c r="J257" i="8" a="1"/>
  <c r="J246" i="8" a="1"/>
  <c r="J363" i="8" a="1"/>
  <c r="J80" i="8" a="1"/>
  <c r="J789" i="8" a="1"/>
  <c r="J193" i="8" a="1"/>
  <c r="J194" i="8" a="1"/>
  <c r="J670" i="8" a="1"/>
  <c r="J238" i="8" a="1"/>
  <c r="J600" i="8" a="1"/>
  <c r="J393" i="8" a="1"/>
  <c r="J385" i="8" a="1"/>
  <c r="J990" i="8" a="1"/>
  <c r="J187" i="8" a="1"/>
  <c r="J714" i="8" a="1"/>
  <c r="J897" i="8" a="1"/>
  <c r="J437" i="8" a="1"/>
  <c r="J879" i="8" a="1"/>
  <c r="J81" i="8" a="1"/>
  <c r="J838" i="8" a="1"/>
  <c r="J952" i="8" a="1"/>
  <c r="J77" i="8" a="1"/>
  <c r="J202" i="8" a="1"/>
  <c r="J588" i="8" a="1"/>
  <c r="J896" i="8" a="1"/>
  <c r="J889" i="8" a="1"/>
  <c r="J106" i="8" a="1"/>
  <c r="J905" i="8" a="1"/>
  <c r="J123" i="8" a="1"/>
  <c r="J376" i="8" a="1"/>
  <c r="J716" i="8" a="1"/>
  <c r="J533" i="8" a="1"/>
  <c r="J740" i="8" a="1"/>
  <c r="J637" i="8" a="1"/>
  <c r="J266" i="8" a="1"/>
  <c r="J537" i="8" a="1"/>
  <c r="J42" i="8" a="1"/>
  <c r="J913" i="8" a="1"/>
  <c r="J958" i="8" a="1"/>
  <c r="J1003" i="8" a="1"/>
  <c r="J477" i="8" a="1"/>
  <c r="J470" i="8" a="1"/>
  <c r="J884" i="8" a="1"/>
  <c r="J935" i="8" a="1"/>
  <c r="J674" i="8" a="1"/>
  <c r="J735" i="8" a="1"/>
  <c r="J585" i="8" a="1"/>
  <c r="J967" i="8" a="1"/>
  <c r="J987" i="8" a="1"/>
  <c r="K148" i="8" a="1"/>
  <c r="H867" i="8" a="1"/>
  <c r="K947" i="8" a="1"/>
  <c r="H22" i="8" a="1"/>
  <c r="H376" i="8" a="1"/>
  <c r="K80" i="8" a="1"/>
  <c r="K333" i="8" a="1"/>
  <c r="H586" i="8" a="1"/>
  <c r="K970" i="8" a="1"/>
  <c r="H624" i="8" a="1"/>
  <c r="H155" i="8" a="1"/>
  <c r="K757" i="8" a="1"/>
  <c r="K949" i="8" a="1"/>
  <c r="K402" i="8" a="1"/>
  <c r="K107" i="8" a="1"/>
  <c r="H169" i="8" a="1"/>
  <c r="H706" i="8" a="1"/>
  <c r="H895" i="8" a="1"/>
  <c r="H498" i="8" a="1"/>
  <c r="H139" i="8" a="1"/>
  <c r="H672" i="8" a="1"/>
  <c r="K741" i="8" a="1"/>
  <c r="K933" i="8" a="1"/>
  <c r="K386" i="8" a="1"/>
  <c r="H9" i="8" a="1"/>
  <c r="H656" i="8" a="1"/>
  <c r="H741" i="8" a="1"/>
  <c r="H933" i="8" a="1"/>
  <c r="H386" i="8" a="1"/>
  <c r="K9" i="8" a="1"/>
  <c r="H768" i="8" a="1"/>
  <c r="K674" i="8" a="1"/>
  <c r="K1013" i="8" a="1"/>
  <c r="K466" i="8" a="1"/>
  <c r="H91" i="8" a="1"/>
  <c r="H560" i="8" a="1"/>
  <c r="H725" i="8" a="1"/>
  <c r="H917" i="8" a="1"/>
  <c r="H370" i="8" a="1"/>
  <c r="H182" i="8" a="1"/>
  <c r="K582" i="8" a="1"/>
  <c r="K613" i="8" a="1"/>
  <c r="K805" i="8" a="1"/>
  <c r="K258" i="8" a="1"/>
  <c r="K604" i="8" a="1"/>
  <c r="H816" i="8" a="1"/>
  <c r="H421" i="8" a="1"/>
  <c r="H524" i="8" a="1"/>
  <c r="H34" i="8" a="1"/>
  <c r="K459" i="8" a="1"/>
  <c r="H863" i="8" a="1"/>
  <c r="H213" i="8" a="1"/>
  <c r="H316" i="8" a="1"/>
  <c r="H812" i="8" a="1"/>
  <c r="J8" i="8" a="1"/>
  <c r="J520" i="8" a="1"/>
  <c r="J114" i="8" a="1"/>
  <c r="J439" i="8" a="1"/>
  <c r="J387" i="8" a="1"/>
  <c r="J729" i="8" a="1"/>
  <c r="J79" i="8" a="1"/>
  <c r="J607" i="8" a="1"/>
  <c r="J915" i="8" a="1"/>
  <c r="J765" i="8" a="1"/>
  <c r="J777" i="8" a="1"/>
  <c r="J767" i="8" a="1"/>
  <c r="J805" i="8" a="1"/>
  <c r="J216" i="8" a="1"/>
  <c r="J866" i="8" a="1"/>
  <c r="J326" i="8" a="1"/>
  <c r="J73" i="8" a="1"/>
  <c r="J320" i="8" a="1"/>
  <c r="J656" i="8" a="1"/>
  <c r="J13" i="8" a="1"/>
  <c r="J159" i="8" a="1"/>
  <c r="J772" i="8" a="1"/>
  <c r="J417" i="8" a="1"/>
  <c r="J293" i="8" a="1"/>
  <c r="J476" i="8" a="1"/>
  <c r="J418" i="8" a="1"/>
  <c r="J678" i="8" a="1"/>
  <c r="J215" i="8" a="1"/>
  <c r="J799" i="8" a="1"/>
  <c r="J986" i="8" a="1"/>
  <c r="J907" i="8" a="1"/>
  <c r="J250" i="8" a="1"/>
  <c r="J636" i="8" a="1"/>
  <c r="J806" i="8" a="1"/>
  <c r="J65" i="8" a="1"/>
  <c r="J168" i="8" a="1"/>
  <c r="J761" i="8" a="1"/>
  <c r="J346" i="8" a="1"/>
  <c r="J98" i="8" a="1"/>
  <c r="J646" i="8" a="1"/>
  <c r="J576" i="8" a="1"/>
  <c r="J680" i="8" a="1"/>
  <c r="J835" i="8" a="1"/>
  <c r="J794" i="8" a="1"/>
  <c r="J258" i="8" a="1"/>
  <c r="J308" i="8" a="1"/>
  <c r="J252" i="8" a="1"/>
  <c r="J736" i="8" a="1"/>
  <c r="J503" i="8" a="1"/>
  <c r="J771" i="8" a="1"/>
  <c r="J51" i="8" a="1"/>
  <c r="J976" i="8" a="1"/>
  <c r="J61" i="8" a="1"/>
  <c r="J570" i="8" a="1"/>
  <c r="J560" i="8" a="1"/>
  <c r="J68" i="8" a="1"/>
  <c r="J786" i="8" a="1"/>
  <c r="J489" i="8" a="1"/>
  <c r="J179" i="8" a="1"/>
  <c r="J422" i="8" a="1"/>
  <c r="J154" i="8" a="1"/>
  <c r="J918" i="8" a="1"/>
  <c r="J455" i="8" a="1"/>
  <c r="J121" i="8" a="1"/>
  <c r="J856" i="8" a="1"/>
  <c r="J676" i="8" a="1"/>
  <c r="J653" i="8" a="1"/>
  <c r="J483" i="8" a="1"/>
  <c r="J611" i="8" a="1"/>
  <c r="K499" i="8" a="1"/>
  <c r="H217" i="8" a="1"/>
  <c r="K502" i="8" a="1"/>
  <c r="K926" i="8" a="1"/>
  <c r="H920" i="8" a="1"/>
  <c r="K447" i="8" a="1"/>
  <c r="K372" i="8" a="1"/>
  <c r="H243" i="8" a="1"/>
  <c r="K720" i="8" a="1"/>
  <c r="H150" i="8" a="1"/>
  <c r="K146" i="8" a="1"/>
  <c r="K661" i="8" a="1"/>
  <c r="K853" i="8" a="1"/>
  <c r="K306" i="8" a="1"/>
  <c r="K187" i="8" a="1"/>
  <c r="H857" i="8" a="1"/>
  <c r="H757" i="8" a="1"/>
  <c r="H949" i="8" a="1"/>
  <c r="H402" i="8" a="1"/>
  <c r="K870" i="8" a="1"/>
  <c r="H96" i="8" a="1"/>
  <c r="K645" i="8" a="1"/>
  <c r="K837" i="8" a="1"/>
  <c r="K290" i="8" a="1"/>
  <c r="H870" i="8" a="1"/>
  <c r="H80" i="8" a="1"/>
  <c r="H645" i="8" a="1"/>
  <c r="H837" i="8" a="1"/>
  <c r="H290" i="8" a="1"/>
  <c r="H107" i="8" a="1"/>
  <c r="H576" i="8" a="1"/>
  <c r="K725" i="8" a="1"/>
  <c r="K917" i="8" a="1"/>
  <c r="K370" i="8" a="1"/>
  <c r="H800" i="8" a="1"/>
  <c r="H662" i="8" a="1"/>
  <c r="H629" i="8" a="1"/>
  <c r="H821" i="8" a="1"/>
  <c r="H274" i="8" a="1"/>
  <c r="K597" i="8" a="1"/>
  <c r="K198" i="8" a="1"/>
  <c r="K517" i="8" a="1"/>
  <c r="K620" i="8" a="1"/>
  <c r="K162" i="8" a="1"/>
  <c r="K530" i="8" a="1"/>
  <c r="H271" i="8" a="1"/>
  <c r="H325" i="8" a="1"/>
  <c r="H428" i="8" a="1"/>
  <c r="H924" i="8" a="1"/>
  <c r="H116" i="8" a="1"/>
  <c r="H767" i="8" a="1"/>
  <c r="H117" i="8" a="1"/>
  <c r="H220" i="8" a="1"/>
  <c r="H555" i="8" a="1"/>
  <c r="J25" i="8" a="1"/>
  <c r="J333" i="8" a="1"/>
  <c r="J941" i="8" a="1"/>
  <c r="J1013" i="8" a="1"/>
  <c r="J84" i="8" a="1"/>
  <c r="J687" i="8" a="1"/>
  <c r="J14" i="8" a="1"/>
  <c r="J629" i="8" a="1"/>
  <c r="J282" i="8" a="1"/>
  <c r="J473" i="8" a="1"/>
  <c r="J232" i="8" a="1"/>
  <c r="J225" i="8" a="1"/>
  <c r="J547" i="8" a="1"/>
  <c r="J498" i="8" a="1"/>
  <c r="J797" i="8" a="1"/>
  <c r="J591" i="8" a="1"/>
  <c r="J295" i="8" a="1"/>
  <c r="J47" i="8" a="1"/>
  <c r="J277" i="8" a="1"/>
  <c r="J828" i="8" a="1"/>
  <c r="J910" i="8" a="1"/>
  <c r="J43" i="8" a="1"/>
  <c r="J49" i="8" a="1"/>
  <c r="J961" i="8" a="1"/>
  <c r="J781" i="8" a="1"/>
  <c r="J226" i="8" a="1"/>
  <c r="J763" i="8" a="1"/>
  <c r="J355" i="8" a="1"/>
  <c r="J574" i="8" a="1"/>
  <c r="J220" i="8" a="1"/>
  <c r="J954" i="8" a="1"/>
  <c r="J255" i="8" a="1"/>
  <c r="J599" i="8" a="1"/>
  <c r="J268" i="8" a="1"/>
  <c r="J926" i="8" a="1"/>
  <c r="J347" i="8" a="1"/>
  <c r="J876" i="8" a="1"/>
  <c r="J690" i="8" a="1"/>
  <c r="J974" i="8" a="1"/>
  <c r="J270" i="8" a="1"/>
  <c r="J813" i="8" a="1"/>
  <c r="J550" i="8" a="1"/>
  <c r="J116" i="8" a="1"/>
  <c r="J35" i="8" a="1"/>
  <c r="J141" i="8" a="1"/>
  <c r="J724" i="8" a="1"/>
  <c r="J314" i="8" a="1"/>
  <c r="J410" i="8" a="1"/>
  <c r="J378" i="8" a="1"/>
  <c r="J696" i="8" a="1"/>
  <c r="J911" i="8" a="1"/>
  <c r="J638" i="8" a="1"/>
  <c r="J142" i="8" a="1"/>
  <c r="J931" i="8" a="1"/>
  <c r="J518" i="8" a="1"/>
  <c r="J218" i="8" a="1"/>
  <c r="J310" i="8" a="1"/>
  <c r="J871" i="8" a="1"/>
  <c r="J27" i="8" a="1"/>
  <c r="J540" i="8" a="1"/>
  <c r="J340" i="8" a="1"/>
  <c r="J332" i="8" a="1"/>
  <c r="J901" i="8" a="1"/>
  <c r="J188" i="8" a="1"/>
  <c r="J559" i="8" a="1"/>
  <c r="J725" i="8" a="1"/>
  <c r="J927" i="8" a="1"/>
  <c r="J999" i="8" a="1"/>
  <c r="J40" i="8" a="1"/>
  <c r="J868" i="8" a="1"/>
  <c r="J776" i="8" a="1"/>
  <c r="J317" i="8" a="1"/>
  <c r="J809" i="8" a="1"/>
  <c r="K697" i="8" a="1"/>
  <c r="H224" i="8" a="1"/>
  <c r="K191" i="8" a="1"/>
  <c r="K744" i="8" a="1"/>
  <c r="H794" i="8" a="1"/>
  <c r="H561" i="8" a="1"/>
  <c r="K884" i="8" a="1"/>
  <c r="H441" i="8" a="1"/>
  <c r="K630" i="8" a="1"/>
  <c r="H1024" i="8" a="1"/>
  <c r="H563" i="8" a="1"/>
  <c r="K565" i="8" a="1"/>
  <c r="K668" i="8" a="1"/>
  <c r="K210" i="8" a="1"/>
  <c r="H566" i="8" a="1"/>
  <c r="H176" i="8" a="1"/>
  <c r="H661" i="8" a="1"/>
  <c r="H853" i="8" a="1"/>
  <c r="H306" i="8" a="1"/>
  <c r="H384" i="8" a="1"/>
  <c r="H374" i="8" a="1"/>
  <c r="K549" i="8" a="1"/>
  <c r="K652" i="8" a="1"/>
  <c r="K194" i="8" a="1"/>
  <c r="H179" i="8" a="1"/>
  <c r="K294" i="8" a="1"/>
  <c r="H549" i="8" a="1"/>
  <c r="H652" i="8" a="1"/>
  <c r="H194" i="8" a="1"/>
  <c r="H806" i="8" a="1"/>
  <c r="H1019" i="8" a="1"/>
  <c r="K629" i="8" a="1"/>
  <c r="K821" i="8" a="1"/>
  <c r="K274" i="8" a="1"/>
  <c r="K501" i="8" a="1"/>
  <c r="H278" i="8" a="1"/>
  <c r="H533" i="8" a="1"/>
  <c r="H636" i="8" a="1"/>
  <c r="H178" i="8" a="1"/>
  <c r="K508" i="8" a="1"/>
  <c r="K816" i="8" a="1"/>
  <c r="K421" i="8" a="1"/>
  <c r="K524" i="8" a="1"/>
  <c r="K34" i="8" a="1"/>
  <c r="K267" i="8" a="1"/>
  <c r="K14" i="8" a="1"/>
  <c r="H229" i="8" a="1"/>
  <c r="H332" i="8" a="1"/>
  <c r="H828" i="8" a="1"/>
  <c r="H900" i="8" a="1"/>
  <c r="H671" i="8" a="1"/>
  <c r="H21" i="8" a="1"/>
  <c r="H124" i="8" a="1"/>
  <c r="H459" i="8" a="1"/>
  <c r="J312" i="8" a="1"/>
  <c r="J1018" i="8" a="1"/>
  <c r="J719" i="8" a="1"/>
  <c r="J586" i="8" a="1"/>
  <c r="J163" i="8" a="1"/>
  <c r="J587" i="8" a="1"/>
  <c r="J221" i="8" a="1"/>
  <c r="J583" i="8" a="1"/>
  <c r="J279" i="8" a="1"/>
  <c r="J764" i="8" a="1"/>
  <c r="J823" i="8" a="1"/>
  <c r="J109" i="8" a="1"/>
  <c r="J507" i="8" a="1"/>
  <c r="J595" i="8" a="1"/>
  <c r="J254" i="8" a="1"/>
  <c r="J56" i="8" a="1"/>
  <c r="J69" i="8" a="1"/>
  <c r="J454" i="8" a="1"/>
  <c r="J224" i="8" a="1"/>
  <c r="J171" i="8" a="1"/>
  <c r="J675" i="8" a="1"/>
  <c r="J826" i="8" a="1"/>
  <c r="J531" i="8" a="1"/>
  <c r="J1011" i="8" a="1"/>
  <c r="J644" i="8" a="1"/>
  <c r="J930" i="8" a="1"/>
  <c r="J390" i="8" a="1"/>
  <c r="J259" i="8" a="1"/>
  <c r="J267" i="8" a="1"/>
  <c r="J703" i="8" a="1"/>
  <c r="J407" i="8" a="1"/>
  <c r="J850" i="8" a="1"/>
  <c r="J887" i="8" a="1"/>
  <c r="J432" i="8" a="1"/>
  <c r="J557" i="8" a="1"/>
  <c r="J356" i="8" a="1"/>
  <c r="J479" i="8" a="1"/>
  <c r="J211" i="8" a="1"/>
  <c r="J241" i="8" a="1"/>
  <c r="J849" i="8" a="1"/>
  <c r="J217" i="8" a="1"/>
  <c r="J969" i="8" a="1"/>
  <c r="J669" i="8" a="1"/>
  <c r="J118" i="8" a="1"/>
  <c r="J357" i="8" a="1"/>
  <c r="J596" i="8" a="1"/>
  <c r="J932" i="8" a="1"/>
  <c r="J481" i="8" a="1"/>
  <c r="J909" i="8" a="1"/>
  <c r="J564" i="8" a="1"/>
  <c r="J770" i="8" a="1"/>
  <c r="J34" i="8" a="1"/>
  <c r="J425" i="8" a="1"/>
  <c r="J981" i="8" a="1"/>
  <c r="J403" i="8" a="1"/>
  <c r="J97" i="8" a="1"/>
  <c r="J60" i="8" a="1"/>
  <c r="J860" i="8" a="1"/>
  <c r="J306" i="8" a="1"/>
  <c r="J833" i="8" a="1"/>
  <c r="J235" i="8" a="1"/>
  <c r="J302" i="8" a="1"/>
  <c r="J893" i="8" a="1"/>
  <c r="J734" i="8" a="1"/>
  <c r="J299" i="8" a="1"/>
  <c r="J100" i="8" a="1"/>
  <c r="J239" i="8" a="1"/>
  <c r="J939" i="8" a="1"/>
  <c r="J334" i="8" a="1"/>
  <c r="J269" i="8" a="1"/>
  <c r="J448" i="8" a="1"/>
  <c r="K809" i="8" a="1"/>
  <c r="H591" i="8" a="1"/>
  <c r="H401" i="8" a="1"/>
  <c r="K39" i="8" a="1"/>
  <c r="K635" i="8" a="1"/>
  <c r="H648" i="8" a="1"/>
  <c r="K774" i="8" a="1"/>
  <c r="H448" i="8" a="1"/>
  <c r="K319" i="8" a="1"/>
  <c r="K751" i="8" a="1"/>
  <c r="H185" i="8" a="1"/>
  <c r="K469" i="8" a="1"/>
  <c r="K572" i="8" a="1"/>
  <c r="K114" i="8" a="1"/>
  <c r="K946" i="8" a="1"/>
  <c r="H390" i="8" a="1"/>
  <c r="H565" i="8" a="1"/>
  <c r="H668" i="8" a="1"/>
  <c r="H210" i="8" a="1"/>
  <c r="K213" i="8" a="1"/>
  <c r="H1004" i="8" a="1"/>
  <c r="K453" i="8" a="1"/>
  <c r="K556" i="8" a="1"/>
  <c r="K66" i="8" a="1"/>
  <c r="K834" i="8" a="1"/>
  <c r="K912" i="8" a="1"/>
  <c r="H453" i="8" a="1"/>
  <c r="H556" i="8" a="1"/>
  <c r="H66" i="8" a="1"/>
  <c r="K962" i="8" a="1"/>
  <c r="H294" i="8" a="1"/>
  <c r="K533" i="8" a="1"/>
  <c r="K636" i="8" a="1"/>
  <c r="K178" i="8" a="1"/>
  <c r="K789" i="8" a="1"/>
  <c r="H896" i="8" a="1"/>
  <c r="H437" i="8" a="1"/>
  <c r="H540" i="8" a="1"/>
  <c r="H50" i="8" a="1"/>
  <c r="K242" i="8" a="1"/>
  <c r="K271" i="8" a="1"/>
  <c r="K325" i="8" a="1"/>
  <c r="K428" i="8" a="1"/>
  <c r="K924" i="8" a="1"/>
  <c r="H308" i="8" a="1"/>
  <c r="H783" i="8" a="1"/>
  <c r="H133" i="8" a="1"/>
  <c r="H236" i="8" a="1"/>
  <c r="H571" i="8" a="1"/>
  <c r="H163" i="8" a="1"/>
  <c r="H946" i="8" a="1"/>
  <c r="H764" i="8" a="1"/>
  <c r="H12" i="8" a="1"/>
  <c r="H363" i="8" a="1"/>
  <c r="J618" i="8" a="1"/>
  <c r="J1023" i="8" a="1"/>
  <c r="J704" i="8" a="1"/>
  <c r="J400" i="8" a="1"/>
  <c r="J223" i="8" a="1"/>
  <c r="J62" i="8" a="1"/>
  <c r="J713" i="8" a="1"/>
  <c r="J691" i="8" a="1"/>
  <c r="J1017" i="8" a="1"/>
  <c r="J733" i="8" a="1"/>
  <c r="J632" i="8" a="1"/>
  <c r="J890" i="8" a="1"/>
  <c r="J552" i="8" a="1"/>
  <c r="J785" i="8" a="1"/>
  <c r="J396" i="8" a="1"/>
  <c r="J648" i="8" a="1"/>
  <c r="J228" i="8" a="1"/>
  <c r="J263" i="8" a="1"/>
  <c r="J348" i="8" a="1"/>
  <c r="J748" i="8" a="1"/>
  <c r="J434" i="8" a="1"/>
  <c r="J606" i="8" a="1"/>
  <c r="J405" i="8" a="1"/>
  <c r="J465" i="8" a="1"/>
  <c r="J381" i="8" a="1"/>
  <c r="J864" i="8" a="1"/>
  <c r="J274" i="8" a="1"/>
  <c r="J612" i="8" a="1"/>
  <c r="J126" i="8" a="1"/>
  <c r="J1015" i="8" a="1"/>
  <c r="J752" i="8" a="1"/>
  <c r="J111" i="8" a="1"/>
  <c r="J575" i="8" a="1"/>
  <c r="J139" i="8" a="1"/>
  <c r="J162" i="8" a="1"/>
  <c r="J949" i="8" a="1"/>
  <c r="J475" i="8" a="1"/>
  <c r="J411" i="8" a="1"/>
  <c r="J593" i="8" a="1"/>
  <c r="J280" i="8" a="1"/>
  <c r="J88" i="8" a="1"/>
  <c r="J54" i="8" a="1"/>
  <c r="J427" i="8" a="1"/>
  <c r="J247" i="8" a="1"/>
  <c r="J63" i="8" a="1"/>
  <c r="J291" i="8" a="1"/>
  <c r="J710" i="8" a="1"/>
  <c r="J875" i="8" a="1"/>
  <c r="J885" i="8" a="1"/>
  <c r="J968" i="8" a="1"/>
  <c r="J881" i="8" a="1"/>
  <c r="J105" i="8" a="1"/>
  <c r="J782" i="8" a="1"/>
  <c r="J726" i="8" a="1"/>
  <c r="J262" i="8" a="1"/>
  <c r="J502" i="8" a="1"/>
  <c r="J985" i="8" a="1"/>
  <c r="J548" i="8" a="1"/>
  <c r="J762" i="8" a="1"/>
  <c r="J46" i="8" a="1"/>
  <c r="J754" i="8" a="1"/>
  <c r="J18" i="8" a="1"/>
  <c r="J203" i="8" a="1"/>
  <c r="J176" i="8" a="1"/>
  <c r="J327" i="8" a="1"/>
  <c r="J124" i="8" a="1"/>
  <c r="J371" i="8" a="1"/>
  <c r="J227" i="8" a="1"/>
  <c r="J950" i="8" a="1"/>
  <c r="J128" i="8" a="1"/>
  <c r="K230" i="8" a="1"/>
  <c r="K734" i="8" a="1"/>
  <c r="H488" i="8" a="1"/>
  <c r="K375" i="8" a="1"/>
  <c r="H785" i="8" a="1"/>
  <c r="H206" i="8" a="1"/>
  <c r="K899" i="8" a="1"/>
  <c r="H980" i="8" a="1"/>
  <c r="H529" i="8" a="1"/>
  <c r="K101" i="8" a="1"/>
  <c r="H43" i="8" a="1"/>
  <c r="K373" i="8" a="1"/>
  <c r="K476" i="8" a="1"/>
  <c r="K976" i="8" a="1"/>
  <c r="K117" i="8" a="1"/>
  <c r="K43" i="8" a="1"/>
  <c r="H469" i="8" a="1"/>
  <c r="H572" i="8" a="1"/>
  <c r="H114" i="8" a="1"/>
  <c r="K412" i="8" a="1"/>
  <c r="H447" i="8" a="1"/>
  <c r="K357" i="8" a="1"/>
  <c r="K460" i="8" a="1"/>
  <c r="K956" i="8" a="1"/>
  <c r="K21" i="8" a="1"/>
  <c r="K367" i="8" a="1"/>
  <c r="H357" i="8" a="1"/>
  <c r="H460" i="8" a="1"/>
  <c r="H956" i="8" a="1"/>
  <c r="K927" i="8" a="1"/>
  <c r="H912" i="8" a="1"/>
  <c r="K437" i="8" a="1"/>
  <c r="K540" i="8" a="1"/>
  <c r="K50" i="8" a="1"/>
  <c r="K434" i="8" a="1"/>
  <c r="H351" i="8" a="1"/>
  <c r="H341" i="8" a="1"/>
  <c r="H444" i="8" a="1"/>
  <c r="H940" i="8" a="1"/>
  <c r="K75" i="8" a="1"/>
  <c r="H14" i="8" a="1"/>
  <c r="K229" i="8" a="1"/>
  <c r="K332" i="8" a="1"/>
  <c r="K828" i="8" a="1"/>
  <c r="K23" i="8" a="1"/>
  <c r="H687" i="8" a="1"/>
  <c r="H37" i="8" a="1"/>
  <c r="H140" i="8" a="1"/>
  <c r="H475" i="8" a="1"/>
  <c r="H790" i="8" a="1"/>
  <c r="H834" i="8" a="1"/>
  <c r="H988" i="8" a="1"/>
  <c r="H626" i="8" a="1"/>
  <c r="H267" i="8" a="1"/>
  <c r="J891" i="8" a="1"/>
  <c r="J562" i="8" a="1"/>
  <c r="J867" i="8" a="1"/>
  <c r="J948" i="8" a="1"/>
  <c r="J783" i="8" a="1"/>
  <c r="J199" i="8" a="1"/>
  <c r="J32" i="8" a="1"/>
  <c r="J807" i="8" a="1"/>
  <c r="J505" i="8" a="1"/>
  <c r="J414" i="8" a="1"/>
  <c r="J774" i="8" a="1"/>
  <c r="J819" i="8" a="1"/>
  <c r="J728" i="8" a="1"/>
  <c r="J892" i="8" a="1"/>
  <c r="J615" i="8" a="1"/>
  <c r="J438" i="8" a="1"/>
  <c r="J836" i="8" a="1"/>
  <c r="J668" i="8" a="1"/>
  <c r="J862" i="8" a="1"/>
  <c r="J922" i="8" a="1"/>
  <c r="J401" i="8" a="1"/>
  <c r="J430" i="8" a="1"/>
  <c r="J991" i="8" a="1"/>
  <c r="J7" i="8" a="1"/>
  <c r="J149" i="8" a="1"/>
  <c r="J321" i="8" a="1"/>
  <c r="J528" i="8" a="1"/>
  <c r="J854" i="8" a="1"/>
  <c r="J582" i="8" a="1"/>
  <c r="J99" i="8" a="1"/>
  <c r="J264" i="8" a="1"/>
  <c r="J192" i="8" a="1"/>
  <c r="J699" i="8" a="1"/>
  <c r="J115" i="8" a="1"/>
  <c r="J315" i="8" a="1"/>
  <c r="J207" i="8" a="1"/>
  <c r="J746" i="8" a="1"/>
  <c r="J113" i="8" a="1"/>
  <c r="J894" i="8" a="1"/>
  <c r="J367" i="8" a="1"/>
  <c r="J796" i="8" a="1"/>
  <c r="J1010" i="8" a="1"/>
  <c r="J553" i="8" a="1"/>
  <c r="J275" i="8" a="1"/>
  <c r="J198" i="8" a="1"/>
  <c r="J406" i="8" a="1"/>
  <c r="J975" i="8" a="1"/>
  <c r="J920" i="8" a="1"/>
  <c r="J659" i="8" a="1"/>
  <c r="J630" i="8" a="1"/>
  <c r="J153" i="8" a="1"/>
  <c r="J817" i="8" a="1"/>
  <c r="J979" i="8" a="1"/>
  <c r="J404" i="8" a="1"/>
  <c r="J837" i="8" a="1"/>
  <c r="J431" i="8" a="1"/>
  <c r="J379" i="8" a="1"/>
  <c r="J657" i="8" a="1"/>
  <c r="J801" i="8" a="1"/>
  <c r="J453" i="8" a="1"/>
  <c r="J604" i="8" a="1"/>
  <c r="J929" i="8" a="1"/>
  <c r="J873" i="8" a="1"/>
  <c r="J136" i="8" a="1"/>
  <c r="J480" i="8" a="1"/>
  <c r="J792" i="8" a="1"/>
  <c r="J542" i="8" a="1"/>
  <c r="J577" i="8" a="1"/>
  <c r="J623" i="8" a="1"/>
  <c r="J343" i="8" a="1"/>
  <c r="J793" i="8" a="1"/>
  <c r="J285" i="8" a="1"/>
  <c r="J524" i="8" a="1"/>
  <c r="H779" i="8" a="1"/>
  <c r="K923" i="8" a="1"/>
  <c r="H46" i="8" a="1"/>
  <c r="K557" i="8" a="1"/>
  <c r="K72" i="8" a="1"/>
  <c r="H711" i="8" a="1"/>
  <c r="K454" i="8" a="1"/>
  <c r="K878" i="8" a="1"/>
  <c r="H616" i="8" a="1"/>
  <c r="K204" i="8" a="1"/>
  <c r="K463" i="8" a="1"/>
  <c r="K277" i="8" a="1"/>
  <c r="K380" i="8" a="1"/>
  <c r="K876" i="8" a="1"/>
  <c r="K316" i="8" a="1"/>
  <c r="H463" i="8" a="1"/>
  <c r="H373" i="8" a="1"/>
  <c r="H476" i="8" a="1"/>
  <c r="H976" i="8" a="1"/>
  <c r="K908" i="8" a="1"/>
  <c r="K63" i="8" a="1"/>
  <c r="K261" i="8" a="1"/>
  <c r="K364" i="8" a="1"/>
  <c r="K860" i="8" a="1"/>
  <c r="K626" i="8" a="1"/>
  <c r="H63" i="8" a="1"/>
  <c r="H261" i="8" a="1"/>
  <c r="H364" i="8" a="1"/>
  <c r="H860" i="8" a="1"/>
  <c r="K124" i="8" a="1"/>
  <c r="H367" i="8" a="1"/>
  <c r="K341" i="8" a="1"/>
  <c r="K444" i="8" a="1"/>
  <c r="K940" i="8" a="1"/>
  <c r="K363" i="8" a="1"/>
  <c r="H82" i="8" a="1"/>
  <c r="H245" i="8" a="1"/>
  <c r="H348" i="8" a="1"/>
  <c r="H844" i="8" a="1"/>
  <c r="H404" i="8" a="1"/>
  <c r="K783" i="8" a="1"/>
  <c r="K133" i="8" a="1"/>
  <c r="K236" i="8" a="1"/>
  <c r="K571" i="8" a="1"/>
  <c r="H259" i="8" a="1"/>
  <c r="H966" i="8" a="1"/>
  <c r="H780" i="8" a="1"/>
  <c r="H44" i="8" a="1"/>
  <c r="H379" i="8" a="1"/>
  <c r="H361" i="8" a="1"/>
  <c r="H738" i="8" a="1"/>
  <c r="H927" i="8" a="1"/>
  <c r="H530" i="8" a="1"/>
  <c r="H171" i="8" a="1"/>
  <c r="J1021" i="8" a="1"/>
  <c r="J613" i="8" a="1"/>
  <c r="J609" i="8" a="1"/>
  <c r="J689" i="8" a="1"/>
  <c r="J161" i="8" a="1"/>
  <c r="J464" i="8" a="1"/>
  <c r="J614" i="8" a="1"/>
  <c r="J33" i="8" a="1"/>
  <c r="J554" i="8" a="1"/>
  <c r="J28" i="8" a="1"/>
  <c r="J150" i="8" a="1"/>
  <c r="J944" i="8" a="1"/>
  <c r="J709" i="8" a="1"/>
  <c r="J790" i="8" a="1"/>
  <c r="J739" i="8" a="1"/>
  <c r="J706" i="8" a="1"/>
  <c r="J1014" i="8" a="1"/>
  <c r="J639" i="8" a="1"/>
  <c r="J625" i="8" a="1"/>
  <c r="J201" i="8" a="1"/>
  <c r="J525" i="8" a="1"/>
  <c r="J96" i="8" a="1"/>
  <c r="J423" i="8" a="1"/>
  <c r="J992" i="8" a="1"/>
  <c r="J652" i="8" a="1"/>
  <c r="J947" i="8" a="1"/>
  <c r="J496" i="8" a="1"/>
  <c r="J635" i="8" a="1"/>
  <c r="J244" i="8" a="1"/>
  <c r="J289" i="8" a="1"/>
  <c r="J803" i="8" a="1"/>
  <c r="J843" i="8" a="1"/>
  <c r="J989" i="8" a="1"/>
  <c r="J778" i="8" a="1"/>
  <c r="J484" i="8" a="1"/>
  <c r="J196" i="8" a="1"/>
  <c r="J996" i="8" a="1"/>
  <c r="J471" i="8" a="1"/>
  <c r="J474" i="8" a="1"/>
  <c r="J759" i="8" a="1"/>
  <c r="J172" i="8" a="1"/>
  <c r="J755" i="8" a="1"/>
  <c r="J313" i="8" a="1"/>
  <c r="J536" i="8" a="1"/>
  <c r="J869" i="8" a="1"/>
  <c r="J521" i="8" a="1"/>
  <c r="J135" i="8" a="1"/>
  <c r="J442" i="8" a="1"/>
  <c r="J694" i="8" a="1"/>
  <c r="J508" i="8" a="1"/>
  <c r="J937" i="8" a="1"/>
  <c r="J853" i="8" a="1"/>
  <c r="J127" i="8" a="1"/>
  <c r="J825" i="8" a="1"/>
  <c r="J567" i="8" a="1"/>
  <c r="J361" i="8" a="1"/>
  <c r="J276" i="8" a="1"/>
  <c r="J48" i="8" a="1"/>
  <c r="J594" i="8" a="1"/>
  <c r="J58" i="8" a="1"/>
  <c r="J129" i="8" a="1"/>
  <c r="J701" i="8" a="1"/>
  <c r="J248" i="8" a="1"/>
  <c r="J53" i="8" a="1"/>
  <c r="J584" i="8" a="1"/>
  <c r="H216" i="8" a="1"/>
  <c r="K199" i="8" a="1"/>
  <c r="H708" i="8" a="1"/>
  <c r="K138" i="8" a="1"/>
  <c r="K637" i="8" a="1"/>
  <c r="H100" i="8" a="1"/>
  <c r="H353" i="8" a="1"/>
  <c r="K654" i="8" a="1"/>
  <c r="H679" i="8" a="1"/>
  <c r="K171" i="8" a="1"/>
  <c r="K831" i="8" a="1"/>
  <c r="K85" i="8" a="1"/>
  <c r="K188" i="8" a="1"/>
  <c r="K523" i="8" a="1"/>
  <c r="H989" i="8" a="1"/>
  <c r="H831" i="8" a="1"/>
  <c r="H181" i="8" a="1"/>
  <c r="H284" i="8" a="1"/>
  <c r="H862" i="8" a="1"/>
  <c r="H330" i="8" a="1"/>
  <c r="K719" i="8" a="1"/>
  <c r="K69" i="8" a="1"/>
  <c r="K172" i="8" a="1"/>
  <c r="K507" i="8" a="1"/>
  <c r="H234" i="8" a="1"/>
  <c r="H719" i="8" a="1"/>
  <c r="H69" i="8" a="1"/>
  <c r="H172" i="8" a="1"/>
  <c r="H507" i="8" a="1"/>
  <c r="H596" i="8" a="1"/>
  <c r="K799" i="8" a="1"/>
  <c r="K149" i="8" a="1"/>
  <c r="K252" i="8" a="1"/>
  <c r="K587" i="8" a="1"/>
  <c r="H122" i="8" a="1"/>
  <c r="H703" i="8" a="1"/>
  <c r="H53" i="8" a="1"/>
  <c r="H156" i="8" a="1"/>
  <c r="H491" i="8" a="1"/>
  <c r="H275" i="8" a="1"/>
  <c r="K966" i="8" a="1"/>
  <c r="K780" i="8" a="1"/>
  <c r="K44" i="8" a="1"/>
  <c r="K379" i="8" a="1"/>
  <c r="H457" i="8" a="1"/>
  <c r="H754" i="8" a="1"/>
  <c r="H943" i="8" a="1"/>
  <c r="H546" i="8" a="1"/>
  <c r="H377" i="8" a="1"/>
  <c r="H368" i="8" a="1"/>
  <c r="H693" i="8" a="1"/>
  <c r="H885" i="8" a="1"/>
  <c r="H338" i="8" a="1"/>
  <c r="H212" i="8" a="1"/>
  <c r="J592" i="8" a="1"/>
  <c r="J415" i="8" a="1"/>
  <c r="J186" i="8" a="1"/>
  <c r="J683" i="8" a="1"/>
  <c r="J769" i="8" a="1"/>
  <c r="J664" i="8" a="1"/>
  <c r="J144" i="8" a="1"/>
  <c r="J538" i="8" a="1"/>
  <c r="J398" i="8" a="1"/>
  <c r="J452" i="8" a="1"/>
  <c r="J685" i="8" a="1"/>
  <c r="J460" i="8" a="1"/>
  <c r="J331" i="8" a="1"/>
  <c r="J468" i="8" a="1"/>
  <c r="J369" i="8" a="1"/>
  <c r="J444" i="8" a="1"/>
  <c r="J556" i="8" a="1"/>
  <c r="J511" i="8" a="1"/>
  <c r="J971" i="8" a="1"/>
  <c r="J286" i="8" a="1"/>
  <c r="J457" i="8" a="1"/>
  <c r="J272" i="8" a="1"/>
  <c r="J501" i="8" a="1"/>
  <c r="J886" i="8" a="1"/>
  <c r="J923" i="8" a="1"/>
  <c r="J1020" i="8" a="1"/>
  <c r="J399" i="8" a="1"/>
  <c r="J491" i="8" a="1"/>
  <c r="J773" i="8" a="1"/>
  <c r="J169" i="8" a="1"/>
  <c r="J497" i="8" a="1"/>
  <c r="J815" i="8" a="1"/>
  <c r="J1008" i="8" a="1"/>
  <c r="J138" i="8" a="1"/>
  <c r="J283" i="8" a="1"/>
  <c r="J848" i="8" a="1"/>
  <c r="J824" i="8" a="1"/>
  <c r="J271" i="8" a="1"/>
  <c r="J70" i="8" a="1"/>
  <c r="J631" i="8" a="1"/>
  <c r="J997" i="8" a="1"/>
  <c r="J970" i="8" a="1"/>
  <c r="J366" i="8" a="1"/>
  <c r="J181" i="8" a="1"/>
  <c r="J756" i="8" a="1"/>
  <c r="J510" i="8" a="1"/>
  <c r="J459" i="8" a="1"/>
  <c r="J802" i="8" a="1"/>
  <c r="J681" i="8" a="1"/>
  <c r="J303" i="8" a="1"/>
  <c r="J170" i="8" a="1"/>
  <c r="J919" i="8" a="1"/>
  <c r="J663" i="8" a="1"/>
  <c r="J544" i="8" a="1"/>
  <c r="J101" i="8" a="1"/>
  <c r="J339" i="8" a="1"/>
  <c r="J222" i="8" a="1"/>
  <c r="J899" i="8" a="1"/>
  <c r="J20" i="8" a="1"/>
  <c r="J94" i="8" a="1"/>
  <c r="J757" i="8" a="1"/>
  <c r="J737" i="8" a="1"/>
  <c r="J495" i="8" a="1"/>
  <c r="J213" i="8" a="1"/>
  <c r="J22" i="8" a="1"/>
  <c r="J972" i="8" a="1"/>
  <c r="J467" i="8" a="1"/>
  <c r="J708" i="8" a="1"/>
  <c r="J205" i="8" a="1"/>
  <c r="H129" i="8" a="1"/>
  <c r="K284" i="8" a="1"/>
  <c r="H797" i="8" a="1"/>
  <c r="H149" i="8" a="1"/>
  <c r="H283" i="8" a="1"/>
  <c r="J791" i="8" a="1"/>
  <c r="J903" i="8" a="1"/>
  <c r="J416" i="8" a="1"/>
  <c r="J316" i="8" a="1"/>
  <c r="J461" i="8" a="1"/>
  <c r="J700" i="8" a="1"/>
  <c r="J788" i="8" a="1"/>
  <c r="J841" i="8" a="1"/>
  <c r="J12" i="8" a="1"/>
  <c r="J821" i="8" a="1"/>
  <c r="J71" i="8" a="1"/>
  <c r="J994" i="8" a="1"/>
  <c r="J619" i="8" a="1"/>
  <c r="J337" i="8" a="1"/>
  <c r="J633" i="8" a="1"/>
  <c r="J92" i="8" a="1"/>
  <c r="J4" i="8" a="1"/>
  <c r="J309" i="8" a="1"/>
  <c r="J87" i="8" a="1"/>
  <c r="J236" i="8" a="1"/>
  <c r="J844" i="8" a="1"/>
  <c r="J534" i="8" a="1"/>
  <c r="J951" i="8" a="1"/>
  <c r="J840" i="8" a="1"/>
  <c r="J290" i="8" a="1"/>
  <c r="J256" i="8" a="1"/>
  <c r="J389" i="8" a="1"/>
  <c r="J601" i="8" a="1"/>
  <c r="K526" i="8" a="1"/>
  <c r="K862" i="8" a="1"/>
  <c r="H815" i="8" a="1"/>
  <c r="H252" i="8" a="1"/>
  <c r="H915" i="8" a="1"/>
  <c r="J667" i="8" a="1"/>
  <c r="J323" i="8" a="1"/>
  <c r="J108" i="8" a="1"/>
  <c r="J775" i="8" a="1"/>
  <c r="J189" i="8" a="1"/>
  <c r="J243" i="8" a="1"/>
  <c r="J265" i="8" a="1"/>
  <c r="J125" i="8" a="1"/>
  <c r="J526" i="8" a="1"/>
  <c r="J711" i="8" a="1"/>
  <c r="J294" i="8" a="1"/>
  <c r="J311" i="8" a="1"/>
  <c r="J569" i="8" a="1"/>
  <c r="J370" i="8" a="1"/>
  <c r="J830" i="8" a="1"/>
  <c r="J795" i="8" a="1"/>
  <c r="J374" i="8" a="1"/>
  <c r="J382" i="8" a="1"/>
  <c r="J29" i="8" a="1"/>
  <c r="J814" i="8" a="1"/>
  <c r="J800" i="8" a="1"/>
  <c r="H902" i="8" a="1"/>
  <c r="J190" i="8" a="1"/>
  <c r="J182" i="8" a="1"/>
  <c r="J693" i="8" a="1"/>
  <c r="J679" i="8" a="1"/>
  <c r="H922" i="8" a="1"/>
  <c r="K555" i="8" a="1"/>
  <c r="H165" i="8" a="1"/>
  <c r="H587" i="8" a="1"/>
  <c r="H962" i="8" a="1"/>
  <c r="J351" i="8" a="1"/>
  <c r="J15" i="8" a="1"/>
  <c r="J925" i="8" a="1"/>
  <c r="J251" i="8" a="1"/>
  <c r="J602" i="8" a="1"/>
  <c r="J352" i="8" a="1"/>
  <c r="J384" i="8" a="1"/>
  <c r="J466" i="8" a="1"/>
  <c r="J715" i="8" a="1"/>
  <c r="J469" i="8" a="1"/>
  <c r="J1005" i="8" a="1"/>
  <c r="J912" i="8" a="1"/>
  <c r="J319" i="8" a="1"/>
  <c r="J449" i="8" a="1"/>
  <c r="J605" i="8" a="1"/>
  <c r="J322" i="8" a="1"/>
  <c r="J872" i="8" a="1"/>
  <c r="J330" i="8" a="1"/>
  <c r="J72" i="8" a="1"/>
  <c r="J383" i="8" a="1"/>
  <c r="J831" i="8" a="1"/>
  <c r="J916" i="8" a="1"/>
  <c r="J811" i="8" a="1"/>
  <c r="J409" i="8" a="1"/>
  <c r="J166" i="8" a="1"/>
  <c r="K596" i="8" a="1"/>
  <c r="H79" i="8" a="1"/>
  <c r="H268" i="8" a="1"/>
  <c r="H42" i="8" a="1"/>
  <c r="H981" i="8" a="1"/>
  <c r="J658" i="8" a="1"/>
  <c r="J151" i="8" a="1"/>
  <c r="J209" i="8" a="1"/>
  <c r="J93" i="8" a="1"/>
  <c r="J160" i="8" a="1"/>
  <c r="J721" i="8" a="1"/>
  <c r="J530" i="8" a="1"/>
  <c r="J10" i="8" a="1"/>
  <c r="J928" i="8" a="1"/>
  <c r="J458" i="8" a="1"/>
  <c r="J697" i="8" a="1"/>
  <c r="J622" i="8" a="1"/>
  <c r="J874" i="8" a="1"/>
  <c r="J953" i="8" a="1"/>
  <c r="J117" i="8" a="1"/>
  <c r="J936" i="8" a="1"/>
  <c r="J565" i="8" a="1"/>
  <c r="J419" i="8" a="1"/>
  <c r="J373" i="8" a="1"/>
  <c r="J41" i="8" a="1"/>
  <c r="J86" i="8" a="1"/>
  <c r="J278" i="8" a="1"/>
  <c r="J705" i="8" a="1"/>
  <c r="J143" i="8" a="1"/>
  <c r="J753" i="8" a="1"/>
  <c r="J532" i="8" a="1"/>
  <c r="K455" i="8" a="1"/>
  <c r="H277" i="8" a="1"/>
  <c r="H603" i="8" a="1"/>
  <c r="K687" i="8" a="1"/>
  <c r="H434" i="8" a="1"/>
  <c r="J568" i="8" a="1"/>
  <c r="J364" i="8" a="1"/>
  <c r="J963" i="8" a="1"/>
  <c r="J695" i="8" a="1"/>
  <c r="J810" i="8" a="1"/>
  <c r="J1012" i="8" a="1"/>
  <c r="J662" i="8" a="1"/>
  <c r="J917" i="8" a="1"/>
  <c r="J730" i="8" a="1"/>
  <c r="J543" i="8" a="1"/>
  <c r="J758" i="8" a="1"/>
  <c r="J863" i="8" a="1"/>
  <c r="J722" i="8" a="1"/>
  <c r="J420" i="8" a="1"/>
  <c r="J642" i="8" a="1"/>
  <c r="J412" i="8" a="1"/>
  <c r="J164" i="8" a="1"/>
  <c r="J492" i="8" a="1"/>
  <c r="J960" i="8" a="1"/>
  <c r="J598" i="8" a="1"/>
  <c r="J898" i="8" a="1"/>
  <c r="J6" i="8" a="1"/>
  <c r="K348" i="8" a="1"/>
  <c r="J859" i="8" a="1"/>
  <c r="J1022" i="8" a="1"/>
  <c r="J908" i="8" a="1"/>
  <c r="J921" i="8" a="1"/>
  <c r="H61" i="8" a="1"/>
  <c r="H380" i="8" a="1"/>
  <c r="K812" i="8" a="1"/>
  <c r="K37" i="8" a="1"/>
  <c r="H75" i="8" a="1"/>
  <c r="J573" i="8" a="1"/>
  <c r="J720" i="8" a="1"/>
  <c r="J307" i="8" a="1"/>
  <c r="J955" i="8" a="1"/>
  <c r="J855" i="8" a="1"/>
  <c r="J712" i="8" a="1"/>
  <c r="J261" i="8" a="1"/>
  <c r="J580" i="8" a="1"/>
  <c r="J350" i="8" a="1"/>
  <c r="J165" i="8" a="1"/>
  <c r="J152" i="8" a="1"/>
  <c r="J85" i="8" a="1"/>
  <c r="J52" i="8" a="1"/>
  <c r="J433" i="8" a="1"/>
  <c r="J535" i="8" a="1"/>
  <c r="J660" i="8" a="1"/>
  <c r="J851" i="8" a="1"/>
  <c r="J74" i="8" a="1"/>
  <c r="J358" i="8" a="1"/>
  <c r="J943" i="8" a="1"/>
  <c r="J249" i="8" a="1"/>
  <c r="J555" i="8" a="1"/>
  <c r="J545" i="8" a="1"/>
  <c r="J768" i="8" a="1"/>
  <c r="H684" i="8" a="1"/>
  <c r="J581" i="8" a="1"/>
  <c r="K143" i="8" a="1"/>
  <c r="H876" i="8" a="1"/>
  <c r="K82" i="8" a="1"/>
  <c r="K140" i="8" a="1"/>
  <c r="J145" i="8" a="1"/>
  <c r="J122" i="8" a="1"/>
  <c r="J519" i="8" a="1"/>
  <c r="J130" i="8" a="1"/>
  <c r="J672" i="8" a="1"/>
  <c r="J37" i="8" a="1"/>
  <c r="J1002" i="8" a="1"/>
  <c r="J523" i="8" a="1"/>
  <c r="J1016" i="8" a="1"/>
  <c r="J627" i="8" a="1"/>
  <c r="J858" i="8" a="1"/>
  <c r="J847" i="8" a="1"/>
  <c r="J650" i="8" a="1"/>
  <c r="J895" i="8" a="1"/>
  <c r="J156" i="8" a="1"/>
  <c r="J120" i="8" a="1"/>
  <c r="K696" i="8" a="1"/>
  <c r="H893" i="8" a="1"/>
  <c r="K245" i="8" a="1"/>
  <c r="K475" i="8" a="1"/>
  <c r="J964" i="8" a="1"/>
  <c r="J9" i="8" a="1"/>
  <c r="J134" i="8" a="1"/>
  <c r="J104" i="8" a="1"/>
  <c r="J1007" i="8" a="1"/>
  <c r="J273" i="8" a="1"/>
  <c r="J478" i="8" a="1"/>
  <c r="J684" i="8" a="1"/>
  <c r="J665" i="8" a="1"/>
  <c r="J424" i="8" a="1"/>
  <c r="J362" i="8" a="1"/>
  <c r="J688" i="8" a="1"/>
  <c r="J75" i="8" a="1"/>
  <c r="J988" i="8" a="1"/>
  <c r="J174" i="8" a="1"/>
  <c r="J119" i="8" a="1"/>
  <c r="J90" i="8" a="1"/>
  <c r="J167" i="8" a="1"/>
  <c r="J1004" i="8" a="1"/>
  <c r="J377" i="8" a="1"/>
  <c r="J760" i="8" a="1"/>
  <c r="H174" i="8" a="1"/>
  <c r="J82" i="8" a="1"/>
  <c r="J440" i="8" a="1"/>
  <c r="J882" i="8" a="1"/>
  <c r="J626" i="8" a="1"/>
  <c r="K539" i="8" a="1"/>
  <c r="K165" i="8" a="1"/>
  <c r="K844" i="8" a="1"/>
  <c r="H850" i="8" a="1"/>
  <c r="J829" i="8" a="1"/>
  <c r="J946" i="8" a="1"/>
  <c r="J743" i="8" a="1"/>
  <c r="J780" i="8" a="1"/>
  <c r="J647" i="8" a="1"/>
  <c r="J959" i="8" a="1"/>
  <c r="J549" i="8" a="1"/>
  <c r="J741" i="8" a="1"/>
  <c r="J328" i="8" a="1"/>
  <c r="J861" i="8" a="1"/>
  <c r="J965" i="8" a="1"/>
  <c r="J441" i="8" a="1"/>
  <c r="J942" i="8" a="1"/>
  <c r="J517" i="8" a="1"/>
  <c r="J445" i="8" a="1"/>
  <c r="J727" i="8" a="1"/>
  <c r="J509" i="8" a="1"/>
  <c r="J640" i="8" a="1"/>
  <c r="J5" i="8" a="1"/>
  <c r="J608" i="8" a="1"/>
  <c r="J137" i="8" a="1"/>
  <c r="K79" i="8" a="1"/>
  <c r="K268" i="8" a="1"/>
  <c r="H500" i="8" a="1"/>
  <c r="J146" i="8" a="1"/>
  <c r="J995" i="8" a="1"/>
  <c r="K181" i="8" a="1"/>
  <c r="K603" i="8" a="1"/>
  <c r="H799" i="8" a="1"/>
  <c r="H642" i="8" a="1"/>
  <c r="J200" i="8" a="1"/>
  <c r="J914" i="8" a="1"/>
  <c r="J297" i="8" a="1"/>
  <c r="J906" i="8" a="1"/>
  <c r="J808" i="8" a="1"/>
  <c r="J834" i="8" a="1"/>
  <c r="J175" i="8" a="1"/>
  <c r="J610" i="8" a="1"/>
  <c r="J1024" i="8" a="1"/>
  <c r="J210" i="8" a="1"/>
  <c r="J751" i="8" a="1"/>
  <c r="J132" i="8" a="1"/>
  <c r="J436" i="8" a="1"/>
  <c r="J397" i="8" a="1"/>
  <c r="J338" i="8" a="1"/>
  <c r="J666" i="8" a="1"/>
  <c r="J91" i="8" a="1"/>
  <c r="J336" i="8" a="1"/>
  <c r="J750" i="8" a="1"/>
  <c r="J718" i="8" a="1"/>
  <c r="J447" i="8" a="1"/>
  <c r="J1000" i="8" a="1"/>
  <c r="K815" i="8" a="1"/>
  <c r="J133" i="8" a="1"/>
  <c r="J55" i="8" a="1"/>
  <c r="J983" i="8" a="1"/>
  <c r="J17" i="8" a="1"/>
  <c r="J353" i="8" a="1"/>
  <c r="J353" i="8" l="1"/>
  <c r="J17" i="8"/>
  <c r="J983" i="8"/>
  <c r="J55" i="8"/>
  <c r="J133" i="8"/>
  <c r="K815" i="8"/>
  <c r="L815" i="8" s="1"/>
  <c r="M815" i="8" s="1" a="1"/>
  <c r="M815" i="8" s="1"/>
  <c r="J1000" i="8"/>
  <c r="J447" i="8"/>
  <c r="J718" i="8"/>
  <c r="J750" i="8"/>
  <c r="J336" i="8"/>
  <c r="J91" i="8"/>
  <c r="J666" i="8"/>
  <c r="J338" i="8"/>
  <c r="J397" i="8"/>
  <c r="J436" i="8"/>
  <c r="J132" i="8"/>
  <c r="J751" i="8"/>
  <c r="J210" i="8"/>
  <c r="J1024" i="8"/>
  <c r="J610" i="8"/>
  <c r="J175" i="8"/>
  <c r="J834" i="8"/>
  <c r="J808" i="8"/>
  <c r="J906" i="8"/>
  <c r="J297" i="8"/>
  <c r="J914" i="8"/>
  <c r="J200" i="8"/>
  <c r="H642" i="8"/>
  <c r="I642" i="8" s="1"/>
  <c r="H799" i="8"/>
  <c r="K603" i="8"/>
  <c r="L603" i="8" s="1"/>
  <c r="M603" i="8" s="1" a="1"/>
  <c r="M603" i="8" s="1"/>
  <c r="K181" i="8"/>
  <c r="L181" i="8" s="1"/>
  <c r="M181" i="8" s="1" a="1"/>
  <c r="M181" i="8" s="1"/>
  <c r="J995" i="8"/>
  <c r="J146" i="8"/>
  <c r="H500" i="8"/>
  <c r="K268" i="8"/>
  <c r="K79" i="8"/>
  <c r="J137" i="8"/>
  <c r="J608" i="8"/>
  <c r="J5" i="8"/>
  <c r="J640" i="8"/>
  <c r="J509" i="8"/>
  <c r="J727" i="8"/>
  <c r="J445" i="8"/>
  <c r="J517" i="8"/>
  <c r="J942" i="8"/>
  <c r="J441" i="8"/>
  <c r="J965" i="8"/>
  <c r="J861" i="8"/>
  <c r="J328" i="8"/>
  <c r="J741" i="8"/>
  <c r="J549" i="8"/>
  <c r="J959" i="8"/>
  <c r="J647" i="8"/>
  <c r="J780" i="8"/>
  <c r="J743" i="8"/>
  <c r="J946" i="8"/>
  <c r="J829" i="8"/>
  <c r="H850" i="8"/>
  <c r="I850" i="8" s="1"/>
  <c r="K844" i="8"/>
  <c r="L844" i="8" s="1"/>
  <c r="M844" i="8" s="1" a="1"/>
  <c r="M844" i="8" s="1"/>
  <c r="K165" i="8"/>
  <c r="L165" i="8" s="1"/>
  <c r="M165" i="8" s="1" a="1"/>
  <c r="M165" i="8" s="1"/>
  <c r="K539" i="8"/>
  <c r="L539" i="8" s="1"/>
  <c r="M539" i="8" s="1" a="1"/>
  <c r="M539" i="8" s="1"/>
  <c r="J626" i="8"/>
  <c r="J882" i="8"/>
  <c r="J440" i="8"/>
  <c r="J82" i="8"/>
  <c r="H174" i="8"/>
  <c r="J760" i="8"/>
  <c r="J377" i="8"/>
  <c r="J1004" i="8"/>
  <c r="J167" i="8"/>
  <c r="J90" i="8"/>
  <c r="J119" i="8"/>
  <c r="J174" i="8"/>
  <c r="J988" i="8"/>
  <c r="J75" i="8"/>
  <c r="J688" i="8"/>
  <c r="J362" i="8"/>
  <c r="J424" i="8"/>
  <c r="J665" i="8"/>
  <c r="J684" i="8"/>
  <c r="J478" i="8"/>
  <c r="J273" i="8"/>
  <c r="J1007" i="8"/>
  <c r="J104" i="8"/>
  <c r="J134" i="8"/>
  <c r="J9" i="8"/>
  <c r="J964" i="8"/>
  <c r="K475" i="8"/>
  <c r="L475" i="8" s="1"/>
  <c r="M475" i="8" s="1" a="1"/>
  <c r="M475" i="8" s="1"/>
  <c r="K245" i="8"/>
  <c r="L245" i="8" s="1"/>
  <c r="M245" i="8" s="1" a="1"/>
  <c r="M245" i="8" s="1"/>
  <c r="H893" i="8"/>
  <c r="I893" i="8" s="1"/>
  <c r="K696" i="8"/>
  <c r="J120" i="8"/>
  <c r="J156" i="8"/>
  <c r="J895" i="8"/>
  <c r="J650" i="8"/>
  <c r="J847" i="8"/>
  <c r="J858" i="8"/>
  <c r="J627" i="8"/>
  <c r="J1016" i="8"/>
  <c r="J523" i="8"/>
  <c r="J1002" i="8"/>
  <c r="J37" i="8"/>
  <c r="J672" i="8"/>
  <c r="J130" i="8"/>
  <c r="J519" i="8"/>
  <c r="J122" i="8"/>
  <c r="J145" i="8"/>
  <c r="K140" i="8"/>
  <c r="K82" i="8"/>
  <c r="H876" i="8"/>
  <c r="I876" i="8" s="1"/>
  <c r="K143" i="8"/>
  <c r="L143" i="8" s="1"/>
  <c r="M143" i="8" s="1" a="1"/>
  <c r="M143" i="8" s="1"/>
  <c r="J581" i="8"/>
  <c r="H684" i="8"/>
  <c r="I684" i="8" s="1"/>
  <c r="J768" i="8"/>
  <c r="J545" i="8"/>
  <c r="J555" i="8"/>
  <c r="J249" i="8"/>
  <c r="J943" i="8"/>
  <c r="J358" i="8"/>
  <c r="J74" i="8"/>
  <c r="J851" i="8"/>
  <c r="J660" i="8"/>
  <c r="J535" i="8"/>
  <c r="J433" i="8"/>
  <c r="J52" i="8"/>
  <c r="J85" i="8"/>
  <c r="J152" i="8"/>
  <c r="J165" i="8"/>
  <c r="J350" i="8"/>
  <c r="J580" i="8"/>
  <c r="J261" i="8"/>
  <c r="J712" i="8"/>
  <c r="J855" i="8"/>
  <c r="J955" i="8"/>
  <c r="J307" i="8"/>
  <c r="J720" i="8"/>
  <c r="J573" i="8"/>
  <c r="H75" i="8"/>
  <c r="I75" i="8" s="1"/>
  <c r="K37" i="8"/>
  <c r="L37" i="8" s="1"/>
  <c r="M37" i="8" s="1" a="1"/>
  <c r="M37" i="8" s="1"/>
  <c r="K812" i="8"/>
  <c r="L812" i="8" s="1"/>
  <c r="M812" i="8" s="1" a="1"/>
  <c r="M812" i="8" s="1"/>
  <c r="H380" i="8"/>
  <c r="H61" i="8"/>
  <c r="I61" i="8" s="1"/>
  <c r="J921" i="8"/>
  <c r="J908" i="8"/>
  <c r="J1022" i="8"/>
  <c r="J859" i="8"/>
  <c r="K348" i="8"/>
  <c r="J6" i="8"/>
  <c r="J898" i="8"/>
  <c r="J598" i="8"/>
  <c r="J960" i="8"/>
  <c r="J492" i="8"/>
  <c r="J164" i="8"/>
  <c r="J412" i="8"/>
  <c r="J642" i="8"/>
  <c r="J420" i="8"/>
  <c r="J722" i="8"/>
  <c r="J863" i="8"/>
  <c r="J758" i="8"/>
  <c r="J543" i="8"/>
  <c r="J730" i="8"/>
  <c r="J917" i="8"/>
  <c r="J662" i="8"/>
  <c r="J1012" i="8"/>
  <c r="J810" i="8"/>
  <c r="J695" i="8"/>
  <c r="J963" i="8"/>
  <c r="J364" i="8"/>
  <c r="J568" i="8"/>
  <c r="H434" i="8"/>
  <c r="K687" i="8"/>
  <c r="H603" i="8"/>
  <c r="I603" i="8" s="1"/>
  <c r="H277" i="8"/>
  <c r="I277" i="8" s="1"/>
  <c r="K455" i="8"/>
  <c r="J532" i="8"/>
  <c r="J753" i="8"/>
  <c r="J143" i="8"/>
  <c r="J705" i="8"/>
  <c r="J278" i="8"/>
  <c r="J86" i="8"/>
  <c r="J41" i="8"/>
  <c r="J373" i="8"/>
  <c r="J419" i="8"/>
  <c r="J565" i="8"/>
  <c r="J936" i="8"/>
  <c r="J117" i="8"/>
  <c r="J953" i="8"/>
  <c r="J874" i="8"/>
  <c r="J622" i="8"/>
  <c r="J697" i="8"/>
  <c r="J458" i="8"/>
  <c r="J928" i="8"/>
  <c r="J10" i="8"/>
  <c r="J530" i="8"/>
  <c r="J721" i="8"/>
  <c r="J160" i="8"/>
  <c r="J93" i="8"/>
  <c r="J209" i="8"/>
  <c r="J151" i="8"/>
  <c r="J658" i="8"/>
  <c r="H981" i="8"/>
  <c r="I981" i="8" s="1"/>
  <c r="H42" i="8"/>
  <c r="I42" i="8" s="1"/>
  <c r="H268" i="8"/>
  <c r="I268" i="8" s="1"/>
  <c r="H79" i="8"/>
  <c r="K596" i="8"/>
  <c r="L596" i="8" s="1"/>
  <c r="M596" i="8" s="1" a="1"/>
  <c r="M596" i="8" s="1"/>
  <c r="J166" i="8"/>
  <c r="J409" i="8"/>
  <c r="J811" i="8"/>
  <c r="J916" i="8"/>
  <c r="J831" i="8"/>
  <c r="J383" i="8"/>
  <c r="J72" i="8"/>
  <c r="J330" i="8"/>
  <c r="J872" i="8"/>
  <c r="J322" i="8"/>
  <c r="J605" i="8"/>
  <c r="J449" i="8"/>
  <c r="J319" i="8"/>
  <c r="J912" i="8"/>
  <c r="J1005" i="8"/>
  <c r="J469" i="8"/>
  <c r="J715" i="8"/>
  <c r="J466" i="8"/>
  <c r="J384" i="8"/>
  <c r="J352" i="8"/>
  <c r="J602" i="8"/>
  <c r="J251" i="8"/>
  <c r="J925" i="8"/>
  <c r="J15" i="8"/>
  <c r="J351" i="8"/>
  <c r="H962" i="8"/>
  <c r="I962" i="8" s="1"/>
  <c r="H587" i="8"/>
  <c r="H165" i="8"/>
  <c r="I165" i="8" s="1"/>
  <c r="K555" i="8"/>
  <c r="L555" i="8" s="1"/>
  <c r="M555" i="8" s="1" a="1"/>
  <c r="M555" i="8" s="1"/>
  <c r="H922" i="8"/>
  <c r="J679" i="8"/>
  <c r="J693" i="8"/>
  <c r="J182" i="8"/>
  <c r="J190" i="8"/>
  <c r="H902" i="8"/>
  <c r="I902" i="8" s="1"/>
  <c r="J800" i="8"/>
  <c r="J814" i="8"/>
  <c r="J29" i="8"/>
  <c r="J382" i="8"/>
  <c r="J374" i="8"/>
  <c r="J795" i="8"/>
  <c r="J830" i="8"/>
  <c r="J370" i="8"/>
  <c r="J569" i="8"/>
  <c r="J311" i="8"/>
  <c r="J294" i="8"/>
  <c r="J711" i="8"/>
  <c r="J526" i="8"/>
  <c r="J125" i="8"/>
  <c r="J265" i="8"/>
  <c r="J243" i="8"/>
  <c r="J189" i="8"/>
  <c r="J775" i="8"/>
  <c r="J108" i="8"/>
  <c r="J323" i="8"/>
  <c r="J667" i="8"/>
  <c r="H915" i="8"/>
  <c r="I915" i="8" s="1"/>
  <c r="H252" i="8"/>
  <c r="I252" i="8" s="1"/>
  <c r="H815" i="8"/>
  <c r="I815" i="8" s="1"/>
  <c r="K862" i="8"/>
  <c r="L862" i="8" s="1"/>
  <c r="M862" i="8" s="1" a="1"/>
  <c r="M862" i="8" s="1"/>
  <c r="K526" i="8"/>
  <c r="L526" i="8" s="1"/>
  <c r="M526" i="8" s="1" a="1"/>
  <c r="M526" i="8" s="1"/>
  <c r="J601" i="8"/>
  <c r="J389" i="8"/>
  <c r="J256" i="8"/>
  <c r="J290" i="8"/>
  <c r="J840" i="8"/>
  <c r="J951" i="8"/>
  <c r="J534" i="8"/>
  <c r="J844" i="8"/>
  <c r="J236" i="8"/>
  <c r="J87" i="8"/>
  <c r="J309" i="8"/>
  <c r="J4" i="8"/>
  <c r="J92" i="8"/>
  <c r="J633" i="8"/>
  <c r="J337" i="8"/>
  <c r="J619" i="8"/>
  <c r="J994" i="8"/>
  <c r="J71" i="8"/>
  <c r="J821" i="8"/>
  <c r="J12" i="8"/>
  <c r="J841" i="8"/>
  <c r="J788" i="8"/>
  <c r="J700" i="8"/>
  <c r="J461" i="8"/>
  <c r="J316" i="8"/>
  <c r="J416" i="8"/>
  <c r="J903" i="8"/>
  <c r="J791" i="8"/>
  <c r="H283" i="8"/>
  <c r="I283" i="8" s="1"/>
  <c r="H149" i="8"/>
  <c r="I149" i="8" s="1"/>
  <c r="H797" i="8"/>
  <c r="I797" i="8" s="1"/>
  <c r="K284" i="8"/>
  <c r="L284" i="8" s="1"/>
  <c r="M284" i="8" s="1" a="1"/>
  <c r="M284" i="8" s="1"/>
  <c r="H129" i="8"/>
  <c r="I129" i="8" s="1"/>
  <c r="J205" i="8"/>
  <c r="J708" i="8"/>
  <c r="J467" i="8"/>
  <c r="J972" i="8"/>
  <c r="J22" i="8"/>
  <c r="J213" i="8"/>
  <c r="J495" i="8"/>
  <c r="J737" i="8"/>
  <c r="J757" i="8"/>
  <c r="J94" i="8"/>
  <c r="J20" i="8"/>
  <c r="J899" i="8"/>
  <c r="J222" i="8"/>
  <c r="J339" i="8"/>
  <c r="J101" i="8"/>
  <c r="J544" i="8"/>
  <c r="J663" i="8"/>
  <c r="J919" i="8"/>
  <c r="J170" i="8"/>
  <c r="J303" i="8"/>
  <c r="J681" i="8"/>
  <c r="J802" i="8"/>
  <c r="J459" i="8"/>
  <c r="J510" i="8"/>
  <c r="J756" i="8"/>
  <c r="J181" i="8"/>
  <c r="J366" i="8"/>
  <c r="J970" i="8"/>
  <c r="J997" i="8"/>
  <c r="J631" i="8"/>
  <c r="J70" i="8"/>
  <c r="J271" i="8"/>
  <c r="J824" i="8"/>
  <c r="J848" i="8"/>
  <c r="J283" i="8"/>
  <c r="J138" i="8"/>
  <c r="J1008" i="8"/>
  <c r="J815" i="8"/>
  <c r="J497" i="8"/>
  <c r="J169" i="8"/>
  <c r="J773" i="8"/>
  <c r="J491" i="8"/>
  <c r="J399" i="8"/>
  <c r="J1020" i="8"/>
  <c r="J923" i="8"/>
  <c r="J886" i="8"/>
  <c r="J501" i="8"/>
  <c r="J272" i="8"/>
  <c r="J457" i="8"/>
  <c r="J286" i="8"/>
  <c r="J971" i="8"/>
  <c r="J511" i="8"/>
  <c r="J556" i="8"/>
  <c r="J444" i="8"/>
  <c r="J369" i="8"/>
  <c r="J468" i="8"/>
  <c r="J331" i="8"/>
  <c r="J460" i="8"/>
  <c r="J685" i="8"/>
  <c r="J452" i="8"/>
  <c r="J398" i="8"/>
  <c r="J538" i="8"/>
  <c r="J144" i="8"/>
  <c r="J664" i="8"/>
  <c r="J769" i="8"/>
  <c r="J683" i="8"/>
  <c r="J186" i="8"/>
  <c r="J415" i="8"/>
  <c r="J592" i="8"/>
  <c r="H212" i="8"/>
  <c r="I212" i="8" s="1"/>
  <c r="H338" i="8"/>
  <c r="I338" i="8" s="1"/>
  <c r="H885" i="8"/>
  <c r="H693" i="8"/>
  <c r="I693" i="8" s="1"/>
  <c r="H368" i="8"/>
  <c r="H377" i="8"/>
  <c r="I377" i="8" s="1"/>
  <c r="H546" i="8"/>
  <c r="H943" i="8"/>
  <c r="H754" i="8"/>
  <c r="I754" i="8" s="1"/>
  <c r="H457" i="8"/>
  <c r="I457" i="8" s="1"/>
  <c r="K379" i="8"/>
  <c r="L379" i="8" s="1"/>
  <c r="M379" i="8" s="1" a="1"/>
  <c r="M379" i="8" s="1"/>
  <c r="K44" i="8"/>
  <c r="K780" i="8"/>
  <c r="K966" i="8"/>
  <c r="L966" i="8" s="1"/>
  <c r="M966" i="8" s="1" a="1"/>
  <c r="M966" i="8" s="1"/>
  <c r="H275" i="8"/>
  <c r="I275" i="8" s="1"/>
  <c r="H491" i="8"/>
  <c r="I491" i="8" s="1"/>
  <c r="H156" i="8"/>
  <c r="H53" i="8"/>
  <c r="I53" i="8" s="1"/>
  <c r="H703" i="8"/>
  <c r="I703" i="8" s="1"/>
  <c r="H122" i="8"/>
  <c r="I122" i="8" s="1"/>
  <c r="K587" i="8"/>
  <c r="K252" i="8"/>
  <c r="K149" i="8"/>
  <c r="L149" i="8" s="1"/>
  <c r="M149" i="8" s="1" a="1"/>
  <c r="M149" i="8" s="1"/>
  <c r="K799" i="8"/>
  <c r="H596" i="8"/>
  <c r="I596" i="8" s="1"/>
  <c r="H507" i="8"/>
  <c r="I507" i="8" s="1"/>
  <c r="H172" i="8"/>
  <c r="I172" i="8" s="1"/>
  <c r="H69" i="8"/>
  <c r="I69" i="8" s="1"/>
  <c r="H719" i="8"/>
  <c r="H234" i="8"/>
  <c r="I234" i="8" s="1"/>
  <c r="K507" i="8"/>
  <c r="L507" i="8" s="1"/>
  <c r="M507" i="8" s="1" a="1"/>
  <c r="M507" i="8" s="1"/>
  <c r="K172" i="8"/>
  <c r="K69" i="8"/>
  <c r="L69" i="8" s="1"/>
  <c r="M69" i="8" s="1" a="1"/>
  <c r="M69" i="8" s="1"/>
  <c r="K719" i="8"/>
  <c r="H330" i="8"/>
  <c r="I330" i="8" s="1"/>
  <c r="H862" i="8"/>
  <c r="I862" i="8" s="1"/>
  <c r="H284" i="8"/>
  <c r="H181" i="8"/>
  <c r="I181" i="8" s="1"/>
  <c r="H831" i="8"/>
  <c r="I831" i="8" s="1"/>
  <c r="H989" i="8"/>
  <c r="I989" i="8" s="1"/>
  <c r="K523" i="8"/>
  <c r="L523" i="8" s="1"/>
  <c r="M523" i="8" s="1" a="1"/>
  <c r="M523" i="8" s="1"/>
  <c r="K188" i="8"/>
  <c r="K85" i="8"/>
  <c r="L85" i="8" s="1"/>
  <c r="M85" i="8" s="1" a="1"/>
  <c r="M85" i="8" s="1"/>
  <c r="K831" i="8"/>
  <c r="K171" i="8"/>
  <c r="L171" i="8" s="1"/>
  <c r="M171" i="8" s="1" a="1"/>
  <c r="M171" i="8" s="1"/>
  <c r="H679" i="8"/>
  <c r="K654" i="8"/>
  <c r="H353" i="8"/>
  <c r="H100" i="8"/>
  <c r="I100" i="8" s="1"/>
  <c r="K637" i="8"/>
  <c r="L637" i="8" s="1"/>
  <c r="M637" i="8" s="1" a="1"/>
  <c r="M637" i="8" s="1"/>
  <c r="K138" i="8"/>
  <c r="L138" i="8" s="1"/>
  <c r="M138" i="8" s="1" a="1"/>
  <c r="M138" i="8" s="1"/>
  <c r="H708" i="8"/>
  <c r="K199" i="8"/>
  <c r="L199" i="8" s="1"/>
  <c r="M199" i="8" s="1" a="1"/>
  <c r="M199" i="8" s="1"/>
  <c r="H216" i="8"/>
  <c r="I216" i="8" s="1"/>
  <c r="J584" i="8"/>
  <c r="J53" i="8"/>
  <c r="J248" i="8"/>
  <c r="J701" i="8"/>
  <c r="J129" i="8"/>
  <c r="J58" i="8"/>
  <c r="J594" i="8"/>
  <c r="J48" i="8"/>
  <c r="J276" i="8"/>
  <c r="J361" i="8"/>
  <c r="J567" i="8"/>
  <c r="J825" i="8"/>
  <c r="J127" i="8"/>
  <c r="J853" i="8"/>
  <c r="J937" i="8"/>
  <c r="J508" i="8"/>
  <c r="J694" i="8"/>
  <c r="J442" i="8"/>
  <c r="J135" i="8"/>
  <c r="J521" i="8"/>
  <c r="J869" i="8"/>
  <c r="J536" i="8"/>
  <c r="J313" i="8"/>
  <c r="J755" i="8"/>
  <c r="J172" i="8"/>
  <c r="J759" i="8"/>
  <c r="J474" i="8"/>
  <c r="J471" i="8"/>
  <c r="J996" i="8"/>
  <c r="J196" i="8"/>
  <c r="J484" i="8"/>
  <c r="J778" i="8"/>
  <c r="J989" i="8"/>
  <c r="J843" i="8"/>
  <c r="J803" i="8"/>
  <c r="J289" i="8"/>
  <c r="J244" i="8"/>
  <c r="J635" i="8"/>
  <c r="J496" i="8"/>
  <c r="J947" i="8"/>
  <c r="J652" i="8"/>
  <c r="J992" i="8"/>
  <c r="J423" i="8"/>
  <c r="J96" i="8"/>
  <c r="J525" i="8"/>
  <c r="J201" i="8"/>
  <c r="J625" i="8"/>
  <c r="J639" i="8"/>
  <c r="J1014" i="8"/>
  <c r="J706" i="8"/>
  <c r="J739" i="8"/>
  <c r="J790" i="8"/>
  <c r="J709" i="8"/>
  <c r="J944" i="8"/>
  <c r="J150" i="8"/>
  <c r="J28" i="8"/>
  <c r="J554" i="8"/>
  <c r="J33" i="8"/>
  <c r="J614" i="8"/>
  <c r="J464" i="8"/>
  <c r="J161" i="8"/>
  <c r="J689" i="8"/>
  <c r="J609" i="8"/>
  <c r="J613" i="8"/>
  <c r="J1021" i="8"/>
  <c r="H171" i="8"/>
  <c r="I171" i="8" s="1"/>
  <c r="H530" i="8"/>
  <c r="H927" i="8"/>
  <c r="I927" i="8" s="1"/>
  <c r="H738" i="8"/>
  <c r="I738" i="8" s="1"/>
  <c r="H361" i="8"/>
  <c r="H379" i="8"/>
  <c r="I379" i="8" s="1"/>
  <c r="H44" i="8"/>
  <c r="H780" i="8"/>
  <c r="H966" i="8"/>
  <c r="H259" i="8"/>
  <c r="I259" i="8" s="1"/>
  <c r="K571" i="8"/>
  <c r="L571" i="8" s="1"/>
  <c r="M571" i="8" s="1" a="1"/>
  <c r="M571" i="8" s="1"/>
  <c r="K236" i="8"/>
  <c r="K133" i="8"/>
  <c r="L133" i="8" s="1"/>
  <c r="M133" i="8" s="1" a="1"/>
  <c r="M133" i="8" s="1"/>
  <c r="K783" i="8"/>
  <c r="H404" i="8"/>
  <c r="I404" i="8" s="1"/>
  <c r="H844" i="8"/>
  <c r="I844" i="8" s="1"/>
  <c r="H348" i="8"/>
  <c r="H245" i="8"/>
  <c r="I245" i="8" s="1"/>
  <c r="H82" i="8"/>
  <c r="K363" i="8"/>
  <c r="L363" i="8" s="1"/>
  <c r="M363" i="8" s="1" a="1"/>
  <c r="M363" i="8" s="1"/>
  <c r="K940" i="8"/>
  <c r="L940" i="8" s="1"/>
  <c r="M940" i="8" s="1" a="1"/>
  <c r="M940" i="8" s="1"/>
  <c r="K444" i="8"/>
  <c r="K341" i="8"/>
  <c r="L341" i="8" s="1"/>
  <c r="M341" i="8" s="1" a="1"/>
  <c r="M341" i="8" s="1"/>
  <c r="H367" i="8"/>
  <c r="K124" i="8"/>
  <c r="H860" i="8"/>
  <c r="I860" i="8" s="1"/>
  <c r="H364" i="8"/>
  <c r="I364" i="8" s="1"/>
  <c r="H261" i="8"/>
  <c r="I261" i="8" s="1"/>
  <c r="H63" i="8"/>
  <c r="I63" i="8" s="1"/>
  <c r="K626" i="8"/>
  <c r="K860" i="8"/>
  <c r="L860" i="8" s="1"/>
  <c r="M860" i="8" s="1" a="1"/>
  <c r="M860" i="8" s="1"/>
  <c r="K364" i="8"/>
  <c r="K261" i="8"/>
  <c r="K63" i="8"/>
  <c r="L63" i="8" s="1"/>
  <c r="M63" i="8" s="1" a="1"/>
  <c r="M63" i="8" s="1"/>
  <c r="K908" i="8"/>
  <c r="L908" i="8" s="1"/>
  <c r="M908" i="8" s="1" a="1"/>
  <c r="M908" i="8" s="1"/>
  <c r="H976" i="8"/>
  <c r="I976" i="8" s="1"/>
  <c r="H476" i="8"/>
  <c r="H373" i="8"/>
  <c r="I373" i="8" s="1"/>
  <c r="H463" i="8"/>
  <c r="I463" i="8" s="1"/>
  <c r="K316" i="8"/>
  <c r="L316" i="8" s="1"/>
  <c r="M316" i="8" s="1" a="1"/>
  <c r="M316" i="8" s="1"/>
  <c r="K876" i="8"/>
  <c r="L876" i="8" s="1"/>
  <c r="M876" i="8" s="1" a="1"/>
  <c r="M876" i="8" s="1"/>
  <c r="K380" i="8"/>
  <c r="K277" i="8"/>
  <c r="L277" i="8" s="1"/>
  <c r="M277" i="8" s="1" a="1"/>
  <c r="M277" i="8" s="1"/>
  <c r="K463" i="8"/>
  <c r="K204" i="8"/>
  <c r="H616" i="8"/>
  <c r="I616" i="8" s="1"/>
  <c r="K878" i="8"/>
  <c r="K454" i="8"/>
  <c r="H711" i="8"/>
  <c r="K72" i="8"/>
  <c r="L72" i="8" s="1"/>
  <c r="M72" i="8" s="1" a="1"/>
  <c r="M72" i="8" s="1"/>
  <c r="K557" i="8"/>
  <c r="L557" i="8" s="1"/>
  <c r="M557" i="8" s="1" a="1"/>
  <c r="M557" i="8" s="1"/>
  <c r="H46" i="8"/>
  <c r="I46" i="8" s="1"/>
  <c r="K923" i="8"/>
  <c r="H779" i="8"/>
  <c r="J524" i="8"/>
  <c r="J285" i="8"/>
  <c r="J793" i="8"/>
  <c r="J343" i="8"/>
  <c r="J623" i="8"/>
  <c r="J577" i="8"/>
  <c r="J542" i="8"/>
  <c r="J792" i="8"/>
  <c r="J480" i="8"/>
  <c r="J136" i="8"/>
  <c r="J873" i="8"/>
  <c r="J929" i="8"/>
  <c r="J604" i="8"/>
  <c r="J453" i="8"/>
  <c r="J801" i="8"/>
  <c r="J657" i="8"/>
  <c r="J379" i="8"/>
  <c r="J431" i="8"/>
  <c r="J837" i="8"/>
  <c r="J404" i="8"/>
  <c r="J979" i="8"/>
  <c r="J817" i="8"/>
  <c r="J153" i="8"/>
  <c r="J630" i="8"/>
  <c r="J659" i="8"/>
  <c r="J920" i="8"/>
  <c r="J975" i="8"/>
  <c r="J406" i="8"/>
  <c r="J198" i="8"/>
  <c r="J275" i="8"/>
  <c r="J553" i="8"/>
  <c r="J1010" i="8"/>
  <c r="J796" i="8"/>
  <c r="J367" i="8"/>
  <c r="J894" i="8"/>
  <c r="J113" i="8"/>
  <c r="J746" i="8"/>
  <c r="J207" i="8"/>
  <c r="J315" i="8"/>
  <c r="J115" i="8"/>
  <c r="J699" i="8"/>
  <c r="J192" i="8"/>
  <c r="J264" i="8"/>
  <c r="J99" i="8"/>
  <c r="J582" i="8"/>
  <c r="J854" i="8"/>
  <c r="J528" i="8"/>
  <c r="J321" i="8"/>
  <c r="J149" i="8"/>
  <c r="J7" i="8"/>
  <c r="J991" i="8"/>
  <c r="J430" i="8"/>
  <c r="J401" i="8"/>
  <c r="J922" i="8"/>
  <c r="J862" i="8"/>
  <c r="J668" i="8"/>
  <c r="J836" i="8"/>
  <c r="J438" i="8"/>
  <c r="J615" i="8"/>
  <c r="J892" i="8"/>
  <c r="J728" i="8"/>
  <c r="J819" i="8"/>
  <c r="J774" i="8"/>
  <c r="J414" i="8"/>
  <c r="J505" i="8"/>
  <c r="J807" i="8"/>
  <c r="J32" i="8"/>
  <c r="J199" i="8"/>
  <c r="J783" i="8"/>
  <c r="J948" i="8"/>
  <c r="J867" i="8"/>
  <c r="J562" i="8"/>
  <c r="J891" i="8"/>
  <c r="H267" i="8"/>
  <c r="I267" i="8" s="1"/>
  <c r="H626" i="8"/>
  <c r="H988" i="8"/>
  <c r="H834" i="8"/>
  <c r="H790" i="8"/>
  <c r="I790" i="8" s="1"/>
  <c r="H475" i="8"/>
  <c r="I475" i="8" s="1"/>
  <c r="H140" i="8"/>
  <c r="H37" i="8"/>
  <c r="I37" i="8" s="1"/>
  <c r="H687" i="8"/>
  <c r="I687" i="8" s="1"/>
  <c r="K23" i="8"/>
  <c r="K828" i="8"/>
  <c r="L828" i="8" s="1"/>
  <c r="M828" i="8" s="1" a="1"/>
  <c r="M828" i="8" s="1"/>
  <c r="K332" i="8"/>
  <c r="K229" i="8"/>
  <c r="L229" i="8" s="1"/>
  <c r="M229" i="8" s="1" a="1"/>
  <c r="M229" i="8" s="1"/>
  <c r="H14" i="8"/>
  <c r="K75" i="8"/>
  <c r="L75" i="8" s="1"/>
  <c r="M75" i="8" s="1" a="1"/>
  <c r="M75" i="8" s="1"/>
  <c r="H940" i="8"/>
  <c r="I940" i="8" s="1"/>
  <c r="H444" i="8"/>
  <c r="H341" i="8"/>
  <c r="I341" i="8" s="1"/>
  <c r="H351" i="8"/>
  <c r="K434" i="8"/>
  <c r="L434" i="8" s="1"/>
  <c r="M434" i="8" s="1" a="1"/>
  <c r="M434" i="8" s="1"/>
  <c r="K50" i="8"/>
  <c r="L50" i="8" s="1"/>
  <c r="M50" i="8" s="1" a="1"/>
  <c r="M50" i="8" s="1"/>
  <c r="K540" i="8"/>
  <c r="K437" i="8"/>
  <c r="L437" i="8" s="1"/>
  <c r="M437" i="8" s="1" a="1"/>
  <c r="M437" i="8" s="1"/>
  <c r="H912" i="8"/>
  <c r="I912" i="8" s="1"/>
  <c r="K927" i="8"/>
  <c r="H956" i="8"/>
  <c r="H460" i="8"/>
  <c r="H357" i="8"/>
  <c r="I357" i="8" s="1"/>
  <c r="K367" i="8"/>
  <c r="K21" i="8"/>
  <c r="L21" i="8" s="1"/>
  <c r="M21" i="8" s="1" a="1"/>
  <c r="M21" i="8" s="1"/>
  <c r="K956" i="8"/>
  <c r="K460" i="8"/>
  <c r="L460" i="8" s="1"/>
  <c r="M460" i="8" s="1" a="1"/>
  <c r="M460" i="8" s="1"/>
  <c r="K357" i="8"/>
  <c r="L357" i="8" s="1"/>
  <c r="M357" i="8" s="1" a="1"/>
  <c r="M357" i="8" s="1"/>
  <c r="H447" i="8"/>
  <c r="K412" i="8"/>
  <c r="H114" i="8"/>
  <c r="H572" i="8"/>
  <c r="H469" i="8"/>
  <c r="I469" i="8" s="1"/>
  <c r="K43" i="8"/>
  <c r="K117" i="8"/>
  <c r="L117" i="8" s="1"/>
  <c r="M117" i="8" s="1" a="1"/>
  <c r="M117" i="8" s="1"/>
  <c r="K976" i="8"/>
  <c r="L976" i="8" s="1"/>
  <c r="M976" i="8" s="1" a="1"/>
  <c r="M976" i="8" s="1"/>
  <c r="K476" i="8"/>
  <c r="K373" i="8"/>
  <c r="L373" i="8" s="1"/>
  <c r="M373" i="8" s="1" a="1"/>
  <c r="M373" i="8" s="1"/>
  <c r="H43" i="8"/>
  <c r="I43" i="8" s="1"/>
  <c r="K101" i="8"/>
  <c r="L101" i="8" s="1"/>
  <c r="M101" i="8" s="1" a="1"/>
  <c r="M101" i="8" s="1"/>
  <c r="H529" i="8"/>
  <c r="H980" i="8"/>
  <c r="I980" i="8" s="1"/>
  <c r="K899" i="8"/>
  <c r="L899" i="8" s="1"/>
  <c r="M899" i="8" s="1" a="1"/>
  <c r="M899" i="8" s="1"/>
  <c r="H206" i="8"/>
  <c r="I206" i="8" s="1"/>
  <c r="H785" i="8"/>
  <c r="K375" i="8"/>
  <c r="H488" i="8"/>
  <c r="I488" i="8" s="1"/>
  <c r="K734" i="8"/>
  <c r="K230" i="8"/>
  <c r="J128" i="8"/>
  <c r="J950" i="8"/>
  <c r="J227" i="8"/>
  <c r="J371" i="8"/>
  <c r="J124" i="8"/>
  <c r="J327" i="8"/>
  <c r="J176" i="8"/>
  <c r="J203" i="8"/>
  <c r="J18" i="8"/>
  <c r="J754" i="8"/>
  <c r="J46" i="8"/>
  <c r="J762" i="8"/>
  <c r="J548" i="8"/>
  <c r="J985" i="8"/>
  <c r="J502" i="8"/>
  <c r="J262" i="8"/>
  <c r="J726" i="8"/>
  <c r="J782" i="8"/>
  <c r="J105" i="8"/>
  <c r="J881" i="8"/>
  <c r="J968" i="8"/>
  <c r="J885" i="8"/>
  <c r="J875" i="8"/>
  <c r="J710" i="8"/>
  <c r="J291" i="8"/>
  <c r="J63" i="8"/>
  <c r="J247" i="8"/>
  <c r="J427" i="8"/>
  <c r="J54" i="8"/>
  <c r="J88" i="8"/>
  <c r="J280" i="8"/>
  <c r="J593" i="8"/>
  <c r="J411" i="8"/>
  <c r="J475" i="8"/>
  <c r="J949" i="8"/>
  <c r="J162" i="8"/>
  <c r="J139" i="8"/>
  <c r="J575" i="8"/>
  <c r="J111" i="8"/>
  <c r="J752" i="8"/>
  <c r="J1015" i="8"/>
  <c r="J126" i="8"/>
  <c r="J612" i="8"/>
  <c r="J274" i="8"/>
  <c r="J864" i="8"/>
  <c r="J381" i="8"/>
  <c r="J465" i="8"/>
  <c r="J405" i="8"/>
  <c r="J606" i="8"/>
  <c r="J434" i="8"/>
  <c r="J748" i="8"/>
  <c r="J348" i="8"/>
  <c r="J263" i="8"/>
  <c r="J228" i="8"/>
  <c r="J648" i="8"/>
  <c r="J396" i="8"/>
  <c r="J785" i="8"/>
  <c r="J552" i="8"/>
  <c r="J890" i="8"/>
  <c r="J632" i="8"/>
  <c r="J733" i="8"/>
  <c r="J1017" i="8"/>
  <c r="J691" i="8"/>
  <c r="J713" i="8"/>
  <c r="J62" i="8"/>
  <c r="J223" i="8"/>
  <c r="J400" i="8"/>
  <c r="J704" i="8"/>
  <c r="J1023" i="8"/>
  <c r="J618" i="8"/>
  <c r="H363" i="8"/>
  <c r="I363" i="8" s="1"/>
  <c r="H12" i="8"/>
  <c r="H764" i="8"/>
  <c r="H946" i="8"/>
  <c r="I946" i="8" s="1"/>
  <c r="H163" i="8"/>
  <c r="I163" i="8" s="1"/>
  <c r="H571" i="8"/>
  <c r="I571" i="8" s="1"/>
  <c r="H236" i="8"/>
  <c r="H133" i="8"/>
  <c r="I133" i="8" s="1"/>
  <c r="H783" i="8"/>
  <c r="H308" i="8"/>
  <c r="I308" i="8" s="1"/>
  <c r="K924" i="8"/>
  <c r="K428" i="8"/>
  <c r="K325" i="8"/>
  <c r="L325" i="8" s="1"/>
  <c r="M325" i="8" s="1" a="1"/>
  <c r="M325" i="8" s="1"/>
  <c r="K271" i="8"/>
  <c r="K242" i="8"/>
  <c r="H50" i="8"/>
  <c r="I50" i="8" s="1"/>
  <c r="H540" i="8"/>
  <c r="I540" i="8" s="1"/>
  <c r="H437" i="8"/>
  <c r="I437" i="8" s="1"/>
  <c r="H896" i="8"/>
  <c r="I896" i="8" s="1"/>
  <c r="K789" i="8"/>
  <c r="L789" i="8" s="1"/>
  <c r="M789" i="8" s="1" a="1"/>
  <c r="M789" i="8" s="1"/>
  <c r="K178" i="8"/>
  <c r="K636" i="8"/>
  <c r="K533" i="8"/>
  <c r="L533" i="8" s="1"/>
  <c r="M533" i="8" s="1" a="1"/>
  <c r="M533" i="8" s="1"/>
  <c r="H294" i="8"/>
  <c r="K962" i="8"/>
  <c r="L962" i="8" s="1"/>
  <c r="M962" i="8" s="1" a="1"/>
  <c r="M962" i="8" s="1"/>
  <c r="H66" i="8"/>
  <c r="H556" i="8"/>
  <c r="H453" i="8"/>
  <c r="I453" i="8" s="1"/>
  <c r="K912" i="8"/>
  <c r="L912" i="8" s="1"/>
  <c r="M912" i="8" s="1" a="1"/>
  <c r="M912" i="8" s="1"/>
  <c r="K834" i="8"/>
  <c r="K66" i="8"/>
  <c r="K556" i="8"/>
  <c r="K453" i="8"/>
  <c r="H1004" i="8"/>
  <c r="K213" i="8"/>
  <c r="L213" i="8" s="1"/>
  <c r="M213" i="8" s="1" a="1"/>
  <c r="M213" i="8" s="1"/>
  <c r="H210" i="8"/>
  <c r="H668" i="8"/>
  <c r="I668" i="8" s="1"/>
  <c r="H565" i="8"/>
  <c r="I565" i="8" s="1"/>
  <c r="H390" i="8"/>
  <c r="K946" i="8"/>
  <c r="L946" i="8" s="1"/>
  <c r="M946" i="8" s="1" a="1"/>
  <c r="M946" i="8" s="1"/>
  <c r="K114" i="8"/>
  <c r="L114" i="8" s="1"/>
  <c r="M114" i="8" s="1" a="1"/>
  <c r="M114" i="8" s="1"/>
  <c r="K572" i="8"/>
  <c r="K469" i="8"/>
  <c r="L469" i="8" s="1"/>
  <c r="M469" i="8" s="1" a="1"/>
  <c r="M469" i="8" s="1"/>
  <c r="H185" i="8"/>
  <c r="I185" i="8" s="1"/>
  <c r="K751" i="8"/>
  <c r="K319" i="8"/>
  <c r="L319" i="8" s="1"/>
  <c r="M319" i="8" s="1" a="1"/>
  <c r="M319" i="8" s="1"/>
  <c r="H448" i="8"/>
  <c r="K774" i="8"/>
  <c r="H648" i="8"/>
  <c r="K635" i="8"/>
  <c r="L635" i="8" s="1"/>
  <c r="M635" i="8" s="1" a="1"/>
  <c r="M635" i="8" s="1"/>
  <c r="K39" i="8"/>
  <c r="L39" i="8" s="1"/>
  <c r="M39" i="8" s="1" a="1"/>
  <c r="M39" i="8" s="1"/>
  <c r="H401" i="8"/>
  <c r="I401" i="8" s="1"/>
  <c r="H591" i="8"/>
  <c r="I591" i="8" s="1"/>
  <c r="K809" i="8"/>
  <c r="J448" i="8"/>
  <c r="J269" i="8"/>
  <c r="J334" i="8"/>
  <c r="J939" i="8"/>
  <c r="J239" i="8"/>
  <c r="J100" i="8"/>
  <c r="J299" i="8"/>
  <c r="J734" i="8"/>
  <c r="J893" i="8"/>
  <c r="J302" i="8"/>
  <c r="J235" i="8"/>
  <c r="J833" i="8"/>
  <c r="J306" i="8"/>
  <c r="J860" i="8"/>
  <c r="J60" i="8"/>
  <c r="J97" i="8"/>
  <c r="J403" i="8"/>
  <c r="J981" i="8"/>
  <c r="J425" i="8"/>
  <c r="J34" i="8"/>
  <c r="J770" i="8"/>
  <c r="J564" i="8"/>
  <c r="J909" i="8"/>
  <c r="J481" i="8"/>
  <c r="J932" i="8"/>
  <c r="J596" i="8"/>
  <c r="J357" i="8"/>
  <c r="J118" i="8"/>
  <c r="J669" i="8"/>
  <c r="J969" i="8"/>
  <c r="J217" i="8"/>
  <c r="J849" i="8"/>
  <c r="J241" i="8"/>
  <c r="J211" i="8"/>
  <c r="J479" i="8"/>
  <c r="J356" i="8"/>
  <c r="J557" i="8"/>
  <c r="J432" i="8"/>
  <c r="J887" i="8"/>
  <c r="J850" i="8"/>
  <c r="J407" i="8"/>
  <c r="J703" i="8"/>
  <c r="J267" i="8"/>
  <c r="J259" i="8"/>
  <c r="J390" i="8"/>
  <c r="J930" i="8"/>
  <c r="J644" i="8"/>
  <c r="J1011" i="8"/>
  <c r="J531" i="8"/>
  <c r="J826" i="8"/>
  <c r="J675" i="8"/>
  <c r="J171" i="8"/>
  <c r="J224" i="8"/>
  <c r="J454" i="8"/>
  <c r="J69" i="8"/>
  <c r="J56" i="8"/>
  <c r="J254" i="8"/>
  <c r="J595" i="8"/>
  <c r="J507" i="8"/>
  <c r="J109" i="8"/>
  <c r="J823" i="8"/>
  <c r="J764" i="8"/>
  <c r="J279" i="8"/>
  <c r="J583" i="8"/>
  <c r="J221" i="8"/>
  <c r="J587" i="8"/>
  <c r="J163" i="8"/>
  <c r="J586" i="8"/>
  <c r="J719" i="8"/>
  <c r="J1018" i="8"/>
  <c r="J312" i="8"/>
  <c r="H459" i="8"/>
  <c r="I459" i="8" s="1"/>
  <c r="H124" i="8"/>
  <c r="H21" i="8"/>
  <c r="I21" i="8" s="1"/>
  <c r="H671" i="8"/>
  <c r="H900" i="8"/>
  <c r="H828" i="8"/>
  <c r="I828" i="8" s="1"/>
  <c r="H332" i="8"/>
  <c r="H229" i="8"/>
  <c r="I229" i="8" s="1"/>
  <c r="K14" i="8"/>
  <c r="K267" i="8"/>
  <c r="L267" i="8" s="1"/>
  <c r="M267" i="8" s="1" a="1"/>
  <c r="M267" i="8" s="1"/>
  <c r="K34" i="8"/>
  <c r="L34" i="8" s="1"/>
  <c r="M34" i="8" s="1" a="1"/>
  <c r="M34" i="8" s="1"/>
  <c r="K524" i="8"/>
  <c r="L524" i="8" s="1"/>
  <c r="M524" i="8" s="1" a="1"/>
  <c r="M524" i="8" s="1"/>
  <c r="K421" i="8"/>
  <c r="L421" i="8" s="1"/>
  <c r="M421" i="8" s="1" a="1"/>
  <c r="M421" i="8" s="1"/>
  <c r="K816" i="8"/>
  <c r="L816" i="8" s="1"/>
  <c r="M816" i="8" s="1" a="1"/>
  <c r="M816" i="8" s="1"/>
  <c r="K508" i="8"/>
  <c r="H178" i="8"/>
  <c r="H636" i="8"/>
  <c r="H533" i="8"/>
  <c r="I533" i="8" s="1"/>
  <c r="H278" i="8"/>
  <c r="I278" i="8" s="1"/>
  <c r="K501" i="8"/>
  <c r="K274" i="8"/>
  <c r="K821" i="8"/>
  <c r="K629" i="8"/>
  <c r="L629" i="8" s="1"/>
  <c r="M629" i="8" s="1" a="1"/>
  <c r="M629" i="8" s="1"/>
  <c r="H1019" i="8"/>
  <c r="I1019" i="8" s="1"/>
  <c r="H806" i="8"/>
  <c r="I806" i="8" s="1"/>
  <c r="H194" i="8"/>
  <c r="H652" i="8"/>
  <c r="H549" i="8"/>
  <c r="K294" i="8"/>
  <c r="H179" i="8"/>
  <c r="K194" i="8"/>
  <c r="K652" i="8"/>
  <c r="K549" i="8"/>
  <c r="H374" i="8"/>
  <c r="I374" i="8" s="1"/>
  <c r="H384" i="8"/>
  <c r="H306" i="8"/>
  <c r="I306" i="8" s="1"/>
  <c r="H853" i="8"/>
  <c r="H661" i="8"/>
  <c r="I661" i="8" s="1"/>
  <c r="H176" i="8"/>
  <c r="H566" i="8"/>
  <c r="K210" i="8"/>
  <c r="K668" i="8"/>
  <c r="L668" i="8" s="1"/>
  <c r="M668" i="8" s="1" a="1"/>
  <c r="M668" i="8" s="1"/>
  <c r="K565" i="8"/>
  <c r="L565" i="8" s="1"/>
  <c r="M565" i="8" s="1" a="1"/>
  <c r="M565" i="8" s="1"/>
  <c r="H563" i="8"/>
  <c r="H1024" i="8"/>
  <c r="I1024" i="8" s="1"/>
  <c r="K630" i="8"/>
  <c r="H441" i="8"/>
  <c r="I441" i="8" s="1"/>
  <c r="K884" i="8"/>
  <c r="H561" i="8"/>
  <c r="H794" i="8"/>
  <c r="K744" i="8"/>
  <c r="K191" i="8"/>
  <c r="L191" i="8" s="1"/>
  <c r="M191" i="8" s="1" a="1"/>
  <c r="M191" i="8" s="1"/>
  <c r="H224" i="8"/>
  <c r="K697" i="8"/>
  <c r="L697" i="8" s="1"/>
  <c r="M697" i="8" s="1" a="1"/>
  <c r="M697" i="8" s="1"/>
  <c r="J809" i="8"/>
  <c r="J317" i="8"/>
  <c r="J776" i="8"/>
  <c r="J868" i="8"/>
  <c r="J40" i="8"/>
  <c r="J999" i="8"/>
  <c r="J927" i="8"/>
  <c r="J725" i="8"/>
  <c r="J559" i="8"/>
  <c r="J188" i="8"/>
  <c r="J901" i="8"/>
  <c r="J332" i="8"/>
  <c r="J340" i="8"/>
  <c r="J540" i="8"/>
  <c r="J27" i="8"/>
  <c r="J871" i="8"/>
  <c r="J310" i="8"/>
  <c r="J218" i="8"/>
  <c r="J518" i="8"/>
  <c r="J931" i="8"/>
  <c r="J142" i="8"/>
  <c r="J638" i="8"/>
  <c r="J911" i="8"/>
  <c r="J696" i="8"/>
  <c r="J378" i="8"/>
  <c r="J410" i="8"/>
  <c r="J314" i="8"/>
  <c r="J724" i="8"/>
  <c r="J141" i="8"/>
  <c r="J35" i="8"/>
  <c r="J116" i="8"/>
  <c r="J550" i="8"/>
  <c r="J813" i="8"/>
  <c r="J270" i="8"/>
  <c r="J974" i="8"/>
  <c r="J690" i="8"/>
  <c r="J876" i="8"/>
  <c r="J347" i="8"/>
  <c r="J926" i="8"/>
  <c r="J268" i="8"/>
  <c r="J599" i="8"/>
  <c r="J255" i="8"/>
  <c r="J954" i="8"/>
  <c r="J220" i="8"/>
  <c r="J574" i="8"/>
  <c r="J355" i="8"/>
  <c r="J763" i="8"/>
  <c r="J226" i="8"/>
  <c r="J781" i="8"/>
  <c r="J961" i="8"/>
  <c r="J49" i="8"/>
  <c r="J43" i="8"/>
  <c r="J910" i="8"/>
  <c r="J828" i="8"/>
  <c r="J277" i="8"/>
  <c r="J47" i="8"/>
  <c r="J295" i="8"/>
  <c r="J591" i="8"/>
  <c r="J797" i="8"/>
  <c r="J498" i="8"/>
  <c r="J547" i="8"/>
  <c r="J225" i="8"/>
  <c r="J232" i="8"/>
  <c r="J473" i="8"/>
  <c r="J282" i="8"/>
  <c r="J629" i="8"/>
  <c r="J14" i="8"/>
  <c r="J687" i="8"/>
  <c r="J84" i="8"/>
  <c r="J1013" i="8"/>
  <c r="J941" i="8"/>
  <c r="J333" i="8"/>
  <c r="J25" i="8"/>
  <c r="H555" i="8"/>
  <c r="I555" i="8" s="1"/>
  <c r="H220" i="8"/>
  <c r="H117" i="8"/>
  <c r="I117" i="8" s="1"/>
  <c r="H767" i="8"/>
  <c r="I767" i="8" s="1"/>
  <c r="H116" i="8"/>
  <c r="I116" i="8" s="1"/>
  <c r="H924" i="8"/>
  <c r="H428" i="8"/>
  <c r="H325" i="8"/>
  <c r="I325" i="8" s="1"/>
  <c r="H271" i="8"/>
  <c r="K530" i="8"/>
  <c r="K162" i="8"/>
  <c r="K620" i="8"/>
  <c r="K517" i="8"/>
  <c r="L517" i="8" s="1"/>
  <c r="M517" i="8" s="1" a="1"/>
  <c r="M517" i="8" s="1"/>
  <c r="K198" i="8"/>
  <c r="K597" i="8"/>
  <c r="H274" i="8"/>
  <c r="I274" i="8" s="1"/>
  <c r="H821" i="8"/>
  <c r="I821" i="8" s="1"/>
  <c r="H629" i="8"/>
  <c r="I629" i="8" s="1"/>
  <c r="H662" i="8"/>
  <c r="H800" i="8"/>
  <c r="I800" i="8" s="1"/>
  <c r="K370" i="8"/>
  <c r="K917" i="8"/>
  <c r="K725" i="8"/>
  <c r="H576" i="8"/>
  <c r="H107" i="8"/>
  <c r="I107" i="8" s="1"/>
  <c r="H290" i="8"/>
  <c r="I290" i="8" s="1"/>
  <c r="H837" i="8"/>
  <c r="I837" i="8" s="1"/>
  <c r="H645" i="8"/>
  <c r="I645" i="8" s="1"/>
  <c r="H80" i="8"/>
  <c r="I80" i="8" s="1"/>
  <c r="H870" i="8"/>
  <c r="K290" i="8"/>
  <c r="L290" i="8" s="1"/>
  <c r="M290" i="8" s="1" a="1"/>
  <c r="M290" i="8" s="1"/>
  <c r="K837" i="8"/>
  <c r="L837" i="8" s="1"/>
  <c r="M837" i="8" s="1" a="1"/>
  <c r="M837" i="8" s="1"/>
  <c r="K645" i="8"/>
  <c r="L645" i="8" s="1"/>
  <c r="M645" i="8" s="1" a="1"/>
  <c r="M645" i="8" s="1"/>
  <c r="H96" i="8"/>
  <c r="K870" i="8"/>
  <c r="H402" i="8"/>
  <c r="H949" i="8"/>
  <c r="H757" i="8"/>
  <c r="I757" i="8" s="1"/>
  <c r="H857" i="8"/>
  <c r="K187" i="8"/>
  <c r="L187" i="8" s="1"/>
  <c r="M187" i="8" s="1" a="1"/>
  <c r="M187" i="8" s="1"/>
  <c r="K306" i="8"/>
  <c r="L306" i="8" s="1"/>
  <c r="M306" i="8" s="1" a="1"/>
  <c r="M306" i="8" s="1"/>
  <c r="K853" i="8"/>
  <c r="K661" i="8"/>
  <c r="L661" i="8" s="1"/>
  <c r="M661" i="8" s="1" a="1"/>
  <c r="M661" i="8" s="1"/>
  <c r="K146" i="8"/>
  <c r="H150" i="8"/>
  <c r="K720" i="8"/>
  <c r="L720" i="8" s="1"/>
  <c r="M720" i="8" s="1" a="1"/>
  <c r="M720" i="8" s="1"/>
  <c r="H243" i="8"/>
  <c r="K372" i="8"/>
  <c r="L372" i="8" s="1"/>
  <c r="M372" i="8" s="1" a="1"/>
  <c r="M372" i="8" s="1"/>
  <c r="K447" i="8"/>
  <c r="H920" i="8"/>
  <c r="I920" i="8" s="1"/>
  <c r="K926" i="8"/>
  <c r="K502" i="8"/>
  <c r="L502" i="8" s="1"/>
  <c r="M502" i="8" s="1" a="1"/>
  <c r="M502" i="8" s="1"/>
  <c r="H217" i="8"/>
  <c r="I217" i="8" s="1"/>
  <c r="K499" i="8"/>
  <c r="J611" i="8"/>
  <c r="J483" i="8"/>
  <c r="J653" i="8"/>
  <c r="J676" i="8"/>
  <c r="J856" i="8"/>
  <c r="J121" i="8"/>
  <c r="J455" i="8"/>
  <c r="J918" i="8"/>
  <c r="J154" i="8"/>
  <c r="J422" i="8"/>
  <c r="J179" i="8"/>
  <c r="J489" i="8"/>
  <c r="J786" i="8"/>
  <c r="J68" i="8"/>
  <c r="J560" i="8"/>
  <c r="J570" i="8"/>
  <c r="J61" i="8"/>
  <c r="J976" i="8"/>
  <c r="J51" i="8"/>
  <c r="J771" i="8"/>
  <c r="J503" i="8"/>
  <c r="J736" i="8"/>
  <c r="J252" i="8"/>
  <c r="J308" i="8"/>
  <c r="J258" i="8"/>
  <c r="J794" i="8"/>
  <c r="J835" i="8"/>
  <c r="J680" i="8"/>
  <c r="J576" i="8"/>
  <c r="J646" i="8"/>
  <c r="J98" i="8"/>
  <c r="J346" i="8"/>
  <c r="J761" i="8"/>
  <c r="J168" i="8"/>
  <c r="J65" i="8"/>
  <c r="J806" i="8"/>
  <c r="J636" i="8"/>
  <c r="J250" i="8"/>
  <c r="J907" i="8"/>
  <c r="J986" i="8"/>
  <c r="J799" i="8"/>
  <c r="J215" i="8"/>
  <c r="J678" i="8"/>
  <c r="J418" i="8"/>
  <c r="J476" i="8"/>
  <c r="J293" i="8"/>
  <c r="J417" i="8"/>
  <c r="J772" i="8"/>
  <c r="J159" i="8"/>
  <c r="J13" i="8"/>
  <c r="J656" i="8"/>
  <c r="J320" i="8"/>
  <c r="J73" i="8"/>
  <c r="J326" i="8"/>
  <c r="J866" i="8"/>
  <c r="J216" i="8"/>
  <c r="J805" i="8"/>
  <c r="J767" i="8"/>
  <c r="J777" i="8"/>
  <c r="J765" i="8"/>
  <c r="J915" i="8"/>
  <c r="J607" i="8"/>
  <c r="J79" i="8"/>
  <c r="J729" i="8"/>
  <c r="J387" i="8"/>
  <c r="J439" i="8"/>
  <c r="J114" i="8"/>
  <c r="J520" i="8"/>
  <c r="J8" i="8"/>
  <c r="H812" i="8"/>
  <c r="I812" i="8" s="1"/>
  <c r="H316" i="8"/>
  <c r="I316" i="8" s="1"/>
  <c r="H213" i="8"/>
  <c r="I213" i="8" s="1"/>
  <c r="H863" i="8"/>
  <c r="I863" i="8" s="1"/>
  <c r="K459" i="8"/>
  <c r="L459" i="8" s="1"/>
  <c r="M459" i="8" s="1" a="1"/>
  <c r="M459" i="8" s="1"/>
  <c r="H34" i="8"/>
  <c r="H524" i="8"/>
  <c r="H421" i="8"/>
  <c r="I421" i="8" s="1"/>
  <c r="H816" i="8"/>
  <c r="I816" i="8" s="1"/>
  <c r="K604" i="8"/>
  <c r="K258" i="8"/>
  <c r="K805" i="8"/>
  <c r="K613" i="8"/>
  <c r="L613" i="8" s="1"/>
  <c r="M613" i="8" s="1" a="1"/>
  <c r="M613" i="8" s="1"/>
  <c r="K582" i="8"/>
  <c r="L582" i="8" s="1"/>
  <c r="M582" i="8" s="1" a="1"/>
  <c r="M582" i="8" s="1"/>
  <c r="H182" i="8"/>
  <c r="H370" i="8"/>
  <c r="H917" i="8"/>
  <c r="H725" i="8"/>
  <c r="H560" i="8"/>
  <c r="H91" i="8"/>
  <c r="K466" i="8"/>
  <c r="K1013" i="8"/>
  <c r="K674" i="8"/>
  <c r="L674" i="8" s="1"/>
  <c r="M674" i="8" s="1" a="1"/>
  <c r="M674" i="8" s="1"/>
  <c r="H768" i="8"/>
  <c r="I768" i="8" s="1"/>
  <c r="K9" i="8"/>
  <c r="L9" i="8" s="1"/>
  <c r="M9" i="8" s="1" a="1"/>
  <c r="M9" i="8" s="1"/>
  <c r="H386" i="8"/>
  <c r="I386" i="8" s="1"/>
  <c r="H933" i="8"/>
  <c r="I933" i="8" s="1"/>
  <c r="H741" i="8"/>
  <c r="I741" i="8" s="1"/>
  <c r="H656" i="8"/>
  <c r="I656" i="8" s="1"/>
  <c r="H9" i="8"/>
  <c r="K386" i="8"/>
  <c r="L386" i="8" s="1"/>
  <c r="M386" i="8" s="1" a="1"/>
  <c r="M386" i="8" s="1"/>
  <c r="K933" i="8"/>
  <c r="L933" i="8" s="1"/>
  <c r="M933" i="8" s="1" a="1"/>
  <c r="M933" i="8" s="1"/>
  <c r="K741" i="8"/>
  <c r="L741" i="8" s="1"/>
  <c r="M741" i="8" s="1" a="1"/>
  <c r="M741" i="8" s="1"/>
  <c r="H672" i="8"/>
  <c r="I672" i="8" s="1"/>
  <c r="H139" i="8"/>
  <c r="H498" i="8"/>
  <c r="H895" i="8"/>
  <c r="I895" i="8" s="1"/>
  <c r="H706" i="8"/>
  <c r="I706" i="8" s="1"/>
  <c r="H169" i="8"/>
  <c r="I169" i="8" s="1"/>
  <c r="K107" i="8"/>
  <c r="L107" i="8" s="1"/>
  <c r="M107" i="8" s="1" a="1"/>
  <c r="M107" i="8" s="1"/>
  <c r="K402" i="8"/>
  <c r="K949" i="8"/>
  <c r="K757" i="8"/>
  <c r="L757" i="8" s="1"/>
  <c r="M757" i="8" s="1" a="1"/>
  <c r="M757" i="8" s="1"/>
  <c r="H155" i="8"/>
  <c r="I155" i="8" s="1"/>
  <c r="H624" i="8"/>
  <c r="K970" i="8"/>
  <c r="L970" i="8" s="1"/>
  <c r="M970" i="8" s="1" a="1"/>
  <c r="M970" i="8" s="1"/>
  <c r="H586" i="8"/>
  <c r="I586" i="8" s="1"/>
  <c r="K333" i="8"/>
  <c r="K80" i="8"/>
  <c r="L80" i="8" s="1"/>
  <c r="M80" i="8" s="1" a="1"/>
  <c r="M80" i="8" s="1"/>
  <c r="H376" i="8"/>
  <c r="I376" i="8" s="1"/>
  <c r="H22" i="8"/>
  <c r="K947" i="8"/>
  <c r="L947" i="8" s="1"/>
  <c r="M947" i="8" s="1" a="1"/>
  <c r="M947" i="8" s="1"/>
  <c r="H867" i="8"/>
  <c r="K148" i="8"/>
  <c r="L148" i="8" s="1"/>
  <c r="M148" i="8" s="1" a="1"/>
  <c r="M148" i="8" s="1"/>
  <c r="J987" i="8"/>
  <c r="J967" i="8"/>
  <c r="J585" i="8"/>
  <c r="J735" i="8"/>
  <c r="J674" i="8"/>
  <c r="J935" i="8"/>
  <c r="J884" i="8"/>
  <c r="J470" i="8"/>
  <c r="J477" i="8"/>
  <c r="J1003" i="8"/>
  <c r="J958" i="8"/>
  <c r="J913" i="8"/>
  <c r="J42" i="8"/>
  <c r="J537" i="8"/>
  <c r="J266" i="8"/>
  <c r="J637" i="8"/>
  <c r="J740" i="8"/>
  <c r="J533" i="8"/>
  <c r="J716" i="8"/>
  <c r="J376" i="8"/>
  <c r="J123" i="8"/>
  <c r="J905" i="8"/>
  <c r="J106" i="8"/>
  <c r="J889" i="8"/>
  <c r="J896" i="8"/>
  <c r="J588" i="8"/>
  <c r="J202" i="8"/>
  <c r="J77" i="8"/>
  <c r="J952" i="8"/>
  <c r="J838" i="8"/>
  <c r="J81" i="8"/>
  <c r="J879" i="8"/>
  <c r="J437" i="8"/>
  <c r="J897" i="8"/>
  <c r="J714" i="8"/>
  <c r="J187" i="8"/>
  <c r="J990" i="8"/>
  <c r="J385" i="8"/>
  <c r="J393" i="8"/>
  <c r="J600" i="8"/>
  <c r="J238" i="8"/>
  <c r="J670" i="8"/>
  <c r="J194" i="8"/>
  <c r="J193" i="8"/>
  <c r="J789" i="8"/>
  <c r="J80" i="8"/>
  <c r="J363" i="8"/>
  <c r="J246" i="8"/>
  <c r="J257" i="8"/>
  <c r="J870" i="8"/>
  <c r="J980" i="8"/>
  <c r="J394" i="8"/>
  <c r="J131" i="8"/>
  <c r="J515" i="8"/>
  <c r="J36" i="8"/>
  <c r="J982" i="8"/>
  <c r="J744" i="8"/>
  <c r="J287" i="8"/>
  <c r="J242" i="8"/>
  <c r="J208" i="8"/>
  <c r="J877" i="8"/>
  <c r="J177" i="8"/>
  <c r="J645" i="8"/>
  <c r="J488" i="8"/>
  <c r="J902" i="8"/>
  <c r="J880" i="8"/>
  <c r="J512" i="8"/>
  <c r="J522" i="8"/>
  <c r="J31" i="8"/>
  <c r="J485" i="8"/>
  <c r="K18" i="8"/>
  <c r="H908" i="8"/>
  <c r="I908" i="8" s="1"/>
  <c r="H412" i="8"/>
  <c r="H309" i="8"/>
  <c r="I309" i="8" s="1"/>
  <c r="K175" i="8"/>
  <c r="K338" i="8"/>
  <c r="L338" i="8" s="1"/>
  <c r="M338" i="8" s="1" a="1"/>
  <c r="M338" i="8" s="1"/>
  <c r="H162" i="8"/>
  <c r="H620" i="8"/>
  <c r="H517" i="8"/>
  <c r="I517" i="8" s="1"/>
  <c r="H198" i="8"/>
  <c r="K309" i="8"/>
  <c r="L309" i="8" s="1"/>
  <c r="M309" i="8" s="1" a="1"/>
  <c r="M309" i="8" s="1"/>
  <c r="K354" i="8"/>
  <c r="K901" i="8"/>
  <c r="K709" i="8"/>
  <c r="L709" i="8" s="1"/>
  <c r="M709" i="8" s="1" a="1"/>
  <c r="M709" i="8" s="1"/>
  <c r="H480" i="8"/>
  <c r="H187" i="8"/>
  <c r="H466" i="8"/>
  <c r="H1013" i="8"/>
  <c r="H674" i="8"/>
  <c r="I674" i="8" s="1"/>
  <c r="H752" i="8"/>
  <c r="I752" i="8" s="1"/>
  <c r="K203" i="8"/>
  <c r="L203" i="8" s="1"/>
  <c r="M203" i="8" s="1" a="1"/>
  <c r="M203" i="8" s="1"/>
  <c r="K562" i="8"/>
  <c r="K959" i="8"/>
  <c r="L959" i="8" s="1"/>
  <c r="M959" i="8" s="1" a="1"/>
  <c r="M959" i="8" s="1"/>
  <c r="K770" i="8"/>
  <c r="L770" i="8" s="1"/>
  <c r="M770" i="8" s="1" a="1"/>
  <c r="M770" i="8" s="1"/>
  <c r="H569" i="8"/>
  <c r="I569" i="8" s="1"/>
  <c r="H123" i="8"/>
  <c r="I123" i="8" s="1"/>
  <c r="H482" i="8"/>
  <c r="H879" i="8"/>
  <c r="H690" i="8"/>
  <c r="H73" i="8"/>
  <c r="I73" i="8" s="1"/>
  <c r="K123" i="8"/>
  <c r="L123" i="8" s="1"/>
  <c r="M123" i="8" s="1" a="1"/>
  <c r="M123" i="8" s="1"/>
  <c r="K482" i="8"/>
  <c r="K879" i="8"/>
  <c r="L879" i="8" s="1"/>
  <c r="M879" i="8" s="1" a="1"/>
  <c r="M879" i="8" s="1"/>
  <c r="K690" i="8"/>
  <c r="L690" i="8" s="1"/>
  <c r="M690" i="8" s="1" a="1"/>
  <c r="M690" i="8" s="1"/>
  <c r="H89" i="8"/>
  <c r="I89" i="8" s="1"/>
  <c r="H235" i="8"/>
  <c r="H594" i="8"/>
  <c r="H991" i="8"/>
  <c r="H802" i="8"/>
  <c r="I802" i="8" s="1"/>
  <c r="H745" i="8"/>
  <c r="I745" i="8" s="1"/>
  <c r="K139" i="8"/>
  <c r="K498" i="8"/>
  <c r="K895" i="8"/>
  <c r="L895" i="8" s="1"/>
  <c r="M895" i="8" s="1" a="1"/>
  <c r="M895" i="8" s="1"/>
  <c r="K706" i="8"/>
  <c r="L706" i="8" s="1"/>
  <c r="M706" i="8" s="1" a="1"/>
  <c r="M706" i="8" s="1"/>
  <c r="H892" i="8"/>
  <c r="I892" i="8" s="1"/>
  <c r="H617" i="8"/>
  <c r="I617" i="8" s="1"/>
  <c r="K90" i="8"/>
  <c r="L90" i="8" s="1"/>
  <c r="M90" i="8" s="1" a="1"/>
  <c r="M90" i="8" s="1"/>
  <c r="H1008" i="8"/>
  <c r="I1008" i="8" s="1"/>
  <c r="K151" i="8"/>
  <c r="L151" i="8" s="1"/>
  <c r="M151" i="8" s="1" a="1"/>
  <c r="M151" i="8" s="1"/>
  <c r="K73" i="8"/>
  <c r="L73" i="8" s="1"/>
  <c r="M73" i="8" s="1" a="1"/>
  <c r="M73" i="8" s="1"/>
  <c r="H289" i="8"/>
  <c r="H496" i="8"/>
  <c r="K822" i="8"/>
  <c r="H362" i="8"/>
  <c r="K109" i="8"/>
  <c r="L109" i="8" s="1"/>
  <c r="M109" i="8" s="1" a="1"/>
  <c r="M109" i="8" s="1"/>
  <c r="J195" i="8"/>
  <c r="J933" i="8"/>
  <c r="J395" i="8"/>
  <c r="J766" i="8"/>
  <c r="J148" i="8"/>
  <c r="J11" i="8"/>
  <c r="J649" i="8"/>
  <c r="J44" i="8"/>
  <c r="J732" i="8"/>
  <c r="J212" i="8"/>
  <c r="J64" i="8"/>
  <c r="J300" i="8"/>
  <c r="J671" i="8"/>
  <c r="J784" i="8"/>
  <c r="J214" i="8"/>
  <c r="J318" i="8"/>
  <c r="J628" i="8"/>
  <c r="J818" i="8"/>
  <c r="J240" i="8"/>
  <c r="J206" i="8"/>
  <c r="J324" i="8"/>
  <c r="J578" i="8"/>
  <c r="J428" i="8"/>
  <c r="J30" i="8"/>
  <c r="J112" i="8"/>
  <c r="J904" i="8"/>
  <c r="J89" i="8"/>
  <c r="J888" i="8"/>
  <c r="J940" i="8"/>
  <c r="J779" i="8"/>
  <c r="J372" i="8"/>
  <c r="J698" i="8"/>
  <c r="J707" i="8"/>
  <c r="J173" i="8"/>
  <c r="J846" i="8"/>
  <c r="J260" i="8"/>
  <c r="J938" i="8"/>
  <c r="J597" i="8"/>
  <c r="J76" i="8"/>
  <c r="J83" i="8"/>
  <c r="J157" i="8"/>
  <c r="J191" i="8"/>
  <c r="J237" i="8"/>
  <c r="J504" i="8"/>
  <c r="J993" i="8"/>
  <c r="J110" i="8"/>
  <c r="J292" i="8"/>
  <c r="J812" i="8"/>
  <c r="J435" i="8"/>
  <c r="J832" i="8"/>
  <c r="J514" i="8"/>
  <c r="J487" i="8"/>
  <c r="J616" i="8"/>
  <c r="J95" i="8"/>
  <c r="J233" i="8"/>
  <c r="J342" i="8"/>
  <c r="J749" i="8"/>
  <c r="J1001" i="8"/>
  <c r="J558" i="8"/>
  <c r="J39" i="8"/>
  <c r="J344" i="8"/>
  <c r="J589" i="8"/>
  <c r="J551" i="8"/>
  <c r="J857" i="8"/>
  <c r="J288" i="8"/>
  <c r="J878" i="8"/>
  <c r="J155" i="8"/>
  <c r="J816" i="8"/>
  <c r="J827" i="8"/>
  <c r="J67" i="8"/>
  <c r="J253" i="8"/>
  <c r="K220" i="8"/>
  <c r="L220" i="8" s="1"/>
  <c r="M220" i="8" s="1" a="1"/>
  <c r="M220" i="8" s="1"/>
  <c r="H18" i="8"/>
  <c r="H508" i="8"/>
  <c r="I508" i="8" s="1"/>
  <c r="H405" i="8"/>
  <c r="I405" i="8" s="1"/>
  <c r="K559" i="8"/>
  <c r="K981" i="8"/>
  <c r="L981" i="8" s="1"/>
  <c r="M981" i="8" s="1" a="1"/>
  <c r="M981" i="8" s="1"/>
  <c r="H258" i="8"/>
  <c r="H805" i="8"/>
  <c r="H613" i="8"/>
  <c r="I613" i="8" s="1"/>
  <c r="H582" i="8"/>
  <c r="K863" i="8"/>
  <c r="L863" i="8" s="1"/>
  <c r="M863" i="8" s="1" a="1"/>
  <c r="M863" i="8" s="1"/>
  <c r="K450" i="8"/>
  <c r="K997" i="8"/>
  <c r="L997" i="8" s="1"/>
  <c r="M997" i="8" s="1" a="1"/>
  <c r="M997" i="8" s="1"/>
  <c r="K1002" i="8"/>
  <c r="L1002" i="8" s="1"/>
  <c r="M1002" i="8" s="1" a="1"/>
  <c r="M1002" i="8" s="1"/>
  <c r="H996" i="8"/>
  <c r="H203" i="8"/>
  <c r="I203" i="8" s="1"/>
  <c r="H562" i="8"/>
  <c r="H959" i="8"/>
  <c r="I959" i="8" s="1"/>
  <c r="H770" i="8"/>
  <c r="I770" i="8" s="1"/>
  <c r="H553" i="8"/>
  <c r="I553" i="8" s="1"/>
  <c r="K299" i="8"/>
  <c r="L299" i="8" s="1"/>
  <c r="M299" i="8" s="1" a="1"/>
  <c r="M299" i="8" s="1"/>
  <c r="K658" i="8"/>
  <c r="K700" i="8"/>
  <c r="K882" i="8"/>
  <c r="H643" i="8"/>
  <c r="I643" i="8" s="1"/>
  <c r="H219" i="8"/>
  <c r="I219" i="8" s="1"/>
  <c r="H578" i="8"/>
  <c r="I578" i="8" s="1"/>
  <c r="H975" i="8"/>
  <c r="I975" i="8" s="1"/>
  <c r="H786" i="8"/>
  <c r="I786" i="8" s="1"/>
  <c r="H649" i="8"/>
  <c r="K219" i="8"/>
  <c r="L219" i="8" s="1"/>
  <c r="M219" i="8" s="1" a="1"/>
  <c r="M219" i="8" s="1"/>
  <c r="K578" i="8"/>
  <c r="K975" i="8"/>
  <c r="K786" i="8"/>
  <c r="L786" i="8" s="1"/>
  <c r="M786" i="8" s="1" a="1"/>
  <c r="M786" i="8" s="1"/>
  <c r="H665" i="8"/>
  <c r="I665" i="8" s="1"/>
  <c r="H331" i="8"/>
  <c r="I331" i="8" s="1"/>
  <c r="H27" i="8"/>
  <c r="I27" i="8" s="1"/>
  <c r="H732" i="8"/>
  <c r="I732" i="8" s="1"/>
  <c r="H914" i="8"/>
  <c r="I914" i="8" s="1"/>
  <c r="H819" i="8"/>
  <c r="I819" i="8" s="1"/>
  <c r="K235" i="8"/>
  <c r="K594" i="8"/>
  <c r="K991" i="8"/>
  <c r="K802" i="8"/>
  <c r="L802" i="8" s="1"/>
  <c r="M802" i="8" s="1" a="1"/>
  <c r="M802" i="8" s="1"/>
  <c r="H396" i="8"/>
  <c r="H419" i="8"/>
  <c r="K548" i="8"/>
  <c r="L548" i="8" s="1"/>
  <c r="M548" i="8" s="1" a="1"/>
  <c r="M548" i="8" s="1"/>
  <c r="H874" i="8"/>
  <c r="K478" i="8"/>
  <c r="L478" i="8" s="1"/>
  <c r="M478" i="8" s="1" a="1"/>
  <c r="M478" i="8" s="1"/>
  <c r="K723" i="8"/>
  <c r="K1019" i="8"/>
  <c r="L1019" i="8" s="1"/>
  <c r="M1019" i="8" s="1" a="1"/>
  <c r="M1019" i="8" s="1"/>
  <c r="H489" i="8"/>
  <c r="I489" i="8" s="1"/>
  <c r="K932" i="8"/>
  <c r="H925" i="8"/>
  <c r="I925" i="8" s="1"/>
  <c r="K759" i="8"/>
  <c r="J566" i="8"/>
  <c r="J654" i="8"/>
  <c r="J747" i="8"/>
  <c r="J900" i="8"/>
  <c r="J462" i="8"/>
  <c r="J234" i="8"/>
  <c r="J745" i="8"/>
  <c r="J78" i="8"/>
  <c r="J107" i="8"/>
  <c r="J527" i="8"/>
  <c r="J490" i="8"/>
  <c r="J842" i="8"/>
  <c r="J956" i="8"/>
  <c r="J349" i="8"/>
  <c r="J742" i="8"/>
  <c r="J375" i="8"/>
  <c r="J16" i="8"/>
  <c r="J446" i="8"/>
  <c r="J57" i="8"/>
  <c r="J572" i="8"/>
  <c r="J59" i="8"/>
  <c r="J1006" i="8"/>
  <c r="J38" i="8"/>
  <c r="J723" i="8"/>
  <c r="J839" i="8"/>
  <c r="J973" i="8"/>
  <c r="J450" i="8"/>
  <c r="J402" i="8"/>
  <c r="J883" i="8"/>
  <c r="J23" i="8"/>
  <c r="J24" i="8"/>
  <c r="J516" i="8"/>
  <c r="J386" i="8"/>
  <c r="J197" i="8"/>
  <c r="J360" i="8"/>
  <c r="J229" i="8"/>
  <c r="J738" i="8"/>
  <c r="J621" i="8"/>
  <c r="J103" i="8"/>
  <c r="J686" i="8"/>
  <c r="J392" i="8"/>
  <c r="J651" i="8"/>
  <c r="J426" i="8"/>
  <c r="J865" i="8"/>
  <c r="J1019" i="8"/>
  <c r="J924" i="8"/>
  <c r="J345" i="8"/>
  <c r="J354" i="8"/>
  <c r="J513" i="8"/>
  <c r="J388" i="8"/>
  <c r="J147" i="8"/>
  <c r="J563" i="8"/>
  <c r="J429" i="8"/>
  <c r="J50" i="8"/>
  <c r="J443" i="8"/>
  <c r="J140" i="8"/>
  <c r="J301" i="8"/>
  <c r="J341" i="8"/>
  <c r="J158" i="8"/>
  <c r="J571" i="8"/>
  <c r="J451" i="8"/>
  <c r="J456" i="8"/>
  <c r="J852" i="8"/>
  <c r="J365" i="8"/>
  <c r="J380" i="8"/>
  <c r="J984" i="8"/>
  <c r="J245" i="8"/>
  <c r="J493" i="8"/>
  <c r="J421" i="8"/>
  <c r="J219" i="8"/>
  <c r="J391" i="8"/>
  <c r="J19" i="8"/>
  <c r="K988" i="8"/>
  <c r="H146" i="8"/>
  <c r="H604" i="8"/>
  <c r="H501" i="8"/>
  <c r="K102" i="8"/>
  <c r="K405" i="8"/>
  <c r="L405" i="8" s="1"/>
  <c r="M405" i="8" s="1" a="1"/>
  <c r="M405" i="8" s="1"/>
  <c r="H354" i="8"/>
  <c r="H901" i="8"/>
  <c r="I901" i="8" s="1"/>
  <c r="H709" i="8"/>
  <c r="I709" i="8" s="1"/>
  <c r="H464" i="8"/>
  <c r="H931" i="8"/>
  <c r="K546" i="8"/>
  <c r="K943" i="8"/>
  <c r="K754" i="8"/>
  <c r="L754" i="8" s="1"/>
  <c r="M754" i="8" s="1" a="1"/>
  <c r="M754" i="8" s="1"/>
  <c r="H473" i="8"/>
  <c r="I473" i="8" s="1"/>
  <c r="H299" i="8"/>
  <c r="I299" i="8" s="1"/>
  <c r="H658" i="8"/>
  <c r="H700" i="8"/>
  <c r="I700" i="8" s="1"/>
  <c r="H882" i="8"/>
  <c r="H627" i="8"/>
  <c r="K395" i="8"/>
  <c r="L395" i="8" s="1"/>
  <c r="M395" i="8" s="1" a="1"/>
  <c r="M395" i="8" s="1"/>
  <c r="K60" i="8"/>
  <c r="K98" i="8"/>
  <c r="K994" i="8"/>
  <c r="H371" i="8"/>
  <c r="H315" i="8"/>
  <c r="I315" i="8" s="1"/>
  <c r="H1015" i="8"/>
  <c r="H716" i="8"/>
  <c r="I716" i="8" s="1"/>
  <c r="H898" i="8"/>
  <c r="H723" i="8"/>
  <c r="K315" i="8"/>
  <c r="L315" i="8" s="1"/>
  <c r="M315" i="8" s="1" a="1"/>
  <c r="M315" i="8" s="1"/>
  <c r="K1015" i="8"/>
  <c r="K716" i="8"/>
  <c r="L716" i="8" s="1"/>
  <c r="M716" i="8" s="1" a="1"/>
  <c r="M716" i="8" s="1"/>
  <c r="K898" i="8"/>
  <c r="H739" i="8"/>
  <c r="H427" i="8"/>
  <c r="I427" i="8" s="1"/>
  <c r="H92" i="8"/>
  <c r="K4" i="8"/>
  <c r="H639" i="8"/>
  <c r="H547" i="8"/>
  <c r="K331" i="8"/>
  <c r="L331" i="8" s="1"/>
  <c r="M331" i="8" s="1" a="1"/>
  <c r="M331" i="8" s="1"/>
  <c r="K27" i="8"/>
  <c r="K732" i="8"/>
  <c r="L732" i="8" s="1"/>
  <c r="M732" i="8" s="1" a="1"/>
  <c r="M732" i="8" s="1"/>
  <c r="K914" i="8"/>
  <c r="L914" i="8" s="1"/>
  <c r="M914" i="8" s="1" a="1"/>
  <c r="M914" i="8" s="1"/>
  <c r="H293" i="8"/>
  <c r="I293" i="8" s="1"/>
  <c r="H68" i="8"/>
  <c r="I68" i="8" s="1"/>
  <c r="K509" i="8"/>
  <c r="H992" i="8"/>
  <c r="I992" i="8" s="1"/>
  <c r="K875" i="8"/>
  <c r="K218" i="8"/>
  <c r="L218" i="8" s="1"/>
  <c r="M218" i="8" s="1" a="1"/>
  <c r="M218" i="8" s="1"/>
  <c r="K768" i="8"/>
  <c r="L768" i="8" s="1"/>
  <c r="M768" i="8" s="1" a="1"/>
  <c r="M768" i="8" s="1"/>
  <c r="H291" i="8"/>
  <c r="K420" i="8"/>
  <c r="L420" i="8" s="1"/>
  <c r="M420" i="8" s="1" a="1"/>
  <c r="M420" i="8" s="1"/>
  <c r="H781" i="8"/>
  <c r="K254" i="8"/>
  <c r="L254" i="8" s="1"/>
  <c r="M254" i="8" s="1" a="1"/>
  <c r="M254" i="8" s="1"/>
  <c r="J463" i="8"/>
  <c r="J845" i="8"/>
  <c r="J561" i="8"/>
  <c r="J603" i="8"/>
  <c r="J682" i="8"/>
  <c r="J472" i="8"/>
  <c r="J539" i="8"/>
  <c r="J45" i="8"/>
  <c r="J296" i="8"/>
  <c r="J1009" i="8"/>
  <c r="J731" i="8"/>
  <c r="J298" i="8"/>
  <c r="J329" i="8"/>
  <c r="J408" i="8"/>
  <c r="J945" i="8"/>
  <c r="J934" i="8"/>
  <c r="J643" i="8"/>
  <c r="J820" i="8"/>
  <c r="J180" i="8"/>
  <c r="J284" i="8"/>
  <c r="J546" i="8"/>
  <c r="J957" i="8"/>
  <c r="J962" i="8"/>
  <c r="J26" i="8"/>
  <c r="J673" i="8"/>
  <c r="J335" i="8"/>
  <c r="J21" i="8"/>
  <c r="J178" i="8"/>
  <c r="J305" i="8"/>
  <c r="J804" i="8"/>
  <c r="J702" i="8"/>
  <c r="J184" i="8"/>
  <c r="J661" i="8"/>
  <c r="J590" i="8"/>
  <c r="J541" i="8"/>
  <c r="J183" i="8"/>
  <c r="J617" i="8"/>
  <c r="J579" i="8"/>
  <c r="J506" i="8"/>
  <c r="J499" i="8"/>
  <c r="J717" i="8"/>
  <c r="J677" i="8"/>
  <c r="J368" i="8"/>
  <c r="J641" i="8"/>
  <c r="J185" i="8"/>
  <c r="J692" i="8"/>
  <c r="J822" i="8"/>
  <c r="J529" i="8"/>
  <c r="J787" i="8"/>
  <c r="J102" i="8"/>
  <c r="J231" i="8"/>
  <c r="J230" i="8"/>
  <c r="J413" i="8"/>
  <c r="J66" i="8"/>
  <c r="J281" i="8"/>
  <c r="J620" i="8"/>
  <c r="J494" i="8"/>
  <c r="J482" i="8"/>
  <c r="J624" i="8"/>
  <c r="J977" i="8"/>
  <c r="J978" i="8"/>
  <c r="J500" i="8"/>
  <c r="J304" i="8"/>
  <c r="J486" i="8"/>
  <c r="J798" i="8"/>
  <c r="J998" i="8"/>
  <c r="J655" i="8"/>
  <c r="J325" i="8"/>
  <c r="J634" i="8"/>
  <c r="J359" i="8"/>
  <c r="J966" i="8"/>
  <c r="J204" i="8"/>
  <c r="K671" i="8"/>
  <c r="H242" i="8"/>
  <c r="I242" i="8" s="1"/>
  <c r="H789" i="8"/>
  <c r="I789" i="8" s="1"/>
  <c r="H597" i="8"/>
  <c r="K486" i="8"/>
  <c r="K767" i="8"/>
  <c r="H450" i="8"/>
  <c r="H997" i="8"/>
  <c r="H1002" i="8"/>
  <c r="I1002" i="8" s="1"/>
  <c r="H1011" i="8"/>
  <c r="K283" i="8"/>
  <c r="L283" i="8" s="1"/>
  <c r="M283" i="8" s="1" a="1"/>
  <c r="M283" i="8" s="1"/>
  <c r="K642" i="8"/>
  <c r="L642" i="8" s="1"/>
  <c r="M642" i="8" s="1" a="1"/>
  <c r="M642" i="8" s="1"/>
  <c r="K684" i="8"/>
  <c r="L684" i="8" s="1"/>
  <c r="M684" i="8" s="1" a="1"/>
  <c r="M684" i="8" s="1"/>
  <c r="K850" i="8"/>
  <c r="L850" i="8" s="1"/>
  <c r="M850" i="8" s="1" a="1"/>
  <c r="M850" i="8" s="1"/>
  <c r="H918" i="8"/>
  <c r="I918" i="8" s="1"/>
  <c r="H395" i="8"/>
  <c r="I395" i="8" s="1"/>
  <c r="H60" i="8"/>
  <c r="H98" i="8"/>
  <c r="H994" i="8"/>
  <c r="H355" i="8"/>
  <c r="K491" i="8"/>
  <c r="L491" i="8" s="1"/>
  <c r="M491" i="8" s="1" a="1"/>
  <c r="M491" i="8" s="1"/>
  <c r="K156" i="8"/>
  <c r="K53" i="8"/>
  <c r="L53" i="8" s="1"/>
  <c r="M53" i="8" s="1" a="1"/>
  <c r="M53" i="8" s="1"/>
  <c r="K703" i="8"/>
  <c r="H138" i="8"/>
  <c r="I138" i="8" s="1"/>
  <c r="H411" i="8"/>
  <c r="I411" i="8" s="1"/>
  <c r="H76" i="8"/>
  <c r="K15" i="8"/>
  <c r="H623" i="8"/>
  <c r="I623" i="8" s="1"/>
  <c r="H451" i="8"/>
  <c r="K411" i="8"/>
  <c r="L411" i="8" s="1"/>
  <c r="M411" i="8" s="1" a="1"/>
  <c r="M411" i="8" s="1"/>
  <c r="K76" i="8"/>
  <c r="H15" i="8"/>
  <c r="K623" i="8"/>
  <c r="L623" i="8" s="1"/>
  <c r="M623" i="8" s="1" a="1"/>
  <c r="M623" i="8" s="1"/>
  <c r="H467" i="8"/>
  <c r="I467" i="8" s="1"/>
  <c r="H523" i="8"/>
  <c r="I523" i="8" s="1"/>
  <c r="H188" i="8"/>
  <c r="I188" i="8" s="1"/>
  <c r="H85" i="8"/>
  <c r="I85" i="8" s="1"/>
  <c r="H735" i="8"/>
  <c r="H426" i="8"/>
  <c r="I426" i="8" s="1"/>
  <c r="K427" i="8"/>
  <c r="L427" i="8" s="1"/>
  <c r="M427" i="8" s="1" a="1"/>
  <c r="M427" i="8" s="1"/>
  <c r="K92" i="8"/>
  <c r="H4" i="8"/>
  <c r="K639" i="8"/>
  <c r="H159" i="8"/>
  <c r="I159" i="8" s="1"/>
  <c r="H29" i="8"/>
  <c r="K327" i="8"/>
  <c r="L327" i="8" s="1"/>
  <c r="M327" i="8" s="1" a="1"/>
  <c r="M327" i="8" s="1"/>
  <c r="H440" i="8"/>
  <c r="I440" i="8" s="1"/>
  <c r="K686" i="8"/>
  <c r="L686" i="8" s="1"/>
  <c r="M686" i="8" s="1" a="1"/>
  <c r="M686" i="8" s="1"/>
  <c r="K676" i="8"/>
  <c r="L676" i="8" s="1"/>
  <c r="M676" i="8" s="1" a="1"/>
  <c r="M676" i="8" s="1"/>
  <c r="K643" i="8"/>
  <c r="L643" i="8" s="1"/>
  <c r="M643" i="8" s="1" a="1"/>
  <c r="M643" i="8" s="1"/>
  <c r="H634" i="8"/>
  <c r="I634" i="8" s="1"/>
  <c r="K381" i="8"/>
  <c r="H599" i="8"/>
  <c r="I599" i="8" s="1"/>
  <c r="K801" i="8"/>
  <c r="K885" i="8"/>
  <c r="H1000" i="8"/>
  <c r="I1000" i="8" s="1"/>
  <c r="H492" i="8"/>
  <c r="H389" i="8"/>
  <c r="I389" i="8" s="1"/>
  <c r="H543" i="8"/>
  <c r="K12" i="8"/>
  <c r="L12" i="8" s="1"/>
  <c r="M12" i="8" s="1" a="1"/>
  <c r="M12" i="8" s="1"/>
  <c r="K796" i="8"/>
  <c r="L796" i="8" s="1"/>
  <c r="M796" i="8" s="1" a="1"/>
  <c r="M796" i="8" s="1"/>
  <c r="K300" i="8"/>
  <c r="K197" i="8"/>
  <c r="L197" i="8" s="1"/>
  <c r="M197" i="8" s="1" a="1"/>
  <c r="M197" i="8" s="1"/>
  <c r="K847" i="8"/>
  <c r="K26" i="8"/>
  <c r="H246" i="8"/>
  <c r="H825" i="8"/>
  <c r="I825" i="8" s="1"/>
  <c r="H713" i="8"/>
  <c r="H515" i="8"/>
  <c r="H164" i="8"/>
  <c r="I164" i="8" s="1"/>
  <c r="H125" i="8"/>
  <c r="H775" i="8"/>
  <c r="H270" i="8"/>
  <c r="I270" i="8" s="1"/>
  <c r="H817" i="8"/>
  <c r="I817" i="8" s="1"/>
  <c r="H625" i="8"/>
  <c r="K415" i="8"/>
  <c r="K48" i="8"/>
  <c r="K41" i="8"/>
  <c r="L41" i="8" s="1"/>
  <c r="M41" i="8" s="1" a="1"/>
  <c r="M41" i="8" s="1"/>
  <c r="K691" i="8"/>
  <c r="K186" i="8"/>
  <c r="L186" i="8" s="1"/>
  <c r="M186" i="8" s="1" a="1"/>
  <c r="M186" i="8" s="1"/>
  <c r="K644" i="8"/>
  <c r="L644" i="8" s="1"/>
  <c r="M644" i="8" s="1" a="1"/>
  <c r="M644" i="8" s="1"/>
  <c r="K605" i="8"/>
  <c r="L605" i="8" s="1"/>
  <c r="M605" i="8" s="1" a="1"/>
  <c r="M605" i="8" s="1"/>
  <c r="K423" i="8"/>
  <c r="K40" i="8"/>
  <c r="L40" i="8" s="1"/>
  <c r="M40" i="8" s="1" a="1"/>
  <c r="M40" i="8" s="1"/>
  <c r="H6" i="8"/>
  <c r="I6" i="8" s="1"/>
  <c r="K986" i="8"/>
  <c r="H70" i="8"/>
  <c r="H544" i="8"/>
  <c r="H537" i="8"/>
  <c r="H339" i="8"/>
  <c r="H19" i="8"/>
  <c r="H756" i="8"/>
  <c r="H978" i="8"/>
  <c r="H94" i="8"/>
  <c r="I94" i="8" s="1"/>
  <c r="H536" i="8"/>
  <c r="I536" i="8" s="1"/>
  <c r="H449" i="8"/>
  <c r="I449" i="8" s="1"/>
  <c r="K239" i="8"/>
  <c r="L239" i="8" s="1"/>
  <c r="M239" i="8" s="1" a="1"/>
  <c r="M239" i="8" s="1"/>
  <c r="K550" i="8"/>
  <c r="K995" i="8"/>
  <c r="K886" i="8"/>
  <c r="L886" i="8" s="1"/>
  <c r="M886" i="8" s="1" a="1"/>
  <c r="M886" i="8" s="1"/>
  <c r="K984" i="8"/>
  <c r="K468" i="8"/>
  <c r="L468" i="8" s="1"/>
  <c r="M468" i="8" s="1" a="1"/>
  <c r="M468" i="8" s="1"/>
  <c r="K429" i="8"/>
  <c r="L429" i="8" s="1"/>
  <c r="M429" i="8" s="1" a="1"/>
  <c r="M429" i="8" s="1"/>
  <c r="K247" i="8"/>
  <c r="L247" i="8" s="1"/>
  <c r="M247" i="8" s="1" a="1"/>
  <c r="M247" i="8" s="1"/>
  <c r="K574" i="8"/>
  <c r="L574" i="8" s="1"/>
  <c r="M574" i="8" s="1" a="1"/>
  <c r="M574" i="8" s="1"/>
  <c r="K971" i="8"/>
  <c r="L971" i="8" s="1"/>
  <c r="M971" i="8" s="1" a="1"/>
  <c r="M971" i="8" s="1"/>
  <c r="K782" i="8"/>
  <c r="H196" i="8"/>
  <c r="I196" i="8" s="1"/>
  <c r="H157" i="8"/>
  <c r="I157" i="8" s="1"/>
  <c r="H807" i="8"/>
  <c r="H302" i="8"/>
  <c r="H849" i="8"/>
  <c r="H657" i="8"/>
  <c r="K543" i="8"/>
  <c r="K176" i="8"/>
  <c r="K169" i="8"/>
  <c r="L169" i="8" s="1"/>
  <c r="M169" i="8" s="1" a="1"/>
  <c r="M169" i="8" s="1"/>
  <c r="K819" i="8"/>
  <c r="K314" i="8"/>
  <c r="K877" i="8"/>
  <c r="L877" i="8" s="1"/>
  <c r="M877" i="8" s="1" a="1"/>
  <c r="M877" i="8" s="1"/>
  <c r="K733" i="8"/>
  <c r="L733" i="8" s="1"/>
  <c r="M733" i="8" s="1" a="1"/>
  <c r="M733" i="8" s="1"/>
  <c r="K551" i="8"/>
  <c r="L551" i="8" s="1"/>
  <c r="M551" i="8" s="1" a="1"/>
  <c r="M551" i="8" s="1"/>
  <c r="K168" i="8"/>
  <c r="L168" i="8" s="1"/>
  <c r="M168" i="8" s="1" a="1"/>
  <c r="M168" i="8" s="1"/>
  <c r="K81" i="8"/>
  <c r="K731" i="8"/>
  <c r="H906" i="8"/>
  <c r="H30" i="8"/>
  <c r="I30" i="8" s="1"/>
  <c r="H472" i="8"/>
  <c r="I472" i="8" s="1"/>
  <c r="H385" i="8"/>
  <c r="K96" i="8"/>
  <c r="K89" i="8"/>
  <c r="L89" i="8" s="1"/>
  <c r="M89" i="8" s="1" a="1"/>
  <c r="M89" i="8" s="1"/>
  <c r="K739" i="8"/>
  <c r="K234" i="8"/>
  <c r="L234" i="8" s="1"/>
  <c r="M234" i="8" s="1" a="1"/>
  <c r="M234" i="8" s="1"/>
  <c r="K797" i="8"/>
  <c r="L797" i="8" s="1"/>
  <c r="M797" i="8" s="1" a="1"/>
  <c r="M797" i="8" s="1"/>
  <c r="K653" i="8"/>
  <c r="L653" i="8" s="1"/>
  <c r="M653" i="8" s="1" a="1"/>
  <c r="M653" i="8" s="1"/>
  <c r="K471" i="8"/>
  <c r="K88" i="8"/>
  <c r="L88" i="8" s="1"/>
  <c r="M88" i="8" s="1" a="1"/>
  <c r="M88" i="8" s="1"/>
  <c r="K24" i="8"/>
  <c r="K651" i="8"/>
  <c r="H118" i="8"/>
  <c r="H592" i="8"/>
  <c r="H585" i="8"/>
  <c r="H387" i="8"/>
  <c r="I387" i="8" s="1"/>
  <c r="H36" i="8"/>
  <c r="I36" i="8" s="1"/>
  <c r="H10" i="8"/>
  <c r="I10" i="8" s="1"/>
  <c r="H647" i="8"/>
  <c r="I647" i="8" s="1"/>
  <c r="H142" i="8"/>
  <c r="I142" i="8" s="1"/>
  <c r="H584" i="8"/>
  <c r="I584" i="8" s="1"/>
  <c r="H497" i="8"/>
  <c r="K287" i="8"/>
  <c r="L287" i="8" s="1"/>
  <c r="M287" i="8" s="1" a="1"/>
  <c r="M287" i="8" s="1"/>
  <c r="K598" i="8"/>
  <c r="K688" i="8"/>
  <c r="K934" i="8"/>
  <c r="L934" i="8" s="1"/>
  <c r="M934" i="8" s="1" a="1"/>
  <c r="M934" i="8" s="1"/>
  <c r="K58" i="8"/>
  <c r="L58" i="8" s="1"/>
  <c r="M58" i="8" s="1" a="1"/>
  <c r="M58" i="8" s="1"/>
  <c r="K516" i="8"/>
  <c r="L516" i="8" s="1"/>
  <c r="M516" i="8" s="1" a="1"/>
  <c r="M516" i="8" s="1"/>
  <c r="K477" i="8"/>
  <c r="K295" i="8"/>
  <c r="L295" i="8" s="1"/>
  <c r="M295" i="8" s="1" a="1"/>
  <c r="M295" i="8" s="1"/>
  <c r="K622" i="8"/>
  <c r="L622" i="8" s="1"/>
  <c r="M622" i="8" s="1" a="1"/>
  <c r="M622" i="8" s="1"/>
  <c r="K972" i="8"/>
  <c r="L972" i="8" s="1"/>
  <c r="M972" i="8" s="1" a="1"/>
  <c r="M972" i="8" s="1"/>
  <c r="K830" i="8"/>
  <c r="H848" i="8"/>
  <c r="I848" i="8" s="1"/>
  <c r="H320" i="8"/>
  <c r="H313" i="8"/>
  <c r="H115" i="8"/>
  <c r="I115" i="8" s="1"/>
  <c r="H458" i="8"/>
  <c r="I458" i="8" s="1"/>
  <c r="H887" i="8"/>
  <c r="H730" i="8"/>
  <c r="I730" i="8" s="1"/>
  <c r="H856" i="8"/>
  <c r="I856" i="8" s="1"/>
  <c r="H312" i="8"/>
  <c r="I312" i="8" s="1"/>
  <c r="H225" i="8"/>
  <c r="I225" i="8" s="1"/>
  <c r="H16" i="8"/>
  <c r="K326" i="8"/>
  <c r="L326" i="8" s="1"/>
  <c r="M326" i="8" s="1" a="1"/>
  <c r="M326" i="8" s="1"/>
  <c r="K905" i="8"/>
  <c r="K974" i="8"/>
  <c r="L974" i="8" s="1"/>
  <c r="M974" i="8" s="1" a="1"/>
  <c r="M974" i="8" s="1"/>
  <c r="K595" i="8"/>
  <c r="K244" i="8"/>
  <c r="L244" i="8" s="1"/>
  <c r="M244" i="8" s="1" a="1"/>
  <c r="M244" i="8" s="1"/>
  <c r="K205" i="8"/>
  <c r="K855" i="8"/>
  <c r="K350" i="8"/>
  <c r="K897" i="8"/>
  <c r="K705" i="8"/>
  <c r="L705" i="8" s="1"/>
  <c r="M705" i="8" s="1" a="1"/>
  <c r="M705" i="8" s="1"/>
  <c r="K738" i="8"/>
  <c r="L738" i="8" s="1"/>
  <c r="M738" i="8" s="1" a="1"/>
  <c r="M738" i="8" s="1"/>
  <c r="H130" i="8"/>
  <c r="H588" i="8"/>
  <c r="H485" i="8"/>
  <c r="I485" i="8" s="1"/>
  <c r="H86" i="8"/>
  <c r="K764" i="8"/>
  <c r="K892" i="8"/>
  <c r="L892" i="8" s="1"/>
  <c r="M892" i="8" s="1" a="1"/>
  <c r="M892" i="8" s="1"/>
  <c r="K396" i="8"/>
  <c r="K293" i="8"/>
  <c r="L293" i="8" s="1"/>
  <c r="M293" i="8" s="1" a="1"/>
  <c r="M293" i="8" s="1"/>
  <c r="H175" i="8"/>
  <c r="I175" i="8" s="1"/>
  <c r="H1022" i="8"/>
  <c r="I1022" i="8" s="1"/>
  <c r="H342" i="8"/>
  <c r="I342" i="8" s="1"/>
  <c r="H921" i="8"/>
  <c r="I921" i="8" s="1"/>
  <c r="H1010" i="8"/>
  <c r="I1010" i="8" s="1"/>
  <c r="H611" i="8"/>
  <c r="I611" i="8" s="1"/>
  <c r="H260" i="8"/>
  <c r="I260" i="8" s="1"/>
  <c r="H221" i="8"/>
  <c r="K32" i="8"/>
  <c r="H366" i="8"/>
  <c r="I366" i="8" s="1"/>
  <c r="H913" i="8"/>
  <c r="I913" i="8" s="1"/>
  <c r="H721" i="8"/>
  <c r="K511" i="8"/>
  <c r="L511" i="8" s="1"/>
  <c r="M511" i="8" s="1" a="1"/>
  <c r="M511" i="8" s="1"/>
  <c r="K144" i="8"/>
  <c r="K137" i="8"/>
  <c r="L137" i="8" s="1"/>
  <c r="M137" i="8" s="1" a="1"/>
  <c r="M137" i="8" s="1"/>
  <c r="K787" i="8"/>
  <c r="L787" i="8" s="1"/>
  <c r="M787" i="8" s="1" a="1"/>
  <c r="M787" i="8" s="1"/>
  <c r="K282" i="8"/>
  <c r="L282" i="8" s="1"/>
  <c r="M282" i="8" s="1" a="1"/>
  <c r="M282" i="8" s="1"/>
  <c r="K845" i="8"/>
  <c r="L845" i="8" s="1"/>
  <c r="M845" i="8" s="1" a="1"/>
  <c r="M845" i="8" s="1"/>
  <c r="K701" i="8"/>
  <c r="K519" i="8"/>
  <c r="K136" i="8"/>
  <c r="L136" i="8" s="1"/>
  <c r="M136" i="8" s="1" a="1"/>
  <c r="M136" i="8" s="1"/>
  <c r="K49" i="8"/>
  <c r="K699" i="8"/>
  <c r="H166" i="8"/>
  <c r="H640" i="8"/>
  <c r="I640" i="8" s="1"/>
  <c r="H633" i="8"/>
  <c r="H435" i="8"/>
  <c r="I435" i="8" s="1"/>
  <c r="H84" i="8"/>
  <c r="I84" i="8" s="1"/>
  <c r="H45" i="8"/>
  <c r="H695" i="8"/>
  <c r="H190" i="8"/>
  <c r="I190" i="8" s="1"/>
  <c r="H632" i="8"/>
  <c r="H545" i="8"/>
  <c r="K335" i="8"/>
  <c r="L335" i="8" s="1"/>
  <c r="M335" i="8" s="1" a="1"/>
  <c r="M335" i="8" s="1"/>
  <c r="K646" i="8"/>
  <c r="K736" i="8"/>
  <c r="K1006" i="8"/>
  <c r="L1006" i="8" s="1"/>
  <c r="M1006" i="8" s="1" a="1"/>
  <c r="M1006" i="8" s="1"/>
  <c r="K106" i="8"/>
  <c r="L106" i="8" s="1"/>
  <c r="M106" i="8" s="1" a="1"/>
  <c r="M106" i="8" s="1"/>
  <c r="K564" i="8"/>
  <c r="L564" i="8" s="1"/>
  <c r="M564" i="8" s="1" a="1"/>
  <c r="M564" i="8" s="1"/>
  <c r="K525" i="8"/>
  <c r="L525" i="8" s="1"/>
  <c r="M525" i="8" s="1" a="1"/>
  <c r="M525" i="8" s="1"/>
  <c r="K343" i="8"/>
  <c r="H11" i="8"/>
  <c r="K712" i="8"/>
  <c r="L712" i="8" s="1"/>
  <c r="M712" i="8" s="1" a="1"/>
  <c r="M712" i="8" s="1"/>
  <c r="K894" i="8"/>
  <c r="H292" i="8"/>
  <c r="I292" i="8" s="1"/>
  <c r="H253" i="8"/>
  <c r="H71" i="8"/>
  <c r="H398" i="8"/>
  <c r="I398" i="8" s="1"/>
  <c r="H945" i="8"/>
  <c r="I945" i="8" s="1"/>
  <c r="H753" i="8"/>
  <c r="K800" i="8"/>
  <c r="L800" i="8" s="1"/>
  <c r="M800" i="8" s="1" a="1"/>
  <c r="M800" i="8" s="1"/>
  <c r="K272" i="8"/>
  <c r="L272" i="8" s="1"/>
  <c r="M272" i="8" s="1" a="1"/>
  <c r="M272" i="8" s="1"/>
  <c r="K265" i="8"/>
  <c r="L265" i="8" s="1"/>
  <c r="M265" i="8" s="1" a="1"/>
  <c r="M265" i="8" s="1"/>
  <c r="K67" i="8"/>
  <c r="L67" i="8" s="1"/>
  <c r="M67" i="8" s="1" a="1"/>
  <c r="M67" i="8" s="1"/>
  <c r="K410" i="8"/>
  <c r="L410" i="8" s="1"/>
  <c r="M410" i="8" s="1" a="1"/>
  <c r="M410" i="8" s="1"/>
  <c r="K973" i="8"/>
  <c r="L973" i="8" s="1"/>
  <c r="M973" i="8" s="1" a="1"/>
  <c r="M973" i="8" s="1"/>
  <c r="K682" i="8"/>
  <c r="K808" i="8"/>
  <c r="L808" i="8" s="1"/>
  <c r="M808" i="8" s="1" a="1"/>
  <c r="M808" i="8" s="1"/>
  <c r="K264" i="8"/>
  <c r="L264" i="8" s="1"/>
  <c r="M264" i="8" s="1" a="1"/>
  <c r="M264" i="8" s="1"/>
  <c r="K177" i="8"/>
  <c r="K827" i="8"/>
  <c r="L827" i="8" s="1"/>
  <c r="M827" i="8" s="1" a="1"/>
  <c r="M827" i="8" s="1"/>
  <c r="H631" i="8"/>
  <c r="H126" i="8"/>
  <c r="I126" i="8" s="1"/>
  <c r="H568" i="8"/>
  <c r="I568" i="8" s="1"/>
  <c r="H481" i="8"/>
  <c r="K192" i="8"/>
  <c r="L192" i="8" s="1"/>
  <c r="M192" i="8" s="1" a="1"/>
  <c r="M192" i="8" s="1"/>
  <c r="K185" i="8"/>
  <c r="L185" i="8" s="1"/>
  <c r="M185" i="8" s="1" a="1"/>
  <c r="M185" i="8" s="1"/>
  <c r="K835" i="8"/>
  <c r="K330" i="8"/>
  <c r="L330" i="8" s="1"/>
  <c r="M330" i="8" s="1" a="1"/>
  <c r="M330" i="8" s="1"/>
  <c r="K893" i="8"/>
  <c r="L893" i="8" s="1"/>
  <c r="M893" i="8" s="1" a="1"/>
  <c r="M893" i="8" s="1"/>
  <c r="K749" i="8"/>
  <c r="K567" i="8"/>
  <c r="K184" i="8"/>
  <c r="L184" i="8" s="1"/>
  <c r="M184" i="8" s="1" a="1"/>
  <c r="M184" i="8" s="1"/>
  <c r="K97" i="8"/>
  <c r="K747" i="8"/>
  <c r="L747" i="8" s="1"/>
  <c r="M747" i="8" s="1" a="1"/>
  <c r="M747" i="8" s="1"/>
  <c r="H214" i="8"/>
  <c r="I214" i="8" s="1"/>
  <c r="H793" i="8"/>
  <c r="H681" i="8"/>
  <c r="I681" i="8" s="1"/>
  <c r="H483" i="8"/>
  <c r="H132" i="8"/>
  <c r="I132" i="8" s="1"/>
  <c r="H93" i="8"/>
  <c r="H743" i="8"/>
  <c r="I743" i="8" s="1"/>
  <c r="H238" i="8"/>
  <c r="I238" i="8" s="1"/>
  <c r="H1017" i="8"/>
  <c r="I1017" i="8" s="1"/>
  <c r="H593" i="8"/>
  <c r="I593" i="8" s="1"/>
  <c r="K383" i="8"/>
  <c r="K31" i="8"/>
  <c r="L31" i="8" s="1"/>
  <c r="M31" i="8" s="1" a="1"/>
  <c r="M31" i="8" s="1"/>
  <c r="K784" i="8"/>
  <c r="L784" i="8" s="1"/>
  <c r="M784" i="8" s="1" a="1"/>
  <c r="M784" i="8" s="1"/>
  <c r="K659" i="8"/>
  <c r="K154" i="8"/>
  <c r="L154" i="8" s="1"/>
  <c r="M154" i="8" s="1" a="1"/>
  <c r="M154" i="8" s="1"/>
  <c r="K612" i="8"/>
  <c r="L612" i="8" s="1"/>
  <c r="M612" i="8" s="1" a="1"/>
  <c r="M612" i="8" s="1"/>
  <c r="K573" i="8"/>
  <c r="L573" i="8" s="1"/>
  <c r="M573" i="8" s="1" a="1"/>
  <c r="M573" i="8" s="1"/>
  <c r="K391" i="8"/>
  <c r="H20" i="8"/>
  <c r="I20" i="8" s="1"/>
  <c r="K760" i="8"/>
  <c r="L760" i="8" s="1"/>
  <c r="M760" i="8" s="1" a="1"/>
  <c r="M760" i="8" s="1"/>
  <c r="K942" i="8"/>
  <c r="H944" i="8"/>
  <c r="I944" i="8" s="1"/>
  <c r="H416" i="8"/>
  <c r="H409" i="8"/>
  <c r="I409" i="8" s="1"/>
  <c r="H211" i="8"/>
  <c r="I211" i="8" s="1"/>
  <c r="H554" i="8"/>
  <c r="I554" i="8" s="1"/>
  <c r="H983" i="8"/>
  <c r="H826" i="8"/>
  <c r="H952" i="8"/>
  <c r="I952" i="8" s="1"/>
  <c r="H408" i="8"/>
  <c r="I408" i="8" s="1"/>
  <c r="H321" i="8"/>
  <c r="I321" i="8" s="1"/>
  <c r="K111" i="8"/>
  <c r="L111" i="8" s="1"/>
  <c r="M111" i="8" s="1" a="1"/>
  <c r="M111" i="8" s="1"/>
  <c r="K422" i="8"/>
  <c r="K1001" i="8"/>
  <c r="L1001" i="8" s="1"/>
  <c r="M1001" i="8" s="1" a="1"/>
  <c r="M1001" i="8" s="1"/>
  <c r="K742" i="8"/>
  <c r="L742" i="8" s="1"/>
  <c r="M742" i="8" s="1" a="1"/>
  <c r="M742" i="8" s="1"/>
  <c r="K852" i="8"/>
  <c r="L852" i="8" s="1"/>
  <c r="M852" i="8" s="1" a="1"/>
  <c r="M852" i="8" s="1"/>
  <c r="K340" i="8"/>
  <c r="L340" i="8" s="1"/>
  <c r="M340" i="8" s="1" a="1"/>
  <c r="M340" i="8" s="1"/>
  <c r="K301" i="8"/>
  <c r="K119" i="8"/>
  <c r="K446" i="8"/>
  <c r="L446" i="8" s="1"/>
  <c r="M446" i="8" s="1" a="1"/>
  <c r="M446" i="8" s="1"/>
  <c r="K993" i="8"/>
  <c r="K990" i="8"/>
  <c r="K390" i="8"/>
  <c r="L390" i="8" s="1"/>
  <c r="M390" i="8" s="1" a="1"/>
  <c r="M390" i="8" s="1"/>
  <c r="H916" i="8"/>
  <c r="H226" i="8"/>
  <c r="H1021" i="8"/>
  <c r="I1021" i="8" s="1"/>
  <c r="H581" i="8"/>
  <c r="I581" i="8" s="1"/>
  <c r="H470" i="8"/>
  <c r="I470" i="8" s="1"/>
  <c r="K693" i="8"/>
  <c r="L693" i="8" s="1"/>
  <c r="M693" i="8" s="1" a="1"/>
  <c r="M693" i="8" s="1"/>
  <c r="K1000" i="8"/>
  <c r="L1000" i="8" s="1"/>
  <c r="M1000" i="8" s="1" a="1"/>
  <c r="M1000" i="8" s="1"/>
  <c r="K492" i="8"/>
  <c r="K389" i="8"/>
  <c r="L389" i="8" s="1"/>
  <c r="M389" i="8" s="1" a="1"/>
  <c r="M389" i="8" s="1"/>
  <c r="H559" i="8"/>
  <c r="H127" i="8"/>
  <c r="H438" i="8"/>
  <c r="H883" i="8"/>
  <c r="H758" i="8"/>
  <c r="I758" i="8" s="1"/>
  <c r="H868" i="8"/>
  <c r="I868" i="8" s="1"/>
  <c r="H356" i="8"/>
  <c r="I356" i="8" s="1"/>
  <c r="H317" i="8"/>
  <c r="I317" i="8" s="1"/>
  <c r="H135" i="8"/>
  <c r="I135" i="8" s="1"/>
  <c r="H462" i="8"/>
  <c r="I462" i="8" s="1"/>
  <c r="H1009" i="8"/>
  <c r="I1009" i="8" s="1"/>
  <c r="H670" i="8"/>
  <c r="K607" i="8"/>
  <c r="K240" i="8"/>
  <c r="K233" i="8"/>
  <c r="L233" i="8" s="1"/>
  <c r="M233" i="8" s="1" a="1"/>
  <c r="M233" i="8" s="1"/>
  <c r="H788" i="8"/>
  <c r="I788" i="8" s="1"/>
  <c r="K378" i="8"/>
  <c r="L378" i="8" s="1"/>
  <c r="M378" i="8" s="1" a="1"/>
  <c r="M378" i="8" s="1"/>
  <c r="K941" i="8"/>
  <c r="L941" i="8" s="1"/>
  <c r="M941" i="8" s="1" a="1"/>
  <c r="M941" i="8" s="1"/>
  <c r="K982" i="8"/>
  <c r="K1014" i="8"/>
  <c r="L1014" i="8" s="1"/>
  <c r="M1014" i="8" s="1" a="1"/>
  <c r="M1014" i="8" s="1"/>
  <c r="K232" i="8"/>
  <c r="L232" i="8" s="1"/>
  <c r="M232" i="8" s="1" a="1"/>
  <c r="M232" i="8" s="1"/>
  <c r="K145" i="8"/>
  <c r="K795" i="8"/>
  <c r="H262" i="8"/>
  <c r="H841" i="8"/>
  <c r="H729" i="8"/>
  <c r="I729" i="8" s="1"/>
  <c r="H531" i="8"/>
  <c r="I531" i="8" s="1"/>
  <c r="H180" i="8"/>
  <c r="I180" i="8" s="1"/>
  <c r="H141" i="8"/>
  <c r="H791" i="8"/>
  <c r="I791" i="8" s="1"/>
  <c r="H286" i="8"/>
  <c r="I286" i="8" s="1"/>
  <c r="H833" i="8"/>
  <c r="I833" i="8" s="1"/>
  <c r="H641" i="8"/>
  <c r="I641" i="8" s="1"/>
  <c r="K431" i="8"/>
  <c r="K64" i="8"/>
  <c r="K57" i="8"/>
  <c r="L57" i="8" s="1"/>
  <c r="M57" i="8" s="1" a="1"/>
  <c r="M57" i="8" s="1"/>
  <c r="K707" i="8"/>
  <c r="K202" i="8"/>
  <c r="L202" i="8" s="1"/>
  <c r="M202" i="8" s="1" a="1"/>
  <c r="M202" i="8" s="1"/>
  <c r="K660" i="8"/>
  <c r="K621" i="8"/>
  <c r="L621" i="8" s="1"/>
  <c r="M621" i="8" s="1" a="1"/>
  <c r="M621" i="8" s="1"/>
  <c r="K439" i="8"/>
  <c r="K56" i="8"/>
  <c r="L56" i="8" s="1"/>
  <c r="M56" i="8" s="1" a="1"/>
  <c r="M56" i="8" s="1"/>
  <c r="H871" i="8"/>
  <c r="K619" i="8"/>
  <c r="H388" i="8"/>
  <c r="I388" i="8" s="1"/>
  <c r="H349" i="8"/>
  <c r="H167" i="8"/>
  <c r="H494" i="8"/>
  <c r="I494" i="8" s="1"/>
  <c r="H891" i="8"/>
  <c r="I891" i="8" s="1"/>
  <c r="H702" i="8"/>
  <c r="I702" i="8" s="1"/>
  <c r="K896" i="8"/>
  <c r="L896" i="8" s="1"/>
  <c r="M896" i="8" s="1" a="1"/>
  <c r="M896" i="8" s="1"/>
  <c r="K368" i="8"/>
  <c r="K361" i="8"/>
  <c r="K163" i="8"/>
  <c r="L163" i="8" s="1"/>
  <c r="M163" i="8" s="1" a="1"/>
  <c r="M163" i="8" s="1"/>
  <c r="K506" i="8"/>
  <c r="L506" i="8" s="1"/>
  <c r="M506" i="8" s="1" a="1"/>
  <c r="M506" i="8" s="1"/>
  <c r="K935" i="8"/>
  <c r="L935" i="8" s="1"/>
  <c r="M935" i="8" s="1" a="1"/>
  <c r="M935" i="8" s="1"/>
  <c r="K778" i="8"/>
  <c r="K904" i="8"/>
  <c r="L904" i="8" s="1"/>
  <c r="M904" i="8" s="1" a="1"/>
  <c r="M904" i="8" s="1"/>
  <c r="K360" i="8"/>
  <c r="L360" i="8" s="1"/>
  <c r="M360" i="8" s="1" a="1"/>
  <c r="M360" i="8" s="1"/>
  <c r="K273" i="8"/>
  <c r="L273" i="8" s="1"/>
  <c r="M273" i="8" s="1" a="1"/>
  <c r="M273" i="8" s="1"/>
  <c r="H77" i="8"/>
  <c r="H727" i="8"/>
  <c r="H222" i="8"/>
  <c r="I222" i="8" s="1"/>
  <c r="H664" i="8"/>
  <c r="H577" i="8"/>
  <c r="K288" i="8"/>
  <c r="L288" i="8" s="1"/>
  <c r="M288" i="8" s="1" a="1"/>
  <c r="M288" i="8" s="1"/>
  <c r="K281" i="8"/>
  <c r="L281" i="8" s="1"/>
  <c r="M281" i="8" s="1" a="1"/>
  <c r="M281" i="8" s="1"/>
  <c r="K83" i="8"/>
  <c r="L83" i="8" s="1"/>
  <c r="M83" i="8" s="1" a="1"/>
  <c r="M83" i="8" s="1"/>
  <c r="K426" i="8"/>
  <c r="L426" i="8" s="1"/>
  <c r="M426" i="8" s="1" a="1"/>
  <c r="M426" i="8" s="1"/>
  <c r="K989" i="8"/>
  <c r="L989" i="8" s="1"/>
  <c r="M989" i="8" s="1" a="1"/>
  <c r="M989" i="8" s="1"/>
  <c r="K698" i="8"/>
  <c r="K824" i="8"/>
  <c r="L824" i="8" s="1"/>
  <c r="M824" i="8" s="1" a="1"/>
  <c r="M824" i="8" s="1"/>
  <c r="K280" i="8"/>
  <c r="L280" i="8" s="1"/>
  <c r="M280" i="8" s="1" a="1"/>
  <c r="M280" i="8" s="1"/>
  <c r="K193" i="8"/>
  <c r="K843" i="8"/>
  <c r="L843" i="8" s="1"/>
  <c r="M843" i="8" s="1" a="1"/>
  <c r="M843" i="8" s="1"/>
  <c r="H310" i="8"/>
  <c r="H889" i="8"/>
  <c r="H777" i="8"/>
  <c r="H579" i="8"/>
  <c r="H228" i="8"/>
  <c r="I228" i="8" s="1"/>
  <c r="H189" i="8"/>
  <c r="I189" i="8" s="1"/>
  <c r="H839" i="8"/>
  <c r="I839" i="8" s="1"/>
  <c r="H334" i="8"/>
  <c r="I334" i="8" s="1"/>
  <c r="H881" i="8"/>
  <c r="I881" i="8" s="1"/>
  <c r="H689" i="8"/>
  <c r="K479" i="8"/>
  <c r="K112" i="8"/>
  <c r="L112" i="8" s="1"/>
  <c r="M112" i="8" s="1" a="1"/>
  <c r="M112" i="8" s="1"/>
  <c r="K105" i="8"/>
  <c r="L105" i="8" s="1"/>
  <c r="M105" i="8" s="1" a="1"/>
  <c r="M105" i="8" s="1"/>
  <c r="K755" i="8"/>
  <c r="K250" i="8"/>
  <c r="L250" i="8" s="1"/>
  <c r="M250" i="8" s="1" a="1"/>
  <c r="M250" i="8" s="1"/>
  <c r="K813" i="8"/>
  <c r="K669" i="8"/>
  <c r="L669" i="8" s="1"/>
  <c r="M669" i="8" s="1" a="1"/>
  <c r="M669" i="8" s="1"/>
  <c r="K487" i="8"/>
  <c r="L487" i="8" s="1"/>
  <c r="M487" i="8" s="1" a="1"/>
  <c r="M487" i="8" s="1"/>
  <c r="K104" i="8"/>
  <c r="L104" i="8" s="1"/>
  <c r="M104" i="8" s="1" a="1"/>
  <c r="M104" i="8" s="1"/>
  <c r="K17" i="8"/>
  <c r="K667" i="8"/>
  <c r="H38" i="8"/>
  <c r="H512" i="8"/>
  <c r="H505" i="8"/>
  <c r="I505" i="8" s="1"/>
  <c r="H307" i="8"/>
  <c r="H650" i="8"/>
  <c r="I650" i="8" s="1"/>
  <c r="H724" i="8"/>
  <c r="I724" i="8" s="1"/>
  <c r="H938" i="8"/>
  <c r="H62" i="8"/>
  <c r="I62" i="8" s="1"/>
  <c r="H504" i="8"/>
  <c r="I504" i="8" s="1"/>
  <c r="H417" i="8"/>
  <c r="I417" i="8" s="1"/>
  <c r="K207" i="8"/>
  <c r="L207" i="8" s="1"/>
  <c r="M207" i="8" s="1" a="1"/>
  <c r="M207" i="8" s="1"/>
  <c r="K518" i="8"/>
  <c r="K963" i="8"/>
  <c r="K838" i="8"/>
  <c r="K948" i="8"/>
  <c r="L948" i="8" s="1"/>
  <c r="M948" i="8" s="1" a="1"/>
  <c r="M948" i="8" s="1"/>
  <c r="K436" i="8"/>
  <c r="L436" i="8" s="1"/>
  <c r="M436" i="8" s="1" a="1"/>
  <c r="M436" i="8" s="1"/>
  <c r="K397" i="8"/>
  <c r="K215" i="8"/>
  <c r="L215" i="8" s="1"/>
  <c r="M215" i="8" s="1" a="1"/>
  <c r="M215" i="8" s="1"/>
  <c r="K542" i="8"/>
  <c r="L542" i="8" s="1"/>
  <c r="M542" i="8" s="1" a="1"/>
  <c r="M542" i="8" s="1"/>
  <c r="K939" i="8"/>
  <c r="L939" i="8" s="1"/>
  <c r="M939" i="8" s="1" a="1"/>
  <c r="M939" i="8" s="1"/>
  <c r="K750" i="8"/>
  <c r="L750" i="8" s="1"/>
  <c r="M750" i="8" s="1" a="1"/>
  <c r="M750" i="8" s="1"/>
  <c r="H192" i="8"/>
  <c r="I192" i="8" s="1"/>
  <c r="H1018" i="8"/>
  <c r="H322" i="8"/>
  <c r="I322" i="8" s="1"/>
  <c r="H869" i="8"/>
  <c r="H677" i="8"/>
  <c r="I677" i="8" s="1"/>
  <c r="H272" i="8"/>
  <c r="H255" i="8"/>
  <c r="I255" i="8" s="1"/>
  <c r="K130" i="8"/>
  <c r="K588" i="8"/>
  <c r="L588" i="8" s="1"/>
  <c r="M588" i="8" s="1" a="1"/>
  <c r="M588" i="8" s="1"/>
  <c r="K485" i="8"/>
  <c r="L485" i="8" s="1"/>
  <c r="M485" i="8" s="1" a="1"/>
  <c r="M485" i="8" s="1"/>
  <c r="H102" i="8"/>
  <c r="I102" i="8" s="1"/>
  <c r="H223" i="8"/>
  <c r="I223" i="8" s="1"/>
  <c r="H534" i="8"/>
  <c r="H979" i="8"/>
  <c r="H854" i="8"/>
  <c r="I854" i="8" s="1"/>
  <c r="H964" i="8"/>
  <c r="H452" i="8"/>
  <c r="I452" i="8" s="1"/>
  <c r="H413" i="8"/>
  <c r="H231" i="8"/>
  <c r="H558" i="8"/>
  <c r="I558" i="8" s="1"/>
  <c r="H955" i="8"/>
  <c r="I955" i="8" s="1"/>
  <c r="H766" i="8"/>
  <c r="K864" i="8"/>
  <c r="L864" i="8" s="1"/>
  <c r="M864" i="8" s="1" a="1"/>
  <c r="M864" i="8" s="1"/>
  <c r="K336" i="8"/>
  <c r="L336" i="8" s="1"/>
  <c r="M336" i="8" s="1" a="1"/>
  <c r="M336" i="8" s="1"/>
  <c r="K329" i="8"/>
  <c r="L329" i="8" s="1"/>
  <c r="M329" i="8" s="1" a="1"/>
  <c r="M329" i="8" s="1"/>
  <c r="K131" i="8"/>
  <c r="K474" i="8"/>
  <c r="L474" i="8" s="1"/>
  <c r="M474" i="8" s="1" a="1"/>
  <c r="M474" i="8" s="1"/>
  <c r="K903" i="8"/>
  <c r="L903" i="8" s="1"/>
  <c r="M903" i="8" s="1" a="1"/>
  <c r="M903" i="8" s="1"/>
  <c r="K746" i="8"/>
  <c r="K872" i="8"/>
  <c r="L872" i="8" s="1"/>
  <c r="M872" i="8" s="1" a="1"/>
  <c r="M872" i="8" s="1"/>
  <c r="K328" i="8"/>
  <c r="L328" i="8" s="1"/>
  <c r="M328" i="8" s="1" a="1"/>
  <c r="M328" i="8" s="1"/>
  <c r="K241" i="8"/>
  <c r="H47" i="8"/>
  <c r="I47" i="8" s="1"/>
  <c r="H358" i="8"/>
  <c r="H937" i="8"/>
  <c r="I937" i="8" s="1"/>
  <c r="H678" i="8"/>
  <c r="I678" i="8" s="1"/>
  <c r="H998" i="8"/>
  <c r="H276" i="8"/>
  <c r="H237" i="8"/>
  <c r="I237" i="8" s="1"/>
  <c r="H55" i="8"/>
  <c r="I55" i="8" s="1"/>
  <c r="H382" i="8"/>
  <c r="I382" i="8" s="1"/>
  <c r="H929" i="8"/>
  <c r="I929" i="8" s="1"/>
  <c r="H737" i="8"/>
  <c r="K527" i="8"/>
  <c r="K160" i="8"/>
  <c r="L160" i="8" s="1"/>
  <c r="M160" i="8" s="1" a="1"/>
  <c r="M160" i="8" s="1"/>
  <c r="K153" i="8"/>
  <c r="L153" i="8" s="1"/>
  <c r="M153" i="8" s="1" a="1"/>
  <c r="M153" i="8" s="1"/>
  <c r="K803" i="8"/>
  <c r="L803" i="8" s="1"/>
  <c r="M803" i="8" s="1" a="1"/>
  <c r="M803" i="8" s="1"/>
  <c r="K298" i="8"/>
  <c r="L298" i="8" s="1"/>
  <c r="M298" i="8" s="1" a="1"/>
  <c r="M298" i="8" s="1"/>
  <c r="K861" i="8"/>
  <c r="K717" i="8"/>
  <c r="K535" i="8"/>
  <c r="K152" i="8"/>
  <c r="L152" i="8" s="1"/>
  <c r="M152" i="8" s="1" a="1"/>
  <c r="M152" i="8" s="1"/>
  <c r="K65" i="8"/>
  <c r="K715" i="8"/>
  <c r="H484" i="8"/>
  <c r="I484" i="8" s="1"/>
  <c r="H445" i="8"/>
  <c r="H263" i="8"/>
  <c r="I263" i="8" s="1"/>
  <c r="H590" i="8"/>
  <c r="I590" i="8" s="1"/>
  <c r="H987" i="8"/>
  <c r="H798" i="8"/>
  <c r="I798" i="8" s="1"/>
  <c r="K1004" i="8"/>
  <c r="K464" i="8"/>
  <c r="K457" i="8"/>
  <c r="L457" i="8" s="1"/>
  <c r="M457" i="8" s="1" a="1"/>
  <c r="M457" i="8" s="1"/>
  <c r="K259" i="8"/>
  <c r="L259" i="8" s="1"/>
  <c r="M259" i="8" s="1" a="1"/>
  <c r="M259" i="8" s="1"/>
  <c r="K602" i="8"/>
  <c r="L602" i="8" s="1"/>
  <c r="M602" i="8" s="1" a="1"/>
  <c r="M602" i="8" s="1"/>
  <c r="K1012" i="8"/>
  <c r="K890" i="8"/>
  <c r="H5" i="8"/>
  <c r="K456" i="8"/>
  <c r="L456" i="8" s="1"/>
  <c r="M456" i="8" s="1" a="1"/>
  <c r="M456" i="8" s="1"/>
  <c r="K369" i="8"/>
  <c r="H173" i="8"/>
  <c r="I173" i="8" s="1"/>
  <c r="H823" i="8"/>
  <c r="I823" i="8" s="1"/>
  <c r="H318" i="8"/>
  <c r="I318" i="8" s="1"/>
  <c r="H865" i="8"/>
  <c r="I865" i="8" s="1"/>
  <c r="H673" i="8"/>
  <c r="K384" i="8"/>
  <c r="K377" i="8"/>
  <c r="L377" i="8" s="1"/>
  <c r="M377" i="8" s="1" a="1"/>
  <c r="M377" i="8" s="1"/>
  <c r="K179" i="8"/>
  <c r="L179" i="8" s="1"/>
  <c r="M179" i="8" s="1" a="1"/>
  <c r="M179" i="8" s="1"/>
  <c r="K522" i="8"/>
  <c r="L522" i="8" s="1"/>
  <c r="M522" i="8" s="1" a="1"/>
  <c r="M522" i="8" s="1"/>
  <c r="K951" i="8"/>
  <c r="L951" i="8" s="1"/>
  <c r="M951" i="8" s="1" a="1"/>
  <c r="M951" i="8" s="1"/>
  <c r="K794" i="8"/>
  <c r="L794" i="8" s="1"/>
  <c r="M794" i="8" s="1" a="1"/>
  <c r="M794" i="8" s="1"/>
  <c r="K920" i="8"/>
  <c r="L920" i="8" s="1"/>
  <c r="M920" i="8" s="1" a="1"/>
  <c r="M920" i="8" s="1"/>
  <c r="K376" i="8"/>
  <c r="L376" i="8" s="1"/>
  <c r="M376" i="8" s="1" a="1"/>
  <c r="M376" i="8" s="1"/>
  <c r="K289" i="8"/>
  <c r="L289" i="8" s="1"/>
  <c r="M289" i="8" s="1" a="1"/>
  <c r="M289" i="8" s="1"/>
  <c r="H95" i="8"/>
  <c r="I95" i="8" s="1"/>
  <c r="H406" i="8"/>
  <c r="H985" i="8"/>
  <c r="H726" i="8"/>
  <c r="H836" i="8"/>
  <c r="I836" i="8" s="1"/>
  <c r="H324" i="8"/>
  <c r="I324" i="8" s="1"/>
  <c r="H285" i="8"/>
  <c r="H103" i="8"/>
  <c r="I103" i="8" s="1"/>
  <c r="H430" i="8"/>
  <c r="I430" i="8" s="1"/>
  <c r="H977" i="8"/>
  <c r="I977" i="8" s="1"/>
  <c r="K858" i="8"/>
  <c r="K575" i="8"/>
  <c r="L575" i="8" s="1"/>
  <c r="M575" i="8" s="1" a="1"/>
  <c r="M575" i="8" s="1"/>
  <c r="K208" i="8"/>
  <c r="K201" i="8"/>
  <c r="L201" i="8" s="1"/>
  <c r="M201" i="8" s="1" a="1"/>
  <c r="M201" i="8" s="1"/>
  <c r="K851" i="8"/>
  <c r="K346" i="8"/>
  <c r="L346" i="8" s="1"/>
  <c r="M346" i="8" s="1" a="1"/>
  <c r="M346" i="8" s="1"/>
  <c r="K909" i="8"/>
  <c r="K765" i="8"/>
  <c r="L765" i="8" s="1"/>
  <c r="M765" i="8" s="1" a="1"/>
  <c r="M765" i="8" s="1"/>
  <c r="K583" i="8"/>
  <c r="K200" i="8"/>
  <c r="L200" i="8" s="1"/>
  <c r="M200" i="8" s="1" a="1"/>
  <c r="M200" i="8" s="1"/>
  <c r="K113" i="8"/>
  <c r="L113" i="8" s="1"/>
  <c r="M113" i="8" s="1" a="1"/>
  <c r="M113" i="8" s="1"/>
  <c r="K763" i="8"/>
  <c r="H134" i="8"/>
  <c r="I134" i="8" s="1"/>
  <c r="H608" i="8"/>
  <c r="I608" i="8" s="1"/>
  <c r="H601" i="8"/>
  <c r="I601" i="8" s="1"/>
  <c r="H403" i="8"/>
  <c r="H52" i="8"/>
  <c r="I52" i="8" s="1"/>
  <c r="H13" i="8"/>
  <c r="H663" i="8"/>
  <c r="H158" i="8"/>
  <c r="I158" i="8" s="1"/>
  <c r="H600" i="8"/>
  <c r="I600" i="8" s="1"/>
  <c r="H513" i="8"/>
  <c r="I513" i="8" s="1"/>
  <c r="K303" i="8"/>
  <c r="L303" i="8" s="1"/>
  <c r="M303" i="8" s="1" a="1"/>
  <c r="M303" i="8" s="1"/>
  <c r="K614" i="8"/>
  <c r="K704" i="8"/>
  <c r="L704" i="8" s="1"/>
  <c r="M704" i="8" s="1" a="1"/>
  <c r="M704" i="8" s="1"/>
  <c r="K950" i="8"/>
  <c r="L950" i="8" s="1"/>
  <c r="M950" i="8" s="1" a="1"/>
  <c r="M950" i="8" s="1"/>
  <c r="K74" i="8"/>
  <c r="L74" i="8" s="1"/>
  <c r="M74" i="8" s="1" a="1"/>
  <c r="M74" i="8" s="1"/>
  <c r="K532" i="8"/>
  <c r="L532" i="8" s="1"/>
  <c r="M532" i="8" s="1" a="1"/>
  <c r="M532" i="8" s="1"/>
  <c r="K493" i="8"/>
  <c r="K311" i="8"/>
  <c r="K638" i="8"/>
  <c r="L638" i="8" s="1"/>
  <c r="M638" i="8" s="1" a="1"/>
  <c r="M638" i="8" s="1"/>
  <c r="K680" i="8"/>
  <c r="K846" i="8"/>
  <c r="H873" i="8"/>
  <c r="I873" i="8" s="1"/>
  <c r="H59" i="8"/>
  <c r="I59" i="8" s="1"/>
  <c r="H418" i="8"/>
  <c r="H965" i="8"/>
  <c r="I965" i="8" s="1"/>
  <c r="H773" i="8"/>
  <c r="I773" i="8" s="1"/>
  <c r="H953" i="8"/>
  <c r="K91" i="8"/>
  <c r="K226" i="8"/>
  <c r="K1021" i="8"/>
  <c r="K581" i="8"/>
  <c r="L581" i="8" s="1"/>
  <c r="M581" i="8" s="1" a="1"/>
  <c r="M581" i="8" s="1"/>
  <c r="H486" i="8"/>
  <c r="I486" i="8" s="1"/>
  <c r="H319" i="8"/>
  <c r="I319" i="8" s="1"/>
  <c r="H630" i="8"/>
  <c r="H720" i="8"/>
  <c r="I720" i="8" s="1"/>
  <c r="H970" i="8"/>
  <c r="I970" i="8" s="1"/>
  <c r="H90" i="8"/>
  <c r="I90" i="8" s="1"/>
  <c r="H548" i="8"/>
  <c r="I548" i="8" s="1"/>
  <c r="H509" i="8"/>
  <c r="H327" i="8"/>
  <c r="H654" i="8"/>
  <c r="H696" i="8"/>
  <c r="H878" i="8"/>
  <c r="I878" i="8" s="1"/>
  <c r="K960" i="8"/>
  <c r="L960" i="8" s="1"/>
  <c r="M960" i="8" s="1" a="1"/>
  <c r="M960" i="8" s="1"/>
  <c r="K432" i="8"/>
  <c r="K425" i="8"/>
  <c r="L425" i="8" s="1"/>
  <c r="M425" i="8" s="1" a="1"/>
  <c r="M425" i="8" s="1"/>
  <c r="K227" i="8"/>
  <c r="L227" i="8" s="1"/>
  <c r="M227" i="8" s="1" a="1"/>
  <c r="M227" i="8" s="1"/>
  <c r="K570" i="8"/>
  <c r="L570" i="8" s="1"/>
  <c r="M570" i="8" s="1" a="1"/>
  <c r="M570" i="8" s="1"/>
  <c r="K999" i="8"/>
  <c r="L999" i="8" s="1"/>
  <c r="M999" i="8" s="1" a="1"/>
  <c r="M999" i="8" s="1"/>
  <c r="K842" i="8"/>
  <c r="K968" i="8"/>
  <c r="L968" i="8" s="1"/>
  <c r="M968" i="8" s="1" a="1"/>
  <c r="M968" i="8" s="1"/>
  <c r="K424" i="8"/>
  <c r="K337" i="8"/>
  <c r="H143" i="8"/>
  <c r="I143" i="8" s="1"/>
  <c r="H454" i="8"/>
  <c r="I454" i="8" s="1"/>
  <c r="H899" i="8"/>
  <c r="I899" i="8" s="1"/>
  <c r="H774" i="8"/>
  <c r="H884" i="8"/>
  <c r="H372" i="8"/>
  <c r="I372" i="8" s="1"/>
  <c r="H333" i="8"/>
  <c r="H151" i="8"/>
  <c r="I151" i="8" s="1"/>
  <c r="H478" i="8"/>
  <c r="I478" i="8" s="1"/>
  <c r="H875" i="8"/>
  <c r="H686" i="8"/>
  <c r="K866" i="8"/>
  <c r="L866" i="8" s="1"/>
  <c r="M866" i="8" s="1" a="1"/>
  <c r="M866" i="8" s="1"/>
  <c r="K256" i="8"/>
  <c r="K249" i="8"/>
  <c r="L249" i="8" s="1"/>
  <c r="M249" i="8" s="1" a="1"/>
  <c r="M249" i="8" s="1"/>
  <c r="K51" i="8"/>
  <c r="K394" i="8"/>
  <c r="L394" i="8" s="1"/>
  <c r="M394" i="8" s="1" a="1"/>
  <c r="M394" i="8" s="1"/>
  <c r="K957" i="8"/>
  <c r="K666" i="8"/>
  <c r="L666" i="8" s="1"/>
  <c r="M666" i="8" s="1" a="1"/>
  <c r="M666" i="8" s="1"/>
  <c r="K792" i="8"/>
  <c r="L792" i="8" s="1"/>
  <c r="M792" i="8" s="1" a="1"/>
  <c r="M792" i="8" s="1"/>
  <c r="K248" i="8"/>
  <c r="L248" i="8" s="1"/>
  <c r="M248" i="8" s="1" a="1"/>
  <c r="M248" i="8" s="1"/>
  <c r="K161" i="8"/>
  <c r="L161" i="8" s="1"/>
  <c r="M161" i="8" s="1" a="1"/>
  <c r="M161" i="8" s="1"/>
  <c r="K811" i="8"/>
  <c r="H580" i="8"/>
  <c r="I580" i="8" s="1"/>
  <c r="H541" i="8"/>
  <c r="H359" i="8"/>
  <c r="H7" i="8"/>
  <c r="I7" i="8" s="1"/>
  <c r="H728" i="8"/>
  <c r="H910" i="8"/>
  <c r="K86" i="8"/>
  <c r="K560" i="8"/>
  <c r="L560" i="8" s="1"/>
  <c r="M560" i="8" s="1" a="1"/>
  <c r="M560" i="8" s="1"/>
  <c r="K553" i="8"/>
  <c r="L553" i="8" s="1"/>
  <c r="M553" i="8" s="1" a="1"/>
  <c r="M553" i="8" s="1"/>
  <c r="K355" i="8"/>
  <c r="L355" i="8" s="1"/>
  <c r="M355" i="8" s="1" a="1"/>
  <c r="M355" i="8" s="1"/>
  <c r="K35" i="8"/>
  <c r="L35" i="8" s="1"/>
  <c r="M35" i="8" s="1" a="1"/>
  <c r="M35" i="8" s="1"/>
  <c r="K772" i="8"/>
  <c r="L772" i="8" s="1"/>
  <c r="M772" i="8" s="1" a="1"/>
  <c r="M772" i="8" s="1"/>
  <c r="K615" i="8"/>
  <c r="L615" i="8" s="1"/>
  <c r="M615" i="8" s="1" a="1"/>
  <c r="M615" i="8" s="1"/>
  <c r="K110" i="8"/>
  <c r="L110" i="8" s="1"/>
  <c r="M110" i="8" s="1" a="1"/>
  <c r="M110" i="8" s="1"/>
  <c r="K552" i="8"/>
  <c r="L552" i="8" s="1"/>
  <c r="M552" i="8" s="1" a="1"/>
  <c r="M552" i="8" s="1"/>
  <c r="K465" i="8"/>
  <c r="L465" i="8" s="1"/>
  <c r="M465" i="8" s="1" a="1"/>
  <c r="M465" i="8" s="1"/>
  <c r="H269" i="8"/>
  <c r="I269" i="8" s="1"/>
  <c r="H87" i="8"/>
  <c r="H414" i="8"/>
  <c r="I414" i="8" s="1"/>
  <c r="H961" i="8"/>
  <c r="I961" i="8" s="1"/>
  <c r="H769" i="8"/>
  <c r="K480" i="8"/>
  <c r="L480" i="8" s="1"/>
  <c r="M480" i="8" s="1" a="1"/>
  <c r="M480" i="8" s="1"/>
  <c r="K473" i="8"/>
  <c r="L473" i="8" s="1"/>
  <c r="M473" i="8" s="1" a="1"/>
  <c r="M473" i="8" s="1"/>
  <c r="K275" i="8"/>
  <c r="L275" i="8" s="1"/>
  <c r="M275" i="8" s="1" a="1"/>
  <c r="M275" i="8" s="1"/>
  <c r="K618" i="8"/>
  <c r="L618" i="8" s="1"/>
  <c r="M618" i="8" s="1" a="1"/>
  <c r="M618" i="8" s="1"/>
  <c r="K692" i="8"/>
  <c r="K906" i="8"/>
  <c r="K30" i="8"/>
  <c r="L30" i="8" s="1"/>
  <c r="M30" i="8" s="1" a="1"/>
  <c r="M30" i="8" s="1"/>
  <c r="K472" i="8"/>
  <c r="L472" i="8" s="1"/>
  <c r="M472" i="8" s="1" a="1"/>
  <c r="M472" i="8" s="1"/>
  <c r="K385" i="8"/>
  <c r="H191" i="8"/>
  <c r="I191" i="8" s="1"/>
  <c r="H502" i="8"/>
  <c r="I502" i="8" s="1"/>
  <c r="H947" i="8"/>
  <c r="I947" i="8" s="1"/>
  <c r="H822" i="8"/>
  <c r="H932" i="8"/>
  <c r="I932" i="8" s="1"/>
  <c r="H420" i="8"/>
  <c r="I420" i="8" s="1"/>
  <c r="H381" i="8"/>
  <c r="H199" i="8"/>
  <c r="I199" i="8" s="1"/>
  <c r="H526" i="8"/>
  <c r="I526" i="8" s="1"/>
  <c r="H923" i="8"/>
  <c r="I923" i="8" s="1"/>
  <c r="H734" i="8"/>
  <c r="I734" i="8" s="1"/>
  <c r="K832" i="8"/>
  <c r="L832" i="8" s="1"/>
  <c r="M832" i="8" s="1" a="1"/>
  <c r="M832" i="8" s="1"/>
  <c r="K304" i="8"/>
  <c r="K297" i="8"/>
  <c r="L297" i="8" s="1"/>
  <c r="M297" i="8" s="1" a="1"/>
  <c r="M297" i="8" s="1"/>
  <c r="K99" i="8"/>
  <c r="K442" i="8"/>
  <c r="L442" i="8" s="1"/>
  <c r="M442" i="8" s="1" a="1"/>
  <c r="M442" i="8" s="1"/>
  <c r="K1005" i="8"/>
  <c r="L1005" i="8" s="1"/>
  <c r="M1005" i="8" s="1" a="1"/>
  <c r="M1005" i="8" s="1"/>
  <c r="K714" i="8"/>
  <c r="L714" i="8" s="1"/>
  <c r="M714" i="8" s="1" a="1"/>
  <c r="M714" i="8" s="1"/>
  <c r="K840" i="8"/>
  <c r="L840" i="8" s="1"/>
  <c r="M840" i="8" s="1" a="1"/>
  <c r="M840" i="8" s="1"/>
  <c r="K296" i="8"/>
  <c r="L296" i="8" s="1"/>
  <c r="M296" i="8" s="1" a="1"/>
  <c r="M296" i="8" s="1"/>
  <c r="K209" i="8"/>
  <c r="K859" i="8"/>
  <c r="L859" i="8" s="1"/>
  <c r="M859" i="8" s="1" a="1"/>
  <c r="M859" i="8" s="1"/>
  <c r="H230" i="8"/>
  <c r="I230" i="8" s="1"/>
  <c r="H809" i="8"/>
  <c r="H697" i="8"/>
  <c r="I697" i="8" s="1"/>
  <c r="H499" i="8"/>
  <c r="I499" i="8" s="1"/>
  <c r="H148" i="8"/>
  <c r="I148" i="8" s="1"/>
  <c r="H109" i="8"/>
  <c r="I109" i="8" s="1"/>
  <c r="H759" i="8"/>
  <c r="I759" i="8" s="1"/>
  <c r="H254" i="8"/>
  <c r="I254" i="8" s="1"/>
  <c r="H801" i="8"/>
  <c r="H609" i="8"/>
  <c r="I609" i="8" s="1"/>
  <c r="K399" i="8"/>
  <c r="K1020" i="8"/>
  <c r="L1020" i="8" s="1"/>
  <c r="M1020" i="8" s="1" a="1"/>
  <c r="M1020" i="8" s="1"/>
  <c r="K25" i="8"/>
  <c r="L25" i="8" s="1"/>
  <c r="M25" i="8" s="1" a="1"/>
  <c r="M25" i="8" s="1"/>
  <c r="K675" i="8"/>
  <c r="K170" i="8"/>
  <c r="L170" i="8" s="1"/>
  <c r="M170" i="8" s="1" a="1"/>
  <c r="M170" i="8" s="1"/>
  <c r="K628" i="8"/>
  <c r="L628" i="8" s="1"/>
  <c r="M628" i="8" s="1" a="1"/>
  <c r="M628" i="8" s="1"/>
  <c r="K589" i="8"/>
  <c r="K407" i="8"/>
  <c r="L407" i="8" s="1"/>
  <c r="M407" i="8" s="1" a="1"/>
  <c r="M407" i="8" s="1"/>
  <c r="K8" i="8"/>
  <c r="L8" i="8" s="1"/>
  <c r="M8" i="8" s="1" a="1"/>
  <c r="M8" i="8" s="1"/>
  <c r="K776" i="8"/>
  <c r="L776" i="8" s="1"/>
  <c r="M776" i="8" s="1" a="1"/>
  <c r="M776" i="8" s="1"/>
  <c r="K958" i="8"/>
  <c r="H514" i="8"/>
  <c r="H911" i="8"/>
  <c r="I911" i="8" s="1"/>
  <c r="H722" i="8"/>
  <c r="I722" i="8" s="1"/>
  <c r="H265" i="8"/>
  <c r="I265" i="8" s="1"/>
  <c r="K1018" i="8"/>
  <c r="K322" i="8"/>
  <c r="L322" i="8" s="1"/>
  <c r="M322" i="8" s="1" a="1"/>
  <c r="M322" i="8" s="1"/>
  <c r="K869" i="8"/>
  <c r="K677" i="8"/>
  <c r="L677" i="8" s="1"/>
  <c r="M677" i="8" s="1" a="1"/>
  <c r="M677" i="8" s="1"/>
  <c r="H288" i="8"/>
  <c r="I288" i="8" s="1"/>
  <c r="H415" i="8"/>
  <c r="I415" i="8" s="1"/>
  <c r="H48" i="8"/>
  <c r="H41" i="8"/>
  <c r="I41" i="8" s="1"/>
  <c r="H691" i="8"/>
  <c r="H186" i="8"/>
  <c r="I186" i="8" s="1"/>
  <c r="H644" i="8"/>
  <c r="I644" i="8" s="1"/>
  <c r="H605" i="8"/>
  <c r="I605" i="8" s="1"/>
  <c r="H423" i="8"/>
  <c r="H40" i="8"/>
  <c r="I40" i="8" s="1"/>
  <c r="K6" i="8"/>
  <c r="L6" i="8" s="1"/>
  <c r="M6" i="8" s="1" a="1"/>
  <c r="M6" i="8" s="1"/>
  <c r="H986" i="8"/>
  <c r="K54" i="8"/>
  <c r="L54" i="8" s="1"/>
  <c r="M54" i="8" s="1" a="1"/>
  <c r="M54" i="8" s="1"/>
  <c r="K528" i="8"/>
  <c r="L528" i="8" s="1"/>
  <c r="M528" i="8" s="1" a="1"/>
  <c r="M528" i="8" s="1"/>
  <c r="K521" i="8"/>
  <c r="L521" i="8" s="1"/>
  <c r="M521" i="8" s="1" a="1"/>
  <c r="M521" i="8" s="1"/>
  <c r="K323" i="8"/>
  <c r="K1023" i="8"/>
  <c r="L1023" i="8" s="1"/>
  <c r="M1023" i="8" s="1" a="1"/>
  <c r="M1023" i="8" s="1"/>
  <c r="K740" i="8"/>
  <c r="K954" i="8"/>
  <c r="L954" i="8" s="1"/>
  <c r="M954" i="8" s="1" a="1"/>
  <c r="M954" i="8" s="1"/>
  <c r="K78" i="8"/>
  <c r="L78" i="8" s="1"/>
  <c r="M78" i="8" s="1" a="1"/>
  <c r="M78" i="8" s="1"/>
  <c r="K520" i="8"/>
  <c r="L520" i="8" s="1"/>
  <c r="M520" i="8" s="1" a="1"/>
  <c r="M520" i="8" s="1"/>
  <c r="K433" i="8"/>
  <c r="H239" i="8"/>
  <c r="I239" i="8" s="1"/>
  <c r="H550" i="8"/>
  <c r="H995" i="8"/>
  <c r="I995" i="8" s="1"/>
  <c r="H886" i="8"/>
  <c r="I886" i="8" s="1"/>
  <c r="H984" i="8"/>
  <c r="H468" i="8"/>
  <c r="I468" i="8" s="1"/>
  <c r="H429" i="8"/>
  <c r="I429" i="8" s="1"/>
  <c r="H247" i="8"/>
  <c r="I247" i="8" s="1"/>
  <c r="H574" i="8"/>
  <c r="I574" i="8" s="1"/>
  <c r="H971" i="8"/>
  <c r="I971" i="8" s="1"/>
  <c r="H782" i="8"/>
  <c r="K880" i="8"/>
  <c r="L880" i="8" s="1"/>
  <c r="M880" i="8" s="1" a="1"/>
  <c r="M880" i="8" s="1"/>
  <c r="K352" i="8"/>
  <c r="L352" i="8" s="1"/>
  <c r="M352" i="8" s="1" a="1"/>
  <c r="M352" i="8" s="1"/>
  <c r="K345" i="8"/>
  <c r="L345" i="8" s="1"/>
  <c r="M345" i="8" s="1" a="1"/>
  <c r="M345" i="8" s="1"/>
  <c r="K147" i="8"/>
  <c r="L147" i="8" s="1"/>
  <c r="M147" i="8" s="1" a="1"/>
  <c r="M147" i="8" s="1"/>
  <c r="K490" i="8"/>
  <c r="L490" i="8" s="1"/>
  <c r="M490" i="8" s="1" a="1"/>
  <c r="M490" i="8" s="1"/>
  <c r="K919" i="8"/>
  <c r="L919" i="8" s="1"/>
  <c r="M919" i="8" s="1" a="1"/>
  <c r="M919" i="8" s="1"/>
  <c r="K762" i="8"/>
  <c r="L762" i="8" s="1"/>
  <c r="M762" i="8" s="1" a="1"/>
  <c r="M762" i="8" s="1"/>
  <c r="K888" i="8"/>
  <c r="L888" i="8" s="1"/>
  <c r="M888" i="8" s="1" a="1"/>
  <c r="M888" i="8" s="1"/>
  <c r="K344" i="8"/>
  <c r="L344" i="8" s="1"/>
  <c r="M344" i="8" s="1" a="1"/>
  <c r="M344" i="8" s="1"/>
  <c r="K257" i="8"/>
  <c r="H218" i="8"/>
  <c r="I218" i="8" s="1"/>
  <c r="H676" i="8"/>
  <c r="I676" i="8" s="1"/>
  <c r="H637" i="8"/>
  <c r="H455" i="8"/>
  <c r="I455" i="8" s="1"/>
  <c r="H72" i="8"/>
  <c r="I72" i="8" s="1"/>
  <c r="K785" i="8"/>
  <c r="L785" i="8" s="1"/>
  <c r="M785" i="8" s="1" a="1"/>
  <c r="M785" i="8" s="1"/>
  <c r="H635" i="8"/>
  <c r="I635" i="8" s="1"/>
  <c r="K182" i="8"/>
  <c r="K656" i="8"/>
  <c r="L656" i="8" s="1"/>
  <c r="M656" i="8" s="1" a="1"/>
  <c r="M656" i="8" s="1"/>
  <c r="K649" i="8"/>
  <c r="K451" i="8"/>
  <c r="K100" i="8"/>
  <c r="L100" i="8" s="1"/>
  <c r="M100" i="8" s="1" a="1"/>
  <c r="M100" i="8" s="1"/>
  <c r="K61" i="8"/>
  <c r="L61" i="8" s="1"/>
  <c r="M61" i="8" s="1" a="1"/>
  <c r="M61" i="8" s="1"/>
  <c r="K711" i="8"/>
  <c r="K206" i="8"/>
  <c r="L206" i="8" s="1"/>
  <c r="M206" i="8" s="1" a="1"/>
  <c r="M206" i="8" s="1"/>
  <c r="K648" i="8"/>
  <c r="L648" i="8" s="1"/>
  <c r="M648" i="8" s="1" a="1"/>
  <c r="M648" i="8" s="1"/>
  <c r="K561" i="8"/>
  <c r="H365" i="8"/>
  <c r="I365" i="8" s="1"/>
  <c r="H183" i="8"/>
  <c r="I183" i="8" s="1"/>
  <c r="H510" i="8"/>
  <c r="I510" i="8" s="1"/>
  <c r="H907" i="8"/>
  <c r="I907" i="8" s="1"/>
  <c r="H718" i="8"/>
  <c r="K576" i="8"/>
  <c r="K569" i="8"/>
  <c r="L569" i="8" s="1"/>
  <c r="M569" i="8" s="1" a="1"/>
  <c r="M569" i="8" s="1"/>
  <c r="K371" i="8"/>
  <c r="L371" i="8" s="1"/>
  <c r="M371" i="8" s="1" a="1"/>
  <c r="M371" i="8" s="1"/>
  <c r="K1024" i="8"/>
  <c r="L1024" i="8" s="1"/>
  <c r="M1024" i="8" s="1" a="1"/>
  <c r="M1024" i="8" s="1"/>
  <c r="H26" i="8"/>
  <c r="K631" i="8"/>
  <c r="L631" i="8" s="1"/>
  <c r="M631" i="8" s="1" a="1"/>
  <c r="M631" i="8" s="1"/>
  <c r="K126" i="8"/>
  <c r="L126" i="8" s="1"/>
  <c r="M126" i="8" s="1" a="1"/>
  <c r="M126" i="8" s="1"/>
  <c r="K568" i="8"/>
  <c r="L568" i="8" s="1"/>
  <c r="M568" i="8" s="1" a="1"/>
  <c r="M568" i="8" s="1"/>
  <c r="K481" i="8"/>
  <c r="L481" i="8" s="1"/>
  <c r="M481" i="8" s="1" a="1"/>
  <c r="M481" i="8" s="1"/>
  <c r="H287" i="8"/>
  <c r="I287" i="8" s="1"/>
  <c r="H598" i="8"/>
  <c r="H688" i="8"/>
  <c r="H934" i="8"/>
  <c r="I934" i="8" s="1"/>
  <c r="H58" i="8"/>
  <c r="I58" i="8" s="1"/>
  <c r="H516" i="8"/>
  <c r="I516" i="8" s="1"/>
  <c r="H477" i="8"/>
  <c r="H295" i="8"/>
  <c r="H622" i="8"/>
  <c r="I622" i="8" s="1"/>
  <c r="H972" i="8"/>
  <c r="I972" i="8" s="1"/>
  <c r="H830" i="8"/>
  <c r="I830" i="8" s="1"/>
  <c r="K928" i="8"/>
  <c r="L928" i="8" s="1"/>
  <c r="M928" i="8" s="1" a="1"/>
  <c r="M928" i="8" s="1"/>
  <c r="K400" i="8"/>
  <c r="K393" i="8"/>
  <c r="L393" i="8" s="1"/>
  <c r="M393" i="8" s="1" a="1"/>
  <c r="M393" i="8" s="1"/>
  <c r="K195" i="8"/>
  <c r="K538" i="8"/>
  <c r="L538" i="8" s="1"/>
  <c r="M538" i="8" s="1" a="1"/>
  <c r="M538" i="8" s="1"/>
  <c r="K967" i="8"/>
  <c r="L967" i="8" s="1"/>
  <c r="M967" i="8" s="1" a="1"/>
  <c r="M967" i="8" s="1"/>
  <c r="K810" i="8"/>
  <c r="L810" i="8" s="1"/>
  <c r="M810" i="8" s="1" a="1"/>
  <c r="M810" i="8" s="1"/>
  <c r="K936" i="8"/>
  <c r="L936" i="8" s="1"/>
  <c r="M936" i="8" s="1" a="1"/>
  <c r="M936" i="8" s="1"/>
  <c r="K392" i="8"/>
  <c r="L392" i="8" s="1"/>
  <c r="M392" i="8" s="1" a="1"/>
  <c r="M392" i="8" s="1"/>
  <c r="K305" i="8"/>
  <c r="L305" i="8" s="1"/>
  <c r="M305" i="8" s="1" a="1"/>
  <c r="M305" i="8" s="1"/>
  <c r="K16" i="8"/>
  <c r="H326" i="8"/>
  <c r="I326" i="8" s="1"/>
  <c r="H905" i="8"/>
  <c r="I905" i="8" s="1"/>
  <c r="H974" i="8"/>
  <c r="I974" i="8" s="1"/>
  <c r="H595" i="8"/>
  <c r="H244" i="8"/>
  <c r="I244" i="8" s="1"/>
  <c r="H205" i="8"/>
  <c r="H855" i="8"/>
  <c r="I855" i="8" s="1"/>
  <c r="H350" i="8"/>
  <c r="I350" i="8" s="1"/>
  <c r="H897" i="8"/>
  <c r="H705" i="8"/>
  <c r="K495" i="8"/>
  <c r="L495" i="8" s="1"/>
  <c r="M495" i="8" s="1" a="1"/>
  <c r="M495" i="8" s="1"/>
  <c r="K128" i="8"/>
  <c r="K121" i="8"/>
  <c r="L121" i="8" s="1"/>
  <c r="M121" i="8" s="1" a="1"/>
  <c r="M121" i="8" s="1"/>
  <c r="K771" i="8"/>
  <c r="L771" i="8" s="1"/>
  <c r="M771" i="8" s="1" a="1"/>
  <c r="M771" i="8" s="1"/>
  <c r="K266" i="8"/>
  <c r="L266" i="8" s="1"/>
  <c r="M266" i="8" s="1" a="1"/>
  <c r="M266" i="8" s="1"/>
  <c r="K829" i="8"/>
  <c r="L829" i="8" s="1"/>
  <c r="M829" i="8" s="1" a="1"/>
  <c r="M829" i="8" s="1"/>
  <c r="K685" i="8"/>
  <c r="K503" i="8"/>
  <c r="K120" i="8"/>
  <c r="L120" i="8" s="1"/>
  <c r="M120" i="8" s="1" a="1"/>
  <c r="M120" i="8" s="1"/>
  <c r="K33" i="8"/>
  <c r="K683" i="8"/>
  <c r="H761" i="8"/>
  <c r="I761" i="8" s="1"/>
  <c r="H251" i="8"/>
  <c r="I251" i="8" s="1"/>
  <c r="H610" i="8"/>
  <c r="H1007" i="8"/>
  <c r="I1007" i="8" s="1"/>
  <c r="H818" i="8"/>
  <c r="I818" i="8" s="1"/>
  <c r="H694" i="8"/>
  <c r="K59" i="8"/>
  <c r="L59" i="8" s="1"/>
  <c r="M59" i="8" s="1" a="1"/>
  <c r="M59" i="8" s="1"/>
  <c r="K418" i="8"/>
  <c r="K965" i="8"/>
  <c r="K773" i="8"/>
  <c r="L773" i="8" s="1"/>
  <c r="M773" i="8" s="1" a="1"/>
  <c r="M773" i="8" s="1"/>
  <c r="H969" i="8"/>
  <c r="I969" i="8" s="1"/>
  <c r="H511" i="8"/>
  <c r="H144" i="8"/>
  <c r="H137" i="8"/>
  <c r="I137" i="8" s="1"/>
  <c r="H787" i="8"/>
  <c r="H282" i="8"/>
  <c r="I282" i="8" s="1"/>
  <c r="H845" i="8"/>
  <c r="I845" i="8" s="1"/>
  <c r="H701" i="8"/>
  <c r="H519" i="8"/>
  <c r="H136" i="8"/>
  <c r="I136" i="8" s="1"/>
  <c r="H49" i="8"/>
  <c r="H699" i="8"/>
  <c r="K150" i="8"/>
  <c r="L150" i="8" s="1"/>
  <c r="M150" i="8" s="1" a="1"/>
  <c r="M150" i="8" s="1"/>
  <c r="K624" i="8"/>
  <c r="K617" i="8"/>
  <c r="L617" i="8" s="1"/>
  <c r="M617" i="8" s="1" a="1"/>
  <c r="M617" i="8" s="1"/>
  <c r="K419" i="8"/>
  <c r="K68" i="8"/>
  <c r="L68" i="8" s="1"/>
  <c r="M68" i="8" s="1" a="1"/>
  <c r="M68" i="8" s="1"/>
  <c r="K29" i="8"/>
  <c r="L29" i="8" s="1"/>
  <c r="M29" i="8" s="1" a="1"/>
  <c r="M29" i="8" s="1"/>
  <c r="K679" i="8"/>
  <c r="L679" i="8" s="1"/>
  <c r="M679" i="8" s="1" a="1"/>
  <c r="M679" i="8" s="1"/>
  <c r="K174" i="8"/>
  <c r="K616" i="8"/>
  <c r="L616" i="8" s="1"/>
  <c r="M616" i="8" s="1" a="1"/>
  <c r="M616" i="8" s="1"/>
  <c r="K529" i="8"/>
  <c r="H335" i="8"/>
  <c r="H646" i="8"/>
  <c r="I646" i="8" s="1"/>
  <c r="H736" i="8"/>
  <c r="I736" i="8" s="1"/>
  <c r="H1006" i="8"/>
  <c r="I1006" i="8" s="1"/>
  <c r="H106" i="8"/>
  <c r="I106" i="8" s="1"/>
  <c r="H564" i="8"/>
  <c r="I564" i="8" s="1"/>
  <c r="H525" i="8"/>
  <c r="I525" i="8" s="1"/>
  <c r="H343" i="8"/>
  <c r="I343" i="8" s="1"/>
  <c r="K11" i="8"/>
  <c r="H712" i="8"/>
  <c r="I712" i="8" s="1"/>
  <c r="H894" i="8"/>
  <c r="K980" i="8"/>
  <c r="L980" i="8" s="1"/>
  <c r="M980" i="8" s="1" a="1"/>
  <c r="M980" i="8" s="1"/>
  <c r="K448" i="8"/>
  <c r="K441" i="8"/>
  <c r="L441" i="8" s="1"/>
  <c r="M441" i="8" s="1" a="1"/>
  <c r="M441" i="8" s="1"/>
  <c r="K243" i="8"/>
  <c r="L243" i="8" s="1"/>
  <c r="M243" i="8" s="1" a="1"/>
  <c r="M243" i="8" s="1"/>
  <c r="K586" i="8"/>
  <c r="L586" i="8" s="1"/>
  <c r="M586" i="8" s="1" a="1"/>
  <c r="M586" i="8" s="1"/>
  <c r="K1008" i="8"/>
  <c r="L1008" i="8" s="1"/>
  <c r="M1008" i="8" s="1" a="1"/>
  <c r="M1008" i="8" s="1"/>
  <c r="K874" i="8"/>
  <c r="L874" i="8" s="1"/>
  <c r="M874" i="8" s="1" a="1"/>
  <c r="M874" i="8" s="1"/>
  <c r="K992" i="8"/>
  <c r="L992" i="8" s="1"/>
  <c r="M992" i="8" s="1" a="1"/>
  <c r="M992" i="8" s="1"/>
  <c r="K440" i="8"/>
  <c r="L440" i="8" s="1"/>
  <c r="M440" i="8" s="1" a="1"/>
  <c r="M440" i="8" s="1"/>
  <c r="K353" i="8"/>
  <c r="L353" i="8" s="1"/>
  <c r="M353" i="8" s="1" a="1"/>
  <c r="M353" i="8" s="1"/>
  <c r="H314" i="8"/>
  <c r="H877" i="8"/>
  <c r="I877" i="8" s="1"/>
  <c r="H733" i="8"/>
  <c r="H551" i="8"/>
  <c r="H168" i="8"/>
  <c r="I168" i="8" s="1"/>
  <c r="H81" i="8"/>
  <c r="H731" i="8"/>
  <c r="K278" i="8"/>
  <c r="L278" i="8" s="1"/>
  <c r="M278" i="8" s="1" a="1"/>
  <c r="M278" i="8" s="1"/>
  <c r="K857" i="8"/>
  <c r="L857" i="8" s="1"/>
  <c r="M857" i="8" s="1" a="1"/>
  <c r="M857" i="8" s="1"/>
  <c r="K745" i="8"/>
  <c r="L745" i="8" s="1"/>
  <c r="M745" i="8" s="1" a="1"/>
  <c r="M745" i="8" s="1"/>
  <c r="K547" i="8"/>
  <c r="L547" i="8" s="1"/>
  <c r="M547" i="8" s="1" a="1"/>
  <c r="M547" i="8" s="1"/>
  <c r="K196" i="8"/>
  <c r="L196" i="8" s="1"/>
  <c r="M196" i="8" s="1" a="1"/>
  <c r="M196" i="8" s="1"/>
  <c r="K157" i="8"/>
  <c r="K807" i="8"/>
  <c r="K302" i="8"/>
  <c r="K849" i="8"/>
  <c r="K657" i="8"/>
  <c r="L657" i="8" s="1"/>
  <c r="M657" i="8" s="1" a="1"/>
  <c r="M657" i="8" s="1"/>
  <c r="H461" i="8"/>
  <c r="I461" i="8" s="1"/>
  <c r="H279" i="8"/>
  <c r="H606" i="8"/>
  <c r="I606" i="8" s="1"/>
  <c r="H1003" i="8"/>
  <c r="I1003" i="8" s="1"/>
  <c r="H814" i="8"/>
  <c r="K672" i="8"/>
  <c r="L672" i="8" s="1"/>
  <c r="M672" i="8" s="1" a="1"/>
  <c r="M672" i="8" s="1"/>
  <c r="K665" i="8"/>
  <c r="L665" i="8" s="1"/>
  <c r="M665" i="8" s="1" a="1"/>
  <c r="M665" i="8" s="1"/>
  <c r="K467" i="8"/>
  <c r="K116" i="8"/>
  <c r="L116" i="8" s="1"/>
  <c r="M116" i="8" s="1" a="1"/>
  <c r="M116" i="8" s="1"/>
  <c r="K77" i="8"/>
  <c r="K727" i="8"/>
  <c r="K222" i="8"/>
  <c r="L222" i="8" s="1"/>
  <c r="M222" i="8" s="1" a="1"/>
  <c r="M222" i="8" s="1"/>
  <c r="K664" i="8"/>
  <c r="K577" i="8"/>
  <c r="H383" i="8"/>
  <c r="H31" i="8"/>
  <c r="I31" i="8" s="1"/>
  <c r="H784" i="8"/>
  <c r="H659" i="8"/>
  <c r="I659" i="8" s="1"/>
  <c r="H154" i="8"/>
  <c r="I154" i="8" s="1"/>
  <c r="H612" i="8"/>
  <c r="I612" i="8" s="1"/>
  <c r="H573" i="8"/>
  <c r="I573" i="8" s="1"/>
  <c r="H391" i="8"/>
  <c r="K20" i="8"/>
  <c r="L20" i="8" s="1"/>
  <c r="M20" i="8" s="1" a="1"/>
  <c r="M20" i="8" s="1"/>
  <c r="H760" i="8"/>
  <c r="I760" i="8" s="1"/>
  <c r="H942" i="8"/>
  <c r="K22" i="8"/>
  <c r="K496" i="8"/>
  <c r="L496" i="8" s="1"/>
  <c r="M496" i="8" s="1" a="1"/>
  <c r="M496" i="8" s="1"/>
  <c r="K489" i="8"/>
  <c r="L489" i="8" s="1"/>
  <c r="M489" i="8" s="1" a="1"/>
  <c r="M489" i="8" s="1"/>
  <c r="K291" i="8"/>
  <c r="K634" i="8"/>
  <c r="L634" i="8" s="1"/>
  <c r="M634" i="8" s="1" a="1"/>
  <c r="M634" i="8" s="1"/>
  <c r="K708" i="8"/>
  <c r="L708" i="8" s="1"/>
  <c r="M708" i="8" s="1" a="1"/>
  <c r="M708" i="8" s="1"/>
  <c r="K922" i="8"/>
  <c r="K46" i="8"/>
  <c r="L46" i="8" s="1"/>
  <c r="M46" i="8" s="1" a="1"/>
  <c r="M46" i="8" s="1"/>
  <c r="K488" i="8"/>
  <c r="L488" i="8" s="1"/>
  <c r="M488" i="8" s="1" a="1"/>
  <c r="M488" i="8" s="1"/>
  <c r="K401" i="8"/>
  <c r="H111" i="8"/>
  <c r="I111" i="8" s="1"/>
  <c r="H422" i="8"/>
  <c r="H1001" i="8"/>
  <c r="H742" i="8"/>
  <c r="I742" i="8" s="1"/>
  <c r="H852" i="8"/>
  <c r="I852" i="8" s="1"/>
  <c r="H340" i="8"/>
  <c r="I340" i="8" s="1"/>
  <c r="H301" i="8"/>
  <c r="I301" i="8" s="1"/>
  <c r="H119" i="8"/>
  <c r="I119" i="8" s="1"/>
  <c r="H446" i="8"/>
  <c r="I446" i="8" s="1"/>
  <c r="H993" i="8"/>
  <c r="H990" i="8"/>
  <c r="K591" i="8"/>
  <c r="K224" i="8"/>
  <c r="L224" i="8" s="1"/>
  <c r="M224" i="8" s="1" a="1"/>
  <c r="M224" i="8" s="1"/>
  <c r="K217" i="8"/>
  <c r="L217" i="8" s="1"/>
  <c r="M217" i="8" s="1" a="1"/>
  <c r="M217" i="8" s="1"/>
  <c r="K867" i="8"/>
  <c r="K362" i="8"/>
  <c r="K925" i="8"/>
  <c r="L925" i="8" s="1"/>
  <c r="M925" i="8" s="1" a="1"/>
  <c r="M925" i="8" s="1"/>
  <c r="K781" i="8"/>
  <c r="K599" i="8"/>
  <c r="L599" i="8" s="1"/>
  <c r="M599" i="8" s="1" a="1"/>
  <c r="M599" i="8" s="1"/>
  <c r="K216" i="8"/>
  <c r="L216" i="8" s="1"/>
  <c r="M216" i="8" s="1" a="1"/>
  <c r="M216" i="8" s="1"/>
  <c r="K129" i="8"/>
  <c r="K779" i="8"/>
  <c r="H835" i="8"/>
  <c r="H347" i="8"/>
  <c r="I347" i="8" s="1"/>
  <c r="H1016" i="8"/>
  <c r="I1016" i="8" s="1"/>
  <c r="H748" i="8"/>
  <c r="H930" i="8"/>
  <c r="H67" i="8"/>
  <c r="I67" i="8" s="1"/>
  <c r="K155" i="8"/>
  <c r="L155" i="8" s="1"/>
  <c r="M155" i="8" s="1" a="1"/>
  <c r="M155" i="8" s="1"/>
  <c r="K514" i="8"/>
  <c r="K911" i="8"/>
  <c r="L911" i="8" s="1"/>
  <c r="M911" i="8" s="1" a="1"/>
  <c r="M911" i="8" s="1"/>
  <c r="K722" i="8"/>
  <c r="L722" i="8" s="1"/>
  <c r="M722" i="8" s="1" a="1"/>
  <c r="M722" i="8" s="1"/>
  <c r="H281" i="8"/>
  <c r="I281" i="8" s="1"/>
  <c r="H607" i="8"/>
  <c r="H240" i="8"/>
  <c r="H233" i="8"/>
  <c r="I233" i="8" s="1"/>
  <c r="K788" i="8"/>
  <c r="L788" i="8" s="1"/>
  <c r="M788" i="8" s="1" a="1"/>
  <c r="M788" i="8" s="1"/>
  <c r="H378" i="8"/>
  <c r="I378" i="8" s="1"/>
  <c r="H941" i="8"/>
  <c r="I941" i="8" s="1"/>
  <c r="H982" i="8"/>
  <c r="H1014" i="8"/>
  <c r="I1014" i="8" s="1"/>
  <c r="H232" i="8"/>
  <c r="I232" i="8" s="1"/>
  <c r="H145" i="8"/>
  <c r="I145" i="8" s="1"/>
  <c r="H795" i="8"/>
  <c r="I795" i="8" s="1"/>
  <c r="K246" i="8"/>
  <c r="K825" i="8"/>
  <c r="L825" i="8" s="1"/>
  <c r="M825" i="8" s="1" a="1"/>
  <c r="M825" i="8" s="1"/>
  <c r="K713" i="8"/>
  <c r="K515" i="8"/>
  <c r="K164" i="8"/>
  <c r="L164" i="8" s="1"/>
  <c r="M164" i="8" s="1" a="1"/>
  <c r="M164" i="8" s="1"/>
  <c r="K125" i="8"/>
  <c r="K775" i="8"/>
  <c r="K270" i="8"/>
  <c r="L270" i="8" s="1"/>
  <c r="M270" i="8" s="1" a="1"/>
  <c r="M270" i="8" s="1"/>
  <c r="K817" i="8"/>
  <c r="L817" i="8" s="1"/>
  <c r="M817" i="8" s="1" a="1"/>
  <c r="M817" i="8" s="1"/>
  <c r="K625" i="8"/>
  <c r="H431" i="8"/>
  <c r="I431" i="8" s="1"/>
  <c r="H64" i="8"/>
  <c r="I64" i="8" s="1"/>
  <c r="H57" i="8"/>
  <c r="I57" i="8" s="1"/>
  <c r="H707" i="8"/>
  <c r="H202" i="8"/>
  <c r="I202" i="8" s="1"/>
  <c r="H660" i="8"/>
  <c r="H621" i="8"/>
  <c r="I621" i="8" s="1"/>
  <c r="H439" i="8"/>
  <c r="I439" i="8" s="1"/>
  <c r="H56" i="8"/>
  <c r="I56" i="8" s="1"/>
  <c r="K871" i="8"/>
  <c r="H619" i="8"/>
  <c r="K70" i="8"/>
  <c r="K544" i="8"/>
  <c r="L544" i="8" s="1"/>
  <c r="M544" i="8" s="1" a="1"/>
  <c r="M544" i="8" s="1"/>
  <c r="K537" i="8"/>
  <c r="L537" i="8" s="1"/>
  <c r="M537" i="8" s="1" a="1"/>
  <c r="M537" i="8" s="1"/>
  <c r="K339" i="8"/>
  <c r="K19" i="8"/>
  <c r="K756" i="8"/>
  <c r="L756" i="8" s="1"/>
  <c r="M756" i="8" s="1" a="1"/>
  <c r="M756" i="8" s="1"/>
  <c r="K978" i="8"/>
  <c r="K94" i="8"/>
  <c r="L94" i="8" s="1"/>
  <c r="M94" i="8" s="1" a="1"/>
  <c r="M94" i="8" s="1"/>
  <c r="K536" i="8"/>
  <c r="L536" i="8" s="1"/>
  <c r="M536" i="8" s="1" a="1"/>
  <c r="M536" i="8" s="1"/>
  <c r="K449" i="8"/>
  <c r="H410" i="8"/>
  <c r="I410" i="8" s="1"/>
  <c r="H973" i="8"/>
  <c r="I973" i="8" s="1"/>
  <c r="H682" i="8"/>
  <c r="H808" i="8"/>
  <c r="I808" i="8" s="1"/>
  <c r="H264" i="8"/>
  <c r="I264" i="8" s="1"/>
  <c r="H177" i="8"/>
  <c r="H827" i="8"/>
  <c r="I827" i="8" s="1"/>
  <c r="K374" i="8"/>
  <c r="L374" i="8" s="1"/>
  <c r="M374" i="8" s="1" a="1"/>
  <c r="M374" i="8" s="1"/>
  <c r="K953" i="8"/>
  <c r="L953" i="8" s="1"/>
  <c r="M953" i="8" s="1" a="1"/>
  <c r="M953" i="8" s="1"/>
  <c r="K694" i="8"/>
  <c r="K804" i="8"/>
  <c r="K292" i="8"/>
  <c r="L292" i="8" s="1"/>
  <c r="M292" i="8" s="1" a="1"/>
  <c r="M292" i="8" s="1"/>
  <c r="K253" i="8"/>
  <c r="K71" i="8"/>
  <c r="L71" i="8" s="1"/>
  <c r="M71" i="8" s="1" a="1"/>
  <c r="M71" i="8" s="1"/>
  <c r="K398" i="8"/>
  <c r="L398" i="8" s="1"/>
  <c r="M398" i="8" s="1" a="1"/>
  <c r="M398" i="8" s="1"/>
  <c r="K945" i="8"/>
  <c r="L945" i="8" s="1"/>
  <c r="M945" i="8" s="1" a="1"/>
  <c r="M945" i="8" s="1"/>
  <c r="K753" i="8"/>
  <c r="L753" i="8" s="1"/>
  <c r="M753" i="8" s="1" a="1"/>
  <c r="M753" i="8" s="1"/>
  <c r="H557" i="8"/>
  <c r="H375" i="8"/>
  <c r="H39" i="8"/>
  <c r="I39" i="8" s="1"/>
  <c r="H744" i="8"/>
  <c r="H926" i="8"/>
  <c r="I926" i="8" s="1"/>
  <c r="K873" i="8"/>
  <c r="L873" i="8" s="1"/>
  <c r="M873" i="8" s="1" a="1"/>
  <c r="M873" i="8" s="1"/>
  <c r="K761" i="8"/>
  <c r="L761" i="8" s="1"/>
  <c r="M761" i="8" s="1" a="1"/>
  <c r="M761" i="8" s="1"/>
  <c r="K563" i="8"/>
  <c r="K212" i="8"/>
  <c r="L212" i="8" s="1"/>
  <c r="M212" i="8" s="1" a="1"/>
  <c r="M212" i="8" s="1"/>
  <c r="K173" i="8"/>
  <c r="K823" i="8"/>
  <c r="L823" i="8" s="1"/>
  <c r="M823" i="8" s="1" a="1"/>
  <c r="M823" i="8" s="1"/>
  <c r="K318" i="8"/>
  <c r="L318" i="8" s="1"/>
  <c r="M318" i="8" s="1" a="1"/>
  <c r="M318" i="8" s="1"/>
  <c r="K865" i="8"/>
  <c r="L865" i="8" s="1"/>
  <c r="M865" i="8" s="1" a="1"/>
  <c r="M865" i="8" s="1"/>
  <c r="K673" i="8"/>
  <c r="H479" i="8"/>
  <c r="H112" i="8"/>
  <c r="H105" i="8"/>
  <c r="I105" i="8" s="1"/>
  <c r="H755" i="8"/>
  <c r="I755" i="8" s="1"/>
  <c r="H250" i="8"/>
  <c r="I250" i="8" s="1"/>
  <c r="H813" i="8"/>
  <c r="H669" i="8"/>
  <c r="I669" i="8" s="1"/>
  <c r="H487" i="8"/>
  <c r="H104" i="8"/>
  <c r="I104" i="8" s="1"/>
  <c r="H17" i="8"/>
  <c r="I17" i="8" s="1"/>
  <c r="H667" i="8"/>
  <c r="K118" i="8"/>
  <c r="L118" i="8" s="1"/>
  <c r="M118" i="8" s="1" a="1"/>
  <c r="M118" i="8" s="1"/>
  <c r="K592" i="8"/>
  <c r="L592" i="8" s="1"/>
  <c r="M592" i="8" s="1" a="1"/>
  <c r="M592" i="8" s="1"/>
  <c r="K585" i="8"/>
  <c r="L585" i="8" s="1"/>
  <c r="M585" i="8" s="1" a="1"/>
  <c r="M585" i="8" s="1"/>
  <c r="K387" i="8"/>
  <c r="L387" i="8" s="1"/>
  <c r="M387" i="8" s="1" a="1"/>
  <c r="M387" i="8" s="1"/>
  <c r="K36" i="8"/>
  <c r="L36" i="8" s="1"/>
  <c r="M36" i="8" s="1" a="1"/>
  <c r="M36" i="8" s="1"/>
  <c r="K10" i="8"/>
  <c r="K647" i="8"/>
  <c r="L647" i="8" s="1"/>
  <c r="M647" i="8" s="1" a="1"/>
  <c r="M647" i="8" s="1"/>
  <c r="K142" i="8"/>
  <c r="L142" i="8" s="1"/>
  <c r="M142" i="8" s="1" a="1"/>
  <c r="M142" i="8" s="1"/>
  <c r="K584" i="8"/>
  <c r="L584" i="8" s="1"/>
  <c r="M584" i="8" s="1" a="1"/>
  <c r="M584" i="8" s="1"/>
  <c r="K497" i="8"/>
  <c r="L497" i="8" s="1"/>
  <c r="M497" i="8" s="1" a="1"/>
  <c r="M497" i="8" s="1"/>
  <c r="H207" i="8"/>
  <c r="I207" i="8" s="1"/>
  <c r="H518" i="8"/>
  <c r="H963" i="8"/>
  <c r="H838" i="8"/>
  <c r="H948" i="8"/>
  <c r="H436" i="8"/>
  <c r="I436" i="8" s="1"/>
  <c r="H397" i="8"/>
  <c r="H215" i="8"/>
  <c r="H542" i="8"/>
  <c r="I542" i="8" s="1"/>
  <c r="H939" i="8"/>
  <c r="I939" i="8" s="1"/>
  <c r="H750" i="8"/>
  <c r="I750" i="8" s="1"/>
  <c r="K848" i="8"/>
  <c r="L848" i="8" s="1"/>
  <c r="M848" i="8" s="1" a="1"/>
  <c r="M848" i="8" s="1"/>
  <c r="K320" i="8"/>
  <c r="L320" i="8" s="1"/>
  <c r="M320" i="8" s="1" a="1"/>
  <c r="M320" i="8" s="1"/>
  <c r="K313" i="8"/>
  <c r="K115" i="8"/>
  <c r="L115" i="8" s="1"/>
  <c r="M115" i="8" s="1" a="1"/>
  <c r="M115" i="8" s="1"/>
  <c r="K458" i="8"/>
  <c r="L458" i="8" s="1"/>
  <c r="M458" i="8" s="1" a="1"/>
  <c r="M458" i="8" s="1"/>
  <c r="K887" i="8"/>
  <c r="K730" i="8"/>
  <c r="L730" i="8" s="1"/>
  <c r="M730" i="8" s="1" a="1"/>
  <c r="M730" i="8" s="1"/>
  <c r="K856" i="8"/>
  <c r="L856" i="8" s="1"/>
  <c r="M856" i="8" s="1" a="1"/>
  <c r="M856" i="8" s="1"/>
  <c r="K312" i="8"/>
  <c r="L312" i="8" s="1"/>
  <c r="M312" i="8" s="1" a="1"/>
  <c r="M312" i="8" s="1"/>
  <c r="K225" i="8"/>
  <c r="H443" i="8"/>
  <c r="I443" i="8" s="1"/>
  <c r="H108" i="8"/>
  <c r="H28" i="8"/>
  <c r="I28" i="8" s="1"/>
  <c r="H655" i="8"/>
  <c r="I655" i="8" s="1"/>
  <c r="H804" i="8"/>
  <c r="K251" i="8"/>
  <c r="L251" i="8" s="1"/>
  <c r="M251" i="8" s="1" a="1"/>
  <c r="M251" i="8" s="1"/>
  <c r="K610" i="8"/>
  <c r="L610" i="8" s="1"/>
  <c r="M610" i="8" s="1" a="1"/>
  <c r="M610" i="8" s="1"/>
  <c r="K1007" i="8"/>
  <c r="L1007" i="8" s="1"/>
  <c r="M1007" i="8" s="1" a="1"/>
  <c r="M1007" i="8" s="1"/>
  <c r="K818" i="8"/>
  <c r="H710" i="8"/>
  <c r="I710" i="8" s="1"/>
  <c r="H864" i="8"/>
  <c r="I864" i="8" s="1"/>
  <c r="H336" i="8"/>
  <c r="I336" i="8" s="1"/>
  <c r="H329" i="8"/>
  <c r="I329" i="8" s="1"/>
  <c r="H131" i="8"/>
  <c r="H474" i="8"/>
  <c r="I474" i="8" s="1"/>
  <c r="H903" i="8"/>
  <c r="I903" i="8" s="1"/>
  <c r="H746" i="8"/>
  <c r="H872" i="8"/>
  <c r="I872" i="8" s="1"/>
  <c r="H328" i="8"/>
  <c r="I328" i="8" s="1"/>
  <c r="H241" i="8"/>
  <c r="K1022" i="8"/>
  <c r="L1022" i="8" s="1"/>
  <c r="M1022" i="8" s="1" a="1"/>
  <c r="M1022" i="8" s="1"/>
  <c r="K342" i="8"/>
  <c r="L342" i="8" s="1"/>
  <c r="M342" i="8" s="1" a="1"/>
  <c r="M342" i="8" s="1"/>
  <c r="K921" i="8"/>
  <c r="L921" i="8" s="1"/>
  <c r="M921" i="8" s="1" a="1"/>
  <c r="M921" i="8" s="1"/>
  <c r="K1010" i="8"/>
  <c r="L1010" i="8" s="1"/>
  <c r="M1010" i="8" s="1" a="1"/>
  <c r="M1010" i="8" s="1"/>
  <c r="K611" i="8"/>
  <c r="L611" i="8" s="1"/>
  <c r="M611" i="8" s="1" a="1"/>
  <c r="M611" i="8" s="1"/>
  <c r="K260" i="8"/>
  <c r="L260" i="8" s="1"/>
  <c r="M260" i="8" s="1" a="1"/>
  <c r="M260" i="8" s="1"/>
  <c r="K221" i="8"/>
  <c r="L221" i="8" s="1"/>
  <c r="M221" i="8" s="1" a="1"/>
  <c r="M221" i="8" s="1"/>
  <c r="H32" i="8"/>
  <c r="I32" i="8" s="1"/>
  <c r="K366" i="8"/>
  <c r="L366" i="8" s="1"/>
  <c r="M366" i="8" s="1" a="1"/>
  <c r="M366" i="8" s="1"/>
  <c r="K913" i="8"/>
  <c r="L913" i="8" s="1"/>
  <c r="M913" i="8" s="1" a="1"/>
  <c r="M913" i="8" s="1"/>
  <c r="K721" i="8"/>
  <c r="H527" i="8"/>
  <c r="H160" i="8"/>
  <c r="I160" i="8" s="1"/>
  <c r="H153" i="8"/>
  <c r="I153" i="8" s="1"/>
  <c r="H803" i="8"/>
  <c r="I803" i="8" s="1"/>
  <c r="H298" i="8"/>
  <c r="I298" i="8" s="1"/>
  <c r="H861" i="8"/>
  <c r="I861" i="8" s="1"/>
  <c r="H717" i="8"/>
  <c r="H535" i="8"/>
  <c r="I535" i="8" s="1"/>
  <c r="H152" i="8"/>
  <c r="I152" i="8" s="1"/>
  <c r="H65" i="8"/>
  <c r="H715" i="8"/>
  <c r="K166" i="8"/>
  <c r="K640" i="8"/>
  <c r="L640" i="8" s="1"/>
  <c r="M640" i="8" s="1" a="1"/>
  <c r="M640" i="8" s="1"/>
  <c r="K633" i="8"/>
  <c r="L633" i="8" s="1"/>
  <c r="M633" i="8" s="1" a="1"/>
  <c r="M633" i="8" s="1"/>
  <c r="K435" i="8"/>
  <c r="K84" i="8"/>
  <c r="L84" i="8" s="1"/>
  <c r="M84" i="8" s="1" a="1"/>
  <c r="M84" i="8" s="1"/>
  <c r="K45" i="8"/>
  <c r="K695" i="8"/>
  <c r="L695" i="8" s="1"/>
  <c r="M695" i="8" s="1" a="1"/>
  <c r="M695" i="8" s="1"/>
  <c r="K190" i="8"/>
  <c r="L190" i="8" s="1"/>
  <c r="M190" i="8" s="1" a="1"/>
  <c r="M190" i="8" s="1"/>
  <c r="K632" i="8"/>
  <c r="K545" i="8"/>
  <c r="L545" i="8" s="1"/>
  <c r="M545" i="8" s="1" a="1"/>
  <c r="M545" i="8" s="1"/>
  <c r="H506" i="8"/>
  <c r="I506" i="8" s="1"/>
  <c r="H935" i="8"/>
  <c r="I935" i="8" s="1"/>
  <c r="H778" i="8"/>
  <c r="H904" i="8"/>
  <c r="I904" i="8" s="1"/>
  <c r="H360" i="8"/>
  <c r="I360" i="8" s="1"/>
  <c r="H273" i="8"/>
  <c r="I273" i="8" s="1"/>
  <c r="K159" i="8"/>
  <c r="L159" i="8" s="1"/>
  <c r="M159" i="8" s="1" a="1"/>
  <c r="M159" i="8" s="1"/>
  <c r="K470" i="8"/>
  <c r="K915" i="8"/>
  <c r="L915" i="8" s="1"/>
  <c r="M915" i="8" s="1" a="1"/>
  <c r="M915" i="8" s="1"/>
  <c r="K790" i="8"/>
  <c r="L790" i="8" s="1"/>
  <c r="M790" i="8" s="1" a="1"/>
  <c r="M790" i="8" s="1"/>
  <c r="K900" i="8"/>
  <c r="L900" i="8" s="1"/>
  <c r="M900" i="8" s="1" a="1"/>
  <c r="M900" i="8" s="1"/>
  <c r="K388" i="8"/>
  <c r="L388" i="8" s="1"/>
  <c r="M388" i="8" s="1" a="1"/>
  <c r="M388" i="8" s="1"/>
  <c r="K349" i="8"/>
  <c r="K167" i="8"/>
  <c r="K494" i="8"/>
  <c r="L494" i="8" s="1"/>
  <c r="M494" i="8" s="1" a="1"/>
  <c r="M494" i="8" s="1"/>
  <c r="K891" i="8"/>
  <c r="L891" i="8" s="1"/>
  <c r="M891" i="8" s="1" a="1"/>
  <c r="M891" i="8" s="1"/>
  <c r="K702" i="8"/>
  <c r="L702" i="8" s="1"/>
  <c r="M702" i="8" s="1" a="1"/>
  <c r="M702" i="8" s="1"/>
  <c r="H653" i="8"/>
  <c r="I653" i="8" s="1"/>
  <c r="H471" i="8"/>
  <c r="H88" i="8"/>
  <c r="I88" i="8" s="1"/>
  <c r="H24" i="8"/>
  <c r="I24" i="8" s="1"/>
  <c r="H651" i="8"/>
  <c r="K969" i="8"/>
  <c r="L969" i="8" s="1"/>
  <c r="M969" i="8" s="1" a="1"/>
  <c r="M969" i="8" s="1"/>
  <c r="K710" i="8"/>
  <c r="L710" i="8" s="1"/>
  <c r="M710" i="8" s="1" a="1"/>
  <c r="M710" i="8" s="1"/>
  <c r="K820" i="8"/>
  <c r="K308" i="8"/>
  <c r="L308" i="8" s="1"/>
  <c r="M308" i="8" s="1" a="1"/>
  <c r="M308" i="8" s="1"/>
  <c r="K269" i="8"/>
  <c r="K87" i="8"/>
  <c r="L87" i="8" s="1"/>
  <c r="M87" i="8" s="1" a="1"/>
  <c r="M87" i="8" s="1"/>
  <c r="K414" i="8"/>
  <c r="L414" i="8" s="1"/>
  <c r="M414" i="8" s="1" a="1"/>
  <c r="M414" i="8" s="1"/>
  <c r="K961" i="8"/>
  <c r="L961" i="8" s="1"/>
  <c r="M961" i="8" s="1" a="1"/>
  <c r="M961" i="8" s="1"/>
  <c r="K769" i="8"/>
  <c r="H575" i="8"/>
  <c r="I575" i="8" s="1"/>
  <c r="H208" i="8"/>
  <c r="I208" i="8" s="1"/>
  <c r="H201" i="8"/>
  <c r="I201" i="8" s="1"/>
  <c r="H851" i="8"/>
  <c r="H346" i="8"/>
  <c r="I346" i="8" s="1"/>
  <c r="H909" i="8"/>
  <c r="H765" i="8"/>
  <c r="I765" i="8" s="1"/>
  <c r="H583" i="8"/>
  <c r="H200" i="8"/>
  <c r="I200" i="8" s="1"/>
  <c r="H113" i="8"/>
  <c r="I113" i="8" s="1"/>
  <c r="H763" i="8"/>
  <c r="K214" i="8"/>
  <c r="K793" i="8"/>
  <c r="L793" i="8" s="1"/>
  <c r="M793" i="8" s="1" a="1"/>
  <c r="M793" i="8" s="1"/>
  <c r="K681" i="8"/>
  <c r="L681" i="8" s="1"/>
  <c r="M681" i="8" s="1" a="1"/>
  <c r="M681" i="8" s="1"/>
  <c r="K483" i="8"/>
  <c r="L483" i="8" s="1"/>
  <c r="M483" i="8" s="1" a="1"/>
  <c r="M483" i="8" s="1"/>
  <c r="K132" i="8"/>
  <c r="L132" i="8" s="1"/>
  <c r="M132" i="8" s="1" a="1"/>
  <c r="M132" i="8" s="1"/>
  <c r="K93" i="8"/>
  <c r="L93" i="8" s="1"/>
  <c r="M93" i="8" s="1" a="1"/>
  <c r="M93" i="8" s="1"/>
  <c r="K743" i="8"/>
  <c r="K238" i="8"/>
  <c r="L238" i="8" s="1"/>
  <c r="M238" i="8" s="1" a="1"/>
  <c r="M238" i="8" s="1"/>
  <c r="K1017" i="8"/>
  <c r="L1017" i="8" s="1"/>
  <c r="M1017" i="8" s="1" a="1"/>
  <c r="M1017" i="8" s="1"/>
  <c r="K593" i="8"/>
  <c r="H303" i="8"/>
  <c r="I303" i="8" s="1"/>
  <c r="H614" i="8"/>
  <c r="I614" i="8" s="1"/>
  <c r="H704" i="8"/>
  <c r="I704" i="8" s="1"/>
  <c r="H950" i="8"/>
  <c r="I950" i="8" s="1"/>
  <c r="H74" i="8"/>
  <c r="I74" i="8" s="1"/>
  <c r="H532" i="8"/>
  <c r="I532" i="8" s="1"/>
  <c r="H493" i="8"/>
  <c r="I493" i="8" s="1"/>
  <c r="H311" i="8"/>
  <c r="I311" i="8" s="1"/>
  <c r="H638" i="8"/>
  <c r="I638" i="8" s="1"/>
  <c r="H680" i="8"/>
  <c r="H846" i="8"/>
  <c r="K944" i="8"/>
  <c r="L944" i="8" s="1"/>
  <c r="M944" i="8" s="1" a="1"/>
  <c r="M944" i="8" s="1"/>
  <c r="K416" i="8"/>
  <c r="L416" i="8" s="1"/>
  <c r="M416" i="8" s="1" a="1"/>
  <c r="M416" i="8" s="1"/>
  <c r="K409" i="8"/>
  <c r="L409" i="8" s="1"/>
  <c r="M409" i="8" s="1" a="1"/>
  <c r="M409" i="8" s="1"/>
  <c r="K211" i="8"/>
  <c r="L211" i="8" s="1"/>
  <c r="M211" i="8" s="1" a="1"/>
  <c r="M211" i="8" s="1"/>
  <c r="K554" i="8"/>
  <c r="L554" i="8" s="1"/>
  <c r="M554" i="8" s="1" a="1"/>
  <c r="M554" i="8" s="1"/>
  <c r="K983" i="8"/>
  <c r="L983" i="8" s="1"/>
  <c r="M983" i="8" s="1" a="1"/>
  <c r="M983" i="8" s="1"/>
  <c r="K826" i="8"/>
  <c r="K952" i="8"/>
  <c r="L952" i="8" s="1"/>
  <c r="M952" i="8" s="1" a="1"/>
  <c r="M952" i="8" s="1"/>
  <c r="K408" i="8"/>
  <c r="L408" i="8" s="1"/>
  <c r="M408" i="8" s="1" a="1"/>
  <c r="M408" i="8" s="1"/>
  <c r="K321" i="8"/>
  <c r="K735" i="8"/>
  <c r="H522" i="8"/>
  <c r="I522" i="8" s="1"/>
  <c r="H539" i="8"/>
  <c r="I539" i="8" s="1"/>
  <c r="H204" i="8"/>
  <c r="I204" i="8" s="1"/>
  <c r="H101" i="8"/>
  <c r="I101" i="8" s="1"/>
  <c r="H751" i="8"/>
  <c r="H618" i="8"/>
  <c r="I618" i="8" s="1"/>
  <c r="K347" i="8"/>
  <c r="L347" i="8" s="1"/>
  <c r="M347" i="8" s="1" a="1"/>
  <c r="M347" i="8" s="1"/>
  <c r="K1016" i="8"/>
  <c r="K748" i="8"/>
  <c r="L748" i="8" s="1"/>
  <c r="M748" i="8" s="1" a="1"/>
  <c r="M748" i="8" s="1"/>
  <c r="K930" i="8"/>
  <c r="L930" i="8" s="1"/>
  <c r="M930" i="8" s="1" a="1"/>
  <c r="M930" i="8" s="1"/>
  <c r="H83" i="8"/>
  <c r="H960" i="8"/>
  <c r="I960" i="8" s="1"/>
  <c r="H432" i="8"/>
  <c r="H425" i="8"/>
  <c r="I425" i="8" s="1"/>
  <c r="H227" i="8"/>
  <c r="I227" i="8" s="1"/>
  <c r="H570" i="8"/>
  <c r="I570" i="8" s="1"/>
  <c r="H999" i="8"/>
  <c r="I999" i="8" s="1"/>
  <c r="H842" i="8"/>
  <c r="H968" i="8"/>
  <c r="I968" i="8" s="1"/>
  <c r="H424" i="8"/>
  <c r="H337" i="8"/>
  <c r="I337" i="8" s="1"/>
  <c r="K127" i="8"/>
  <c r="L127" i="8" s="1"/>
  <c r="M127" i="8" s="1" a="1"/>
  <c r="M127" i="8" s="1"/>
  <c r="K438" i="8"/>
  <c r="K883" i="8"/>
  <c r="K758" i="8"/>
  <c r="L758" i="8" s="1"/>
  <c r="M758" i="8" s="1" a="1"/>
  <c r="M758" i="8" s="1"/>
  <c r="K868" i="8"/>
  <c r="K356" i="8"/>
  <c r="L356" i="8" s="1"/>
  <c r="M356" i="8" s="1" a="1"/>
  <c r="M356" i="8" s="1"/>
  <c r="K317" i="8"/>
  <c r="K135" i="8"/>
  <c r="K462" i="8"/>
  <c r="L462" i="8" s="1"/>
  <c r="M462" i="8" s="1" a="1"/>
  <c r="M462" i="8" s="1"/>
  <c r="K1009" i="8"/>
  <c r="L1009" i="8" s="1"/>
  <c r="M1009" i="8" s="1" a="1"/>
  <c r="M1009" i="8" s="1"/>
  <c r="K670" i="8"/>
  <c r="H866" i="8"/>
  <c r="I866" i="8" s="1"/>
  <c r="H256" i="8"/>
  <c r="I256" i="8" s="1"/>
  <c r="H249" i="8"/>
  <c r="I249" i="8" s="1"/>
  <c r="H51" i="8"/>
  <c r="H394" i="8"/>
  <c r="I394" i="8" s="1"/>
  <c r="H957" i="8"/>
  <c r="H666" i="8"/>
  <c r="I666" i="8" s="1"/>
  <c r="H792" i="8"/>
  <c r="I792" i="8" s="1"/>
  <c r="H248" i="8"/>
  <c r="I248" i="8" s="1"/>
  <c r="H161" i="8"/>
  <c r="H811" i="8"/>
  <c r="I811" i="8" s="1"/>
  <c r="K262" i="8"/>
  <c r="K841" i="8"/>
  <c r="L841" i="8" s="1"/>
  <c r="M841" i="8" s="1" a="1"/>
  <c r="M841" i="8" s="1"/>
  <c r="K729" i="8"/>
  <c r="L729" i="8" s="1"/>
  <c r="M729" i="8" s="1" a="1"/>
  <c r="M729" i="8" s="1"/>
  <c r="K531" i="8"/>
  <c r="K180" i="8"/>
  <c r="L180" i="8" s="1"/>
  <c r="M180" i="8" s="1" a="1"/>
  <c r="M180" i="8" s="1"/>
  <c r="K141" i="8"/>
  <c r="K791" i="8"/>
  <c r="L791" i="8" s="1"/>
  <c r="M791" i="8" s="1" a="1"/>
  <c r="M791" i="8" s="1"/>
  <c r="K286" i="8"/>
  <c r="L286" i="8" s="1"/>
  <c r="M286" i="8" s="1" a="1"/>
  <c r="M286" i="8" s="1"/>
  <c r="K833" i="8"/>
  <c r="L833" i="8" s="1"/>
  <c r="M833" i="8" s="1" a="1"/>
  <c r="M833" i="8" s="1"/>
  <c r="K641" i="8"/>
  <c r="L641" i="8" s="1"/>
  <c r="M641" i="8" s="1" a="1"/>
  <c r="M641" i="8" s="1"/>
  <c r="H602" i="8"/>
  <c r="I602" i="8" s="1"/>
  <c r="H1012" i="8"/>
  <c r="H890" i="8"/>
  <c r="K5" i="8"/>
  <c r="L5" i="8" s="1"/>
  <c r="M5" i="8" s="1" a="1"/>
  <c r="M5" i="8" s="1"/>
  <c r="H456" i="8"/>
  <c r="I456" i="8" s="1"/>
  <c r="H369" i="8"/>
  <c r="K255" i="8"/>
  <c r="L255" i="8" s="1"/>
  <c r="M255" i="8" s="1" a="1"/>
  <c r="M255" i="8" s="1"/>
  <c r="K566" i="8"/>
  <c r="K1011" i="8"/>
  <c r="K902" i="8"/>
  <c r="L902" i="8" s="1"/>
  <c r="M902" i="8" s="1" a="1"/>
  <c r="M902" i="8" s="1"/>
  <c r="H23" i="8"/>
  <c r="I23" i="8" s="1"/>
  <c r="K484" i="8"/>
  <c r="L484" i="8" s="1"/>
  <c r="M484" i="8" s="1" a="1"/>
  <c r="M484" i="8" s="1"/>
  <c r="K445" i="8"/>
  <c r="L445" i="8" s="1"/>
  <c r="M445" i="8" s="1" a="1"/>
  <c r="M445" i="8" s="1"/>
  <c r="K263" i="8"/>
  <c r="L263" i="8" s="1"/>
  <c r="M263" i="8" s="1" a="1"/>
  <c r="M263" i="8" s="1"/>
  <c r="K590" i="8"/>
  <c r="L590" i="8" s="1"/>
  <c r="M590" i="8" s="1" a="1"/>
  <c r="M590" i="8" s="1"/>
  <c r="K987" i="8"/>
  <c r="K798" i="8"/>
  <c r="L798" i="8" s="1"/>
  <c r="M798" i="8" s="1" a="1"/>
  <c r="M798" i="8" s="1"/>
  <c r="H749" i="8"/>
  <c r="H567" i="8"/>
  <c r="H184" i="8"/>
  <c r="I184" i="8" s="1"/>
  <c r="H97" i="8"/>
  <c r="I97" i="8" s="1"/>
  <c r="H747" i="8"/>
  <c r="I747" i="8" s="1"/>
  <c r="K931" i="8"/>
  <c r="L931" i="8" s="1"/>
  <c r="M931" i="8" s="1" a="1"/>
  <c r="M931" i="8" s="1"/>
  <c r="K806" i="8"/>
  <c r="L806" i="8" s="1"/>
  <c r="M806" i="8" s="1" a="1"/>
  <c r="M806" i="8" s="1"/>
  <c r="K916" i="8"/>
  <c r="L916" i="8" s="1"/>
  <c r="M916" i="8" s="1" a="1"/>
  <c r="M916" i="8" s="1"/>
  <c r="K404" i="8"/>
  <c r="L404" i="8" s="1"/>
  <c r="M404" i="8" s="1" a="1"/>
  <c r="M404" i="8" s="1"/>
  <c r="K365" i="8"/>
  <c r="K183" i="8"/>
  <c r="L183" i="8" s="1"/>
  <c r="M183" i="8" s="1" a="1"/>
  <c r="M183" i="8" s="1"/>
  <c r="K510" i="8"/>
  <c r="L510" i="8" s="1"/>
  <c r="M510" i="8" s="1" a="1"/>
  <c r="M510" i="8" s="1"/>
  <c r="K907" i="8"/>
  <c r="L907" i="8" s="1"/>
  <c r="M907" i="8" s="1" a="1"/>
  <c r="M907" i="8" s="1"/>
  <c r="K718" i="8"/>
  <c r="H832" i="8"/>
  <c r="I832" i="8" s="1"/>
  <c r="H304" i="8"/>
  <c r="H297" i="8"/>
  <c r="I297" i="8" s="1"/>
  <c r="H99" i="8"/>
  <c r="I99" i="8" s="1"/>
  <c r="H442" i="8"/>
  <c r="I442" i="8" s="1"/>
  <c r="H1005" i="8"/>
  <c r="H714" i="8"/>
  <c r="I714" i="8" s="1"/>
  <c r="H840" i="8"/>
  <c r="I840" i="8" s="1"/>
  <c r="H296" i="8"/>
  <c r="I296" i="8" s="1"/>
  <c r="H209" i="8"/>
  <c r="I209" i="8" s="1"/>
  <c r="H859" i="8"/>
  <c r="K310" i="8"/>
  <c r="L310" i="8" s="1"/>
  <c r="M310" i="8" s="1" a="1"/>
  <c r="M310" i="8" s="1"/>
  <c r="K889" i="8"/>
  <c r="L889" i="8" s="1"/>
  <c r="M889" i="8" s="1" a="1"/>
  <c r="M889" i="8" s="1"/>
  <c r="K777" i="8"/>
  <c r="K579" i="8"/>
  <c r="L579" i="8" s="1"/>
  <c r="M579" i="8" s="1" a="1"/>
  <c r="M579" i="8" s="1"/>
  <c r="K228" i="8"/>
  <c r="K189" i="8"/>
  <c r="L189" i="8" s="1"/>
  <c r="M189" i="8" s="1" a="1"/>
  <c r="M189" i="8" s="1"/>
  <c r="K839" i="8"/>
  <c r="L839" i="8" s="1"/>
  <c r="M839" i="8" s="1" a="1"/>
  <c r="M839" i="8" s="1"/>
  <c r="K334" i="8"/>
  <c r="L334" i="8" s="1"/>
  <c r="M334" i="8" s="1" a="1"/>
  <c r="M334" i="8" s="1"/>
  <c r="K881" i="8"/>
  <c r="L881" i="8" s="1"/>
  <c r="M881" i="8" s="1" a="1"/>
  <c r="M881" i="8" s="1"/>
  <c r="K689" i="8"/>
  <c r="L689" i="8" s="1"/>
  <c r="M689" i="8" s="1" a="1"/>
  <c r="M689" i="8" s="1"/>
  <c r="H399" i="8"/>
  <c r="I399" i="8" s="1"/>
  <c r="H1020" i="8"/>
  <c r="H25" i="8"/>
  <c r="I25" i="8" s="1"/>
  <c r="H675" i="8"/>
  <c r="H170" i="8"/>
  <c r="I170" i="8" s="1"/>
  <c r="H628" i="8"/>
  <c r="I628" i="8" s="1"/>
  <c r="H589" i="8"/>
  <c r="I589" i="8" s="1"/>
  <c r="H407" i="8"/>
  <c r="H8" i="8"/>
  <c r="I8" i="8" s="1"/>
  <c r="H776" i="8"/>
  <c r="I776" i="8" s="1"/>
  <c r="H958" i="8"/>
  <c r="I958" i="8" s="1"/>
  <c r="K38" i="8"/>
  <c r="L38" i="8" s="1"/>
  <c r="M38" i="8" s="1" a="1"/>
  <c r="M38" i="8" s="1"/>
  <c r="K512" i="8"/>
  <c r="L512" i="8" s="1"/>
  <c r="M512" i="8" s="1" a="1"/>
  <c r="M512" i="8" s="1"/>
  <c r="K505" i="8"/>
  <c r="L505" i="8" s="1"/>
  <c r="M505" i="8" s="1" a="1"/>
  <c r="M505" i="8" s="1"/>
  <c r="K307" i="8"/>
  <c r="K650" i="8"/>
  <c r="L650" i="8" s="1"/>
  <c r="M650" i="8" s="1" a="1"/>
  <c r="M650" i="8" s="1"/>
  <c r="K724" i="8"/>
  <c r="L724" i="8" s="1"/>
  <c r="M724" i="8" s="1" a="1"/>
  <c r="M724" i="8" s="1"/>
  <c r="K938" i="8"/>
  <c r="L938" i="8" s="1"/>
  <c r="M938" i="8" s="1" a="1"/>
  <c r="M938" i="8" s="1"/>
  <c r="K62" i="8"/>
  <c r="L62" i="8" s="1"/>
  <c r="M62" i="8" s="1" a="1"/>
  <c r="M62" i="8" s="1"/>
  <c r="K504" i="8"/>
  <c r="L504" i="8" s="1"/>
  <c r="M504" i="8" s="1" a="1"/>
  <c r="M504" i="8" s="1"/>
  <c r="K417" i="8"/>
  <c r="L417" i="8" s="1"/>
  <c r="M417" i="8" s="1" a="1"/>
  <c r="M417" i="8" s="1"/>
  <c r="H951" i="8"/>
  <c r="I951" i="8" s="1"/>
  <c r="H796" i="8"/>
  <c r="I796" i="8" s="1"/>
  <c r="H300" i="8"/>
  <c r="I300" i="8" s="1"/>
  <c r="H197" i="8"/>
  <c r="I197" i="8" s="1"/>
  <c r="H847" i="8"/>
  <c r="H692" i="8"/>
  <c r="I692" i="8" s="1"/>
  <c r="K443" i="8"/>
  <c r="L443" i="8" s="1"/>
  <c r="M443" i="8" s="1" a="1"/>
  <c r="M443" i="8" s="1"/>
  <c r="K108" i="8"/>
  <c r="L108" i="8" s="1"/>
  <c r="M108" i="8" s="1" a="1"/>
  <c r="M108" i="8" s="1"/>
  <c r="K28" i="8"/>
  <c r="L28" i="8" s="1"/>
  <c r="M28" i="8" s="1" a="1"/>
  <c r="M28" i="8" s="1"/>
  <c r="K655" i="8"/>
  <c r="L655" i="8" s="1"/>
  <c r="M655" i="8" s="1" a="1"/>
  <c r="M655" i="8" s="1"/>
  <c r="H820" i="8"/>
  <c r="H54" i="8"/>
  <c r="H528" i="8"/>
  <c r="I528" i="8" s="1"/>
  <c r="H521" i="8"/>
  <c r="I521" i="8" s="1"/>
  <c r="H323" i="8"/>
  <c r="I323" i="8" s="1"/>
  <c r="H1023" i="8"/>
  <c r="I1023" i="8" s="1"/>
  <c r="H740" i="8"/>
  <c r="H954" i="8"/>
  <c r="I954" i="8" s="1"/>
  <c r="H78" i="8"/>
  <c r="I78" i="8" s="1"/>
  <c r="H520" i="8"/>
  <c r="I520" i="8" s="1"/>
  <c r="H433" i="8"/>
  <c r="I433" i="8" s="1"/>
  <c r="K223" i="8"/>
  <c r="L223" i="8" s="1"/>
  <c r="M223" i="8" s="1" a="1"/>
  <c r="M223" i="8" s="1"/>
  <c r="K534" i="8"/>
  <c r="L534" i="8" s="1"/>
  <c r="M534" i="8" s="1" a="1"/>
  <c r="M534" i="8" s="1"/>
  <c r="K979" i="8"/>
  <c r="K854" i="8"/>
  <c r="L854" i="8" s="1"/>
  <c r="M854" i="8" s="1" a="1"/>
  <c r="M854" i="8" s="1"/>
  <c r="K964" i="8"/>
  <c r="L964" i="8" s="1"/>
  <c r="M964" i="8" s="1" a="1"/>
  <c r="M964" i="8" s="1"/>
  <c r="K452" i="8"/>
  <c r="L452" i="8" s="1"/>
  <c r="M452" i="8" s="1" a="1"/>
  <c r="M452" i="8" s="1"/>
  <c r="K413" i="8"/>
  <c r="K231" i="8"/>
  <c r="L231" i="8" s="1"/>
  <c r="M231" i="8" s="1" a="1"/>
  <c r="M231" i="8" s="1"/>
  <c r="K558" i="8"/>
  <c r="L558" i="8" s="1"/>
  <c r="M558" i="8" s="1" a="1"/>
  <c r="M558" i="8" s="1"/>
  <c r="K955" i="8"/>
  <c r="L955" i="8" s="1"/>
  <c r="M955" i="8" s="1" a="1"/>
  <c r="M955" i="8" s="1"/>
  <c r="K766" i="8"/>
  <c r="H880" i="8"/>
  <c r="I880" i="8" s="1"/>
  <c r="H352" i="8"/>
  <c r="I352" i="8" s="1"/>
  <c r="H345" i="8"/>
  <c r="I345" i="8" s="1"/>
  <c r="H147" i="8"/>
  <c r="H490" i="8"/>
  <c r="I490" i="8" s="1"/>
  <c r="H919" i="8"/>
  <c r="I919" i="8" s="1"/>
  <c r="H762" i="8"/>
  <c r="I762" i="8" s="1"/>
  <c r="H888" i="8"/>
  <c r="I888" i="8" s="1"/>
  <c r="H344" i="8"/>
  <c r="I344" i="8" s="1"/>
  <c r="H257" i="8"/>
  <c r="K47" i="8"/>
  <c r="L47" i="8" s="1"/>
  <c r="M47" i="8" s="1" a="1"/>
  <c r="M47" i="8" s="1"/>
  <c r="K358" i="8"/>
  <c r="L358" i="8" s="1"/>
  <c r="M358" i="8" s="1" a="1"/>
  <c r="M358" i="8" s="1"/>
  <c r="K937" i="8"/>
  <c r="L937" i="8" s="1"/>
  <c r="M937" i="8" s="1" a="1"/>
  <c r="M937" i="8" s="1"/>
  <c r="K678" i="8"/>
  <c r="L678" i="8" s="1"/>
  <c r="M678" i="8" s="1" a="1"/>
  <c r="M678" i="8" s="1"/>
  <c r="K998" i="8"/>
  <c r="K276" i="8"/>
  <c r="K237" i="8"/>
  <c r="L237" i="8" s="1"/>
  <c r="M237" i="8" s="1" a="1"/>
  <c r="M237" i="8" s="1"/>
  <c r="K55" i="8"/>
  <c r="L55" i="8" s="1"/>
  <c r="M55" i="8" s="1" a="1"/>
  <c r="M55" i="8" s="1"/>
  <c r="K382" i="8"/>
  <c r="L382" i="8" s="1"/>
  <c r="M382" i="8" s="1" a="1"/>
  <c r="M382" i="8" s="1"/>
  <c r="K929" i="8"/>
  <c r="L929" i="8" s="1"/>
  <c r="M929" i="8" s="1" a="1"/>
  <c r="M929" i="8" s="1"/>
  <c r="K737" i="8"/>
  <c r="H35" i="8"/>
  <c r="I35" i="8" s="1"/>
  <c r="H772" i="8"/>
  <c r="I772" i="8" s="1"/>
  <c r="H615" i="8"/>
  <c r="I615" i="8" s="1"/>
  <c r="H110" i="8"/>
  <c r="I110" i="8" s="1"/>
  <c r="H552" i="8"/>
  <c r="I552" i="8" s="1"/>
  <c r="H465" i="8"/>
  <c r="I465" i="8" s="1"/>
  <c r="K351" i="8"/>
  <c r="L351" i="8" s="1"/>
  <c r="M351" i="8" s="1" a="1"/>
  <c r="M351" i="8" s="1"/>
  <c r="K662" i="8"/>
  <c r="L662" i="8" s="1"/>
  <c r="M662" i="8" s="1" a="1"/>
  <c r="M662" i="8" s="1"/>
  <c r="K752" i="8"/>
  <c r="L752" i="8" s="1"/>
  <c r="M752" i="8" s="1" a="1"/>
  <c r="M752" i="8" s="1"/>
  <c r="K627" i="8"/>
  <c r="K122" i="8"/>
  <c r="L122" i="8" s="1"/>
  <c r="M122" i="8" s="1" a="1"/>
  <c r="M122" i="8" s="1"/>
  <c r="K580" i="8"/>
  <c r="L580" i="8" s="1"/>
  <c r="M580" i="8" s="1" a="1"/>
  <c r="M580" i="8" s="1"/>
  <c r="K541" i="8"/>
  <c r="K359" i="8"/>
  <c r="K7" i="8"/>
  <c r="K728" i="8"/>
  <c r="K910" i="8"/>
  <c r="L910" i="8" s="1"/>
  <c r="M910" i="8" s="1" a="1"/>
  <c r="M910" i="8" s="1"/>
  <c r="H698" i="8"/>
  <c r="H824" i="8"/>
  <c r="I824" i="8" s="1"/>
  <c r="H280" i="8"/>
  <c r="I280" i="8" s="1"/>
  <c r="H193" i="8"/>
  <c r="H843" i="8"/>
  <c r="I843" i="8" s="1"/>
  <c r="K996" i="8"/>
  <c r="K918" i="8"/>
  <c r="L918" i="8" s="1"/>
  <c r="M918" i="8" s="1" a="1"/>
  <c r="M918" i="8" s="1"/>
  <c r="K42" i="8"/>
  <c r="L42" i="8" s="1"/>
  <c r="M42" i="8" s="1" a="1"/>
  <c r="M42" i="8" s="1"/>
  <c r="K500" i="8"/>
  <c r="K461" i="8"/>
  <c r="L461" i="8" s="1"/>
  <c r="M461" i="8" s="1" a="1"/>
  <c r="M461" i="8" s="1"/>
  <c r="K279" i="8"/>
  <c r="K606" i="8"/>
  <c r="L606" i="8" s="1"/>
  <c r="M606" i="8" s="1" a="1"/>
  <c r="M606" i="8" s="1"/>
  <c r="K1003" i="8"/>
  <c r="L1003" i="8" s="1"/>
  <c r="M1003" i="8" s="1" a="1"/>
  <c r="M1003" i="8" s="1"/>
  <c r="K814" i="8"/>
  <c r="H928" i="8"/>
  <c r="I928" i="8" s="1"/>
  <c r="H400" i="8"/>
  <c r="H393" i="8"/>
  <c r="I393" i="8" s="1"/>
  <c r="H195" i="8"/>
  <c r="I195" i="8" s="1"/>
  <c r="H538" i="8"/>
  <c r="I538" i="8" s="1"/>
  <c r="H967" i="8"/>
  <c r="I967" i="8" s="1"/>
  <c r="H810" i="8"/>
  <c r="H936" i="8"/>
  <c r="I936" i="8" s="1"/>
  <c r="H392" i="8"/>
  <c r="I392" i="8" s="1"/>
  <c r="H305" i="8"/>
  <c r="I305" i="8" s="1"/>
  <c r="K95" i="8"/>
  <c r="L95" i="8" s="1"/>
  <c r="M95" i="8" s="1" a="1"/>
  <c r="M95" i="8" s="1"/>
  <c r="K406" i="8"/>
  <c r="K985" i="8"/>
  <c r="L985" i="8" s="1"/>
  <c r="M985" i="8" s="1" a="1"/>
  <c r="M985" i="8" s="1"/>
  <c r="K726" i="8"/>
  <c r="L726" i="8" s="1"/>
  <c r="M726" i="8" s="1" a="1"/>
  <c r="M726" i="8" s="1"/>
  <c r="K836" i="8"/>
  <c r="L836" i="8" s="1"/>
  <c r="M836" i="8" s="1" a="1"/>
  <c r="M836" i="8" s="1"/>
  <c r="K324" i="8"/>
  <c r="L324" i="8" s="1"/>
  <c r="M324" i="8" s="1" a="1"/>
  <c r="M324" i="8" s="1"/>
  <c r="K285" i="8"/>
  <c r="K103" i="8"/>
  <c r="L103" i="8" s="1"/>
  <c r="M103" i="8" s="1" a="1"/>
  <c r="M103" i="8" s="1"/>
  <c r="K430" i="8"/>
  <c r="L430" i="8" s="1"/>
  <c r="M430" i="8" s="1" a="1"/>
  <c r="M430" i="8" s="1"/>
  <c r="K977" i="8"/>
  <c r="L977" i="8" s="1"/>
  <c r="M977" i="8" s="1" a="1"/>
  <c r="M977" i="8" s="1"/>
  <c r="H858" i="8"/>
  <c r="H495" i="8"/>
  <c r="I495" i="8" s="1"/>
  <c r="H128" i="8"/>
  <c r="H121" i="8"/>
  <c r="I121" i="8" s="1"/>
  <c r="H771" i="8"/>
  <c r="I771" i="8" s="1"/>
  <c r="H266" i="8"/>
  <c r="I266" i="8" s="1"/>
  <c r="H829" i="8"/>
  <c r="I829" i="8" s="1"/>
  <c r="H685" i="8"/>
  <c r="I685" i="8" s="1"/>
  <c r="H503" i="8"/>
  <c r="H120" i="8"/>
  <c r="I120" i="8" s="1"/>
  <c r="H33" i="8"/>
  <c r="H683" i="8"/>
  <c r="K134" i="8"/>
  <c r="L134" i="8" s="1"/>
  <c r="M134" i="8" s="1" a="1"/>
  <c r="M134" i="8" s="1"/>
  <c r="K608" i="8"/>
  <c r="L608" i="8" s="1"/>
  <c r="M608" i="8" s="1" a="1"/>
  <c r="M608" i="8" s="1"/>
  <c r="K601" i="8"/>
  <c r="L601" i="8" s="1"/>
  <c r="M601" i="8" s="1" a="1"/>
  <c r="M601" i="8" s="1"/>
  <c r="K403" i="8"/>
  <c r="K52" i="8"/>
  <c r="L52" i="8" s="1"/>
  <c r="M52" i="8" s="1" a="1"/>
  <c r="M52" i="8" s="1"/>
  <c r="K13" i="8"/>
  <c r="K663" i="8"/>
  <c r="L663" i="8" s="1"/>
  <c r="M663" i="8" s="1" a="1"/>
  <c r="M663" i="8" s="1"/>
  <c r="K158" i="8"/>
  <c r="L158" i="8" s="1"/>
  <c r="M158" i="8" s="1" a="1"/>
  <c r="M158" i="8" s="1"/>
  <c r="K600" i="8"/>
  <c r="L600" i="8" s="1"/>
  <c r="M600" i="8" s="1" a="1"/>
  <c r="M600" i="8" s="1"/>
  <c r="K513" i="8"/>
  <c r="L513" i="8" s="1"/>
  <c r="M513" i="8" s="1" a="1"/>
  <c r="M513" i="8" s="1"/>
  <c r="K609" i="8"/>
  <c r="L609" i="8" s="1"/>
  <c r="M609" i="8" s="1" a="1"/>
  <c r="M609" i="8" s="1"/>
  <c r="L98" i="8"/>
  <c r="M98" i="8" s="1" a="1"/>
  <c r="M98" i="8" s="1"/>
  <c r="L178" i="8"/>
  <c r="M178" i="8" s="1" a="1"/>
  <c r="M178" i="8" s="1"/>
  <c r="L821" i="8"/>
  <c r="M821" i="8" s="1" a="1"/>
  <c r="M821" i="8" s="1"/>
  <c r="L540" i="8"/>
  <c r="M540" i="8" s="1" a="1"/>
  <c r="M540" i="8" s="1"/>
  <c r="L799" i="8"/>
  <c r="M799" i="8" s="1" a="1"/>
  <c r="M799" i="8" s="1"/>
  <c r="L917" i="8"/>
  <c r="M917" i="8" s="1" a="1"/>
  <c r="M917" i="8" s="1"/>
  <c r="L274" i="8"/>
  <c r="M274" i="8" s="1" a="1"/>
  <c r="M274" i="8" s="1"/>
  <c r="L156" i="8"/>
  <c r="M156" i="8" s="1" a="1"/>
  <c r="M156" i="8" s="1"/>
  <c r="L291" i="8"/>
  <c r="M291" i="8" s="1" a="1"/>
  <c r="M291" i="8" s="1"/>
  <c r="I466" i="8"/>
  <c r="I870" i="8"/>
  <c r="L932" i="8"/>
  <c r="M932" i="8" s="1" a="1"/>
  <c r="M932" i="8" s="1"/>
  <c r="L700" i="8"/>
  <c r="M700" i="8" s="1" a="1"/>
  <c r="M700" i="8" s="1"/>
  <c r="L659" i="8"/>
  <c r="M659" i="8" s="1" a="1"/>
  <c r="M659" i="8" s="1"/>
  <c r="L658" i="8"/>
  <c r="M658" i="8" s="1" a="1"/>
  <c r="M658" i="8" s="1"/>
  <c r="L82" i="8"/>
  <c r="M82" i="8" s="1" a="1"/>
  <c r="M82" i="8" s="1"/>
  <c r="L703" i="8"/>
  <c r="M703" i="8" s="1" a="1"/>
  <c r="M703" i="8" s="1"/>
  <c r="L562" i="8"/>
  <c r="M562" i="8" s="1" a="1"/>
  <c r="M562" i="8" s="1"/>
  <c r="L587" i="8"/>
  <c r="L994" i="8"/>
  <c r="M994" i="8" s="1" a="1"/>
  <c r="M994" i="8" s="1"/>
  <c r="L208" i="8"/>
  <c r="M208" i="8" s="1" a="1"/>
  <c r="M208" i="8" s="1"/>
  <c r="L598" i="8"/>
  <c r="M598" i="8" s="1" a="1"/>
  <c r="M598" i="8" s="1"/>
  <c r="L214" i="8"/>
  <c r="M214" i="8" s="1" a="1"/>
  <c r="M214" i="8" s="1"/>
  <c r="L60" i="8"/>
  <c r="M60" i="8" s="1" a="1"/>
  <c r="M60" i="8" s="1"/>
  <c r="L755" i="8"/>
  <c r="L383" i="8"/>
  <c r="M383" i="8" s="1" a="1"/>
  <c r="M383" i="8" s="1"/>
  <c r="L22" i="8"/>
  <c r="M22" i="8" s="1" a="1"/>
  <c r="M22" i="8" s="1"/>
  <c r="I348" i="8"/>
  <c r="L444" i="8"/>
  <c r="M444" i="8" s="1" a="1"/>
  <c r="M444" i="8" s="1"/>
  <c r="L99" i="8"/>
  <c r="M99" i="8" s="1" a="1"/>
  <c r="M99" i="8" s="1"/>
  <c r="I769" i="8"/>
  <c r="L304" i="8"/>
  <c r="M304" i="8" s="1" a="1"/>
  <c r="M304" i="8" s="1"/>
  <c r="L350" i="8"/>
  <c r="M350" i="8" s="1" a="1"/>
  <c r="M350" i="8" s="1"/>
  <c r="L861" i="8"/>
  <c r="M861" i="8" s="1" a="1"/>
  <c r="M861" i="8" s="1"/>
  <c r="I29" i="8"/>
  <c r="L454" i="8"/>
  <c r="M454" i="8" s="1" a="1"/>
  <c r="M454" i="8" s="1"/>
  <c r="I916" i="8"/>
  <c r="L898" i="8"/>
  <c r="M898" i="8" s="1" a="1"/>
  <c r="M898" i="8" s="1"/>
  <c r="I898" i="8"/>
  <c r="L578" i="8"/>
  <c r="M578" i="8" s="1" a="1"/>
  <c r="M578" i="8" s="1"/>
  <c r="I708" i="8"/>
  <c r="I787" i="8"/>
  <c r="I38" i="8"/>
  <c r="L24" i="8"/>
  <c r="M24" i="8" s="1" a="1"/>
  <c r="M24" i="8" s="1"/>
  <c r="L415" i="8"/>
  <c r="M415" i="8" s="1" a="1"/>
  <c r="M415" i="8" s="1"/>
  <c r="I610" i="8"/>
  <c r="I964" i="8"/>
  <c r="L743" i="8"/>
  <c r="M743" i="8" s="1" a="1"/>
  <c r="M743" i="8" s="1"/>
  <c r="I846" i="8"/>
  <c r="L846" i="8"/>
  <c r="M846" i="8" s="1" a="1"/>
  <c r="M846" i="8" s="1"/>
  <c r="I991" i="8"/>
  <c r="L991" i="8"/>
  <c r="M991" i="8" s="1" a="1"/>
  <c r="M991" i="8" s="1"/>
  <c r="I682" i="8"/>
  <c r="L682" i="8"/>
  <c r="M682" i="8" s="1" a="1"/>
  <c r="M682" i="8" s="1"/>
  <c r="I534" i="8"/>
  <c r="L17" i="8"/>
  <c r="M17" i="8" s="1" a="1"/>
  <c r="M17" i="8" s="1"/>
  <c r="L731" i="8"/>
  <c r="M731" i="8" s="1" a="1"/>
  <c r="M731" i="8" s="1"/>
  <c r="I731" i="8"/>
  <c r="L995" i="8"/>
  <c r="M995" i="8" s="1" a="1"/>
  <c r="M995" i="8" s="1"/>
  <c r="L167" i="8"/>
  <c r="M167" i="8" s="1" a="1"/>
  <c r="M167" i="8" s="1"/>
  <c r="I167" i="8"/>
  <c r="L225" i="8"/>
  <c r="M225" i="8" s="1" a="1"/>
  <c r="M225" i="8" s="1"/>
  <c r="I220" i="8"/>
  <c r="L847" i="8"/>
  <c r="M847" i="8" s="1" a="1"/>
  <c r="M847" i="8" s="1"/>
  <c r="I847" i="8"/>
  <c r="I83" i="8"/>
  <c r="I686" i="8"/>
  <c r="I215" i="8"/>
  <c r="L27" i="8"/>
  <c r="M27" i="8" s="1" a="1"/>
  <c r="M27" i="8" s="1"/>
  <c r="L252" i="8"/>
  <c r="M252" i="8" s="1" a="1"/>
  <c r="M252" i="8" s="1"/>
  <c r="I140" i="8"/>
  <c r="L140" i="8"/>
  <c r="M140" i="8" s="1" a="1"/>
  <c r="M140" i="8" s="1"/>
  <c r="L64" i="8"/>
  <c r="M64" i="8" s="1" a="1"/>
  <c r="M64" i="8" s="1"/>
  <c r="L97" i="8"/>
  <c r="M97" i="8" s="1" a="1"/>
  <c r="M97" i="8" s="1"/>
  <c r="I444" i="8"/>
  <c r="I82" i="8"/>
  <c r="I496" i="8"/>
  <c r="I559" i="8"/>
  <c r="L559" i="8"/>
  <c r="M559" i="8" s="1" a="1"/>
  <c r="M559" i="8" s="1"/>
  <c r="L531" i="8"/>
  <c r="M531" i="8" s="1" a="1"/>
  <c r="M531" i="8" s="1"/>
  <c r="I577" i="8"/>
  <c r="L577" i="8"/>
  <c r="M577" i="8" s="1" a="1"/>
  <c r="M577" i="8" s="1"/>
  <c r="L476" i="8"/>
  <c r="M476" i="8" s="1" a="1"/>
  <c r="M476" i="8" s="1"/>
  <c r="I476" i="8"/>
  <c r="L173" i="8"/>
  <c r="M173" i="8" s="1" a="1"/>
  <c r="M173" i="8" s="1"/>
  <c r="I662" i="8"/>
  <c r="I667" i="8"/>
  <c r="L667" i="8"/>
  <c r="M667" i="8" s="1" a="1"/>
  <c r="M667" i="8" s="1"/>
  <c r="I751" i="8"/>
  <c r="L751" i="8"/>
  <c r="M751" i="8" s="1" a="1"/>
  <c r="M751" i="8" s="1"/>
  <c r="I243" i="8"/>
  <c r="I194" i="8"/>
  <c r="L194" i="8"/>
  <c r="M194" i="8" s="1" a="1"/>
  <c r="M194" i="8" s="1"/>
  <c r="I1005" i="8"/>
  <c r="I524" i="8"/>
  <c r="I544" i="8"/>
  <c r="I87" i="8"/>
  <c r="I756" i="8"/>
  <c r="L835" i="8"/>
  <c r="M835" i="8" s="1" a="1"/>
  <c r="M835" i="8" s="1"/>
  <c r="I835" i="8"/>
  <c r="I551" i="8"/>
  <c r="I953" i="8"/>
  <c r="L135" i="8"/>
  <c r="M135" i="8" s="1" a="1"/>
  <c r="M135" i="8" s="1"/>
  <c r="L368" i="8"/>
  <c r="M368" i="8" s="1" a="1"/>
  <c r="M368" i="8" s="1"/>
  <c r="I368" i="8"/>
  <c r="I355" i="8"/>
  <c r="I358" i="8"/>
  <c r="L965" i="8"/>
  <c r="M965" i="8" s="1" a="1"/>
  <c r="M965" i="8" s="1"/>
  <c r="L883" i="8"/>
  <c r="M883" i="8" s="1" a="1"/>
  <c r="M883" i="8" s="1"/>
  <c r="I883" i="8"/>
  <c r="I108" i="8"/>
  <c r="I497" i="8"/>
  <c r="L125" i="8"/>
  <c r="M125" i="8" s="1" a="1"/>
  <c r="M125" i="8" s="1"/>
  <c r="I125" i="8"/>
  <c r="I871" i="8"/>
  <c r="L871" i="8"/>
  <c r="M871" i="8" s="1" a="1"/>
  <c r="M871" i="8" s="1"/>
  <c r="L958" i="8"/>
  <c r="M958" i="8" s="1" a="1"/>
  <c r="M958" i="8" s="1"/>
  <c r="L834" i="8"/>
  <c r="M834" i="8" s="1" a="1"/>
  <c r="M834" i="8" s="1"/>
  <c r="I834" i="8"/>
  <c r="I240" i="8"/>
  <c r="L240" i="8"/>
  <c r="M240" i="8" s="1" a="1"/>
  <c r="M240" i="8" s="1"/>
  <c r="I501" i="8"/>
  <c r="L501" i="8"/>
  <c r="M501" i="8" s="1" a="1"/>
  <c r="M501" i="8" s="1"/>
  <c r="L870" i="8"/>
  <c r="M870" i="8" s="1" a="1"/>
  <c r="M870" i="8" s="1"/>
  <c r="I383" i="8"/>
  <c r="I592" i="8"/>
  <c r="I291" i="8"/>
  <c r="I5" i="8"/>
  <c r="L43" i="8"/>
  <c r="M43" i="8" s="1" a="1"/>
  <c r="M43" i="8" s="1"/>
  <c r="I179" i="8"/>
  <c r="L146" i="8"/>
  <c r="M146" i="8" s="1" a="1"/>
  <c r="M146" i="8" s="1"/>
  <c r="I146" i="8"/>
  <c r="L646" i="8"/>
  <c r="M646" i="8" s="1" a="1"/>
  <c r="M646" i="8" s="1"/>
  <c r="L692" i="8"/>
  <c r="M692" i="8" s="1" a="1"/>
  <c r="M692" i="8" s="1"/>
  <c r="L651" i="8"/>
  <c r="M651" i="8" s="1" a="1"/>
  <c r="M651" i="8" s="1"/>
  <c r="I651" i="8"/>
  <c r="L735" i="8"/>
  <c r="M735" i="8" s="1" a="1"/>
  <c r="M735" i="8" s="1"/>
  <c r="I735" i="8"/>
  <c r="L311" i="8"/>
  <c r="M311" i="8" s="1" a="1"/>
  <c r="M311" i="8" s="1"/>
  <c r="L365" i="8"/>
  <c r="M365" i="8" s="1" a="1"/>
  <c r="M365" i="8" s="1"/>
  <c r="I607" i="8"/>
  <c r="L607" i="8"/>
  <c r="M607" i="8" s="1" a="1"/>
  <c r="M607" i="8" s="1"/>
  <c r="I726" i="8"/>
  <c r="L853" i="8"/>
  <c r="M853" i="8" s="1" a="1"/>
  <c r="M853" i="8" s="1"/>
  <c r="I853" i="8"/>
  <c r="L343" i="8"/>
  <c r="M343" i="8" s="1" a="1"/>
  <c r="M343" i="8" s="1"/>
  <c r="I12" i="8"/>
  <c r="I127" i="8"/>
  <c r="I221" i="8"/>
  <c r="I699" i="8"/>
  <c r="L699" i="8"/>
  <c r="M699" i="8" s="1" a="1"/>
  <c r="M699" i="8" s="1"/>
  <c r="L102" i="8"/>
  <c r="M102" i="8" s="1" a="1"/>
  <c r="M102" i="8" s="1"/>
  <c r="I906" i="8"/>
  <c r="L906" i="8"/>
  <c r="M906" i="8" s="1" a="1"/>
  <c r="M906" i="8" s="1"/>
  <c r="I993" i="8"/>
  <c r="L993" i="8"/>
  <c r="M993" i="8" s="1" a="1"/>
  <c r="M993" i="8" s="1"/>
  <c r="L901" i="8"/>
  <c r="M901" i="8" s="1" a="1"/>
  <c r="M901" i="8" s="1"/>
  <c r="I445" i="8"/>
  <c r="L744" i="8"/>
  <c r="M744" i="8" s="1" a="1"/>
  <c r="M744" i="8" s="1"/>
  <c r="I744" i="8"/>
  <c r="I391" i="8"/>
  <c r="L391" i="8"/>
  <c r="M391" i="8" s="1" a="1"/>
  <c r="M391" i="8" s="1"/>
  <c r="L76" i="8"/>
  <c r="M76" i="8" s="1" a="1"/>
  <c r="M76" i="8" s="1"/>
  <c r="I76" i="8"/>
  <c r="I733" i="8"/>
  <c r="L449" i="8"/>
  <c r="M449" i="8" s="1" a="1"/>
  <c r="M449" i="8" s="1"/>
  <c r="I396" i="8"/>
  <c r="L396" i="8"/>
  <c r="M396" i="8" s="1" a="1"/>
  <c r="M396" i="8" s="1"/>
  <c r="I416" i="8"/>
  <c r="I258" i="8"/>
  <c r="L258" i="8"/>
  <c r="M258" i="8" s="1" a="1"/>
  <c r="M258" i="8" s="1"/>
  <c r="L926" i="8"/>
  <c r="M926" i="8" s="1" a="1"/>
  <c r="M926" i="8" s="1"/>
  <c r="I423" i="8"/>
  <c r="L423" i="8"/>
  <c r="M423" i="8" s="1" a="1"/>
  <c r="M423" i="8" s="1"/>
  <c r="L428" i="8"/>
  <c r="M428" i="8" s="1" a="1"/>
  <c r="M428" i="8" s="1"/>
  <c r="I428" i="8"/>
  <c r="L448" i="8"/>
  <c r="M448" i="8" s="1" a="1"/>
  <c r="M448" i="8" s="1"/>
  <c r="I448" i="8"/>
  <c r="I231" i="8"/>
  <c r="L91" i="8"/>
  <c r="M91" i="8" s="1" a="1"/>
  <c r="M91" i="8" s="1"/>
  <c r="I91" i="8"/>
  <c r="L81" i="8"/>
  <c r="M81" i="8" s="1" a="1"/>
  <c r="M81" i="8" s="1"/>
  <c r="I81" i="8"/>
  <c r="L455" i="8"/>
  <c r="M455" i="8" s="1" a="1"/>
  <c r="M455" i="8" s="1"/>
  <c r="I351" i="8"/>
  <c r="I557" i="8"/>
  <c r="I284" i="8"/>
  <c r="I587" i="8"/>
  <c r="I793" i="8"/>
  <c r="I483" i="8"/>
  <c r="I16" i="8"/>
  <c r="L16" i="8"/>
  <c r="M16" i="8" s="1" a="1"/>
  <c r="M16" i="8" s="1"/>
  <c r="I826" i="8"/>
  <c r="L826" i="8"/>
  <c r="M826" i="8" s="1" a="1"/>
  <c r="M826" i="8" s="1"/>
  <c r="I785" i="8"/>
  <c r="L1021" i="8"/>
  <c r="M1021" i="8" s="1" a="1"/>
  <c r="M1021" i="8" s="1"/>
  <c r="I841" i="8"/>
  <c r="I295" i="8"/>
  <c r="L235" i="8"/>
  <c r="M235" i="8" s="1" a="1"/>
  <c r="M235" i="8" s="1"/>
  <c r="I235" i="8"/>
  <c r="I96" i="8"/>
  <c r="L96" i="8"/>
  <c r="M96" i="8" s="1" a="1"/>
  <c r="M96" i="8" s="1"/>
  <c r="L145" i="8"/>
  <c r="M145" i="8" s="1" a="1"/>
  <c r="M145" i="8" s="1"/>
  <c r="L923" i="8"/>
  <c r="M923" i="8" s="1" a="1"/>
  <c r="M923" i="8" s="1"/>
  <c r="I690" i="8"/>
  <c r="I874" i="8"/>
  <c r="I897" i="8"/>
  <c r="L897" i="8"/>
  <c r="M897" i="8" s="1" a="1"/>
  <c r="M897" i="8" s="1"/>
  <c r="L905" i="8"/>
  <c r="M905" i="8" s="1" a="1"/>
  <c r="M905" i="8" s="1"/>
  <c r="I144" i="8"/>
  <c r="L144" i="8"/>
  <c r="M144" i="8" s="1" a="1"/>
  <c r="M144" i="8" s="1"/>
  <c r="L397" i="8"/>
  <c r="M397" i="8" s="1" a="1"/>
  <c r="M397" i="8" s="1"/>
  <c r="I397" i="8"/>
  <c r="L177" i="8"/>
  <c r="M177" i="8" s="1" a="1"/>
  <c r="M177" i="8" s="1"/>
  <c r="I177" i="8"/>
  <c r="I696" i="8"/>
  <c r="L696" i="8"/>
  <c r="M696" i="8" s="1" a="1"/>
  <c r="M696" i="8" s="1"/>
  <c r="L70" i="8"/>
  <c r="M70" i="8" s="1" a="1"/>
  <c r="M70" i="8" s="1"/>
  <c r="I70" i="8"/>
  <c r="I34" i="8"/>
  <c r="I375" i="8"/>
  <c r="L375" i="8"/>
  <c r="M375" i="8" s="1" a="1"/>
  <c r="M375" i="8" s="1"/>
  <c r="L209" i="8"/>
  <c r="M209" i="8" s="1" a="1"/>
  <c r="M209" i="8" s="1"/>
  <c r="L831" i="8"/>
  <c r="M831" i="8" s="1" a="1"/>
  <c r="M831" i="8" s="1"/>
  <c r="I566" i="8"/>
  <c r="L566" i="8"/>
  <c r="M566" i="8" s="1" a="1"/>
  <c r="M566" i="8" s="1"/>
  <c r="I93" i="8"/>
  <c r="I780" i="8"/>
  <c r="L780" i="8"/>
  <c r="M780" i="8" s="1" a="1"/>
  <c r="M780" i="8" s="1"/>
  <c r="L691" i="8"/>
  <c r="M691" i="8" s="1" a="1"/>
  <c r="M691" i="8" s="1"/>
  <c r="I691" i="8"/>
  <c r="I648" i="8"/>
  <c r="L737" i="8"/>
  <c r="M737" i="8" s="1" a="1"/>
  <c r="M737" i="8" s="1"/>
  <c r="I737" i="8"/>
  <c r="L301" i="8"/>
  <c r="M301" i="8" s="1" a="1"/>
  <c r="M301" i="8" s="1"/>
  <c r="L811" i="8"/>
  <c r="M811" i="8" s="1" a="1"/>
  <c r="M811" i="8" s="1"/>
  <c r="L687" i="8"/>
  <c r="M687" i="8" s="1" a="1"/>
  <c r="M687" i="8" s="1"/>
  <c r="I302" i="8"/>
  <c r="L302" i="8"/>
  <c r="M302" i="8" s="1" a="1"/>
  <c r="M302" i="8" s="1"/>
  <c r="I543" i="8"/>
  <c r="L543" i="8"/>
  <c r="M543" i="8" s="1" a="1"/>
  <c r="M543" i="8" s="1"/>
  <c r="I460" i="8"/>
  <c r="I480" i="8"/>
  <c r="I917" i="8"/>
  <c r="I22" i="8"/>
  <c r="I889" i="8"/>
  <c r="I579" i="8"/>
  <c r="L14" i="8"/>
  <c r="M14" i="8" s="1" a="1"/>
  <c r="M14" i="8" s="1"/>
  <c r="I14" i="8"/>
  <c r="L32" i="8"/>
  <c r="M32" i="8" s="1" a="1"/>
  <c r="M32" i="8" s="1"/>
  <c r="I26" i="8"/>
  <c r="L26" i="8"/>
  <c r="M26" i="8" s="1" a="1"/>
  <c r="M26" i="8" s="1"/>
  <c r="L438" i="8"/>
  <c r="M438" i="8" s="1" a="1"/>
  <c r="M438" i="8" s="1"/>
  <c r="I438" i="8"/>
  <c r="I679" i="8"/>
  <c r="L782" i="8"/>
  <c r="M782" i="8" s="1" a="1"/>
  <c r="M782" i="8" s="1"/>
  <c r="I782" i="8"/>
  <c r="L349" i="8"/>
  <c r="M349" i="8" s="1" a="1"/>
  <c r="M349" i="8" s="1"/>
  <c r="I349" i="8"/>
  <c r="L129" i="8"/>
  <c r="M129" i="8" s="1" a="1"/>
  <c r="M129" i="8" s="1"/>
  <c r="L875" i="8"/>
  <c r="M875" i="8" s="1" a="1"/>
  <c r="M875" i="8" s="1"/>
  <c r="I875" i="8"/>
  <c r="I597" i="8"/>
  <c r="L597" i="8"/>
  <c r="M597" i="8" s="1" a="1"/>
  <c r="M597" i="8" s="1"/>
  <c r="L172" i="8"/>
  <c r="M172" i="8" s="1" a="1"/>
  <c r="M172" i="8" s="1"/>
  <c r="I353" i="8"/>
  <c r="L467" i="8"/>
  <c r="M467" i="8" s="1" a="1"/>
  <c r="M467" i="8" s="1"/>
  <c r="I402" i="8"/>
  <c r="L402" i="8"/>
  <c r="M402" i="8" s="1" a="1"/>
  <c r="M402" i="8" s="1"/>
  <c r="L486" i="8"/>
  <c r="M486" i="8" s="1" a="1"/>
  <c r="M486" i="8" s="1"/>
  <c r="I727" i="8"/>
  <c r="L727" i="8"/>
  <c r="M727" i="8" s="1" a="1"/>
  <c r="M727" i="8" s="1"/>
  <c r="L204" i="8"/>
  <c r="M204" i="8" s="1" a="1"/>
  <c r="M204" i="8" s="1"/>
  <c r="L783" i="8"/>
  <c r="M783" i="8" s="1" a="1"/>
  <c r="M783" i="8" s="1"/>
  <c r="I783" i="8"/>
  <c r="L307" i="8"/>
  <c r="M307" i="8" s="1" a="1"/>
  <c r="M307" i="8" s="1"/>
  <c r="I307" i="8"/>
  <c r="L294" i="8"/>
  <c r="M294" i="8" s="1" a="1"/>
  <c r="M294" i="8" s="1"/>
  <c r="I294" i="8"/>
  <c r="L759" i="8"/>
  <c r="M759" i="8" s="1" a="1"/>
  <c r="M759" i="8" s="1"/>
  <c r="L878" i="8"/>
  <c r="M878" i="8" s="1" a="1"/>
  <c r="M878" i="8" s="1"/>
  <c r="L988" i="8"/>
  <c r="M988" i="8" s="1" a="1"/>
  <c r="M988" i="8" s="1"/>
  <c r="I988" i="8"/>
  <c r="L176" i="8"/>
  <c r="M176" i="8" s="1" a="1"/>
  <c r="M176" i="8" s="1"/>
  <c r="I176" i="8"/>
  <c r="I400" i="8"/>
  <c r="L400" i="8"/>
  <c r="M400" i="8" s="1" a="1"/>
  <c r="M400" i="8" s="1"/>
  <c r="I583" i="8"/>
  <c r="L583" i="8"/>
  <c r="M583" i="8" s="1" a="1"/>
  <c r="M583" i="8" s="1"/>
  <c r="I479" i="8"/>
  <c r="L479" i="8"/>
  <c r="M479" i="8" s="1" a="1"/>
  <c r="M479" i="8" s="1"/>
  <c r="I705" i="8"/>
  <c r="I588" i="8"/>
  <c r="L362" i="8"/>
  <c r="M362" i="8" s="1" a="1"/>
  <c r="M362" i="8" s="1"/>
  <c r="I362" i="8"/>
  <c r="I482" i="8"/>
  <c r="L482" i="8"/>
  <c r="M482" i="8" s="1" a="1"/>
  <c r="M482" i="8" s="1"/>
  <c r="I511" i="8"/>
  <c r="L439" i="8"/>
  <c r="M439" i="8" s="1" a="1"/>
  <c r="M439" i="8" s="1"/>
  <c r="I124" i="8"/>
  <c r="L124" i="8"/>
  <c r="M124" i="8" s="1" a="1"/>
  <c r="M124" i="8" s="1"/>
  <c r="L48" i="8"/>
  <c r="M48" i="8" s="1" a="1"/>
  <c r="M48" i="8" s="1"/>
  <c r="I48" i="8"/>
  <c r="I289" i="8"/>
  <c r="L268" i="8"/>
  <c r="M268" i="8" s="1" a="1"/>
  <c r="M268" i="8" s="1"/>
  <c r="I515" i="8"/>
  <c r="L515" i="8"/>
  <c r="M515" i="8" s="1" a="1"/>
  <c r="M515" i="8" s="1"/>
  <c r="L813" i="8"/>
  <c r="M813" i="8" s="1" a="1"/>
  <c r="M813" i="8" s="1"/>
  <c r="I813" i="8"/>
  <c r="I545" i="8"/>
  <c r="I178" i="8"/>
  <c r="I118" i="8"/>
  <c r="I985" i="8"/>
  <c r="L466" i="8"/>
  <c r="M466" i="8" s="1" a="1"/>
  <c r="M466" i="8" s="1"/>
  <c r="L23" i="8"/>
  <c r="M23" i="8" s="1" a="1"/>
  <c r="M23" i="8" s="1"/>
  <c r="I900" i="8"/>
  <c r="L979" i="8"/>
  <c r="M979" i="8" s="1" a="1"/>
  <c r="M979" i="8" s="1"/>
  <c r="I979" i="8"/>
  <c r="I487" i="8"/>
  <c r="L337" i="8"/>
  <c r="M337" i="8" s="1" a="1"/>
  <c r="M337" i="8" s="1"/>
  <c r="L492" i="8"/>
  <c r="M492" i="8" s="1" a="1"/>
  <c r="M492" i="8" s="1"/>
  <c r="I492" i="8"/>
  <c r="I637" i="8"/>
  <c r="I71" i="8"/>
  <c r="I594" i="8"/>
  <c r="L594" i="8"/>
  <c r="M594" i="8" s="1" a="1"/>
  <c r="M594" i="8" s="1"/>
  <c r="I948" i="8"/>
  <c r="L830" i="8"/>
  <c r="M830" i="8" s="1" a="1"/>
  <c r="M830" i="8" s="1"/>
  <c r="L975" i="8"/>
  <c r="M975" i="8" s="1" a="1"/>
  <c r="M975" i="8" s="1"/>
  <c r="L688" i="8"/>
  <c r="M688" i="8" s="1" a="1"/>
  <c r="M688" i="8" s="1"/>
  <c r="I688" i="8"/>
  <c r="L535" i="8"/>
  <c r="M535" i="8" s="1" a="1"/>
  <c r="M535" i="8" s="1"/>
  <c r="L431" i="8"/>
  <c r="M431" i="8" s="1" a="1"/>
  <c r="M431" i="8" s="1"/>
  <c r="I1004" i="8"/>
  <c r="L1004" i="8"/>
  <c r="M1004" i="8" s="1" a="1"/>
  <c r="M1004" i="8" s="1"/>
  <c r="L984" i="8"/>
  <c r="M984" i="8" s="1" a="1"/>
  <c r="M984" i="8" s="1"/>
  <c r="I984" i="8"/>
  <c r="L867" i="8"/>
  <c r="M867" i="8" s="1" a="1"/>
  <c r="M867" i="8" s="1"/>
  <c r="I867" i="8"/>
  <c r="I567" i="8"/>
  <c r="L567" i="8"/>
  <c r="M567" i="8" s="1" a="1"/>
  <c r="M567" i="8" s="1"/>
  <c r="L433" i="8"/>
  <c r="M433" i="8" s="1" a="1"/>
  <c r="M433" i="8" s="1"/>
  <c r="L380" i="8"/>
  <c r="M380" i="8" s="1" a="1"/>
  <c r="M380" i="8" s="1"/>
  <c r="I380" i="8"/>
  <c r="I820" i="8"/>
  <c r="L820" i="8"/>
  <c r="M820" i="8" s="1" a="1"/>
  <c r="M820" i="8" s="1"/>
  <c r="I938" i="8"/>
  <c r="L269" i="8"/>
  <c r="M269" i="8" s="1" a="1"/>
  <c r="M269" i="8" s="1"/>
  <c r="I49" i="8"/>
  <c r="L49" i="8"/>
  <c r="M49" i="8" s="1" a="1"/>
  <c r="M49" i="8" s="1"/>
  <c r="I763" i="8"/>
  <c r="L763" i="8"/>
  <c r="M763" i="8" s="1" a="1"/>
  <c r="M763" i="8" s="1"/>
  <c r="I335" i="8"/>
  <c r="I541" i="8"/>
  <c r="L541" i="8"/>
  <c r="M541" i="8" s="1" a="1"/>
  <c r="M541" i="8" s="1"/>
  <c r="L453" i="8"/>
  <c r="M453" i="8" s="1" a="1"/>
  <c r="M453" i="8" s="1"/>
  <c r="L130" i="8"/>
  <c r="M130" i="8" s="1" a="1"/>
  <c r="M130" i="8" s="1"/>
  <c r="I130" i="8"/>
  <c r="I649" i="8"/>
  <c r="L649" i="8"/>
  <c r="M649" i="8" s="1" a="1"/>
  <c r="M649" i="8" s="1"/>
  <c r="I810" i="8"/>
  <c r="L652" i="8"/>
  <c r="M652" i="8" s="1" a="1"/>
  <c r="M652" i="8" s="1"/>
  <c r="I652" i="8"/>
  <c r="I809" i="8"/>
  <c r="L809" i="8"/>
  <c r="M809" i="8" s="1" a="1"/>
  <c r="M809" i="8" s="1"/>
  <c r="I98" i="8"/>
  <c r="I784" i="8"/>
  <c r="L348" i="8"/>
  <c r="M348" i="8" s="1" a="1"/>
  <c r="M348" i="8" s="1"/>
  <c r="I546" i="8"/>
  <c r="L546" i="8"/>
  <c r="M546" i="8" s="1" a="1"/>
  <c r="M546" i="8" s="1"/>
  <c r="I983" i="8"/>
  <c r="I272" i="8"/>
  <c r="I512" i="8"/>
  <c r="L7" i="8"/>
  <c r="M7" i="8" s="1" a="1"/>
  <c r="M7" i="8" s="1"/>
  <c r="L399" i="8"/>
  <c r="M399" i="8" s="1" a="1"/>
  <c r="M399" i="8" s="1"/>
  <c r="I563" i="8"/>
  <c r="L563" i="8"/>
  <c r="M563" i="8" s="1" a="1"/>
  <c r="M563" i="8" s="1"/>
  <c r="L508" i="8"/>
  <c r="M508" i="8" s="1" a="1"/>
  <c r="M508" i="8" s="1"/>
  <c r="I683" i="8"/>
  <c r="L683" i="8"/>
  <c r="M683" i="8" s="1" a="1"/>
  <c r="M683" i="8" s="1"/>
  <c r="I320" i="8"/>
  <c r="L685" i="8"/>
  <c r="M685" i="8" s="1" a="1"/>
  <c r="M685" i="8" s="1"/>
  <c r="I560" i="8"/>
  <c r="I434" i="8"/>
  <c r="I664" i="8"/>
  <c r="L664" i="8"/>
  <c r="M664" i="8" s="1" a="1"/>
  <c r="M664" i="8" s="1"/>
  <c r="I966" i="8"/>
  <c r="L463" i="8"/>
  <c r="M463" i="8" s="1" a="1"/>
  <c r="M463" i="8" s="1"/>
  <c r="I698" i="8"/>
  <c r="L698" i="8"/>
  <c r="M698" i="8" s="1" a="1"/>
  <c r="M698" i="8" s="1"/>
  <c r="L51" i="8"/>
  <c r="M51" i="8" s="1" a="1"/>
  <c r="M51" i="8" s="1"/>
  <c r="I51" i="8"/>
  <c r="L66" i="8"/>
  <c r="M66" i="8" s="1" a="1"/>
  <c r="M66" i="8" s="1"/>
  <c r="I66" i="8"/>
  <c r="I670" i="8"/>
  <c r="L670" i="8"/>
  <c r="M670" i="8" s="1" a="1"/>
  <c r="M670" i="8" s="1"/>
  <c r="L949" i="8"/>
  <c r="M949" i="8" s="1" a="1"/>
  <c r="M949" i="8" s="1"/>
  <c r="I949" i="8"/>
  <c r="I1001" i="8"/>
  <c r="I1020" i="8"/>
  <c r="L236" i="8"/>
  <c r="M236" i="8" s="1" a="1"/>
  <c r="M236" i="8" s="1"/>
  <c r="I236" i="8"/>
  <c r="I166" i="8"/>
  <c r="L166" i="8"/>
  <c r="M166" i="8" s="1" a="1"/>
  <c r="M166" i="8" s="1"/>
  <c r="L978" i="8"/>
  <c r="M978" i="8" s="1" a="1"/>
  <c r="M978" i="8" s="1"/>
  <c r="I978" i="8"/>
  <c r="I997" i="8"/>
  <c r="I224" i="8"/>
  <c r="I147" i="8"/>
  <c r="L198" i="8"/>
  <c r="M198" i="8" s="1" a="1"/>
  <c r="M198" i="8" s="1"/>
  <c r="I198" i="8"/>
  <c r="I310" i="8"/>
  <c r="L13" i="8"/>
  <c r="M13" i="8" s="1" a="1"/>
  <c r="M13" i="8" s="1"/>
  <c r="I13" i="8"/>
  <c r="L630" i="8"/>
  <c r="M630" i="8" s="1" a="1"/>
  <c r="M630" i="8" s="1"/>
  <c r="I630" i="8"/>
  <c r="L157" i="8"/>
  <c r="M157" i="8" s="1" a="1"/>
  <c r="M157" i="8" s="1"/>
  <c r="L882" i="8"/>
  <c r="M882" i="8" s="1" a="1"/>
  <c r="M882" i="8" s="1"/>
  <c r="I882" i="8"/>
  <c r="I654" i="8"/>
  <c r="L654" i="8"/>
  <c r="M654" i="8" s="1" a="1"/>
  <c r="M654" i="8" s="1"/>
  <c r="L957" i="8"/>
  <c r="M957" i="8" s="1" a="1"/>
  <c r="M957" i="8" s="1"/>
  <c r="I957" i="8"/>
  <c r="I625" i="8"/>
  <c r="L625" i="8"/>
  <c r="M625" i="8" s="1" a="1"/>
  <c r="M625" i="8" s="1"/>
  <c r="L1016" i="8"/>
  <c r="M1016" i="8" s="1" a="1"/>
  <c r="M1016" i="8" s="1"/>
  <c r="I79" i="8"/>
  <c r="L79" i="8"/>
  <c r="M79" i="8" s="1" a="1"/>
  <c r="M79" i="8" s="1"/>
  <c r="L205" i="8"/>
  <c r="M205" i="8" s="1" a="1"/>
  <c r="M205" i="8" s="1"/>
  <c r="I205" i="8"/>
  <c r="L740" i="8"/>
  <c r="M740" i="8" s="1" a="1"/>
  <c r="M740" i="8" s="1"/>
  <c r="I740" i="8"/>
  <c r="I930" i="8"/>
  <c r="L819" i="8"/>
  <c r="M819" i="8" s="1" a="1"/>
  <c r="M819" i="8" s="1"/>
  <c r="I54" i="8"/>
  <c r="L18" i="8"/>
  <c r="M18" i="8" s="1" a="1"/>
  <c r="M18" i="8" s="1"/>
  <c r="I18" i="8"/>
  <c r="I86" i="8"/>
  <c r="L86" i="8"/>
  <c r="M86" i="8" s="1" a="1"/>
  <c r="M86" i="8" s="1"/>
  <c r="I657" i="8"/>
  <c r="L499" i="8"/>
  <c r="M499" i="8" s="1" a="1"/>
  <c r="M499" i="8" s="1"/>
  <c r="L228" i="8"/>
  <c r="M228" i="8" s="1" a="1"/>
  <c r="M228" i="8" s="1"/>
  <c r="I689" i="8"/>
  <c r="L572" i="8"/>
  <c r="M572" i="8" s="1" a="1"/>
  <c r="M572" i="8" s="1"/>
  <c r="I572" i="8"/>
  <c r="L242" i="8"/>
  <c r="M242" i="8" s="1" a="1"/>
  <c r="M242" i="8" s="1"/>
  <c r="L675" i="8"/>
  <c r="M675" i="8" s="1" a="1"/>
  <c r="M675" i="8" s="1"/>
  <c r="I675" i="8"/>
  <c r="I92" i="8"/>
  <c r="L92" i="8"/>
  <c r="M92" i="8" s="1" a="1"/>
  <c r="M92" i="8" s="1"/>
  <c r="L493" i="8"/>
  <c r="M493" i="8" s="1" a="1"/>
  <c r="M493" i="8" s="1"/>
  <c r="I241" i="8"/>
  <c r="L241" i="8"/>
  <c r="M241" i="8" s="1" a="1"/>
  <c r="M241" i="8" s="1"/>
  <c r="L261" i="8"/>
  <c r="M261" i="8" s="1" a="1"/>
  <c r="M261" i="8" s="1"/>
  <c r="L855" i="8"/>
  <c r="M855" i="8" s="1" a="1"/>
  <c r="M855" i="8" s="1"/>
  <c r="L818" i="8"/>
  <c r="M818" i="8" s="1" a="1"/>
  <c r="M818" i="8" s="1"/>
  <c r="L781" i="8"/>
  <c r="M781" i="8" s="1" a="1"/>
  <c r="M781" i="8" s="1"/>
  <c r="I781" i="8"/>
  <c r="I529" i="8"/>
  <c r="L529" i="8"/>
  <c r="M529" i="8" s="1" a="1"/>
  <c r="M529" i="8" s="1"/>
  <c r="I464" i="8"/>
  <c r="L464" i="8"/>
  <c r="M464" i="8" s="1" a="1"/>
  <c r="M464" i="8" s="1"/>
  <c r="L766" i="8"/>
  <c r="M766" i="8" s="1" a="1"/>
  <c r="M766" i="8" s="1"/>
  <c r="I766" i="8"/>
  <c r="I562" i="8"/>
  <c r="I9" i="8"/>
  <c r="I279" i="8"/>
  <c r="L279" i="8"/>
  <c r="M279" i="8" s="1" a="1"/>
  <c r="M279" i="8" s="1"/>
  <c r="I187" i="8"/>
  <c r="I547" i="8"/>
  <c r="L593" i="8"/>
  <c r="M593" i="8" s="1" a="1"/>
  <c r="M593" i="8" s="1"/>
  <c r="L805" i="8"/>
  <c r="M805" i="8" s="1" a="1"/>
  <c r="M805" i="8" s="1"/>
  <c r="I805" i="8"/>
  <c r="I857" i="8"/>
  <c r="L591" i="8"/>
  <c r="M591" i="8" s="1" a="1"/>
  <c r="M591" i="8" s="1"/>
  <c r="L849" i="8"/>
  <c r="M849" i="8" s="1" a="1"/>
  <c r="M849" i="8" s="1"/>
  <c r="I849" i="8"/>
  <c r="I327" i="8"/>
  <c r="L381" i="8"/>
  <c r="M381" i="8" s="1" a="1"/>
  <c r="M381" i="8" s="1"/>
  <c r="I381" i="8"/>
  <c r="L210" i="8"/>
  <c r="M210" i="8" s="1" a="1"/>
  <c r="M210" i="8" s="1"/>
  <c r="I210" i="8"/>
  <c r="I595" i="8"/>
  <c r="L595" i="8"/>
  <c r="M595" i="8" s="1" a="1"/>
  <c r="M595" i="8" s="1"/>
  <c r="I982" i="8"/>
  <c r="L982" i="8"/>
  <c r="M982" i="8" s="1" a="1"/>
  <c r="M982" i="8" s="1"/>
  <c r="I626" i="8"/>
  <c r="L626" i="8"/>
  <c r="M626" i="8" s="1" a="1"/>
  <c r="M626" i="8" s="1"/>
  <c r="L175" i="8"/>
  <c r="M175" i="8" s="1" a="1"/>
  <c r="M175" i="8" s="1"/>
  <c r="I193" i="8"/>
  <c r="L193" i="8"/>
  <c r="M193" i="8" s="1" a="1"/>
  <c r="M193" i="8" s="1"/>
  <c r="L728" i="8"/>
  <c r="M728" i="8" s="1" a="1"/>
  <c r="M728" i="8" s="1"/>
  <c r="I728" i="8"/>
  <c r="L323" i="8"/>
  <c r="M323" i="8" s="1" a="1"/>
  <c r="M323" i="8" s="1"/>
  <c r="I339" i="8"/>
  <c r="L339" i="8"/>
  <c r="M339" i="8" s="1" a="1"/>
  <c r="M339" i="8" s="1"/>
  <c r="L77" i="8"/>
  <c r="M77" i="8" s="1" a="1"/>
  <c r="M77" i="8" s="1"/>
  <c r="I77" i="8"/>
  <c r="L807" i="8"/>
  <c r="M807" i="8" s="1" a="1"/>
  <c r="M807" i="8" s="1"/>
  <c r="I807" i="8"/>
  <c r="I910" i="8"/>
  <c r="I748" i="8"/>
  <c r="I407" i="8"/>
  <c r="I481" i="8"/>
  <c r="L412" i="8"/>
  <c r="M412" i="8" s="1" a="1"/>
  <c r="M412" i="8" s="1"/>
  <c r="I412" i="8"/>
  <c r="I371" i="8"/>
  <c r="I390" i="8"/>
  <c r="L942" i="8"/>
  <c r="M942" i="8" s="1" a="1"/>
  <c r="M942" i="8" s="1"/>
  <c r="I942" i="8"/>
  <c r="L707" i="8"/>
  <c r="M707" i="8" s="1" a="1"/>
  <c r="M707" i="8" s="1"/>
  <c r="I707" i="8"/>
  <c r="I131" i="8"/>
  <c r="L131" i="8"/>
  <c r="M131" i="8" s="1" a="1"/>
  <c r="M131" i="8" s="1"/>
  <c r="I114" i="8"/>
  <c r="L527" i="8"/>
  <c r="M527" i="8" s="1" a="1"/>
  <c r="M527" i="8" s="1"/>
  <c r="I527" i="8"/>
  <c r="I530" i="8"/>
  <c r="L530" i="8"/>
  <c r="M530" i="8" s="1" a="1"/>
  <c r="M530" i="8" s="1"/>
  <c r="L422" i="8"/>
  <c r="M422" i="8" s="1" a="1"/>
  <c r="M422" i="8" s="1"/>
  <c r="I422" i="8"/>
  <c r="L884" i="8"/>
  <c r="M884" i="8" s="1" a="1"/>
  <c r="M884" i="8" s="1"/>
  <c r="I884" i="8"/>
  <c r="I663" i="8"/>
  <c r="I879" i="8"/>
  <c r="L963" i="8"/>
  <c r="M963" i="8" s="1" a="1"/>
  <c r="M963" i="8" s="1"/>
  <c r="I963" i="8"/>
  <c r="I658" i="8"/>
  <c r="I598" i="8"/>
  <c r="L15" i="8"/>
  <c r="M15" i="8" s="1" a="1"/>
  <c r="M15" i="8" s="1"/>
  <c r="I15" i="8"/>
  <c r="I333" i="8"/>
  <c r="L333" i="8"/>
  <c r="M333" i="8" s="1" a="1"/>
  <c r="M333" i="8" s="1"/>
  <c r="I859" i="8"/>
  <c r="L195" i="8"/>
  <c r="M195" i="8" s="1" a="1"/>
  <c r="M195" i="8" s="1"/>
  <c r="I162" i="8"/>
  <c r="L162" i="8"/>
  <c r="M162" i="8" s="1" a="1"/>
  <c r="M162" i="8" s="1"/>
  <c r="L230" i="8"/>
  <c r="M230" i="8" s="1" a="1"/>
  <c r="M230" i="8" s="1"/>
  <c r="I801" i="8"/>
  <c r="L801" i="8"/>
  <c r="M801" i="8" s="1" a="1"/>
  <c r="M801" i="8" s="1"/>
  <c r="I451" i="8"/>
  <c r="L451" i="8"/>
  <c r="M451" i="8" s="1" a="1"/>
  <c r="M451" i="8" s="1"/>
  <c r="I370" i="8"/>
  <c r="L370" i="8"/>
  <c r="M370" i="8" s="1" a="1"/>
  <c r="M370" i="8" s="1"/>
  <c r="L246" i="8"/>
  <c r="M246" i="8" s="1" a="1"/>
  <c r="M246" i="8" s="1"/>
  <c r="I246" i="8"/>
  <c r="L128" i="8"/>
  <c r="M128" i="8" s="1" a="1"/>
  <c r="M128" i="8" s="1"/>
  <c r="I128" i="8"/>
  <c r="I161" i="8"/>
  <c r="I680" i="8"/>
  <c r="L680" i="8"/>
  <c r="M680" i="8" s="1" a="1"/>
  <c r="M680" i="8" s="1"/>
  <c r="L767" i="8"/>
  <c r="M767" i="8" s="1" a="1"/>
  <c r="M767" i="8" s="1"/>
  <c r="L418" i="8"/>
  <c r="M418" i="8" s="1" a="1"/>
  <c r="M418" i="8" s="1"/>
  <c r="I418" i="8"/>
  <c r="I262" i="8"/>
  <c r="L262" i="8"/>
  <c r="M262" i="8" s="1" a="1"/>
  <c r="M262" i="8" s="1"/>
  <c r="L119" i="8"/>
  <c r="M119" i="8" s="1" a="1"/>
  <c r="M119" i="8" s="1"/>
  <c r="I701" i="8"/>
  <c r="L701" i="8"/>
  <c r="M701" i="8" s="1" a="1"/>
  <c r="M701" i="8" s="1"/>
  <c r="L364" i="8"/>
  <c r="M364" i="8" s="1" a="1"/>
  <c r="M364" i="8" s="1"/>
  <c r="L226" i="8"/>
  <c r="M226" i="8" s="1" a="1"/>
  <c r="M226" i="8" s="1"/>
  <c r="I226" i="8"/>
  <c r="L922" i="8"/>
  <c r="M922" i="8" s="1" a="1"/>
  <c r="M922" i="8" s="1"/>
  <c r="I922" i="8"/>
  <c r="I990" i="8"/>
  <c r="L990" i="8"/>
  <c r="M990" i="8" s="1" a="1"/>
  <c r="M990" i="8" s="1"/>
  <c r="L253" i="8"/>
  <c r="M253" i="8" s="1" a="1"/>
  <c r="M253" i="8" s="1"/>
  <c r="I253" i="8"/>
  <c r="I749" i="8"/>
  <c r="L749" i="8"/>
  <c r="M749" i="8" s="1" a="1"/>
  <c r="M749" i="8" s="1"/>
  <c r="I432" i="8"/>
  <c r="L432" i="8"/>
  <c r="M432" i="8" s="1" a="1"/>
  <c r="M432" i="8" s="1"/>
  <c r="L65" i="8"/>
  <c r="M65" i="8" s="1" a="1"/>
  <c r="M65" i="8" s="1"/>
  <c r="I65" i="8"/>
  <c r="I633" i="8"/>
  <c r="I794" i="8"/>
  <c r="I753" i="8"/>
  <c r="L141" i="8"/>
  <c r="M141" i="8" s="1" a="1"/>
  <c r="M141" i="8" s="1"/>
  <c r="I141" i="8"/>
  <c r="L739" i="8"/>
  <c r="M739" i="8" s="1" a="1"/>
  <c r="M739" i="8" s="1"/>
  <c r="I739" i="8"/>
  <c r="I60" i="8"/>
  <c r="I994" i="8"/>
  <c r="I112" i="8"/>
  <c r="I585" i="8"/>
  <c r="L4" i="8"/>
  <c r="M4" i="8" s="1" a="1"/>
  <c r="M4" i="8" s="1"/>
  <c r="I4" i="8"/>
  <c r="I367" i="8"/>
  <c r="L367" i="8"/>
  <c r="M367" i="8" s="1" a="1"/>
  <c r="M367" i="8" s="1"/>
  <c r="L589" i="8"/>
  <c r="M589" i="8" s="1" a="1"/>
  <c r="M589" i="8" s="1"/>
  <c r="I998" i="8"/>
  <c r="L998" i="8"/>
  <c r="M998" i="8" s="1" a="1"/>
  <c r="M998" i="8" s="1"/>
  <c r="I842" i="8"/>
  <c r="L842" i="8"/>
  <c r="M842" i="8" s="1" a="1"/>
  <c r="M842" i="8" s="1"/>
  <c r="L927" i="8"/>
  <c r="M927" i="8" s="1" a="1"/>
  <c r="M927" i="8" s="1"/>
  <c r="I1011" i="8"/>
  <c r="L1011" i="8"/>
  <c r="M1011" i="8" s="1" a="1"/>
  <c r="M1011" i="8" s="1"/>
  <c r="I943" i="8"/>
  <c r="L943" i="8"/>
  <c r="M943" i="8" s="1" a="1"/>
  <c r="M943" i="8" s="1"/>
  <c r="L188" i="8"/>
  <c r="M188" i="8" s="1" a="1"/>
  <c r="M188" i="8" s="1"/>
  <c r="I369" i="8"/>
  <c r="L369" i="8"/>
  <c r="M369" i="8" s="1" a="1"/>
  <c r="M369" i="8" s="1"/>
  <c r="L359" i="8"/>
  <c r="M359" i="8" s="1" a="1"/>
  <c r="M359" i="8" s="1"/>
  <c r="I359" i="8"/>
  <c r="I44" i="8"/>
  <c r="L44" i="8"/>
  <c r="M44" i="8" s="1" a="1"/>
  <c r="M44" i="8" s="1"/>
  <c r="L401" i="8"/>
  <c r="M401" i="8" s="1" a="1"/>
  <c r="M401" i="8" s="1"/>
  <c r="I804" i="8"/>
  <c r="L804" i="8"/>
  <c r="M804" i="8" s="1" a="1"/>
  <c r="M804" i="8" s="1"/>
  <c r="L314" i="8"/>
  <c r="M314" i="8" s="1" a="1"/>
  <c r="M314" i="8" s="1"/>
  <c r="I314" i="8"/>
  <c r="I550" i="8"/>
  <c r="L550" i="8"/>
  <c r="M550" i="8" s="1" a="1"/>
  <c r="M550" i="8" s="1"/>
  <c r="L33" i="8"/>
  <c r="M33" i="8" s="1" a="1"/>
  <c r="M33" i="8" s="1"/>
  <c r="I33" i="8"/>
  <c r="L639" i="8"/>
  <c r="M639" i="8" s="1" a="1"/>
  <c r="M639" i="8" s="1"/>
  <c r="I639" i="8"/>
  <c r="I721" i="8"/>
  <c r="L721" i="8"/>
  <c r="M721" i="8" s="1" a="1"/>
  <c r="M721" i="8" s="1"/>
  <c r="I19" i="8"/>
  <c r="L19" i="8"/>
  <c r="M19" i="8" s="1" a="1"/>
  <c r="M19" i="8" s="1"/>
  <c r="I498" i="8"/>
  <c r="L498" i="8"/>
  <c r="M498" i="8" s="1" a="1"/>
  <c r="M498" i="8" s="1"/>
  <c r="I582" i="8"/>
  <c r="L285" i="8"/>
  <c r="M285" i="8" s="1" a="1"/>
  <c r="M285" i="8" s="1"/>
  <c r="I285" i="8"/>
  <c r="L795" i="8"/>
  <c r="M795" i="8" s="1" a="1"/>
  <c r="M795" i="8" s="1"/>
  <c r="I182" i="8"/>
  <c r="L182" i="8"/>
  <c r="M182" i="8" s="1" a="1"/>
  <c r="M182" i="8" s="1"/>
  <c r="L734" i="8"/>
  <c r="M734" i="8" s="1" a="1"/>
  <c r="M734" i="8" s="1"/>
  <c r="L139" i="8"/>
  <c r="M139" i="8" s="1" a="1"/>
  <c r="M139" i="8" s="1"/>
  <c r="I139" i="8"/>
  <c r="L614" i="8"/>
  <c r="M614" i="8" s="1" a="1"/>
  <c r="M614" i="8" s="1"/>
  <c r="L887" i="8"/>
  <c r="M887" i="8" s="1" a="1"/>
  <c r="M887" i="8" s="1"/>
  <c r="I887" i="8"/>
  <c r="I986" i="8"/>
  <c r="L986" i="8"/>
  <c r="M986" i="8" s="1" a="1"/>
  <c r="M986" i="8" s="1"/>
  <c r="I156" i="8"/>
  <c r="I471" i="8"/>
  <c r="L471" i="8"/>
  <c r="M471" i="8" s="1" a="1"/>
  <c r="M471" i="8" s="1"/>
  <c r="L256" i="8"/>
  <c r="M256" i="8" s="1" a="1"/>
  <c r="M256" i="8" s="1"/>
  <c r="L321" i="8"/>
  <c r="M321" i="8" s="1" a="1"/>
  <c r="M321" i="8" s="1"/>
  <c r="L300" i="8"/>
  <c r="M300" i="8" s="1" a="1"/>
  <c r="M300" i="8" s="1"/>
  <c r="L549" i="8"/>
  <c r="M549" i="8" s="1" a="1"/>
  <c r="M549" i="8" s="1"/>
  <c r="I549" i="8"/>
  <c r="L435" i="8"/>
  <c r="M435" i="8" s="1" a="1"/>
  <c r="M435" i="8" s="1"/>
  <c r="I354" i="8"/>
  <c r="L354" i="8"/>
  <c r="M354" i="8" s="1" a="1"/>
  <c r="M354" i="8" s="1"/>
  <c r="I695" i="8"/>
  <c r="L45" i="8"/>
  <c r="M45" i="8" s="1" a="1"/>
  <c r="M45" i="8" s="1"/>
  <c r="I45" i="8"/>
  <c r="L470" i="8"/>
  <c r="M470" i="8" s="1" a="1"/>
  <c r="M470" i="8" s="1"/>
  <c r="I814" i="8"/>
  <c r="L814" i="8"/>
  <c r="M814" i="8" s="1" a="1"/>
  <c r="M814" i="8" s="1"/>
  <c r="L332" i="8"/>
  <c r="M332" i="8" s="1" a="1"/>
  <c r="M332" i="8" s="1"/>
  <c r="I332" i="8"/>
  <c r="I174" i="8"/>
  <c r="L174" i="8"/>
  <c r="M174" i="8" s="1" a="1"/>
  <c r="M174" i="8" s="1"/>
  <c r="L736" i="8"/>
  <c r="M736" i="8" s="1" a="1"/>
  <c r="M736" i="8" s="1"/>
  <c r="I447" i="8"/>
  <c r="L447" i="8"/>
  <c r="M447" i="8" s="1" a="1"/>
  <c r="M447" i="8" s="1"/>
  <c r="I673" i="8"/>
  <c r="L673" i="8"/>
  <c r="M673" i="8" s="1" a="1"/>
  <c r="M673" i="8" s="1"/>
  <c r="L576" i="8"/>
  <c r="M576" i="8" s="1" a="1"/>
  <c r="M576" i="8" s="1"/>
  <c r="I576" i="8"/>
  <c r="L10" i="8"/>
  <c r="M10" i="8" s="1" a="1"/>
  <c r="M10" i="8" s="1"/>
  <c r="L894" i="8"/>
  <c r="M894" i="8" s="1" a="1"/>
  <c r="M894" i="8" s="1"/>
  <c r="I894" i="8"/>
  <c r="I271" i="8"/>
  <c r="L271" i="8"/>
  <c r="M271" i="8" s="1" a="1"/>
  <c r="M271" i="8" s="1"/>
  <c r="I150" i="8"/>
  <c r="I537" i="8"/>
  <c r="I746" i="8"/>
  <c r="L746" i="8"/>
  <c r="M746" i="8" s="1" a="1"/>
  <c r="M746" i="8" s="1"/>
  <c r="L604" i="8"/>
  <c r="M604" i="8" s="1" a="1"/>
  <c r="M604" i="8" s="1"/>
  <c r="I604" i="8"/>
  <c r="L624" i="8"/>
  <c r="M624" i="8" s="1" a="1"/>
  <c r="M624" i="8" s="1"/>
  <c r="I624" i="8"/>
  <c r="L509" i="8"/>
  <c r="M509" i="8" s="1" a="1"/>
  <c r="M509" i="8" s="1"/>
  <c r="I509" i="8"/>
  <c r="I257" i="8"/>
  <c r="L257" i="8"/>
  <c r="M257" i="8" s="1" a="1"/>
  <c r="M257" i="8" s="1"/>
  <c r="I276" i="8"/>
  <c r="L276" i="8"/>
  <c r="M276" i="8" s="1" a="1"/>
  <c r="M276" i="8" s="1"/>
  <c r="L514" i="8"/>
  <c r="M514" i="8" s="1" a="1"/>
  <c r="M514" i="8" s="1"/>
  <c r="I514" i="8"/>
  <c r="L406" i="8"/>
  <c r="M406" i="8" s="1" a="1"/>
  <c r="M406" i="8" s="1"/>
  <c r="I406" i="8"/>
  <c r="L868" i="8"/>
  <c r="M868" i="8" s="1" a="1"/>
  <c r="M868" i="8" s="1"/>
  <c r="I631" i="8"/>
  <c r="I1013" i="8"/>
  <c r="L1013" i="8"/>
  <c r="M1013" i="8" s="1" a="1"/>
  <c r="M1013" i="8" s="1"/>
  <c r="I931" i="8"/>
  <c r="L317" i="8"/>
  <c r="M317" i="8" s="1" a="1"/>
  <c r="M317" i="8" s="1"/>
  <c r="I799" i="8"/>
  <c r="I304" i="8"/>
  <c r="L769" i="8"/>
  <c r="M769" i="8" s="1" a="1"/>
  <c r="M769" i="8" s="1"/>
  <c r="M755" i="8" a="1"/>
  <c r="M755" i="8" s="1"/>
  <c r="M419" i="8" a="1"/>
  <c r="M419" i="8" s="1"/>
  <c r="M619" i="8" a="1"/>
  <c r="M619" i="8" s="1"/>
  <c r="M587" i="8" a="1"/>
  <c r="M587" i="8" s="1"/>
  <c r="Y7" i="8"/>
  <c r="E11" i="8"/>
  <c r="E858" i="8"/>
  <c r="Y10" i="8"/>
  <c r="I11" i="8" l="1"/>
  <c r="L11" i="8"/>
  <c r="M11" i="8" s="1" a="1"/>
  <c r="M11" i="8" s="1"/>
  <c r="M858" i="8" a="1"/>
  <c r="M858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<sst xmlns="http://schemas.openxmlformats.org/spreadsheetml/2006/main" count="7215" uniqueCount="1247">
  <si>
    <t/>
  </si>
  <si>
    <t>Overall</t>
  </si>
  <si>
    <t>PP</t>
  </si>
  <si>
    <t>SH</t>
  </si>
  <si>
    <t>Defense</t>
  </si>
  <si>
    <t>Goalies</t>
  </si>
  <si>
    <t>Player Name</t>
  </si>
  <si>
    <t>Team</t>
  </si>
  <si>
    <t>Pos</t>
  </si>
  <si>
    <t>GP</t>
  </si>
  <si>
    <t>G</t>
  </si>
  <si>
    <t>A</t>
  </si>
  <si>
    <t>Pts</t>
  </si>
  <si>
    <t>+/-</t>
  </si>
  <si>
    <t>PIM</t>
  </si>
  <si>
    <t>SOG</t>
  </si>
  <si>
    <t>GWG</t>
  </si>
  <si>
    <t>Hits</t>
  </si>
  <si>
    <t>BS</t>
  </si>
  <si>
    <t>W</t>
  </si>
  <si>
    <t>L</t>
  </si>
  <si>
    <t>OTL</t>
  </si>
  <si>
    <t>GA</t>
  </si>
  <si>
    <t>SA</t>
  </si>
  <si>
    <t>SV</t>
  </si>
  <si>
    <t>SV%</t>
  </si>
  <si>
    <t>SO</t>
  </si>
  <si>
    <t>Connor McDavid</t>
  </si>
  <si>
    <t>EDM</t>
  </si>
  <si>
    <t>C</t>
  </si>
  <si>
    <t>Leon Draisaitl</t>
  </si>
  <si>
    <t>Artemi Panarin</t>
  </si>
  <si>
    <t>NYR</t>
  </si>
  <si>
    <t>LW</t>
  </si>
  <si>
    <t>Mitch Marner</t>
  </si>
  <si>
    <t>TOR</t>
  </si>
  <si>
    <t>Brad Marchand</t>
  </si>
  <si>
    <t>BOS</t>
  </si>
  <si>
    <t>Alex Ovechkin</t>
  </si>
  <si>
    <t>WAS</t>
  </si>
  <si>
    <t>Mikko Rantanen</t>
  </si>
  <si>
    <t>COL</t>
  </si>
  <si>
    <t>RW</t>
  </si>
  <si>
    <t>Patrick Kane</t>
  </si>
  <si>
    <t>CHI</t>
  </si>
  <si>
    <t>Sidney Crosby</t>
  </si>
  <si>
    <t>PIT</t>
  </si>
  <si>
    <t>Jonathan Huberdeau</t>
  </si>
  <si>
    <t>CGY</t>
  </si>
  <si>
    <t>David Pastrnak</t>
  </si>
  <si>
    <t>Nathan MacKinnon</t>
  </si>
  <si>
    <t>Mark Scheifele</t>
  </si>
  <si>
    <t>WPG</t>
  </si>
  <si>
    <t>Nazem Kadri</t>
  </si>
  <si>
    <t>FA</t>
  </si>
  <si>
    <t>Auston Matthews</t>
  </si>
  <si>
    <t>Aleksander Barkov</t>
  </si>
  <si>
    <t>FLA</t>
  </si>
  <si>
    <t>Johnny Gaudreau</t>
  </si>
  <si>
    <t>CLS</t>
  </si>
  <si>
    <t>Nikita Kucherov</t>
  </si>
  <si>
    <t>TB</t>
  </si>
  <si>
    <t>Sebastian Aho</t>
  </si>
  <si>
    <t>CAR</t>
  </si>
  <si>
    <t>Jason Robertson</t>
  </si>
  <si>
    <t>DAL</t>
  </si>
  <si>
    <t>Jake Guentzel</t>
  </si>
  <si>
    <t>Joe Pavelski</t>
  </si>
  <si>
    <t>Steven Stamkos</t>
  </si>
  <si>
    <t>Brayden Point</t>
  </si>
  <si>
    <t>Timo Meier</t>
  </si>
  <si>
    <t>SJ</t>
  </si>
  <si>
    <t>Alex DeBrincat</t>
  </si>
  <si>
    <t>OTT</t>
  </si>
  <si>
    <t>Jordan Kyrou</t>
  </si>
  <si>
    <t>STL</t>
  </si>
  <si>
    <t>John Tavares</t>
  </si>
  <si>
    <t>Evgeny Kuznetsov</t>
  </si>
  <si>
    <t>J.T. Miller</t>
  </si>
  <si>
    <t>VAN</t>
  </si>
  <si>
    <t>Ryan O'Reilly</t>
  </si>
  <si>
    <t>Anze Kopitar</t>
  </si>
  <si>
    <t>LA</t>
  </si>
  <si>
    <t>David Perron</t>
  </si>
  <si>
    <t>DET</t>
  </si>
  <si>
    <t>Gabriel Landeskog</t>
  </si>
  <si>
    <t>Kirill Kaprizov</t>
  </si>
  <si>
    <t>MIN</t>
  </si>
  <si>
    <t>Elias Pettersson</t>
  </si>
  <si>
    <t>Andrei Svechnikov</t>
  </si>
  <si>
    <t>Mika Zibanejad</t>
  </si>
  <si>
    <t>Nicklas Backstrom</t>
  </si>
  <si>
    <t>Cale Makar</t>
  </si>
  <si>
    <t>D</t>
  </si>
  <si>
    <t>Mathew Barzal</t>
  </si>
  <si>
    <t>NYI</t>
  </si>
  <si>
    <t>Kyle Connor</t>
  </si>
  <si>
    <t>Mark Stone</t>
  </si>
  <si>
    <t>VGK</t>
  </si>
  <si>
    <t>Matt Duchene</t>
  </si>
  <si>
    <t>NSH</t>
  </si>
  <si>
    <t>Blake Wheeler</t>
  </si>
  <si>
    <t>Elias Lindholm</t>
  </si>
  <si>
    <t>Tomas Hertl</t>
  </si>
  <si>
    <t>Chandler Stephenson</t>
  </si>
  <si>
    <t>Jesper Bratt</t>
  </si>
  <si>
    <t>NJ</t>
  </si>
  <si>
    <t>Roope Hintz</t>
  </si>
  <si>
    <t>Evgeni Malkin</t>
  </si>
  <si>
    <t>Vladimir Tarasenko</t>
  </si>
  <si>
    <t>John Carlson</t>
  </si>
  <si>
    <t>Sam Reinhart</t>
  </si>
  <si>
    <t>Nikolaj Ehlers</t>
  </si>
  <si>
    <t>Matthew Tkachuk</t>
  </si>
  <si>
    <t>Kevin Fiala</t>
  </si>
  <si>
    <t>Taylor Hall</t>
  </si>
  <si>
    <t>Tyler Seguin</t>
  </si>
  <si>
    <t>Pavel Buchnevich</t>
  </si>
  <si>
    <t>Adam Fox</t>
  </si>
  <si>
    <t>Nick Suzuki</t>
  </si>
  <si>
    <t>MON</t>
  </si>
  <si>
    <t>Troy Terry</t>
  </si>
  <si>
    <t>ANH</t>
  </si>
  <si>
    <t>Ryan Strome</t>
  </si>
  <si>
    <t>Dougie Hamilton</t>
  </si>
  <si>
    <t>Patrice Bergeron</t>
  </si>
  <si>
    <t>Ryan Nugent-Hopkins</t>
  </si>
  <si>
    <t>Teuvo Teravainen</t>
  </si>
  <si>
    <t>Patrik Laine</t>
  </si>
  <si>
    <t>Quinn Hughes</t>
  </si>
  <si>
    <t>Claude Giroux</t>
  </si>
  <si>
    <t>Sean Couturier</t>
  </si>
  <si>
    <t>PHI</t>
  </si>
  <si>
    <t>Jonathan Marchessault</t>
  </si>
  <si>
    <t>William Nylander</t>
  </si>
  <si>
    <t>Travis Konecny</t>
  </si>
  <si>
    <t>Martin Necas</t>
  </si>
  <si>
    <t>Conor Garland</t>
  </si>
  <si>
    <t>Dylan Larkin</t>
  </si>
  <si>
    <t>Oliver Bjorkstrand</t>
  </si>
  <si>
    <t>SEA</t>
  </si>
  <si>
    <t>Jakub Voracek</t>
  </si>
  <si>
    <t>Victor Hedman</t>
  </si>
  <si>
    <t>Vincent Trocheck</t>
  </si>
  <si>
    <t>Bryan Rust</t>
  </si>
  <si>
    <t>Jack Eichel</t>
  </si>
  <si>
    <t>Zach Hyman</t>
  </si>
  <si>
    <t>Pierre-Luc Dubois</t>
  </si>
  <si>
    <t>Brock Boeser</t>
  </si>
  <si>
    <t>Drake Batherson</t>
  </si>
  <si>
    <t>Joel Farabee</t>
  </si>
  <si>
    <t>Cole Caufield</t>
  </si>
  <si>
    <t>Roman Josi</t>
  </si>
  <si>
    <t>Max Pacioretty</t>
  </si>
  <si>
    <t>T.J. Oshie</t>
  </si>
  <si>
    <t>Jonathan Toews</t>
  </si>
  <si>
    <t>Mats Zuccarello</t>
  </si>
  <si>
    <t>Tyson Barrie</t>
  </si>
  <si>
    <t>Shea Theodore</t>
  </si>
  <si>
    <t>Bo Horvat</t>
  </si>
  <si>
    <t>Dominik Kubalik</t>
  </si>
  <si>
    <t>Josh Norris</t>
  </si>
  <si>
    <t>Andre Burakovsky</t>
  </si>
  <si>
    <t>Sean Monahan</t>
  </si>
  <si>
    <t>Yanni Gourde</t>
  </si>
  <si>
    <t>Carter Verhaeghe</t>
  </si>
  <si>
    <t>Brayden Schenn</t>
  </si>
  <si>
    <t>Phillip Danault</t>
  </si>
  <si>
    <t>Mike Hoffman</t>
  </si>
  <si>
    <t>Tyler Toffoli</t>
  </si>
  <si>
    <t>Brock Nelson</t>
  </si>
  <si>
    <t>Anders Lee</t>
  </si>
  <si>
    <t>Josh Bailey</t>
  </si>
  <si>
    <t>Evan Rodrigues</t>
  </si>
  <si>
    <t>John Klingberg</t>
  </si>
  <si>
    <t>Filip Forsberg</t>
  </si>
  <si>
    <t>Ondrej Palat</t>
  </si>
  <si>
    <t>Torey Krug</t>
  </si>
  <si>
    <t>Nico Hischier</t>
  </si>
  <si>
    <t>Brady Tkachuk</t>
  </si>
  <si>
    <t>Clayton Keller</t>
  </si>
  <si>
    <t>ARI</t>
  </si>
  <si>
    <t>Logan Couture</t>
  </si>
  <si>
    <t>Gustav Nyquist</t>
  </si>
  <si>
    <t>Reilly Smith</t>
  </si>
  <si>
    <t>James van Riemsdyk</t>
  </si>
  <si>
    <t>Kris Letang</t>
  </si>
  <si>
    <t>Mikael Backlund</t>
  </si>
  <si>
    <t>Jamie Benn</t>
  </si>
  <si>
    <t>Morgan Rielly</t>
  </si>
  <si>
    <t>Jonathan Drouin</t>
  </si>
  <si>
    <t>Connor Brown</t>
  </si>
  <si>
    <t>Sam Bennett</t>
  </si>
  <si>
    <t>Max Comtois</t>
  </si>
  <si>
    <t>Tim Stutzle</t>
  </si>
  <si>
    <t>Victor Olofsson</t>
  </si>
  <si>
    <t>BUF</t>
  </si>
  <si>
    <t>Neal Pionk</t>
  </si>
  <si>
    <t>Samuel Girard</t>
  </si>
  <si>
    <t>Thomas Chabot</t>
  </si>
  <si>
    <t>Jared McCann</t>
  </si>
  <si>
    <t>Aaron Ekblad</t>
  </si>
  <si>
    <t>Brent Burns</t>
  </si>
  <si>
    <t>Jordan Eberle</t>
  </si>
  <si>
    <t>Tomas Tatar</t>
  </si>
  <si>
    <t>Cam Atkinson</t>
  </si>
  <si>
    <t>Charlie Coyle</t>
  </si>
  <si>
    <t>Chris Kreider</t>
  </si>
  <si>
    <t>Kasperi Kapanen</t>
  </si>
  <si>
    <t>Alex Killorn</t>
  </si>
  <si>
    <t>Joel Eriksson Ek</t>
  </si>
  <si>
    <t>Alexander Barabanov</t>
  </si>
  <si>
    <t>Trevor Zegras</t>
  </si>
  <si>
    <t>Denis Gurianov</t>
  </si>
  <si>
    <t>Alex Iafallo</t>
  </si>
  <si>
    <t>Tom Wilson</t>
  </si>
  <si>
    <t>Brandon Saad</t>
  </si>
  <si>
    <t>Phil Kessel</t>
  </si>
  <si>
    <t>Alex Pietrangelo</t>
  </si>
  <si>
    <t>Keith Yandle</t>
  </si>
  <si>
    <t>Patric Hornqvist</t>
  </si>
  <si>
    <t>Max Domi</t>
  </si>
  <si>
    <t>Zach Werenski</t>
  </si>
  <si>
    <t>Ivan Provorov</t>
  </si>
  <si>
    <t>Joonas Donskoi</t>
  </si>
  <si>
    <t>Jack Roslovic</t>
  </si>
  <si>
    <t>Jakob Chychrun</t>
  </si>
  <si>
    <t>Robert Thomas</t>
  </si>
  <si>
    <t>Yegor Sharangovich</t>
  </si>
  <si>
    <t>Nils Hoglander</t>
  </si>
  <si>
    <t>Anthony Mantha</t>
  </si>
  <si>
    <t>Seth Jones</t>
  </si>
  <si>
    <t>Darnell Nurse</t>
  </si>
  <si>
    <t>Robby Fabbri</t>
  </si>
  <si>
    <t>Andrew Mangiapane</t>
  </si>
  <si>
    <t>Tyler Bertuzzi</t>
  </si>
  <si>
    <t>Kevin Labanc</t>
  </si>
  <si>
    <t>Jordan Staal</t>
  </si>
  <si>
    <t>Rickard Rakell</t>
  </si>
  <si>
    <t>Brendan Gallagher</t>
  </si>
  <si>
    <t>Evgenii Dadonov</t>
  </si>
  <si>
    <t>Jeff Petry</t>
  </si>
  <si>
    <t>Anthony Duclair</t>
  </si>
  <si>
    <t>Kirby Dach</t>
  </si>
  <si>
    <t>Jordan Greenway</t>
  </si>
  <si>
    <t>Alexander Wennberg</t>
  </si>
  <si>
    <t>Dylan Strome</t>
  </si>
  <si>
    <t>Nick Schmaltz</t>
  </si>
  <si>
    <t>Oliver Ekman-Larsson</t>
  </si>
  <si>
    <t>Jaden Schwartz</t>
  </si>
  <si>
    <t>Nino Niederreiter</t>
  </si>
  <si>
    <t>Andrew Copp</t>
  </si>
  <si>
    <t>Christian Dvorak</t>
  </si>
  <si>
    <t>Blake Coleman</t>
  </si>
  <si>
    <t>Anthony Beauvillier</t>
  </si>
  <si>
    <t>Charlie McAvoy</t>
  </si>
  <si>
    <t>Mikhail Sergachev</t>
  </si>
  <si>
    <t>Miro Heiskanen</t>
  </si>
  <si>
    <t>Filip Hronek</t>
  </si>
  <si>
    <t>Devon Toews</t>
  </si>
  <si>
    <t>Anthony Cirelli</t>
  </si>
  <si>
    <t>Frank Vatrano</t>
  </si>
  <si>
    <t>Adrian Kempe</t>
  </si>
  <si>
    <t>Mikael Granlund</t>
  </si>
  <si>
    <t>Ryan Ellis</t>
  </si>
  <si>
    <t>Kyle Palmieri</t>
  </si>
  <si>
    <t>Paul Stastny</t>
  </si>
  <si>
    <t>Jason Zucker</t>
  </si>
  <si>
    <t>Kevin Hayes</t>
  </si>
  <si>
    <t>Jean-Gabriel Pageau</t>
  </si>
  <si>
    <t>Pavel Zacha</t>
  </si>
  <si>
    <t>Eeli Tolvanen</t>
  </si>
  <si>
    <t>William Karlsson</t>
  </si>
  <si>
    <t>Tony DeAngelo</t>
  </si>
  <si>
    <t>Jakob Silfverberg</t>
  </si>
  <si>
    <t>Alec Martinez</t>
  </si>
  <si>
    <t>Jeff Carter</t>
  </si>
  <si>
    <t>Jack Hughes</t>
  </si>
  <si>
    <t>Rasmus Dahlin</t>
  </si>
  <si>
    <t>Ty Smith</t>
  </si>
  <si>
    <t>Oliver Wahlstrom</t>
  </si>
  <si>
    <t>Alexis Lafreniere</t>
  </si>
  <si>
    <t>Filip Chytil</t>
  </si>
  <si>
    <t>Gabriel Vilardi</t>
  </si>
  <si>
    <t>Conor Sheary</t>
  </si>
  <si>
    <t>Lars Eller</t>
  </si>
  <si>
    <t>Calle Jarnkrok</t>
  </si>
  <si>
    <t>Jake Muzzin</t>
  </si>
  <si>
    <t>Jared Spurgeon</t>
  </si>
  <si>
    <t>Craig Smith</t>
  </si>
  <si>
    <t>Tanner Pearson</t>
  </si>
  <si>
    <t>Mike Reilly</t>
  </si>
  <si>
    <t>Adam Henrique</t>
  </si>
  <si>
    <t>Mattias Ekholm</t>
  </si>
  <si>
    <t>Ryan Johansen</t>
  </si>
  <si>
    <t>Mark Giordano</t>
  </si>
  <si>
    <t>Jesse Puljujarvi</t>
  </si>
  <si>
    <t>Pius Suter</t>
  </si>
  <si>
    <t>Kailer Yamamoto</t>
  </si>
  <si>
    <t>Brandon Hagel</t>
  </si>
  <si>
    <t>Ryan Suter</t>
  </si>
  <si>
    <t>Erik Karlsson</t>
  </si>
  <si>
    <t>Nick Bonino</t>
  </si>
  <si>
    <t>Josh Anderson</t>
  </si>
  <si>
    <t>Viktor Arvidsson</t>
  </si>
  <si>
    <t>MacKenzie Weegar</t>
  </si>
  <si>
    <t>Damon Severson</t>
  </si>
  <si>
    <t>Andreas Athanasiou</t>
  </si>
  <si>
    <t>Casey Mittelstadt</t>
  </si>
  <si>
    <t>Luke Kunin</t>
  </si>
  <si>
    <t>Vince Dunn</t>
  </si>
  <si>
    <t>Miles Wood</t>
  </si>
  <si>
    <t>Nolan Patrick</t>
  </si>
  <si>
    <t>Alex Kerfoot</t>
  </si>
  <si>
    <t>Filip Zadina</t>
  </si>
  <si>
    <t>Jesperi Kotkaniemi</t>
  </si>
  <si>
    <t>Joe Thornton</t>
  </si>
  <si>
    <t>Drew Doughty</t>
  </si>
  <si>
    <t>Marcus Foligno</t>
  </si>
  <si>
    <t>Chris Tierney</t>
  </si>
  <si>
    <t>Nick Paul</t>
  </si>
  <si>
    <t>Matt Grzelcyk</t>
  </si>
  <si>
    <t>Jaccob Slavin</t>
  </si>
  <si>
    <t>Nick Ritchie</t>
  </si>
  <si>
    <t>Mattias Janmark</t>
  </si>
  <si>
    <t>Tyler Johnson</t>
  </si>
  <si>
    <t>Justin Schultz</t>
  </si>
  <si>
    <t>Kaapo Kakko</t>
  </si>
  <si>
    <t>Adam Gaudette</t>
  </si>
  <si>
    <t>Owen Tippett</t>
  </si>
  <si>
    <t>Rudolfs Balcers</t>
  </si>
  <si>
    <t>Rasmus Andersson</t>
  </si>
  <si>
    <t>Ondrej Kase</t>
  </si>
  <si>
    <t>Corey Perry</t>
  </si>
  <si>
    <t>Justin Faulk</t>
  </si>
  <si>
    <t>Erik Haula</t>
  </si>
  <si>
    <t>Shayne Gostisbehere</t>
  </si>
  <si>
    <t>Teddy Blueger</t>
  </si>
  <si>
    <t>Brett Pesce</t>
  </si>
  <si>
    <t>Zach Sanford</t>
  </si>
  <si>
    <t>Rasmus Ristolainen</t>
  </si>
  <si>
    <t>Josh Morrissey</t>
  </si>
  <si>
    <t>Valeri Nichushkin</t>
  </si>
  <si>
    <t>Scott Laughton</t>
  </si>
  <si>
    <t>Matt Dumba</t>
  </si>
  <si>
    <t>Boone Jenner</t>
  </si>
  <si>
    <t>Ryan Donato</t>
  </si>
  <si>
    <t>Noah Hanifin</t>
  </si>
  <si>
    <t>Alex Goligoski</t>
  </si>
  <si>
    <t>Brandon Tanev</t>
  </si>
  <si>
    <t>Dillon Dube</t>
  </si>
  <si>
    <t>Adam Boqvist</t>
  </si>
  <si>
    <t>William Eklund</t>
  </si>
  <si>
    <t>Colin Blackwell</t>
  </si>
  <si>
    <t>Trevor Moore</t>
  </si>
  <si>
    <t>Mason Appleton</t>
  </si>
  <si>
    <t>Jake DeBrusk</t>
  </si>
  <si>
    <t>Colin White</t>
  </si>
  <si>
    <t>Tyler Myers</t>
  </si>
  <si>
    <t>Dmitry Orlov</t>
  </si>
  <si>
    <t>Cam Fowler</t>
  </si>
  <si>
    <t>Jeff Skinner</t>
  </si>
  <si>
    <t>Victor Rask</t>
  </si>
  <si>
    <t>Colton Parayko</t>
  </si>
  <si>
    <t>Gustav Forsling</t>
  </si>
  <si>
    <t>Brandon Montour</t>
  </si>
  <si>
    <t>Warren Foegele</t>
  </si>
  <si>
    <t>Adam Lowry</t>
  </si>
  <si>
    <t>Jacob Trouba</t>
  </si>
  <si>
    <t>Ryan Hartman</t>
  </si>
  <si>
    <t>Artturi Lehkonen</t>
  </si>
  <si>
    <t>J.T. Compher</t>
  </si>
  <si>
    <t>Ryan Pulock</t>
  </si>
  <si>
    <t>Travis Sanheim</t>
  </si>
  <si>
    <t>Alex Tuch</t>
  </si>
  <si>
    <t>Jonas Brodin</t>
  </si>
  <si>
    <t>Marcus Johansson</t>
  </si>
  <si>
    <t>Nick Leddy</t>
  </si>
  <si>
    <t>Tyler Bozak</t>
  </si>
  <si>
    <t>Nick Foligno</t>
  </si>
  <si>
    <t>P.K. Subban</t>
  </si>
  <si>
    <t>Milan Lucic</t>
  </si>
  <si>
    <t>Evander Kane</t>
  </si>
  <si>
    <t>Esa Lindell</t>
  </si>
  <si>
    <t>Barclay Goodrow</t>
  </si>
  <si>
    <t>Jesper Fast</t>
  </si>
  <si>
    <t>Daniel Sprong</t>
  </si>
  <si>
    <t>Nicolas Hague</t>
  </si>
  <si>
    <t>Michael Rasmussen</t>
  </si>
  <si>
    <t>Dylan Cozens</t>
  </si>
  <si>
    <t>Philipp Kurashev</t>
  </si>
  <si>
    <t>Lucas Raymond</t>
  </si>
  <si>
    <t>Mathieu Joseph</t>
  </si>
  <si>
    <t>Nic Dowd</t>
  </si>
  <si>
    <t>Ryan Dzingel</t>
  </si>
  <si>
    <t>Alex Chiasson</t>
  </si>
  <si>
    <t>Vladislav Namestnikov</t>
  </si>
  <si>
    <t>Zach Parise</t>
  </si>
  <si>
    <t>Justin Holl</t>
  </si>
  <si>
    <t>Carl Hagelin</t>
  </si>
  <si>
    <t>Vinnie Hinostroza</t>
  </si>
  <si>
    <t>Ivan Barbashev</t>
  </si>
  <si>
    <t>Oskar Sundqvist</t>
  </si>
  <si>
    <t>Danton Heinen</t>
  </si>
  <si>
    <t>Lawson Crouse</t>
  </si>
  <si>
    <t>Radek Faksa</t>
  </si>
  <si>
    <t>Brady Skjei</t>
  </si>
  <si>
    <t>Hampus Lindholm</t>
  </si>
  <si>
    <t>Nick Cousins</t>
  </si>
  <si>
    <t>Patrick Maroon</t>
  </si>
  <si>
    <t>Oskar Lindblom</t>
  </si>
  <si>
    <t>Nils Lundkvist</t>
  </si>
  <si>
    <t>Blake Lizotte</t>
  </si>
  <si>
    <t>Ilya Mikheyev</t>
  </si>
  <si>
    <t>Carson Soucy</t>
  </si>
  <si>
    <t>Eric Robinson</t>
  </si>
  <si>
    <t>Nicolas Roy</t>
  </si>
  <si>
    <t>Sam Steel</t>
  </si>
  <si>
    <t>Mario Ferraro</t>
  </si>
  <si>
    <t>Mike Matheson</t>
  </si>
  <si>
    <t>Alex Galchenyuk</t>
  </si>
  <si>
    <t>Adam Erne</t>
  </si>
  <si>
    <t>Frederick Gaudreau</t>
  </si>
  <si>
    <t>Ryan Graves</t>
  </si>
  <si>
    <t>Joel Armia</t>
  </si>
  <si>
    <t>Derick Brassard</t>
  </si>
  <si>
    <t>Mathieu Perreault</t>
  </si>
  <si>
    <t>Kevin Shattenkirk</t>
  </si>
  <si>
    <t>Sam Gagner</t>
  </si>
  <si>
    <t>Kyle Okposo</t>
  </si>
  <si>
    <t>Garnet Hathaway</t>
  </si>
  <si>
    <t>Alex Formenton</t>
  </si>
  <si>
    <t>Ryan Lindgren</t>
  </si>
  <si>
    <t>Erik Gustafsson</t>
  </si>
  <si>
    <t>Erik Cernak</t>
  </si>
  <si>
    <t>Noah Dobson</t>
  </si>
  <si>
    <t>Mikhail Maltsev</t>
  </si>
  <si>
    <t>John Marino</t>
  </si>
  <si>
    <t>Cole Perfetti</t>
  </si>
  <si>
    <t>Artem Zub</t>
  </si>
  <si>
    <t>Christian Fischer</t>
  </si>
  <si>
    <t>Tyson Jost</t>
  </si>
  <si>
    <t>Jake Bean</t>
  </si>
  <si>
    <t>Cody Glass</t>
  </si>
  <si>
    <t>Emil Bemstrom</t>
  </si>
  <si>
    <t>Nate Schmidt</t>
  </si>
  <si>
    <t>Jason Dickinson</t>
  </si>
  <si>
    <t>Cody Ceci</t>
  </si>
  <si>
    <t>Brenden Dillon</t>
  </si>
  <si>
    <t>James Neal</t>
  </si>
  <si>
    <t>Derek Stepan</t>
  </si>
  <si>
    <t>Connor Murphy</t>
  </si>
  <si>
    <t>Derek Grant</t>
  </si>
  <si>
    <t>Brian Dumoulin</t>
  </si>
  <si>
    <t>Nick Bjugstad</t>
  </si>
  <si>
    <t>Richard Panik</t>
  </si>
  <si>
    <t>Johan Larsson</t>
  </si>
  <si>
    <t>Rocco Grimaldi</t>
  </si>
  <si>
    <t>T.J. Brodie</t>
  </si>
  <si>
    <t>Alexander Edler</t>
  </si>
  <si>
    <t>Colton Sissons</t>
  </si>
  <si>
    <t>William Carrier</t>
  </si>
  <si>
    <t>Will Butcher</t>
  </si>
  <si>
    <t>Tomas Nosek</t>
  </si>
  <si>
    <t>Sammy Blais</t>
  </si>
  <si>
    <t>Josh Archibald</t>
  </si>
  <si>
    <t>Anders Bjork</t>
  </si>
  <si>
    <t>Morgan Geekie</t>
  </si>
  <si>
    <t>David Kampf</t>
  </si>
  <si>
    <t>Zach Aston-Reese</t>
  </si>
  <si>
    <t>Brett Howden</t>
  </si>
  <si>
    <t>Michal Kempny</t>
  </si>
  <si>
    <t>Nikita Zaitsev</t>
  </si>
  <si>
    <t>Derek Ryan</t>
  </si>
  <si>
    <t>Brandon Carlo</t>
  </si>
  <si>
    <t>Dawson Mercer</t>
  </si>
  <si>
    <t>John Leonard</t>
  </si>
  <si>
    <t>Quinton Byfield</t>
  </si>
  <si>
    <t>Isac Lundestrom</t>
  </si>
  <si>
    <t>Grigori Denisenko</t>
  </si>
  <si>
    <t>Nico Sturm</t>
  </si>
  <si>
    <t>Shane Pinto</t>
  </si>
  <si>
    <t>Andreas Johnsson</t>
  </si>
  <si>
    <t>Jake Evans</t>
  </si>
  <si>
    <t>Josh Manson</t>
  </si>
  <si>
    <t>Jordan Martinook</t>
  </si>
  <si>
    <t>Brock McGinn</t>
  </si>
  <si>
    <t>Ryan McDonagh</t>
  </si>
  <si>
    <t>Blake Comeau</t>
  </si>
  <si>
    <t>Paul Byron</t>
  </si>
  <si>
    <t>Matt Nieto</t>
  </si>
  <si>
    <t>Scott Mayfield</t>
  </si>
  <si>
    <t>Zack Kassian</t>
  </si>
  <si>
    <t>Casey Cizikas</t>
  </si>
  <si>
    <t>Tyler Pitlick</t>
  </si>
  <si>
    <t>Adam Pelech</t>
  </si>
  <si>
    <t>Michael Raffl</t>
  </si>
  <si>
    <t>Jakub Vrana</t>
  </si>
  <si>
    <t>Alexandre Texier</t>
  </si>
  <si>
    <t>Erik Brannstrom</t>
  </si>
  <si>
    <t>Noel Acciari</t>
  </si>
  <si>
    <t>Keegan Kolesar</t>
  </si>
  <si>
    <t>Vladislav Gavrikov</t>
  </si>
  <si>
    <t>Philippe Myers</t>
  </si>
  <si>
    <t>Jacob Bryson</t>
  </si>
  <si>
    <t>K'Andre Miller</t>
  </si>
  <si>
    <t>Pierre Engvall</t>
  </si>
  <si>
    <t>Zach Whitecloud</t>
  </si>
  <si>
    <t>Tanner Jeannot</t>
  </si>
  <si>
    <t>Rasmus Sandin</t>
  </si>
  <si>
    <t>Carl Grundstrom</t>
  </si>
  <si>
    <t>Yakov Trenin</t>
  </si>
  <si>
    <t>Brendan Lemieux</t>
  </si>
  <si>
    <t>Pierre-Edouard Bellemare</t>
  </si>
  <si>
    <t>Ryan Murray</t>
  </si>
  <si>
    <t>Austin Watson</t>
  </si>
  <si>
    <t>Brett Connolly</t>
  </si>
  <si>
    <t>Dmitrij Jaskin</t>
  </si>
  <si>
    <t>Erik Johnson</t>
  </si>
  <si>
    <t>Michael Del Zotto</t>
  </si>
  <si>
    <t>Cal Clutterbuck</t>
  </si>
  <si>
    <t>Darren Helm</t>
  </si>
  <si>
    <t>Jamie Oleksiak</t>
  </si>
  <si>
    <t>Zemgus Girgensons</t>
  </si>
  <si>
    <t>Nicolas Aube-Kubel</t>
  </si>
  <si>
    <t>Ben Chiarot</t>
  </si>
  <si>
    <t>Jujhar Khaira</t>
  </si>
  <si>
    <t>Colin Miller</t>
  </si>
  <si>
    <t>Luke Glendening</t>
  </si>
  <si>
    <t>Nathan Bastian</t>
  </si>
  <si>
    <t>Dante Fabbro</t>
  </si>
  <si>
    <t>Michael McLeod</t>
  </si>
  <si>
    <t>Nick Jensen</t>
  </si>
  <si>
    <t>Sean Kuraly</t>
  </si>
  <si>
    <t>Troy Stecher</t>
  </si>
  <si>
    <t>Henri Jokiharju</t>
  </si>
  <si>
    <t>Kevin Rooney</t>
  </si>
  <si>
    <t>Nikolai Knyzhov</t>
  </si>
  <si>
    <t>Ross Colton</t>
  </si>
  <si>
    <t>Matthew Boldy</t>
  </si>
  <si>
    <t>Matt Roy</t>
  </si>
  <si>
    <t>Tage Thompson</t>
  </si>
  <si>
    <t>Mikey Anderson</t>
  </si>
  <si>
    <t>Ethan Bear</t>
  </si>
  <si>
    <t>Ben Hutton</t>
  </si>
  <si>
    <t>Joel Edmundson</t>
  </si>
  <si>
    <t>Curtis Lazar</t>
  </si>
  <si>
    <t>Danny DeKeyser</t>
  </si>
  <si>
    <t>Radko Gudas</t>
  </si>
  <si>
    <t>Justin Braun</t>
  </si>
  <si>
    <t>Travis Hamonic</t>
  </si>
  <si>
    <t>Andrew Cogliano</t>
  </si>
  <si>
    <t>Anton Stralman</t>
  </si>
  <si>
    <t>Chris Tanev</t>
  </si>
  <si>
    <t>Derek Forbort</t>
  </si>
  <si>
    <t>Patrik Nemeth</t>
  </si>
  <si>
    <t>Ryan Reaves</t>
  </si>
  <si>
    <t>Jimmy Vesey</t>
  </si>
  <si>
    <t>Cedric Paquette</t>
  </si>
  <si>
    <t>Jordan Oesterle</t>
  </si>
  <si>
    <t>Max Jones</t>
  </si>
  <si>
    <t>Drake Caggiula</t>
  </si>
  <si>
    <t>Nicholas Merkley</t>
  </si>
  <si>
    <t>Juuso Valimaki</t>
  </si>
  <si>
    <t>Wade Allison</t>
  </si>
  <si>
    <t>Dylan Gambrell</t>
  </si>
  <si>
    <t>Moritz Seider</t>
  </si>
  <si>
    <t>Wyatt Kalynuk</t>
  </si>
  <si>
    <t>Joel Kiviranta</t>
  </si>
  <si>
    <t>Jamie Drysdale</t>
  </si>
  <si>
    <t>Rasmus Asplund</t>
  </si>
  <si>
    <t>Victor Mete</t>
  </si>
  <si>
    <t>Jaret Anderson-Dolan</t>
  </si>
  <si>
    <t>Markus Nutivaara</t>
  </si>
  <si>
    <t>Ryan Carpenter</t>
  </si>
  <si>
    <t>Marcus Pettersson</t>
  </si>
  <si>
    <t>Nikita Zadorov</t>
  </si>
  <si>
    <t>Leo Komarov</t>
  </si>
  <si>
    <t>Wayne Simmonds</t>
  </si>
  <si>
    <t>Ian Cole</t>
  </si>
  <si>
    <t>Trevor Lewis</t>
  </si>
  <si>
    <t>Adam Larsson</t>
  </si>
  <si>
    <t>Kyle Clifford</t>
  </si>
  <si>
    <t>Cody Eakin</t>
  </si>
  <si>
    <t>Brayden McNabb</t>
  </si>
  <si>
    <t>Jake McCabe</t>
  </si>
  <si>
    <t>Brett Kulak</t>
  </si>
  <si>
    <t>Eetu Luostarinen</t>
  </si>
  <si>
    <t>Travis Boyd</t>
  </si>
  <si>
    <t>Tobias Bjornfot</t>
  </si>
  <si>
    <t>Tucker Poolman</t>
  </si>
  <si>
    <t>Steven Lorentz</t>
  </si>
  <si>
    <t>Logan Brown</t>
  </si>
  <si>
    <t>Michael Bunting</t>
  </si>
  <si>
    <t>Tanner Kero</t>
  </si>
  <si>
    <t>Dylan DeMelo</t>
  </si>
  <si>
    <t>Jordie Benn</t>
  </si>
  <si>
    <t>Devin Shore</t>
  </si>
  <si>
    <t>Calvin de Haan</t>
  </si>
  <si>
    <t>Matt Martin</t>
  </si>
  <si>
    <t>Marc Staal</t>
  </si>
  <si>
    <t>Nate Thompson</t>
  </si>
  <si>
    <t>Riley Nash</t>
  </si>
  <si>
    <t>Marco Scandella</t>
  </si>
  <si>
    <t>Kris Russell</t>
  </si>
  <si>
    <t>Zdeno Chara</t>
  </si>
  <si>
    <t>Nicolas Deslauriers</t>
  </si>
  <si>
    <t>Riley Sheahan</t>
  </si>
  <si>
    <t>Josh Leivo</t>
  </si>
  <si>
    <t>Sonny Milano</t>
  </si>
  <si>
    <t>Tyler Motte</t>
  </si>
  <si>
    <t>Kevin Stenlund</t>
  </si>
  <si>
    <t>Jakub Zboril</t>
  </si>
  <si>
    <t>Jacob Larsson</t>
  </si>
  <si>
    <t>Noah Gregor</t>
  </si>
  <si>
    <t>Ian Mitchell</t>
  </si>
  <si>
    <t>Alex Turcotte</t>
  </si>
  <si>
    <t>Mason Marchment</t>
  </si>
  <si>
    <t>Sam Lafferty</t>
  </si>
  <si>
    <t>Evan Bouchard</t>
  </si>
  <si>
    <t>Liam Foudy</t>
  </si>
  <si>
    <t>Nicolas Beaudin</t>
  </si>
  <si>
    <t>Jesper Boqvist</t>
  </si>
  <si>
    <t>Haydn Fleury</t>
  </si>
  <si>
    <t>Mark Jankowski</t>
  </si>
  <si>
    <t>Robert Hagg</t>
  </si>
  <si>
    <t>David Savard</t>
  </si>
  <si>
    <t>Dmitry Kulikov</t>
  </si>
  <si>
    <t>Mark Pysyk</t>
  </si>
  <si>
    <t>Andy Greene</t>
  </si>
  <si>
    <t>Marc-Edouard Vlasic</t>
  </si>
  <si>
    <t>Nick Holden</t>
  </si>
  <si>
    <t>Tyler Ennis</t>
  </si>
  <si>
    <t>Phil Di Giuseppe</t>
  </si>
  <si>
    <t>Chris Wagner</t>
  </si>
  <si>
    <t>Jan Rutta</t>
  </si>
  <si>
    <t>Jacob MacDonald</t>
  </si>
  <si>
    <t>Evgeny Svechnikov</t>
  </si>
  <si>
    <t>Dryden Hunt</t>
  </si>
  <si>
    <t>Julien Gauthier</t>
  </si>
  <si>
    <t>Martin Kaut</t>
  </si>
  <si>
    <t>Alexander Romanov</t>
  </si>
  <si>
    <t>Arttu Ruotsalainen</t>
  </si>
  <si>
    <t>Victor Soderstrom</t>
  </si>
  <si>
    <t>Peyton Krebs</t>
  </si>
  <si>
    <t>Jack Rathbone</t>
  </si>
  <si>
    <t>Jan Jenik</t>
  </si>
  <si>
    <t>Travis Dermott</t>
  </si>
  <si>
    <t>Jeremy Lauzon</t>
  </si>
  <si>
    <t>Dylan Coghlan</t>
  </si>
  <si>
    <t>Radim Simek</t>
  </si>
  <si>
    <t>Morgan Frost</t>
  </si>
  <si>
    <t>Matthew Highmore</t>
  </si>
  <si>
    <t>Olli Maatta</t>
  </si>
  <si>
    <t>Antoine Roussel</t>
  </si>
  <si>
    <t>Jani Hakanpaa</t>
  </si>
  <si>
    <t>Robert Bortuzzo</t>
  </si>
  <si>
    <t>Joel Hanley</t>
  </si>
  <si>
    <t>Ben Harpur</t>
  </si>
  <si>
    <t>Jake Gardiner</t>
  </si>
  <si>
    <t>Jay Beagle</t>
  </si>
  <si>
    <t>Brendan Smith</t>
  </si>
  <si>
    <t>Kyle Turris</t>
  </si>
  <si>
    <t>Andrej Sekera</t>
  </si>
  <si>
    <t>John Moore</t>
  </si>
  <si>
    <t>Trent Frederic</t>
  </si>
  <si>
    <t>Pierre-Olivier Joseph</t>
  </si>
  <si>
    <t>Carter Rowney</t>
  </si>
  <si>
    <t>Logan Stanley</t>
  </si>
  <si>
    <t>Radim Zohorna</t>
  </si>
  <si>
    <t>Ty Dellandrea</t>
  </si>
  <si>
    <t>Barrett Hayton</t>
  </si>
  <si>
    <t>Connor Clifton</t>
  </si>
  <si>
    <t>Joe Veleno</t>
  </si>
  <si>
    <t>Bowen Byram</t>
  </si>
  <si>
    <t>Ville Heinola</t>
  </si>
  <si>
    <t>Alex Newhook</t>
  </si>
  <si>
    <t>Zac Jones</t>
  </si>
  <si>
    <t>Mackenzie MacEachern</t>
  </si>
  <si>
    <t>Logan O'Connor</t>
  </si>
  <si>
    <t>Alex Barre-Boulet</t>
  </si>
  <si>
    <t>Matt Benning</t>
  </si>
  <si>
    <t>Caleb Jones</t>
  </si>
  <si>
    <t>Sami Niku</t>
  </si>
  <si>
    <t>Dean Kukan</t>
  </si>
  <si>
    <t>Lias Andersson</t>
  </si>
  <si>
    <t>Dominic Toninato</t>
  </si>
  <si>
    <t>Mark Borowiecki</t>
  </si>
  <si>
    <t>Jon Merrill</t>
  </si>
  <si>
    <t>Brett Ritchie</t>
  </si>
  <si>
    <t>Zach Bogosian</t>
  </si>
  <si>
    <t>Sam Carrick</t>
  </si>
  <si>
    <t>Justin Dowling</t>
  </si>
  <si>
    <t>Michael Stone</t>
  </si>
  <si>
    <t>Erik Gudbranson</t>
  </si>
  <si>
    <t>Jack Studnicka</t>
  </si>
  <si>
    <t>Adam Brooks</t>
  </si>
  <si>
    <t>Mitchell Stephens</t>
  </si>
  <si>
    <t>Gabriel Carlsson</t>
  </si>
  <si>
    <t>Kieffer Bellows</t>
  </si>
  <si>
    <t>Dennis Cholowski</t>
  </si>
  <si>
    <t>Mattias Samuelsson</t>
  </si>
  <si>
    <t>Kevin Bahl</t>
  </si>
  <si>
    <t>Mathieu Olivier</t>
  </si>
  <si>
    <t>Jacob Bernard-Docker</t>
  </si>
  <si>
    <t>Karson Kuhlman</t>
  </si>
  <si>
    <t>Kale Clague</t>
  </si>
  <si>
    <t>Libor Hajek</t>
  </si>
  <si>
    <t>Olli Juolevi</t>
  </si>
  <si>
    <t>Alexandre Carrier</t>
  </si>
  <si>
    <t>Cal Foote</t>
  </si>
  <si>
    <t>Givani Smith</t>
  </si>
  <si>
    <t>Josh Mahura</t>
  </si>
  <si>
    <t>Klim Kostin</t>
  </si>
  <si>
    <t>Mackenzie Entwistle</t>
  </si>
  <si>
    <t>Brad Hunt</t>
  </si>
  <si>
    <t>Michael Dal Colle</t>
  </si>
  <si>
    <t>Trevor van Riemsdyk</t>
  </si>
  <si>
    <t>Michael Amadio</t>
  </si>
  <si>
    <t>Andrei Vasilevskiy</t>
  </si>
  <si>
    <t>Scott Harrington</t>
  </si>
  <si>
    <t>Tristan Jarry</t>
  </si>
  <si>
    <t>John Hayden</t>
  </si>
  <si>
    <t>Liam O'Brien</t>
  </si>
  <si>
    <t>Josh Brown</t>
  </si>
  <si>
    <t>Luke Schenn</t>
  </si>
  <si>
    <t>Brad Richardson</t>
  </si>
  <si>
    <t>Loui Eriksson</t>
  </si>
  <si>
    <t>Nathan Beaulieu</t>
  </si>
  <si>
    <t>Urho Vaakanainen</t>
  </si>
  <si>
    <t>Gustav Lindstrom</t>
  </si>
  <si>
    <t>Joey Anderson</t>
  </si>
  <si>
    <t>Andrew Peeke</t>
  </si>
  <si>
    <t>Timothy Liljegren</t>
  </si>
  <si>
    <t>Zack MacEwen</t>
  </si>
  <si>
    <t>Ryan Lomberg</t>
  </si>
  <si>
    <t>Zachary Senyshyn</t>
  </si>
  <si>
    <t>Will Borgen</t>
  </si>
  <si>
    <t>Dan Renouf</t>
  </si>
  <si>
    <t>Anthony Angello</t>
  </si>
  <si>
    <t>Riley Stillman</t>
  </si>
  <si>
    <t>Kiefer Sherwood</t>
  </si>
  <si>
    <t>Christian Wolanin</t>
  </si>
  <si>
    <t>Jordan Gross</t>
  </si>
  <si>
    <t>Ryan McLeod</t>
  </si>
  <si>
    <t>Nolan Foote</t>
  </si>
  <si>
    <t>Nick Robertson</t>
  </si>
  <si>
    <t>Cam York</t>
  </si>
  <si>
    <t>Taro Hirose</t>
  </si>
  <si>
    <t>Mike Hardman</t>
  </si>
  <si>
    <t>Matt Kiersted</t>
  </si>
  <si>
    <t>Jeffrey Viel</t>
  </si>
  <si>
    <t>Connor Mackey</t>
  </si>
  <si>
    <t>Connor McMichael</t>
  </si>
  <si>
    <t>Jesse Ylonen</t>
  </si>
  <si>
    <t>David Gustafsson</t>
  </si>
  <si>
    <t>Kevin Lankinen</t>
  </si>
  <si>
    <t>Ilya Lyubushkin</t>
  </si>
  <si>
    <t>Niko Mikkola</t>
  </si>
  <si>
    <t>Dominik Simon</t>
  </si>
  <si>
    <t>Jansen Harkins</t>
  </si>
  <si>
    <t>Nicolas Meloche</t>
  </si>
  <si>
    <t>Lane Pederson</t>
  </si>
  <si>
    <t>Garrett Pilon</t>
  </si>
  <si>
    <t>Matt Luff</t>
  </si>
  <si>
    <t>Christian Jaros</t>
  </si>
  <si>
    <t>Aleksi Heponiemi</t>
  </si>
  <si>
    <t>Kristian Vesalainen</t>
  </si>
  <si>
    <t>Greg Pateryn</t>
  </si>
  <si>
    <t>Anton Khudobin</t>
  </si>
  <si>
    <t>Thomas Hickey</t>
  </si>
  <si>
    <t>Kurtis MacDermid</t>
  </si>
  <si>
    <t>Clark Bishop</t>
  </si>
  <si>
    <t>Max McCormick</t>
  </si>
  <si>
    <t>Alex Biega</t>
  </si>
  <si>
    <t>Steven Fogarty</t>
  </si>
  <si>
    <t>Matt Tennyson</t>
  </si>
  <si>
    <t>Gemel Smith</t>
  </si>
  <si>
    <t>Martin Frk</t>
  </si>
  <si>
    <t>Kyle Rau</t>
  </si>
  <si>
    <t>Chad Ruhwedel</t>
  </si>
  <si>
    <t>Jayson Megna</t>
  </si>
  <si>
    <t>Nicolas Petan</t>
  </si>
  <si>
    <t>Chris Driedger</t>
  </si>
  <si>
    <t>Ross Johnston</t>
  </si>
  <si>
    <t>Jake Walman</t>
  </si>
  <si>
    <t>Mark Friedman</t>
  </si>
  <si>
    <t>Austin Czarnik</t>
  </si>
  <si>
    <t>Tuukka Rask</t>
  </si>
  <si>
    <t>Mike Smith</t>
  </si>
  <si>
    <t>Jack Johnson</t>
  </si>
  <si>
    <t>Stefan Noesen</t>
  </si>
  <si>
    <t>Philipp Grubauer</t>
  </si>
  <si>
    <t>Greg McKegg</t>
  </si>
  <si>
    <t>Matt Irwin</t>
  </si>
  <si>
    <t>Adam Ruzicka</t>
  </si>
  <si>
    <t>Rem Pitlick</t>
  </si>
  <si>
    <t>William Lockwood</t>
  </si>
  <si>
    <t>Gavin Bayreuther</t>
  </si>
  <si>
    <t>Connor Bunnaman</t>
  </si>
  <si>
    <t>Austin Strand</t>
  </si>
  <si>
    <t>Oliver Kylington</t>
  </si>
  <si>
    <t>Rasmus Kupari</t>
  </si>
  <si>
    <t>Marian Studenic</t>
  </si>
  <si>
    <t>Morgan Barron</t>
  </si>
  <si>
    <t>Rhett Gardner</t>
  </si>
  <si>
    <t>Alex True</t>
  </si>
  <si>
    <t>Drew O'Connor</t>
  </si>
  <si>
    <t>Tyce Thompson</t>
  </si>
  <si>
    <t>Jackson Cates</t>
  </si>
  <si>
    <t>Dakota Joshua</t>
  </si>
  <si>
    <t>Juuso Riikola</t>
  </si>
  <si>
    <t>Jalen Chatfield</t>
  </si>
  <si>
    <t>Arthur Kaliyev</t>
  </si>
  <si>
    <t>Jeremy Davies</t>
  </si>
  <si>
    <t>Alex Belzile</t>
  </si>
  <si>
    <t>Gerald Mayhew</t>
  </si>
  <si>
    <t>Alec Regula</t>
  </si>
  <si>
    <t>Lucas Carlsson</t>
  </si>
  <si>
    <t>Jonas Siegenthaler</t>
  </si>
  <si>
    <t>Anton Blidh</t>
  </si>
  <si>
    <t>Glenn Gawdin</t>
  </si>
  <si>
    <t>Noah Juulsen</t>
  </si>
  <si>
    <t>Ilya Samsonov</t>
  </si>
  <si>
    <t>Kole Sherwood</t>
  </si>
  <si>
    <t>Casey DeSmith</t>
  </si>
  <si>
    <t>William Lagesson</t>
  </si>
  <si>
    <t>Jonny Brodzinski</t>
  </si>
  <si>
    <t>Jake Oettinger</t>
  </si>
  <si>
    <t>Cal Petersen</t>
  </si>
  <si>
    <t>Jonah Gadjovich</t>
  </si>
  <si>
    <t>Parker Kelly</t>
  </si>
  <si>
    <t>Alexandar Georgiev</t>
  </si>
  <si>
    <t>Dylan Sikura</t>
  </si>
  <si>
    <t>Robin Lehner</t>
  </si>
  <si>
    <t>Kevin Connauton</t>
  </si>
  <si>
    <t>Jarred Tinordi</t>
  </si>
  <si>
    <t>Marc-Andre Fleury</t>
  </si>
  <si>
    <t>Semyon Varlamov</t>
  </si>
  <si>
    <t>Jonathan Bernier</t>
  </si>
  <si>
    <t>Braden Holtby</t>
  </si>
  <si>
    <t>Dustin Tokarski</t>
  </si>
  <si>
    <t>Brian Elliott</t>
  </si>
  <si>
    <t>Tyler Lewington</t>
  </si>
  <si>
    <t>Elvis Merzlikins</t>
  </si>
  <si>
    <t>Nathan Walker</t>
  </si>
  <si>
    <t>Kyle Burroughs</t>
  </si>
  <si>
    <t>Matt Murray</t>
  </si>
  <si>
    <t>Hudson Fasching</t>
  </si>
  <si>
    <t>Alex Nedeljkovic</t>
  </si>
  <si>
    <t>Madison Bowey</t>
  </si>
  <si>
    <t>Frederik Andersen</t>
  </si>
  <si>
    <t>Jordan Binnington</t>
  </si>
  <si>
    <t>Joseph Cramarossa</t>
  </si>
  <si>
    <t>Joonas Korpisalo</t>
  </si>
  <si>
    <t>Anthony Stolarz</t>
  </si>
  <si>
    <t>Slater Koekkoek</t>
  </si>
  <si>
    <t>Malcolm Subban</t>
  </si>
  <si>
    <t>Louis Domingue</t>
  </si>
  <si>
    <t>Andy Andreoff</t>
  </si>
  <si>
    <t>Petr Mrazek</t>
  </si>
  <si>
    <t>Scott Wedgewood</t>
  </si>
  <si>
    <t>Max Lagace</t>
  </si>
  <si>
    <t>Anton Forsberg</t>
  </si>
  <si>
    <t>Troy Grosenick</t>
  </si>
  <si>
    <t>Antti Raanta</t>
  </si>
  <si>
    <t>Kurtis Gabriel</t>
  </si>
  <si>
    <t>Frederik Gauthier</t>
  </si>
  <si>
    <t>Eric Comrie</t>
  </si>
  <si>
    <t>Justin Bailey</t>
  </si>
  <si>
    <t>Michael McCarron</t>
  </si>
  <si>
    <t>Kaapo Kahkonen</t>
  </si>
  <si>
    <t>Vitek Vanecek</t>
  </si>
  <si>
    <t>Thatcher Demko</t>
  </si>
  <si>
    <t>Ryan MacInnis</t>
  </si>
  <si>
    <t>Connor Hellebuyck</t>
  </si>
  <si>
    <t>Scott Sabourin</t>
  </si>
  <si>
    <t>Laurent Brossoit</t>
  </si>
  <si>
    <t>Linus Ullmark</t>
  </si>
  <si>
    <t>Patrick Brown</t>
  </si>
  <si>
    <t>Buddy Robinson</t>
  </si>
  <si>
    <t>Aaron Dell</t>
  </si>
  <si>
    <t>Ilya Sorokin</t>
  </si>
  <si>
    <t>Jonas Johansson</t>
  </si>
  <si>
    <t>Chase De Leo</t>
  </si>
  <si>
    <t>Jacob Middleton</t>
  </si>
  <si>
    <t>Juuse Saros</t>
  </si>
  <si>
    <t>Ville Husso</t>
  </si>
  <si>
    <t>Fredrik Claesson</t>
  </si>
  <si>
    <t>Thomas Greiss</t>
  </si>
  <si>
    <t>Jaroslav Halak</t>
  </si>
  <si>
    <t>Michael Hutchinson</t>
  </si>
  <si>
    <t>Jake Allen</t>
  </si>
  <si>
    <t>Jacob Markstrom</t>
  </si>
  <si>
    <t>Jonathan Quick</t>
  </si>
  <si>
    <t>Carey Price</t>
  </si>
  <si>
    <t>Craig Anderson</t>
  </si>
  <si>
    <t>David Krejci</t>
  </si>
  <si>
    <t>John Gibson</t>
  </si>
  <si>
    <t>Darcy Kuemper</t>
  </si>
  <si>
    <t>Cam Talbot</t>
  </si>
  <si>
    <t>Sergei Bobrovsky</t>
  </si>
  <si>
    <t>Martin Jones</t>
  </si>
  <si>
    <t>Keith Kinkaid</t>
  </si>
  <si>
    <t>Calvin Pickard</t>
  </si>
  <si>
    <t>Jack Campbell</t>
  </si>
  <si>
    <t>Carter Hutton</t>
  </si>
  <si>
    <t>James Reimer</t>
  </si>
  <si>
    <t>Jeremy Swayman</t>
  </si>
  <si>
    <t>Matthew Phillips</t>
  </si>
  <si>
    <t>Collin Delia</t>
  </si>
  <si>
    <t>Josef Korenar</t>
  </si>
  <si>
    <t>Stuart Skinner</t>
  </si>
  <si>
    <t>Conor Timmins</t>
  </si>
  <si>
    <t>Kole Lind</t>
  </si>
  <si>
    <t>Ukko-Pekka Luukkonen</t>
  </si>
  <si>
    <t>Vinni Lettieri</t>
  </si>
  <si>
    <t>David Rittich</t>
  </si>
  <si>
    <t>Colton White</t>
  </si>
  <si>
    <t>Brett Murray</t>
  </si>
  <si>
    <t>Tanner Laczynski</t>
  </si>
  <si>
    <t>Tim Gettinger</t>
  </si>
  <si>
    <t>Carter Hart</t>
  </si>
  <si>
    <t>Filip Gustavsson</t>
  </si>
  <si>
    <t>A.J. Greer</t>
  </si>
  <si>
    <t>Kyle Capobianco</t>
  </si>
  <si>
    <t>Igor Shesterkin</t>
  </si>
  <si>
    <t>Alex Lyon</t>
  </si>
  <si>
    <t>Dan Vladar</t>
  </si>
  <si>
    <t>Joey Daccord</t>
  </si>
  <si>
    <t>Mackenzie Blackwood</t>
  </si>
  <si>
    <t>Sam Montembeault</t>
  </si>
  <si>
    <t>Adin Hill</t>
  </si>
  <si>
    <t>Sheldon Dries</t>
  </si>
  <si>
    <t>Sean Walker</t>
  </si>
  <si>
    <t>Calen Addison</t>
  </si>
  <si>
    <t>Pavel Francouz</t>
  </si>
  <si>
    <t>Spencer Knight</t>
  </si>
  <si>
    <t>Ivan Prosvetov</t>
  </si>
  <si>
    <t>Oskar Steen</t>
  </si>
  <si>
    <t>Cayden Primeau</t>
  </si>
  <si>
    <t>Simon Benoit</t>
  </si>
  <si>
    <t>Reese Johnson</t>
  </si>
  <si>
    <t>Jack Ahcan</t>
  </si>
  <si>
    <t>Logan Thompson</t>
  </si>
  <si>
    <t>games</t>
  </si>
  <si>
    <t>home</t>
  </si>
  <si>
    <t>away</t>
  </si>
  <si>
    <t>b2b</t>
  </si>
  <si>
    <t>light day</t>
  </si>
  <si>
    <t>team</t>
  </si>
  <si>
    <t>copied from here https://frozenpool.dobbersports.com/frozenpool_planner.php?report=Custom&amp;startdate=10%2F05%2F2022&amp;enddate=04%2F14%2F2023</t>
  </si>
  <si>
    <t>name</t>
  </si>
  <si>
    <t>role</t>
  </si>
  <si>
    <t>injured?</t>
  </si>
  <si>
    <t>Name</t>
  </si>
  <si>
    <t>PPG</t>
  </si>
  <si>
    <t>SHG</t>
  </si>
  <si>
    <t>SHA</t>
  </si>
  <si>
    <t>Shot</t>
  </si>
  <si>
    <t>SHO</t>
  </si>
  <si>
    <t>Rank</t>
  </si>
  <si>
    <t>rank</t>
  </si>
  <si>
    <t>goals</t>
  </si>
  <si>
    <t>assists</t>
  </si>
  <si>
    <t>penalty minutes</t>
  </si>
  <si>
    <t>power play goals</t>
  </si>
  <si>
    <t>short handed goals</t>
  </si>
  <si>
    <t>short handed assists</t>
  </si>
  <si>
    <t>game winning goals</t>
  </si>
  <si>
    <t>shots on goal</t>
  </si>
  <si>
    <t>wins</t>
  </si>
  <si>
    <t>shutouts</t>
  </si>
  <si>
    <t>goals against</t>
  </si>
  <si>
    <t>saves</t>
  </si>
  <si>
    <t>Est Score</t>
  </si>
  <si>
    <t>Est Pts/Game</t>
  </si>
  <si>
    <t>games played per team</t>
  </si>
  <si>
    <t>teams per league</t>
  </si>
  <si>
    <t>Player</t>
  </si>
  <si>
    <t>Pts/G</t>
  </si>
  <si>
    <t>Status</t>
  </si>
  <si>
    <t>roster size</t>
  </si>
  <si>
    <t>Undrafted</t>
  </si>
  <si>
    <t>ID</t>
  </si>
  <si>
    <t>avg of goalies drafted</t>
  </si>
  <si>
    <t>avg of F drafed</t>
  </si>
  <si>
    <t>avg of D drafted</t>
  </si>
  <si>
    <t>total G drafted</t>
  </si>
  <si>
    <t>Total F drafted</t>
  </si>
  <si>
    <t>Total D Drafted</t>
  </si>
  <si>
    <t>All Players Ranked</t>
  </si>
  <si>
    <t>num top goalies:</t>
  </si>
  <si>
    <t>pts/game</t>
  </si>
  <si>
    <t>avg pts/game</t>
  </si>
  <si>
    <t>standard dev</t>
  </si>
  <si>
    <t>Drafted?</t>
  </si>
  <si>
    <t>Total</t>
  </si>
  <si>
    <t>Your Team</t>
  </si>
  <si>
    <t>F</t>
  </si>
  <si>
    <t>S</t>
  </si>
  <si>
    <t>pts/G</t>
  </si>
  <si>
    <t>Main Team</t>
  </si>
  <si>
    <t>max S per day</t>
  </si>
  <si>
    <t>max F per day</t>
  </si>
  <si>
    <t>max D per day</t>
  </si>
  <si>
    <t>max G per day</t>
  </si>
  <si>
    <t>Anton Lundell</t>
  </si>
  <si>
    <t>Matty Beniers</t>
  </si>
  <si>
    <t>Cole Sillinger</t>
  </si>
  <si>
    <t>Seth Jarvis</t>
  </si>
  <si>
    <t>Andrei Kuzmenko</t>
  </si>
  <si>
    <t>Kent Johnson</t>
  </si>
  <si>
    <t>Philip Tomasino</t>
  </si>
  <si>
    <t>Shane Wright</t>
  </si>
  <si>
    <t>Sean Durzi</t>
  </si>
  <si>
    <t>Lukas Reichel</t>
  </si>
  <si>
    <t>Chris Wideman</t>
  </si>
  <si>
    <t>Vasili Podkolzin</t>
  </si>
  <si>
    <t>Nathan Smith</t>
  </si>
  <si>
    <t>Taylor Raddysh</t>
  </si>
  <si>
    <t>Jack Drury</t>
  </si>
  <si>
    <t>Mason McTavish</t>
  </si>
  <si>
    <t>Noah Cates</t>
  </si>
  <si>
    <t>Ben Meyers</t>
  </si>
  <si>
    <t>Owen Power</t>
  </si>
  <si>
    <t>Marco Rossi</t>
  </si>
  <si>
    <t>Jonathan Dahlen</t>
  </si>
  <si>
    <t>Jacob Peterson</t>
  </si>
  <si>
    <t>Jordan Harris</t>
  </si>
  <si>
    <t>Brian Boyle</t>
  </si>
  <si>
    <t>Jack McBain</t>
  </si>
  <si>
    <t>Martin Fehervary</t>
  </si>
  <si>
    <t>Dylan Holloway</t>
  </si>
  <si>
    <t>Thomas Bordeleau</t>
  </si>
  <si>
    <t>Braden Schneider</t>
  </si>
  <si>
    <t>Brandon Duhaime</t>
  </si>
  <si>
    <t>Ryan Merkley</t>
  </si>
  <si>
    <t>Dysin Mayo</t>
  </si>
  <si>
    <t>Kristian Reichel</t>
  </si>
  <si>
    <t>Philip Broberg</t>
  </si>
  <si>
    <t>Matias Maccelli</t>
  </si>
  <si>
    <t>Jake Leschyshyn</t>
  </si>
  <si>
    <t>Connor Dewar</t>
  </si>
  <si>
    <t>Jake Neighbours</t>
  </si>
  <si>
    <t>Janis Moser</t>
  </si>
  <si>
    <t>Sakari Manninen</t>
  </si>
  <si>
    <t>Thomas Harley</t>
  </si>
  <si>
    <t>Ryan Poehling</t>
  </si>
  <si>
    <t>Jaycob Megna</t>
  </si>
  <si>
    <t>Fabian Zetterlund</t>
  </si>
  <si>
    <t>Robin Salo</t>
  </si>
  <si>
    <t>Sampo Ranta</t>
  </si>
  <si>
    <t>Lassi Thomson</t>
  </si>
  <si>
    <t>Nick Blankenburg</t>
  </si>
  <si>
    <t>Kirill Marchenko</t>
  </si>
  <si>
    <t>Dylan Samberg</t>
  </si>
  <si>
    <t>Andrew Ladd</t>
  </si>
  <si>
    <t>Boris Katchouk</t>
  </si>
  <si>
    <t>Alex Vlasic</t>
  </si>
  <si>
    <t>Justin Barron</t>
  </si>
  <si>
    <t>Yegor Chinakhov</t>
  </si>
  <si>
    <t>Corey Schueneman</t>
  </si>
  <si>
    <t>Bobby Brink</t>
  </si>
  <si>
    <t>Scott Perunovich</t>
  </si>
  <si>
    <t>Michael Pezzetta</t>
  </si>
  <si>
    <t>Mason Shaw</t>
  </si>
  <si>
    <t>Laurent Dauphin</t>
  </si>
  <si>
    <t>Isaac Ratcliffe</t>
  </si>
  <si>
    <t>Benoit-Olivier Groulx</t>
  </si>
  <si>
    <t>Jack Quinn</t>
  </si>
  <si>
    <t>Jake Sanderson</t>
  </si>
  <si>
    <t>John-Jason Peterka</t>
  </si>
  <si>
    <t>Gregory Hofmann</t>
  </si>
  <si>
    <t>Justin Danforth</t>
  </si>
  <si>
    <t>Jakob Pelletier</t>
  </si>
  <si>
    <t>Alexei Toropchenko</t>
  </si>
  <si>
    <t>Thomas Novak</t>
  </si>
  <si>
    <t>Michael Carcone</t>
  </si>
  <si>
    <t>Cam Dineen</t>
  </si>
  <si>
    <t>Mattias Norlinder</t>
  </si>
  <si>
    <t>Brett Leason</t>
  </si>
  <si>
    <t>Mark Kastelic</t>
  </si>
  <si>
    <t>Marc McLaughlin</t>
  </si>
  <si>
    <t>Alexei Protas</t>
  </si>
  <si>
    <t>Jordan Spence</t>
  </si>
  <si>
    <t>Tyler Benson</t>
  </si>
  <si>
    <t>Henrik Borgstrom</t>
  </si>
  <si>
    <t>Andrew Poturalski</t>
  </si>
  <si>
    <t>Scott Reedy</t>
  </si>
  <si>
    <t>Otto Koivula</t>
  </si>
  <si>
    <t>Brendan Perlini</t>
  </si>
  <si>
    <t>Logan Shaw</t>
  </si>
  <si>
    <t>Derrick Pouliot</t>
  </si>
  <si>
    <t>Jonas Rondbjerg</t>
  </si>
  <si>
    <t>Casey Fitzgerald</t>
  </si>
  <si>
    <t>Alexander Alexeyev</t>
  </si>
  <si>
    <t>Gabriel Fortier</t>
  </si>
  <si>
    <t>Trey Fix-Wolansky</t>
  </si>
  <si>
    <t>Riley Damiani</t>
  </si>
  <si>
    <t>Jasper Weatherby</t>
  </si>
  <si>
    <t>Jakub Galvas</t>
  </si>
  <si>
    <t>Santeri Hatakka</t>
  </si>
  <si>
    <t>Cole Reinhardt</t>
  </si>
  <si>
    <t>Ben McCartney</t>
  </si>
  <si>
    <t>Vladimir Tkachev</t>
  </si>
  <si>
    <t>Josiah Slavin</t>
  </si>
  <si>
    <t>Max Willman</t>
  </si>
  <si>
    <t>Brandon Biro</t>
  </si>
  <si>
    <t>Nick Abruzzese</t>
  </si>
  <si>
    <t>Vladislav Kolyachonok</t>
  </si>
  <si>
    <t>Ronnie Attard</t>
  </si>
  <si>
    <t>Nikita Okhotyuk</t>
  </si>
  <si>
    <t>Adam Beckman</t>
  </si>
  <si>
    <t>Paul Cotter</t>
  </si>
  <si>
    <t>Egor Sokolov</t>
  </si>
  <si>
    <t>Alex Steeves</t>
  </si>
  <si>
    <t>Riley Tufte</t>
  </si>
  <si>
    <t>Fredrik Karlstrom</t>
  </si>
  <si>
    <t>Brendan Guhle</t>
  </si>
  <si>
    <t>Axel Jonsson-Fjallby</t>
  </si>
  <si>
    <t>Cale Fleury</t>
  </si>
  <si>
    <t>Cooper Marody</t>
  </si>
  <si>
    <t>Reilly Walsh</t>
  </si>
  <si>
    <t>Brendan Gaunce</t>
  </si>
  <si>
    <t>Andrej Sustr</t>
  </si>
  <si>
    <t>Jean-Francois Berube</t>
  </si>
  <si>
    <t>Brad Malone</t>
  </si>
  <si>
    <t>Hayden Hodgson</t>
  </si>
  <si>
    <t>Jon Gillies</t>
  </si>
  <si>
    <t>Riley Barber</t>
  </si>
  <si>
    <t>Petteri Lindbohm</t>
  </si>
  <si>
    <t>Carl Dahlstrom</t>
  </si>
  <si>
    <t>Grant Mismash</t>
  </si>
  <si>
    <t>Jayden Halbgewachs</t>
  </si>
  <si>
    <t>Calle Rosen</t>
  </si>
  <si>
    <t>Nick Seeler</t>
  </si>
  <si>
    <t>Ethan Prow</t>
  </si>
  <si>
    <t>Jacob Moverare</t>
  </si>
  <si>
    <t>Beck Malenstyn</t>
  </si>
  <si>
    <t>Kasper Bjorkqvist</t>
  </si>
  <si>
    <t>Markus Niemelainen</t>
  </si>
  <si>
    <t>Lucas Johansen</t>
  </si>
  <si>
    <t>Declan Chisholm</t>
  </si>
  <si>
    <t>Cole Schwindt</t>
  </si>
  <si>
    <t>Joe Snively</t>
  </si>
  <si>
    <t>Grant Hutton</t>
  </si>
  <si>
    <t>Joel Hofer</t>
  </si>
  <si>
    <t>Alexander Holtz</t>
  </si>
  <si>
    <t>Jake Christiansen</t>
  </si>
  <si>
    <t>Daniil Miromanov</t>
  </si>
  <si>
    <t>Isaak Phillips</t>
  </si>
  <si>
    <t>Viktor Lodin</t>
  </si>
  <si>
    <t>Carson Meyer</t>
  </si>
  <si>
    <t>Valtteri Puustinen</t>
  </si>
  <si>
    <t>Brayden Pachal</t>
  </si>
  <si>
    <t>Adam Raska</t>
  </si>
  <si>
    <t>Owen Pickering</t>
  </si>
  <si>
    <t>Jon Lizotte</t>
  </si>
  <si>
    <t>Arvid Soderblom</t>
  </si>
  <si>
    <t>Rafael Harvey-Pinard</t>
  </si>
  <si>
    <t>Jeff Malott</t>
  </si>
  <si>
    <t>Zack Hayes</t>
  </si>
  <si>
    <t>Karel Vejmelka</t>
  </si>
  <si>
    <t>Kirill Semyonov</t>
  </si>
  <si>
    <t>Peter Diliberatore</t>
  </si>
  <si>
    <t>Bryce Kindopp</t>
  </si>
  <si>
    <t>Hunter Drew</t>
  </si>
  <si>
    <t>Nico Daws</t>
  </si>
  <si>
    <t>Mitchell Chaffee</t>
  </si>
  <si>
    <t>Jacob Perreault</t>
  </si>
  <si>
    <t>Erik Kallgren</t>
  </si>
  <si>
    <t>Mads Sogaard</t>
  </si>
  <si>
    <t>Pyotr Kochetkov</t>
  </si>
  <si>
    <t>Brayden Tracey</t>
  </si>
  <si>
    <t>Kaedan Korczak</t>
  </si>
  <si>
    <t>Samuel Fagemo</t>
  </si>
  <si>
    <t>Lukas Dostal</t>
  </si>
  <si>
    <t>Darren Raddysh</t>
  </si>
  <si>
    <t>Filip Hallander</t>
  </si>
  <si>
    <t>Max Lajoie</t>
  </si>
  <si>
    <t>Connor Ingram</t>
  </si>
  <si>
    <t>Joseph Woll</t>
  </si>
  <si>
    <t>Sean Day</t>
  </si>
  <si>
    <t>Zach Sawchenko</t>
  </si>
  <si>
    <t>Jack LaFontaine</t>
  </si>
  <si>
    <t>Charlie Lindgren</t>
  </si>
  <si>
    <t>Garret Sparks</t>
  </si>
  <si>
    <t>Paul LaDue</t>
  </si>
  <si>
    <t>Chase Priskie</t>
  </si>
  <si>
    <t>Brett Seney</t>
  </si>
  <si>
    <t>Mikey Eyssimont</t>
  </si>
  <si>
    <t>Bokondji Imama</t>
  </si>
  <si>
    <t>Dmitri Samorukov</t>
  </si>
  <si>
    <t>Johnny Kovacevic</t>
  </si>
  <si>
    <t>Daniil Tarasov</t>
  </si>
  <si>
    <t>Spencer Martin</t>
  </si>
  <si>
    <t>Dillon Heatherington</t>
  </si>
  <si>
    <t>Zach Fucale</t>
  </si>
  <si>
    <t>Pheonix Copley</t>
  </si>
  <si>
    <t>Danny O'Regan</t>
  </si>
  <si>
    <t>Michael Houser</t>
  </si>
  <si>
    <t>Andrew Hammond</t>
  </si>
  <si>
    <t>Jussi Olkinuora</t>
  </si>
  <si>
    <t>Blake Speers</t>
  </si>
  <si>
    <t>Felix Sandstrom</t>
  </si>
  <si>
    <t>Michael McNiven</t>
  </si>
  <si>
    <t>Zane McIntyre</t>
  </si>
  <si>
    <t>Mason Geertsen</t>
  </si>
  <si>
    <t>Cory Schneider</t>
  </si>
  <si>
    <t>Alex Stalock</t>
  </si>
  <si>
    <t>Harri Sateri</t>
  </si>
  <si>
    <t>UNDER DEVELOPEMTN</t>
  </si>
  <si>
    <t>Notes:</t>
  </si>
  <si>
    <t>this is used to calculate a players shedule overlap</t>
  </si>
  <si>
    <t>all players of a certain position on a team have the same value</t>
  </si>
  <si>
    <t>first game of season column</t>
  </si>
  <si>
    <t>last game of season column</t>
  </si>
  <si>
    <t>TODO</t>
  </si>
  <si>
    <t>% Pos Overlap</t>
  </si>
  <si>
    <t>% League Overlap</t>
  </si>
  <si>
    <t>overlap percentages</t>
  </si>
  <si>
    <t>games playable</t>
  </si>
  <si>
    <t>Games Playable</t>
  </si>
  <si>
    <t>blocks</t>
  </si>
  <si>
    <t>B</t>
  </si>
  <si>
    <t>GHHT</t>
  </si>
  <si>
    <t>HT</t>
  </si>
  <si>
    <t>hat trick</t>
  </si>
  <si>
    <t>HIT</t>
  </si>
  <si>
    <t>OG</t>
  </si>
  <si>
    <t>overtime goals</t>
  </si>
  <si>
    <t>goalie goals</t>
  </si>
  <si>
    <t>overtimelosses</t>
  </si>
  <si>
    <t>F Rank</t>
  </si>
  <si>
    <t>G Rank</t>
  </si>
  <si>
    <t>num top forwards:</t>
  </si>
  <si>
    <t>note: currently these are with respect to the league and do not take scheduling into account</t>
  </si>
  <si>
    <t>D Rank</t>
  </si>
  <si>
    <t>Totals</t>
  </si>
  <si>
    <t>Players</t>
  </si>
  <si>
    <t>Overlap x Score</t>
  </si>
  <si>
    <t>Playable x Score</t>
  </si>
  <si>
    <t>defense multiplier</t>
  </si>
  <si>
    <t>goalie multiplier</t>
  </si>
  <si>
    <t>forward multiplier</t>
  </si>
  <si>
    <t>Opinion x Playable x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</si>
</sst>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m/d;@"/>
    <numFmt numFmtId="165" formatCode="_(* #,##0_);_(* \(#,##0\);_(* &quot;-&quot;??_);_(@_)"/>
    <numFmt numFmtId="166" formatCode="0.0"/>
    <numFmt numFmtId="167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Calibri"/>
    </font>
    <font>
      <sz val="10"/>
      <name val="Verdana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CC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2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11">
    <xf numFmtId="0" fontId="0" fillId="0" borderId="0" xfId="0"/>
    <xf numFmtId="0" fontId="2" fillId="0" borderId="0" xfId="1"/>
    <xf numFmtId="0" fontId="0" fillId="0" borderId="0" xfId="0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4" fontId="1" fillId="0" borderId="7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0" xfId="2" applyFont="1"/>
    <xf numFmtId="0" fontId="4" fillId="0" borderId="3" xfId="2" applyFont="1" applyBorder="1" applyAlignment="1">
      <alignment horizontal="center"/>
    </xf>
    <xf numFmtId="0" fontId="4" fillId="0" borderId="0" xfId="2" applyFont="1" applyAlignment="1">
      <alignment horizontal="center"/>
    </xf>
    <xf numFmtId="1" fontId="5" fillId="0" borderId="0" xfId="2" applyNumberFormat="1" applyFont="1"/>
    <xf numFmtId="0" fontId="5" fillId="0" borderId="0" xfId="2" applyFont="1"/>
    <xf numFmtId="2" fontId="5" fillId="0" borderId="0" xfId="2" applyNumberFormat="1" applyFont="1"/>
    <xf numFmtId="0" fontId="5" fillId="0" borderId="3" xfId="2" applyFont="1" applyBorder="1" applyAlignment="1">
      <alignment horizontal="center"/>
    </xf>
    <xf numFmtId="0" fontId="5" fillId="0" borderId="0" xfId="2" applyFont="1" applyAlignment="1">
      <alignment horizontal="center"/>
    </xf>
    <xf numFmtId="0" fontId="5" fillId="0" borderId="3" xfId="2" applyFont="1" applyBorder="1"/>
    <xf numFmtId="165" fontId="5" fillId="0" borderId="0" xfId="3" applyNumberFormat="1" applyFont="1" applyFill="1"/>
    <xf numFmtId="1" fontId="5" fillId="2" borderId="0" xfId="2" applyNumberFormat="1" applyFont="1" applyFill="1" applyAlignment="1">
      <alignment horizontal="center"/>
    </xf>
    <xf numFmtId="0" fontId="5" fillId="0" borderId="9" xfId="2" applyFont="1" applyBorder="1"/>
    <xf numFmtId="0" fontId="5" fillId="0" borderId="10" xfId="2" applyFont="1" applyBorder="1" applyAlignment="1">
      <alignment horizontal="center"/>
    </xf>
    <xf numFmtId="0" fontId="5" fillId="0" borderId="9" xfId="2" applyFont="1" applyBorder="1" applyAlignment="1">
      <alignment horizontal="center"/>
    </xf>
    <xf numFmtId="2" fontId="5" fillId="0" borderId="9" xfId="2" applyNumberFormat="1" applyFont="1" applyBorder="1"/>
    <xf numFmtId="2" fontId="4" fillId="0" borderId="0" xfId="2" applyNumberFormat="1" applyFont="1"/>
    <xf numFmtId="0" fontId="5" fillId="0" borderId="0" xfId="2" applyFont="1" applyBorder="1" applyAlignment="1">
      <alignment horizontal="center"/>
    </xf>
    <xf numFmtId="0" fontId="4" fillId="0" borderId="0" xfId="2" applyFont="1" applyBorder="1" applyAlignment="1">
      <alignment horizontal="center"/>
    </xf>
    <xf numFmtId="0" fontId="5" fillId="0" borderId="0" xfId="2" applyFont="1" applyBorder="1"/>
    <xf numFmtId="0" fontId="4" fillId="0" borderId="9" xfId="2" applyFont="1" applyBorder="1" applyAlignment="1">
      <alignment horizontal="center"/>
    </xf>
    <xf numFmtId="0" fontId="4" fillId="0" borderId="10" xfId="2" applyFont="1" applyBorder="1" applyAlignment="1">
      <alignment horizontal="center"/>
    </xf>
    <xf numFmtId="0" fontId="4" fillId="0" borderId="0" xfId="2" applyFont="1" applyBorder="1"/>
    <xf numFmtId="0" fontId="4" fillId="0" borderId="3" xfId="2" applyFont="1" applyBorder="1"/>
    <xf numFmtId="2" fontId="0" fillId="0" borderId="0" xfId="0" applyNumberFormat="1"/>
    <xf numFmtId="166" fontId="0" fillId="0" borderId="0" xfId="0" applyNumberFormat="1"/>
    <xf numFmtId="0" fontId="1" fillId="0" borderId="0" xfId="0" applyFont="1"/>
    <xf numFmtId="0" fontId="1" fillId="0" borderId="11" xfId="0" applyFont="1" applyBorder="1"/>
    <xf numFmtId="2" fontId="1" fillId="0" borderId="12" xfId="0" applyNumberFormat="1" applyFont="1" applyBorder="1"/>
    <xf numFmtId="2" fontId="1" fillId="0" borderId="0" xfId="0" applyNumberFormat="1" applyFont="1"/>
    <xf numFmtId="0" fontId="0" fillId="0" borderId="0" xfId="0" applyBorder="1"/>
    <xf numFmtId="0" fontId="0" fillId="0" borderId="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6" xfId="0" applyBorder="1"/>
    <xf numFmtId="0" fontId="0" fillId="0" borderId="3" xfId="0" applyBorder="1"/>
    <xf numFmtId="0" fontId="0" fillId="0" borderId="7" xfId="0" applyBorder="1"/>
    <xf numFmtId="0" fontId="0" fillId="0" borderId="4" xfId="0" applyBorder="1"/>
    <xf numFmtId="0" fontId="0" fillId="0" borderId="20" xfId="0" applyBorder="1"/>
    <xf numFmtId="0" fontId="0" fillId="0" borderId="22" xfId="0" applyBorder="1"/>
    <xf numFmtId="0" fontId="0" fillId="0" borderId="9" xfId="0" applyBorder="1"/>
    <xf numFmtId="0" fontId="0" fillId="0" borderId="23" xfId="0" applyBorder="1"/>
    <xf numFmtId="0" fontId="1" fillId="0" borderId="20" xfId="0" applyFont="1" applyBorder="1"/>
    <xf numFmtId="0" fontId="1" fillId="0" borderId="0" xfId="0" applyFont="1" applyBorder="1"/>
    <xf numFmtId="0" fontId="1" fillId="0" borderId="21" xfId="0" applyFont="1" applyBorder="1"/>
    <xf numFmtId="0" fontId="1" fillId="0" borderId="24" xfId="0" applyFont="1" applyBorder="1"/>
    <xf numFmtId="0" fontId="1" fillId="0" borderId="25" xfId="0" applyFont="1" applyBorder="1"/>
    <xf numFmtId="0" fontId="0" fillId="0" borderId="0" xfId="0" applyBorder="1" applyAlignment="1">
      <alignment horizontal="center"/>
    </xf>
    <xf numFmtId="0" fontId="1" fillId="0" borderId="16" xfId="0" applyFont="1" applyBorder="1"/>
    <xf numFmtId="0" fontId="1" fillId="0" borderId="26" xfId="0" applyFont="1" applyBorder="1"/>
    <xf numFmtId="9" fontId="0" fillId="0" borderId="0" xfId="6" applyFont="1" applyBorder="1"/>
    <xf numFmtId="9" fontId="0" fillId="0" borderId="21" xfId="6" applyFont="1" applyBorder="1"/>
    <xf numFmtId="9" fontId="0" fillId="0" borderId="9" xfId="6" applyFont="1" applyBorder="1"/>
    <xf numFmtId="9" fontId="0" fillId="0" borderId="23" xfId="6" applyFont="1" applyBorder="1"/>
    <xf numFmtId="0" fontId="1" fillId="0" borderId="0" xfId="0" applyFont="1" applyAlignment="1">
      <alignment vertical="center"/>
    </xf>
    <xf numFmtId="0" fontId="1" fillId="0" borderId="0" xfId="0" applyFont="1" applyAlignment="1">
      <alignment vertical="top"/>
    </xf>
    <xf numFmtId="167" fontId="1" fillId="0" borderId="0" xfId="6" applyNumberFormat="1" applyFont="1" applyAlignment="1">
      <alignment horizontal="center" vertical="top" wrapText="1"/>
    </xf>
    <xf numFmtId="0" fontId="0" fillId="0" borderId="0" xfId="0" applyAlignment="1">
      <alignment horizontal="center" vertical="center"/>
    </xf>
    <xf numFmtId="167" fontId="0" fillId="0" borderId="0" xfId="6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5" fillId="0" borderId="0" xfId="2" applyNumberFormat="1" applyFont="1" applyAlignment="1">
      <alignment horizontal="center"/>
    </xf>
    <xf numFmtId="1" fontId="4" fillId="0" borderId="0" xfId="2" applyNumberFormat="1" applyFont="1" applyAlignment="1">
      <alignment horizontal="center"/>
    </xf>
    <xf numFmtId="1" fontId="5" fillId="0" borderId="9" xfId="2" applyNumberFormat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21" xfId="0" applyNumberFormat="1" applyBorder="1"/>
    <xf numFmtId="2" fontId="0" fillId="0" borderId="23" xfId="0" applyNumberFormat="1" applyBorder="1"/>
    <xf numFmtId="2" fontId="1" fillId="0" borderId="26" xfId="0" applyNumberFormat="1" applyFont="1" applyBorder="1"/>
    <xf numFmtId="2" fontId="0" fillId="0" borderId="0" xfId="0" applyNumberFormat="1" applyBorder="1"/>
    <xf numFmtId="2" fontId="1" fillId="0" borderId="27" xfId="0" applyNumberFormat="1" applyFont="1" applyBorder="1"/>
    <xf numFmtId="1" fontId="0" fillId="0" borderId="0" xfId="6" applyNumberFormat="1" applyFont="1" applyBorder="1"/>
    <xf numFmtId="1" fontId="0" fillId="0" borderId="3" xfId="6" applyNumberFormat="1" applyFont="1" applyBorder="1"/>
    <xf numFmtId="1" fontId="0" fillId="0" borderId="9" xfId="6" applyNumberFormat="1" applyFont="1" applyBorder="1"/>
    <xf numFmtId="1" fontId="0" fillId="0" borderId="10" xfId="6" applyNumberFormat="1" applyFont="1" applyBorder="1"/>
    <xf numFmtId="165" fontId="1" fillId="0" borderId="0" xfId="5" applyNumberFormat="1" applyFont="1" applyAlignment="1">
      <alignment horizontal="center" vertical="top" wrapText="1"/>
    </xf>
    <xf numFmtId="165" fontId="0" fillId="0" borderId="0" xfId="5" applyNumberFormat="1" applyFon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1" fillId="0" borderId="0" xfId="5" applyNumberFormat="1" applyFont="1" applyAlignment="1">
      <alignment horizontal="center" vertical="top" wrapText="1"/>
    </xf>
    <xf numFmtId="166" fontId="0" fillId="0" borderId="0" xfId="5" applyNumberFormat="1" applyFont="1" applyAlignment="1">
      <alignment horizontal="center" vertical="center"/>
    </xf>
    <xf numFmtId="166" fontId="0" fillId="0" borderId="0" xfId="6" applyNumberFormat="1" applyFont="1" applyAlignment="1">
      <alignment horizontal="center" vertical="center"/>
    </xf>
    <xf numFmtId="166" fontId="1" fillId="0" borderId="0" xfId="6" applyNumberFormat="1" applyFont="1" applyAlignment="1">
      <alignment horizontal="left" vertical="top" wrapText="1"/>
    </xf>
    <xf numFmtId="0" fontId="1" fillId="3" borderId="0" xfId="0" applyFont="1" applyFill="1" applyAlignment="1">
      <alignment vertical="top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</cellXfs>
  <cellStyles count="7">
    <cellStyle name="Comma" xfId="5" builtinId="3"/>
    <cellStyle name="Comma 2" xfId="3" xr:uid="{67D485F0-1F7C-449C-BE42-6284E112363B}"/>
    <cellStyle name="Normal" xfId="0" builtinId="0"/>
    <cellStyle name="Normal 2" xfId="1" xr:uid="{24075A44-2717-4CD5-A850-368A396E4CB5}"/>
    <cellStyle name="Normal 3" xfId="2" xr:uid="{6E25074A-A140-47B0-A755-DF47F07560DA}"/>
    <cellStyle name="Percent" xfId="6" builtinId="5"/>
    <cellStyle name="Percent 2" xfId="4" xr:uid="{8341E368-297F-4A0F-9FC0-36E677EC1709}"/>
  </cellStyles>
  <dxfs count="51"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theme="7" tint="0.79998168889431442"/>
        </patternFill>
      </fill>
    </dxf>
    <dxf>
      <fill>
        <patternFill>
          <bgColor rgb="FF8BB2FF"/>
        </patternFill>
      </fill>
    </dxf>
    <dxf>
      <fill>
        <patternFill>
          <bgColor rgb="FFFF8B8B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theme="7" tint="0.79998168889431442"/>
        </patternFill>
      </fill>
    </dxf>
    <dxf>
      <fill>
        <patternFill>
          <bgColor rgb="FF8BB2FF"/>
        </patternFill>
      </fill>
    </dxf>
    <dxf>
      <fill>
        <patternFill>
          <bgColor rgb="FFFF8B8B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theme="7" tint="0.79998168889431442"/>
        </patternFill>
      </fill>
    </dxf>
    <dxf>
      <fill>
        <patternFill>
          <bgColor rgb="FF8BB2FF"/>
        </patternFill>
      </fill>
    </dxf>
    <dxf>
      <fill>
        <patternFill>
          <bgColor rgb="FFFF8B8B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theme="7" tint="0.79998168889431442"/>
        </patternFill>
      </fill>
    </dxf>
    <dxf>
      <fill>
        <patternFill>
          <bgColor rgb="FF8BB2FF"/>
        </patternFill>
      </fill>
    </dxf>
    <dxf>
      <fill>
        <patternFill>
          <bgColor rgb="FFFF8B8B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theme="7" tint="0.79998168889431442"/>
        </patternFill>
      </fill>
    </dxf>
    <dxf>
      <fill>
        <patternFill>
          <bgColor rgb="FF8BB2FF"/>
        </patternFill>
      </fill>
    </dxf>
    <dxf>
      <fill>
        <patternFill>
          <bgColor rgb="FFFF8B8B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theme="7" tint="0.79998168889431442"/>
        </patternFill>
      </fill>
    </dxf>
    <dxf>
      <fill>
        <patternFill>
          <bgColor rgb="FF8BB2FF"/>
        </patternFill>
      </fill>
    </dxf>
    <dxf>
      <fill>
        <patternFill>
          <bgColor rgb="FFFF8B8B"/>
        </patternFill>
      </fill>
    </dxf>
    <dxf>
      <numFmt numFmtId="166" formatCode="0.0"/>
      <alignment horizontal="center" vertical="center" textRotation="0" indent="0" justifyLastLine="0" shrinkToFit="0" readingOrder="0"/>
    </dxf>
    <dxf>
      <numFmt numFmtId="166" formatCode="0.0"/>
      <alignment horizontal="center" vertical="center" textRotation="0" indent="0" justifyLastLine="0" shrinkToFit="0" readingOrder="0"/>
    </dxf>
    <dxf>
      <numFmt numFmtId="165" formatCode="_(* #,##0_);_(* \(#,##0\);_(* &quot;-&quot;??_);_(@_)"/>
      <alignment horizontal="center" vertical="center" textRotation="0" indent="0" justifyLastLine="0" shrinkToFit="0" readingOrder="0"/>
    </dxf>
    <dxf>
      <numFmt numFmtId="167" formatCode="0.0%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"/>
      <alignment horizontal="center" vertical="center" textRotation="0" wrapText="0" indent="0" justifyLastLine="0" shrinkToFit="0" readingOrder="0"/>
    </dxf>
    <dxf>
      <numFmt numFmtId="167" formatCode="0.0%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166" formatCode="0.0"/>
      <alignment horizontal="center" vertical="center" textRotation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vertical="top" textRotation="0" indent="0" justifyLastLine="0" shrinkToFit="0" readingOrder="0"/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theme="0" tint="-0.499984740745262"/>
        </patternFill>
      </fill>
    </dxf>
    <dxf>
      <fill>
        <patternFill>
          <bgColor rgb="FF00B0F0"/>
        </patternFill>
      </fill>
    </dxf>
    <dxf>
      <fill>
        <patternFill>
          <bgColor theme="7" tint="0.79998168889431442"/>
        </patternFill>
      </fill>
    </dxf>
    <dxf>
      <fill>
        <patternFill>
          <bgColor rgb="FF8BB2FF"/>
        </patternFill>
      </fill>
    </dxf>
    <dxf>
      <fill>
        <patternFill>
          <bgColor rgb="FFFF8B8B"/>
        </patternFill>
      </fill>
    </dxf>
  </dxfs>
  <tableStyles count="0" defaultTableStyle="TableStyleMedium2" defaultPivotStyle="PivotStyleLight16"/>
  <colors>
    <mruColors>
      <color rgb="FFFFFFCC"/>
      <color rgb="FFFF8B8B"/>
      <color rgb="FF8BB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Goalie Pts/Game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Graphs!$D$18:$D$62</c:f>
              <c:numCache>
                <c:formatCode>General</c:formatCode>
                <c:ptCount val="45"/>
                <c:pt idx="0">
                  <c:v>42.573170731707314</c:v>
                </c:pt>
                <c:pt idx="1">
                  <c:v>42.085365853658537</c:v>
                </c:pt>
                <c:pt idx="2">
                  <c:v>36.634146341463413</c:v>
                </c:pt>
                <c:pt idx="3">
                  <c:v>35.560975609756099</c:v>
                </c:pt>
                <c:pt idx="4">
                  <c:v>33.414634146341463</c:v>
                </c:pt>
                <c:pt idx="5">
                  <c:v>33.341463414634148</c:v>
                </c:pt>
                <c:pt idx="6">
                  <c:v>32.707317073170735</c:v>
                </c:pt>
                <c:pt idx="7">
                  <c:v>32.658536585365852</c:v>
                </c:pt>
                <c:pt idx="8">
                  <c:v>31.963414634146343</c:v>
                </c:pt>
                <c:pt idx="9">
                  <c:v>30.414634146341463</c:v>
                </c:pt>
                <c:pt idx="10">
                  <c:v>29.073170731707318</c:v>
                </c:pt>
                <c:pt idx="11">
                  <c:v>26.646341463414632</c:v>
                </c:pt>
                <c:pt idx="12">
                  <c:v>26.073170731707318</c:v>
                </c:pt>
                <c:pt idx="13">
                  <c:v>23.548780487804876</c:v>
                </c:pt>
                <c:pt idx="14">
                  <c:v>23.26829268292683</c:v>
                </c:pt>
                <c:pt idx="15">
                  <c:v>22.048780487804876</c:v>
                </c:pt>
                <c:pt idx="16">
                  <c:v>21.890243902439025</c:v>
                </c:pt>
                <c:pt idx="17">
                  <c:v>21.5</c:v>
                </c:pt>
                <c:pt idx="18">
                  <c:v>21.402439024390244</c:v>
                </c:pt>
                <c:pt idx="19">
                  <c:v>20.512195121951219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36-42CA-9ECC-E820F8310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546848"/>
        <c:axId val="1805547264"/>
      </c:scatterChart>
      <c:valAx>
        <c:axId val="180554684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547264"/>
        <c:crosses val="autoZero"/>
        <c:crossBetween val="midCat"/>
      </c:valAx>
      <c:valAx>
        <c:axId val="180554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54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Forward Pts/Game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Graphs!$K$18:$K$162</c:f>
              <c:numCache>
                <c:formatCode>General</c:formatCode>
                <c:ptCount val="145"/>
                <c:pt idx="0">
                  <c:v>55.987804878048777</c:v>
                </c:pt>
                <c:pt idx="1">
                  <c:v>52.853658536585364</c:v>
                </c:pt>
                <c:pt idx="2">
                  <c:v>48.609756097560975</c:v>
                </c:pt>
                <c:pt idx="3">
                  <c:v>46.780487804878049</c:v>
                </c:pt>
                <c:pt idx="4">
                  <c:v>46.780487804878049</c:v>
                </c:pt>
                <c:pt idx="5">
                  <c:v>44.634146341463413</c:v>
                </c:pt>
                <c:pt idx="6">
                  <c:v>44.597560975609753</c:v>
                </c:pt>
                <c:pt idx="7">
                  <c:v>44.024390243902438</c:v>
                </c:pt>
                <c:pt idx="8">
                  <c:v>41.987804878048777</c:v>
                </c:pt>
                <c:pt idx="9">
                  <c:v>40.609756097560975</c:v>
                </c:pt>
                <c:pt idx="10">
                  <c:v>40.475609756097562</c:v>
                </c:pt>
                <c:pt idx="11">
                  <c:v>39.085365853658537</c:v>
                </c:pt>
                <c:pt idx="12">
                  <c:v>39.060975609756099</c:v>
                </c:pt>
                <c:pt idx="13">
                  <c:v>38.914634146341463</c:v>
                </c:pt>
                <c:pt idx="14">
                  <c:v>38.207317073170735</c:v>
                </c:pt>
                <c:pt idx="15">
                  <c:v>37.804878048780488</c:v>
                </c:pt>
                <c:pt idx="16">
                  <c:v>37.353658536585364</c:v>
                </c:pt>
                <c:pt idx="17">
                  <c:v>37.292682926829265</c:v>
                </c:pt>
                <c:pt idx="18">
                  <c:v>37.268292682926827</c:v>
                </c:pt>
                <c:pt idx="19">
                  <c:v>36.926829268292686</c:v>
                </c:pt>
                <c:pt idx="20">
                  <c:v>36.804878048780488</c:v>
                </c:pt>
                <c:pt idx="21">
                  <c:v>36.695121951219512</c:v>
                </c:pt>
                <c:pt idx="22">
                  <c:v>36.536585365853661</c:v>
                </c:pt>
                <c:pt idx="23">
                  <c:v>36.536585365853661</c:v>
                </c:pt>
                <c:pt idx="24">
                  <c:v>35.926829268292686</c:v>
                </c:pt>
                <c:pt idx="25">
                  <c:v>35.902439024390247</c:v>
                </c:pt>
                <c:pt idx="26">
                  <c:v>35.304878048780488</c:v>
                </c:pt>
                <c:pt idx="27">
                  <c:v>34.878048780487802</c:v>
                </c:pt>
                <c:pt idx="28">
                  <c:v>34.378048780487802</c:v>
                </c:pt>
                <c:pt idx="29">
                  <c:v>34.280487804878049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12-4DFA-AA01-56E3B9596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546848"/>
        <c:axId val="1805547264"/>
      </c:scatterChart>
      <c:valAx>
        <c:axId val="180554684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547264"/>
        <c:crosses val="autoZero"/>
        <c:crossBetween val="midCat"/>
      </c:valAx>
      <c:valAx>
        <c:axId val="180554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54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Defense Pts/Game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Graphs!$R$18:$R$120</c:f>
              <c:numCache>
                <c:formatCode>General</c:formatCode>
                <c:ptCount val="103"/>
                <c:pt idx="0">
                  <c:v>38.451219512195124</c:v>
                </c:pt>
                <c:pt idx="1">
                  <c:v>35.158536585365852</c:v>
                </c:pt>
                <c:pt idx="2">
                  <c:v>33.731707317073173</c:v>
                </c:pt>
                <c:pt idx="3">
                  <c:v>33.085365853658537</c:v>
                </c:pt>
                <c:pt idx="4">
                  <c:v>31.914634146341463</c:v>
                </c:pt>
                <c:pt idx="5">
                  <c:v>31.792682926829269</c:v>
                </c:pt>
                <c:pt idx="6">
                  <c:v>30.23170731707317</c:v>
                </c:pt>
                <c:pt idx="7">
                  <c:v>30.024390243902438</c:v>
                </c:pt>
                <c:pt idx="8">
                  <c:v>29.792682926829269</c:v>
                </c:pt>
                <c:pt idx="9">
                  <c:v>29.621951219512194</c:v>
                </c:pt>
                <c:pt idx="10">
                  <c:v>29.036585365853657</c:v>
                </c:pt>
                <c:pt idx="11">
                  <c:v>28.914634146341463</c:v>
                </c:pt>
                <c:pt idx="12">
                  <c:v>28.670731707317074</c:v>
                </c:pt>
                <c:pt idx="13">
                  <c:v>28.158536585365855</c:v>
                </c:pt>
                <c:pt idx="14">
                  <c:v>27.878048780487806</c:v>
                </c:pt>
                <c:pt idx="15">
                  <c:v>27.878048780487806</c:v>
                </c:pt>
                <c:pt idx="16">
                  <c:v>27.097560975609756</c:v>
                </c:pt>
                <c:pt idx="17">
                  <c:v>26.792682926829269</c:v>
                </c:pt>
                <c:pt idx="18">
                  <c:v>26.26829268292683</c:v>
                </c:pt>
                <c:pt idx="19">
                  <c:v>26.012195121951219</c:v>
                </c:pt>
                <c:pt idx="20">
                  <c:v>25.939024390243901</c:v>
                </c:pt>
                <c:pt idx="21">
                  <c:v>25.878048780487806</c:v>
                </c:pt>
                <c:pt idx="22">
                  <c:v>24.73170731707317</c:v>
                </c:pt>
                <c:pt idx="23">
                  <c:v>24.646341463414632</c:v>
                </c:pt>
                <c:pt idx="24">
                  <c:v>24.341463414634145</c:v>
                </c:pt>
                <c:pt idx="25">
                  <c:v>24.085365853658537</c:v>
                </c:pt>
                <c:pt idx="26">
                  <c:v>23.341463414634145</c:v>
                </c:pt>
                <c:pt idx="27">
                  <c:v>23.182926829268293</c:v>
                </c:pt>
                <c:pt idx="28">
                  <c:v>23.146341463414632</c:v>
                </c:pt>
                <c:pt idx="29">
                  <c:v>22.914634146341463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35-4722-81EA-7E3E1B319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546848"/>
        <c:axId val="1805547264"/>
      </c:scatterChart>
      <c:valAx>
        <c:axId val="1805546848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547264"/>
        <c:crosses val="autoZero"/>
        <c:crossBetween val="midCat"/>
      </c:valAx>
      <c:valAx>
        <c:axId val="180554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54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24</xdr:row>
          <xdr:rowOff>53340</xdr:rowOff>
        </xdr:from>
        <xdr:to>
          <xdr:col>15</xdr:col>
          <xdr:colOff>403860</xdr:colOff>
          <xdr:row>25</xdr:row>
          <xdr:rowOff>137160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175260</xdr:colOff>
          <xdr:row>2</xdr:row>
          <xdr:rowOff>129540</xdr:rowOff>
        </xdr:from>
        <xdr:to>
          <xdr:col>15</xdr:col>
          <xdr:colOff>434340</xdr:colOff>
          <xdr:row>2</xdr:row>
          <xdr:rowOff>434340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Draft Player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</xdr:colOff>
          <xdr:row>4</xdr:row>
          <xdr:rowOff>38100</xdr:rowOff>
        </xdr:from>
        <xdr:to>
          <xdr:col>15</xdr:col>
          <xdr:colOff>541020</xdr:colOff>
          <xdr:row>5</xdr:row>
          <xdr:rowOff>144780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1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Undraft Player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53340</xdr:colOff>
          <xdr:row>21</xdr:row>
          <xdr:rowOff>45720</xdr:rowOff>
        </xdr:from>
        <xdr:to>
          <xdr:col>15</xdr:col>
          <xdr:colOff>571500</xdr:colOff>
          <xdr:row>22</xdr:row>
          <xdr:rowOff>160020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Overlap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14</xdr:row>
          <xdr:rowOff>22860</xdr:rowOff>
        </xdr:from>
        <xdr:to>
          <xdr:col>1</xdr:col>
          <xdr:colOff>396240</xdr:colOff>
          <xdr:row>15</xdr:row>
          <xdr:rowOff>99060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415290</xdr:colOff>
      <xdr:row>0</xdr:row>
      <xdr:rowOff>0</xdr:rowOff>
    </xdr:from>
    <xdr:to>
      <xdr:col>6</xdr:col>
      <xdr:colOff>320040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373380</xdr:colOff>
          <xdr:row>13</xdr:row>
          <xdr:rowOff>160020</xdr:rowOff>
        </xdr:from>
        <xdr:to>
          <xdr:col>8</xdr:col>
          <xdr:colOff>274320</xdr:colOff>
          <xdr:row>15</xdr:row>
          <xdr:rowOff>53340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47625</xdr:colOff>
      <xdr:row>0</xdr:row>
      <xdr:rowOff>57150</xdr:rowOff>
    </xdr:from>
    <xdr:to>
      <xdr:col>14</xdr:col>
      <xdr:colOff>20955</xdr:colOff>
      <xdr:row>11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485775</xdr:colOff>
      <xdr:row>0</xdr:row>
      <xdr:rowOff>66675</xdr:rowOff>
    </xdr:from>
    <xdr:to>
      <xdr:col>21</xdr:col>
      <xdr:colOff>268605</xdr:colOff>
      <xdr:row>11</xdr:row>
      <xdr:rowOff>64770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426720</xdr:colOff>
          <xdr:row>13</xdr:row>
          <xdr:rowOff>83820</xdr:rowOff>
        </xdr:from>
        <xdr:to>
          <xdr:col>15</xdr:col>
          <xdr:colOff>327660</xdr:colOff>
          <xdr:row>14</xdr:row>
          <xdr:rowOff>167640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3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228600</xdr:colOff>
          <xdr:row>4</xdr:row>
          <xdr:rowOff>76200</xdr:rowOff>
        </xdr:from>
        <xdr:to>
          <xdr:col>24</xdr:col>
          <xdr:colOff>419100</xdr:colOff>
          <xdr:row>6</xdr:row>
          <xdr:rowOff>114300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%20references/ENIAC%200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aft Order"/>
      <sheetName val="New RotoWire"/>
      <sheetName val="Best Avail"/>
      <sheetName val="Amy's Team"/>
      <sheetName val="Ryan's Team"/>
      <sheetName val="AForwards"/>
      <sheetName val="AGoalies"/>
      <sheetName val="ADefenders"/>
      <sheetName val="RForwards"/>
      <sheetName val="RGoalies"/>
      <sheetName val="RDefenders"/>
      <sheetName val="F MVP"/>
      <sheetName val="D MVP"/>
      <sheetName val="G MVP"/>
      <sheetName val="Schedule"/>
      <sheetName val="Whole Scheudu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4">
          <cell r="A4" t="str">
            <v>Anaheim</v>
          </cell>
        </row>
        <row r="5">
          <cell r="A5" t="str">
            <v>Atlanta</v>
          </cell>
        </row>
        <row r="6">
          <cell r="A6" t="str">
            <v>Boston</v>
          </cell>
        </row>
        <row r="7">
          <cell r="A7" t="str">
            <v>Buffalo</v>
          </cell>
        </row>
        <row r="8">
          <cell r="A8" t="str">
            <v>Calgary</v>
          </cell>
        </row>
        <row r="9">
          <cell r="A9" t="str">
            <v>Carolina</v>
          </cell>
        </row>
        <row r="10">
          <cell r="A10" t="str">
            <v>Chicago</v>
          </cell>
        </row>
        <row r="11">
          <cell r="A11" t="str">
            <v>Colorado</v>
          </cell>
        </row>
        <row r="12">
          <cell r="A12" t="str">
            <v>Columbus</v>
          </cell>
        </row>
        <row r="13">
          <cell r="A13" t="str">
            <v>Dallas</v>
          </cell>
        </row>
        <row r="14">
          <cell r="A14" t="str">
            <v>Detroit</v>
          </cell>
        </row>
        <row r="15">
          <cell r="A15" t="str">
            <v>Edmonton</v>
          </cell>
        </row>
        <row r="16">
          <cell r="A16" t="str">
            <v>Florida</v>
          </cell>
        </row>
        <row r="17">
          <cell r="A17" t="str">
            <v>Los Angeles</v>
          </cell>
        </row>
        <row r="18">
          <cell r="A18" t="str">
            <v>Minnesota</v>
          </cell>
        </row>
        <row r="19">
          <cell r="A19" t="str">
            <v>Montreal</v>
          </cell>
        </row>
        <row r="20">
          <cell r="A20" t="str">
            <v>Nashville</v>
          </cell>
        </row>
        <row r="21">
          <cell r="A21" t="str">
            <v>New Jersey</v>
          </cell>
        </row>
        <row r="22">
          <cell r="A22" t="str">
            <v>NY Islanders</v>
          </cell>
        </row>
        <row r="23">
          <cell r="A23" t="str">
            <v>NY Rangers</v>
          </cell>
        </row>
        <row r="24">
          <cell r="A24" t="str">
            <v>Ottawa</v>
          </cell>
        </row>
        <row r="25">
          <cell r="A25" t="str">
            <v>Philadelphia</v>
          </cell>
        </row>
        <row r="26">
          <cell r="A26" t="str">
            <v>Phoenix</v>
          </cell>
        </row>
        <row r="27">
          <cell r="A27" t="str">
            <v>Pittsburgh</v>
          </cell>
        </row>
        <row r="28">
          <cell r="A28" t="str">
            <v>San Jose</v>
          </cell>
        </row>
        <row r="29">
          <cell r="A29" t="str">
            <v>St Louis</v>
          </cell>
        </row>
        <row r="30">
          <cell r="A30" t="str">
            <v>Tampa Bay</v>
          </cell>
        </row>
        <row r="31">
          <cell r="A31" t="str">
            <v>Toronto</v>
          </cell>
        </row>
        <row r="32">
          <cell r="A32" t="str">
            <v>Vancouver</v>
          </cell>
        </row>
        <row r="33">
          <cell r="A33" t="str">
            <v>Washington</v>
          </cell>
        </row>
      </sheetData>
      <sheetData sheetId="1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B8691D-8489-40CB-9E1F-EB1B64DCD0B0}" name="Table2" displayName="Table2" ref="A3:M1090" totalsRowShown="0" headerRowDxfId="43">
  <autoFilter ref="A3:M1090" xr:uid="{1EB8691D-8489-40CB-9E1F-EB1B64DCD0B0}"/>
  <sortState xmlns:xlrd2="http://schemas.microsoft.com/office/spreadsheetml/2017/richdata2" ref="A4:M1090">
    <sortCondition ref="A3:A1090"/>
  </sortState>
  <tableColumns count="13">
    <tableColumn id="1" xr3:uid="{06867984-9F76-4A84-871C-A26986CAD3BA}" name="ID" dataDxfId="42">
      <calculatedColumnFormula>'score estimates'!$A4</calculatedColumnFormula>
    </tableColumn>
    <tableColumn id="2" xr3:uid="{0AFDD89D-05F9-44D0-B22D-54C4630A1B23}" name="Player" dataDxfId="41">
      <calculatedColumnFormula>'score estimates'!$B4</calculatedColumnFormula>
    </tableColumn>
    <tableColumn id="3" xr3:uid="{C933FE64-6B78-4F55-9B16-115D6199E691}" name="Pos" dataDxfId="40">
      <calculatedColumnFormula>'score estimates'!$D4</calculatedColumnFormula>
    </tableColumn>
    <tableColumn id="7" xr3:uid="{08CA2EDD-2F85-4C32-BC88-A3C7384CF4D1}" name="Team" dataDxfId="39">
      <calculatedColumnFormula>'score estimates'!$C4</calculatedColumnFormula>
    </tableColumn>
    <tableColumn id="4" xr3:uid="{D7F72DEE-9B46-4C2D-BEFA-E1D89AA7D1C1}" name="Pts/G" dataDxfId="38">
      <calculatedColumnFormula>'score estimates'!$F4</calculatedColumnFormula>
    </tableColumn>
    <tableColumn id="5" xr3:uid="{A4CDAFB9-9D79-4543-8ECA-0D08DD45F0AC}" name="Rank" dataDxfId="37">
      <calculatedColumnFormula>'score estimates'!$G4</calculatedColumnFormula>
    </tableColumn>
    <tableColumn id="6" xr3:uid="{4B703D4A-042D-4AE9-989F-B8894E904BE6}" name="Status" dataDxfId="36"/>
    <tableColumn id="8" xr3:uid="{6FC22587-C5AB-4A0D-98DD-DE199E52D00A}" name="% Pos Overlap" dataDxfId="35" dataCellStyle="Percent">
      <calculatedColumnFormula array="1">(INDIRECT(ADDRESS((_xlfn.XMATCH(Table2[[#This Row],[Team]],Schedule!$A$1:$A$33)),_xlfn.IFS(Table2[[#This Row],[Pos]]="F",2,Table2[[#This Row],[Pos]]="D",3,Table2[[#This Row],[Pos]]="G",4,TRUE, "Error"),1,1,"Sched Overlap")))</calculatedColumnFormula>
    </tableColumn>
    <tableColumn id="13" xr3:uid="{9B6401CA-B3D2-4988-AB96-5B23EF215405}" name="Overlap x Score" dataDxfId="34" dataCellStyle="Percent">
      <calculatedColumnFormula>IF(Table2[[#This Row],[Team]]="FA",0,Table2[[#This Row],[Pts/G]]*(1-Table2[[#This Row],[% Pos Overlap]]))</calculatedColumnFormula>
    </tableColumn>
    <tableColumn id="9" xr3:uid="{C1856128-CA73-48EF-9EB6-0675FB7209F5}" name="% League Overlap" dataDxfId="33" dataCellStyle="Percent">
      <calculatedColumnFormula array="1">(INDIRECT(ADDRESS((_xlfn.XMATCH(Table2[[#This Row],[Team]],Schedule!$A$1:$A$33)),5,1,1,"Sched Overlap")))</calculatedColumnFormula>
    </tableColumn>
    <tableColumn id="10" xr3:uid="{A175FFD5-7792-439A-A1F4-1EAD52CDF712}" name="Games Playable" dataDxfId="32" dataCellStyle="Comma">
      <calculatedColumnFormula array="1">(INDIRECT(ADDRESS((_xlfn.XMATCH(Table2[[#This Row],[Team]],Schedule!$A$1:$A$33)),_xlfn.IFS(Table2[[#This Row],[Pos]]="F",8,Table2[[#This Row],[Pos]]="D",9,Table2[[#This Row],[Pos]]="G",10,TRUE, "Error"),1,1,"Sched Overlap")))</calculatedColumnFormula>
    </tableColumn>
    <tableColumn id="11" xr3:uid="{01007EB2-0412-4849-B3ED-6624280D5579}" name="Playable x Score" dataDxfId="31" dataCellStyle="Comma">
      <calculatedColumnFormula>IF(Table2[[#This Row],[Team]]="FA",0,Table2[[#This Row],[Pts/G]]*(Table2[[#This Row],[Games Playable]]/82))</calculatedColumnFormula>
    </tableColumn>
    <tableColumn id="14" xr3:uid="{E68790A6-E9F9-42B2-9571-DE74A9355DE8}" name="Opinion x Playable x Score" dataDxfId="30" dataCellStyle="Comma">
      <calculatedColumnFormula array="1">Table2[[#This Row],[Playable x Score]]*_xlfn.IFS(Table2[[#This Row],[Pos]]="D",assumptions!$B$15,Table2[[#This Row],[Pos]]="F", assumptions!$B$14,Table2[[#This Row],[Pos]]="G",assumptions!$B$16)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C2815-56E5-45C8-838A-4BCF582B3F9E}">
  <sheetPr codeName="Sheet1">
    <tabColor rgb="FF7030A0"/>
  </sheetPr>
  <dimension ref="A1:GN41"/>
  <sheetViews>
    <sheetView workbookViewId="0">
      <selection activeCell="N7" sqref="N1:N1048576"/>
    </sheetView>
  </sheetViews>
  <sheetFormatPr defaultColWidth="5.109375" defaultRowHeight="14.4" x14ac:dyDescent="0.3"/>
  <cols>
    <col min="1" max="1" width="10" style="6" customWidth="1"/>
    <col min="2" max="2" width="7.21875" style="2" hidden="1" customWidth="1"/>
    <col min="3" max="4" width="0" style="2" hidden="1" customWidth="1"/>
    <col min="5" max="5" width="5.109375" style="2"/>
    <col min="6" max="6" width="0" style="2" hidden="1" customWidth="1"/>
    <col min="7" max="7" width="5.109375" style="2"/>
    <col min="8" max="8" width="8" style="9" bestFit="1" customWidth="1"/>
    <col min="9" max="10" width="5.21875" style="2" bestFit="1" customWidth="1"/>
    <col min="11" max="12" width="5.77734375" style="2" bestFit="1" customWidth="1"/>
    <col min="13" max="13" width="8" style="2" bestFit="1" customWidth="1"/>
    <col min="14" max="32" width="5.77734375" style="2" bestFit="1" customWidth="1"/>
    <col min="33" max="41" width="5.21875" style="2" bestFit="1" customWidth="1"/>
    <col min="42" max="62" width="5.77734375" style="2" bestFit="1" customWidth="1"/>
    <col min="63" max="71" width="5.21875" style="2" bestFit="1" customWidth="1"/>
    <col min="72" max="93" width="5.77734375" style="2" bestFit="1" customWidth="1"/>
    <col min="94" max="195" width="5.21875" style="2" bestFit="1" customWidth="1"/>
    <col min="196" max="196" width="5.21875" style="11" bestFit="1" customWidth="1"/>
    <col min="197" max="16384" width="5.109375" style="2"/>
  </cols>
  <sheetData>
    <row r="1" spans="1:196" s="3" customFormat="1" x14ac:dyDescent="0.3">
      <c r="A1" s="5" t="s">
        <v>950</v>
      </c>
      <c r="B1" s="3" t="s">
        <v>945</v>
      </c>
      <c r="C1" s="3" t="s">
        <v>946</v>
      </c>
      <c r="D1" s="3" t="s">
        <v>947</v>
      </c>
      <c r="E1" s="3" t="s">
        <v>948</v>
      </c>
      <c r="F1" s="3" t="s">
        <v>949</v>
      </c>
      <c r="H1" s="8">
        <v>44841</v>
      </c>
      <c r="I1" s="3">
        <v>44842</v>
      </c>
      <c r="J1" s="3">
        <v>44843</v>
      </c>
      <c r="K1" s="3">
        <v>44844</v>
      </c>
      <c r="L1" s="3">
        <v>44845</v>
      </c>
      <c r="M1" s="3">
        <v>44846</v>
      </c>
      <c r="N1" s="3">
        <v>44847</v>
      </c>
      <c r="O1" s="3">
        <v>44848</v>
      </c>
      <c r="P1" s="3">
        <v>44849</v>
      </c>
      <c r="Q1" s="3">
        <v>44850</v>
      </c>
      <c r="R1" s="3">
        <v>44851</v>
      </c>
      <c r="S1" s="3">
        <v>44852</v>
      </c>
      <c r="T1" s="3">
        <v>44853</v>
      </c>
      <c r="U1" s="3">
        <v>44854</v>
      </c>
      <c r="V1" s="3">
        <v>44855</v>
      </c>
      <c r="W1" s="3">
        <v>44856</v>
      </c>
      <c r="X1" s="3">
        <v>44857</v>
      </c>
      <c r="Y1" s="3">
        <v>44858</v>
      </c>
      <c r="Z1" s="3">
        <v>44859</v>
      </c>
      <c r="AA1" s="3">
        <v>44860</v>
      </c>
      <c r="AB1" s="3">
        <v>44861</v>
      </c>
      <c r="AC1" s="3">
        <v>44862</v>
      </c>
      <c r="AD1" s="3">
        <v>44863</v>
      </c>
      <c r="AE1" s="3">
        <v>44864</v>
      </c>
      <c r="AF1" s="3">
        <v>44865</v>
      </c>
      <c r="AG1" s="3">
        <v>44866</v>
      </c>
      <c r="AH1" s="3">
        <v>44867</v>
      </c>
      <c r="AI1" s="3">
        <v>44868</v>
      </c>
      <c r="AJ1" s="3">
        <v>44869</v>
      </c>
      <c r="AK1" s="3">
        <v>44870</v>
      </c>
      <c r="AL1" s="3">
        <v>44871</v>
      </c>
      <c r="AM1" s="3">
        <v>44872</v>
      </c>
      <c r="AN1" s="3">
        <v>44873</v>
      </c>
      <c r="AO1" s="3">
        <v>44874</v>
      </c>
      <c r="AP1" s="3">
        <v>44875</v>
      </c>
      <c r="AQ1" s="3">
        <v>44876</v>
      </c>
      <c r="AR1" s="3">
        <v>44877</v>
      </c>
      <c r="AS1" s="3">
        <v>44878</v>
      </c>
      <c r="AT1" s="3">
        <v>44879</v>
      </c>
      <c r="AU1" s="3">
        <v>44880</v>
      </c>
      <c r="AV1" s="3">
        <v>44881</v>
      </c>
      <c r="AW1" s="3">
        <v>44882</v>
      </c>
      <c r="AX1" s="3">
        <v>44883</v>
      </c>
      <c r="AY1" s="3">
        <v>44884</v>
      </c>
      <c r="AZ1" s="3">
        <v>44885</v>
      </c>
      <c r="BA1" s="3">
        <v>44886</v>
      </c>
      <c r="BB1" s="3">
        <v>44887</v>
      </c>
      <c r="BC1" s="3">
        <v>44888</v>
      </c>
      <c r="BD1" s="3">
        <v>44889</v>
      </c>
      <c r="BE1" s="3">
        <v>44890</v>
      </c>
      <c r="BF1" s="3">
        <v>44891</v>
      </c>
      <c r="BG1" s="3">
        <v>44892</v>
      </c>
      <c r="BH1" s="3">
        <v>44893</v>
      </c>
      <c r="BI1" s="3">
        <v>44894</v>
      </c>
      <c r="BJ1" s="3">
        <v>44895</v>
      </c>
      <c r="BK1" s="3">
        <v>44896</v>
      </c>
      <c r="BL1" s="3">
        <v>44897</v>
      </c>
      <c r="BM1" s="3">
        <v>44898</v>
      </c>
      <c r="BN1" s="3">
        <v>44899</v>
      </c>
      <c r="BO1" s="3">
        <v>44900</v>
      </c>
      <c r="BP1" s="3">
        <v>44901</v>
      </c>
      <c r="BQ1" s="3">
        <v>44902</v>
      </c>
      <c r="BR1" s="3">
        <v>44903</v>
      </c>
      <c r="BS1" s="3">
        <v>44904</v>
      </c>
      <c r="BT1" s="3">
        <v>44905</v>
      </c>
      <c r="BU1" s="3">
        <v>44906</v>
      </c>
      <c r="BV1" s="3">
        <v>44907</v>
      </c>
      <c r="BW1" s="3">
        <v>44908</v>
      </c>
      <c r="BX1" s="3">
        <v>44909</v>
      </c>
      <c r="BY1" s="3">
        <v>44910</v>
      </c>
      <c r="BZ1" s="3">
        <v>44911</v>
      </c>
      <c r="CA1" s="3">
        <v>44912</v>
      </c>
      <c r="CB1" s="3">
        <v>44913</v>
      </c>
      <c r="CC1" s="3">
        <v>44914</v>
      </c>
      <c r="CD1" s="3">
        <v>44915</v>
      </c>
      <c r="CE1" s="3">
        <v>44916</v>
      </c>
      <c r="CF1" s="3">
        <v>44917</v>
      </c>
      <c r="CG1" s="3">
        <v>44918</v>
      </c>
      <c r="CH1" s="3">
        <v>44919</v>
      </c>
      <c r="CI1" s="3">
        <v>44920</v>
      </c>
      <c r="CJ1" s="3">
        <v>44921</v>
      </c>
      <c r="CK1" s="3">
        <v>44922</v>
      </c>
      <c r="CL1" s="3">
        <v>44923</v>
      </c>
      <c r="CM1" s="3">
        <v>44924</v>
      </c>
      <c r="CN1" s="3">
        <v>44925</v>
      </c>
      <c r="CO1" s="3">
        <v>44926</v>
      </c>
      <c r="CP1" s="3">
        <v>44927</v>
      </c>
      <c r="CQ1" s="3">
        <v>44928</v>
      </c>
      <c r="CR1" s="3">
        <v>44929</v>
      </c>
      <c r="CS1" s="3">
        <v>44930</v>
      </c>
      <c r="CT1" s="3">
        <v>44931</v>
      </c>
      <c r="CU1" s="3">
        <v>44932</v>
      </c>
      <c r="CV1" s="3">
        <v>44933</v>
      </c>
      <c r="CW1" s="3">
        <v>44934</v>
      </c>
      <c r="CX1" s="3">
        <v>44935</v>
      </c>
      <c r="CY1" s="3">
        <v>44936</v>
      </c>
      <c r="CZ1" s="3">
        <v>44937</v>
      </c>
      <c r="DA1" s="3">
        <v>44938</v>
      </c>
      <c r="DB1" s="3">
        <v>44939</v>
      </c>
      <c r="DC1" s="3">
        <v>44940</v>
      </c>
      <c r="DD1" s="3">
        <v>44941</v>
      </c>
      <c r="DE1" s="3">
        <v>44942</v>
      </c>
      <c r="DF1" s="3">
        <v>44943</v>
      </c>
      <c r="DG1" s="3">
        <v>44944</v>
      </c>
      <c r="DH1" s="3">
        <v>44945</v>
      </c>
      <c r="DI1" s="3">
        <v>44946</v>
      </c>
      <c r="DJ1" s="3">
        <v>44947</v>
      </c>
      <c r="DK1" s="3">
        <v>44948</v>
      </c>
      <c r="DL1" s="3">
        <v>44949</v>
      </c>
      <c r="DM1" s="3">
        <v>44950</v>
      </c>
      <c r="DN1" s="3">
        <v>44951</v>
      </c>
      <c r="DO1" s="3">
        <v>44952</v>
      </c>
      <c r="DP1" s="3">
        <v>44953</v>
      </c>
      <c r="DQ1" s="3">
        <v>44954</v>
      </c>
      <c r="DR1" s="3">
        <v>44955</v>
      </c>
      <c r="DS1" s="3">
        <v>44956</v>
      </c>
      <c r="DT1" s="3">
        <v>44957</v>
      </c>
      <c r="DU1" s="3">
        <v>44958</v>
      </c>
      <c r="DV1" s="3">
        <v>44959</v>
      </c>
      <c r="DW1" s="3">
        <v>44960</v>
      </c>
      <c r="DX1" s="3">
        <v>44961</v>
      </c>
      <c r="DY1" s="3">
        <v>44962</v>
      </c>
      <c r="DZ1" s="3">
        <v>44963</v>
      </c>
      <c r="EA1" s="3">
        <v>44964</v>
      </c>
      <c r="EB1" s="3">
        <v>44965</v>
      </c>
      <c r="EC1" s="3">
        <v>44966</v>
      </c>
      <c r="ED1" s="3">
        <v>44967</v>
      </c>
      <c r="EE1" s="3">
        <v>44968</v>
      </c>
      <c r="EF1" s="3">
        <v>44969</v>
      </c>
      <c r="EG1" s="3">
        <v>44970</v>
      </c>
      <c r="EH1" s="3">
        <v>44971</v>
      </c>
      <c r="EI1" s="3">
        <v>44972</v>
      </c>
      <c r="EJ1" s="3">
        <v>44973</v>
      </c>
      <c r="EK1" s="3">
        <v>44974</v>
      </c>
      <c r="EL1" s="3">
        <v>44975</v>
      </c>
      <c r="EM1" s="3">
        <v>44976</v>
      </c>
      <c r="EN1" s="3">
        <v>44977</v>
      </c>
      <c r="EO1" s="3">
        <v>44978</v>
      </c>
      <c r="EP1" s="3">
        <v>44979</v>
      </c>
      <c r="EQ1" s="3">
        <v>44980</v>
      </c>
      <c r="ER1" s="3">
        <v>44981</v>
      </c>
      <c r="ES1" s="3">
        <v>44982</v>
      </c>
      <c r="ET1" s="3">
        <v>44983</v>
      </c>
      <c r="EU1" s="3">
        <v>44984</v>
      </c>
      <c r="EV1" s="3">
        <v>44985</v>
      </c>
      <c r="EW1" s="3">
        <v>44986</v>
      </c>
      <c r="EX1" s="3">
        <v>44987</v>
      </c>
      <c r="EY1" s="3">
        <v>44988</v>
      </c>
      <c r="EZ1" s="3">
        <v>44989</v>
      </c>
      <c r="FA1" s="3">
        <v>44990</v>
      </c>
      <c r="FB1" s="3">
        <v>44991</v>
      </c>
      <c r="FC1" s="3">
        <v>44992</v>
      </c>
      <c r="FD1" s="3">
        <v>44993</v>
      </c>
      <c r="FE1" s="3">
        <v>44994</v>
      </c>
      <c r="FF1" s="3">
        <v>44995</v>
      </c>
      <c r="FG1" s="3">
        <v>44996</v>
      </c>
      <c r="FH1" s="3">
        <v>44997</v>
      </c>
      <c r="FI1" s="3">
        <v>44998</v>
      </c>
      <c r="FJ1" s="3">
        <v>44999</v>
      </c>
      <c r="FK1" s="3">
        <v>45000</v>
      </c>
      <c r="FL1" s="3">
        <v>45001</v>
      </c>
      <c r="FM1" s="3">
        <v>45002</v>
      </c>
      <c r="FN1" s="3">
        <v>45003</v>
      </c>
      <c r="FO1" s="3">
        <v>45004</v>
      </c>
      <c r="FP1" s="3">
        <v>45005</v>
      </c>
      <c r="FQ1" s="3">
        <v>45006</v>
      </c>
      <c r="FR1" s="3">
        <v>45007</v>
      </c>
      <c r="FS1" s="3">
        <v>45008</v>
      </c>
      <c r="FT1" s="3">
        <v>45009</v>
      </c>
      <c r="FU1" s="3">
        <v>45010</v>
      </c>
      <c r="FV1" s="3">
        <v>45011</v>
      </c>
      <c r="FW1" s="3">
        <v>45012</v>
      </c>
      <c r="FX1" s="3">
        <v>45013</v>
      </c>
      <c r="FY1" s="3">
        <v>45014</v>
      </c>
      <c r="FZ1" s="3">
        <v>45015</v>
      </c>
      <c r="GA1" s="3">
        <v>45016</v>
      </c>
      <c r="GB1" s="3">
        <v>45017</v>
      </c>
      <c r="GC1" s="3">
        <v>45018</v>
      </c>
      <c r="GD1" s="3">
        <v>45019</v>
      </c>
      <c r="GE1" s="3">
        <v>45020</v>
      </c>
      <c r="GF1" s="3">
        <v>45021</v>
      </c>
      <c r="GG1" s="3">
        <v>45022</v>
      </c>
      <c r="GH1" s="3">
        <v>45023</v>
      </c>
      <c r="GI1" s="3">
        <v>45024</v>
      </c>
      <c r="GJ1" s="3">
        <v>45025</v>
      </c>
      <c r="GK1" s="3">
        <v>45026</v>
      </c>
      <c r="GL1" s="3">
        <v>45027</v>
      </c>
      <c r="GM1" s="3">
        <v>45028</v>
      </c>
      <c r="GN1" s="5">
        <v>45029</v>
      </c>
    </row>
    <row r="2" spans="1:196" x14ac:dyDescent="0.3">
      <c r="A2" s="6" t="s">
        <v>122</v>
      </c>
      <c r="B2" s="2">
        <v>82</v>
      </c>
      <c r="C2" s="2">
        <v>41</v>
      </c>
      <c r="D2" s="2">
        <v>41</v>
      </c>
      <c r="E2" s="2">
        <v>11</v>
      </c>
      <c r="F2" s="2">
        <v>41</v>
      </c>
      <c r="M2" s="2" t="s">
        <v>140</v>
      </c>
      <c r="P2" s="2" t="s">
        <v>95</v>
      </c>
      <c r="R2" s="2" t="s">
        <v>32</v>
      </c>
      <c r="S2" s="2" t="s">
        <v>106</v>
      </c>
      <c r="U2" s="2" t="s">
        <v>37</v>
      </c>
      <c r="X2" s="2" t="s">
        <v>84</v>
      </c>
      <c r="AA2" s="2" t="s">
        <v>61</v>
      </c>
      <c r="AC2" s="2" t="s">
        <v>98</v>
      </c>
      <c r="AE2" s="2" t="s">
        <v>35</v>
      </c>
      <c r="AG2" s="2" t="s">
        <v>71</v>
      </c>
      <c r="AI2" s="2" t="s">
        <v>79</v>
      </c>
      <c r="AK2" s="2" t="s">
        <v>71</v>
      </c>
      <c r="AL2" s="2" t="s">
        <v>57</v>
      </c>
      <c r="AO2" s="2" t="s">
        <v>87</v>
      </c>
      <c r="AR2" s="2" t="s">
        <v>44</v>
      </c>
      <c r="AU2" s="2" t="s">
        <v>84</v>
      </c>
      <c r="AW2" s="2" t="s">
        <v>52</v>
      </c>
      <c r="AY2" s="2" t="s">
        <v>75</v>
      </c>
      <c r="BA2" s="2" t="s">
        <v>75</v>
      </c>
      <c r="BC2" s="2" t="s">
        <v>32</v>
      </c>
      <c r="BE2" s="2" t="s">
        <v>73</v>
      </c>
      <c r="BG2" s="2" t="s">
        <v>140</v>
      </c>
      <c r="BI2" s="2" t="s">
        <v>100</v>
      </c>
      <c r="BK2" s="2" t="s">
        <v>65</v>
      </c>
      <c r="BM2" s="2" t="s">
        <v>87</v>
      </c>
      <c r="BN2" s="2" t="s">
        <v>52</v>
      </c>
      <c r="BP2" s="2" t="s">
        <v>63</v>
      </c>
      <c r="BS2" s="2" t="s">
        <v>71</v>
      </c>
      <c r="BV2" s="2" t="s">
        <v>73</v>
      </c>
      <c r="BW2" s="2" t="s">
        <v>35</v>
      </c>
      <c r="BY2" s="2" t="s">
        <v>120</v>
      </c>
      <c r="CA2" s="2" t="s">
        <v>28</v>
      </c>
      <c r="CD2" s="2" t="s">
        <v>82</v>
      </c>
      <c r="CE2" s="2" t="s">
        <v>87</v>
      </c>
      <c r="CG2" s="2" t="s">
        <v>48</v>
      </c>
      <c r="CL2" s="2" t="s">
        <v>98</v>
      </c>
      <c r="CN2" s="2" t="s">
        <v>100</v>
      </c>
      <c r="CQ2" s="2" t="s">
        <v>132</v>
      </c>
      <c r="CS2" s="2" t="s">
        <v>65</v>
      </c>
      <c r="CU2" s="2" t="s">
        <v>71</v>
      </c>
      <c r="CW2" s="2" t="s">
        <v>37</v>
      </c>
      <c r="CZ2" s="2" t="s">
        <v>28</v>
      </c>
      <c r="DB2" s="2" t="s">
        <v>106</v>
      </c>
      <c r="DE2" s="2" t="s">
        <v>46</v>
      </c>
      <c r="DF2" s="2" t="s">
        <v>132</v>
      </c>
      <c r="DH2" s="2" t="s">
        <v>59</v>
      </c>
      <c r="DJ2" s="2" t="s">
        <v>196</v>
      </c>
      <c r="DM2" s="2" t="s">
        <v>181</v>
      </c>
      <c r="DO2" s="2" t="s">
        <v>41</v>
      </c>
      <c r="DQ2" s="2" t="s">
        <v>181</v>
      </c>
      <c r="DZ2" s="2" t="s">
        <v>65</v>
      </c>
      <c r="EA2" s="2" t="s">
        <v>44</v>
      </c>
      <c r="ED2" s="2" t="s">
        <v>46</v>
      </c>
      <c r="EF2" s="2" t="s">
        <v>98</v>
      </c>
      <c r="EI2" s="2" t="s">
        <v>196</v>
      </c>
      <c r="EK2" s="2" t="s">
        <v>82</v>
      </c>
      <c r="EN2" s="2" t="s">
        <v>57</v>
      </c>
      <c r="EO2" s="2" t="s">
        <v>61</v>
      </c>
      <c r="EQ2" s="2" t="s">
        <v>39</v>
      </c>
      <c r="ES2" s="2" t="s">
        <v>63</v>
      </c>
      <c r="EU2" s="2" t="s">
        <v>44</v>
      </c>
      <c r="EW2" s="2" t="s">
        <v>39</v>
      </c>
      <c r="EY2" s="2" t="s">
        <v>120</v>
      </c>
      <c r="FC2" s="2" t="s">
        <v>140</v>
      </c>
      <c r="FD2" s="2" t="s">
        <v>79</v>
      </c>
      <c r="FF2" s="2" t="s">
        <v>48</v>
      </c>
      <c r="FH2" s="2" t="s">
        <v>100</v>
      </c>
      <c r="FK2" s="2" t="s">
        <v>95</v>
      </c>
      <c r="FM2" s="2" t="s">
        <v>59</v>
      </c>
      <c r="FO2" s="2" t="s">
        <v>79</v>
      </c>
      <c r="FQ2" s="2" t="s">
        <v>48</v>
      </c>
      <c r="FS2" s="2" t="s">
        <v>52</v>
      </c>
      <c r="FU2" s="2" t="s">
        <v>75</v>
      </c>
      <c r="FW2" s="2" t="s">
        <v>41</v>
      </c>
      <c r="FZ2" s="2" t="s">
        <v>140</v>
      </c>
      <c r="GB2" s="2" t="s">
        <v>28</v>
      </c>
      <c r="GC2" s="2" t="s">
        <v>48</v>
      </c>
      <c r="GF2" s="2" t="s">
        <v>28</v>
      </c>
      <c r="GI2" s="2" t="s">
        <v>181</v>
      </c>
      <c r="GJ2" s="2" t="s">
        <v>41</v>
      </c>
      <c r="GL2" s="2" t="s">
        <v>79</v>
      </c>
      <c r="GN2" s="11" t="s">
        <v>82</v>
      </c>
    </row>
    <row r="3" spans="1:196" x14ac:dyDescent="0.3">
      <c r="A3" s="6" t="s">
        <v>181</v>
      </c>
      <c r="B3" s="2">
        <v>82</v>
      </c>
      <c r="C3" s="2">
        <v>41</v>
      </c>
      <c r="D3" s="2">
        <v>41</v>
      </c>
      <c r="E3" s="2">
        <v>12</v>
      </c>
      <c r="F3" s="2">
        <v>32</v>
      </c>
      <c r="N3" s="2" t="s">
        <v>46</v>
      </c>
      <c r="P3" s="2" t="s">
        <v>37</v>
      </c>
      <c r="R3" s="2" t="s">
        <v>35</v>
      </c>
      <c r="U3" s="2" t="s">
        <v>120</v>
      </c>
      <c r="W3" s="2" t="s">
        <v>73</v>
      </c>
      <c r="Z3" s="2" t="s">
        <v>59</v>
      </c>
      <c r="AC3" s="2" t="s">
        <v>52</v>
      </c>
      <c r="AE3" s="2" t="s">
        <v>32</v>
      </c>
      <c r="AG3" s="2" t="s">
        <v>57</v>
      </c>
      <c r="AI3" s="2" t="s">
        <v>65</v>
      </c>
      <c r="AK3" s="2" t="s">
        <v>39</v>
      </c>
      <c r="AN3" s="2" t="s">
        <v>196</v>
      </c>
      <c r="AP3" s="2" t="s">
        <v>95</v>
      </c>
      <c r="AR3" s="2" t="s">
        <v>106</v>
      </c>
      <c r="AS3" s="2" t="s">
        <v>32</v>
      </c>
      <c r="AW3" s="2" t="s">
        <v>98</v>
      </c>
      <c r="BA3" s="2" t="s">
        <v>100</v>
      </c>
      <c r="BC3" s="2" t="s">
        <v>63</v>
      </c>
      <c r="BE3" s="2" t="s">
        <v>84</v>
      </c>
      <c r="BG3" s="2" t="s">
        <v>87</v>
      </c>
      <c r="BK3" s="2" t="s">
        <v>82</v>
      </c>
      <c r="BM3" s="2" t="s">
        <v>79</v>
      </c>
      <c r="BO3" s="2" t="s">
        <v>48</v>
      </c>
      <c r="BQ3" s="2" t="s">
        <v>28</v>
      </c>
      <c r="BS3" s="2" t="s">
        <v>37</v>
      </c>
      <c r="BU3" s="2" t="s">
        <v>132</v>
      </c>
      <c r="BW3" s="2" t="s">
        <v>71</v>
      </c>
      <c r="BZ3" s="2" t="s">
        <v>95</v>
      </c>
      <c r="CA3" s="2" t="s">
        <v>196</v>
      </c>
      <c r="CC3" s="2" t="s">
        <v>120</v>
      </c>
      <c r="CE3" s="2" t="s">
        <v>98</v>
      </c>
      <c r="CG3" s="2" t="s">
        <v>82</v>
      </c>
      <c r="CK3" s="2" t="s">
        <v>41</v>
      </c>
      <c r="CM3" s="2" t="s">
        <v>35</v>
      </c>
      <c r="CO3" s="2" t="s">
        <v>61</v>
      </c>
      <c r="CR3" s="2" t="s">
        <v>57</v>
      </c>
      <c r="CT3" s="2" t="s">
        <v>132</v>
      </c>
      <c r="CU3" s="2" t="s">
        <v>44</v>
      </c>
      <c r="CW3" s="2" t="s">
        <v>46</v>
      </c>
      <c r="CY3" s="2" t="s">
        <v>71</v>
      </c>
      <c r="DA3" s="2" t="s">
        <v>73</v>
      </c>
      <c r="DC3" s="2" t="s">
        <v>87</v>
      </c>
      <c r="DD3" s="2" t="s">
        <v>52</v>
      </c>
      <c r="DF3" s="2" t="s">
        <v>84</v>
      </c>
      <c r="DH3" s="2" t="s">
        <v>39</v>
      </c>
      <c r="DJ3" s="2" t="s">
        <v>65</v>
      </c>
      <c r="DK3" s="2" t="s">
        <v>98</v>
      </c>
      <c r="DM3" s="2" t="s">
        <v>122</v>
      </c>
      <c r="DO3" s="2" t="s">
        <v>75</v>
      </c>
      <c r="DQ3" s="2" t="s">
        <v>122</v>
      </c>
      <c r="DZ3" s="2" t="s">
        <v>87</v>
      </c>
      <c r="ED3" s="2" t="s">
        <v>44</v>
      </c>
      <c r="EE3" s="2" t="s">
        <v>75</v>
      </c>
      <c r="EG3" s="2" t="s">
        <v>100</v>
      </c>
      <c r="EI3" s="2" t="s">
        <v>61</v>
      </c>
      <c r="EL3" s="2" t="s">
        <v>82</v>
      </c>
      <c r="EM3" s="2" t="s">
        <v>59</v>
      </c>
      <c r="EP3" s="2" t="s">
        <v>48</v>
      </c>
      <c r="ET3" s="2" t="s">
        <v>100</v>
      </c>
      <c r="EV3" s="2" t="s">
        <v>44</v>
      </c>
      <c r="EW3" s="2" t="s">
        <v>65</v>
      </c>
      <c r="EY3" s="2" t="s">
        <v>63</v>
      </c>
      <c r="FA3" s="2" t="s">
        <v>106</v>
      </c>
      <c r="FC3" s="2" t="s">
        <v>75</v>
      </c>
      <c r="FE3" s="2" t="s">
        <v>100</v>
      </c>
      <c r="FG3" s="2" t="s">
        <v>41</v>
      </c>
      <c r="FH3" s="2" t="s">
        <v>87</v>
      </c>
      <c r="FJ3" s="2" t="s">
        <v>48</v>
      </c>
      <c r="FL3" s="2" t="s">
        <v>79</v>
      </c>
      <c r="FN3" s="2" t="s">
        <v>44</v>
      </c>
      <c r="FQ3" s="2" t="s">
        <v>52</v>
      </c>
      <c r="FR3" s="2" t="s">
        <v>28</v>
      </c>
      <c r="FT3" s="2" t="s">
        <v>41</v>
      </c>
      <c r="FV3" s="2" t="s">
        <v>41</v>
      </c>
      <c r="FW3" s="2" t="s">
        <v>28</v>
      </c>
      <c r="GA3" s="2" t="s">
        <v>65</v>
      </c>
      <c r="GB3" s="2" t="s">
        <v>71</v>
      </c>
      <c r="GD3" s="2" t="s">
        <v>140</v>
      </c>
      <c r="GG3" s="2" t="s">
        <v>140</v>
      </c>
      <c r="GI3" s="2" t="s">
        <v>122</v>
      </c>
      <c r="GK3" s="2" t="s">
        <v>140</v>
      </c>
      <c r="GN3" s="11" t="s">
        <v>79</v>
      </c>
    </row>
    <row r="4" spans="1:196" x14ac:dyDescent="0.3">
      <c r="A4" s="6" t="s">
        <v>37</v>
      </c>
      <c r="B4" s="2">
        <v>82</v>
      </c>
      <c r="C4" s="2">
        <v>41</v>
      </c>
      <c r="D4" s="2">
        <v>41</v>
      </c>
      <c r="E4" s="2">
        <v>14</v>
      </c>
      <c r="F4" s="2">
        <v>24</v>
      </c>
      <c r="M4" s="2" t="s">
        <v>39</v>
      </c>
      <c r="P4" s="2" t="s">
        <v>181</v>
      </c>
      <c r="R4" s="2" t="s">
        <v>57</v>
      </c>
      <c r="S4" s="2" t="s">
        <v>73</v>
      </c>
      <c r="U4" s="2" t="s">
        <v>122</v>
      </c>
      <c r="W4" s="2" t="s">
        <v>87</v>
      </c>
      <c r="Z4" s="2" t="s">
        <v>65</v>
      </c>
      <c r="AB4" s="2" t="s">
        <v>84</v>
      </c>
      <c r="AC4" s="2" t="s">
        <v>59</v>
      </c>
      <c r="AG4" s="2" t="s">
        <v>46</v>
      </c>
      <c r="AI4" s="2" t="s">
        <v>32</v>
      </c>
      <c r="AK4" s="2" t="s">
        <v>35</v>
      </c>
      <c r="AM4" s="2" t="s">
        <v>75</v>
      </c>
      <c r="AP4" s="2" t="s">
        <v>48</v>
      </c>
      <c r="AR4" s="2" t="s">
        <v>196</v>
      </c>
      <c r="AS4" s="2" t="s">
        <v>79</v>
      </c>
      <c r="AW4" s="2" t="s">
        <v>132</v>
      </c>
      <c r="AY4" s="2" t="s">
        <v>44</v>
      </c>
      <c r="BA4" s="2" t="s">
        <v>61</v>
      </c>
      <c r="BC4" s="2" t="s">
        <v>57</v>
      </c>
      <c r="BE4" s="2" t="s">
        <v>63</v>
      </c>
      <c r="BI4" s="2" t="s">
        <v>61</v>
      </c>
      <c r="BM4" s="2" t="s">
        <v>41</v>
      </c>
      <c r="BO4" s="2" t="s">
        <v>98</v>
      </c>
      <c r="BQ4" s="2" t="s">
        <v>41</v>
      </c>
      <c r="BS4" s="2" t="s">
        <v>181</v>
      </c>
      <c r="BU4" s="2" t="s">
        <v>98</v>
      </c>
      <c r="BW4" s="2" t="s">
        <v>95</v>
      </c>
      <c r="BY4" s="2" t="s">
        <v>82</v>
      </c>
      <c r="CA4" s="2" t="s">
        <v>59</v>
      </c>
      <c r="CC4" s="2" t="s">
        <v>57</v>
      </c>
      <c r="CF4" s="2" t="s">
        <v>52</v>
      </c>
      <c r="CG4" s="2" t="s">
        <v>106</v>
      </c>
      <c r="CK4" s="2" t="s">
        <v>73</v>
      </c>
      <c r="CL4" s="2" t="s">
        <v>106</v>
      </c>
      <c r="CO4" s="2" t="s">
        <v>196</v>
      </c>
      <c r="CQ4" s="2" t="s">
        <v>46</v>
      </c>
      <c r="CT4" s="2" t="s">
        <v>82</v>
      </c>
      <c r="CV4" s="2" t="s">
        <v>71</v>
      </c>
      <c r="CW4" s="2" t="s">
        <v>122</v>
      </c>
      <c r="DA4" s="2" t="s">
        <v>140</v>
      </c>
      <c r="DC4" s="2" t="s">
        <v>35</v>
      </c>
      <c r="DE4" s="2" t="s">
        <v>132</v>
      </c>
      <c r="DG4" s="2" t="s">
        <v>95</v>
      </c>
      <c r="DH4" s="2" t="s">
        <v>32</v>
      </c>
      <c r="DK4" s="2" t="s">
        <v>71</v>
      </c>
      <c r="DM4" s="2" t="s">
        <v>120</v>
      </c>
      <c r="DO4" s="2" t="s">
        <v>61</v>
      </c>
      <c r="DQ4" s="2" t="s">
        <v>57</v>
      </c>
      <c r="DR4" s="2" t="s">
        <v>63</v>
      </c>
      <c r="DU4" s="2" t="s">
        <v>35</v>
      </c>
      <c r="EE4" s="2" t="s">
        <v>39</v>
      </c>
      <c r="EH4" s="2" t="s">
        <v>65</v>
      </c>
      <c r="EJ4" s="2" t="s">
        <v>100</v>
      </c>
      <c r="EL4" s="2" t="s">
        <v>95</v>
      </c>
      <c r="EN4" s="2" t="s">
        <v>73</v>
      </c>
      <c r="EQ4" s="2" t="s">
        <v>140</v>
      </c>
      <c r="ES4" s="2" t="s">
        <v>79</v>
      </c>
      <c r="EU4" s="2" t="s">
        <v>28</v>
      </c>
      <c r="EV4" s="2" t="s">
        <v>48</v>
      </c>
      <c r="EX4" s="2" t="s">
        <v>196</v>
      </c>
      <c r="EZ4" s="2" t="s">
        <v>32</v>
      </c>
      <c r="FE4" s="2" t="s">
        <v>28</v>
      </c>
      <c r="FG4" s="2" t="s">
        <v>84</v>
      </c>
      <c r="FH4" s="2" t="s">
        <v>84</v>
      </c>
      <c r="FJ4" s="2" t="s">
        <v>44</v>
      </c>
      <c r="FL4" s="2" t="s">
        <v>52</v>
      </c>
      <c r="FN4" s="2" t="s">
        <v>87</v>
      </c>
      <c r="FO4" s="2" t="s">
        <v>196</v>
      </c>
      <c r="FQ4" s="2" t="s">
        <v>73</v>
      </c>
      <c r="FS4" s="2" t="s">
        <v>120</v>
      </c>
      <c r="FU4" s="2" t="s">
        <v>61</v>
      </c>
      <c r="FV4" s="2" t="s">
        <v>63</v>
      </c>
      <c r="FX4" s="2" t="s">
        <v>100</v>
      </c>
      <c r="FZ4" s="2" t="s">
        <v>59</v>
      </c>
      <c r="GB4" s="2" t="s">
        <v>46</v>
      </c>
      <c r="GC4" s="2" t="s">
        <v>75</v>
      </c>
      <c r="GG4" s="2" t="s">
        <v>35</v>
      </c>
      <c r="GI4" s="2" t="s">
        <v>106</v>
      </c>
      <c r="GJ4" s="2" t="s">
        <v>132</v>
      </c>
      <c r="GL4" s="2" t="s">
        <v>39</v>
      </c>
      <c r="GN4" s="11" t="s">
        <v>120</v>
      </c>
    </row>
    <row r="5" spans="1:196" x14ac:dyDescent="0.3">
      <c r="A5" s="6" t="s">
        <v>196</v>
      </c>
      <c r="B5" s="2">
        <v>82</v>
      </c>
      <c r="C5" s="2">
        <v>41</v>
      </c>
      <c r="D5" s="2">
        <v>41</v>
      </c>
      <c r="E5" s="2">
        <v>13</v>
      </c>
      <c r="F5" s="2">
        <v>28</v>
      </c>
      <c r="N5" s="2" t="s">
        <v>73</v>
      </c>
      <c r="P5" s="2" t="s">
        <v>57</v>
      </c>
      <c r="S5" s="2" t="s">
        <v>28</v>
      </c>
      <c r="U5" s="2" t="s">
        <v>48</v>
      </c>
      <c r="W5" s="2" t="s">
        <v>79</v>
      </c>
      <c r="Z5" s="2" t="s">
        <v>140</v>
      </c>
      <c r="AB5" s="2" t="s">
        <v>120</v>
      </c>
      <c r="AD5" s="2" t="s">
        <v>44</v>
      </c>
      <c r="AF5" s="2" t="s">
        <v>84</v>
      </c>
      <c r="AH5" s="2" t="s">
        <v>46</v>
      </c>
      <c r="AJ5" s="2" t="s">
        <v>63</v>
      </c>
      <c r="AK5" s="2" t="s">
        <v>61</v>
      </c>
      <c r="AN5" s="2" t="s">
        <v>181</v>
      </c>
      <c r="AP5" s="2" t="s">
        <v>98</v>
      </c>
      <c r="AR5" s="2" t="s">
        <v>37</v>
      </c>
      <c r="AU5" s="2" t="s">
        <v>79</v>
      </c>
      <c r="AV5" s="2" t="s">
        <v>73</v>
      </c>
      <c r="AY5" s="2" t="s">
        <v>35</v>
      </c>
      <c r="BB5" s="2" t="s">
        <v>120</v>
      </c>
      <c r="BC5" s="2" t="s">
        <v>75</v>
      </c>
      <c r="BE5" s="2" t="s">
        <v>106</v>
      </c>
      <c r="BH5" s="2" t="s">
        <v>61</v>
      </c>
      <c r="BJ5" s="2" t="s">
        <v>84</v>
      </c>
      <c r="BK5" s="2" t="s">
        <v>41</v>
      </c>
      <c r="BN5" s="2" t="s">
        <v>71</v>
      </c>
      <c r="BQ5" s="2" t="s">
        <v>59</v>
      </c>
      <c r="BS5" s="2" t="s">
        <v>46</v>
      </c>
      <c r="BT5" s="2" t="s">
        <v>46</v>
      </c>
      <c r="BW5" s="2" t="s">
        <v>82</v>
      </c>
      <c r="BY5" s="2" t="s">
        <v>41</v>
      </c>
      <c r="CA5" s="2" t="s">
        <v>181</v>
      </c>
      <c r="CC5" s="2" t="s">
        <v>98</v>
      </c>
      <c r="CG5" s="2" t="s">
        <v>61</v>
      </c>
      <c r="CK5" s="2" t="s">
        <v>59</v>
      </c>
      <c r="CM5" s="2" t="s">
        <v>84</v>
      </c>
      <c r="CO5" s="2" t="s">
        <v>37</v>
      </c>
      <c r="CP5" s="2" t="s">
        <v>73</v>
      </c>
      <c r="CR5" s="2" t="s">
        <v>39</v>
      </c>
      <c r="CV5" s="2" t="s">
        <v>87</v>
      </c>
      <c r="CY5" s="2" t="s">
        <v>140</v>
      </c>
      <c r="DA5" s="2" t="s">
        <v>52</v>
      </c>
      <c r="DC5" s="2" t="s">
        <v>100</v>
      </c>
      <c r="DE5" s="2" t="s">
        <v>57</v>
      </c>
      <c r="DF5" s="2" t="s">
        <v>44</v>
      </c>
      <c r="DH5" s="2" t="s">
        <v>95</v>
      </c>
      <c r="DJ5" s="2" t="s">
        <v>122</v>
      </c>
      <c r="DL5" s="2" t="s">
        <v>65</v>
      </c>
      <c r="DM5" s="2" t="s">
        <v>75</v>
      </c>
      <c r="DO5" s="2" t="s">
        <v>52</v>
      </c>
      <c r="DQ5" s="2" t="s">
        <v>87</v>
      </c>
      <c r="DU5" s="2" t="s">
        <v>63</v>
      </c>
      <c r="EE5" s="2" t="s">
        <v>48</v>
      </c>
      <c r="EG5" s="2" t="s">
        <v>82</v>
      </c>
      <c r="EI5" s="2" t="s">
        <v>122</v>
      </c>
      <c r="EL5" s="2" t="s">
        <v>71</v>
      </c>
      <c r="EO5" s="2" t="s">
        <v>35</v>
      </c>
      <c r="EQ5" s="2" t="s">
        <v>61</v>
      </c>
      <c r="ER5" s="2" t="s">
        <v>57</v>
      </c>
      <c r="ET5" s="2" t="s">
        <v>39</v>
      </c>
      <c r="EV5" s="2" t="s">
        <v>59</v>
      </c>
      <c r="EX5" s="2" t="s">
        <v>37</v>
      </c>
      <c r="EZ5" s="2" t="s">
        <v>132</v>
      </c>
      <c r="FB5" s="2" t="s">
        <v>28</v>
      </c>
      <c r="FC5" s="2" t="s">
        <v>95</v>
      </c>
      <c r="FE5" s="2" t="s">
        <v>65</v>
      </c>
      <c r="FG5" s="2" t="s">
        <v>32</v>
      </c>
      <c r="FI5" s="2" t="s">
        <v>35</v>
      </c>
      <c r="FK5" s="2" t="s">
        <v>39</v>
      </c>
      <c r="FM5" s="2" t="s">
        <v>132</v>
      </c>
      <c r="FO5" s="2" t="s">
        <v>37</v>
      </c>
      <c r="FQ5" s="2" t="s">
        <v>100</v>
      </c>
      <c r="FT5" s="2" t="s">
        <v>106</v>
      </c>
      <c r="FU5" s="2" t="s">
        <v>95</v>
      </c>
      <c r="FW5" s="2" t="s">
        <v>120</v>
      </c>
      <c r="GA5" s="2" t="s">
        <v>32</v>
      </c>
      <c r="GB5" s="2" t="s">
        <v>132</v>
      </c>
      <c r="GE5" s="2" t="s">
        <v>57</v>
      </c>
      <c r="GG5" s="2" t="s">
        <v>84</v>
      </c>
      <c r="GI5" s="2" t="s">
        <v>63</v>
      </c>
      <c r="GK5" s="2" t="s">
        <v>32</v>
      </c>
      <c r="GL5" s="2" t="s">
        <v>106</v>
      </c>
      <c r="GN5" s="11" t="s">
        <v>73</v>
      </c>
    </row>
    <row r="6" spans="1:196" x14ac:dyDescent="0.3">
      <c r="A6" s="6" t="s">
        <v>63</v>
      </c>
      <c r="B6" s="2">
        <v>82</v>
      </c>
      <c r="C6" s="2">
        <v>41</v>
      </c>
      <c r="D6" s="2">
        <v>41</v>
      </c>
      <c r="E6" s="2">
        <v>14</v>
      </c>
      <c r="F6" s="2">
        <v>29</v>
      </c>
      <c r="M6" s="2" t="s">
        <v>59</v>
      </c>
      <c r="O6" s="2" t="s">
        <v>71</v>
      </c>
      <c r="R6" s="2" t="s">
        <v>140</v>
      </c>
      <c r="U6" s="2" t="s">
        <v>28</v>
      </c>
      <c r="W6" s="2" t="s">
        <v>48</v>
      </c>
      <c r="Y6" s="2" t="s">
        <v>79</v>
      </c>
      <c r="AC6" s="2" t="s">
        <v>95</v>
      </c>
      <c r="AD6" s="2" t="s">
        <v>132</v>
      </c>
      <c r="AF6" s="2" t="s">
        <v>39</v>
      </c>
      <c r="AI6" s="2" t="s">
        <v>61</v>
      </c>
      <c r="AJ6" s="2" t="s">
        <v>196</v>
      </c>
      <c r="AL6" s="2" t="s">
        <v>35</v>
      </c>
      <c r="AO6" s="2" t="s">
        <v>57</v>
      </c>
      <c r="AP6" s="2" t="s">
        <v>28</v>
      </c>
      <c r="AR6" s="2" t="s">
        <v>41</v>
      </c>
      <c r="AT6" s="2" t="s">
        <v>44</v>
      </c>
      <c r="AW6" s="2" t="s">
        <v>41</v>
      </c>
      <c r="AY6" s="2" t="s">
        <v>87</v>
      </c>
      <c r="BA6" s="2" t="s">
        <v>52</v>
      </c>
      <c r="BC6" s="2" t="s">
        <v>181</v>
      </c>
      <c r="BE6" s="2" t="s">
        <v>37</v>
      </c>
      <c r="BF6" s="2" t="s">
        <v>48</v>
      </c>
      <c r="BI6" s="2" t="s">
        <v>46</v>
      </c>
      <c r="BK6" s="2" t="s">
        <v>75</v>
      </c>
      <c r="BM6" s="2" t="s">
        <v>82</v>
      </c>
      <c r="BP6" s="2" t="s">
        <v>122</v>
      </c>
      <c r="BT6" s="2" t="s">
        <v>95</v>
      </c>
      <c r="BW6" s="2" t="s">
        <v>84</v>
      </c>
      <c r="BY6" s="2" t="s">
        <v>140</v>
      </c>
      <c r="CA6" s="2" t="s">
        <v>65</v>
      </c>
      <c r="CB6" s="2" t="s">
        <v>46</v>
      </c>
      <c r="CD6" s="2" t="s">
        <v>106</v>
      </c>
      <c r="CF6" s="2" t="s">
        <v>46</v>
      </c>
      <c r="CG6" s="2" t="s">
        <v>132</v>
      </c>
      <c r="CK6" s="2" t="s">
        <v>44</v>
      </c>
      <c r="CN6" s="2" t="s">
        <v>57</v>
      </c>
      <c r="CP6" s="2" t="s">
        <v>106</v>
      </c>
      <c r="CR6" s="2" t="s">
        <v>32</v>
      </c>
      <c r="CT6" s="2" t="s">
        <v>100</v>
      </c>
      <c r="CV6" s="2" t="s">
        <v>59</v>
      </c>
      <c r="CY6" s="2" t="s">
        <v>106</v>
      </c>
      <c r="DA6" s="2" t="s">
        <v>59</v>
      </c>
      <c r="DC6" s="2" t="s">
        <v>46</v>
      </c>
      <c r="DD6" s="2" t="s">
        <v>79</v>
      </c>
      <c r="DH6" s="2" t="s">
        <v>87</v>
      </c>
      <c r="DJ6" s="2" t="s">
        <v>95</v>
      </c>
      <c r="DN6" s="2" t="s">
        <v>65</v>
      </c>
      <c r="DP6" s="2" t="s">
        <v>71</v>
      </c>
      <c r="DR6" s="2" t="s">
        <v>37</v>
      </c>
      <c r="DT6" s="2" t="s">
        <v>82</v>
      </c>
      <c r="DU6" s="2" t="s">
        <v>196</v>
      </c>
      <c r="EE6" s="2" t="s">
        <v>32</v>
      </c>
      <c r="EH6" s="2" t="s">
        <v>39</v>
      </c>
      <c r="EJ6" s="2" t="s">
        <v>120</v>
      </c>
      <c r="EL6" s="2" t="s">
        <v>39</v>
      </c>
      <c r="EO6" s="2" t="s">
        <v>75</v>
      </c>
      <c r="ER6" s="2" t="s">
        <v>73</v>
      </c>
      <c r="ES6" s="2" t="s">
        <v>122</v>
      </c>
      <c r="EW6" s="2" t="s">
        <v>98</v>
      </c>
      <c r="EY6" s="2" t="s">
        <v>181</v>
      </c>
      <c r="FA6" s="2" t="s">
        <v>61</v>
      </c>
      <c r="FC6" s="2" t="s">
        <v>120</v>
      </c>
      <c r="FE6" s="2" t="s">
        <v>132</v>
      </c>
      <c r="FG6" s="2" t="s">
        <v>98</v>
      </c>
      <c r="FH6" s="2" t="s">
        <v>106</v>
      </c>
      <c r="FJ6" s="2" t="s">
        <v>52</v>
      </c>
      <c r="FM6" s="2" t="s">
        <v>35</v>
      </c>
      <c r="FN6" s="2" t="s">
        <v>132</v>
      </c>
      <c r="FQ6" s="2" t="s">
        <v>32</v>
      </c>
      <c r="FS6" s="2" t="s">
        <v>32</v>
      </c>
      <c r="FU6" s="2" t="s">
        <v>35</v>
      </c>
      <c r="FV6" s="2" t="s">
        <v>37</v>
      </c>
      <c r="FX6" s="2" t="s">
        <v>61</v>
      </c>
      <c r="FZ6" s="2" t="s">
        <v>84</v>
      </c>
      <c r="GB6" s="2" t="s">
        <v>120</v>
      </c>
      <c r="GC6" s="2" t="s">
        <v>95</v>
      </c>
      <c r="GE6" s="2" t="s">
        <v>73</v>
      </c>
      <c r="GG6" s="2" t="s">
        <v>100</v>
      </c>
      <c r="GI6" s="2" t="s">
        <v>196</v>
      </c>
      <c r="GK6" s="2" t="s">
        <v>73</v>
      </c>
      <c r="GL6" s="2" t="s">
        <v>84</v>
      </c>
      <c r="GN6" s="11" t="s">
        <v>57</v>
      </c>
    </row>
    <row r="7" spans="1:196" x14ac:dyDescent="0.3">
      <c r="A7" s="6" t="s">
        <v>59</v>
      </c>
      <c r="B7" s="2">
        <v>82</v>
      </c>
      <c r="C7" s="2">
        <v>41</v>
      </c>
      <c r="D7" s="2">
        <v>41</v>
      </c>
      <c r="E7" s="2">
        <v>16</v>
      </c>
      <c r="F7" s="2">
        <v>28</v>
      </c>
      <c r="M7" s="2" t="s">
        <v>63</v>
      </c>
      <c r="O7" s="2" t="s">
        <v>61</v>
      </c>
      <c r="P7" s="2" t="s">
        <v>75</v>
      </c>
      <c r="S7" s="2" t="s">
        <v>79</v>
      </c>
      <c r="U7" s="2" t="s">
        <v>100</v>
      </c>
      <c r="W7" s="2" t="s">
        <v>46</v>
      </c>
      <c r="X7" s="2" t="s">
        <v>32</v>
      </c>
      <c r="Z7" s="2" t="s">
        <v>181</v>
      </c>
      <c r="AC7" s="2" t="s">
        <v>37</v>
      </c>
      <c r="AE7" s="2" t="s">
        <v>106</v>
      </c>
      <c r="AJ7" s="2" t="s">
        <v>41</v>
      </c>
      <c r="AK7" s="2" t="s">
        <v>41</v>
      </c>
      <c r="AP7" s="2" t="s">
        <v>132</v>
      </c>
      <c r="AR7" s="2" t="s">
        <v>95</v>
      </c>
      <c r="AU7" s="2" t="s">
        <v>132</v>
      </c>
      <c r="AW7" s="2" t="s">
        <v>120</v>
      </c>
      <c r="AY7" s="2" t="s">
        <v>84</v>
      </c>
      <c r="AZ7" s="2" t="s">
        <v>57</v>
      </c>
      <c r="BC7" s="2" t="s">
        <v>120</v>
      </c>
      <c r="BE7" s="2" t="s">
        <v>95</v>
      </c>
      <c r="BF7" s="2" t="s">
        <v>100</v>
      </c>
      <c r="BH7" s="2" t="s">
        <v>98</v>
      </c>
      <c r="BL7" s="2" t="s">
        <v>52</v>
      </c>
      <c r="BN7" s="2" t="s">
        <v>84</v>
      </c>
      <c r="BP7" s="2" t="s">
        <v>46</v>
      </c>
      <c r="BQ7" s="2" t="s">
        <v>196</v>
      </c>
      <c r="BS7" s="2" t="s">
        <v>48</v>
      </c>
      <c r="BU7" s="2" t="s">
        <v>82</v>
      </c>
      <c r="BW7" s="2" t="s">
        <v>57</v>
      </c>
      <c r="BY7" s="2" t="s">
        <v>61</v>
      </c>
      <c r="CA7" s="2" t="s">
        <v>37</v>
      </c>
      <c r="CC7" s="2" t="s">
        <v>65</v>
      </c>
      <c r="CD7" s="2" t="s">
        <v>132</v>
      </c>
      <c r="CG7" s="2" t="s">
        <v>44</v>
      </c>
      <c r="CK7" s="2" t="s">
        <v>196</v>
      </c>
      <c r="CM7" s="2" t="s">
        <v>95</v>
      </c>
      <c r="CO7" s="2" t="s">
        <v>44</v>
      </c>
      <c r="CR7" s="2" t="s">
        <v>73</v>
      </c>
      <c r="CT7" s="2" t="s">
        <v>39</v>
      </c>
      <c r="CV7" s="2" t="s">
        <v>63</v>
      </c>
      <c r="CW7" s="2" t="s">
        <v>39</v>
      </c>
      <c r="CY7" s="2" t="s">
        <v>61</v>
      </c>
      <c r="DA7" s="2" t="s">
        <v>63</v>
      </c>
      <c r="DC7" s="2" t="s">
        <v>84</v>
      </c>
      <c r="DE7" s="2" t="s">
        <v>32</v>
      </c>
      <c r="DH7" s="2" t="s">
        <v>122</v>
      </c>
      <c r="DJ7" s="2" t="s">
        <v>71</v>
      </c>
      <c r="DL7" s="2" t="s">
        <v>48</v>
      </c>
      <c r="DN7" s="2" t="s">
        <v>28</v>
      </c>
      <c r="DP7" s="2" t="s">
        <v>79</v>
      </c>
      <c r="DQ7" s="2" t="s">
        <v>140</v>
      </c>
      <c r="DT7" s="2" t="s">
        <v>39</v>
      </c>
      <c r="ED7" s="2" t="s">
        <v>35</v>
      </c>
      <c r="EE7" s="2" t="s">
        <v>35</v>
      </c>
      <c r="EH7" s="2" t="s">
        <v>106</v>
      </c>
      <c r="EJ7" s="2" t="s">
        <v>52</v>
      </c>
      <c r="EL7" s="2" t="s">
        <v>65</v>
      </c>
      <c r="EM7" s="2" t="s">
        <v>181</v>
      </c>
      <c r="EQ7" s="2" t="s">
        <v>87</v>
      </c>
      <c r="ES7" s="2" t="s">
        <v>28</v>
      </c>
      <c r="ET7" s="2" t="s">
        <v>87</v>
      </c>
      <c r="EV7" s="2" t="s">
        <v>196</v>
      </c>
      <c r="EY7" s="2" t="s">
        <v>140</v>
      </c>
      <c r="EZ7" s="2" t="s">
        <v>73</v>
      </c>
      <c r="FC7" s="2" t="s">
        <v>46</v>
      </c>
      <c r="FG7" s="2" t="s">
        <v>75</v>
      </c>
      <c r="FJ7" s="2" t="s">
        <v>71</v>
      </c>
      <c r="FL7" s="2" t="s">
        <v>82</v>
      </c>
      <c r="FM7" s="2" t="s">
        <v>122</v>
      </c>
      <c r="FO7" s="2" t="s">
        <v>98</v>
      </c>
      <c r="FQ7" s="2" t="s">
        <v>39</v>
      </c>
      <c r="FT7" s="2" t="s">
        <v>95</v>
      </c>
      <c r="FU7" s="2" t="s">
        <v>120</v>
      </c>
      <c r="FX7" s="2" t="s">
        <v>32</v>
      </c>
      <c r="FZ7" s="2" t="s">
        <v>37</v>
      </c>
      <c r="GB7" s="2" t="s">
        <v>57</v>
      </c>
      <c r="GC7" s="2" t="s">
        <v>73</v>
      </c>
      <c r="GE7" s="2" t="s">
        <v>35</v>
      </c>
      <c r="GG7" s="2" t="s">
        <v>106</v>
      </c>
      <c r="GI7" s="2" t="s">
        <v>32</v>
      </c>
      <c r="GL7" s="2" t="s">
        <v>132</v>
      </c>
      <c r="GN7" s="11" t="s">
        <v>46</v>
      </c>
    </row>
    <row r="8" spans="1:196" x14ac:dyDescent="0.3">
      <c r="A8" s="6" t="s">
        <v>48</v>
      </c>
      <c r="B8" s="2">
        <v>82</v>
      </c>
      <c r="C8" s="2">
        <v>41</v>
      </c>
      <c r="D8" s="2">
        <v>41</v>
      </c>
      <c r="E8" s="2">
        <v>10</v>
      </c>
      <c r="F8" s="2">
        <v>31</v>
      </c>
      <c r="N8" s="2" t="s">
        <v>41</v>
      </c>
      <c r="P8" s="2" t="s">
        <v>28</v>
      </c>
      <c r="S8" s="2" t="s">
        <v>98</v>
      </c>
      <c r="U8" s="2" t="s">
        <v>196</v>
      </c>
      <c r="W8" s="2" t="s">
        <v>63</v>
      </c>
      <c r="Z8" s="2" t="s">
        <v>46</v>
      </c>
      <c r="AD8" s="2" t="s">
        <v>28</v>
      </c>
      <c r="AG8" s="2" t="s">
        <v>140</v>
      </c>
      <c r="AI8" s="2" t="s">
        <v>100</v>
      </c>
      <c r="AK8" s="2" t="s">
        <v>106</v>
      </c>
      <c r="AM8" s="2" t="s">
        <v>95</v>
      </c>
      <c r="AN8" s="2" t="s">
        <v>106</v>
      </c>
      <c r="AP8" s="2" t="s">
        <v>37</v>
      </c>
      <c r="AR8" s="2" t="s">
        <v>52</v>
      </c>
      <c r="AT8" s="2" t="s">
        <v>82</v>
      </c>
      <c r="AW8" s="2" t="s">
        <v>61</v>
      </c>
      <c r="AY8" s="2" t="s">
        <v>57</v>
      </c>
      <c r="BA8" s="2" t="s">
        <v>132</v>
      </c>
      <c r="BC8" s="2" t="s">
        <v>46</v>
      </c>
      <c r="BE8" s="2" t="s">
        <v>39</v>
      </c>
      <c r="BF8" s="2" t="s">
        <v>63</v>
      </c>
      <c r="BI8" s="2" t="s">
        <v>57</v>
      </c>
      <c r="BK8" s="2" t="s">
        <v>120</v>
      </c>
      <c r="BM8" s="2" t="s">
        <v>39</v>
      </c>
      <c r="BO8" s="2" t="s">
        <v>181</v>
      </c>
      <c r="BQ8" s="2" t="s">
        <v>87</v>
      </c>
      <c r="BS8" s="2" t="s">
        <v>59</v>
      </c>
      <c r="BT8" s="2" t="s">
        <v>35</v>
      </c>
      <c r="BV8" s="2" t="s">
        <v>120</v>
      </c>
      <c r="BX8" s="2" t="s">
        <v>79</v>
      </c>
      <c r="BZ8" s="2" t="s">
        <v>75</v>
      </c>
      <c r="CB8" s="2" t="s">
        <v>71</v>
      </c>
      <c r="CD8" s="2" t="s">
        <v>71</v>
      </c>
      <c r="CF8" s="2" t="s">
        <v>82</v>
      </c>
      <c r="CG8" s="2" t="s">
        <v>122</v>
      </c>
      <c r="CK8" s="2" t="s">
        <v>28</v>
      </c>
      <c r="CL8" s="2" t="s">
        <v>140</v>
      </c>
      <c r="CO8" s="2" t="s">
        <v>79</v>
      </c>
      <c r="CR8" s="2" t="s">
        <v>52</v>
      </c>
      <c r="CU8" s="2" t="s">
        <v>95</v>
      </c>
      <c r="CW8" s="2" t="s">
        <v>44</v>
      </c>
      <c r="CY8" s="2" t="s">
        <v>75</v>
      </c>
      <c r="DA8" s="2" t="s">
        <v>75</v>
      </c>
      <c r="DC8" s="2" t="s">
        <v>65</v>
      </c>
      <c r="DE8" s="2" t="s">
        <v>100</v>
      </c>
      <c r="DG8" s="2" t="s">
        <v>41</v>
      </c>
      <c r="DJ8" s="2" t="s">
        <v>61</v>
      </c>
      <c r="DL8" s="2" t="s">
        <v>59</v>
      </c>
      <c r="DO8" s="2" t="s">
        <v>44</v>
      </c>
      <c r="DP8" s="2" t="s">
        <v>140</v>
      </c>
      <c r="DZ8" s="2" t="s">
        <v>32</v>
      </c>
      <c r="EC8" s="2" t="s">
        <v>84</v>
      </c>
      <c r="EE8" s="2" t="s">
        <v>196</v>
      </c>
      <c r="EG8" s="2" t="s">
        <v>73</v>
      </c>
      <c r="EJ8" s="2" t="s">
        <v>84</v>
      </c>
      <c r="EL8" s="2" t="s">
        <v>32</v>
      </c>
      <c r="EN8" s="2" t="s">
        <v>132</v>
      </c>
      <c r="EP8" s="2" t="s">
        <v>181</v>
      </c>
      <c r="EQ8" s="2" t="s">
        <v>98</v>
      </c>
      <c r="ES8" s="2" t="s">
        <v>41</v>
      </c>
      <c r="EV8" s="2" t="s">
        <v>37</v>
      </c>
      <c r="EX8" s="2" t="s">
        <v>35</v>
      </c>
      <c r="EZ8" s="2" t="s">
        <v>87</v>
      </c>
      <c r="FB8" s="2" t="s">
        <v>65</v>
      </c>
      <c r="FC8" s="2" t="s">
        <v>87</v>
      </c>
      <c r="FF8" s="2" t="s">
        <v>122</v>
      </c>
      <c r="FH8" s="2" t="s">
        <v>73</v>
      </c>
      <c r="FJ8" s="2" t="s">
        <v>181</v>
      </c>
      <c r="FL8" s="2" t="s">
        <v>98</v>
      </c>
      <c r="FN8" s="2" t="s">
        <v>65</v>
      </c>
      <c r="FP8" s="2" t="s">
        <v>82</v>
      </c>
      <c r="FQ8" s="2" t="s">
        <v>122</v>
      </c>
      <c r="FS8" s="2" t="s">
        <v>98</v>
      </c>
      <c r="FU8" s="2" t="s">
        <v>71</v>
      </c>
      <c r="FX8" s="2" t="s">
        <v>82</v>
      </c>
      <c r="GA8" s="2" t="s">
        <v>79</v>
      </c>
      <c r="GC8" s="2" t="s">
        <v>122</v>
      </c>
      <c r="GE8" s="2" t="s">
        <v>44</v>
      </c>
      <c r="GF8" s="2" t="s">
        <v>52</v>
      </c>
      <c r="GI8" s="2" t="s">
        <v>79</v>
      </c>
      <c r="GK8" s="2" t="s">
        <v>100</v>
      </c>
      <c r="GM8" s="2" t="s">
        <v>71</v>
      </c>
    </row>
    <row r="9" spans="1:196" x14ac:dyDescent="0.3">
      <c r="A9" s="6" t="s">
        <v>44</v>
      </c>
      <c r="B9" s="2">
        <v>82</v>
      </c>
      <c r="C9" s="2">
        <v>41</v>
      </c>
      <c r="D9" s="2">
        <v>41</v>
      </c>
      <c r="E9" s="2">
        <v>14</v>
      </c>
      <c r="F9" s="2">
        <v>30</v>
      </c>
      <c r="M9" s="2" t="s">
        <v>41</v>
      </c>
      <c r="N9" s="2" t="s">
        <v>98</v>
      </c>
      <c r="P9" s="2" t="s">
        <v>71</v>
      </c>
      <c r="V9" s="2" t="s">
        <v>84</v>
      </c>
      <c r="X9" s="2" t="s">
        <v>140</v>
      </c>
      <c r="Z9" s="2" t="s">
        <v>57</v>
      </c>
      <c r="AB9" s="2" t="s">
        <v>28</v>
      </c>
      <c r="AD9" s="2" t="s">
        <v>196</v>
      </c>
      <c r="AE9" s="2" t="s">
        <v>87</v>
      </c>
      <c r="AG9" s="2" t="s">
        <v>95</v>
      </c>
      <c r="AI9" s="2" t="s">
        <v>82</v>
      </c>
      <c r="AK9" s="2" t="s">
        <v>52</v>
      </c>
      <c r="AP9" s="2" t="s">
        <v>82</v>
      </c>
      <c r="AR9" s="2" t="s">
        <v>122</v>
      </c>
      <c r="AT9" s="2" t="s">
        <v>63</v>
      </c>
      <c r="AV9" s="2" t="s">
        <v>75</v>
      </c>
      <c r="AY9" s="2" t="s">
        <v>37</v>
      </c>
      <c r="AZ9" s="2" t="s">
        <v>46</v>
      </c>
      <c r="BC9" s="2" t="s">
        <v>65</v>
      </c>
      <c r="BE9" s="2" t="s">
        <v>120</v>
      </c>
      <c r="BG9" s="2" t="s">
        <v>52</v>
      </c>
      <c r="BJ9" s="2" t="s">
        <v>28</v>
      </c>
      <c r="BM9" s="2" t="s">
        <v>32</v>
      </c>
      <c r="BN9" s="2" t="s">
        <v>95</v>
      </c>
      <c r="BP9" s="2" t="s">
        <v>106</v>
      </c>
      <c r="BS9" s="2" t="s">
        <v>52</v>
      </c>
      <c r="BW9" s="2" t="s">
        <v>39</v>
      </c>
      <c r="BY9" s="2" t="s">
        <v>98</v>
      </c>
      <c r="BZ9" s="2" t="s">
        <v>87</v>
      </c>
      <c r="CB9" s="2" t="s">
        <v>32</v>
      </c>
      <c r="CE9" s="2" t="s">
        <v>100</v>
      </c>
      <c r="CG9" s="2" t="s">
        <v>59</v>
      </c>
      <c r="CK9" s="2" t="s">
        <v>63</v>
      </c>
      <c r="CM9" s="2" t="s">
        <v>75</v>
      </c>
      <c r="CO9" s="2" t="s">
        <v>59</v>
      </c>
      <c r="CP9" s="2" t="s">
        <v>71</v>
      </c>
      <c r="CR9" s="2" t="s">
        <v>61</v>
      </c>
      <c r="CU9" s="2" t="s">
        <v>181</v>
      </c>
      <c r="CW9" s="2" t="s">
        <v>48</v>
      </c>
      <c r="DA9" s="2" t="s">
        <v>41</v>
      </c>
      <c r="DC9" s="2" t="s">
        <v>140</v>
      </c>
      <c r="DF9" s="2" t="s">
        <v>196</v>
      </c>
      <c r="DH9" s="2" t="s">
        <v>132</v>
      </c>
      <c r="DJ9" s="2" t="s">
        <v>75</v>
      </c>
      <c r="DK9" s="2" t="s">
        <v>82</v>
      </c>
      <c r="DM9" s="2" t="s">
        <v>79</v>
      </c>
      <c r="DO9" s="2" t="s">
        <v>48</v>
      </c>
      <c r="DQ9" s="2" t="s">
        <v>28</v>
      </c>
      <c r="EA9" s="2" t="s">
        <v>122</v>
      </c>
      <c r="ED9" s="2" t="s">
        <v>181</v>
      </c>
      <c r="EE9" s="2" t="s">
        <v>52</v>
      </c>
      <c r="EH9" s="2" t="s">
        <v>120</v>
      </c>
      <c r="EI9" s="2" t="s">
        <v>35</v>
      </c>
      <c r="EK9" s="2" t="s">
        <v>73</v>
      </c>
      <c r="EM9" s="2" t="s">
        <v>35</v>
      </c>
      <c r="EO9" s="2" t="s">
        <v>98</v>
      </c>
      <c r="EP9" s="2" t="s">
        <v>65</v>
      </c>
      <c r="ES9" s="2" t="s">
        <v>71</v>
      </c>
      <c r="EU9" s="2" t="s">
        <v>122</v>
      </c>
      <c r="EV9" s="2" t="s">
        <v>181</v>
      </c>
      <c r="EX9" s="2" t="s">
        <v>65</v>
      </c>
      <c r="EZ9" s="2" t="s">
        <v>100</v>
      </c>
      <c r="FB9" s="2" t="s">
        <v>73</v>
      </c>
      <c r="FD9" s="2" t="s">
        <v>84</v>
      </c>
      <c r="FF9" s="2" t="s">
        <v>57</v>
      </c>
      <c r="FG9" s="2" t="s">
        <v>61</v>
      </c>
      <c r="FJ9" s="2" t="s">
        <v>37</v>
      </c>
      <c r="FL9" s="2" t="s">
        <v>100</v>
      </c>
      <c r="FN9" s="2" t="s">
        <v>181</v>
      </c>
      <c r="FP9" s="2" t="s">
        <v>41</v>
      </c>
      <c r="FS9" s="2" t="s">
        <v>39</v>
      </c>
      <c r="FU9" s="2" t="s">
        <v>87</v>
      </c>
      <c r="FV9" s="2" t="s">
        <v>79</v>
      </c>
      <c r="FX9" s="2" t="s">
        <v>65</v>
      </c>
      <c r="FZ9" s="2" t="s">
        <v>75</v>
      </c>
      <c r="GB9" s="2" t="s">
        <v>106</v>
      </c>
      <c r="GE9" s="2" t="s">
        <v>48</v>
      </c>
      <c r="GG9" s="2" t="s">
        <v>79</v>
      </c>
      <c r="GI9" s="2" t="s">
        <v>140</v>
      </c>
      <c r="GK9" s="2" t="s">
        <v>87</v>
      </c>
      <c r="GL9" s="2" t="s">
        <v>46</v>
      </c>
      <c r="GN9" s="11" t="s">
        <v>132</v>
      </c>
    </row>
    <row r="10" spans="1:196" x14ac:dyDescent="0.3">
      <c r="A10" s="6" t="s">
        <v>41</v>
      </c>
      <c r="B10" s="2">
        <v>82</v>
      </c>
      <c r="C10" s="2">
        <v>41</v>
      </c>
      <c r="D10" s="2">
        <v>41</v>
      </c>
      <c r="E10" s="2">
        <v>13</v>
      </c>
      <c r="F10" s="2">
        <v>31</v>
      </c>
      <c r="M10" s="2" t="s">
        <v>44</v>
      </c>
      <c r="N10" s="2" t="s">
        <v>48</v>
      </c>
      <c r="R10" s="2" t="s">
        <v>87</v>
      </c>
      <c r="T10" s="2" t="s">
        <v>52</v>
      </c>
      <c r="V10" s="2" t="s">
        <v>140</v>
      </c>
      <c r="W10" s="2" t="s">
        <v>98</v>
      </c>
      <c r="Z10" s="2" t="s">
        <v>32</v>
      </c>
      <c r="AC10" s="2" t="s">
        <v>106</v>
      </c>
      <c r="AD10" s="2" t="s">
        <v>95</v>
      </c>
      <c r="AJ10" s="2" t="s">
        <v>59</v>
      </c>
      <c r="AK10" s="2" t="s">
        <v>59</v>
      </c>
      <c r="AP10" s="2" t="s">
        <v>100</v>
      </c>
      <c r="AR10" s="2" t="s">
        <v>63</v>
      </c>
      <c r="AT10" s="2" t="s">
        <v>75</v>
      </c>
      <c r="AW10" s="2" t="s">
        <v>63</v>
      </c>
      <c r="AY10" s="2" t="s">
        <v>39</v>
      </c>
      <c r="BA10" s="2" t="s">
        <v>65</v>
      </c>
      <c r="BC10" s="2" t="s">
        <v>79</v>
      </c>
      <c r="BE10" s="2" t="s">
        <v>100</v>
      </c>
      <c r="BF10" s="2" t="s">
        <v>65</v>
      </c>
      <c r="BI10" s="2" t="s">
        <v>52</v>
      </c>
      <c r="BK10" s="2" t="s">
        <v>196</v>
      </c>
      <c r="BM10" s="2" t="s">
        <v>37</v>
      </c>
      <c r="BO10" s="2" t="s">
        <v>132</v>
      </c>
      <c r="BQ10" s="2" t="s">
        <v>37</v>
      </c>
      <c r="BS10" s="2" t="s">
        <v>32</v>
      </c>
      <c r="BU10" s="2" t="s">
        <v>75</v>
      </c>
      <c r="BW10" s="2" t="s">
        <v>132</v>
      </c>
      <c r="BY10" s="2" t="s">
        <v>196</v>
      </c>
      <c r="CA10" s="2" t="s">
        <v>100</v>
      </c>
      <c r="CC10" s="2" t="s">
        <v>95</v>
      </c>
      <c r="CE10" s="2" t="s">
        <v>120</v>
      </c>
      <c r="CG10" s="2" t="s">
        <v>100</v>
      </c>
      <c r="CK10" s="2" t="s">
        <v>181</v>
      </c>
      <c r="CM10" s="2" t="s">
        <v>82</v>
      </c>
      <c r="CO10" s="2" t="s">
        <v>35</v>
      </c>
      <c r="CQ10" s="2" t="s">
        <v>98</v>
      </c>
      <c r="CT10" s="2" t="s">
        <v>79</v>
      </c>
      <c r="CV10" s="2" t="s">
        <v>28</v>
      </c>
      <c r="CY10" s="2" t="s">
        <v>57</v>
      </c>
      <c r="DA10" s="2" t="s">
        <v>44</v>
      </c>
      <c r="DC10" s="2" t="s">
        <v>73</v>
      </c>
      <c r="DE10" s="2" t="s">
        <v>84</v>
      </c>
      <c r="DG10" s="2" t="s">
        <v>48</v>
      </c>
      <c r="DI10" s="2" t="s">
        <v>79</v>
      </c>
      <c r="DJ10" s="2" t="s">
        <v>140</v>
      </c>
      <c r="DM10" s="2" t="s">
        <v>39</v>
      </c>
      <c r="DO10" s="2" t="s">
        <v>122</v>
      </c>
      <c r="DQ10" s="2" t="s">
        <v>75</v>
      </c>
      <c r="EA10" s="2" t="s">
        <v>46</v>
      </c>
      <c r="EC10" s="2" t="s">
        <v>61</v>
      </c>
      <c r="EE10" s="2" t="s">
        <v>57</v>
      </c>
      <c r="EH10" s="2" t="s">
        <v>61</v>
      </c>
      <c r="EI10" s="2" t="s">
        <v>87</v>
      </c>
      <c r="EL10" s="2" t="s">
        <v>75</v>
      </c>
      <c r="EM10" s="2" t="s">
        <v>28</v>
      </c>
      <c r="ER10" s="2" t="s">
        <v>52</v>
      </c>
      <c r="ES10" s="2" t="s">
        <v>48</v>
      </c>
      <c r="EU10" s="2" t="s">
        <v>98</v>
      </c>
      <c r="EW10" s="2" t="s">
        <v>106</v>
      </c>
      <c r="EZ10" s="2" t="s">
        <v>65</v>
      </c>
      <c r="FA10" s="2" t="s">
        <v>140</v>
      </c>
      <c r="FC10" s="2" t="s">
        <v>71</v>
      </c>
      <c r="FE10" s="2" t="s">
        <v>82</v>
      </c>
      <c r="FG10" s="2" t="s">
        <v>181</v>
      </c>
      <c r="FI10" s="2" t="s">
        <v>120</v>
      </c>
      <c r="FK10" s="2" t="s">
        <v>35</v>
      </c>
      <c r="FL10" s="2" t="s">
        <v>73</v>
      </c>
      <c r="FN10" s="2" t="s">
        <v>84</v>
      </c>
      <c r="FP10" s="2" t="s">
        <v>44</v>
      </c>
      <c r="FR10" s="2" t="s">
        <v>46</v>
      </c>
      <c r="FT10" s="2" t="s">
        <v>181</v>
      </c>
      <c r="FV10" s="2" t="s">
        <v>181</v>
      </c>
      <c r="FW10" s="2" t="s">
        <v>122</v>
      </c>
      <c r="FY10" s="2" t="s">
        <v>87</v>
      </c>
      <c r="GB10" s="2" t="s">
        <v>65</v>
      </c>
      <c r="GE10" s="2" t="s">
        <v>71</v>
      </c>
      <c r="GG10" s="2" t="s">
        <v>71</v>
      </c>
      <c r="GI10" s="2" t="s">
        <v>82</v>
      </c>
      <c r="GJ10" s="2" t="s">
        <v>122</v>
      </c>
      <c r="GL10" s="2" t="s">
        <v>28</v>
      </c>
      <c r="GN10" s="11" t="s">
        <v>52</v>
      </c>
    </row>
    <row r="11" spans="1:196" x14ac:dyDescent="0.3">
      <c r="A11" s="6" t="s">
        <v>65</v>
      </c>
      <c r="B11" s="2">
        <v>82</v>
      </c>
      <c r="C11" s="2">
        <v>41</v>
      </c>
      <c r="D11" s="2">
        <v>41</v>
      </c>
      <c r="E11" s="2">
        <v>10</v>
      </c>
      <c r="F11" s="2">
        <v>27</v>
      </c>
      <c r="N11" s="2" t="s">
        <v>100</v>
      </c>
      <c r="P11" s="2" t="s">
        <v>100</v>
      </c>
      <c r="R11" s="2" t="s">
        <v>52</v>
      </c>
      <c r="U11" s="2" t="s">
        <v>35</v>
      </c>
      <c r="W11" s="2" t="s">
        <v>120</v>
      </c>
      <c r="Y11" s="2" t="s">
        <v>73</v>
      </c>
      <c r="Z11" s="2" t="s">
        <v>37</v>
      </c>
      <c r="AB11" s="2" t="s">
        <v>39</v>
      </c>
      <c r="AD11" s="2" t="s">
        <v>32</v>
      </c>
      <c r="AG11" s="2" t="s">
        <v>82</v>
      </c>
      <c r="AI11" s="2" t="s">
        <v>181</v>
      </c>
      <c r="AK11" s="2" t="s">
        <v>28</v>
      </c>
      <c r="AN11" s="2" t="s">
        <v>52</v>
      </c>
      <c r="AQ11" s="2" t="s">
        <v>71</v>
      </c>
      <c r="AS11" s="2" t="s">
        <v>132</v>
      </c>
      <c r="AU11" s="2" t="s">
        <v>61</v>
      </c>
      <c r="AW11" s="2" t="s">
        <v>57</v>
      </c>
      <c r="AY11" s="2" t="s">
        <v>95</v>
      </c>
      <c r="BA11" s="2" t="s">
        <v>41</v>
      </c>
      <c r="BC11" s="2" t="s">
        <v>44</v>
      </c>
      <c r="BE11" s="2" t="s">
        <v>52</v>
      </c>
      <c r="BF11" s="2" t="s">
        <v>41</v>
      </c>
      <c r="BH11" s="2" t="s">
        <v>75</v>
      </c>
      <c r="BK11" s="2" t="s">
        <v>122</v>
      </c>
      <c r="BN11" s="2" t="s">
        <v>87</v>
      </c>
      <c r="BP11" s="2" t="s">
        <v>35</v>
      </c>
      <c r="BR11" s="2" t="s">
        <v>73</v>
      </c>
      <c r="BT11" s="2" t="s">
        <v>84</v>
      </c>
      <c r="BV11" s="2" t="s">
        <v>46</v>
      </c>
      <c r="BW11" s="2" t="s">
        <v>106</v>
      </c>
      <c r="BY11" s="2" t="s">
        <v>39</v>
      </c>
      <c r="CA11" s="2" t="s">
        <v>63</v>
      </c>
      <c r="CC11" s="2" t="s">
        <v>59</v>
      </c>
      <c r="CE11" s="2" t="s">
        <v>28</v>
      </c>
      <c r="CG11" s="2" t="s">
        <v>120</v>
      </c>
      <c r="CK11" s="2" t="s">
        <v>100</v>
      </c>
      <c r="CM11" s="2" t="s">
        <v>87</v>
      </c>
      <c r="CO11" s="2" t="s">
        <v>71</v>
      </c>
      <c r="CR11" s="2" t="s">
        <v>82</v>
      </c>
      <c r="CS11" s="2" t="s">
        <v>122</v>
      </c>
      <c r="CW11" s="2" t="s">
        <v>57</v>
      </c>
      <c r="CY11" s="2" t="s">
        <v>95</v>
      </c>
      <c r="DA11" s="2" t="s">
        <v>32</v>
      </c>
      <c r="DC11" s="2" t="s">
        <v>48</v>
      </c>
      <c r="DE11" s="2" t="s">
        <v>98</v>
      </c>
      <c r="DG11" s="2" t="s">
        <v>71</v>
      </c>
      <c r="DH11" s="2" t="s">
        <v>82</v>
      </c>
      <c r="DJ11" s="2" t="s">
        <v>181</v>
      </c>
      <c r="DL11" s="2" t="s">
        <v>196</v>
      </c>
      <c r="DN11" s="2" t="s">
        <v>63</v>
      </c>
      <c r="DP11" s="2" t="s">
        <v>106</v>
      </c>
      <c r="DZ11" s="2" t="s">
        <v>122</v>
      </c>
      <c r="EB11" s="2" t="s">
        <v>87</v>
      </c>
      <c r="EE11" s="2" t="s">
        <v>61</v>
      </c>
      <c r="EH11" s="2" t="s">
        <v>37</v>
      </c>
      <c r="EK11" s="2" t="s">
        <v>87</v>
      </c>
      <c r="EL11" s="2" t="s">
        <v>59</v>
      </c>
      <c r="EP11" s="2" t="s">
        <v>44</v>
      </c>
      <c r="ES11" s="2" t="s">
        <v>98</v>
      </c>
      <c r="EU11" s="2" t="s">
        <v>79</v>
      </c>
      <c r="EW11" s="2" t="s">
        <v>181</v>
      </c>
      <c r="EX11" s="2" t="s">
        <v>44</v>
      </c>
      <c r="EZ11" s="2" t="s">
        <v>41</v>
      </c>
      <c r="FB11" s="2" t="s">
        <v>48</v>
      </c>
      <c r="FE11" s="2" t="s">
        <v>196</v>
      </c>
      <c r="FG11" s="2" t="s">
        <v>140</v>
      </c>
      <c r="FI11" s="2" t="s">
        <v>140</v>
      </c>
      <c r="FJ11" s="2" t="s">
        <v>79</v>
      </c>
      <c r="FL11" s="2" t="s">
        <v>28</v>
      </c>
      <c r="FN11" s="2" t="s">
        <v>48</v>
      </c>
      <c r="FQ11" s="2" t="s">
        <v>140</v>
      </c>
      <c r="FS11" s="2" t="s">
        <v>46</v>
      </c>
      <c r="FU11" s="2" t="s">
        <v>79</v>
      </c>
      <c r="FX11" s="2" t="s">
        <v>44</v>
      </c>
      <c r="GA11" s="2" t="s">
        <v>181</v>
      </c>
      <c r="GB11" s="2" t="s">
        <v>41</v>
      </c>
      <c r="GD11" s="2" t="s">
        <v>100</v>
      </c>
      <c r="GG11" s="2" t="s">
        <v>132</v>
      </c>
      <c r="GI11" s="2" t="s">
        <v>98</v>
      </c>
      <c r="GK11" s="2" t="s">
        <v>84</v>
      </c>
      <c r="GM11" s="2" t="s">
        <v>75</v>
      </c>
      <c r="GN11" s="11" t="s">
        <v>75</v>
      </c>
    </row>
    <row r="12" spans="1:196" x14ac:dyDescent="0.3">
      <c r="A12" s="6" t="s">
        <v>84</v>
      </c>
      <c r="B12" s="2">
        <v>82</v>
      </c>
      <c r="C12" s="2">
        <v>41</v>
      </c>
      <c r="D12" s="2">
        <v>41</v>
      </c>
      <c r="E12" s="2">
        <v>14</v>
      </c>
      <c r="F12" s="2">
        <v>28</v>
      </c>
      <c r="O12" s="2" t="s">
        <v>120</v>
      </c>
      <c r="P12" s="2" t="s">
        <v>106</v>
      </c>
      <c r="R12" s="2" t="s">
        <v>82</v>
      </c>
      <c r="V12" s="2" t="s">
        <v>44</v>
      </c>
      <c r="X12" s="2" t="s">
        <v>122</v>
      </c>
      <c r="Z12" s="2" t="s">
        <v>106</v>
      </c>
      <c r="AB12" s="2" t="s">
        <v>37</v>
      </c>
      <c r="AD12" s="2" t="s">
        <v>87</v>
      </c>
      <c r="AF12" s="2" t="s">
        <v>196</v>
      </c>
      <c r="AI12" s="2" t="s">
        <v>39</v>
      </c>
      <c r="AK12" s="2" t="s">
        <v>95</v>
      </c>
      <c r="AL12" s="2" t="s">
        <v>32</v>
      </c>
      <c r="AN12" s="2" t="s">
        <v>120</v>
      </c>
      <c r="AP12" s="2" t="s">
        <v>32</v>
      </c>
      <c r="AR12" s="2" t="s">
        <v>82</v>
      </c>
      <c r="AU12" s="2" t="s">
        <v>122</v>
      </c>
      <c r="AW12" s="2" t="s">
        <v>71</v>
      </c>
      <c r="AY12" s="2" t="s">
        <v>59</v>
      </c>
      <c r="BC12" s="2" t="s">
        <v>100</v>
      </c>
      <c r="BE12" s="2" t="s">
        <v>181</v>
      </c>
      <c r="BH12" s="2" t="s">
        <v>35</v>
      </c>
      <c r="BJ12" s="2" t="s">
        <v>196</v>
      </c>
      <c r="BM12" s="2" t="s">
        <v>98</v>
      </c>
      <c r="BN12" s="2" t="s">
        <v>59</v>
      </c>
      <c r="BP12" s="2" t="s">
        <v>61</v>
      </c>
      <c r="BR12" s="2" t="s">
        <v>57</v>
      </c>
      <c r="BT12" s="2" t="s">
        <v>65</v>
      </c>
      <c r="BW12" s="2" t="s">
        <v>63</v>
      </c>
      <c r="BX12" s="2" t="s">
        <v>87</v>
      </c>
      <c r="CA12" s="2" t="s">
        <v>73</v>
      </c>
      <c r="CC12" s="2" t="s">
        <v>39</v>
      </c>
      <c r="CE12" s="2" t="s">
        <v>61</v>
      </c>
      <c r="CG12" s="2" t="s">
        <v>73</v>
      </c>
      <c r="CL12" s="2" t="s">
        <v>46</v>
      </c>
      <c r="CM12" s="2" t="s">
        <v>196</v>
      </c>
      <c r="CO12" s="2" t="s">
        <v>73</v>
      </c>
      <c r="CS12" s="2" t="s">
        <v>106</v>
      </c>
      <c r="CU12" s="2" t="s">
        <v>57</v>
      </c>
      <c r="CV12" s="2" t="s">
        <v>35</v>
      </c>
      <c r="CY12" s="2" t="s">
        <v>52</v>
      </c>
      <c r="DA12" s="2" t="s">
        <v>35</v>
      </c>
      <c r="DC12" s="2" t="s">
        <v>59</v>
      </c>
      <c r="DE12" s="2" t="s">
        <v>41</v>
      </c>
      <c r="DF12" s="2" t="s">
        <v>181</v>
      </c>
      <c r="DH12" s="2" t="s">
        <v>98</v>
      </c>
      <c r="DJ12" s="2" t="s">
        <v>132</v>
      </c>
      <c r="DM12" s="2" t="s">
        <v>71</v>
      </c>
      <c r="DO12" s="2" t="s">
        <v>120</v>
      </c>
      <c r="DP12" s="2" t="s">
        <v>95</v>
      </c>
      <c r="EA12" s="2" t="s">
        <v>28</v>
      </c>
      <c r="EC12" s="2" t="s">
        <v>48</v>
      </c>
      <c r="EE12" s="2" t="s">
        <v>79</v>
      </c>
      <c r="EG12" s="2" t="s">
        <v>79</v>
      </c>
      <c r="EI12" s="2" t="s">
        <v>28</v>
      </c>
      <c r="EJ12" s="2" t="s">
        <v>48</v>
      </c>
      <c r="EL12" s="2" t="s">
        <v>140</v>
      </c>
      <c r="EO12" s="2" t="s">
        <v>39</v>
      </c>
      <c r="EQ12" s="2" t="s">
        <v>32</v>
      </c>
      <c r="ES12" s="2" t="s">
        <v>61</v>
      </c>
      <c r="EV12" s="2" t="s">
        <v>73</v>
      </c>
      <c r="EX12" s="2" t="s">
        <v>140</v>
      </c>
      <c r="EZ12" s="2" t="s">
        <v>95</v>
      </c>
      <c r="FA12" s="2" t="s">
        <v>132</v>
      </c>
      <c r="FD12" s="2" t="s">
        <v>44</v>
      </c>
      <c r="FG12" s="2" t="s">
        <v>37</v>
      </c>
      <c r="FH12" s="2" t="s">
        <v>37</v>
      </c>
      <c r="FJ12" s="2" t="s">
        <v>100</v>
      </c>
      <c r="FN12" s="2" t="s">
        <v>41</v>
      </c>
      <c r="FP12" s="2" t="s">
        <v>57</v>
      </c>
      <c r="FQ12" s="2" t="s">
        <v>75</v>
      </c>
      <c r="FS12" s="2" t="s">
        <v>75</v>
      </c>
      <c r="FU12" s="2" t="s">
        <v>132</v>
      </c>
      <c r="FX12" s="2" t="s">
        <v>46</v>
      </c>
      <c r="FZ12" s="2" t="s">
        <v>63</v>
      </c>
      <c r="GA12" s="2" t="s">
        <v>52</v>
      </c>
      <c r="GC12" s="2" t="s">
        <v>35</v>
      </c>
      <c r="GE12" s="2" t="s">
        <v>120</v>
      </c>
      <c r="GG12" s="2" t="s">
        <v>196</v>
      </c>
      <c r="GI12" s="2" t="s">
        <v>46</v>
      </c>
      <c r="GK12" s="2" t="s">
        <v>65</v>
      </c>
      <c r="GL12" s="2" t="s">
        <v>63</v>
      </c>
      <c r="GN12" s="11" t="s">
        <v>61</v>
      </c>
    </row>
    <row r="13" spans="1:196" x14ac:dyDescent="0.3">
      <c r="A13" s="6" t="s">
        <v>28</v>
      </c>
      <c r="B13" s="2">
        <v>82</v>
      </c>
      <c r="C13" s="2">
        <v>41</v>
      </c>
      <c r="D13" s="2">
        <v>41</v>
      </c>
      <c r="E13" s="2">
        <v>10</v>
      </c>
      <c r="F13" s="2">
        <v>33</v>
      </c>
      <c r="M13" s="2" t="s">
        <v>79</v>
      </c>
      <c r="P13" s="2" t="s">
        <v>48</v>
      </c>
      <c r="S13" s="2" t="s">
        <v>196</v>
      </c>
      <c r="U13" s="2" t="s">
        <v>63</v>
      </c>
      <c r="W13" s="2" t="s">
        <v>75</v>
      </c>
      <c r="Y13" s="2" t="s">
        <v>46</v>
      </c>
      <c r="AA13" s="2" t="s">
        <v>75</v>
      </c>
      <c r="AB13" s="2" t="s">
        <v>44</v>
      </c>
      <c r="AD13" s="2" t="s">
        <v>48</v>
      </c>
      <c r="AG13" s="2" t="s">
        <v>100</v>
      </c>
      <c r="AI13" s="2" t="s">
        <v>106</v>
      </c>
      <c r="AK13" s="2" t="s">
        <v>65</v>
      </c>
      <c r="AM13" s="2" t="s">
        <v>39</v>
      </c>
      <c r="AN13" s="2" t="s">
        <v>61</v>
      </c>
      <c r="AP13" s="2" t="s">
        <v>63</v>
      </c>
      <c r="AR13" s="2" t="s">
        <v>57</v>
      </c>
      <c r="AV13" s="2" t="s">
        <v>82</v>
      </c>
      <c r="AY13" s="2" t="s">
        <v>98</v>
      </c>
      <c r="BA13" s="2" t="s">
        <v>106</v>
      </c>
      <c r="BC13" s="2" t="s">
        <v>95</v>
      </c>
      <c r="BF13" s="2" t="s">
        <v>32</v>
      </c>
      <c r="BH13" s="2" t="s">
        <v>57</v>
      </c>
      <c r="BJ13" s="2" t="s">
        <v>44</v>
      </c>
      <c r="BK13" s="2" t="s">
        <v>87</v>
      </c>
      <c r="BM13" s="2" t="s">
        <v>120</v>
      </c>
      <c r="BO13" s="2" t="s">
        <v>39</v>
      </c>
      <c r="BQ13" s="2" t="s">
        <v>181</v>
      </c>
      <c r="BS13" s="2" t="s">
        <v>87</v>
      </c>
      <c r="BV13" s="2" t="s">
        <v>87</v>
      </c>
      <c r="BW13" s="2" t="s">
        <v>100</v>
      </c>
      <c r="BY13" s="2" t="s">
        <v>75</v>
      </c>
      <c r="CA13" s="2" t="s">
        <v>122</v>
      </c>
      <c r="CC13" s="2" t="s">
        <v>100</v>
      </c>
      <c r="CE13" s="2" t="s">
        <v>65</v>
      </c>
      <c r="CG13" s="2" t="s">
        <v>79</v>
      </c>
      <c r="CK13" s="2" t="s">
        <v>48</v>
      </c>
      <c r="CN13" s="2" t="s">
        <v>140</v>
      </c>
      <c r="CO13" s="2" t="s">
        <v>52</v>
      </c>
      <c r="CR13" s="2" t="s">
        <v>140</v>
      </c>
      <c r="CT13" s="2" t="s">
        <v>95</v>
      </c>
      <c r="CV13" s="2" t="s">
        <v>41</v>
      </c>
      <c r="CX13" s="2" t="s">
        <v>82</v>
      </c>
      <c r="CZ13" s="2" t="s">
        <v>122</v>
      </c>
      <c r="DB13" s="2" t="s">
        <v>71</v>
      </c>
      <c r="DC13" s="2" t="s">
        <v>98</v>
      </c>
      <c r="DF13" s="2" t="s">
        <v>140</v>
      </c>
      <c r="DH13" s="2" t="s">
        <v>61</v>
      </c>
      <c r="DJ13" s="2" t="s">
        <v>79</v>
      </c>
      <c r="DN13" s="2" t="s">
        <v>59</v>
      </c>
      <c r="DQ13" s="2" t="s">
        <v>44</v>
      </c>
      <c r="EA13" s="2" t="s">
        <v>84</v>
      </c>
      <c r="EC13" s="2" t="s">
        <v>132</v>
      </c>
      <c r="EE13" s="2" t="s">
        <v>73</v>
      </c>
      <c r="EF13" s="2" t="s">
        <v>120</v>
      </c>
      <c r="EI13" s="2" t="s">
        <v>84</v>
      </c>
      <c r="EK13" s="2" t="s">
        <v>32</v>
      </c>
      <c r="EM13" s="2" t="s">
        <v>41</v>
      </c>
      <c r="EO13" s="2" t="s">
        <v>132</v>
      </c>
      <c r="EQ13" s="2" t="s">
        <v>46</v>
      </c>
      <c r="ES13" s="2" t="s">
        <v>59</v>
      </c>
      <c r="EU13" s="2" t="s">
        <v>37</v>
      </c>
      <c r="EW13" s="2" t="s">
        <v>35</v>
      </c>
      <c r="EY13" s="2" t="s">
        <v>52</v>
      </c>
      <c r="EZ13" s="2" t="s">
        <v>52</v>
      </c>
      <c r="FB13" s="2" t="s">
        <v>196</v>
      </c>
      <c r="FE13" s="2" t="s">
        <v>37</v>
      </c>
      <c r="FG13" s="2" t="s">
        <v>35</v>
      </c>
      <c r="FJ13" s="2" t="s">
        <v>73</v>
      </c>
      <c r="FL13" s="2" t="s">
        <v>65</v>
      </c>
      <c r="FN13" s="2" t="s">
        <v>140</v>
      </c>
      <c r="FP13" s="2" t="s">
        <v>71</v>
      </c>
      <c r="FR13" s="2" t="s">
        <v>181</v>
      </c>
      <c r="FU13" s="2" t="s">
        <v>98</v>
      </c>
      <c r="FW13" s="2" t="s">
        <v>181</v>
      </c>
      <c r="FX13" s="2" t="s">
        <v>98</v>
      </c>
      <c r="FZ13" s="2" t="s">
        <v>82</v>
      </c>
      <c r="GB13" s="2" t="s">
        <v>122</v>
      </c>
      <c r="GE13" s="2" t="s">
        <v>82</v>
      </c>
      <c r="GF13" s="2" t="s">
        <v>122</v>
      </c>
      <c r="GI13" s="2" t="s">
        <v>71</v>
      </c>
      <c r="GL13" s="2" t="s">
        <v>41</v>
      </c>
      <c r="GN13" s="11" t="s">
        <v>71</v>
      </c>
    </row>
    <row r="14" spans="1:196" x14ac:dyDescent="0.3">
      <c r="A14" s="6" t="s">
        <v>57</v>
      </c>
      <c r="B14" s="2">
        <v>82</v>
      </c>
      <c r="C14" s="2">
        <v>41</v>
      </c>
      <c r="D14" s="2">
        <v>41</v>
      </c>
      <c r="E14" s="2">
        <v>12</v>
      </c>
      <c r="F14" s="2">
        <v>29</v>
      </c>
      <c r="N14" s="2" t="s">
        <v>95</v>
      </c>
      <c r="P14" s="2" t="s">
        <v>196</v>
      </c>
      <c r="R14" s="2" t="s">
        <v>37</v>
      </c>
      <c r="T14" s="2" t="s">
        <v>132</v>
      </c>
      <c r="V14" s="2" t="s">
        <v>61</v>
      </c>
      <c r="X14" s="2" t="s">
        <v>95</v>
      </c>
      <c r="Z14" s="2" t="s">
        <v>44</v>
      </c>
      <c r="AB14" s="2" t="s">
        <v>132</v>
      </c>
      <c r="AD14" s="2" t="s">
        <v>73</v>
      </c>
      <c r="AG14" s="2" t="s">
        <v>181</v>
      </c>
      <c r="AI14" s="2" t="s">
        <v>71</v>
      </c>
      <c r="AK14" s="2" t="s">
        <v>82</v>
      </c>
      <c r="AL14" s="2" t="s">
        <v>122</v>
      </c>
      <c r="AO14" s="2" t="s">
        <v>63</v>
      </c>
      <c r="AR14" s="2" t="s">
        <v>28</v>
      </c>
      <c r="AU14" s="2" t="s">
        <v>39</v>
      </c>
      <c r="AW14" s="2" t="s">
        <v>65</v>
      </c>
      <c r="AY14" s="2" t="s">
        <v>48</v>
      </c>
      <c r="AZ14" s="2" t="s">
        <v>59</v>
      </c>
      <c r="BC14" s="2" t="s">
        <v>37</v>
      </c>
      <c r="BF14" s="2" t="s">
        <v>75</v>
      </c>
      <c r="BH14" s="2" t="s">
        <v>28</v>
      </c>
      <c r="BI14" s="2" t="s">
        <v>48</v>
      </c>
      <c r="BK14" s="2" t="s">
        <v>79</v>
      </c>
      <c r="BM14" s="2" t="s">
        <v>140</v>
      </c>
      <c r="BP14" s="2" t="s">
        <v>52</v>
      </c>
      <c r="BR14" s="2" t="s">
        <v>84</v>
      </c>
      <c r="BT14" s="2" t="s">
        <v>61</v>
      </c>
      <c r="BU14" s="2" t="s">
        <v>140</v>
      </c>
      <c r="BW14" s="2" t="s">
        <v>59</v>
      </c>
      <c r="BY14" s="2" t="s">
        <v>46</v>
      </c>
      <c r="CA14" s="2" t="s">
        <v>106</v>
      </c>
      <c r="CC14" s="2" t="s">
        <v>37</v>
      </c>
      <c r="CE14" s="2" t="s">
        <v>106</v>
      </c>
      <c r="CG14" s="2" t="s">
        <v>95</v>
      </c>
      <c r="CM14" s="2" t="s">
        <v>120</v>
      </c>
      <c r="CN14" s="2" t="s">
        <v>63</v>
      </c>
      <c r="CP14" s="2" t="s">
        <v>32</v>
      </c>
      <c r="CR14" s="2" t="s">
        <v>181</v>
      </c>
      <c r="CU14" s="2" t="s">
        <v>84</v>
      </c>
      <c r="CW14" s="2" t="s">
        <v>65</v>
      </c>
      <c r="CY14" s="2" t="s">
        <v>41</v>
      </c>
      <c r="DA14" s="2" t="s">
        <v>98</v>
      </c>
      <c r="DC14" s="2" t="s">
        <v>79</v>
      </c>
      <c r="DE14" s="2" t="s">
        <v>196</v>
      </c>
      <c r="DF14" s="2" t="s">
        <v>35</v>
      </c>
      <c r="DH14" s="2" t="s">
        <v>120</v>
      </c>
      <c r="DJ14" s="2" t="s">
        <v>87</v>
      </c>
      <c r="DL14" s="2" t="s">
        <v>32</v>
      </c>
      <c r="DM14" s="2" t="s">
        <v>46</v>
      </c>
      <c r="DP14" s="2" t="s">
        <v>82</v>
      </c>
      <c r="DQ14" s="2" t="s">
        <v>37</v>
      </c>
      <c r="DZ14" s="2" t="s">
        <v>61</v>
      </c>
      <c r="EC14" s="2" t="s">
        <v>71</v>
      </c>
      <c r="EE14" s="2" t="s">
        <v>41</v>
      </c>
      <c r="EG14" s="2" t="s">
        <v>87</v>
      </c>
      <c r="EH14" s="2" t="s">
        <v>75</v>
      </c>
      <c r="EJ14" s="2" t="s">
        <v>39</v>
      </c>
      <c r="EL14" s="2" t="s">
        <v>100</v>
      </c>
      <c r="EN14" s="2" t="s">
        <v>122</v>
      </c>
      <c r="ER14" s="2" t="s">
        <v>196</v>
      </c>
      <c r="EV14" s="2" t="s">
        <v>61</v>
      </c>
      <c r="EX14" s="2" t="s">
        <v>100</v>
      </c>
      <c r="EZ14" s="2" t="s">
        <v>46</v>
      </c>
      <c r="FC14" s="2" t="s">
        <v>98</v>
      </c>
      <c r="FF14" s="2" t="s">
        <v>44</v>
      </c>
      <c r="FG14" s="2" t="s">
        <v>52</v>
      </c>
      <c r="FL14" s="2" t="s">
        <v>120</v>
      </c>
      <c r="FN14" s="2" t="s">
        <v>106</v>
      </c>
      <c r="FP14" s="2" t="s">
        <v>84</v>
      </c>
      <c r="FQ14" s="2" t="s">
        <v>132</v>
      </c>
      <c r="FS14" s="2" t="s">
        <v>35</v>
      </c>
      <c r="FU14" s="2" t="s">
        <v>32</v>
      </c>
      <c r="FW14" s="2" t="s">
        <v>73</v>
      </c>
      <c r="FY14" s="2" t="s">
        <v>35</v>
      </c>
      <c r="FZ14" s="2" t="s">
        <v>120</v>
      </c>
      <c r="GB14" s="2" t="s">
        <v>59</v>
      </c>
      <c r="GE14" s="2" t="s">
        <v>196</v>
      </c>
      <c r="GG14" s="2" t="s">
        <v>73</v>
      </c>
      <c r="GI14" s="2" t="s">
        <v>39</v>
      </c>
      <c r="GK14" s="2" t="s">
        <v>35</v>
      </c>
      <c r="GN14" s="11" t="s">
        <v>63</v>
      </c>
    </row>
    <row r="15" spans="1:196" x14ac:dyDescent="0.3">
      <c r="A15" s="6" t="s">
        <v>82</v>
      </c>
      <c r="B15" s="2">
        <v>82</v>
      </c>
      <c r="C15" s="2">
        <v>41</v>
      </c>
      <c r="D15" s="2">
        <v>41</v>
      </c>
      <c r="E15" s="2">
        <v>11</v>
      </c>
      <c r="F15" s="2">
        <v>25</v>
      </c>
      <c r="L15" s="2" t="s">
        <v>98</v>
      </c>
      <c r="N15" s="2" t="s">
        <v>140</v>
      </c>
      <c r="P15" s="2" t="s">
        <v>87</v>
      </c>
      <c r="R15" s="2" t="s">
        <v>84</v>
      </c>
      <c r="S15" s="2" t="s">
        <v>100</v>
      </c>
      <c r="U15" s="2" t="s">
        <v>46</v>
      </c>
      <c r="W15" s="2" t="s">
        <v>39</v>
      </c>
      <c r="Z15" s="2" t="s">
        <v>61</v>
      </c>
      <c r="AB15" s="2" t="s">
        <v>52</v>
      </c>
      <c r="AD15" s="2" t="s">
        <v>35</v>
      </c>
      <c r="AF15" s="2" t="s">
        <v>75</v>
      </c>
      <c r="AG15" s="2" t="s">
        <v>65</v>
      </c>
      <c r="AI15" s="2" t="s">
        <v>44</v>
      </c>
      <c r="AK15" s="2" t="s">
        <v>57</v>
      </c>
      <c r="AN15" s="2" t="s">
        <v>87</v>
      </c>
      <c r="AP15" s="2" t="s">
        <v>44</v>
      </c>
      <c r="AR15" s="2" t="s">
        <v>84</v>
      </c>
      <c r="AT15" s="2" t="s">
        <v>48</v>
      </c>
      <c r="AV15" s="2" t="s">
        <v>28</v>
      </c>
      <c r="AX15" s="2" t="s">
        <v>79</v>
      </c>
      <c r="AY15" s="2" t="s">
        <v>140</v>
      </c>
      <c r="BB15" s="2" t="s">
        <v>32</v>
      </c>
      <c r="BE15" s="2" t="s">
        <v>71</v>
      </c>
      <c r="BG15" s="2" t="s">
        <v>73</v>
      </c>
      <c r="BI15" s="2" t="s">
        <v>140</v>
      </c>
      <c r="BK15" s="2" t="s">
        <v>181</v>
      </c>
      <c r="BM15" s="2" t="s">
        <v>63</v>
      </c>
      <c r="BP15" s="2" t="s">
        <v>73</v>
      </c>
      <c r="BR15" s="2" t="s">
        <v>35</v>
      </c>
      <c r="BT15" s="2" t="s">
        <v>120</v>
      </c>
      <c r="BU15" s="2" t="s">
        <v>59</v>
      </c>
      <c r="BW15" s="2" t="s">
        <v>196</v>
      </c>
      <c r="BY15" s="2" t="s">
        <v>37</v>
      </c>
      <c r="CA15" s="2" t="s">
        <v>71</v>
      </c>
      <c r="CD15" s="2" t="s">
        <v>122</v>
      </c>
      <c r="CF15" s="2" t="s">
        <v>48</v>
      </c>
      <c r="CG15" s="2" t="s">
        <v>181</v>
      </c>
      <c r="CK15" s="2" t="s">
        <v>98</v>
      </c>
      <c r="CM15" s="2" t="s">
        <v>41</v>
      </c>
      <c r="CO15" s="2" t="s">
        <v>132</v>
      </c>
      <c r="CR15" s="2" t="s">
        <v>65</v>
      </c>
      <c r="CT15" s="2" t="s">
        <v>37</v>
      </c>
      <c r="CV15" s="2" t="s">
        <v>98</v>
      </c>
      <c r="CX15" s="2" t="s">
        <v>28</v>
      </c>
      <c r="CZ15" s="2" t="s">
        <v>71</v>
      </c>
      <c r="DC15" s="2" t="s">
        <v>106</v>
      </c>
      <c r="DH15" s="2" t="s">
        <v>65</v>
      </c>
      <c r="DJ15" s="2" t="s">
        <v>100</v>
      </c>
      <c r="DK15" s="2" t="s">
        <v>44</v>
      </c>
      <c r="DM15" s="2" t="s">
        <v>132</v>
      </c>
      <c r="DP15" s="2" t="s">
        <v>57</v>
      </c>
      <c r="DQ15" s="2" t="s">
        <v>61</v>
      </c>
      <c r="DT15" s="2" t="s">
        <v>63</v>
      </c>
      <c r="EE15" s="2" t="s">
        <v>46</v>
      </c>
      <c r="EG15" s="2" t="s">
        <v>196</v>
      </c>
      <c r="EK15" s="2" t="s">
        <v>122</v>
      </c>
      <c r="EL15" s="2" t="s">
        <v>181</v>
      </c>
      <c r="EO15" s="2" t="s">
        <v>87</v>
      </c>
      <c r="EQ15" s="2" t="s">
        <v>106</v>
      </c>
      <c r="ER15" s="2" t="s">
        <v>95</v>
      </c>
      <c r="ET15" s="2" t="s">
        <v>32</v>
      </c>
      <c r="EV15" s="2" t="s">
        <v>52</v>
      </c>
      <c r="EX15" s="2" t="s">
        <v>120</v>
      </c>
      <c r="EZ15" s="2" t="s">
        <v>75</v>
      </c>
      <c r="FB15" s="2" t="s">
        <v>39</v>
      </c>
      <c r="FE15" s="2" t="s">
        <v>41</v>
      </c>
      <c r="FG15" s="2" t="s">
        <v>100</v>
      </c>
      <c r="FJ15" s="2" t="s">
        <v>95</v>
      </c>
      <c r="FL15" s="2" t="s">
        <v>59</v>
      </c>
      <c r="FN15" s="2" t="s">
        <v>79</v>
      </c>
      <c r="FP15" s="2" t="s">
        <v>48</v>
      </c>
      <c r="FU15" s="2" t="s">
        <v>52</v>
      </c>
      <c r="FV15" s="2" t="s">
        <v>75</v>
      </c>
      <c r="FX15" s="2" t="s">
        <v>48</v>
      </c>
      <c r="FZ15" s="2" t="s">
        <v>28</v>
      </c>
      <c r="GB15" s="2" t="s">
        <v>140</v>
      </c>
      <c r="GC15" s="2" t="s">
        <v>79</v>
      </c>
      <c r="GE15" s="2" t="s">
        <v>28</v>
      </c>
      <c r="GG15" s="2" t="s">
        <v>98</v>
      </c>
      <c r="GI15" s="2" t="s">
        <v>41</v>
      </c>
      <c r="GK15" s="2" t="s">
        <v>79</v>
      </c>
      <c r="GN15" s="11" t="s">
        <v>122</v>
      </c>
    </row>
    <row r="16" spans="1:196" x14ac:dyDescent="0.3">
      <c r="A16" s="6" t="s">
        <v>87</v>
      </c>
      <c r="B16" s="2">
        <v>82</v>
      </c>
      <c r="C16" s="2">
        <v>41</v>
      </c>
      <c r="D16" s="2">
        <v>41</v>
      </c>
      <c r="E16" s="2">
        <v>12</v>
      </c>
      <c r="F16" s="2">
        <v>33</v>
      </c>
      <c r="N16" s="2" t="s">
        <v>32</v>
      </c>
      <c r="P16" s="2" t="s">
        <v>82</v>
      </c>
      <c r="R16" s="2" t="s">
        <v>41</v>
      </c>
      <c r="U16" s="2" t="s">
        <v>79</v>
      </c>
      <c r="W16" s="2" t="s">
        <v>37</v>
      </c>
      <c r="Z16" s="2" t="s">
        <v>120</v>
      </c>
      <c r="AB16" s="2" t="s">
        <v>73</v>
      </c>
      <c r="AD16" s="2" t="s">
        <v>84</v>
      </c>
      <c r="AE16" s="2" t="s">
        <v>44</v>
      </c>
      <c r="AG16" s="2" t="s">
        <v>120</v>
      </c>
      <c r="AI16" s="2" t="s">
        <v>140</v>
      </c>
      <c r="AN16" s="2" t="s">
        <v>82</v>
      </c>
      <c r="AO16" s="2" t="s">
        <v>122</v>
      </c>
      <c r="AQ16" s="2" t="s">
        <v>140</v>
      </c>
      <c r="AS16" s="2" t="s">
        <v>71</v>
      </c>
      <c r="AU16" s="2" t="s">
        <v>100</v>
      </c>
      <c r="AW16" s="2" t="s">
        <v>46</v>
      </c>
      <c r="AY16" s="2" t="s">
        <v>63</v>
      </c>
      <c r="BC16" s="2" t="s">
        <v>52</v>
      </c>
      <c r="BE16" s="2" t="s">
        <v>35</v>
      </c>
      <c r="BG16" s="2" t="s">
        <v>181</v>
      </c>
      <c r="BK16" s="2" t="s">
        <v>28</v>
      </c>
      <c r="BM16" s="2" t="s">
        <v>122</v>
      </c>
      <c r="BN16" s="2" t="s">
        <v>65</v>
      </c>
      <c r="BQ16" s="2" t="s">
        <v>48</v>
      </c>
      <c r="BS16" s="2" t="s">
        <v>28</v>
      </c>
      <c r="BT16" s="2" t="s">
        <v>79</v>
      </c>
      <c r="BV16" s="2" t="s">
        <v>28</v>
      </c>
      <c r="BX16" s="2" t="s">
        <v>84</v>
      </c>
      <c r="BZ16" s="2" t="s">
        <v>44</v>
      </c>
      <c r="CB16" s="2" t="s">
        <v>73</v>
      </c>
      <c r="CE16" s="2" t="s">
        <v>122</v>
      </c>
      <c r="CF16" s="2" t="s">
        <v>71</v>
      </c>
      <c r="CK16" s="2" t="s">
        <v>52</v>
      </c>
      <c r="CM16" s="2" t="s">
        <v>65</v>
      </c>
      <c r="CO16" s="2" t="s">
        <v>75</v>
      </c>
      <c r="CS16" s="2" t="s">
        <v>61</v>
      </c>
      <c r="CV16" s="2" t="s">
        <v>196</v>
      </c>
      <c r="CW16" s="2" t="s">
        <v>75</v>
      </c>
      <c r="CY16" s="2" t="s">
        <v>32</v>
      </c>
      <c r="DA16" s="2" t="s">
        <v>95</v>
      </c>
      <c r="DC16" s="2" t="s">
        <v>181</v>
      </c>
      <c r="DF16" s="2" t="s">
        <v>39</v>
      </c>
      <c r="DH16" s="2" t="s">
        <v>63</v>
      </c>
      <c r="DJ16" s="2" t="s">
        <v>57</v>
      </c>
      <c r="DM16" s="2" t="s">
        <v>61</v>
      </c>
      <c r="DO16" s="2" t="s">
        <v>132</v>
      </c>
      <c r="DQ16" s="2" t="s">
        <v>196</v>
      </c>
      <c r="DZ16" s="2" t="s">
        <v>181</v>
      </c>
      <c r="EB16" s="2" t="s">
        <v>65</v>
      </c>
      <c r="EC16" s="2" t="s">
        <v>98</v>
      </c>
      <c r="EE16" s="2" t="s">
        <v>106</v>
      </c>
      <c r="EG16" s="2" t="s">
        <v>57</v>
      </c>
      <c r="EI16" s="2" t="s">
        <v>41</v>
      </c>
      <c r="EK16" s="2" t="s">
        <v>65</v>
      </c>
      <c r="EM16" s="2" t="s">
        <v>100</v>
      </c>
      <c r="EO16" s="2" t="s">
        <v>82</v>
      </c>
      <c r="EQ16" s="2" t="s">
        <v>59</v>
      </c>
      <c r="ER16" s="2" t="s">
        <v>35</v>
      </c>
      <c r="ET16" s="2" t="s">
        <v>59</v>
      </c>
      <c r="EV16" s="2" t="s">
        <v>95</v>
      </c>
      <c r="EX16" s="2" t="s">
        <v>79</v>
      </c>
      <c r="EZ16" s="2" t="s">
        <v>48</v>
      </c>
      <c r="FC16" s="2" t="s">
        <v>48</v>
      </c>
      <c r="FD16" s="2" t="s">
        <v>52</v>
      </c>
      <c r="FG16" s="2" t="s">
        <v>71</v>
      </c>
      <c r="FH16" s="2" t="s">
        <v>181</v>
      </c>
      <c r="FK16" s="2" t="s">
        <v>75</v>
      </c>
      <c r="FN16" s="2" t="s">
        <v>37</v>
      </c>
      <c r="FO16" s="2" t="s">
        <v>39</v>
      </c>
      <c r="FQ16" s="2" t="s">
        <v>106</v>
      </c>
      <c r="FS16" s="2" t="s">
        <v>132</v>
      </c>
      <c r="FU16" s="2" t="s">
        <v>44</v>
      </c>
      <c r="FW16" s="2" t="s">
        <v>140</v>
      </c>
      <c r="FY16" s="2" t="s">
        <v>41</v>
      </c>
      <c r="GB16" s="2" t="s">
        <v>98</v>
      </c>
      <c r="GD16" s="2" t="s">
        <v>98</v>
      </c>
      <c r="GG16" s="2" t="s">
        <v>46</v>
      </c>
      <c r="GI16" s="2" t="s">
        <v>75</v>
      </c>
      <c r="GK16" s="2" t="s">
        <v>44</v>
      </c>
      <c r="GL16" s="2" t="s">
        <v>52</v>
      </c>
      <c r="GN16" s="11" t="s">
        <v>100</v>
      </c>
    </row>
    <row r="17" spans="1:196" x14ac:dyDescent="0.3">
      <c r="A17" s="6" t="s">
        <v>120</v>
      </c>
      <c r="B17" s="2">
        <v>82</v>
      </c>
      <c r="C17" s="2">
        <v>41</v>
      </c>
      <c r="D17" s="2">
        <v>41</v>
      </c>
      <c r="E17" s="2">
        <v>13</v>
      </c>
      <c r="F17" s="2">
        <v>23</v>
      </c>
      <c r="M17" s="2" t="s">
        <v>35</v>
      </c>
      <c r="O17" s="2" t="s">
        <v>84</v>
      </c>
      <c r="P17" s="2" t="s">
        <v>39</v>
      </c>
      <c r="R17" s="2" t="s">
        <v>46</v>
      </c>
      <c r="U17" s="2" t="s">
        <v>181</v>
      </c>
      <c r="W17" s="2" t="s">
        <v>65</v>
      </c>
      <c r="Z17" s="2" t="s">
        <v>87</v>
      </c>
      <c r="AB17" s="2" t="s">
        <v>196</v>
      </c>
      <c r="AD17" s="2" t="s">
        <v>75</v>
      </c>
      <c r="AG17" s="2" t="s">
        <v>87</v>
      </c>
      <c r="AI17" s="2" t="s">
        <v>52</v>
      </c>
      <c r="AK17" s="2" t="s">
        <v>98</v>
      </c>
      <c r="AN17" s="2" t="s">
        <v>84</v>
      </c>
      <c r="AO17" s="2" t="s">
        <v>79</v>
      </c>
      <c r="AR17" s="2" t="s">
        <v>46</v>
      </c>
      <c r="AU17" s="2" t="s">
        <v>106</v>
      </c>
      <c r="AW17" s="2" t="s">
        <v>59</v>
      </c>
      <c r="AY17" s="2" t="s">
        <v>132</v>
      </c>
      <c r="BB17" s="2" t="s">
        <v>196</v>
      </c>
      <c r="BC17" s="2" t="s">
        <v>59</v>
      </c>
      <c r="BE17" s="2" t="s">
        <v>44</v>
      </c>
      <c r="BI17" s="2" t="s">
        <v>71</v>
      </c>
      <c r="BK17" s="2" t="s">
        <v>48</v>
      </c>
      <c r="BM17" s="2" t="s">
        <v>28</v>
      </c>
      <c r="BO17" s="2" t="s">
        <v>79</v>
      </c>
      <c r="BP17" s="2" t="s">
        <v>140</v>
      </c>
      <c r="BT17" s="2" t="s">
        <v>82</v>
      </c>
      <c r="BV17" s="2" t="s">
        <v>48</v>
      </c>
      <c r="BX17" s="2" t="s">
        <v>73</v>
      </c>
      <c r="BY17" s="2" t="s">
        <v>122</v>
      </c>
      <c r="CA17" s="2" t="s">
        <v>61</v>
      </c>
      <c r="CC17" s="2" t="s">
        <v>181</v>
      </c>
      <c r="CE17" s="2" t="s">
        <v>41</v>
      </c>
      <c r="CG17" s="2" t="s">
        <v>65</v>
      </c>
      <c r="CL17" s="2" t="s">
        <v>61</v>
      </c>
      <c r="CM17" s="2" t="s">
        <v>57</v>
      </c>
      <c r="CO17" s="2" t="s">
        <v>39</v>
      </c>
      <c r="CR17" s="2" t="s">
        <v>100</v>
      </c>
      <c r="CT17" s="2" t="s">
        <v>32</v>
      </c>
      <c r="CV17" s="2" t="s">
        <v>75</v>
      </c>
      <c r="CX17" s="2" t="s">
        <v>140</v>
      </c>
      <c r="DA17" s="2" t="s">
        <v>100</v>
      </c>
      <c r="DC17" s="2" t="s">
        <v>95</v>
      </c>
      <c r="DD17" s="2" t="s">
        <v>32</v>
      </c>
      <c r="DF17" s="2" t="s">
        <v>52</v>
      </c>
      <c r="DH17" s="2" t="s">
        <v>57</v>
      </c>
      <c r="DJ17" s="2" t="s">
        <v>35</v>
      </c>
      <c r="DM17" s="2" t="s">
        <v>37</v>
      </c>
      <c r="DO17" s="2" t="s">
        <v>84</v>
      </c>
      <c r="DQ17" s="2" t="s">
        <v>73</v>
      </c>
      <c r="DT17" s="2" t="s">
        <v>73</v>
      </c>
      <c r="EE17" s="2" t="s">
        <v>95</v>
      </c>
      <c r="EF17" s="2" t="s">
        <v>28</v>
      </c>
      <c r="EH17" s="2" t="s">
        <v>44</v>
      </c>
      <c r="EJ17" s="2" t="s">
        <v>63</v>
      </c>
      <c r="EL17" s="2" t="s">
        <v>35</v>
      </c>
      <c r="EO17" s="2" t="s">
        <v>106</v>
      </c>
      <c r="ER17" s="2" t="s">
        <v>132</v>
      </c>
      <c r="ES17" s="2" t="s">
        <v>73</v>
      </c>
      <c r="EV17" s="2" t="s">
        <v>71</v>
      </c>
      <c r="EX17" s="2" t="s">
        <v>82</v>
      </c>
      <c r="EY17" s="2" t="s">
        <v>122</v>
      </c>
      <c r="FA17" s="2" t="s">
        <v>98</v>
      </c>
      <c r="FC17" s="2" t="s">
        <v>63</v>
      </c>
      <c r="FE17" s="2" t="s">
        <v>32</v>
      </c>
      <c r="FG17" s="2" t="s">
        <v>106</v>
      </c>
      <c r="FI17" s="2" t="s">
        <v>41</v>
      </c>
      <c r="FJ17" s="2" t="s">
        <v>46</v>
      </c>
      <c r="FL17" s="2" t="s">
        <v>57</v>
      </c>
      <c r="FN17" s="2" t="s">
        <v>61</v>
      </c>
      <c r="FQ17" s="2" t="s">
        <v>61</v>
      </c>
      <c r="FS17" s="2" t="s">
        <v>37</v>
      </c>
      <c r="FU17" s="2" t="s">
        <v>59</v>
      </c>
      <c r="FW17" s="2" t="s">
        <v>196</v>
      </c>
      <c r="FX17" s="2" t="s">
        <v>132</v>
      </c>
      <c r="FZ17" s="2" t="s">
        <v>57</v>
      </c>
      <c r="GB17" s="2" t="s">
        <v>63</v>
      </c>
      <c r="GE17" s="2" t="s">
        <v>84</v>
      </c>
      <c r="GG17" s="2" t="s">
        <v>39</v>
      </c>
      <c r="GI17" s="2" t="s">
        <v>35</v>
      </c>
      <c r="GM17" s="2" t="s">
        <v>95</v>
      </c>
      <c r="GN17" s="11" t="s">
        <v>37</v>
      </c>
    </row>
    <row r="18" spans="1:196" x14ac:dyDescent="0.3">
      <c r="A18" s="6" t="s">
        <v>106</v>
      </c>
      <c r="B18" s="2">
        <v>82</v>
      </c>
      <c r="C18" s="2">
        <v>41</v>
      </c>
      <c r="D18" s="2">
        <v>41</v>
      </c>
      <c r="E18" s="2">
        <v>12</v>
      </c>
      <c r="F18" s="2">
        <v>26</v>
      </c>
      <c r="N18" s="2" t="s">
        <v>132</v>
      </c>
      <c r="P18" s="2" t="s">
        <v>84</v>
      </c>
      <c r="S18" s="2" t="s">
        <v>122</v>
      </c>
      <c r="U18" s="2" t="s">
        <v>95</v>
      </c>
      <c r="W18" s="2" t="s">
        <v>71</v>
      </c>
      <c r="Y18" s="2" t="s">
        <v>39</v>
      </c>
      <c r="Z18" s="2" t="s">
        <v>84</v>
      </c>
      <c r="AC18" s="2" t="s">
        <v>41</v>
      </c>
      <c r="AE18" s="2" t="s">
        <v>59</v>
      </c>
      <c r="AG18" s="2" t="s">
        <v>79</v>
      </c>
      <c r="AI18" s="2" t="s">
        <v>28</v>
      </c>
      <c r="AK18" s="2" t="s">
        <v>48</v>
      </c>
      <c r="AN18" s="2" t="s">
        <v>48</v>
      </c>
      <c r="AP18" s="2" t="s">
        <v>73</v>
      </c>
      <c r="AR18" s="2" t="s">
        <v>181</v>
      </c>
      <c r="AU18" s="2" t="s">
        <v>120</v>
      </c>
      <c r="AW18" s="2" t="s">
        <v>35</v>
      </c>
      <c r="AY18" s="2" t="s">
        <v>73</v>
      </c>
      <c r="BA18" s="2" t="s">
        <v>28</v>
      </c>
      <c r="BC18" s="2" t="s">
        <v>35</v>
      </c>
      <c r="BE18" s="2" t="s">
        <v>196</v>
      </c>
      <c r="BF18" s="2" t="s">
        <v>39</v>
      </c>
      <c r="BH18" s="2" t="s">
        <v>32</v>
      </c>
      <c r="BK18" s="2" t="s">
        <v>100</v>
      </c>
      <c r="BM18" s="2" t="s">
        <v>132</v>
      </c>
      <c r="BP18" s="2" t="s">
        <v>44</v>
      </c>
      <c r="BS18" s="2" t="s">
        <v>95</v>
      </c>
      <c r="BV18" s="2" t="s">
        <v>32</v>
      </c>
      <c r="BW18" s="2" t="s">
        <v>65</v>
      </c>
      <c r="BY18" s="2" t="s">
        <v>132</v>
      </c>
      <c r="CA18" s="2" t="s">
        <v>57</v>
      </c>
      <c r="CD18" s="2" t="s">
        <v>63</v>
      </c>
      <c r="CE18" s="2" t="s">
        <v>57</v>
      </c>
      <c r="CG18" s="2" t="s">
        <v>37</v>
      </c>
      <c r="CL18" s="2" t="s">
        <v>37</v>
      </c>
      <c r="CN18" s="2" t="s">
        <v>46</v>
      </c>
      <c r="CP18" s="2" t="s">
        <v>63</v>
      </c>
      <c r="CS18" s="2" t="s">
        <v>84</v>
      </c>
      <c r="CT18" s="2" t="s">
        <v>75</v>
      </c>
      <c r="CV18" s="2" t="s">
        <v>32</v>
      </c>
      <c r="CY18" s="2" t="s">
        <v>63</v>
      </c>
      <c r="DB18" s="2" t="s">
        <v>122</v>
      </c>
      <c r="DC18" s="2" t="s">
        <v>82</v>
      </c>
      <c r="DE18" s="2" t="s">
        <v>71</v>
      </c>
      <c r="DH18" s="2" t="s">
        <v>140</v>
      </c>
      <c r="DK18" s="2" t="s">
        <v>46</v>
      </c>
      <c r="DM18" s="2" t="s">
        <v>98</v>
      </c>
      <c r="DO18" s="2" t="s">
        <v>100</v>
      </c>
      <c r="DP18" s="2" t="s">
        <v>65</v>
      </c>
      <c r="DZ18" s="2" t="s">
        <v>79</v>
      </c>
      <c r="EC18" s="2" t="s">
        <v>140</v>
      </c>
      <c r="EE18" s="2" t="s">
        <v>87</v>
      </c>
      <c r="EH18" s="2" t="s">
        <v>59</v>
      </c>
      <c r="EJ18" s="2" t="s">
        <v>75</v>
      </c>
      <c r="EL18" s="2" t="s">
        <v>46</v>
      </c>
      <c r="EM18" s="2" t="s">
        <v>52</v>
      </c>
      <c r="EO18" s="2" t="s">
        <v>120</v>
      </c>
      <c r="EQ18" s="2" t="s">
        <v>82</v>
      </c>
      <c r="ES18" s="2" t="s">
        <v>132</v>
      </c>
      <c r="EW18" s="2" t="s">
        <v>41</v>
      </c>
      <c r="EY18" s="2" t="s">
        <v>98</v>
      </c>
      <c r="FA18" s="2" t="s">
        <v>181</v>
      </c>
      <c r="FC18" s="2" t="s">
        <v>35</v>
      </c>
      <c r="FE18" s="2" t="s">
        <v>39</v>
      </c>
      <c r="FG18" s="2" t="s">
        <v>120</v>
      </c>
      <c r="FH18" s="2" t="s">
        <v>63</v>
      </c>
      <c r="FJ18" s="2" t="s">
        <v>61</v>
      </c>
      <c r="FL18" s="2" t="s">
        <v>61</v>
      </c>
      <c r="FN18" s="2" t="s">
        <v>57</v>
      </c>
      <c r="FO18" s="2" t="s">
        <v>61</v>
      </c>
      <c r="FQ18" s="2" t="s">
        <v>87</v>
      </c>
      <c r="FT18" s="2" t="s">
        <v>196</v>
      </c>
      <c r="FU18" s="2" t="s">
        <v>73</v>
      </c>
      <c r="FW18" s="2" t="s">
        <v>95</v>
      </c>
      <c r="FZ18" s="2" t="s">
        <v>32</v>
      </c>
      <c r="GB18" s="2" t="s">
        <v>44</v>
      </c>
      <c r="GC18" s="2" t="s">
        <v>52</v>
      </c>
      <c r="GE18" s="2" t="s">
        <v>46</v>
      </c>
      <c r="GG18" s="2" t="s">
        <v>59</v>
      </c>
      <c r="GI18" s="2" t="s">
        <v>37</v>
      </c>
      <c r="GL18" s="2" t="s">
        <v>196</v>
      </c>
      <c r="GN18" s="11" t="s">
        <v>39</v>
      </c>
    </row>
    <row r="19" spans="1:196" x14ac:dyDescent="0.3">
      <c r="A19" s="6" t="s">
        <v>100</v>
      </c>
      <c r="B19" s="2">
        <v>82</v>
      </c>
      <c r="C19" s="2">
        <v>41</v>
      </c>
      <c r="D19" s="2">
        <v>41</v>
      </c>
      <c r="E19" s="2">
        <v>12</v>
      </c>
      <c r="F19" s="2">
        <v>23</v>
      </c>
      <c r="H19" s="9" t="s">
        <v>71</v>
      </c>
      <c r="I19" s="2" t="s">
        <v>71</v>
      </c>
      <c r="N19" s="2" t="s">
        <v>65</v>
      </c>
      <c r="P19" s="2" t="s">
        <v>65</v>
      </c>
      <c r="S19" s="2" t="s">
        <v>82</v>
      </c>
      <c r="U19" s="2" t="s">
        <v>59</v>
      </c>
      <c r="W19" s="2" t="s">
        <v>132</v>
      </c>
      <c r="AB19" s="2" t="s">
        <v>75</v>
      </c>
      <c r="AD19" s="2" t="s">
        <v>39</v>
      </c>
      <c r="AG19" s="2" t="s">
        <v>28</v>
      </c>
      <c r="AI19" s="2" t="s">
        <v>48</v>
      </c>
      <c r="AK19" s="2" t="s">
        <v>79</v>
      </c>
      <c r="AN19" s="2" t="s">
        <v>140</v>
      </c>
      <c r="AP19" s="2" t="s">
        <v>41</v>
      </c>
      <c r="AR19" s="2" t="s">
        <v>32</v>
      </c>
      <c r="AU19" s="2" t="s">
        <v>87</v>
      </c>
      <c r="AW19" s="2" t="s">
        <v>95</v>
      </c>
      <c r="AY19" s="2" t="s">
        <v>61</v>
      </c>
      <c r="BA19" s="2" t="s">
        <v>181</v>
      </c>
      <c r="BC19" s="2" t="s">
        <v>84</v>
      </c>
      <c r="BE19" s="2" t="s">
        <v>41</v>
      </c>
      <c r="BF19" s="2" t="s">
        <v>59</v>
      </c>
      <c r="BI19" s="2" t="s">
        <v>122</v>
      </c>
      <c r="BK19" s="2" t="s">
        <v>106</v>
      </c>
      <c r="BL19" s="2" t="s">
        <v>95</v>
      </c>
      <c r="BR19" s="2" t="s">
        <v>61</v>
      </c>
      <c r="BT19" s="2" t="s">
        <v>73</v>
      </c>
      <c r="BV19" s="2" t="s">
        <v>75</v>
      </c>
      <c r="BW19" s="2" t="s">
        <v>28</v>
      </c>
      <c r="BY19" s="2" t="s">
        <v>52</v>
      </c>
      <c r="CA19" s="2" t="s">
        <v>41</v>
      </c>
      <c r="CC19" s="2" t="s">
        <v>28</v>
      </c>
      <c r="CE19" s="2" t="s">
        <v>44</v>
      </c>
      <c r="CG19" s="2" t="s">
        <v>41</v>
      </c>
      <c r="CK19" s="2" t="s">
        <v>65</v>
      </c>
      <c r="CN19" s="2" t="s">
        <v>122</v>
      </c>
      <c r="CO19" s="2" t="s">
        <v>98</v>
      </c>
      <c r="CR19" s="2" t="s">
        <v>120</v>
      </c>
      <c r="CT19" s="2" t="s">
        <v>63</v>
      </c>
      <c r="CU19" s="2" t="s">
        <v>39</v>
      </c>
      <c r="CX19" s="2" t="s">
        <v>73</v>
      </c>
      <c r="CZ19" s="2" t="s">
        <v>35</v>
      </c>
      <c r="DA19" s="2" t="s">
        <v>120</v>
      </c>
      <c r="DC19" s="2" t="s">
        <v>196</v>
      </c>
      <c r="DE19" s="2" t="s">
        <v>48</v>
      </c>
      <c r="DH19" s="2" t="s">
        <v>75</v>
      </c>
      <c r="DJ19" s="2" t="s">
        <v>82</v>
      </c>
      <c r="DM19" s="2" t="s">
        <v>52</v>
      </c>
      <c r="DO19" s="2" t="s">
        <v>106</v>
      </c>
      <c r="EA19" s="2" t="s">
        <v>98</v>
      </c>
      <c r="EE19" s="2" t="s">
        <v>132</v>
      </c>
      <c r="EG19" s="2" t="s">
        <v>181</v>
      </c>
      <c r="EJ19" s="2" t="s">
        <v>37</v>
      </c>
      <c r="EL19" s="2" t="s">
        <v>57</v>
      </c>
      <c r="EM19" s="2" t="s">
        <v>87</v>
      </c>
      <c r="EO19" s="2" t="s">
        <v>79</v>
      </c>
      <c r="EQ19" s="2" t="s">
        <v>71</v>
      </c>
      <c r="ET19" s="2" t="s">
        <v>181</v>
      </c>
      <c r="EV19" s="2" t="s">
        <v>46</v>
      </c>
      <c r="EX19" s="2" t="s">
        <v>57</v>
      </c>
      <c r="EZ19" s="2" t="s">
        <v>44</v>
      </c>
      <c r="FB19" s="2" t="s">
        <v>79</v>
      </c>
      <c r="FE19" s="2" t="s">
        <v>181</v>
      </c>
      <c r="FG19" s="2" t="s">
        <v>82</v>
      </c>
      <c r="FH19" s="2" t="s">
        <v>122</v>
      </c>
      <c r="FJ19" s="2" t="s">
        <v>84</v>
      </c>
      <c r="FL19" s="2" t="s">
        <v>44</v>
      </c>
      <c r="FN19" s="2" t="s">
        <v>52</v>
      </c>
      <c r="FO19" s="2" t="s">
        <v>32</v>
      </c>
      <c r="FQ19" s="2" t="s">
        <v>196</v>
      </c>
      <c r="FS19" s="2" t="s">
        <v>140</v>
      </c>
      <c r="FU19" s="2" t="s">
        <v>140</v>
      </c>
      <c r="FV19" s="2" t="s">
        <v>35</v>
      </c>
      <c r="FX19" s="2" t="s">
        <v>37</v>
      </c>
      <c r="FZ19" s="2" t="s">
        <v>46</v>
      </c>
      <c r="GB19" s="2" t="s">
        <v>75</v>
      </c>
      <c r="GD19" s="2" t="s">
        <v>65</v>
      </c>
      <c r="GE19" s="2" t="s">
        <v>98</v>
      </c>
      <c r="GG19" s="2" t="s">
        <v>63</v>
      </c>
      <c r="GI19" s="2" t="s">
        <v>52</v>
      </c>
      <c r="GK19" s="2" t="s">
        <v>48</v>
      </c>
      <c r="GN19" s="11" t="s">
        <v>87</v>
      </c>
    </row>
    <row r="20" spans="1:196" x14ac:dyDescent="0.3">
      <c r="A20" s="6" t="s">
        <v>95</v>
      </c>
      <c r="B20" s="2">
        <v>82</v>
      </c>
      <c r="C20" s="2">
        <v>41</v>
      </c>
      <c r="D20" s="2">
        <v>41</v>
      </c>
      <c r="E20" s="2">
        <v>15</v>
      </c>
      <c r="F20" s="2">
        <v>31</v>
      </c>
      <c r="N20" s="2" t="s">
        <v>57</v>
      </c>
      <c r="P20" s="2" t="s">
        <v>122</v>
      </c>
      <c r="S20" s="2" t="s">
        <v>71</v>
      </c>
      <c r="U20" s="2" t="s">
        <v>106</v>
      </c>
      <c r="W20" s="2" t="s">
        <v>61</v>
      </c>
      <c r="X20" s="2" t="s">
        <v>57</v>
      </c>
      <c r="AA20" s="2" t="s">
        <v>32</v>
      </c>
      <c r="AC20" s="2" t="s">
        <v>63</v>
      </c>
      <c r="AD20" s="2" t="s">
        <v>41</v>
      </c>
      <c r="AG20" s="2" t="s">
        <v>44</v>
      </c>
      <c r="AI20" s="2" t="s">
        <v>75</v>
      </c>
      <c r="AK20" s="2" t="s">
        <v>84</v>
      </c>
      <c r="AM20" s="2" t="s">
        <v>48</v>
      </c>
      <c r="AN20" s="2" t="s">
        <v>32</v>
      </c>
      <c r="AP20" s="2" t="s">
        <v>181</v>
      </c>
      <c r="AR20" s="2" t="s">
        <v>59</v>
      </c>
      <c r="AT20" s="2" t="s">
        <v>73</v>
      </c>
      <c r="AW20" s="2" t="s">
        <v>100</v>
      </c>
      <c r="AY20" s="2" t="s">
        <v>65</v>
      </c>
      <c r="BA20" s="2" t="s">
        <v>35</v>
      </c>
      <c r="BC20" s="2" t="s">
        <v>28</v>
      </c>
      <c r="BE20" s="2" t="s">
        <v>59</v>
      </c>
      <c r="BF20" s="2" t="s">
        <v>132</v>
      </c>
      <c r="BI20" s="2" t="s">
        <v>132</v>
      </c>
      <c r="BL20" s="2" t="s">
        <v>100</v>
      </c>
      <c r="BN20" s="2" t="s">
        <v>44</v>
      </c>
      <c r="BP20" s="2" t="s">
        <v>75</v>
      </c>
      <c r="BS20" s="2" t="s">
        <v>106</v>
      </c>
      <c r="BT20" s="2" t="s">
        <v>63</v>
      </c>
      <c r="BW20" s="2" t="s">
        <v>37</v>
      </c>
      <c r="BZ20" s="2" t="s">
        <v>181</v>
      </c>
      <c r="CA20" s="2" t="s">
        <v>98</v>
      </c>
      <c r="CC20" s="2" t="s">
        <v>41</v>
      </c>
      <c r="CF20" s="2" t="s">
        <v>32</v>
      </c>
      <c r="CG20" s="2" t="s">
        <v>57</v>
      </c>
      <c r="CK20" s="2" t="s">
        <v>46</v>
      </c>
      <c r="CM20" s="2" t="s">
        <v>59</v>
      </c>
      <c r="CP20" s="2" t="s">
        <v>140</v>
      </c>
      <c r="CR20" s="2" t="s">
        <v>79</v>
      </c>
      <c r="CT20" s="2" t="s">
        <v>28</v>
      </c>
      <c r="CU20" s="2" t="s">
        <v>48</v>
      </c>
      <c r="CY20" s="2" t="s">
        <v>65</v>
      </c>
      <c r="DA20" s="2" t="s">
        <v>87</v>
      </c>
      <c r="DC20" s="2" t="s">
        <v>120</v>
      </c>
      <c r="DE20" s="2" t="s">
        <v>39</v>
      </c>
      <c r="DG20" s="2" t="s">
        <v>37</v>
      </c>
      <c r="DH20" s="2" t="s">
        <v>196</v>
      </c>
      <c r="DJ20" s="2" t="s">
        <v>63</v>
      </c>
      <c r="DL20" s="2" t="s">
        <v>35</v>
      </c>
      <c r="DN20" s="2" t="s">
        <v>73</v>
      </c>
      <c r="DP20" s="2" t="s">
        <v>84</v>
      </c>
      <c r="DQ20" s="2" t="s">
        <v>98</v>
      </c>
      <c r="DZ20" s="2" t="s">
        <v>132</v>
      </c>
      <c r="EA20" s="2" t="s">
        <v>140</v>
      </c>
      <c r="EC20" s="2" t="s">
        <v>79</v>
      </c>
      <c r="EE20" s="2" t="s">
        <v>120</v>
      </c>
      <c r="EH20" s="2" t="s">
        <v>73</v>
      </c>
      <c r="EK20" s="2" t="s">
        <v>46</v>
      </c>
      <c r="EL20" s="2" t="s">
        <v>37</v>
      </c>
      <c r="EN20" s="2" t="s">
        <v>46</v>
      </c>
      <c r="EP20" s="2" t="s">
        <v>52</v>
      </c>
      <c r="ER20" s="2" t="s">
        <v>82</v>
      </c>
      <c r="ET20" s="2" t="s">
        <v>52</v>
      </c>
      <c r="EV20" s="2" t="s">
        <v>87</v>
      </c>
      <c r="EZ20" s="2" t="s">
        <v>84</v>
      </c>
      <c r="FC20" s="2" t="s">
        <v>196</v>
      </c>
      <c r="FE20" s="2" t="s">
        <v>46</v>
      </c>
      <c r="FG20" s="2" t="s">
        <v>39</v>
      </c>
      <c r="FJ20" s="2" t="s">
        <v>82</v>
      </c>
      <c r="FK20" s="2" t="s">
        <v>122</v>
      </c>
      <c r="FN20" s="2" t="s">
        <v>71</v>
      </c>
      <c r="FQ20" s="2" t="s">
        <v>35</v>
      </c>
      <c r="FT20" s="2" t="s">
        <v>59</v>
      </c>
      <c r="FU20" s="2" t="s">
        <v>196</v>
      </c>
      <c r="FW20" s="2" t="s">
        <v>106</v>
      </c>
      <c r="FY20" s="2" t="s">
        <v>39</v>
      </c>
      <c r="GB20" s="2" t="s">
        <v>61</v>
      </c>
      <c r="GC20" s="2" t="s">
        <v>63</v>
      </c>
      <c r="GG20" s="2" t="s">
        <v>61</v>
      </c>
      <c r="GI20" s="2" t="s">
        <v>132</v>
      </c>
      <c r="GK20" s="2" t="s">
        <v>39</v>
      </c>
      <c r="GM20" s="2" t="s">
        <v>120</v>
      </c>
    </row>
    <row r="21" spans="1:196" x14ac:dyDescent="0.3">
      <c r="A21" s="6" t="s">
        <v>32</v>
      </c>
      <c r="B21" s="2">
        <v>82</v>
      </c>
      <c r="C21" s="2">
        <v>41</v>
      </c>
      <c r="D21" s="2">
        <v>41</v>
      </c>
      <c r="E21" s="2">
        <v>16</v>
      </c>
      <c r="F21" s="2">
        <v>34</v>
      </c>
      <c r="L21" s="2" t="s">
        <v>61</v>
      </c>
      <c r="N21" s="2" t="s">
        <v>87</v>
      </c>
      <c r="O21" s="2" t="s">
        <v>52</v>
      </c>
      <c r="R21" s="2" t="s">
        <v>122</v>
      </c>
      <c r="U21" s="2" t="s">
        <v>71</v>
      </c>
      <c r="X21" s="2" t="s">
        <v>59</v>
      </c>
      <c r="Z21" s="2" t="s">
        <v>41</v>
      </c>
      <c r="AA21" s="2" t="s">
        <v>95</v>
      </c>
      <c r="AD21" s="2" t="s">
        <v>65</v>
      </c>
      <c r="AE21" s="2" t="s">
        <v>181</v>
      </c>
      <c r="AG21" s="2" t="s">
        <v>132</v>
      </c>
      <c r="AI21" s="2" t="s">
        <v>37</v>
      </c>
      <c r="AL21" s="2" t="s">
        <v>84</v>
      </c>
      <c r="AN21" s="2" t="s">
        <v>95</v>
      </c>
      <c r="AP21" s="2" t="s">
        <v>84</v>
      </c>
      <c r="AR21" s="2" t="s">
        <v>100</v>
      </c>
      <c r="AS21" s="2" t="s">
        <v>181</v>
      </c>
      <c r="AW21" s="2" t="s">
        <v>140</v>
      </c>
      <c r="AY21" s="2" t="s">
        <v>71</v>
      </c>
      <c r="BB21" s="2" t="s">
        <v>82</v>
      </c>
      <c r="BC21" s="2" t="s">
        <v>122</v>
      </c>
      <c r="BF21" s="2" t="s">
        <v>28</v>
      </c>
      <c r="BH21" s="2" t="s">
        <v>106</v>
      </c>
      <c r="BJ21" s="2" t="s">
        <v>73</v>
      </c>
      <c r="BL21" s="2" t="s">
        <v>73</v>
      </c>
      <c r="BM21" s="2" t="s">
        <v>44</v>
      </c>
      <c r="BO21" s="2" t="s">
        <v>75</v>
      </c>
      <c r="BQ21" s="2" t="s">
        <v>98</v>
      </c>
      <c r="BS21" s="2" t="s">
        <v>41</v>
      </c>
      <c r="BV21" s="2" t="s">
        <v>106</v>
      </c>
      <c r="BY21" s="2" t="s">
        <v>35</v>
      </c>
      <c r="CA21" s="2" t="s">
        <v>132</v>
      </c>
      <c r="CB21" s="2" t="s">
        <v>44</v>
      </c>
      <c r="CD21" s="2" t="s">
        <v>46</v>
      </c>
      <c r="CF21" s="2" t="s">
        <v>95</v>
      </c>
      <c r="CK21" s="2" t="s">
        <v>39</v>
      </c>
      <c r="CM21" s="2" t="s">
        <v>61</v>
      </c>
      <c r="CP21" s="2" t="s">
        <v>57</v>
      </c>
      <c r="CR21" s="2" t="s">
        <v>63</v>
      </c>
      <c r="CT21" s="2" t="s">
        <v>120</v>
      </c>
      <c r="CV21" s="2" t="s">
        <v>106</v>
      </c>
      <c r="CY21" s="2" t="s">
        <v>87</v>
      </c>
      <c r="DA21" s="2" t="s">
        <v>65</v>
      </c>
      <c r="DD21" s="2" t="s">
        <v>120</v>
      </c>
      <c r="DE21" s="2" t="s">
        <v>59</v>
      </c>
      <c r="DH21" s="2" t="s">
        <v>37</v>
      </c>
      <c r="DL21" s="2" t="s">
        <v>57</v>
      </c>
      <c r="DN21" s="2" t="s">
        <v>35</v>
      </c>
      <c r="DP21" s="2" t="s">
        <v>98</v>
      </c>
      <c r="DZ21" s="2" t="s">
        <v>48</v>
      </c>
      <c r="EB21" s="2" t="s">
        <v>79</v>
      </c>
      <c r="ED21" s="2" t="s">
        <v>140</v>
      </c>
      <c r="EE21" s="2" t="s">
        <v>63</v>
      </c>
      <c r="EI21" s="2" t="s">
        <v>79</v>
      </c>
      <c r="EK21" s="2" t="s">
        <v>28</v>
      </c>
      <c r="EL21" s="2" t="s">
        <v>48</v>
      </c>
      <c r="EN21" s="2" t="s">
        <v>52</v>
      </c>
      <c r="EQ21" s="2" t="s">
        <v>84</v>
      </c>
      <c r="ES21" s="2" t="s">
        <v>39</v>
      </c>
      <c r="ET21" s="2" t="s">
        <v>82</v>
      </c>
      <c r="EW21" s="2" t="s">
        <v>132</v>
      </c>
      <c r="EX21" s="2" t="s">
        <v>73</v>
      </c>
      <c r="EZ21" s="2" t="s">
        <v>37</v>
      </c>
      <c r="FE21" s="2" t="s">
        <v>120</v>
      </c>
      <c r="FG21" s="2" t="s">
        <v>196</v>
      </c>
      <c r="FH21" s="2" t="s">
        <v>46</v>
      </c>
      <c r="FJ21" s="2" t="s">
        <v>39</v>
      </c>
      <c r="FL21" s="2" t="s">
        <v>46</v>
      </c>
      <c r="FN21" s="2" t="s">
        <v>46</v>
      </c>
      <c r="FO21" s="2" t="s">
        <v>100</v>
      </c>
      <c r="FQ21" s="2" t="s">
        <v>63</v>
      </c>
      <c r="FS21" s="2" t="s">
        <v>63</v>
      </c>
      <c r="FU21" s="2" t="s">
        <v>57</v>
      </c>
      <c r="FX21" s="2" t="s">
        <v>59</v>
      </c>
      <c r="FZ21" s="2" t="s">
        <v>106</v>
      </c>
      <c r="GA21" s="2" t="s">
        <v>196</v>
      </c>
      <c r="GC21" s="2" t="s">
        <v>39</v>
      </c>
      <c r="GF21" s="2" t="s">
        <v>61</v>
      </c>
      <c r="GG21" s="2" t="s">
        <v>75</v>
      </c>
      <c r="GI21" s="2" t="s">
        <v>59</v>
      </c>
      <c r="GK21" s="2" t="s">
        <v>196</v>
      </c>
      <c r="GN21" s="11" t="s">
        <v>35</v>
      </c>
    </row>
    <row r="22" spans="1:196" x14ac:dyDescent="0.3">
      <c r="A22" s="6" t="s">
        <v>73</v>
      </c>
      <c r="B22" s="2">
        <v>82</v>
      </c>
      <c r="C22" s="2">
        <v>41</v>
      </c>
      <c r="D22" s="2">
        <v>41</v>
      </c>
      <c r="E22" s="2">
        <v>12</v>
      </c>
      <c r="F22" s="2">
        <v>30</v>
      </c>
      <c r="N22" s="2" t="s">
        <v>196</v>
      </c>
      <c r="P22" s="2" t="s">
        <v>35</v>
      </c>
      <c r="S22" s="2" t="s">
        <v>37</v>
      </c>
      <c r="U22" s="2" t="s">
        <v>39</v>
      </c>
      <c r="W22" s="2" t="s">
        <v>181</v>
      </c>
      <c r="Y22" s="2" t="s">
        <v>65</v>
      </c>
      <c r="AB22" s="2" t="s">
        <v>87</v>
      </c>
      <c r="AD22" s="2" t="s">
        <v>57</v>
      </c>
      <c r="AG22" s="2" t="s">
        <v>61</v>
      </c>
      <c r="AI22" s="2" t="s">
        <v>98</v>
      </c>
      <c r="AK22" s="2" t="s">
        <v>132</v>
      </c>
      <c r="AN22" s="2" t="s">
        <v>79</v>
      </c>
      <c r="AP22" s="2" t="s">
        <v>106</v>
      </c>
      <c r="AR22" s="2" t="s">
        <v>132</v>
      </c>
      <c r="AT22" s="2" t="s">
        <v>95</v>
      </c>
      <c r="AV22" s="2" t="s">
        <v>196</v>
      </c>
      <c r="AY22" s="2" t="s">
        <v>106</v>
      </c>
      <c r="BA22" s="2" t="s">
        <v>71</v>
      </c>
      <c r="BC22" s="2" t="s">
        <v>98</v>
      </c>
      <c r="BE22" s="2" t="s">
        <v>122</v>
      </c>
      <c r="BG22" s="2" t="s">
        <v>82</v>
      </c>
      <c r="BJ22" s="2" t="s">
        <v>32</v>
      </c>
      <c r="BL22" s="2" t="s">
        <v>32</v>
      </c>
      <c r="BM22" s="2" t="s">
        <v>71</v>
      </c>
      <c r="BP22" s="2" t="s">
        <v>82</v>
      </c>
      <c r="BR22" s="2" t="s">
        <v>65</v>
      </c>
      <c r="BT22" s="2" t="s">
        <v>100</v>
      </c>
      <c r="BV22" s="2" t="s">
        <v>122</v>
      </c>
      <c r="BX22" s="2" t="s">
        <v>120</v>
      </c>
      <c r="CA22" s="2" t="s">
        <v>84</v>
      </c>
      <c r="CB22" s="2" t="s">
        <v>87</v>
      </c>
      <c r="CD22" s="2" t="s">
        <v>52</v>
      </c>
      <c r="CF22" s="2" t="s">
        <v>39</v>
      </c>
      <c r="CG22" s="2" t="s">
        <v>84</v>
      </c>
      <c r="CK22" s="2" t="s">
        <v>37</v>
      </c>
      <c r="CM22" s="2" t="s">
        <v>39</v>
      </c>
      <c r="CO22" s="2" t="s">
        <v>84</v>
      </c>
      <c r="CP22" s="2" t="s">
        <v>196</v>
      </c>
      <c r="CR22" s="2" t="s">
        <v>59</v>
      </c>
      <c r="CV22" s="2" t="s">
        <v>140</v>
      </c>
      <c r="CX22" s="2" t="s">
        <v>100</v>
      </c>
      <c r="DA22" s="2" t="s">
        <v>181</v>
      </c>
      <c r="DC22" s="2" t="s">
        <v>41</v>
      </c>
      <c r="DE22" s="2" t="s">
        <v>75</v>
      </c>
      <c r="DG22" s="2" t="s">
        <v>46</v>
      </c>
      <c r="DI22" s="2" t="s">
        <v>46</v>
      </c>
      <c r="DJ22" s="2" t="s">
        <v>52</v>
      </c>
      <c r="DN22" s="2" t="s">
        <v>95</v>
      </c>
      <c r="DP22" s="2" t="s">
        <v>35</v>
      </c>
      <c r="DQ22" s="2" t="s">
        <v>120</v>
      </c>
      <c r="DT22" s="2" t="s">
        <v>120</v>
      </c>
      <c r="EE22" s="2" t="s">
        <v>28</v>
      </c>
      <c r="EG22" s="2" t="s">
        <v>48</v>
      </c>
      <c r="EH22" s="2" t="s">
        <v>95</v>
      </c>
      <c r="EK22" s="2" t="s">
        <v>44</v>
      </c>
      <c r="EM22" s="2" t="s">
        <v>75</v>
      </c>
      <c r="EN22" s="2" t="s">
        <v>37</v>
      </c>
      <c r="ER22" s="2" t="s">
        <v>63</v>
      </c>
      <c r="ES22" s="2" t="s">
        <v>120</v>
      </c>
      <c r="EV22" s="2" t="s">
        <v>84</v>
      </c>
      <c r="EX22" s="2" t="s">
        <v>32</v>
      </c>
      <c r="EZ22" s="2" t="s">
        <v>59</v>
      </c>
      <c r="FB22" s="2" t="s">
        <v>44</v>
      </c>
      <c r="FE22" s="2" t="s">
        <v>140</v>
      </c>
      <c r="FG22" s="2" t="s">
        <v>79</v>
      </c>
      <c r="FH22" s="2" t="s">
        <v>48</v>
      </c>
      <c r="FJ22" s="2" t="s">
        <v>28</v>
      </c>
      <c r="FL22" s="2" t="s">
        <v>41</v>
      </c>
      <c r="FN22" s="2" t="s">
        <v>35</v>
      </c>
      <c r="FP22" s="2" t="s">
        <v>46</v>
      </c>
      <c r="FQ22" s="2" t="s">
        <v>37</v>
      </c>
      <c r="FS22" s="2" t="s">
        <v>61</v>
      </c>
      <c r="FU22" s="2" t="s">
        <v>106</v>
      </c>
      <c r="FW22" s="2" t="s">
        <v>57</v>
      </c>
      <c r="FZ22" s="2" t="s">
        <v>132</v>
      </c>
      <c r="GB22" s="2" t="s">
        <v>35</v>
      </c>
      <c r="GC22" s="2" t="s">
        <v>59</v>
      </c>
      <c r="GE22" s="2" t="s">
        <v>63</v>
      </c>
      <c r="GG22" s="2" t="s">
        <v>57</v>
      </c>
      <c r="GI22" s="2" t="s">
        <v>61</v>
      </c>
      <c r="GK22" s="2" t="s">
        <v>63</v>
      </c>
      <c r="GN22" s="11" t="s">
        <v>196</v>
      </c>
    </row>
    <row r="23" spans="1:196" x14ac:dyDescent="0.3">
      <c r="A23" s="6" t="s">
        <v>132</v>
      </c>
      <c r="B23" s="2">
        <v>82</v>
      </c>
      <c r="C23" s="2">
        <v>41</v>
      </c>
      <c r="D23" s="2">
        <v>41</v>
      </c>
      <c r="E23" s="2">
        <v>15</v>
      </c>
      <c r="F23" s="2">
        <v>25</v>
      </c>
      <c r="N23" s="2" t="s">
        <v>106</v>
      </c>
      <c r="P23" s="2" t="s">
        <v>79</v>
      </c>
      <c r="S23" s="2" t="s">
        <v>61</v>
      </c>
      <c r="T23" s="2" t="s">
        <v>57</v>
      </c>
      <c r="W23" s="2" t="s">
        <v>100</v>
      </c>
      <c r="X23" s="2" t="s">
        <v>71</v>
      </c>
      <c r="AB23" s="2" t="s">
        <v>57</v>
      </c>
      <c r="AD23" s="2" t="s">
        <v>63</v>
      </c>
      <c r="AG23" s="2" t="s">
        <v>32</v>
      </c>
      <c r="AH23" s="2" t="s">
        <v>35</v>
      </c>
      <c r="AK23" s="2" t="s">
        <v>73</v>
      </c>
      <c r="AN23" s="2" t="s">
        <v>75</v>
      </c>
      <c r="AP23" s="2" t="s">
        <v>59</v>
      </c>
      <c r="AR23" s="2" t="s">
        <v>73</v>
      </c>
      <c r="AS23" s="2" t="s">
        <v>65</v>
      </c>
      <c r="AU23" s="2" t="s">
        <v>59</v>
      </c>
      <c r="AW23" s="2" t="s">
        <v>37</v>
      </c>
      <c r="AY23" s="2" t="s">
        <v>120</v>
      </c>
      <c r="BA23" s="2" t="s">
        <v>48</v>
      </c>
      <c r="BC23" s="2" t="s">
        <v>39</v>
      </c>
      <c r="BE23" s="2" t="s">
        <v>46</v>
      </c>
      <c r="BF23" s="2" t="s">
        <v>95</v>
      </c>
      <c r="BI23" s="2" t="s">
        <v>95</v>
      </c>
      <c r="BK23" s="2" t="s">
        <v>61</v>
      </c>
      <c r="BM23" s="2" t="s">
        <v>106</v>
      </c>
      <c r="BO23" s="2" t="s">
        <v>41</v>
      </c>
      <c r="BQ23" s="2" t="s">
        <v>39</v>
      </c>
      <c r="BS23" s="2" t="s">
        <v>98</v>
      </c>
      <c r="BU23" s="2" t="s">
        <v>181</v>
      </c>
      <c r="BW23" s="2" t="s">
        <v>41</v>
      </c>
      <c r="BY23" s="2" t="s">
        <v>106</v>
      </c>
      <c r="CA23" s="2" t="s">
        <v>32</v>
      </c>
      <c r="CD23" s="2" t="s">
        <v>59</v>
      </c>
      <c r="CF23" s="2" t="s">
        <v>35</v>
      </c>
      <c r="CG23" s="2" t="s">
        <v>63</v>
      </c>
      <c r="CM23" s="2" t="s">
        <v>71</v>
      </c>
      <c r="CO23" s="2" t="s">
        <v>82</v>
      </c>
      <c r="CQ23" s="2" t="s">
        <v>122</v>
      </c>
      <c r="CT23" s="2" t="s">
        <v>181</v>
      </c>
      <c r="CW23" s="2" t="s">
        <v>35</v>
      </c>
      <c r="CZ23" s="2" t="s">
        <v>39</v>
      </c>
      <c r="DC23" s="2" t="s">
        <v>39</v>
      </c>
      <c r="DE23" s="2" t="s">
        <v>37</v>
      </c>
      <c r="DF23" s="2" t="s">
        <v>122</v>
      </c>
      <c r="DH23" s="2" t="s">
        <v>44</v>
      </c>
      <c r="DJ23" s="2" t="s">
        <v>84</v>
      </c>
      <c r="DK23" s="2" t="s">
        <v>52</v>
      </c>
      <c r="DM23" s="2" t="s">
        <v>82</v>
      </c>
      <c r="DO23" s="2" t="s">
        <v>87</v>
      </c>
      <c r="DQ23" s="2" t="s">
        <v>52</v>
      </c>
      <c r="DZ23" s="2" t="s">
        <v>95</v>
      </c>
      <c r="EC23" s="2" t="s">
        <v>28</v>
      </c>
      <c r="EE23" s="2" t="s">
        <v>100</v>
      </c>
      <c r="EF23" s="2" t="s">
        <v>140</v>
      </c>
      <c r="EJ23" s="2" t="s">
        <v>140</v>
      </c>
      <c r="EL23" s="2" t="s">
        <v>79</v>
      </c>
      <c r="EN23" s="2" t="s">
        <v>48</v>
      </c>
      <c r="EO23" s="2" t="s">
        <v>28</v>
      </c>
      <c r="ER23" s="2" t="s">
        <v>120</v>
      </c>
      <c r="ES23" s="2" t="s">
        <v>106</v>
      </c>
      <c r="EW23" s="2" t="s">
        <v>32</v>
      </c>
      <c r="EZ23" s="2" t="s">
        <v>196</v>
      </c>
      <c r="FA23" s="2" t="s">
        <v>84</v>
      </c>
      <c r="FC23" s="2" t="s">
        <v>61</v>
      </c>
      <c r="FE23" s="2" t="s">
        <v>63</v>
      </c>
      <c r="FG23" s="2" t="s">
        <v>46</v>
      </c>
      <c r="FJ23" s="2" t="s">
        <v>98</v>
      </c>
      <c r="FM23" s="2" t="s">
        <v>196</v>
      </c>
      <c r="FN23" s="2" t="s">
        <v>63</v>
      </c>
      <c r="FQ23" s="2" t="s">
        <v>57</v>
      </c>
      <c r="FS23" s="2" t="s">
        <v>87</v>
      </c>
      <c r="FU23" s="2" t="s">
        <v>84</v>
      </c>
      <c r="FX23" s="2" t="s">
        <v>120</v>
      </c>
      <c r="FZ23" s="2" t="s">
        <v>73</v>
      </c>
      <c r="GB23" s="2" t="s">
        <v>196</v>
      </c>
      <c r="GC23" s="2" t="s">
        <v>46</v>
      </c>
      <c r="GE23" s="2" t="s">
        <v>75</v>
      </c>
      <c r="GG23" s="2" t="s">
        <v>65</v>
      </c>
      <c r="GI23" s="2" t="s">
        <v>95</v>
      </c>
      <c r="GJ23" s="2" t="s">
        <v>37</v>
      </c>
      <c r="GL23" s="2" t="s">
        <v>59</v>
      </c>
      <c r="GN23" s="11" t="s">
        <v>44</v>
      </c>
    </row>
    <row r="24" spans="1:196" x14ac:dyDescent="0.3">
      <c r="A24" s="6" t="s">
        <v>46</v>
      </c>
      <c r="B24" s="2">
        <v>82</v>
      </c>
      <c r="C24" s="2">
        <v>41</v>
      </c>
      <c r="D24" s="2">
        <v>41</v>
      </c>
      <c r="E24" s="2">
        <v>15</v>
      </c>
      <c r="F24" s="2">
        <v>27</v>
      </c>
      <c r="N24" s="2" t="s">
        <v>181</v>
      </c>
      <c r="P24" s="2" t="s">
        <v>61</v>
      </c>
      <c r="R24" s="2" t="s">
        <v>120</v>
      </c>
      <c r="U24" s="2" t="s">
        <v>82</v>
      </c>
      <c r="W24" s="2" t="s">
        <v>59</v>
      </c>
      <c r="Y24" s="2" t="s">
        <v>28</v>
      </c>
      <c r="Z24" s="2" t="s">
        <v>48</v>
      </c>
      <c r="AC24" s="2" t="s">
        <v>79</v>
      </c>
      <c r="AD24" s="2" t="s">
        <v>140</v>
      </c>
      <c r="AG24" s="2" t="s">
        <v>37</v>
      </c>
      <c r="AH24" s="2" t="s">
        <v>196</v>
      </c>
      <c r="AK24" s="2" t="s">
        <v>140</v>
      </c>
      <c r="AO24" s="2" t="s">
        <v>39</v>
      </c>
      <c r="AQ24" s="2" t="s">
        <v>35</v>
      </c>
      <c r="AR24" s="2" t="s">
        <v>120</v>
      </c>
      <c r="AU24" s="2" t="s">
        <v>35</v>
      </c>
      <c r="AW24" s="2" t="s">
        <v>87</v>
      </c>
      <c r="AY24" s="2" t="s">
        <v>52</v>
      </c>
      <c r="AZ24" s="2" t="s">
        <v>44</v>
      </c>
      <c r="BC24" s="2" t="s">
        <v>48</v>
      </c>
      <c r="BE24" s="2" t="s">
        <v>132</v>
      </c>
      <c r="BF24" s="2" t="s">
        <v>35</v>
      </c>
      <c r="BI24" s="2" t="s">
        <v>63</v>
      </c>
      <c r="BK24" s="2" t="s">
        <v>98</v>
      </c>
      <c r="BM24" s="2" t="s">
        <v>75</v>
      </c>
      <c r="BP24" s="2" t="s">
        <v>59</v>
      </c>
      <c r="BS24" s="2" t="s">
        <v>196</v>
      </c>
      <c r="BT24" s="2" t="s">
        <v>196</v>
      </c>
      <c r="BV24" s="2" t="s">
        <v>65</v>
      </c>
      <c r="BY24" s="2" t="s">
        <v>57</v>
      </c>
      <c r="CB24" s="2" t="s">
        <v>63</v>
      </c>
      <c r="CD24" s="2" t="s">
        <v>32</v>
      </c>
      <c r="CF24" s="2" t="s">
        <v>63</v>
      </c>
      <c r="CK24" s="2" t="s">
        <v>95</v>
      </c>
      <c r="CL24" s="2" t="s">
        <v>84</v>
      </c>
      <c r="CN24" s="2" t="s">
        <v>106</v>
      </c>
      <c r="CQ24" s="2" t="s">
        <v>37</v>
      </c>
      <c r="CT24" s="2" t="s">
        <v>98</v>
      </c>
      <c r="CW24" s="2" t="s">
        <v>181</v>
      </c>
      <c r="CY24" s="2" t="s">
        <v>79</v>
      </c>
      <c r="DB24" s="2" t="s">
        <v>52</v>
      </c>
      <c r="DC24" s="2" t="s">
        <v>63</v>
      </c>
      <c r="DE24" s="2" t="s">
        <v>122</v>
      </c>
      <c r="DG24" s="2" t="s">
        <v>73</v>
      </c>
      <c r="DI24" s="2" t="s">
        <v>73</v>
      </c>
      <c r="DK24" s="2" t="s">
        <v>106</v>
      </c>
      <c r="DM24" s="2" t="s">
        <v>57</v>
      </c>
      <c r="DO24" s="2" t="s">
        <v>39</v>
      </c>
      <c r="DQ24" s="2" t="s">
        <v>71</v>
      </c>
      <c r="EA24" s="2" t="s">
        <v>41</v>
      </c>
      <c r="ED24" s="2" t="s">
        <v>122</v>
      </c>
      <c r="EE24" s="2" t="s">
        <v>82</v>
      </c>
      <c r="EH24" s="2" t="s">
        <v>71</v>
      </c>
      <c r="EK24" s="2" t="s">
        <v>95</v>
      </c>
      <c r="EL24" s="2" t="s">
        <v>106</v>
      </c>
      <c r="EN24" s="2" t="s">
        <v>95</v>
      </c>
      <c r="EQ24" s="2" t="s">
        <v>28</v>
      </c>
      <c r="ES24" s="2" t="s">
        <v>75</v>
      </c>
      <c r="ET24" s="2" t="s">
        <v>61</v>
      </c>
      <c r="EV24" s="2" t="s">
        <v>100</v>
      </c>
      <c r="EX24" s="2" t="s">
        <v>61</v>
      </c>
      <c r="EZ24" s="2" t="s">
        <v>57</v>
      </c>
      <c r="FC24" s="2" t="s">
        <v>59</v>
      </c>
      <c r="FE24" s="2" t="s">
        <v>95</v>
      </c>
      <c r="FG24" s="2" t="s">
        <v>132</v>
      </c>
      <c r="FH24" s="2" t="s">
        <v>32</v>
      </c>
      <c r="FJ24" s="2" t="s">
        <v>120</v>
      </c>
      <c r="FL24" s="2" t="s">
        <v>32</v>
      </c>
      <c r="FN24" s="2" t="s">
        <v>32</v>
      </c>
      <c r="FP24" s="2" t="s">
        <v>73</v>
      </c>
      <c r="FR24" s="2" t="s">
        <v>41</v>
      </c>
      <c r="FS24" s="2" t="s">
        <v>65</v>
      </c>
      <c r="FU24" s="2" t="s">
        <v>39</v>
      </c>
      <c r="FX24" s="2" t="s">
        <v>84</v>
      </c>
      <c r="FZ24" s="2" t="s">
        <v>100</v>
      </c>
      <c r="GB24" s="2" t="s">
        <v>37</v>
      </c>
      <c r="GC24" s="2" t="s">
        <v>132</v>
      </c>
      <c r="GE24" s="2" t="s">
        <v>106</v>
      </c>
      <c r="GG24" s="2" t="s">
        <v>87</v>
      </c>
      <c r="GI24" s="2" t="s">
        <v>84</v>
      </c>
      <c r="GL24" s="2" t="s">
        <v>44</v>
      </c>
      <c r="GN24" s="11" t="s">
        <v>59</v>
      </c>
    </row>
    <row r="25" spans="1:196" x14ac:dyDescent="0.3">
      <c r="A25" s="6" t="s">
        <v>71</v>
      </c>
      <c r="B25" s="2">
        <v>82</v>
      </c>
      <c r="C25" s="2">
        <v>41</v>
      </c>
      <c r="D25" s="2">
        <v>41</v>
      </c>
      <c r="E25" s="2">
        <v>14</v>
      </c>
      <c r="F25" s="2">
        <v>29</v>
      </c>
      <c r="H25" s="9" t="s">
        <v>100</v>
      </c>
      <c r="I25" s="2" t="s">
        <v>100</v>
      </c>
      <c r="O25" s="2" t="s">
        <v>63</v>
      </c>
      <c r="P25" s="2" t="s">
        <v>44</v>
      </c>
      <c r="S25" s="2" t="s">
        <v>95</v>
      </c>
      <c r="U25" s="2" t="s">
        <v>32</v>
      </c>
      <c r="W25" s="2" t="s">
        <v>106</v>
      </c>
      <c r="X25" s="2" t="s">
        <v>132</v>
      </c>
      <c r="Z25" s="2" t="s">
        <v>98</v>
      </c>
      <c r="AB25" s="2" t="s">
        <v>35</v>
      </c>
      <c r="AD25" s="2" t="s">
        <v>61</v>
      </c>
      <c r="AG25" s="2" t="s">
        <v>122</v>
      </c>
      <c r="AI25" s="2" t="s">
        <v>57</v>
      </c>
      <c r="AK25" s="2" t="s">
        <v>122</v>
      </c>
      <c r="AP25" s="2" t="s">
        <v>75</v>
      </c>
      <c r="AQ25" s="2" t="s">
        <v>65</v>
      </c>
      <c r="AS25" s="2" t="s">
        <v>87</v>
      </c>
      <c r="AU25" s="2" t="s">
        <v>98</v>
      </c>
      <c r="AW25" s="2" t="s">
        <v>84</v>
      </c>
      <c r="AY25" s="2" t="s">
        <v>32</v>
      </c>
      <c r="BA25" s="2" t="s">
        <v>73</v>
      </c>
      <c r="BC25" s="2" t="s">
        <v>140</v>
      </c>
      <c r="BE25" s="2" t="s">
        <v>82</v>
      </c>
      <c r="BG25" s="2" t="s">
        <v>79</v>
      </c>
      <c r="BI25" s="2" t="s">
        <v>120</v>
      </c>
      <c r="BJ25" s="2" t="s">
        <v>35</v>
      </c>
      <c r="BM25" s="2" t="s">
        <v>73</v>
      </c>
      <c r="BN25" s="2" t="s">
        <v>196</v>
      </c>
      <c r="BQ25" s="2" t="s">
        <v>79</v>
      </c>
      <c r="BS25" s="2" t="s">
        <v>122</v>
      </c>
      <c r="BW25" s="2" t="s">
        <v>181</v>
      </c>
      <c r="CA25" s="2" t="s">
        <v>82</v>
      </c>
      <c r="CB25" s="2" t="s">
        <v>48</v>
      </c>
      <c r="CD25" s="2" t="s">
        <v>48</v>
      </c>
      <c r="CF25" s="2" t="s">
        <v>87</v>
      </c>
      <c r="CK25" s="2" t="s">
        <v>79</v>
      </c>
      <c r="CM25" s="2" t="s">
        <v>132</v>
      </c>
      <c r="CO25" s="2" t="s">
        <v>65</v>
      </c>
      <c r="CP25" s="2" t="s">
        <v>44</v>
      </c>
      <c r="CU25" s="2" t="s">
        <v>122</v>
      </c>
      <c r="CV25" s="2" t="s">
        <v>37</v>
      </c>
      <c r="CY25" s="2" t="s">
        <v>181</v>
      </c>
      <c r="CZ25" s="2" t="s">
        <v>82</v>
      </c>
      <c r="DB25" s="2" t="s">
        <v>28</v>
      </c>
      <c r="DE25" s="2" t="s">
        <v>106</v>
      </c>
      <c r="DG25" s="2" t="s">
        <v>65</v>
      </c>
      <c r="DJ25" s="2" t="s">
        <v>59</v>
      </c>
      <c r="DK25" s="2" t="s">
        <v>37</v>
      </c>
      <c r="DM25" s="2" t="s">
        <v>84</v>
      </c>
      <c r="DP25" s="2" t="s">
        <v>63</v>
      </c>
      <c r="DQ25" s="2" t="s">
        <v>46</v>
      </c>
      <c r="EA25" s="2" t="s">
        <v>61</v>
      </c>
      <c r="EC25" s="2" t="s">
        <v>57</v>
      </c>
      <c r="EF25" s="2" t="s">
        <v>39</v>
      </c>
      <c r="EH25" s="2" t="s">
        <v>46</v>
      </c>
      <c r="EJ25" s="2" t="s">
        <v>98</v>
      </c>
      <c r="EL25" s="2" t="s">
        <v>196</v>
      </c>
      <c r="EN25" s="2" t="s">
        <v>140</v>
      </c>
      <c r="EQ25" s="2" t="s">
        <v>100</v>
      </c>
      <c r="ES25" s="2" t="s">
        <v>44</v>
      </c>
      <c r="EV25" s="2" t="s">
        <v>120</v>
      </c>
      <c r="EX25" s="2" t="s">
        <v>75</v>
      </c>
      <c r="EZ25" s="2" t="s">
        <v>39</v>
      </c>
      <c r="FB25" s="2" t="s">
        <v>52</v>
      </c>
      <c r="FC25" s="2" t="s">
        <v>41</v>
      </c>
      <c r="FE25" s="2" t="s">
        <v>75</v>
      </c>
      <c r="FG25" s="2" t="s">
        <v>87</v>
      </c>
      <c r="FJ25" s="2" t="s">
        <v>59</v>
      </c>
      <c r="FL25" s="2" t="s">
        <v>140</v>
      </c>
      <c r="FN25" s="2" t="s">
        <v>95</v>
      </c>
      <c r="FP25" s="2" t="s">
        <v>28</v>
      </c>
      <c r="FS25" s="2" t="s">
        <v>79</v>
      </c>
      <c r="FU25" s="2" t="s">
        <v>48</v>
      </c>
      <c r="FX25" s="2" t="s">
        <v>52</v>
      </c>
      <c r="FZ25" s="2" t="s">
        <v>98</v>
      </c>
      <c r="GB25" s="2" t="s">
        <v>181</v>
      </c>
      <c r="GE25" s="2" t="s">
        <v>41</v>
      </c>
      <c r="GG25" s="2" t="s">
        <v>41</v>
      </c>
      <c r="GI25" s="2" t="s">
        <v>28</v>
      </c>
      <c r="GK25" s="2" t="s">
        <v>52</v>
      </c>
      <c r="GM25" s="2" t="s">
        <v>48</v>
      </c>
      <c r="GN25" s="11" t="s">
        <v>28</v>
      </c>
    </row>
    <row r="26" spans="1:196" x14ac:dyDescent="0.3">
      <c r="A26" s="6" t="s">
        <v>140</v>
      </c>
      <c r="B26" s="2">
        <v>82</v>
      </c>
      <c r="C26" s="2">
        <v>41</v>
      </c>
      <c r="D26" s="2">
        <v>41</v>
      </c>
      <c r="E26" s="2">
        <v>8</v>
      </c>
      <c r="F26" s="2">
        <v>30</v>
      </c>
      <c r="M26" s="2" t="s">
        <v>122</v>
      </c>
      <c r="N26" s="2" t="s">
        <v>82</v>
      </c>
      <c r="P26" s="2" t="s">
        <v>98</v>
      </c>
      <c r="R26" s="2" t="s">
        <v>63</v>
      </c>
      <c r="T26" s="2" t="s">
        <v>75</v>
      </c>
      <c r="V26" s="2" t="s">
        <v>41</v>
      </c>
      <c r="X26" s="2" t="s">
        <v>44</v>
      </c>
      <c r="Z26" s="2" t="s">
        <v>196</v>
      </c>
      <c r="AB26" s="2" t="s">
        <v>79</v>
      </c>
      <c r="AD26" s="2" t="s">
        <v>46</v>
      </c>
      <c r="AG26" s="2" t="s">
        <v>48</v>
      </c>
      <c r="AI26" s="2" t="s">
        <v>87</v>
      </c>
      <c r="AK26" s="2" t="s">
        <v>46</v>
      </c>
      <c r="AN26" s="2" t="s">
        <v>100</v>
      </c>
      <c r="AQ26" s="2" t="s">
        <v>87</v>
      </c>
      <c r="AS26" s="2" t="s">
        <v>52</v>
      </c>
      <c r="AW26" s="2" t="s">
        <v>32</v>
      </c>
      <c r="AY26" s="2" t="s">
        <v>82</v>
      </c>
      <c r="BC26" s="2" t="s">
        <v>71</v>
      </c>
      <c r="BE26" s="2" t="s">
        <v>98</v>
      </c>
      <c r="BG26" s="2" t="s">
        <v>122</v>
      </c>
      <c r="BI26" s="2" t="s">
        <v>82</v>
      </c>
      <c r="BK26" s="2" t="s">
        <v>39</v>
      </c>
      <c r="BM26" s="2" t="s">
        <v>57</v>
      </c>
      <c r="BP26" s="2" t="s">
        <v>120</v>
      </c>
      <c r="BS26" s="2" t="s">
        <v>39</v>
      </c>
      <c r="BU26" s="2" t="s">
        <v>57</v>
      </c>
      <c r="BW26" s="2" t="s">
        <v>61</v>
      </c>
      <c r="BY26" s="2" t="s">
        <v>63</v>
      </c>
      <c r="CB26" s="2" t="s">
        <v>52</v>
      </c>
      <c r="CD26" s="2" t="s">
        <v>75</v>
      </c>
      <c r="CF26" s="2" t="s">
        <v>79</v>
      </c>
      <c r="CL26" s="2" t="s">
        <v>48</v>
      </c>
      <c r="CN26" s="2" t="s">
        <v>28</v>
      </c>
      <c r="CP26" s="2" t="s">
        <v>95</v>
      </c>
      <c r="CR26" s="2" t="s">
        <v>28</v>
      </c>
      <c r="CT26" s="2" t="s">
        <v>35</v>
      </c>
      <c r="CV26" s="2" t="s">
        <v>73</v>
      </c>
      <c r="CX26" s="2" t="s">
        <v>120</v>
      </c>
      <c r="CY26" s="2" t="s">
        <v>196</v>
      </c>
      <c r="DA26" s="2" t="s">
        <v>37</v>
      </c>
      <c r="DC26" s="2" t="s">
        <v>44</v>
      </c>
      <c r="DE26" s="2" t="s">
        <v>61</v>
      </c>
      <c r="DF26" s="2" t="s">
        <v>28</v>
      </c>
      <c r="DH26" s="2" t="s">
        <v>106</v>
      </c>
      <c r="DJ26" s="2" t="s">
        <v>41</v>
      </c>
      <c r="DN26" s="2" t="s">
        <v>79</v>
      </c>
      <c r="DP26" s="2" t="s">
        <v>48</v>
      </c>
      <c r="DQ26" s="2" t="s">
        <v>59</v>
      </c>
      <c r="EA26" s="2" t="s">
        <v>95</v>
      </c>
      <c r="EC26" s="2" t="s">
        <v>106</v>
      </c>
      <c r="ED26" s="2" t="s">
        <v>32</v>
      </c>
      <c r="EF26" s="2" t="s">
        <v>132</v>
      </c>
      <c r="EH26" s="2" t="s">
        <v>52</v>
      </c>
      <c r="EJ26" s="2" t="s">
        <v>132</v>
      </c>
      <c r="EL26" s="2" t="s">
        <v>84</v>
      </c>
      <c r="EN26" s="2" t="s">
        <v>71</v>
      </c>
      <c r="EQ26" s="2" t="s">
        <v>37</v>
      </c>
      <c r="ET26" s="2" t="s">
        <v>35</v>
      </c>
      <c r="EV26" s="2" t="s">
        <v>75</v>
      </c>
      <c r="EX26" s="2" t="s">
        <v>84</v>
      </c>
      <c r="EY26" s="2" t="s">
        <v>59</v>
      </c>
      <c r="FA26" s="2" t="s">
        <v>41</v>
      </c>
      <c r="FC26" s="2" t="s">
        <v>122</v>
      </c>
      <c r="FE26" s="2" t="s">
        <v>73</v>
      </c>
      <c r="FG26" s="2" t="s">
        <v>65</v>
      </c>
      <c r="FI26" s="2" t="s">
        <v>65</v>
      </c>
      <c r="FL26" s="2" t="s">
        <v>71</v>
      </c>
      <c r="FN26" s="2" t="s">
        <v>28</v>
      </c>
      <c r="FQ26" s="2" t="s">
        <v>65</v>
      </c>
      <c r="FS26" s="2" t="s">
        <v>100</v>
      </c>
      <c r="FU26" s="2" t="s">
        <v>100</v>
      </c>
      <c r="FW26" s="2" t="s">
        <v>87</v>
      </c>
      <c r="FZ26" s="2" t="s">
        <v>122</v>
      </c>
      <c r="GB26" s="2" t="s">
        <v>82</v>
      </c>
      <c r="GD26" s="2" t="s">
        <v>181</v>
      </c>
      <c r="GE26" s="2" t="s">
        <v>79</v>
      </c>
      <c r="GG26" s="2" t="s">
        <v>181</v>
      </c>
      <c r="GI26" s="2" t="s">
        <v>44</v>
      </c>
      <c r="GK26" s="2" t="s">
        <v>181</v>
      </c>
      <c r="GL26" s="2" t="s">
        <v>98</v>
      </c>
      <c r="GN26" s="11" t="s">
        <v>98</v>
      </c>
    </row>
    <row r="27" spans="1:196" x14ac:dyDescent="0.3">
      <c r="A27" s="6" t="s">
        <v>75</v>
      </c>
      <c r="B27" s="2">
        <v>82</v>
      </c>
      <c r="C27" s="2">
        <v>41</v>
      </c>
      <c r="D27" s="2">
        <v>41</v>
      </c>
      <c r="E27" s="2">
        <v>14</v>
      </c>
      <c r="F27" s="2">
        <v>25</v>
      </c>
      <c r="P27" s="2" t="s">
        <v>59</v>
      </c>
      <c r="T27" s="2" t="s">
        <v>140</v>
      </c>
      <c r="W27" s="2" t="s">
        <v>28</v>
      </c>
      <c r="Y27" s="2" t="s">
        <v>52</v>
      </c>
      <c r="AA27" s="2" t="s">
        <v>28</v>
      </c>
      <c r="AB27" s="2" t="s">
        <v>100</v>
      </c>
      <c r="AD27" s="2" t="s">
        <v>120</v>
      </c>
      <c r="AF27" s="2" t="s">
        <v>82</v>
      </c>
      <c r="AI27" s="2" t="s">
        <v>95</v>
      </c>
      <c r="AM27" s="2" t="s">
        <v>37</v>
      </c>
      <c r="AN27" s="2" t="s">
        <v>132</v>
      </c>
      <c r="AP27" s="2" t="s">
        <v>71</v>
      </c>
      <c r="AR27" s="2" t="s">
        <v>98</v>
      </c>
      <c r="AT27" s="2" t="s">
        <v>41</v>
      </c>
      <c r="AV27" s="2" t="s">
        <v>44</v>
      </c>
      <c r="AW27" s="2" t="s">
        <v>39</v>
      </c>
      <c r="AY27" s="2" t="s">
        <v>122</v>
      </c>
      <c r="BA27" s="2" t="s">
        <v>122</v>
      </c>
      <c r="BC27" s="2" t="s">
        <v>196</v>
      </c>
      <c r="BE27" s="2" t="s">
        <v>61</v>
      </c>
      <c r="BF27" s="2" t="s">
        <v>57</v>
      </c>
      <c r="BH27" s="2" t="s">
        <v>65</v>
      </c>
      <c r="BK27" s="2" t="s">
        <v>63</v>
      </c>
      <c r="BM27" s="2" t="s">
        <v>46</v>
      </c>
      <c r="BO27" s="2" t="s">
        <v>32</v>
      </c>
      <c r="BP27" s="2" t="s">
        <v>95</v>
      </c>
      <c r="BR27" s="2" t="s">
        <v>52</v>
      </c>
      <c r="BU27" s="2" t="s">
        <v>41</v>
      </c>
      <c r="BV27" s="2" t="s">
        <v>100</v>
      </c>
      <c r="BY27" s="2" t="s">
        <v>28</v>
      </c>
      <c r="BZ27" s="2" t="s">
        <v>48</v>
      </c>
      <c r="CC27" s="2" t="s">
        <v>79</v>
      </c>
      <c r="CD27" s="2" t="s">
        <v>140</v>
      </c>
      <c r="CG27" s="2" t="s">
        <v>98</v>
      </c>
      <c r="CK27" s="2" t="s">
        <v>35</v>
      </c>
      <c r="CM27" s="2" t="s">
        <v>44</v>
      </c>
      <c r="CO27" s="2" t="s">
        <v>87</v>
      </c>
      <c r="CR27" s="2" t="s">
        <v>35</v>
      </c>
      <c r="CT27" s="2" t="s">
        <v>106</v>
      </c>
      <c r="CV27" s="2" t="s">
        <v>120</v>
      </c>
      <c r="CW27" s="2" t="s">
        <v>87</v>
      </c>
      <c r="CY27" s="2" t="s">
        <v>48</v>
      </c>
      <c r="DA27" s="2" t="s">
        <v>48</v>
      </c>
      <c r="DC27" s="2" t="s">
        <v>61</v>
      </c>
      <c r="DE27" s="2" t="s">
        <v>73</v>
      </c>
      <c r="DH27" s="2" t="s">
        <v>100</v>
      </c>
      <c r="DJ27" s="2" t="s">
        <v>44</v>
      </c>
      <c r="DM27" s="2" t="s">
        <v>196</v>
      </c>
      <c r="DO27" s="2" t="s">
        <v>181</v>
      </c>
      <c r="DQ27" s="2" t="s">
        <v>41</v>
      </c>
      <c r="DS27" s="2" t="s">
        <v>52</v>
      </c>
      <c r="EE27" s="2" t="s">
        <v>181</v>
      </c>
      <c r="EH27" s="2" t="s">
        <v>57</v>
      </c>
      <c r="EJ27" s="2" t="s">
        <v>106</v>
      </c>
      <c r="EL27" s="2" t="s">
        <v>41</v>
      </c>
      <c r="EM27" s="2" t="s">
        <v>73</v>
      </c>
      <c r="EO27" s="2" t="s">
        <v>63</v>
      </c>
      <c r="EQ27" s="2" t="s">
        <v>79</v>
      </c>
      <c r="ES27" s="2" t="s">
        <v>46</v>
      </c>
      <c r="EV27" s="2" t="s">
        <v>140</v>
      </c>
      <c r="EX27" s="2" t="s">
        <v>71</v>
      </c>
      <c r="EZ27" s="2" t="s">
        <v>82</v>
      </c>
      <c r="FC27" s="2" t="s">
        <v>181</v>
      </c>
      <c r="FE27" s="2" t="s">
        <v>71</v>
      </c>
      <c r="FG27" s="2" t="s">
        <v>59</v>
      </c>
      <c r="FH27" s="2" t="s">
        <v>98</v>
      </c>
      <c r="FK27" s="2" t="s">
        <v>87</v>
      </c>
      <c r="FM27" s="2" t="s">
        <v>39</v>
      </c>
      <c r="FO27" s="2" t="s">
        <v>52</v>
      </c>
      <c r="FQ27" s="2" t="s">
        <v>84</v>
      </c>
      <c r="FS27" s="2" t="s">
        <v>84</v>
      </c>
      <c r="FU27" s="2" t="s">
        <v>122</v>
      </c>
      <c r="FV27" s="2" t="s">
        <v>82</v>
      </c>
      <c r="FX27" s="2" t="s">
        <v>79</v>
      </c>
      <c r="FZ27" s="2" t="s">
        <v>44</v>
      </c>
      <c r="GB27" s="2" t="s">
        <v>100</v>
      </c>
      <c r="GC27" s="2" t="s">
        <v>37</v>
      </c>
      <c r="GE27" s="2" t="s">
        <v>132</v>
      </c>
      <c r="GG27" s="2" t="s">
        <v>32</v>
      </c>
      <c r="GI27" s="2" t="s">
        <v>87</v>
      </c>
      <c r="GM27" s="2" t="s">
        <v>65</v>
      </c>
      <c r="GN27" s="11" t="s">
        <v>65</v>
      </c>
    </row>
    <row r="28" spans="1:196" x14ac:dyDescent="0.3">
      <c r="A28" s="6" t="s">
        <v>61</v>
      </c>
      <c r="B28" s="2">
        <v>82</v>
      </c>
      <c r="C28" s="2">
        <v>41</v>
      </c>
      <c r="D28" s="2">
        <v>41</v>
      </c>
      <c r="E28" s="2">
        <v>14</v>
      </c>
      <c r="F28" s="2">
        <v>25</v>
      </c>
      <c r="L28" s="2" t="s">
        <v>32</v>
      </c>
      <c r="O28" s="2" t="s">
        <v>59</v>
      </c>
      <c r="P28" s="2" t="s">
        <v>46</v>
      </c>
      <c r="S28" s="2" t="s">
        <v>132</v>
      </c>
      <c r="V28" s="2" t="s">
        <v>57</v>
      </c>
      <c r="W28" s="2" t="s">
        <v>95</v>
      </c>
      <c r="Z28" s="2" t="s">
        <v>82</v>
      </c>
      <c r="AA28" s="2" t="s">
        <v>122</v>
      </c>
      <c r="AD28" s="2" t="s">
        <v>71</v>
      </c>
      <c r="AG28" s="2" t="s">
        <v>73</v>
      </c>
      <c r="AI28" s="2" t="s">
        <v>63</v>
      </c>
      <c r="AK28" s="2" t="s">
        <v>196</v>
      </c>
      <c r="AN28" s="2" t="s">
        <v>28</v>
      </c>
      <c r="AQ28" s="2" t="s">
        <v>39</v>
      </c>
      <c r="AS28" s="2" t="s">
        <v>39</v>
      </c>
      <c r="AU28" s="2" t="s">
        <v>65</v>
      </c>
      <c r="AW28" s="2" t="s">
        <v>48</v>
      </c>
      <c r="AY28" s="2" t="s">
        <v>100</v>
      </c>
      <c r="BA28" s="2" t="s">
        <v>37</v>
      </c>
      <c r="BE28" s="2" t="s">
        <v>75</v>
      </c>
      <c r="BH28" s="2" t="s">
        <v>196</v>
      </c>
      <c r="BI28" s="2" t="s">
        <v>37</v>
      </c>
      <c r="BK28" s="2" t="s">
        <v>132</v>
      </c>
      <c r="BM28" s="2" t="s">
        <v>35</v>
      </c>
      <c r="BP28" s="2" t="s">
        <v>84</v>
      </c>
      <c r="BR28" s="2" t="s">
        <v>100</v>
      </c>
      <c r="BT28" s="2" t="s">
        <v>57</v>
      </c>
      <c r="BW28" s="2" t="s">
        <v>140</v>
      </c>
      <c r="BY28" s="2" t="s">
        <v>59</v>
      </c>
      <c r="CA28" s="2" t="s">
        <v>120</v>
      </c>
      <c r="CD28" s="2" t="s">
        <v>35</v>
      </c>
      <c r="CE28" s="2" t="s">
        <v>84</v>
      </c>
      <c r="CG28" s="2" t="s">
        <v>196</v>
      </c>
      <c r="CL28" s="2" t="s">
        <v>120</v>
      </c>
      <c r="CM28" s="2" t="s">
        <v>32</v>
      </c>
      <c r="CO28" s="2" t="s">
        <v>181</v>
      </c>
      <c r="CR28" s="2" t="s">
        <v>44</v>
      </c>
      <c r="CS28" s="2" t="s">
        <v>87</v>
      </c>
      <c r="CU28" s="2" t="s">
        <v>52</v>
      </c>
      <c r="CY28" s="2" t="s">
        <v>59</v>
      </c>
      <c r="DA28" s="2" t="s">
        <v>79</v>
      </c>
      <c r="DC28" s="2" t="s">
        <v>75</v>
      </c>
      <c r="DE28" s="2" t="s">
        <v>140</v>
      </c>
      <c r="DG28" s="2" t="s">
        <v>79</v>
      </c>
      <c r="DH28" s="2" t="s">
        <v>28</v>
      </c>
      <c r="DJ28" s="2" t="s">
        <v>48</v>
      </c>
      <c r="DM28" s="2" t="s">
        <v>87</v>
      </c>
      <c r="DO28" s="2" t="s">
        <v>37</v>
      </c>
      <c r="DQ28" s="2" t="s">
        <v>82</v>
      </c>
      <c r="DZ28" s="2" t="s">
        <v>57</v>
      </c>
      <c r="EA28" s="2" t="s">
        <v>71</v>
      </c>
      <c r="EC28" s="2" t="s">
        <v>41</v>
      </c>
      <c r="EE28" s="2" t="s">
        <v>65</v>
      </c>
      <c r="EH28" s="2" t="s">
        <v>41</v>
      </c>
      <c r="EI28" s="2" t="s">
        <v>181</v>
      </c>
      <c r="EL28" s="2" t="s">
        <v>98</v>
      </c>
      <c r="EO28" s="2" t="s">
        <v>122</v>
      </c>
      <c r="EQ28" s="2" t="s">
        <v>196</v>
      </c>
      <c r="ES28" s="2" t="s">
        <v>84</v>
      </c>
      <c r="ET28" s="2" t="s">
        <v>46</v>
      </c>
      <c r="EV28" s="2" t="s">
        <v>57</v>
      </c>
      <c r="EX28" s="2" t="s">
        <v>46</v>
      </c>
      <c r="FA28" s="2" t="s">
        <v>63</v>
      </c>
      <c r="FC28" s="2" t="s">
        <v>132</v>
      </c>
      <c r="FE28" s="2" t="s">
        <v>98</v>
      </c>
      <c r="FG28" s="2" t="s">
        <v>44</v>
      </c>
      <c r="FH28" s="2" t="s">
        <v>52</v>
      </c>
      <c r="FJ28" s="2" t="s">
        <v>106</v>
      </c>
      <c r="FL28" s="2" t="s">
        <v>106</v>
      </c>
      <c r="FN28" s="2" t="s">
        <v>120</v>
      </c>
      <c r="FO28" s="2" t="s">
        <v>106</v>
      </c>
      <c r="FQ28" s="2" t="s">
        <v>120</v>
      </c>
      <c r="FS28" s="2" t="s">
        <v>73</v>
      </c>
      <c r="FU28" s="2" t="s">
        <v>37</v>
      </c>
      <c r="FX28" s="2" t="s">
        <v>63</v>
      </c>
      <c r="FZ28" s="2" t="s">
        <v>39</v>
      </c>
      <c r="GB28" s="2" t="s">
        <v>95</v>
      </c>
      <c r="GF28" s="2" t="s">
        <v>32</v>
      </c>
      <c r="GG28" s="2" t="s">
        <v>95</v>
      </c>
      <c r="GI28" s="2" t="s">
        <v>73</v>
      </c>
      <c r="GL28" s="2" t="s">
        <v>35</v>
      </c>
      <c r="GN28" s="11" t="s">
        <v>84</v>
      </c>
    </row>
    <row r="29" spans="1:196" x14ac:dyDescent="0.3">
      <c r="A29" s="6" t="s">
        <v>35</v>
      </c>
      <c r="B29" s="2">
        <v>82</v>
      </c>
      <c r="C29" s="2">
        <v>41</v>
      </c>
      <c r="D29" s="2">
        <v>41</v>
      </c>
      <c r="E29" s="2">
        <v>14</v>
      </c>
      <c r="F29" s="2">
        <v>31</v>
      </c>
      <c r="M29" s="2" t="s">
        <v>120</v>
      </c>
      <c r="N29" s="2" t="s">
        <v>39</v>
      </c>
      <c r="P29" s="2" t="s">
        <v>73</v>
      </c>
      <c r="R29" s="2" t="s">
        <v>181</v>
      </c>
      <c r="U29" s="2" t="s">
        <v>65</v>
      </c>
      <c r="W29" s="2" t="s">
        <v>52</v>
      </c>
      <c r="Y29" s="2" t="s">
        <v>98</v>
      </c>
      <c r="AB29" s="2" t="s">
        <v>71</v>
      </c>
      <c r="AD29" s="2" t="s">
        <v>82</v>
      </c>
      <c r="AE29" s="2" t="s">
        <v>122</v>
      </c>
      <c r="AH29" s="2" t="s">
        <v>132</v>
      </c>
      <c r="AK29" s="2" t="s">
        <v>37</v>
      </c>
      <c r="AL29" s="2" t="s">
        <v>63</v>
      </c>
      <c r="AN29" s="2" t="s">
        <v>98</v>
      </c>
      <c r="AQ29" s="2" t="s">
        <v>46</v>
      </c>
      <c r="AR29" s="2" t="s">
        <v>79</v>
      </c>
      <c r="AU29" s="2" t="s">
        <v>46</v>
      </c>
      <c r="AW29" s="2" t="s">
        <v>106</v>
      </c>
      <c r="AY29" s="2" t="s">
        <v>196</v>
      </c>
      <c r="BA29" s="2" t="s">
        <v>95</v>
      </c>
      <c r="BC29" s="2" t="s">
        <v>106</v>
      </c>
      <c r="BE29" s="2" t="s">
        <v>87</v>
      </c>
      <c r="BF29" s="2" t="s">
        <v>46</v>
      </c>
      <c r="BH29" s="2" t="s">
        <v>84</v>
      </c>
      <c r="BJ29" s="2" t="s">
        <v>71</v>
      </c>
      <c r="BM29" s="2" t="s">
        <v>61</v>
      </c>
      <c r="BP29" s="2" t="s">
        <v>65</v>
      </c>
      <c r="BR29" s="2" t="s">
        <v>82</v>
      </c>
      <c r="BT29" s="2" t="s">
        <v>48</v>
      </c>
      <c r="BW29" s="2" t="s">
        <v>122</v>
      </c>
      <c r="BY29" s="2" t="s">
        <v>32</v>
      </c>
      <c r="CA29" s="2" t="s">
        <v>39</v>
      </c>
      <c r="CD29" s="2" t="s">
        <v>61</v>
      </c>
      <c r="CF29" s="2" t="s">
        <v>132</v>
      </c>
      <c r="CK29" s="2" t="s">
        <v>75</v>
      </c>
      <c r="CM29" s="2" t="s">
        <v>181</v>
      </c>
      <c r="CO29" s="2" t="s">
        <v>41</v>
      </c>
      <c r="CR29" s="2" t="s">
        <v>75</v>
      </c>
      <c r="CT29" s="2" t="s">
        <v>140</v>
      </c>
      <c r="CV29" s="2" t="s">
        <v>84</v>
      </c>
      <c r="CW29" s="2" t="s">
        <v>132</v>
      </c>
      <c r="CZ29" s="2" t="s">
        <v>100</v>
      </c>
      <c r="DA29" s="2" t="s">
        <v>84</v>
      </c>
      <c r="DC29" s="2" t="s">
        <v>37</v>
      </c>
      <c r="DF29" s="2" t="s">
        <v>57</v>
      </c>
      <c r="DH29" s="2" t="s">
        <v>52</v>
      </c>
      <c r="DJ29" s="2" t="s">
        <v>120</v>
      </c>
      <c r="DL29" s="2" t="s">
        <v>95</v>
      </c>
      <c r="DN29" s="2" t="s">
        <v>32</v>
      </c>
      <c r="DP29" s="2" t="s">
        <v>73</v>
      </c>
      <c r="DR29" s="2" t="s">
        <v>39</v>
      </c>
      <c r="DU29" s="2" t="s">
        <v>37</v>
      </c>
      <c r="ED29" s="2" t="s">
        <v>59</v>
      </c>
      <c r="EE29" s="2" t="s">
        <v>59</v>
      </c>
      <c r="EI29" s="2" t="s">
        <v>44</v>
      </c>
      <c r="EL29" s="2" t="s">
        <v>120</v>
      </c>
      <c r="EM29" s="2" t="s">
        <v>44</v>
      </c>
      <c r="EO29" s="2" t="s">
        <v>196</v>
      </c>
      <c r="ER29" s="2" t="s">
        <v>87</v>
      </c>
      <c r="ET29" s="2" t="s">
        <v>140</v>
      </c>
      <c r="EW29" s="2" t="s">
        <v>28</v>
      </c>
      <c r="EX29" s="2" t="s">
        <v>48</v>
      </c>
      <c r="EZ29" s="2" t="s">
        <v>79</v>
      </c>
      <c r="FC29" s="2" t="s">
        <v>106</v>
      </c>
      <c r="FG29" s="2" t="s">
        <v>28</v>
      </c>
      <c r="FI29" s="2" t="s">
        <v>196</v>
      </c>
      <c r="FK29" s="2" t="s">
        <v>41</v>
      </c>
      <c r="FM29" s="2" t="s">
        <v>63</v>
      </c>
      <c r="FN29" s="2" t="s">
        <v>73</v>
      </c>
      <c r="FQ29" s="2" t="s">
        <v>95</v>
      </c>
      <c r="FS29" s="2" t="s">
        <v>57</v>
      </c>
      <c r="FU29" s="2" t="s">
        <v>63</v>
      </c>
      <c r="FV29" s="2" t="s">
        <v>100</v>
      </c>
      <c r="FY29" s="2" t="s">
        <v>57</v>
      </c>
      <c r="GB29" s="2" t="s">
        <v>73</v>
      </c>
      <c r="GC29" s="2" t="s">
        <v>84</v>
      </c>
      <c r="GE29" s="2" t="s">
        <v>59</v>
      </c>
      <c r="GG29" s="2" t="s">
        <v>37</v>
      </c>
      <c r="GI29" s="2" t="s">
        <v>120</v>
      </c>
      <c r="GK29" s="2" t="s">
        <v>57</v>
      </c>
      <c r="GL29" s="2" t="s">
        <v>61</v>
      </c>
      <c r="GN29" s="11" t="s">
        <v>32</v>
      </c>
    </row>
    <row r="30" spans="1:196" x14ac:dyDescent="0.3">
      <c r="A30" s="6" t="s">
        <v>79</v>
      </c>
      <c r="B30" s="2">
        <v>82</v>
      </c>
      <c r="C30" s="2">
        <v>41</v>
      </c>
      <c r="D30" s="2">
        <v>41</v>
      </c>
      <c r="E30" s="2">
        <v>13</v>
      </c>
      <c r="F30" s="2">
        <v>31</v>
      </c>
      <c r="M30" s="2" t="s">
        <v>28</v>
      </c>
      <c r="P30" s="2" t="s">
        <v>132</v>
      </c>
      <c r="R30" s="2" t="s">
        <v>39</v>
      </c>
      <c r="S30" s="2" t="s">
        <v>59</v>
      </c>
      <c r="U30" s="2" t="s">
        <v>87</v>
      </c>
      <c r="W30" s="2" t="s">
        <v>196</v>
      </c>
      <c r="Y30" s="2" t="s">
        <v>63</v>
      </c>
      <c r="AB30" s="2" t="s">
        <v>140</v>
      </c>
      <c r="AC30" s="2" t="s">
        <v>46</v>
      </c>
      <c r="AG30" s="2" t="s">
        <v>106</v>
      </c>
      <c r="AI30" s="2" t="s">
        <v>122</v>
      </c>
      <c r="AK30" s="2" t="s">
        <v>100</v>
      </c>
      <c r="AN30" s="2" t="s">
        <v>73</v>
      </c>
      <c r="AO30" s="2" t="s">
        <v>120</v>
      </c>
      <c r="AR30" s="2" t="s">
        <v>35</v>
      </c>
      <c r="AS30" s="2" t="s">
        <v>37</v>
      </c>
      <c r="AU30" s="2" t="s">
        <v>196</v>
      </c>
      <c r="AX30" s="2" t="s">
        <v>82</v>
      </c>
      <c r="BA30" s="2" t="s">
        <v>98</v>
      </c>
      <c r="BC30" s="2" t="s">
        <v>41</v>
      </c>
      <c r="BF30" s="2" t="s">
        <v>98</v>
      </c>
      <c r="BG30" s="2" t="s">
        <v>71</v>
      </c>
      <c r="BI30" s="2" t="s">
        <v>39</v>
      </c>
      <c r="BK30" s="2" t="s">
        <v>57</v>
      </c>
      <c r="BM30" s="2" t="s">
        <v>181</v>
      </c>
      <c r="BO30" s="2" t="s">
        <v>120</v>
      </c>
      <c r="BQ30" s="2" t="s">
        <v>71</v>
      </c>
      <c r="BT30" s="2" t="s">
        <v>87</v>
      </c>
      <c r="BX30" s="2" t="s">
        <v>48</v>
      </c>
      <c r="CA30" s="2" t="s">
        <v>52</v>
      </c>
      <c r="CC30" s="2" t="s">
        <v>75</v>
      </c>
      <c r="CF30" s="2" t="s">
        <v>140</v>
      </c>
      <c r="CG30" s="2" t="s">
        <v>28</v>
      </c>
      <c r="CK30" s="2" t="s">
        <v>71</v>
      </c>
      <c r="CM30" s="2" t="s">
        <v>52</v>
      </c>
      <c r="CO30" s="2" t="s">
        <v>48</v>
      </c>
      <c r="CR30" s="2" t="s">
        <v>95</v>
      </c>
      <c r="CT30" s="2" t="s">
        <v>41</v>
      </c>
      <c r="CW30" s="2" t="s">
        <v>52</v>
      </c>
      <c r="CY30" s="2" t="s">
        <v>46</v>
      </c>
      <c r="DA30" s="2" t="s">
        <v>61</v>
      </c>
      <c r="DC30" s="2" t="s">
        <v>57</v>
      </c>
      <c r="DD30" s="2" t="s">
        <v>63</v>
      </c>
      <c r="DG30" s="2" t="s">
        <v>61</v>
      </c>
      <c r="DI30" s="2" t="s">
        <v>41</v>
      </c>
      <c r="DJ30" s="2" t="s">
        <v>28</v>
      </c>
      <c r="DM30" s="2" t="s">
        <v>44</v>
      </c>
      <c r="DN30" s="2" t="s">
        <v>140</v>
      </c>
      <c r="DP30" s="2" t="s">
        <v>59</v>
      </c>
      <c r="DZ30" s="2" t="s">
        <v>106</v>
      </c>
      <c r="EB30" s="2" t="s">
        <v>32</v>
      </c>
      <c r="EC30" s="2" t="s">
        <v>95</v>
      </c>
      <c r="EE30" s="2" t="s">
        <v>84</v>
      </c>
      <c r="EG30" s="2" t="s">
        <v>84</v>
      </c>
      <c r="EI30" s="2" t="s">
        <v>32</v>
      </c>
      <c r="EL30" s="2" t="s">
        <v>132</v>
      </c>
      <c r="EO30" s="2" t="s">
        <v>100</v>
      </c>
      <c r="EQ30" s="2" t="s">
        <v>75</v>
      </c>
      <c r="ES30" s="2" t="s">
        <v>37</v>
      </c>
      <c r="EU30" s="2" t="s">
        <v>65</v>
      </c>
      <c r="EX30" s="2" t="s">
        <v>87</v>
      </c>
      <c r="EZ30" s="2" t="s">
        <v>35</v>
      </c>
      <c r="FB30" s="2" t="s">
        <v>100</v>
      </c>
      <c r="FD30" s="2" t="s">
        <v>122</v>
      </c>
      <c r="FG30" s="2" t="s">
        <v>73</v>
      </c>
      <c r="FJ30" s="2" t="s">
        <v>65</v>
      </c>
      <c r="FL30" s="2" t="s">
        <v>181</v>
      </c>
      <c r="FN30" s="2" t="s">
        <v>82</v>
      </c>
      <c r="FO30" s="2" t="s">
        <v>122</v>
      </c>
      <c r="FQ30" s="2" t="s">
        <v>98</v>
      </c>
      <c r="FS30" s="2" t="s">
        <v>71</v>
      </c>
      <c r="FU30" s="2" t="s">
        <v>65</v>
      </c>
      <c r="FV30" s="2" t="s">
        <v>44</v>
      </c>
      <c r="FX30" s="2" t="s">
        <v>75</v>
      </c>
      <c r="GA30" s="2" t="s">
        <v>48</v>
      </c>
      <c r="GC30" s="2" t="s">
        <v>82</v>
      </c>
      <c r="GE30" s="2" t="s">
        <v>140</v>
      </c>
      <c r="GG30" s="2" t="s">
        <v>44</v>
      </c>
      <c r="GI30" s="2" t="s">
        <v>48</v>
      </c>
      <c r="GK30" s="2" t="s">
        <v>82</v>
      </c>
      <c r="GL30" s="2" t="s">
        <v>122</v>
      </c>
      <c r="GN30" s="11" t="s">
        <v>181</v>
      </c>
    </row>
    <row r="31" spans="1:196" x14ac:dyDescent="0.3">
      <c r="A31" s="6" t="s">
        <v>98</v>
      </c>
      <c r="B31" s="2">
        <v>82</v>
      </c>
      <c r="C31" s="2">
        <v>41</v>
      </c>
      <c r="D31" s="2">
        <v>41</v>
      </c>
      <c r="E31" s="2">
        <v>7</v>
      </c>
      <c r="F31" s="2">
        <v>26</v>
      </c>
      <c r="L31" s="2" t="s">
        <v>82</v>
      </c>
      <c r="N31" s="2" t="s">
        <v>44</v>
      </c>
      <c r="P31" s="2" t="s">
        <v>140</v>
      </c>
      <c r="S31" s="2" t="s">
        <v>48</v>
      </c>
      <c r="U31" s="2" t="s">
        <v>52</v>
      </c>
      <c r="W31" s="2" t="s">
        <v>41</v>
      </c>
      <c r="Y31" s="2" t="s">
        <v>35</v>
      </c>
      <c r="Z31" s="2" t="s">
        <v>71</v>
      </c>
      <c r="AC31" s="2" t="s">
        <v>122</v>
      </c>
      <c r="AE31" s="2" t="s">
        <v>52</v>
      </c>
      <c r="AG31" s="2" t="s">
        <v>39</v>
      </c>
      <c r="AI31" s="2" t="s">
        <v>73</v>
      </c>
      <c r="AK31" s="2" t="s">
        <v>120</v>
      </c>
      <c r="AN31" s="2" t="s">
        <v>35</v>
      </c>
      <c r="AP31" s="2" t="s">
        <v>196</v>
      </c>
      <c r="AR31" s="2" t="s">
        <v>75</v>
      </c>
      <c r="AU31" s="2" t="s">
        <v>71</v>
      </c>
      <c r="AW31" s="2" t="s">
        <v>181</v>
      </c>
      <c r="AY31" s="2" t="s">
        <v>28</v>
      </c>
      <c r="BA31" s="2" t="s">
        <v>79</v>
      </c>
      <c r="BC31" s="2" t="s">
        <v>73</v>
      </c>
      <c r="BE31" s="2" t="s">
        <v>140</v>
      </c>
      <c r="BF31" s="2" t="s">
        <v>79</v>
      </c>
      <c r="BH31" s="2" t="s">
        <v>59</v>
      </c>
      <c r="BK31" s="2" t="s">
        <v>46</v>
      </c>
      <c r="BM31" s="2" t="s">
        <v>84</v>
      </c>
      <c r="BO31" s="2" t="s">
        <v>37</v>
      </c>
      <c r="BQ31" s="2" t="s">
        <v>32</v>
      </c>
      <c r="BS31" s="2" t="s">
        <v>132</v>
      </c>
      <c r="BU31" s="2" t="s">
        <v>37</v>
      </c>
      <c r="BW31" s="2" t="s">
        <v>52</v>
      </c>
      <c r="BY31" s="2" t="s">
        <v>44</v>
      </c>
      <c r="CA31" s="2" t="s">
        <v>95</v>
      </c>
      <c r="CC31" s="2" t="s">
        <v>196</v>
      </c>
      <c r="CE31" s="2" t="s">
        <v>181</v>
      </c>
      <c r="CG31" s="2" t="s">
        <v>75</v>
      </c>
      <c r="CK31" s="2" t="s">
        <v>82</v>
      </c>
      <c r="CL31" s="2" t="s">
        <v>122</v>
      </c>
      <c r="CO31" s="2" t="s">
        <v>100</v>
      </c>
      <c r="CQ31" s="2" t="s">
        <v>41</v>
      </c>
      <c r="CT31" s="2" t="s">
        <v>46</v>
      </c>
      <c r="CV31" s="2" t="s">
        <v>82</v>
      </c>
      <c r="DA31" s="2" t="s">
        <v>57</v>
      </c>
      <c r="DC31" s="2" t="s">
        <v>28</v>
      </c>
      <c r="DE31" s="2" t="s">
        <v>65</v>
      </c>
      <c r="DH31" s="2" t="s">
        <v>84</v>
      </c>
      <c r="DJ31" s="2" t="s">
        <v>39</v>
      </c>
      <c r="DK31" s="2" t="s">
        <v>181</v>
      </c>
      <c r="DM31" s="2" t="s">
        <v>106</v>
      </c>
      <c r="DP31" s="2" t="s">
        <v>32</v>
      </c>
      <c r="DQ31" s="2" t="s">
        <v>95</v>
      </c>
      <c r="EA31" s="2" t="s">
        <v>100</v>
      </c>
      <c r="EC31" s="2" t="s">
        <v>87</v>
      </c>
      <c r="EF31" s="2" t="s">
        <v>122</v>
      </c>
      <c r="EJ31" s="2" t="s">
        <v>71</v>
      </c>
      <c r="EL31" s="2" t="s">
        <v>61</v>
      </c>
      <c r="EO31" s="2" t="s">
        <v>44</v>
      </c>
      <c r="EQ31" s="2" t="s">
        <v>48</v>
      </c>
      <c r="ES31" s="2" t="s">
        <v>65</v>
      </c>
      <c r="EU31" s="2" t="s">
        <v>41</v>
      </c>
      <c r="EW31" s="2" t="s">
        <v>63</v>
      </c>
      <c r="EY31" s="2" t="s">
        <v>106</v>
      </c>
      <c r="FA31" s="2" t="s">
        <v>120</v>
      </c>
      <c r="FC31" s="2" t="s">
        <v>57</v>
      </c>
      <c r="FE31" s="2" t="s">
        <v>61</v>
      </c>
      <c r="FG31" s="2" t="s">
        <v>63</v>
      </c>
      <c r="FH31" s="2" t="s">
        <v>75</v>
      </c>
      <c r="FJ31" s="2" t="s">
        <v>132</v>
      </c>
      <c r="FL31" s="2" t="s">
        <v>48</v>
      </c>
      <c r="FO31" s="2" t="s">
        <v>59</v>
      </c>
      <c r="FQ31" s="2" t="s">
        <v>79</v>
      </c>
      <c r="FS31" s="2" t="s">
        <v>48</v>
      </c>
      <c r="FU31" s="2" t="s">
        <v>28</v>
      </c>
      <c r="FX31" s="2" t="s">
        <v>28</v>
      </c>
      <c r="FZ31" s="2" t="s">
        <v>71</v>
      </c>
      <c r="GB31" s="2" t="s">
        <v>87</v>
      </c>
      <c r="GD31" s="2" t="s">
        <v>87</v>
      </c>
      <c r="GE31" s="2" t="s">
        <v>100</v>
      </c>
      <c r="GG31" s="2" t="s">
        <v>82</v>
      </c>
      <c r="GI31" s="2" t="s">
        <v>65</v>
      </c>
      <c r="GL31" s="2" t="s">
        <v>140</v>
      </c>
      <c r="GN31" s="11" t="s">
        <v>140</v>
      </c>
    </row>
    <row r="32" spans="1:196" x14ac:dyDescent="0.3">
      <c r="A32" s="6" t="s">
        <v>52</v>
      </c>
      <c r="B32" s="2">
        <v>82</v>
      </c>
      <c r="C32" s="2">
        <v>41</v>
      </c>
      <c r="D32" s="2">
        <v>41</v>
      </c>
      <c r="E32" s="2">
        <v>13</v>
      </c>
      <c r="F32" s="2">
        <v>34</v>
      </c>
      <c r="O32" s="2" t="s">
        <v>32</v>
      </c>
      <c r="R32" s="2" t="s">
        <v>65</v>
      </c>
      <c r="T32" s="2" t="s">
        <v>41</v>
      </c>
      <c r="U32" s="2" t="s">
        <v>98</v>
      </c>
      <c r="W32" s="2" t="s">
        <v>35</v>
      </c>
      <c r="Y32" s="2" t="s">
        <v>75</v>
      </c>
      <c r="AB32" s="2" t="s">
        <v>82</v>
      </c>
      <c r="AC32" s="2" t="s">
        <v>181</v>
      </c>
      <c r="AE32" s="2" t="s">
        <v>98</v>
      </c>
      <c r="AI32" s="2" t="s">
        <v>120</v>
      </c>
      <c r="AK32" s="2" t="s">
        <v>44</v>
      </c>
      <c r="AN32" s="2" t="s">
        <v>65</v>
      </c>
      <c r="AR32" s="2" t="s">
        <v>48</v>
      </c>
      <c r="AS32" s="2" t="s">
        <v>140</v>
      </c>
      <c r="AW32" s="2" t="s">
        <v>122</v>
      </c>
      <c r="AY32" s="2" t="s">
        <v>46</v>
      </c>
      <c r="BA32" s="2" t="s">
        <v>63</v>
      </c>
      <c r="BC32" s="2" t="s">
        <v>87</v>
      </c>
      <c r="BE32" s="2" t="s">
        <v>65</v>
      </c>
      <c r="BG32" s="2" t="s">
        <v>44</v>
      </c>
      <c r="BI32" s="2" t="s">
        <v>41</v>
      </c>
      <c r="BL32" s="2" t="s">
        <v>59</v>
      </c>
      <c r="BN32" s="2" t="s">
        <v>122</v>
      </c>
      <c r="BP32" s="2" t="s">
        <v>57</v>
      </c>
      <c r="BR32" s="2" t="s">
        <v>75</v>
      </c>
      <c r="BS32" s="2" t="s">
        <v>44</v>
      </c>
      <c r="BU32" s="2" t="s">
        <v>39</v>
      </c>
      <c r="BW32" s="2" t="s">
        <v>98</v>
      </c>
      <c r="BY32" s="2" t="s">
        <v>100</v>
      </c>
      <c r="CA32" s="2" t="s">
        <v>79</v>
      </c>
      <c r="CB32" s="2" t="s">
        <v>140</v>
      </c>
      <c r="CD32" s="2" t="s">
        <v>73</v>
      </c>
      <c r="CF32" s="2" t="s">
        <v>37</v>
      </c>
      <c r="CG32" s="2" t="s">
        <v>39</v>
      </c>
      <c r="CK32" s="2" t="s">
        <v>87</v>
      </c>
      <c r="CM32" s="2" t="s">
        <v>79</v>
      </c>
      <c r="CO32" s="2" t="s">
        <v>28</v>
      </c>
      <c r="CR32" s="2" t="s">
        <v>48</v>
      </c>
      <c r="CU32" s="2" t="s">
        <v>61</v>
      </c>
      <c r="CW32" s="2" t="s">
        <v>79</v>
      </c>
      <c r="CY32" s="2" t="s">
        <v>84</v>
      </c>
      <c r="DA32" s="2" t="s">
        <v>196</v>
      </c>
      <c r="DB32" s="2" t="s">
        <v>46</v>
      </c>
      <c r="DD32" s="2" t="s">
        <v>181</v>
      </c>
      <c r="DF32" s="2" t="s">
        <v>120</v>
      </c>
      <c r="DH32" s="2" t="s">
        <v>35</v>
      </c>
      <c r="DJ32" s="2" t="s">
        <v>73</v>
      </c>
      <c r="DK32" s="2" t="s">
        <v>132</v>
      </c>
      <c r="DM32" s="2" t="s">
        <v>100</v>
      </c>
      <c r="DO32" s="2" t="s">
        <v>196</v>
      </c>
      <c r="DQ32" s="2" t="s">
        <v>132</v>
      </c>
      <c r="DS32" s="2" t="s">
        <v>75</v>
      </c>
      <c r="EE32" s="2" t="s">
        <v>44</v>
      </c>
      <c r="EH32" s="2" t="s">
        <v>140</v>
      </c>
      <c r="EJ32" s="2" t="s">
        <v>59</v>
      </c>
      <c r="EM32" s="2" t="s">
        <v>106</v>
      </c>
      <c r="EN32" s="2" t="s">
        <v>32</v>
      </c>
      <c r="EP32" s="2" t="s">
        <v>95</v>
      </c>
      <c r="ER32" s="2" t="s">
        <v>41</v>
      </c>
      <c r="ET32" s="2" t="s">
        <v>95</v>
      </c>
      <c r="EV32" s="2" t="s">
        <v>82</v>
      </c>
      <c r="EY32" s="2" t="s">
        <v>28</v>
      </c>
      <c r="EZ32" s="2" t="s">
        <v>28</v>
      </c>
      <c r="FB32" s="2" t="s">
        <v>71</v>
      </c>
      <c r="FD32" s="2" t="s">
        <v>87</v>
      </c>
      <c r="FG32" s="2" t="s">
        <v>57</v>
      </c>
      <c r="FH32" s="2" t="s">
        <v>61</v>
      </c>
      <c r="FJ32" s="2" t="s">
        <v>63</v>
      </c>
      <c r="FL32" s="2" t="s">
        <v>37</v>
      </c>
      <c r="FN32" s="2" t="s">
        <v>100</v>
      </c>
      <c r="FO32" s="2" t="s">
        <v>75</v>
      </c>
      <c r="FQ32" s="2" t="s">
        <v>181</v>
      </c>
      <c r="FS32" s="2" t="s">
        <v>122</v>
      </c>
      <c r="FU32" s="2" t="s">
        <v>82</v>
      </c>
      <c r="FX32" s="2" t="s">
        <v>71</v>
      </c>
      <c r="GA32" s="2" t="s">
        <v>84</v>
      </c>
      <c r="GC32" s="2" t="s">
        <v>106</v>
      </c>
      <c r="GF32" s="2" t="s">
        <v>48</v>
      </c>
      <c r="GI32" s="2" t="s">
        <v>100</v>
      </c>
      <c r="GK32" s="2" t="s">
        <v>71</v>
      </c>
      <c r="GL32" s="2" t="s">
        <v>87</v>
      </c>
      <c r="GN32" s="11" t="s">
        <v>41</v>
      </c>
    </row>
    <row r="33" spans="1:196" x14ac:dyDescent="0.3">
      <c r="A33" s="6" t="s">
        <v>39</v>
      </c>
      <c r="B33" s="2">
        <v>82</v>
      </c>
      <c r="C33" s="2">
        <v>41</v>
      </c>
      <c r="D33" s="2">
        <v>41</v>
      </c>
      <c r="E33" s="2">
        <v>11</v>
      </c>
      <c r="F33" s="2">
        <v>27</v>
      </c>
      <c r="M33" s="2" t="s">
        <v>37</v>
      </c>
      <c r="N33" s="2" t="s">
        <v>35</v>
      </c>
      <c r="P33" s="2" t="s">
        <v>120</v>
      </c>
      <c r="R33" s="2" t="s">
        <v>79</v>
      </c>
      <c r="U33" s="2" t="s">
        <v>73</v>
      </c>
      <c r="W33" s="2" t="s">
        <v>82</v>
      </c>
      <c r="Y33" s="2" t="s">
        <v>106</v>
      </c>
      <c r="AB33" s="2" t="s">
        <v>65</v>
      </c>
      <c r="AD33" s="2" t="s">
        <v>100</v>
      </c>
      <c r="AF33" s="2" t="s">
        <v>63</v>
      </c>
      <c r="AG33" s="2" t="s">
        <v>98</v>
      </c>
      <c r="AI33" s="2" t="s">
        <v>84</v>
      </c>
      <c r="AK33" s="2" t="s">
        <v>181</v>
      </c>
      <c r="AM33" s="2" t="s">
        <v>28</v>
      </c>
      <c r="AO33" s="2" t="s">
        <v>46</v>
      </c>
      <c r="AQ33" s="2" t="s">
        <v>61</v>
      </c>
      <c r="AS33" s="2" t="s">
        <v>61</v>
      </c>
      <c r="AU33" s="2" t="s">
        <v>57</v>
      </c>
      <c r="AW33" s="2" t="s">
        <v>75</v>
      </c>
      <c r="AY33" s="2" t="s">
        <v>41</v>
      </c>
      <c r="BC33" s="2" t="s">
        <v>132</v>
      </c>
      <c r="BE33" s="2" t="s">
        <v>48</v>
      </c>
      <c r="BF33" s="2" t="s">
        <v>106</v>
      </c>
      <c r="BI33" s="2" t="s">
        <v>79</v>
      </c>
      <c r="BK33" s="2" t="s">
        <v>140</v>
      </c>
      <c r="BM33" s="2" t="s">
        <v>48</v>
      </c>
      <c r="BO33" s="2" t="s">
        <v>28</v>
      </c>
      <c r="BQ33" s="2" t="s">
        <v>132</v>
      </c>
      <c r="BS33" s="2" t="s">
        <v>140</v>
      </c>
      <c r="BU33" s="2" t="s">
        <v>52</v>
      </c>
      <c r="BW33" s="2" t="s">
        <v>44</v>
      </c>
      <c r="BY33" s="2" t="s">
        <v>65</v>
      </c>
      <c r="CA33" s="2" t="s">
        <v>35</v>
      </c>
      <c r="CC33" s="2" t="s">
        <v>84</v>
      </c>
      <c r="CF33" s="2" t="s">
        <v>73</v>
      </c>
      <c r="CG33" s="2" t="s">
        <v>52</v>
      </c>
      <c r="CK33" s="2" t="s">
        <v>32</v>
      </c>
      <c r="CM33" s="2" t="s">
        <v>73</v>
      </c>
      <c r="CO33" s="2" t="s">
        <v>120</v>
      </c>
      <c r="CR33" s="2" t="s">
        <v>196</v>
      </c>
      <c r="CT33" s="2" t="s">
        <v>59</v>
      </c>
      <c r="CU33" s="2" t="s">
        <v>100</v>
      </c>
      <c r="CW33" s="2" t="s">
        <v>59</v>
      </c>
      <c r="CZ33" s="2" t="s">
        <v>132</v>
      </c>
      <c r="DC33" s="2" t="s">
        <v>132</v>
      </c>
      <c r="DE33" s="2" t="s">
        <v>95</v>
      </c>
      <c r="DF33" s="2" t="s">
        <v>87</v>
      </c>
      <c r="DH33" s="2" t="s">
        <v>181</v>
      </c>
      <c r="DJ33" s="2" t="s">
        <v>98</v>
      </c>
      <c r="DM33" s="2" t="s">
        <v>41</v>
      </c>
      <c r="DO33" s="2" t="s">
        <v>46</v>
      </c>
      <c r="DR33" s="2" t="s">
        <v>35</v>
      </c>
      <c r="DT33" s="2" t="s">
        <v>59</v>
      </c>
      <c r="EE33" s="2" t="s">
        <v>37</v>
      </c>
      <c r="EF33" s="2" t="s">
        <v>71</v>
      </c>
      <c r="EH33" s="2" t="s">
        <v>63</v>
      </c>
      <c r="EJ33" s="2" t="s">
        <v>57</v>
      </c>
      <c r="EL33" s="2" t="s">
        <v>63</v>
      </c>
      <c r="EO33" s="2" t="s">
        <v>84</v>
      </c>
      <c r="EQ33" s="2" t="s">
        <v>122</v>
      </c>
      <c r="ES33" s="2" t="s">
        <v>32</v>
      </c>
      <c r="ET33" s="2" t="s">
        <v>196</v>
      </c>
      <c r="EW33" s="2" t="s">
        <v>122</v>
      </c>
      <c r="EZ33" s="2" t="s">
        <v>71</v>
      </c>
      <c r="FB33" s="2" t="s">
        <v>82</v>
      </c>
      <c r="FE33" s="2" t="s">
        <v>106</v>
      </c>
      <c r="FG33" s="2" t="s">
        <v>95</v>
      </c>
      <c r="FJ33" s="2" t="s">
        <v>32</v>
      </c>
      <c r="FK33" s="2" t="s">
        <v>196</v>
      </c>
      <c r="FM33" s="2" t="s">
        <v>75</v>
      </c>
      <c r="FO33" s="2" t="s">
        <v>87</v>
      </c>
      <c r="FQ33" s="2" t="s">
        <v>59</v>
      </c>
      <c r="FS33" s="2" t="s">
        <v>44</v>
      </c>
      <c r="FU33" s="2" t="s">
        <v>46</v>
      </c>
      <c r="FY33" s="2" t="s">
        <v>95</v>
      </c>
      <c r="FZ33" s="2" t="s">
        <v>61</v>
      </c>
      <c r="GC33" s="2" t="s">
        <v>32</v>
      </c>
      <c r="GG33" s="2" t="s">
        <v>120</v>
      </c>
      <c r="GI33" s="2" t="s">
        <v>57</v>
      </c>
      <c r="GK33" s="2" t="s">
        <v>95</v>
      </c>
      <c r="GL33" s="2" t="s">
        <v>37</v>
      </c>
      <c r="GN33" s="11" t="s">
        <v>106</v>
      </c>
    </row>
    <row r="34" spans="1:196" s="4" customFormat="1" x14ac:dyDescent="0.3">
      <c r="A34" s="7"/>
      <c r="H34" s="10">
        <f t="shared" ref="H34:K34" si="0">COUNTIF(H2:H33,"*")</f>
        <v>2</v>
      </c>
      <c r="I34" s="4">
        <f t="shared" si="0"/>
        <v>2</v>
      </c>
      <c r="J34" s="4">
        <f t="shared" si="0"/>
        <v>0</v>
      </c>
      <c r="K34" s="4">
        <f t="shared" si="0"/>
        <v>0</v>
      </c>
      <c r="L34" s="4">
        <f>COUNTIF(L2:L33,"*")</f>
        <v>4</v>
      </c>
      <c r="M34" s="4">
        <f>COUNTIF(M2:M33,"*")</f>
        <v>12</v>
      </c>
      <c r="N34" s="4">
        <f t="shared" ref="N34:BY34" si="1">COUNTIF(N2:N33,"*")</f>
        <v>20</v>
      </c>
      <c r="O34" s="4">
        <f t="shared" si="1"/>
        <v>8</v>
      </c>
      <c r="P34" s="4">
        <f t="shared" si="1"/>
        <v>28</v>
      </c>
      <c r="Q34" s="4">
        <f t="shared" si="1"/>
        <v>0</v>
      </c>
      <c r="R34" s="4">
        <f t="shared" si="1"/>
        <v>18</v>
      </c>
      <c r="S34" s="4">
        <f t="shared" si="1"/>
        <v>16</v>
      </c>
      <c r="T34" s="4">
        <f t="shared" si="1"/>
        <v>6</v>
      </c>
      <c r="U34" s="4">
        <f t="shared" si="1"/>
        <v>24</v>
      </c>
      <c r="V34" s="4">
        <f t="shared" si="1"/>
        <v>6</v>
      </c>
      <c r="W34" s="4">
        <f t="shared" si="1"/>
        <v>26</v>
      </c>
      <c r="X34" s="4">
        <f t="shared" si="1"/>
        <v>10</v>
      </c>
      <c r="Y34" s="4">
        <f t="shared" si="1"/>
        <v>12</v>
      </c>
      <c r="Z34" s="4">
        <f t="shared" si="1"/>
        <v>20</v>
      </c>
      <c r="AA34" s="4">
        <f t="shared" si="1"/>
        <v>6</v>
      </c>
      <c r="AB34" s="4">
        <f t="shared" si="1"/>
        <v>20</v>
      </c>
      <c r="AC34" s="4">
        <f t="shared" si="1"/>
        <v>12</v>
      </c>
      <c r="AD34" s="4">
        <f t="shared" si="1"/>
        <v>24</v>
      </c>
      <c r="AE34" s="4">
        <f t="shared" si="1"/>
        <v>10</v>
      </c>
      <c r="AF34" s="4">
        <f t="shared" si="1"/>
        <v>6</v>
      </c>
      <c r="AG34" s="4">
        <f t="shared" si="1"/>
        <v>24</v>
      </c>
      <c r="AH34" s="4">
        <f t="shared" si="1"/>
        <v>4</v>
      </c>
      <c r="AI34" s="4">
        <f t="shared" si="1"/>
        <v>26</v>
      </c>
      <c r="AJ34" s="4">
        <f t="shared" si="1"/>
        <v>4</v>
      </c>
      <c r="AK34" s="4">
        <f t="shared" si="1"/>
        <v>28</v>
      </c>
      <c r="AL34" s="4">
        <f t="shared" si="1"/>
        <v>6</v>
      </c>
      <c r="AM34" s="4">
        <f t="shared" si="1"/>
        <v>6</v>
      </c>
      <c r="AN34" s="4">
        <f t="shared" si="1"/>
        <v>22</v>
      </c>
      <c r="AO34" s="4">
        <f t="shared" si="1"/>
        <v>8</v>
      </c>
      <c r="AP34" s="4">
        <f t="shared" si="1"/>
        <v>20</v>
      </c>
      <c r="AQ34" s="4">
        <f t="shared" si="1"/>
        <v>8</v>
      </c>
      <c r="AR34" s="4">
        <f t="shared" si="1"/>
        <v>26</v>
      </c>
      <c r="AS34" s="4">
        <f t="shared" si="1"/>
        <v>12</v>
      </c>
      <c r="AT34" s="4">
        <f t="shared" si="1"/>
        <v>8</v>
      </c>
      <c r="AU34" s="4">
        <f t="shared" si="1"/>
        <v>18</v>
      </c>
      <c r="AV34" s="4">
        <f t="shared" si="1"/>
        <v>6</v>
      </c>
      <c r="AW34" s="4">
        <f t="shared" si="1"/>
        <v>26</v>
      </c>
      <c r="AX34" s="4">
        <f t="shared" si="1"/>
        <v>2</v>
      </c>
      <c r="AY34" s="4">
        <f t="shared" si="1"/>
        <v>30</v>
      </c>
      <c r="AZ34" s="4">
        <f t="shared" si="1"/>
        <v>4</v>
      </c>
      <c r="BA34" s="4">
        <f t="shared" si="1"/>
        <v>20</v>
      </c>
      <c r="BB34" s="4">
        <f t="shared" si="1"/>
        <v>4</v>
      </c>
      <c r="BC34" s="4">
        <f t="shared" si="1"/>
        <v>30</v>
      </c>
      <c r="BD34" s="4">
        <f t="shared" si="1"/>
        <v>0</v>
      </c>
      <c r="BE34" s="4">
        <f t="shared" si="1"/>
        <v>28</v>
      </c>
      <c r="BF34" s="4">
        <f t="shared" si="1"/>
        <v>18</v>
      </c>
      <c r="BG34" s="4">
        <f t="shared" si="1"/>
        <v>10</v>
      </c>
      <c r="BH34" s="4">
        <f t="shared" si="1"/>
        <v>12</v>
      </c>
      <c r="BI34" s="4">
        <f t="shared" si="1"/>
        <v>18</v>
      </c>
      <c r="BJ34" s="4">
        <f t="shared" si="1"/>
        <v>8</v>
      </c>
      <c r="BK34" s="4">
        <f t="shared" si="1"/>
        <v>22</v>
      </c>
      <c r="BL34" s="4">
        <f t="shared" si="1"/>
        <v>6</v>
      </c>
      <c r="BM34" s="4">
        <f t="shared" si="1"/>
        <v>26</v>
      </c>
      <c r="BN34" s="4">
        <f t="shared" si="1"/>
        <v>10</v>
      </c>
      <c r="BO34" s="4">
        <f t="shared" si="1"/>
        <v>12</v>
      </c>
      <c r="BP34" s="4">
        <f t="shared" si="1"/>
        <v>18</v>
      </c>
      <c r="BQ34" s="4">
        <f t="shared" si="1"/>
        <v>14</v>
      </c>
      <c r="BR34" s="4">
        <f t="shared" si="1"/>
        <v>10</v>
      </c>
      <c r="BS34" s="4">
        <f t="shared" si="1"/>
        <v>20</v>
      </c>
      <c r="BT34" s="4">
        <f t="shared" si="1"/>
        <v>16</v>
      </c>
      <c r="BU34" s="4">
        <f t="shared" si="1"/>
        <v>12</v>
      </c>
      <c r="BV34" s="4">
        <f t="shared" si="1"/>
        <v>12</v>
      </c>
      <c r="BW34" s="4">
        <f t="shared" si="1"/>
        <v>24</v>
      </c>
      <c r="BX34" s="4">
        <f t="shared" si="1"/>
        <v>6</v>
      </c>
      <c r="BY34" s="4">
        <f t="shared" si="1"/>
        <v>24</v>
      </c>
      <c r="BZ34" s="4">
        <f t="shared" ref="BZ34:EK34" si="2">COUNTIF(BZ2:BZ33,"*")</f>
        <v>6</v>
      </c>
      <c r="CA34" s="4">
        <f t="shared" si="2"/>
        <v>26</v>
      </c>
      <c r="CB34" s="4">
        <f t="shared" si="2"/>
        <v>10</v>
      </c>
      <c r="CC34" s="4">
        <f t="shared" si="2"/>
        <v>16</v>
      </c>
      <c r="CD34" s="4">
        <f t="shared" si="2"/>
        <v>16</v>
      </c>
      <c r="CE34" s="4">
        <f t="shared" si="2"/>
        <v>14</v>
      </c>
      <c r="CF34" s="4">
        <f t="shared" si="2"/>
        <v>16</v>
      </c>
      <c r="CG34" s="4">
        <f t="shared" si="2"/>
        <v>26</v>
      </c>
      <c r="CH34" s="4">
        <f t="shared" si="2"/>
        <v>0</v>
      </c>
      <c r="CI34" s="4">
        <f t="shared" si="2"/>
        <v>0</v>
      </c>
      <c r="CJ34" s="4">
        <f t="shared" si="2"/>
        <v>0</v>
      </c>
      <c r="CK34" s="4">
        <f t="shared" si="2"/>
        <v>24</v>
      </c>
      <c r="CL34" s="4">
        <f t="shared" si="2"/>
        <v>10</v>
      </c>
      <c r="CM34" s="4">
        <f t="shared" si="2"/>
        <v>22</v>
      </c>
      <c r="CN34" s="4">
        <f t="shared" si="2"/>
        <v>8</v>
      </c>
      <c r="CO34" s="4">
        <f t="shared" si="2"/>
        <v>24</v>
      </c>
      <c r="CP34" s="4">
        <f t="shared" si="2"/>
        <v>10</v>
      </c>
      <c r="CQ34" s="4">
        <f t="shared" si="2"/>
        <v>6</v>
      </c>
      <c r="CR34" s="4">
        <f t="shared" si="2"/>
        <v>22</v>
      </c>
      <c r="CS34" s="4">
        <f t="shared" si="2"/>
        <v>6</v>
      </c>
      <c r="CT34" s="4">
        <f t="shared" si="2"/>
        <v>20</v>
      </c>
      <c r="CU34" s="4">
        <f t="shared" si="2"/>
        <v>12</v>
      </c>
      <c r="CV34" s="4">
        <f t="shared" si="2"/>
        <v>18</v>
      </c>
      <c r="CW34" s="4">
        <f t="shared" si="2"/>
        <v>16</v>
      </c>
      <c r="CX34" s="4">
        <f t="shared" si="2"/>
        <v>6</v>
      </c>
      <c r="CY34" s="4">
        <f t="shared" si="2"/>
        <v>20</v>
      </c>
      <c r="CZ34" s="4">
        <f t="shared" si="2"/>
        <v>8</v>
      </c>
      <c r="DA34" s="4">
        <f t="shared" si="2"/>
        <v>24</v>
      </c>
      <c r="DB34" s="4">
        <f t="shared" si="2"/>
        <v>6</v>
      </c>
      <c r="DC34" s="4">
        <f t="shared" si="2"/>
        <v>28</v>
      </c>
      <c r="DD34" s="4">
        <f t="shared" si="2"/>
        <v>6</v>
      </c>
      <c r="DE34" s="4">
        <f t="shared" si="2"/>
        <v>22</v>
      </c>
      <c r="DF34" s="4">
        <f t="shared" si="2"/>
        <v>14</v>
      </c>
      <c r="DG34" s="4">
        <f t="shared" si="2"/>
        <v>10</v>
      </c>
      <c r="DH34" s="4">
        <f t="shared" si="2"/>
        <v>26</v>
      </c>
      <c r="DI34" s="4">
        <f t="shared" si="2"/>
        <v>4</v>
      </c>
      <c r="DJ34" s="4">
        <f t="shared" si="2"/>
        <v>28</v>
      </c>
      <c r="DK34" s="4">
        <f t="shared" si="2"/>
        <v>10</v>
      </c>
      <c r="DL34" s="4">
        <f t="shared" si="2"/>
        <v>8</v>
      </c>
      <c r="DM34" s="4">
        <f t="shared" si="2"/>
        <v>22</v>
      </c>
      <c r="DN34" s="4">
        <f t="shared" si="2"/>
        <v>10</v>
      </c>
      <c r="DO34" s="4">
        <f t="shared" si="2"/>
        <v>18</v>
      </c>
      <c r="DP34" s="4">
        <f t="shared" si="2"/>
        <v>16</v>
      </c>
      <c r="DQ34" s="4">
        <f t="shared" si="2"/>
        <v>22</v>
      </c>
      <c r="DR34" s="4">
        <f t="shared" si="2"/>
        <v>4</v>
      </c>
      <c r="DS34" s="4">
        <f t="shared" si="2"/>
        <v>2</v>
      </c>
      <c r="DT34" s="4">
        <f t="shared" si="2"/>
        <v>6</v>
      </c>
      <c r="DU34" s="4">
        <f t="shared" si="2"/>
        <v>4</v>
      </c>
      <c r="DV34" s="4">
        <f t="shared" si="2"/>
        <v>0</v>
      </c>
      <c r="DW34" s="4">
        <f t="shared" si="2"/>
        <v>0</v>
      </c>
      <c r="DX34" s="4">
        <f t="shared" si="2"/>
        <v>0</v>
      </c>
      <c r="DY34" s="4">
        <f t="shared" si="2"/>
        <v>0</v>
      </c>
      <c r="DZ34" s="4">
        <f t="shared" si="2"/>
        <v>12</v>
      </c>
      <c r="EA34" s="4">
        <f t="shared" si="2"/>
        <v>12</v>
      </c>
      <c r="EB34" s="4">
        <f t="shared" si="2"/>
        <v>4</v>
      </c>
      <c r="EC34" s="4">
        <f t="shared" si="2"/>
        <v>14</v>
      </c>
      <c r="ED34" s="4">
        <f t="shared" si="2"/>
        <v>8</v>
      </c>
      <c r="EE34" s="4">
        <f t="shared" si="2"/>
        <v>28</v>
      </c>
      <c r="EF34" s="4">
        <f t="shared" si="2"/>
        <v>8</v>
      </c>
      <c r="EG34" s="4">
        <f t="shared" si="2"/>
        <v>10</v>
      </c>
      <c r="EH34" s="4">
        <f t="shared" si="2"/>
        <v>18</v>
      </c>
      <c r="EI34" s="4">
        <f t="shared" si="2"/>
        <v>12</v>
      </c>
      <c r="EJ34" s="4">
        <f t="shared" si="2"/>
        <v>16</v>
      </c>
      <c r="EK34" s="4">
        <f t="shared" si="2"/>
        <v>10</v>
      </c>
      <c r="EL34" s="4">
        <f t="shared" ref="EL34:GN34" si="3">COUNTIF(EL2:EL33,"*")</f>
        <v>26</v>
      </c>
      <c r="EM34" s="4">
        <f t="shared" si="3"/>
        <v>12</v>
      </c>
      <c r="EN34" s="4">
        <f t="shared" si="3"/>
        <v>12</v>
      </c>
      <c r="EO34" s="4">
        <f t="shared" si="3"/>
        <v>18</v>
      </c>
      <c r="EP34" s="4">
        <f t="shared" si="3"/>
        <v>6</v>
      </c>
      <c r="EQ34" s="4">
        <f t="shared" si="3"/>
        <v>20</v>
      </c>
      <c r="ER34" s="4">
        <f t="shared" si="3"/>
        <v>12</v>
      </c>
      <c r="ES34" s="4">
        <f t="shared" si="3"/>
        <v>22</v>
      </c>
      <c r="ET34" s="4">
        <f t="shared" si="3"/>
        <v>14</v>
      </c>
      <c r="EU34" s="4">
        <f t="shared" si="3"/>
        <v>8</v>
      </c>
      <c r="EV34" s="4">
        <f t="shared" si="3"/>
        <v>20</v>
      </c>
      <c r="EW34" s="4">
        <f t="shared" si="3"/>
        <v>12</v>
      </c>
      <c r="EX34" s="4">
        <f t="shared" si="3"/>
        <v>20</v>
      </c>
      <c r="EY34" s="4">
        <f t="shared" si="3"/>
        <v>10</v>
      </c>
      <c r="EZ34" s="4">
        <f t="shared" si="3"/>
        <v>24</v>
      </c>
      <c r="FA34" s="4">
        <f t="shared" si="3"/>
        <v>10</v>
      </c>
      <c r="FB34" s="4">
        <f t="shared" si="3"/>
        <v>12</v>
      </c>
      <c r="FC34" s="4">
        <f t="shared" si="3"/>
        <v>20</v>
      </c>
      <c r="FD34" s="4">
        <f t="shared" si="3"/>
        <v>6</v>
      </c>
      <c r="FE34" s="4">
        <f t="shared" si="3"/>
        <v>22</v>
      </c>
      <c r="FF34" s="4">
        <f t="shared" si="3"/>
        <v>4</v>
      </c>
      <c r="FG34" s="4">
        <f t="shared" si="3"/>
        <v>30</v>
      </c>
      <c r="FH34" s="4">
        <f t="shared" si="3"/>
        <v>16</v>
      </c>
      <c r="FI34" s="4">
        <f t="shared" si="3"/>
        <v>6</v>
      </c>
      <c r="FJ34" s="4">
        <f t="shared" si="3"/>
        <v>24</v>
      </c>
      <c r="FK34" s="4">
        <f t="shared" si="3"/>
        <v>8</v>
      </c>
      <c r="FL34" s="4">
        <f t="shared" si="3"/>
        <v>22</v>
      </c>
      <c r="FM34" s="4">
        <f t="shared" si="3"/>
        <v>8</v>
      </c>
      <c r="FN34" s="4">
        <f t="shared" si="3"/>
        <v>26</v>
      </c>
      <c r="FO34" s="4">
        <f t="shared" si="3"/>
        <v>14</v>
      </c>
      <c r="FP34" s="4">
        <f t="shared" si="3"/>
        <v>10</v>
      </c>
      <c r="FQ34" s="4">
        <f t="shared" si="3"/>
        <v>26</v>
      </c>
      <c r="FR34" s="4">
        <f t="shared" si="3"/>
        <v>4</v>
      </c>
      <c r="FS34" s="4">
        <f t="shared" si="3"/>
        <v>24</v>
      </c>
      <c r="FT34" s="4">
        <f t="shared" si="3"/>
        <v>6</v>
      </c>
      <c r="FU34" s="4">
        <f t="shared" si="3"/>
        <v>30</v>
      </c>
      <c r="FV34" s="4">
        <f t="shared" si="3"/>
        <v>10</v>
      </c>
      <c r="FW34" s="4">
        <f t="shared" si="3"/>
        <v>12</v>
      </c>
      <c r="FX34" s="4">
        <f t="shared" si="3"/>
        <v>20</v>
      </c>
      <c r="FY34" s="4">
        <f t="shared" si="3"/>
        <v>6</v>
      </c>
      <c r="FZ34" s="4">
        <f t="shared" si="3"/>
        <v>22</v>
      </c>
      <c r="GA34" s="4">
        <f t="shared" si="3"/>
        <v>8</v>
      </c>
      <c r="GB34" s="4">
        <f t="shared" si="3"/>
        <v>26</v>
      </c>
      <c r="GC34" s="4">
        <f t="shared" si="3"/>
        <v>18</v>
      </c>
      <c r="GD34" s="4">
        <f t="shared" si="3"/>
        <v>6</v>
      </c>
      <c r="GE34" s="4">
        <f t="shared" si="3"/>
        <v>22</v>
      </c>
      <c r="GF34" s="4">
        <f t="shared" si="3"/>
        <v>6</v>
      </c>
      <c r="GG34" s="4">
        <f t="shared" si="3"/>
        <v>28</v>
      </c>
      <c r="GH34" s="4">
        <f t="shared" si="3"/>
        <v>0</v>
      </c>
      <c r="GI34" s="4">
        <f t="shared" si="3"/>
        <v>32</v>
      </c>
      <c r="GJ34" s="4">
        <f t="shared" si="3"/>
        <v>4</v>
      </c>
      <c r="GK34" s="4">
        <f t="shared" si="3"/>
        <v>20</v>
      </c>
      <c r="GL34" s="4">
        <f t="shared" si="3"/>
        <v>20</v>
      </c>
      <c r="GM34" s="4">
        <f t="shared" si="3"/>
        <v>6</v>
      </c>
      <c r="GN34" s="12">
        <f t="shared" si="3"/>
        <v>30</v>
      </c>
    </row>
    <row r="35" spans="1:196" x14ac:dyDescent="0.3">
      <c r="K35" s="13" t="s">
        <v>951</v>
      </c>
    </row>
    <row r="36" spans="1:196" x14ac:dyDescent="0.3">
      <c r="A36" s="6" t="s">
        <v>998</v>
      </c>
    </row>
    <row r="37" spans="1:196" x14ac:dyDescent="0.3">
      <c r="A37" s="6" t="s">
        <v>997</v>
      </c>
      <c r="H37" s="9">
        <f>IF( AND((COUNTIF(H$2:H$33,'Your Team'!$D$3)&gt;0),TRUE ),1,0)+IF( AND((COUNTIF(H$2:H$33,'Your Team'!$D$4)&gt;0),TRUE),1,0)+IF( AND((COUNTIF(H$2:H$33,'Your Team'!$D$5)&gt;0),TRUE ),1,0)+IF( AND((COUNTIF(H$2:H$33,'Your Team'!$D$6)&gt;0),TRUE ),1,0)+IF( AND((COUNTIF(H$2:H$33,'Your Team'!$D$7)&gt;0),TRUE ),1,0)+IF( AND((COUNTIF(H$2:H$33,'Your Team'!$D$8)&gt;0),TRUE ),1,0)+IF( AND((COUNTIF(H$2:H$33,'Your Team'!$D$9)&gt;0),TRUE ),1,0)+IF( AND((COUNTIF(H$2:H$33,'Your Team'!$D$10)&gt;0),TRUE),1,0)+IF( AND((COUNTIF(H$2:H$33,'Your Team'!$D$11)&gt;0),TRUE ),1,0)+IF( AND((COUNTIF(H$2:H$33,'Your Team'!$D$12)&gt;0),TRUE ),1,0)+IF( AND((COUNTIF(H$2:H$33,'Your Team'!$D$13)&gt;0),TRUE ),1,0)+IF( AND((COUNTIF(H$2:H$33,'Your Team'!$D$14)&gt;0),TRUE ),1,0)+IF( AND((COUNTIF(H$2:H$33,'Your Team'!$D$15)&gt;0),TRUE ),1,0)+IF( AND((COUNTIF(H$2:H$33,'Your Team'!$D$16)&gt;0),TRUE ),1,0)+IF( AND((COUNTIF(H$2:H$33,'Your Team'!$D$17)&gt;0),TRUE ),1,0)+IF( AND((COUNTIF(H$2:H$33,'Your Team'!$D$18)&gt;0),TRUE ),1,0)+IF( AND((COUNTIF(H$2:H$33,'Your Team'!$D$19)&gt;0),TRUE ),1,0)</f>
        <v>0</v>
      </c>
      <c r="I37" s="9">
        <f>IF( AND((COUNTIF(I$2:I$33,'Your Team'!$D$3)&gt;0),TRUE ),1,0)+IF( AND((COUNTIF(I$2:I$33,'Your Team'!$D$4)&gt;0),TRUE),1,0)+IF( AND((COUNTIF(I$2:I$33,'Your Team'!$D$5)&gt;0),TRUE ),1,0)+IF( AND((COUNTIF(I$2:I$33,'Your Team'!$D$6)&gt;0),TRUE ),1,0)+IF( AND((COUNTIF(I$2:I$33,'Your Team'!$D$7)&gt;0),TRUE ),1,0)+IF( AND((COUNTIF(I$2:I$33,'Your Team'!$D$8)&gt;0),TRUE ),1,0)+IF( AND((COUNTIF(I$2:I$33,'Your Team'!$D$9)&gt;0),TRUE ),1,0)+IF( AND((COUNTIF(I$2:I$33,'Your Team'!$D$10)&gt;0),TRUE),1,0)+IF( AND((COUNTIF(I$2:I$33,'Your Team'!$D$11)&gt;0),TRUE ),1,0)+IF( AND((COUNTIF(I$2:I$33,'Your Team'!$D$12)&gt;0),TRUE ),1,0)+IF( AND((COUNTIF(I$2:I$33,'Your Team'!$D$13)&gt;0),TRUE ),1,0)+IF( AND((COUNTIF(I$2:I$33,'Your Team'!$D$14)&gt;0),TRUE ),1,0)+IF( AND((COUNTIF(I$2:I$33,'Your Team'!$D$15)&gt;0),TRUE ),1,0)+IF( AND((COUNTIF(I$2:I$33,'Your Team'!$D$16)&gt;0),TRUE ),1,0)+IF( AND((COUNTIF(I$2:I$33,'Your Team'!$D$17)&gt;0),TRUE ),1,0)+IF( AND((COUNTIF(I$2:I$33,'Your Team'!$D$18)&gt;0),TRUE ),1,0)+IF( AND((COUNTIF(I$2:I$33,'Your Team'!$D$19)&gt;0),TRUE ),1,0)</f>
        <v>0</v>
      </c>
      <c r="J37" s="9">
        <f>IF( AND((COUNTIF(J$2:J$33,'Your Team'!$D$3)&gt;0),TRUE ),1,0)+IF( AND((COUNTIF(J$2:J$33,'Your Team'!$D$4)&gt;0),TRUE),1,0)+IF( AND((COUNTIF(J$2:J$33,'Your Team'!$D$5)&gt;0),TRUE ),1,0)+IF( AND((COUNTIF(J$2:J$33,'Your Team'!$D$6)&gt;0),TRUE ),1,0)+IF( AND((COUNTIF(J$2:J$33,'Your Team'!$D$7)&gt;0),TRUE ),1,0)+IF( AND((COUNTIF(J$2:J$33,'Your Team'!$D$8)&gt;0),TRUE ),1,0)+IF( AND((COUNTIF(J$2:J$33,'Your Team'!$D$9)&gt;0),TRUE ),1,0)+IF( AND((COUNTIF(J$2:J$33,'Your Team'!$D$10)&gt;0),TRUE),1,0)+IF( AND((COUNTIF(J$2:J$33,'Your Team'!$D$11)&gt;0),TRUE ),1,0)+IF( AND((COUNTIF(J$2:J$33,'Your Team'!$D$12)&gt;0),TRUE ),1,0)+IF( AND((COUNTIF(J$2:J$33,'Your Team'!$D$13)&gt;0),TRUE ),1,0)+IF( AND((COUNTIF(J$2:J$33,'Your Team'!$D$14)&gt;0),TRUE ),1,0)+IF( AND((COUNTIF(J$2:J$33,'Your Team'!$D$15)&gt;0),TRUE ),1,0)+IF( AND((COUNTIF(J$2:J$33,'Your Team'!$D$16)&gt;0),TRUE ),1,0)+IF( AND((COUNTIF(J$2:J$33,'Your Team'!$D$17)&gt;0),TRUE ),1,0)+IF( AND((COUNTIF(J$2:J$33,'Your Team'!$D$18)&gt;0),TRUE ),1,0)+IF( AND((COUNTIF(J$2:J$33,'Your Team'!$D$19)&gt;0),TRUE ),1,0)</f>
        <v>0</v>
      </c>
      <c r="K37" s="9">
        <f>IF( AND((COUNTIF(K$2:K$33,'Your Team'!$D$3)&gt;0),TRUE ),1,0)+IF( AND((COUNTIF(K$2:K$33,'Your Team'!$D$4)&gt;0),TRUE),1,0)+IF( AND((COUNTIF(K$2:K$33,'Your Team'!$D$5)&gt;0),TRUE ),1,0)+IF( AND((COUNTIF(K$2:K$33,'Your Team'!$D$6)&gt;0),TRUE ),1,0)+IF( AND((COUNTIF(K$2:K$33,'Your Team'!$D$7)&gt;0),TRUE ),1,0)+IF( AND((COUNTIF(K$2:K$33,'Your Team'!$D$8)&gt;0),TRUE ),1,0)+IF( AND((COUNTIF(K$2:K$33,'Your Team'!$D$9)&gt;0),TRUE ),1,0)+IF( AND((COUNTIF(K$2:K$33,'Your Team'!$D$10)&gt;0),TRUE),1,0)+IF( AND((COUNTIF(K$2:K$33,'Your Team'!$D$11)&gt;0),TRUE ),1,0)+IF( AND((COUNTIF(K$2:K$33,'Your Team'!$D$12)&gt;0),TRUE ),1,0)+IF( AND((COUNTIF(K$2:K$33,'Your Team'!$D$13)&gt;0),TRUE ),1,0)+IF( AND((COUNTIF(K$2:K$33,'Your Team'!$D$14)&gt;0),TRUE ),1,0)+IF( AND((COUNTIF(K$2:K$33,'Your Team'!$D$15)&gt;0),TRUE ),1,0)+IF( AND((COUNTIF(K$2:K$33,'Your Team'!$D$16)&gt;0),TRUE ),1,0)+IF( AND((COUNTIF(K$2:K$33,'Your Team'!$D$17)&gt;0),TRUE ),1,0)+IF( AND((COUNTIF(K$2:K$33,'Your Team'!$D$18)&gt;0),TRUE ),1,0)+IF( AND((COUNTIF(K$2:K$33,'Your Team'!$D$19)&gt;0),TRUE ),1,0)</f>
        <v>0</v>
      </c>
      <c r="L37" s="9">
        <f>IF( AND((COUNTIF(L$2:L$33,'Your Team'!$D$3)&gt;0),TRUE ),1,0)+IF( AND((COUNTIF(L$2:L$33,'Your Team'!$D$4)&gt;0),TRUE),1,0)+IF( AND((COUNTIF(L$2:L$33,'Your Team'!$D$5)&gt;0),TRUE ),1,0)+IF( AND((COUNTIF(L$2:L$33,'Your Team'!$D$6)&gt;0),TRUE ),1,0)+IF( AND((COUNTIF(L$2:L$33,'Your Team'!$D$7)&gt;0),TRUE ),1,0)+IF( AND((COUNTIF(L$2:L$33,'Your Team'!$D$8)&gt;0),TRUE ),1,0)+IF( AND((COUNTIF(L$2:L$33,'Your Team'!$D$9)&gt;0),TRUE ),1,0)+IF( AND((COUNTIF(L$2:L$33,'Your Team'!$D$10)&gt;0),TRUE),1,0)+IF( AND((COUNTIF(L$2:L$33,'Your Team'!$D$11)&gt;0),TRUE ),1,0)+IF( AND((COUNTIF(L$2:L$33,'Your Team'!$D$12)&gt;0),TRUE ),1,0)+IF( AND((COUNTIF(L$2:L$33,'Your Team'!$D$13)&gt;0),TRUE ),1,0)+IF( AND((COUNTIF(L$2:L$33,'Your Team'!$D$14)&gt;0),TRUE ),1,0)+IF( AND((COUNTIF(L$2:L$33,'Your Team'!$D$15)&gt;0),TRUE ),1,0)+IF( AND((COUNTIF(L$2:L$33,'Your Team'!$D$16)&gt;0),TRUE ),1,0)+IF( AND((COUNTIF(L$2:L$33,'Your Team'!$D$17)&gt;0),TRUE ),1,0)+IF( AND((COUNTIF(L$2:L$33,'Your Team'!$D$18)&gt;0),TRUE ),1,0)+IF( AND((COUNTIF(L$2:L$33,'Your Team'!$D$19)&gt;0),TRUE ),1,0)</f>
        <v>0</v>
      </c>
      <c r="M37" s="9">
        <f>IF( AND((COUNTIF(M$2:M$33,'Your Team'!$D$3)&gt;0),TRUE ),1,0)+IF( AND((COUNTIF(M$2:M$33,'Your Team'!$D$4)&gt;0),TRUE),1,0)+IF( AND((COUNTIF(M$2:M$33,'Your Team'!$D$5)&gt;0),TRUE ),1,0)+IF( AND((COUNTIF(M$2:M$33,'Your Team'!$D$6)&gt;0),TRUE ),1,0)+IF( AND((COUNTIF(M$2:M$33,'Your Team'!$D$7)&gt;0),TRUE ),1,0)+IF( AND((COUNTIF(M$2:M$33,'Your Team'!$D$8)&gt;0),TRUE ),1,0)+IF( AND((COUNTIF(M$2:M$33,'Your Team'!$D$9)&gt;0),TRUE ),1,0)+IF( AND((COUNTIF(M$2:M$33,'Your Team'!$D$10)&gt;0),TRUE),1,0)+IF( AND((COUNTIF(M$2:M$33,'Your Team'!$D$11)&gt;0),TRUE ),1,0)+IF( AND((COUNTIF(M$2:M$33,'Your Team'!$D$12)&gt;0),TRUE ),1,0)+IF( AND((COUNTIF(M$2:M$33,'Your Team'!$D$13)&gt;0),TRUE ),1,0)+IF( AND((COUNTIF(M$2:M$33,'Your Team'!$D$14)&gt;0),TRUE ),1,0)+IF( AND((COUNTIF(M$2:M$33,'Your Team'!$D$15)&gt;0),TRUE ),1,0)+IF( AND((COUNTIF(M$2:M$33,'Your Team'!$D$16)&gt;0),TRUE ),1,0)+IF( AND((COUNTIF(M$2:M$33,'Your Team'!$D$17)&gt;0),TRUE ),1,0)+IF( AND((COUNTIF(M$2:M$33,'Your Team'!$D$18)&gt;0),TRUE ),1,0)+IF( AND((COUNTIF(M$2:M$33,'Your Team'!$D$19)&gt;0),TRUE ),1,0)</f>
        <v>0</v>
      </c>
      <c r="N37" s="9">
        <f>IF( AND((COUNTIF(N$2:N$33,'Your Team'!$D$3)&gt;0),TRUE ),1,0)+IF( AND((COUNTIF(N$2:N$33,'Your Team'!$D$4)&gt;0),TRUE),1,0)+IF( AND((COUNTIF(N$2:N$33,'Your Team'!$D$5)&gt;0),TRUE ),1,0)+IF( AND((COUNTIF(N$2:N$33,'Your Team'!$D$6)&gt;0),TRUE ),1,0)+IF( AND((COUNTIF(N$2:N$33,'Your Team'!$D$7)&gt;0),TRUE ),1,0)+IF( AND((COUNTIF(N$2:N$33,'Your Team'!$D$8)&gt;0),TRUE ),1,0)+IF( AND((COUNTIF(N$2:N$33,'Your Team'!$D$9)&gt;0),TRUE ),1,0)+IF( AND((COUNTIF(N$2:N$33,'Your Team'!$D$10)&gt;0),TRUE),1,0)+IF( AND((COUNTIF(N$2:N$33,'Your Team'!$D$11)&gt;0),TRUE ),1,0)+IF( AND((COUNTIF(N$2:N$33,'Your Team'!$D$12)&gt;0),TRUE ),1,0)+IF( AND((COUNTIF(N$2:N$33,'Your Team'!$D$13)&gt;0),TRUE ),1,0)+IF( AND((COUNTIF(N$2:N$33,'Your Team'!$D$14)&gt;0),TRUE ),1,0)+IF( AND((COUNTIF(N$2:N$33,'Your Team'!$D$15)&gt;0),TRUE ),1,0)+IF( AND((COUNTIF(N$2:N$33,'Your Team'!$D$16)&gt;0),TRUE ),1,0)+IF( AND((COUNTIF(N$2:N$33,'Your Team'!$D$17)&gt;0),TRUE ),1,0)+IF( AND((COUNTIF(N$2:N$33,'Your Team'!$D$18)&gt;0),TRUE ),1,0)+IF( AND((COUNTIF(N$2:N$33,'Your Team'!$D$19)&gt;0),TRUE ),1,0)</f>
        <v>0</v>
      </c>
      <c r="O37" s="9">
        <f>IF( AND((COUNTIF(O$2:O$33,'Your Team'!$D$3)&gt;0),TRUE ),1,0)+IF( AND((COUNTIF(O$2:O$33,'Your Team'!$D$4)&gt;0),TRUE),1,0)+IF( AND((COUNTIF(O$2:O$33,'Your Team'!$D$5)&gt;0),TRUE ),1,0)+IF( AND((COUNTIF(O$2:O$33,'Your Team'!$D$6)&gt;0),TRUE ),1,0)+IF( AND((COUNTIF(O$2:O$33,'Your Team'!$D$7)&gt;0),TRUE ),1,0)+IF( AND((COUNTIF(O$2:O$33,'Your Team'!$D$8)&gt;0),TRUE ),1,0)+IF( AND((COUNTIF(O$2:O$33,'Your Team'!$D$9)&gt;0),TRUE ),1,0)+IF( AND((COUNTIF(O$2:O$33,'Your Team'!$D$10)&gt;0),TRUE),1,0)+IF( AND((COUNTIF(O$2:O$33,'Your Team'!$D$11)&gt;0),TRUE ),1,0)+IF( AND((COUNTIF(O$2:O$33,'Your Team'!$D$12)&gt;0),TRUE ),1,0)+IF( AND((COUNTIF(O$2:O$33,'Your Team'!$D$13)&gt;0),TRUE ),1,0)+IF( AND((COUNTIF(O$2:O$33,'Your Team'!$D$14)&gt;0),TRUE ),1,0)+IF( AND((COUNTIF(O$2:O$33,'Your Team'!$D$15)&gt;0),TRUE ),1,0)+IF( AND((COUNTIF(O$2:O$33,'Your Team'!$D$16)&gt;0),TRUE ),1,0)+IF( AND((COUNTIF(O$2:O$33,'Your Team'!$D$17)&gt;0),TRUE ),1,0)+IF( AND((COUNTIF(O$2:O$33,'Your Team'!$D$18)&gt;0),TRUE ),1,0)+IF( AND((COUNTIF(O$2:O$33,'Your Team'!$D$19)&gt;0),TRUE ),1,0)</f>
        <v>0</v>
      </c>
      <c r="P37" s="9">
        <f>IF( AND((COUNTIF(P$2:P$33,'Your Team'!$D$3)&gt;0),TRUE ),1,0)+IF( AND((COUNTIF(P$2:P$33,'Your Team'!$D$4)&gt;0),TRUE),1,0)+IF( AND((COUNTIF(P$2:P$33,'Your Team'!$D$5)&gt;0),TRUE ),1,0)+IF( AND((COUNTIF(P$2:P$33,'Your Team'!$D$6)&gt;0),TRUE ),1,0)+IF( AND((COUNTIF(P$2:P$33,'Your Team'!$D$7)&gt;0),TRUE ),1,0)+IF( AND((COUNTIF(P$2:P$33,'Your Team'!$D$8)&gt;0),TRUE ),1,0)+IF( AND((COUNTIF(P$2:P$33,'Your Team'!$D$9)&gt;0),TRUE ),1,0)+IF( AND((COUNTIF(P$2:P$33,'Your Team'!$D$10)&gt;0),TRUE),1,0)+IF( AND((COUNTIF(P$2:P$33,'Your Team'!$D$11)&gt;0),TRUE ),1,0)+IF( AND((COUNTIF(P$2:P$33,'Your Team'!$D$12)&gt;0),TRUE ),1,0)+IF( AND((COUNTIF(P$2:P$33,'Your Team'!$D$13)&gt;0),TRUE ),1,0)+IF( AND((COUNTIF(P$2:P$33,'Your Team'!$D$14)&gt;0),TRUE ),1,0)+IF( AND((COUNTIF(P$2:P$33,'Your Team'!$D$15)&gt;0),TRUE ),1,0)+IF( AND((COUNTIF(P$2:P$33,'Your Team'!$D$16)&gt;0),TRUE ),1,0)+IF( AND((COUNTIF(P$2:P$33,'Your Team'!$D$17)&gt;0),TRUE ),1,0)+IF( AND((COUNTIF(P$2:P$33,'Your Team'!$D$18)&gt;0),TRUE ),1,0)+IF( AND((COUNTIF(P$2:P$33,'Your Team'!$D$19)&gt;0),TRUE ),1,0)</f>
        <v>0</v>
      </c>
      <c r="Q37" s="9">
        <f>IF( AND((COUNTIF(Q$2:Q$33,'Your Team'!$D$3)&gt;0),TRUE ),1,0)+IF( AND((COUNTIF(Q$2:Q$33,'Your Team'!$D$4)&gt;0),TRUE),1,0)+IF( AND((COUNTIF(Q$2:Q$33,'Your Team'!$D$5)&gt;0),TRUE ),1,0)+IF( AND((COUNTIF(Q$2:Q$33,'Your Team'!$D$6)&gt;0),TRUE ),1,0)+IF( AND((COUNTIF(Q$2:Q$33,'Your Team'!$D$7)&gt;0),TRUE ),1,0)+IF( AND((COUNTIF(Q$2:Q$33,'Your Team'!$D$8)&gt;0),TRUE ),1,0)+IF( AND((COUNTIF(Q$2:Q$33,'Your Team'!$D$9)&gt;0),TRUE ),1,0)+IF( AND((COUNTIF(Q$2:Q$33,'Your Team'!$D$10)&gt;0),TRUE),1,0)+IF( AND((COUNTIF(Q$2:Q$33,'Your Team'!$D$11)&gt;0),TRUE ),1,0)+IF( AND((COUNTIF(Q$2:Q$33,'Your Team'!$D$12)&gt;0),TRUE ),1,0)+IF( AND((COUNTIF(Q$2:Q$33,'Your Team'!$D$13)&gt;0),TRUE ),1,0)+IF( AND((COUNTIF(Q$2:Q$33,'Your Team'!$D$14)&gt;0),TRUE ),1,0)+IF( AND((COUNTIF(Q$2:Q$33,'Your Team'!$D$15)&gt;0),TRUE ),1,0)+IF( AND((COUNTIF(Q$2:Q$33,'Your Team'!$D$16)&gt;0),TRUE ),1,0)+IF( AND((COUNTIF(Q$2:Q$33,'Your Team'!$D$17)&gt;0),TRUE ),1,0)+IF( AND((COUNTIF(Q$2:Q$33,'Your Team'!$D$18)&gt;0),TRUE ),1,0)+IF( AND((COUNTIF(Q$2:Q$33,'Your Team'!$D$19)&gt;0),TRUE ),1,0)</f>
        <v>0</v>
      </c>
      <c r="R37" s="9">
        <f>IF( AND((COUNTIF(R$2:R$33,'Your Team'!$D$3)&gt;0),TRUE ),1,0)+IF( AND((COUNTIF(R$2:R$33,'Your Team'!$D$4)&gt;0),TRUE),1,0)+IF( AND((COUNTIF(R$2:R$33,'Your Team'!$D$5)&gt;0),TRUE ),1,0)+IF( AND((COUNTIF(R$2:R$33,'Your Team'!$D$6)&gt;0),TRUE ),1,0)+IF( AND((COUNTIF(R$2:R$33,'Your Team'!$D$7)&gt;0),TRUE ),1,0)+IF( AND((COUNTIF(R$2:R$33,'Your Team'!$D$8)&gt;0),TRUE ),1,0)+IF( AND((COUNTIF(R$2:R$33,'Your Team'!$D$9)&gt;0),TRUE ),1,0)+IF( AND((COUNTIF(R$2:R$33,'Your Team'!$D$10)&gt;0),TRUE),1,0)+IF( AND((COUNTIF(R$2:R$33,'Your Team'!$D$11)&gt;0),TRUE ),1,0)+IF( AND((COUNTIF(R$2:R$33,'Your Team'!$D$12)&gt;0),TRUE ),1,0)+IF( AND((COUNTIF(R$2:R$33,'Your Team'!$D$13)&gt;0),TRUE ),1,0)+IF( AND((COUNTIF(R$2:R$33,'Your Team'!$D$14)&gt;0),TRUE ),1,0)+IF( AND((COUNTIF(R$2:R$33,'Your Team'!$D$15)&gt;0),TRUE ),1,0)+IF( AND((COUNTIF(R$2:R$33,'Your Team'!$D$16)&gt;0),TRUE ),1,0)+IF( AND((COUNTIF(R$2:R$33,'Your Team'!$D$17)&gt;0),TRUE ),1,0)+IF( AND((COUNTIF(R$2:R$33,'Your Team'!$D$18)&gt;0),TRUE ),1,0)+IF( AND((COUNTIF(R$2:R$33,'Your Team'!$D$19)&gt;0),TRUE ),1,0)</f>
        <v>0</v>
      </c>
      <c r="S37" s="9">
        <f>IF( AND((COUNTIF(S$2:S$33,'Your Team'!$D$3)&gt;0),TRUE ),1,0)+IF( AND((COUNTIF(S$2:S$33,'Your Team'!$D$4)&gt;0),TRUE),1,0)+IF( AND((COUNTIF(S$2:S$33,'Your Team'!$D$5)&gt;0),TRUE ),1,0)+IF( AND((COUNTIF(S$2:S$33,'Your Team'!$D$6)&gt;0),TRUE ),1,0)+IF( AND((COUNTIF(S$2:S$33,'Your Team'!$D$7)&gt;0),TRUE ),1,0)+IF( AND((COUNTIF(S$2:S$33,'Your Team'!$D$8)&gt;0),TRUE ),1,0)+IF( AND((COUNTIF(S$2:S$33,'Your Team'!$D$9)&gt;0),TRUE ),1,0)+IF( AND((COUNTIF(S$2:S$33,'Your Team'!$D$10)&gt;0),TRUE),1,0)+IF( AND((COUNTIF(S$2:S$33,'Your Team'!$D$11)&gt;0),TRUE ),1,0)+IF( AND((COUNTIF(S$2:S$33,'Your Team'!$D$12)&gt;0),TRUE ),1,0)+IF( AND((COUNTIF(S$2:S$33,'Your Team'!$D$13)&gt;0),TRUE ),1,0)+IF( AND((COUNTIF(S$2:S$33,'Your Team'!$D$14)&gt;0),TRUE ),1,0)+IF( AND((COUNTIF(S$2:S$33,'Your Team'!$D$15)&gt;0),TRUE ),1,0)+IF( AND((COUNTIF(S$2:S$33,'Your Team'!$D$16)&gt;0),TRUE ),1,0)+IF( AND((COUNTIF(S$2:S$33,'Your Team'!$D$17)&gt;0),TRUE ),1,0)+IF( AND((COUNTIF(S$2:S$33,'Your Team'!$D$18)&gt;0),TRUE ),1,0)+IF( AND((COUNTIF(S$2:S$33,'Your Team'!$D$19)&gt;0),TRUE ),1,0)</f>
        <v>0</v>
      </c>
      <c r="T37" s="9">
        <f>IF( AND((COUNTIF(T$2:T$33,'Your Team'!$D$3)&gt;0),TRUE ),1,0)+IF( AND((COUNTIF(T$2:T$33,'Your Team'!$D$4)&gt;0),TRUE),1,0)+IF( AND((COUNTIF(T$2:T$33,'Your Team'!$D$5)&gt;0),TRUE ),1,0)+IF( AND((COUNTIF(T$2:T$33,'Your Team'!$D$6)&gt;0),TRUE ),1,0)+IF( AND((COUNTIF(T$2:T$33,'Your Team'!$D$7)&gt;0),TRUE ),1,0)+IF( AND((COUNTIF(T$2:T$33,'Your Team'!$D$8)&gt;0),TRUE ),1,0)+IF( AND((COUNTIF(T$2:T$33,'Your Team'!$D$9)&gt;0),TRUE ),1,0)+IF( AND((COUNTIF(T$2:T$33,'Your Team'!$D$10)&gt;0),TRUE),1,0)+IF( AND((COUNTIF(T$2:T$33,'Your Team'!$D$11)&gt;0),TRUE ),1,0)+IF( AND((COUNTIF(T$2:T$33,'Your Team'!$D$12)&gt;0),TRUE ),1,0)+IF( AND((COUNTIF(T$2:T$33,'Your Team'!$D$13)&gt;0),TRUE ),1,0)+IF( AND((COUNTIF(T$2:T$33,'Your Team'!$D$14)&gt;0),TRUE ),1,0)+IF( AND((COUNTIF(T$2:T$33,'Your Team'!$D$15)&gt;0),TRUE ),1,0)+IF( AND((COUNTIF(T$2:T$33,'Your Team'!$D$16)&gt;0),TRUE ),1,0)+IF( AND((COUNTIF(T$2:T$33,'Your Team'!$D$17)&gt;0),TRUE ),1,0)+IF( AND((COUNTIF(T$2:T$33,'Your Team'!$D$18)&gt;0),TRUE ),1,0)+IF( AND((COUNTIF(T$2:T$33,'Your Team'!$D$19)&gt;0),TRUE ),1,0)</f>
        <v>0</v>
      </c>
      <c r="U37" s="9">
        <f>IF( AND((COUNTIF(U$2:U$33,'Your Team'!$D$3)&gt;0),TRUE ),1,0)+IF( AND((COUNTIF(U$2:U$33,'Your Team'!$D$4)&gt;0),TRUE),1,0)+IF( AND((COUNTIF(U$2:U$33,'Your Team'!$D$5)&gt;0),TRUE ),1,0)+IF( AND((COUNTIF(U$2:U$33,'Your Team'!$D$6)&gt;0),TRUE ),1,0)+IF( AND((COUNTIF(U$2:U$33,'Your Team'!$D$7)&gt;0),TRUE ),1,0)+IF( AND((COUNTIF(U$2:U$33,'Your Team'!$D$8)&gt;0),TRUE ),1,0)+IF( AND((COUNTIF(U$2:U$33,'Your Team'!$D$9)&gt;0),TRUE ),1,0)+IF( AND((COUNTIF(U$2:U$33,'Your Team'!$D$10)&gt;0),TRUE),1,0)+IF( AND((COUNTIF(U$2:U$33,'Your Team'!$D$11)&gt;0),TRUE ),1,0)+IF( AND((COUNTIF(U$2:U$33,'Your Team'!$D$12)&gt;0),TRUE ),1,0)+IF( AND((COUNTIF(U$2:U$33,'Your Team'!$D$13)&gt;0),TRUE ),1,0)+IF( AND((COUNTIF(U$2:U$33,'Your Team'!$D$14)&gt;0),TRUE ),1,0)+IF( AND((COUNTIF(U$2:U$33,'Your Team'!$D$15)&gt;0),TRUE ),1,0)+IF( AND((COUNTIF(U$2:U$33,'Your Team'!$D$16)&gt;0),TRUE ),1,0)+IF( AND((COUNTIF(U$2:U$33,'Your Team'!$D$17)&gt;0),TRUE ),1,0)+IF( AND((COUNTIF(U$2:U$33,'Your Team'!$D$18)&gt;0),TRUE ),1,0)+IF( AND((COUNTIF(U$2:U$33,'Your Team'!$D$19)&gt;0),TRUE ),1,0)</f>
        <v>0</v>
      </c>
      <c r="V37" s="9">
        <f>IF( AND((COUNTIF(V$2:V$33,'Your Team'!$D$3)&gt;0),TRUE ),1,0)+IF( AND((COUNTIF(V$2:V$33,'Your Team'!$D$4)&gt;0),TRUE),1,0)+IF( AND((COUNTIF(V$2:V$33,'Your Team'!$D$5)&gt;0),TRUE ),1,0)+IF( AND((COUNTIF(V$2:V$33,'Your Team'!$D$6)&gt;0),TRUE ),1,0)+IF( AND((COUNTIF(V$2:V$33,'Your Team'!$D$7)&gt;0),TRUE ),1,0)+IF( AND((COUNTIF(V$2:V$33,'Your Team'!$D$8)&gt;0),TRUE ),1,0)+IF( AND((COUNTIF(V$2:V$33,'Your Team'!$D$9)&gt;0),TRUE ),1,0)+IF( AND((COUNTIF(V$2:V$33,'Your Team'!$D$10)&gt;0),TRUE),1,0)+IF( AND((COUNTIF(V$2:V$33,'Your Team'!$D$11)&gt;0),TRUE ),1,0)+IF( AND((COUNTIF(V$2:V$33,'Your Team'!$D$12)&gt;0),TRUE ),1,0)+IF( AND((COUNTIF(V$2:V$33,'Your Team'!$D$13)&gt;0),TRUE ),1,0)+IF( AND((COUNTIF(V$2:V$33,'Your Team'!$D$14)&gt;0),TRUE ),1,0)+IF( AND((COUNTIF(V$2:V$33,'Your Team'!$D$15)&gt;0),TRUE ),1,0)+IF( AND((COUNTIF(V$2:V$33,'Your Team'!$D$16)&gt;0),TRUE ),1,0)+IF( AND((COUNTIF(V$2:V$33,'Your Team'!$D$17)&gt;0),TRUE ),1,0)+IF( AND((COUNTIF(V$2:V$33,'Your Team'!$D$18)&gt;0),TRUE ),1,0)+IF( AND((COUNTIF(V$2:V$33,'Your Team'!$D$19)&gt;0),TRUE ),1,0)</f>
        <v>0</v>
      </c>
      <c r="W37" s="9">
        <f>IF( AND((COUNTIF(W$2:W$33,'Your Team'!$D$3)&gt;0),TRUE ),1,0)+IF( AND((COUNTIF(W$2:W$33,'Your Team'!$D$4)&gt;0),TRUE),1,0)+IF( AND((COUNTIF(W$2:W$33,'Your Team'!$D$5)&gt;0),TRUE ),1,0)+IF( AND((COUNTIF(W$2:W$33,'Your Team'!$D$6)&gt;0),TRUE ),1,0)+IF( AND((COUNTIF(W$2:W$33,'Your Team'!$D$7)&gt;0),TRUE ),1,0)+IF( AND((COUNTIF(W$2:W$33,'Your Team'!$D$8)&gt;0),TRUE ),1,0)+IF( AND((COUNTIF(W$2:W$33,'Your Team'!$D$9)&gt;0),TRUE ),1,0)+IF( AND((COUNTIF(W$2:W$33,'Your Team'!$D$10)&gt;0),TRUE),1,0)+IF( AND((COUNTIF(W$2:W$33,'Your Team'!$D$11)&gt;0),TRUE ),1,0)+IF( AND((COUNTIF(W$2:W$33,'Your Team'!$D$12)&gt;0),TRUE ),1,0)+IF( AND((COUNTIF(W$2:W$33,'Your Team'!$D$13)&gt;0),TRUE ),1,0)+IF( AND((COUNTIF(W$2:W$33,'Your Team'!$D$14)&gt;0),TRUE ),1,0)+IF( AND((COUNTIF(W$2:W$33,'Your Team'!$D$15)&gt;0),TRUE ),1,0)+IF( AND((COUNTIF(W$2:W$33,'Your Team'!$D$16)&gt;0),TRUE ),1,0)+IF( AND((COUNTIF(W$2:W$33,'Your Team'!$D$17)&gt;0),TRUE ),1,0)+IF( AND((COUNTIF(W$2:W$33,'Your Team'!$D$18)&gt;0),TRUE ),1,0)+IF( AND((COUNTIF(W$2:W$33,'Your Team'!$D$19)&gt;0),TRUE ),1,0)</f>
        <v>0</v>
      </c>
      <c r="X37" s="9">
        <f>IF( AND((COUNTIF(X$2:X$33,'Your Team'!$D$3)&gt;0),TRUE ),1,0)+IF( AND((COUNTIF(X$2:X$33,'Your Team'!$D$4)&gt;0),TRUE),1,0)+IF( AND((COUNTIF(X$2:X$33,'Your Team'!$D$5)&gt;0),TRUE ),1,0)+IF( AND((COUNTIF(X$2:X$33,'Your Team'!$D$6)&gt;0),TRUE ),1,0)+IF( AND((COUNTIF(X$2:X$33,'Your Team'!$D$7)&gt;0),TRUE ),1,0)+IF( AND((COUNTIF(X$2:X$33,'Your Team'!$D$8)&gt;0),TRUE ),1,0)+IF( AND((COUNTIF(X$2:X$33,'Your Team'!$D$9)&gt;0),TRUE ),1,0)+IF( AND((COUNTIF(X$2:X$33,'Your Team'!$D$10)&gt;0),TRUE),1,0)+IF( AND((COUNTIF(X$2:X$33,'Your Team'!$D$11)&gt;0),TRUE ),1,0)+IF( AND((COUNTIF(X$2:X$33,'Your Team'!$D$12)&gt;0),TRUE ),1,0)+IF( AND((COUNTIF(X$2:X$33,'Your Team'!$D$13)&gt;0),TRUE ),1,0)+IF( AND((COUNTIF(X$2:X$33,'Your Team'!$D$14)&gt;0),TRUE ),1,0)+IF( AND((COUNTIF(X$2:X$33,'Your Team'!$D$15)&gt;0),TRUE ),1,0)+IF( AND((COUNTIF(X$2:X$33,'Your Team'!$D$16)&gt;0),TRUE ),1,0)+IF( AND((COUNTIF(X$2:X$33,'Your Team'!$D$17)&gt;0),TRUE ),1,0)+IF( AND((COUNTIF(X$2:X$33,'Your Team'!$D$18)&gt;0),TRUE ),1,0)+IF( AND((COUNTIF(X$2:X$33,'Your Team'!$D$19)&gt;0),TRUE ),1,0)</f>
        <v>0</v>
      </c>
      <c r="Y37" s="9">
        <f>IF( AND((COUNTIF(Y$2:Y$33,'Your Team'!$D$3)&gt;0),TRUE ),1,0)+IF( AND((COUNTIF(Y$2:Y$33,'Your Team'!$D$4)&gt;0),TRUE),1,0)+IF( AND((COUNTIF(Y$2:Y$33,'Your Team'!$D$5)&gt;0),TRUE ),1,0)+IF( AND((COUNTIF(Y$2:Y$33,'Your Team'!$D$6)&gt;0),TRUE ),1,0)+IF( AND((COUNTIF(Y$2:Y$33,'Your Team'!$D$7)&gt;0),TRUE ),1,0)+IF( AND((COUNTIF(Y$2:Y$33,'Your Team'!$D$8)&gt;0),TRUE ),1,0)+IF( AND((COUNTIF(Y$2:Y$33,'Your Team'!$D$9)&gt;0),TRUE ),1,0)+IF( AND((COUNTIF(Y$2:Y$33,'Your Team'!$D$10)&gt;0),TRUE),1,0)+IF( AND((COUNTIF(Y$2:Y$33,'Your Team'!$D$11)&gt;0),TRUE ),1,0)+IF( AND((COUNTIF(Y$2:Y$33,'Your Team'!$D$12)&gt;0),TRUE ),1,0)+IF( AND((COUNTIF(Y$2:Y$33,'Your Team'!$D$13)&gt;0),TRUE ),1,0)+IF( AND((COUNTIF(Y$2:Y$33,'Your Team'!$D$14)&gt;0),TRUE ),1,0)+IF( AND((COUNTIF(Y$2:Y$33,'Your Team'!$D$15)&gt;0),TRUE ),1,0)+IF( AND((COUNTIF(Y$2:Y$33,'Your Team'!$D$16)&gt;0),TRUE ),1,0)+IF( AND((COUNTIF(Y$2:Y$33,'Your Team'!$D$17)&gt;0),TRUE ),1,0)+IF( AND((COUNTIF(Y$2:Y$33,'Your Team'!$D$18)&gt;0),TRUE ),1,0)+IF( AND((COUNTIF(Y$2:Y$33,'Your Team'!$D$19)&gt;0),TRUE ),1,0)</f>
        <v>0</v>
      </c>
      <c r="Z37" s="9">
        <f>IF( AND((COUNTIF(Z$2:Z$33,'Your Team'!$D$3)&gt;0),TRUE ),1,0)+IF( AND((COUNTIF(Z$2:Z$33,'Your Team'!$D$4)&gt;0),TRUE),1,0)+IF( AND((COUNTIF(Z$2:Z$33,'Your Team'!$D$5)&gt;0),TRUE ),1,0)+IF( AND((COUNTIF(Z$2:Z$33,'Your Team'!$D$6)&gt;0),TRUE ),1,0)+IF( AND((COUNTIF(Z$2:Z$33,'Your Team'!$D$7)&gt;0),TRUE ),1,0)+IF( AND((COUNTIF(Z$2:Z$33,'Your Team'!$D$8)&gt;0),TRUE ),1,0)+IF( AND((COUNTIF(Z$2:Z$33,'Your Team'!$D$9)&gt;0),TRUE ),1,0)+IF( AND((COUNTIF(Z$2:Z$33,'Your Team'!$D$10)&gt;0),TRUE),1,0)+IF( AND((COUNTIF(Z$2:Z$33,'Your Team'!$D$11)&gt;0),TRUE ),1,0)+IF( AND((COUNTIF(Z$2:Z$33,'Your Team'!$D$12)&gt;0),TRUE ),1,0)+IF( AND((COUNTIF(Z$2:Z$33,'Your Team'!$D$13)&gt;0),TRUE ),1,0)+IF( AND((COUNTIF(Z$2:Z$33,'Your Team'!$D$14)&gt;0),TRUE ),1,0)+IF( AND((COUNTIF(Z$2:Z$33,'Your Team'!$D$15)&gt;0),TRUE ),1,0)+IF( AND((COUNTIF(Z$2:Z$33,'Your Team'!$D$16)&gt;0),TRUE ),1,0)+IF( AND((COUNTIF(Z$2:Z$33,'Your Team'!$D$17)&gt;0),TRUE ),1,0)+IF( AND((COUNTIF(Z$2:Z$33,'Your Team'!$D$18)&gt;0),TRUE ),1,0)+IF( AND((COUNTIF(Z$2:Z$33,'Your Team'!$D$19)&gt;0),TRUE ),1,0)</f>
        <v>0</v>
      </c>
      <c r="AA37" s="9">
        <f>IF( AND((COUNTIF(AA$2:AA$33,'Your Team'!$D$3)&gt;0),TRUE ),1,0)+IF( AND((COUNTIF(AA$2:AA$33,'Your Team'!$D$4)&gt;0),TRUE),1,0)+IF( AND((COUNTIF(AA$2:AA$33,'Your Team'!$D$5)&gt;0),TRUE ),1,0)+IF( AND((COUNTIF(AA$2:AA$33,'Your Team'!$D$6)&gt;0),TRUE ),1,0)+IF( AND((COUNTIF(AA$2:AA$33,'Your Team'!$D$7)&gt;0),TRUE ),1,0)+IF( AND((COUNTIF(AA$2:AA$33,'Your Team'!$D$8)&gt;0),TRUE ),1,0)+IF( AND((COUNTIF(AA$2:AA$33,'Your Team'!$D$9)&gt;0),TRUE ),1,0)+IF( AND((COUNTIF(AA$2:AA$33,'Your Team'!$D$10)&gt;0),TRUE),1,0)+IF( AND((COUNTIF(AA$2:AA$33,'Your Team'!$D$11)&gt;0),TRUE ),1,0)+IF( AND((COUNTIF(AA$2:AA$33,'Your Team'!$D$12)&gt;0),TRUE ),1,0)+IF( AND((COUNTIF(AA$2:AA$33,'Your Team'!$D$13)&gt;0),TRUE ),1,0)+IF( AND((COUNTIF(AA$2:AA$33,'Your Team'!$D$14)&gt;0),TRUE ),1,0)+IF( AND((COUNTIF(AA$2:AA$33,'Your Team'!$D$15)&gt;0),TRUE ),1,0)+IF( AND((COUNTIF(AA$2:AA$33,'Your Team'!$D$16)&gt;0),TRUE ),1,0)+IF( AND((COUNTIF(AA$2:AA$33,'Your Team'!$D$17)&gt;0),TRUE ),1,0)+IF( AND((COUNTIF(AA$2:AA$33,'Your Team'!$D$18)&gt;0),TRUE ),1,0)+IF( AND((COUNTIF(AA$2:AA$33,'Your Team'!$D$19)&gt;0),TRUE ),1,0)</f>
        <v>0</v>
      </c>
      <c r="AB37" s="9">
        <f>IF( AND((COUNTIF(AB$2:AB$33,'Your Team'!$D$3)&gt;0),TRUE ),1,0)+IF( AND((COUNTIF(AB$2:AB$33,'Your Team'!$D$4)&gt;0),TRUE),1,0)+IF( AND((COUNTIF(AB$2:AB$33,'Your Team'!$D$5)&gt;0),TRUE ),1,0)+IF( AND((COUNTIF(AB$2:AB$33,'Your Team'!$D$6)&gt;0),TRUE ),1,0)+IF( AND((COUNTIF(AB$2:AB$33,'Your Team'!$D$7)&gt;0),TRUE ),1,0)+IF( AND((COUNTIF(AB$2:AB$33,'Your Team'!$D$8)&gt;0),TRUE ),1,0)+IF( AND((COUNTIF(AB$2:AB$33,'Your Team'!$D$9)&gt;0),TRUE ),1,0)+IF( AND((COUNTIF(AB$2:AB$33,'Your Team'!$D$10)&gt;0),TRUE),1,0)+IF( AND((COUNTIF(AB$2:AB$33,'Your Team'!$D$11)&gt;0),TRUE ),1,0)+IF( AND((COUNTIF(AB$2:AB$33,'Your Team'!$D$12)&gt;0),TRUE ),1,0)+IF( AND((COUNTIF(AB$2:AB$33,'Your Team'!$D$13)&gt;0),TRUE ),1,0)+IF( AND((COUNTIF(AB$2:AB$33,'Your Team'!$D$14)&gt;0),TRUE ),1,0)+IF( AND((COUNTIF(AB$2:AB$33,'Your Team'!$D$15)&gt;0),TRUE ),1,0)+IF( AND((COUNTIF(AB$2:AB$33,'Your Team'!$D$16)&gt;0),TRUE ),1,0)+IF( AND((COUNTIF(AB$2:AB$33,'Your Team'!$D$17)&gt;0),TRUE ),1,0)+IF( AND((COUNTIF(AB$2:AB$33,'Your Team'!$D$18)&gt;0),TRUE ),1,0)+IF( AND((COUNTIF(AB$2:AB$33,'Your Team'!$D$19)&gt;0),TRUE ),1,0)</f>
        <v>0</v>
      </c>
      <c r="AC37" s="9">
        <f>IF( AND((COUNTIF(AC$2:AC$33,'Your Team'!$D$3)&gt;0),TRUE ),1,0)+IF( AND((COUNTIF(AC$2:AC$33,'Your Team'!$D$4)&gt;0),TRUE),1,0)+IF( AND((COUNTIF(AC$2:AC$33,'Your Team'!$D$5)&gt;0),TRUE ),1,0)+IF( AND((COUNTIF(AC$2:AC$33,'Your Team'!$D$6)&gt;0),TRUE ),1,0)+IF( AND((COUNTIF(AC$2:AC$33,'Your Team'!$D$7)&gt;0),TRUE ),1,0)+IF( AND((COUNTIF(AC$2:AC$33,'Your Team'!$D$8)&gt;0),TRUE ),1,0)+IF( AND((COUNTIF(AC$2:AC$33,'Your Team'!$D$9)&gt;0),TRUE ),1,0)+IF( AND((COUNTIF(AC$2:AC$33,'Your Team'!$D$10)&gt;0),TRUE),1,0)+IF( AND((COUNTIF(AC$2:AC$33,'Your Team'!$D$11)&gt;0),TRUE ),1,0)+IF( AND((COUNTIF(AC$2:AC$33,'Your Team'!$D$12)&gt;0),TRUE ),1,0)+IF( AND((COUNTIF(AC$2:AC$33,'Your Team'!$D$13)&gt;0),TRUE ),1,0)+IF( AND((COUNTIF(AC$2:AC$33,'Your Team'!$D$14)&gt;0),TRUE ),1,0)+IF( AND((COUNTIF(AC$2:AC$33,'Your Team'!$D$15)&gt;0),TRUE ),1,0)+IF( AND((COUNTIF(AC$2:AC$33,'Your Team'!$D$16)&gt;0),TRUE ),1,0)+IF( AND((COUNTIF(AC$2:AC$33,'Your Team'!$D$17)&gt;0),TRUE ),1,0)+IF( AND((COUNTIF(AC$2:AC$33,'Your Team'!$D$18)&gt;0),TRUE ),1,0)+IF( AND((COUNTIF(AC$2:AC$33,'Your Team'!$D$19)&gt;0),TRUE ),1,0)</f>
        <v>0</v>
      </c>
      <c r="AD37" s="9">
        <f>IF( AND((COUNTIF(AD$2:AD$33,'Your Team'!$D$3)&gt;0),TRUE ),1,0)+IF( AND((COUNTIF(AD$2:AD$33,'Your Team'!$D$4)&gt;0),TRUE),1,0)+IF( AND((COUNTIF(AD$2:AD$33,'Your Team'!$D$5)&gt;0),TRUE ),1,0)+IF( AND((COUNTIF(AD$2:AD$33,'Your Team'!$D$6)&gt;0),TRUE ),1,0)+IF( AND((COUNTIF(AD$2:AD$33,'Your Team'!$D$7)&gt;0),TRUE ),1,0)+IF( AND((COUNTIF(AD$2:AD$33,'Your Team'!$D$8)&gt;0),TRUE ),1,0)+IF( AND((COUNTIF(AD$2:AD$33,'Your Team'!$D$9)&gt;0),TRUE ),1,0)+IF( AND((COUNTIF(AD$2:AD$33,'Your Team'!$D$10)&gt;0),TRUE),1,0)+IF( AND((COUNTIF(AD$2:AD$33,'Your Team'!$D$11)&gt;0),TRUE ),1,0)+IF( AND((COUNTIF(AD$2:AD$33,'Your Team'!$D$12)&gt;0),TRUE ),1,0)+IF( AND((COUNTIF(AD$2:AD$33,'Your Team'!$D$13)&gt;0),TRUE ),1,0)+IF( AND((COUNTIF(AD$2:AD$33,'Your Team'!$D$14)&gt;0),TRUE ),1,0)+IF( AND((COUNTIF(AD$2:AD$33,'Your Team'!$D$15)&gt;0),TRUE ),1,0)+IF( AND((COUNTIF(AD$2:AD$33,'Your Team'!$D$16)&gt;0),TRUE ),1,0)+IF( AND((COUNTIF(AD$2:AD$33,'Your Team'!$D$17)&gt;0),TRUE ),1,0)+IF( AND((COUNTIF(AD$2:AD$33,'Your Team'!$D$18)&gt;0),TRUE ),1,0)+IF( AND((COUNTIF(AD$2:AD$33,'Your Team'!$D$19)&gt;0),TRUE ),1,0)</f>
        <v>0</v>
      </c>
      <c r="AE37" s="9">
        <f>IF( AND((COUNTIF(AE$2:AE$33,'Your Team'!$D$3)&gt;0),TRUE ),1,0)+IF( AND((COUNTIF(AE$2:AE$33,'Your Team'!$D$4)&gt;0),TRUE),1,0)+IF( AND((COUNTIF(AE$2:AE$33,'Your Team'!$D$5)&gt;0),TRUE ),1,0)+IF( AND((COUNTIF(AE$2:AE$33,'Your Team'!$D$6)&gt;0),TRUE ),1,0)+IF( AND((COUNTIF(AE$2:AE$33,'Your Team'!$D$7)&gt;0),TRUE ),1,0)+IF( AND((COUNTIF(AE$2:AE$33,'Your Team'!$D$8)&gt;0),TRUE ),1,0)+IF( AND((COUNTIF(AE$2:AE$33,'Your Team'!$D$9)&gt;0),TRUE ),1,0)+IF( AND((COUNTIF(AE$2:AE$33,'Your Team'!$D$10)&gt;0),TRUE),1,0)+IF( AND((COUNTIF(AE$2:AE$33,'Your Team'!$D$11)&gt;0),TRUE ),1,0)+IF( AND((COUNTIF(AE$2:AE$33,'Your Team'!$D$12)&gt;0),TRUE ),1,0)+IF( AND((COUNTIF(AE$2:AE$33,'Your Team'!$D$13)&gt;0),TRUE ),1,0)+IF( AND((COUNTIF(AE$2:AE$33,'Your Team'!$D$14)&gt;0),TRUE ),1,0)+IF( AND((COUNTIF(AE$2:AE$33,'Your Team'!$D$15)&gt;0),TRUE ),1,0)+IF( AND((COUNTIF(AE$2:AE$33,'Your Team'!$D$16)&gt;0),TRUE ),1,0)+IF( AND((COUNTIF(AE$2:AE$33,'Your Team'!$D$17)&gt;0),TRUE ),1,0)+IF( AND((COUNTIF(AE$2:AE$33,'Your Team'!$D$18)&gt;0),TRUE ),1,0)+IF( AND((COUNTIF(AE$2:AE$33,'Your Team'!$D$19)&gt;0),TRUE ),1,0)</f>
        <v>0</v>
      </c>
      <c r="AF37" s="9">
        <f>IF( AND((COUNTIF(AF$2:AF$33,'Your Team'!$D$3)&gt;0),TRUE ),1,0)+IF( AND((COUNTIF(AF$2:AF$33,'Your Team'!$D$4)&gt;0),TRUE),1,0)+IF( AND((COUNTIF(AF$2:AF$33,'Your Team'!$D$5)&gt;0),TRUE ),1,0)+IF( AND((COUNTIF(AF$2:AF$33,'Your Team'!$D$6)&gt;0),TRUE ),1,0)+IF( AND((COUNTIF(AF$2:AF$33,'Your Team'!$D$7)&gt;0),TRUE ),1,0)+IF( AND((COUNTIF(AF$2:AF$33,'Your Team'!$D$8)&gt;0),TRUE ),1,0)+IF( AND((COUNTIF(AF$2:AF$33,'Your Team'!$D$9)&gt;0),TRUE ),1,0)+IF( AND((COUNTIF(AF$2:AF$33,'Your Team'!$D$10)&gt;0),TRUE),1,0)+IF( AND((COUNTIF(AF$2:AF$33,'Your Team'!$D$11)&gt;0),TRUE ),1,0)+IF( AND((COUNTIF(AF$2:AF$33,'Your Team'!$D$12)&gt;0),TRUE ),1,0)+IF( AND((COUNTIF(AF$2:AF$33,'Your Team'!$D$13)&gt;0),TRUE ),1,0)+IF( AND((COUNTIF(AF$2:AF$33,'Your Team'!$D$14)&gt;0),TRUE ),1,0)+IF( AND((COUNTIF(AF$2:AF$33,'Your Team'!$D$15)&gt;0),TRUE ),1,0)+IF( AND((COUNTIF(AF$2:AF$33,'Your Team'!$D$16)&gt;0),TRUE ),1,0)+IF( AND((COUNTIF(AF$2:AF$33,'Your Team'!$D$17)&gt;0),TRUE ),1,0)+IF( AND((COUNTIF(AF$2:AF$33,'Your Team'!$D$18)&gt;0),TRUE ),1,0)+IF( AND((COUNTIF(AF$2:AF$33,'Your Team'!$D$19)&gt;0),TRUE ),1,0)</f>
        <v>0</v>
      </c>
      <c r="AG37" s="9">
        <f>IF( AND((COUNTIF(AG$2:AG$33,'Your Team'!$D$3)&gt;0),TRUE ),1,0)+IF( AND((COUNTIF(AG$2:AG$33,'Your Team'!$D$4)&gt;0),TRUE),1,0)+IF( AND((COUNTIF(AG$2:AG$33,'Your Team'!$D$5)&gt;0),TRUE ),1,0)+IF( AND((COUNTIF(AG$2:AG$33,'Your Team'!$D$6)&gt;0),TRUE ),1,0)+IF( AND((COUNTIF(AG$2:AG$33,'Your Team'!$D$7)&gt;0),TRUE ),1,0)+IF( AND((COUNTIF(AG$2:AG$33,'Your Team'!$D$8)&gt;0),TRUE ),1,0)+IF( AND((COUNTIF(AG$2:AG$33,'Your Team'!$D$9)&gt;0),TRUE ),1,0)+IF( AND((COUNTIF(AG$2:AG$33,'Your Team'!$D$10)&gt;0),TRUE),1,0)+IF( AND((COUNTIF(AG$2:AG$33,'Your Team'!$D$11)&gt;0),TRUE ),1,0)+IF( AND((COUNTIF(AG$2:AG$33,'Your Team'!$D$12)&gt;0),TRUE ),1,0)+IF( AND((COUNTIF(AG$2:AG$33,'Your Team'!$D$13)&gt;0),TRUE ),1,0)+IF( AND((COUNTIF(AG$2:AG$33,'Your Team'!$D$14)&gt;0),TRUE ),1,0)+IF( AND((COUNTIF(AG$2:AG$33,'Your Team'!$D$15)&gt;0),TRUE ),1,0)+IF( AND((COUNTIF(AG$2:AG$33,'Your Team'!$D$16)&gt;0),TRUE ),1,0)+IF( AND((COUNTIF(AG$2:AG$33,'Your Team'!$D$17)&gt;0),TRUE ),1,0)+IF( AND((COUNTIF(AG$2:AG$33,'Your Team'!$D$18)&gt;0),TRUE ),1,0)+IF( AND((COUNTIF(AG$2:AG$33,'Your Team'!$D$19)&gt;0),TRUE ),1,0)</f>
        <v>0</v>
      </c>
      <c r="AH37" s="9">
        <f>IF( AND((COUNTIF(AH$2:AH$33,'Your Team'!$D$3)&gt;0),TRUE ),1,0)+IF( AND((COUNTIF(AH$2:AH$33,'Your Team'!$D$4)&gt;0),TRUE),1,0)+IF( AND((COUNTIF(AH$2:AH$33,'Your Team'!$D$5)&gt;0),TRUE ),1,0)+IF( AND((COUNTIF(AH$2:AH$33,'Your Team'!$D$6)&gt;0),TRUE ),1,0)+IF( AND((COUNTIF(AH$2:AH$33,'Your Team'!$D$7)&gt;0),TRUE ),1,0)+IF( AND((COUNTIF(AH$2:AH$33,'Your Team'!$D$8)&gt;0),TRUE ),1,0)+IF( AND((COUNTIF(AH$2:AH$33,'Your Team'!$D$9)&gt;0),TRUE ),1,0)+IF( AND((COUNTIF(AH$2:AH$33,'Your Team'!$D$10)&gt;0),TRUE),1,0)+IF( AND((COUNTIF(AH$2:AH$33,'Your Team'!$D$11)&gt;0),TRUE ),1,0)+IF( AND((COUNTIF(AH$2:AH$33,'Your Team'!$D$12)&gt;0),TRUE ),1,0)+IF( AND((COUNTIF(AH$2:AH$33,'Your Team'!$D$13)&gt;0),TRUE ),1,0)+IF( AND((COUNTIF(AH$2:AH$33,'Your Team'!$D$14)&gt;0),TRUE ),1,0)+IF( AND((COUNTIF(AH$2:AH$33,'Your Team'!$D$15)&gt;0),TRUE ),1,0)+IF( AND((COUNTIF(AH$2:AH$33,'Your Team'!$D$16)&gt;0),TRUE ),1,0)+IF( AND((COUNTIF(AH$2:AH$33,'Your Team'!$D$17)&gt;0),TRUE ),1,0)+IF( AND((COUNTIF(AH$2:AH$33,'Your Team'!$D$18)&gt;0),TRUE ),1,0)+IF( AND((COUNTIF(AH$2:AH$33,'Your Team'!$D$19)&gt;0),TRUE ),1,0)</f>
        <v>0</v>
      </c>
      <c r="AI37" s="9">
        <f>IF( AND((COUNTIF(AI$2:AI$33,'Your Team'!$D$3)&gt;0),TRUE ),1,0)+IF( AND((COUNTIF(AI$2:AI$33,'Your Team'!$D$4)&gt;0),TRUE),1,0)+IF( AND((COUNTIF(AI$2:AI$33,'Your Team'!$D$5)&gt;0),TRUE ),1,0)+IF( AND((COUNTIF(AI$2:AI$33,'Your Team'!$D$6)&gt;0),TRUE ),1,0)+IF( AND((COUNTIF(AI$2:AI$33,'Your Team'!$D$7)&gt;0),TRUE ),1,0)+IF( AND((COUNTIF(AI$2:AI$33,'Your Team'!$D$8)&gt;0),TRUE ),1,0)+IF( AND((COUNTIF(AI$2:AI$33,'Your Team'!$D$9)&gt;0),TRUE ),1,0)+IF( AND((COUNTIF(AI$2:AI$33,'Your Team'!$D$10)&gt;0),TRUE),1,0)+IF( AND((COUNTIF(AI$2:AI$33,'Your Team'!$D$11)&gt;0),TRUE ),1,0)+IF( AND((COUNTIF(AI$2:AI$33,'Your Team'!$D$12)&gt;0),TRUE ),1,0)+IF( AND((COUNTIF(AI$2:AI$33,'Your Team'!$D$13)&gt;0),TRUE ),1,0)+IF( AND((COUNTIF(AI$2:AI$33,'Your Team'!$D$14)&gt;0),TRUE ),1,0)+IF( AND((COUNTIF(AI$2:AI$33,'Your Team'!$D$15)&gt;0),TRUE ),1,0)+IF( AND((COUNTIF(AI$2:AI$33,'Your Team'!$D$16)&gt;0),TRUE ),1,0)+IF( AND((COUNTIF(AI$2:AI$33,'Your Team'!$D$17)&gt;0),TRUE ),1,0)+IF( AND((COUNTIF(AI$2:AI$33,'Your Team'!$D$18)&gt;0),TRUE ),1,0)+IF( AND((COUNTIF(AI$2:AI$33,'Your Team'!$D$19)&gt;0),TRUE ),1,0)</f>
        <v>0</v>
      </c>
      <c r="AJ37" s="9">
        <f>IF( AND((COUNTIF(AJ$2:AJ$33,'Your Team'!$D$3)&gt;0),TRUE ),1,0)+IF( AND((COUNTIF(AJ$2:AJ$33,'Your Team'!$D$4)&gt;0),TRUE),1,0)+IF( AND((COUNTIF(AJ$2:AJ$33,'Your Team'!$D$5)&gt;0),TRUE ),1,0)+IF( AND((COUNTIF(AJ$2:AJ$33,'Your Team'!$D$6)&gt;0),TRUE ),1,0)+IF( AND((COUNTIF(AJ$2:AJ$33,'Your Team'!$D$7)&gt;0),TRUE ),1,0)+IF( AND((COUNTIF(AJ$2:AJ$33,'Your Team'!$D$8)&gt;0),TRUE ),1,0)+IF( AND((COUNTIF(AJ$2:AJ$33,'Your Team'!$D$9)&gt;0),TRUE ),1,0)+IF( AND((COUNTIF(AJ$2:AJ$33,'Your Team'!$D$10)&gt;0),TRUE),1,0)+IF( AND((COUNTIF(AJ$2:AJ$33,'Your Team'!$D$11)&gt;0),TRUE ),1,0)+IF( AND((COUNTIF(AJ$2:AJ$33,'Your Team'!$D$12)&gt;0),TRUE ),1,0)+IF( AND((COUNTIF(AJ$2:AJ$33,'Your Team'!$D$13)&gt;0),TRUE ),1,0)+IF( AND((COUNTIF(AJ$2:AJ$33,'Your Team'!$D$14)&gt;0),TRUE ),1,0)+IF( AND((COUNTIF(AJ$2:AJ$33,'Your Team'!$D$15)&gt;0),TRUE ),1,0)+IF( AND((COUNTIF(AJ$2:AJ$33,'Your Team'!$D$16)&gt;0),TRUE ),1,0)+IF( AND((COUNTIF(AJ$2:AJ$33,'Your Team'!$D$17)&gt;0),TRUE ),1,0)+IF( AND((COUNTIF(AJ$2:AJ$33,'Your Team'!$D$18)&gt;0),TRUE ),1,0)+IF( AND((COUNTIF(AJ$2:AJ$33,'Your Team'!$D$19)&gt;0),TRUE ),1,0)</f>
        <v>0</v>
      </c>
      <c r="AK37" s="9">
        <f>IF( AND((COUNTIF(AK$2:AK$33,'Your Team'!$D$3)&gt;0),TRUE ),1,0)+IF( AND((COUNTIF(AK$2:AK$33,'Your Team'!$D$4)&gt;0),TRUE),1,0)+IF( AND((COUNTIF(AK$2:AK$33,'Your Team'!$D$5)&gt;0),TRUE ),1,0)+IF( AND((COUNTIF(AK$2:AK$33,'Your Team'!$D$6)&gt;0),TRUE ),1,0)+IF( AND((COUNTIF(AK$2:AK$33,'Your Team'!$D$7)&gt;0),TRUE ),1,0)+IF( AND((COUNTIF(AK$2:AK$33,'Your Team'!$D$8)&gt;0),TRUE ),1,0)+IF( AND((COUNTIF(AK$2:AK$33,'Your Team'!$D$9)&gt;0),TRUE ),1,0)+IF( AND((COUNTIF(AK$2:AK$33,'Your Team'!$D$10)&gt;0),TRUE),1,0)+IF( AND((COUNTIF(AK$2:AK$33,'Your Team'!$D$11)&gt;0),TRUE ),1,0)+IF( AND((COUNTIF(AK$2:AK$33,'Your Team'!$D$12)&gt;0),TRUE ),1,0)+IF( AND((COUNTIF(AK$2:AK$33,'Your Team'!$D$13)&gt;0),TRUE ),1,0)+IF( AND((COUNTIF(AK$2:AK$33,'Your Team'!$D$14)&gt;0),TRUE ),1,0)+IF( AND((COUNTIF(AK$2:AK$33,'Your Team'!$D$15)&gt;0),TRUE ),1,0)+IF( AND((COUNTIF(AK$2:AK$33,'Your Team'!$D$16)&gt;0),TRUE ),1,0)+IF( AND((COUNTIF(AK$2:AK$33,'Your Team'!$D$17)&gt;0),TRUE ),1,0)+IF( AND((COUNTIF(AK$2:AK$33,'Your Team'!$D$18)&gt;0),TRUE ),1,0)+IF( AND((COUNTIF(AK$2:AK$33,'Your Team'!$D$19)&gt;0),TRUE ),1,0)</f>
        <v>0</v>
      </c>
      <c r="AL37" s="9">
        <f>IF( AND((COUNTIF(AL$2:AL$33,'Your Team'!$D$3)&gt;0),TRUE ),1,0)+IF( AND((COUNTIF(AL$2:AL$33,'Your Team'!$D$4)&gt;0),TRUE),1,0)+IF( AND((COUNTIF(AL$2:AL$33,'Your Team'!$D$5)&gt;0),TRUE ),1,0)+IF( AND((COUNTIF(AL$2:AL$33,'Your Team'!$D$6)&gt;0),TRUE ),1,0)+IF( AND((COUNTIF(AL$2:AL$33,'Your Team'!$D$7)&gt;0),TRUE ),1,0)+IF( AND((COUNTIF(AL$2:AL$33,'Your Team'!$D$8)&gt;0),TRUE ),1,0)+IF( AND((COUNTIF(AL$2:AL$33,'Your Team'!$D$9)&gt;0),TRUE ),1,0)+IF( AND((COUNTIF(AL$2:AL$33,'Your Team'!$D$10)&gt;0),TRUE),1,0)+IF( AND((COUNTIF(AL$2:AL$33,'Your Team'!$D$11)&gt;0),TRUE ),1,0)+IF( AND((COUNTIF(AL$2:AL$33,'Your Team'!$D$12)&gt;0),TRUE ),1,0)+IF( AND((COUNTIF(AL$2:AL$33,'Your Team'!$D$13)&gt;0),TRUE ),1,0)+IF( AND((COUNTIF(AL$2:AL$33,'Your Team'!$D$14)&gt;0),TRUE ),1,0)+IF( AND((COUNTIF(AL$2:AL$33,'Your Team'!$D$15)&gt;0),TRUE ),1,0)+IF( AND((COUNTIF(AL$2:AL$33,'Your Team'!$D$16)&gt;0),TRUE ),1,0)+IF( AND((COUNTIF(AL$2:AL$33,'Your Team'!$D$17)&gt;0),TRUE ),1,0)+IF( AND((COUNTIF(AL$2:AL$33,'Your Team'!$D$18)&gt;0),TRUE ),1,0)+IF( AND((COUNTIF(AL$2:AL$33,'Your Team'!$D$19)&gt;0),TRUE ),1,0)</f>
        <v>0</v>
      </c>
      <c r="AM37" s="9">
        <f>IF( AND((COUNTIF(AM$2:AM$33,'Your Team'!$D$3)&gt;0),TRUE ),1,0)+IF( AND((COUNTIF(AM$2:AM$33,'Your Team'!$D$4)&gt;0),TRUE),1,0)+IF( AND((COUNTIF(AM$2:AM$33,'Your Team'!$D$5)&gt;0),TRUE ),1,0)+IF( AND((COUNTIF(AM$2:AM$33,'Your Team'!$D$6)&gt;0),TRUE ),1,0)+IF( AND((COUNTIF(AM$2:AM$33,'Your Team'!$D$7)&gt;0),TRUE ),1,0)+IF( AND((COUNTIF(AM$2:AM$33,'Your Team'!$D$8)&gt;0),TRUE ),1,0)+IF( AND((COUNTIF(AM$2:AM$33,'Your Team'!$D$9)&gt;0),TRUE ),1,0)+IF( AND((COUNTIF(AM$2:AM$33,'Your Team'!$D$10)&gt;0),TRUE),1,0)+IF( AND((COUNTIF(AM$2:AM$33,'Your Team'!$D$11)&gt;0),TRUE ),1,0)+IF( AND((COUNTIF(AM$2:AM$33,'Your Team'!$D$12)&gt;0),TRUE ),1,0)+IF( AND((COUNTIF(AM$2:AM$33,'Your Team'!$D$13)&gt;0),TRUE ),1,0)+IF( AND((COUNTIF(AM$2:AM$33,'Your Team'!$D$14)&gt;0),TRUE ),1,0)+IF( AND((COUNTIF(AM$2:AM$33,'Your Team'!$D$15)&gt;0),TRUE ),1,0)+IF( AND((COUNTIF(AM$2:AM$33,'Your Team'!$D$16)&gt;0),TRUE ),1,0)+IF( AND((COUNTIF(AM$2:AM$33,'Your Team'!$D$17)&gt;0),TRUE ),1,0)+IF( AND((COUNTIF(AM$2:AM$33,'Your Team'!$D$18)&gt;0),TRUE ),1,0)+IF( AND((COUNTIF(AM$2:AM$33,'Your Team'!$D$19)&gt;0),TRUE ),1,0)</f>
        <v>0</v>
      </c>
      <c r="AN37" s="9">
        <f>IF( AND((COUNTIF(AN$2:AN$33,'Your Team'!$D$3)&gt;0),TRUE ),1,0)+IF( AND((COUNTIF(AN$2:AN$33,'Your Team'!$D$4)&gt;0),TRUE),1,0)+IF( AND((COUNTIF(AN$2:AN$33,'Your Team'!$D$5)&gt;0),TRUE ),1,0)+IF( AND((COUNTIF(AN$2:AN$33,'Your Team'!$D$6)&gt;0),TRUE ),1,0)+IF( AND((COUNTIF(AN$2:AN$33,'Your Team'!$D$7)&gt;0),TRUE ),1,0)+IF( AND((COUNTIF(AN$2:AN$33,'Your Team'!$D$8)&gt;0),TRUE ),1,0)+IF( AND((COUNTIF(AN$2:AN$33,'Your Team'!$D$9)&gt;0),TRUE ),1,0)+IF( AND((COUNTIF(AN$2:AN$33,'Your Team'!$D$10)&gt;0),TRUE),1,0)+IF( AND((COUNTIF(AN$2:AN$33,'Your Team'!$D$11)&gt;0),TRUE ),1,0)+IF( AND((COUNTIF(AN$2:AN$33,'Your Team'!$D$12)&gt;0),TRUE ),1,0)+IF( AND((COUNTIF(AN$2:AN$33,'Your Team'!$D$13)&gt;0),TRUE ),1,0)+IF( AND((COUNTIF(AN$2:AN$33,'Your Team'!$D$14)&gt;0),TRUE ),1,0)+IF( AND((COUNTIF(AN$2:AN$33,'Your Team'!$D$15)&gt;0),TRUE ),1,0)+IF( AND((COUNTIF(AN$2:AN$33,'Your Team'!$D$16)&gt;0),TRUE ),1,0)+IF( AND((COUNTIF(AN$2:AN$33,'Your Team'!$D$17)&gt;0),TRUE ),1,0)+IF( AND((COUNTIF(AN$2:AN$33,'Your Team'!$D$18)&gt;0),TRUE ),1,0)+IF( AND((COUNTIF(AN$2:AN$33,'Your Team'!$D$19)&gt;0),TRUE ),1,0)</f>
        <v>0</v>
      </c>
      <c r="AO37" s="9">
        <f>IF( AND((COUNTIF(AO$2:AO$33,'Your Team'!$D$3)&gt;0),TRUE ),1,0)+IF( AND((COUNTIF(AO$2:AO$33,'Your Team'!$D$4)&gt;0),TRUE),1,0)+IF( AND((COUNTIF(AO$2:AO$33,'Your Team'!$D$5)&gt;0),TRUE ),1,0)+IF( AND((COUNTIF(AO$2:AO$33,'Your Team'!$D$6)&gt;0),TRUE ),1,0)+IF( AND((COUNTIF(AO$2:AO$33,'Your Team'!$D$7)&gt;0),TRUE ),1,0)+IF( AND((COUNTIF(AO$2:AO$33,'Your Team'!$D$8)&gt;0),TRUE ),1,0)+IF( AND((COUNTIF(AO$2:AO$33,'Your Team'!$D$9)&gt;0),TRUE ),1,0)+IF( AND((COUNTIF(AO$2:AO$33,'Your Team'!$D$10)&gt;0),TRUE),1,0)+IF( AND((COUNTIF(AO$2:AO$33,'Your Team'!$D$11)&gt;0),TRUE ),1,0)+IF( AND((COUNTIF(AO$2:AO$33,'Your Team'!$D$12)&gt;0),TRUE ),1,0)+IF( AND((COUNTIF(AO$2:AO$33,'Your Team'!$D$13)&gt;0),TRUE ),1,0)+IF( AND((COUNTIF(AO$2:AO$33,'Your Team'!$D$14)&gt;0),TRUE ),1,0)+IF( AND((COUNTIF(AO$2:AO$33,'Your Team'!$D$15)&gt;0),TRUE ),1,0)+IF( AND((COUNTIF(AO$2:AO$33,'Your Team'!$D$16)&gt;0),TRUE ),1,0)+IF( AND((COUNTIF(AO$2:AO$33,'Your Team'!$D$17)&gt;0),TRUE ),1,0)+IF( AND((COUNTIF(AO$2:AO$33,'Your Team'!$D$18)&gt;0),TRUE ),1,0)+IF( AND((COUNTIF(AO$2:AO$33,'Your Team'!$D$19)&gt;0),TRUE ),1,0)</f>
        <v>0</v>
      </c>
      <c r="AP37" s="9">
        <f>IF( AND((COUNTIF(AP$2:AP$33,'Your Team'!$D$3)&gt;0),TRUE ),1,0)+IF( AND((COUNTIF(AP$2:AP$33,'Your Team'!$D$4)&gt;0),TRUE),1,0)+IF( AND((COUNTIF(AP$2:AP$33,'Your Team'!$D$5)&gt;0),TRUE ),1,0)+IF( AND((COUNTIF(AP$2:AP$33,'Your Team'!$D$6)&gt;0),TRUE ),1,0)+IF( AND((COUNTIF(AP$2:AP$33,'Your Team'!$D$7)&gt;0),TRUE ),1,0)+IF( AND((COUNTIF(AP$2:AP$33,'Your Team'!$D$8)&gt;0),TRUE ),1,0)+IF( AND((COUNTIF(AP$2:AP$33,'Your Team'!$D$9)&gt;0),TRUE ),1,0)+IF( AND((COUNTIF(AP$2:AP$33,'Your Team'!$D$10)&gt;0),TRUE),1,0)+IF( AND((COUNTIF(AP$2:AP$33,'Your Team'!$D$11)&gt;0),TRUE ),1,0)+IF( AND((COUNTIF(AP$2:AP$33,'Your Team'!$D$12)&gt;0),TRUE ),1,0)+IF( AND((COUNTIF(AP$2:AP$33,'Your Team'!$D$13)&gt;0),TRUE ),1,0)+IF( AND((COUNTIF(AP$2:AP$33,'Your Team'!$D$14)&gt;0),TRUE ),1,0)+IF( AND((COUNTIF(AP$2:AP$33,'Your Team'!$D$15)&gt;0),TRUE ),1,0)+IF( AND((COUNTIF(AP$2:AP$33,'Your Team'!$D$16)&gt;0),TRUE ),1,0)+IF( AND((COUNTIF(AP$2:AP$33,'Your Team'!$D$17)&gt;0),TRUE ),1,0)+IF( AND((COUNTIF(AP$2:AP$33,'Your Team'!$D$18)&gt;0),TRUE ),1,0)+IF( AND((COUNTIF(AP$2:AP$33,'Your Team'!$D$19)&gt;0),TRUE ),1,0)</f>
        <v>0</v>
      </c>
      <c r="AQ37" s="9">
        <f>IF( AND((COUNTIF(AQ$2:AQ$33,'Your Team'!$D$3)&gt;0),TRUE ),1,0)+IF( AND((COUNTIF(AQ$2:AQ$33,'Your Team'!$D$4)&gt;0),TRUE),1,0)+IF( AND((COUNTIF(AQ$2:AQ$33,'Your Team'!$D$5)&gt;0),TRUE ),1,0)+IF( AND((COUNTIF(AQ$2:AQ$33,'Your Team'!$D$6)&gt;0),TRUE ),1,0)+IF( AND((COUNTIF(AQ$2:AQ$33,'Your Team'!$D$7)&gt;0),TRUE ),1,0)+IF( AND((COUNTIF(AQ$2:AQ$33,'Your Team'!$D$8)&gt;0),TRUE ),1,0)+IF( AND((COUNTIF(AQ$2:AQ$33,'Your Team'!$D$9)&gt;0),TRUE ),1,0)+IF( AND((COUNTIF(AQ$2:AQ$33,'Your Team'!$D$10)&gt;0),TRUE),1,0)+IF( AND((COUNTIF(AQ$2:AQ$33,'Your Team'!$D$11)&gt;0),TRUE ),1,0)+IF( AND((COUNTIF(AQ$2:AQ$33,'Your Team'!$D$12)&gt;0),TRUE ),1,0)+IF( AND((COUNTIF(AQ$2:AQ$33,'Your Team'!$D$13)&gt;0),TRUE ),1,0)+IF( AND((COUNTIF(AQ$2:AQ$33,'Your Team'!$D$14)&gt;0),TRUE ),1,0)+IF( AND((COUNTIF(AQ$2:AQ$33,'Your Team'!$D$15)&gt;0),TRUE ),1,0)+IF( AND((COUNTIF(AQ$2:AQ$33,'Your Team'!$D$16)&gt;0),TRUE ),1,0)+IF( AND((COUNTIF(AQ$2:AQ$33,'Your Team'!$D$17)&gt;0),TRUE ),1,0)+IF( AND((COUNTIF(AQ$2:AQ$33,'Your Team'!$D$18)&gt;0),TRUE ),1,0)+IF( AND((COUNTIF(AQ$2:AQ$33,'Your Team'!$D$19)&gt;0),TRUE ),1,0)</f>
        <v>0</v>
      </c>
      <c r="AR37" s="9">
        <f>IF( AND((COUNTIF(AR$2:AR$33,'Your Team'!$D$3)&gt;0),TRUE ),1,0)+IF( AND((COUNTIF(AR$2:AR$33,'Your Team'!$D$4)&gt;0),TRUE),1,0)+IF( AND((COUNTIF(AR$2:AR$33,'Your Team'!$D$5)&gt;0),TRUE ),1,0)+IF( AND((COUNTIF(AR$2:AR$33,'Your Team'!$D$6)&gt;0),TRUE ),1,0)+IF( AND((COUNTIF(AR$2:AR$33,'Your Team'!$D$7)&gt;0),TRUE ),1,0)+IF( AND((COUNTIF(AR$2:AR$33,'Your Team'!$D$8)&gt;0),TRUE ),1,0)+IF( AND((COUNTIF(AR$2:AR$33,'Your Team'!$D$9)&gt;0),TRUE ),1,0)+IF( AND((COUNTIF(AR$2:AR$33,'Your Team'!$D$10)&gt;0),TRUE),1,0)+IF( AND((COUNTIF(AR$2:AR$33,'Your Team'!$D$11)&gt;0),TRUE ),1,0)+IF( AND((COUNTIF(AR$2:AR$33,'Your Team'!$D$12)&gt;0),TRUE ),1,0)+IF( AND((COUNTIF(AR$2:AR$33,'Your Team'!$D$13)&gt;0),TRUE ),1,0)+IF( AND((COUNTIF(AR$2:AR$33,'Your Team'!$D$14)&gt;0),TRUE ),1,0)+IF( AND((COUNTIF(AR$2:AR$33,'Your Team'!$D$15)&gt;0),TRUE ),1,0)+IF( AND((COUNTIF(AR$2:AR$33,'Your Team'!$D$16)&gt;0),TRUE ),1,0)+IF( AND((COUNTIF(AR$2:AR$33,'Your Team'!$D$17)&gt;0),TRUE ),1,0)+IF( AND((COUNTIF(AR$2:AR$33,'Your Team'!$D$18)&gt;0),TRUE ),1,0)+IF( AND((COUNTIF(AR$2:AR$33,'Your Team'!$D$19)&gt;0),TRUE ),1,0)</f>
        <v>0</v>
      </c>
      <c r="AS37" s="9">
        <f>IF( AND((COUNTIF(AS$2:AS$33,'Your Team'!$D$3)&gt;0),TRUE ),1,0)+IF( AND((COUNTIF(AS$2:AS$33,'Your Team'!$D$4)&gt;0),TRUE),1,0)+IF( AND((COUNTIF(AS$2:AS$33,'Your Team'!$D$5)&gt;0),TRUE ),1,0)+IF( AND((COUNTIF(AS$2:AS$33,'Your Team'!$D$6)&gt;0),TRUE ),1,0)+IF( AND((COUNTIF(AS$2:AS$33,'Your Team'!$D$7)&gt;0),TRUE ),1,0)+IF( AND((COUNTIF(AS$2:AS$33,'Your Team'!$D$8)&gt;0),TRUE ),1,0)+IF( AND((COUNTIF(AS$2:AS$33,'Your Team'!$D$9)&gt;0),TRUE ),1,0)+IF( AND((COUNTIF(AS$2:AS$33,'Your Team'!$D$10)&gt;0),TRUE),1,0)+IF( AND((COUNTIF(AS$2:AS$33,'Your Team'!$D$11)&gt;0),TRUE ),1,0)+IF( AND((COUNTIF(AS$2:AS$33,'Your Team'!$D$12)&gt;0),TRUE ),1,0)+IF( AND((COUNTIF(AS$2:AS$33,'Your Team'!$D$13)&gt;0),TRUE ),1,0)+IF( AND((COUNTIF(AS$2:AS$33,'Your Team'!$D$14)&gt;0),TRUE ),1,0)+IF( AND((COUNTIF(AS$2:AS$33,'Your Team'!$D$15)&gt;0),TRUE ),1,0)+IF( AND((COUNTIF(AS$2:AS$33,'Your Team'!$D$16)&gt;0),TRUE ),1,0)+IF( AND((COUNTIF(AS$2:AS$33,'Your Team'!$D$17)&gt;0),TRUE ),1,0)+IF( AND((COUNTIF(AS$2:AS$33,'Your Team'!$D$18)&gt;0),TRUE ),1,0)+IF( AND((COUNTIF(AS$2:AS$33,'Your Team'!$D$19)&gt;0),TRUE ),1,0)</f>
        <v>0</v>
      </c>
      <c r="AT37" s="9">
        <f>IF( AND((COUNTIF(AT$2:AT$33,'Your Team'!$D$3)&gt;0),TRUE ),1,0)+IF( AND((COUNTIF(AT$2:AT$33,'Your Team'!$D$4)&gt;0),TRUE),1,0)+IF( AND((COUNTIF(AT$2:AT$33,'Your Team'!$D$5)&gt;0),TRUE ),1,0)+IF( AND((COUNTIF(AT$2:AT$33,'Your Team'!$D$6)&gt;0),TRUE ),1,0)+IF( AND((COUNTIF(AT$2:AT$33,'Your Team'!$D$7)&gt;0),TRUE ),1,0)+IF( AND((COUNTIF(AT$2:AT$33,'Your Team'!$D$8)&gt;0),TRUE ),1,0)+IF( AND((COUNTIF(AT$2:AT$33,'Your Team'!$D$9)&gt;0),TRUE ),1,0)+IF( AND((COUNTIF(AT$2:AT$33,'Your Team'!$D$10)&gt;0),TRUE),1,0)+IF( AND((COUNTIF(AT$2:AT$33,'Your Team'!$D$11)&gt;0),TRUE ),1,0)+IF( AND((COUNTIF(AT$2:AT$33,'Your Team'!$D$12)&gt;0),TRUE ),1,0)+IF( AND((COUNTIF(AT$2:AT$33,'Your Team'!$D$13)&gt;0),TRUE ),1,0)+IF( AND((COUNTIF(AT$2:AT$33,'Your Team'!$D$14)&gt;0),TRUE ),1,0)+IF( AND((COUNTIF(AT$2:AT$33,'Your Team'!$D$15)&gt;0),TRUE ),1,0)+IF( AND((COUNTIF(AT$2:AT$33,'Your Team'!$D$16)&gt;0),TRUE ),1,0)+IF( AND((COUNTIF(AT$2:AT$33,'Your Team'!$D$17)&gt;0),TRUE ),1,0)+IF( AND((COUNTIF(AT$2:AT$33,'Your Team'!$D$18)&gt;0),TRUE ),1,0)+IF( AND((COUNTIF(AT$2:AT$33,'Your Team'!$D$19)&gt;0),TRUE ),1,0)</f>
        <v>0</v>
      </c>
      <c r="AU37" s="9">
        <f>IF( AND((COUNTIF(AU$2:AU$33,'Your Team'!$D$3)&gt;0),TRUE ),1,0)+IF( AND((COUNTIF(AU$2:AU$33,'Your Team'!$D$4)&gt;0),TRUE),1,0)+IF( AND((COUNTIF(AU$2:AU$33,'Your Team'!$D$5)&gt;0),TRUE ),1,0)+IF( AND((COUNTIF(AU$2:AU$33,'Your Team'!$D$6)&gt;0),TRUE ),1,0)+IF( AND((COUNTIF(AU$2:AU$33,'Your Team'!$D$7)&gt;0),TRUE ),1,0)+IF( AND((COUNTIF(AU$2:AU$33,'Your Team'!$D$8)&gt;0),TRUE ),1,0)+IF( AND((COUNTIF(AU$2:AU$33,'Your Team'!$D$9)&gt;0),TRUE ),1,0)+IF( AND((COUNTIF(AU$2:AU$33,'Your Team'!$D$10)&gt;0),TRUE),1,0)+IF( AND((COUNTIF(AU$2:AU$33,'Your Team'!$D$11)&gt;0),TRUE ),1,0)+IF( AND((COUNTIF(AU$2:AU$33,'Your Team'!$D$12)&gt;0),TRUE ),1,0)+IF( AND((COUNTIF(AU$2:AU$33,'Your Team'!$D$13)&gt;0),TRUE ),1,0)+IF( AND((COUNTIF(AU$2:AU$33,'Your Team'!$D$14)&gt;0),TRUE ),1,0)+IF( AND((COUNTIF(AU$2:AU$33,'Your Team'!$D$15)&gt;0),TRUE ),1,0)+IF( AND((COUNTIF(AU$2:AU$33,'Your Team'!$D$16)&gt;0),TRUE ),1,0)+IF( AND((COUNTIF(AU$2:AU$33,'Your Team'!$D$17)&gt;0),TRUE ),1,0)+IF( AND((COUNTIF(AU$2:AU$33,'Your Team'!$D$18)&gt;0),TRUE ),1,0)+IF( AND((COUNTIF(AU$2:AU$33,'Your Team'!$D$19)&gt;0),TRUE ),1,0)</f>
        <v>0</v>
      </c>
      <c r="AV37" s="9">
        <f>IF( AND((COUNTIF(AV$2:AV$33,'Your Team'!$D$3)&gt;0),TRUE ),1,0)+IF( AND((COUNTIF(AV$2:AV$33,'Your Team'!$D$4)&gt;0),TRUE),1,0)+IF( AND((COUNTIF(AV$2:AV$33,'Your Team'!$D$5)&gt;0),TRUE ),1,0)+IF( AND((COUNTIF(AV$2:AV$33,'Your Team'!$D$6)&gt;0),TRUE ),1,0)+IF( AND((COUNTIF(AV$2:AV$33,'Your Team'!$D$7)&gt;0),TRUE ),1,0)+IF( AND((COUNTIF(AV$2:AV$33,'Your Team'!$D$8)&gt;0),TRUE ),1,0)+IF( AND((COUNTIF(AV$2:AV$33,'Your Team'!$D$9)&gt;0),TRUE ),1,0)+IF( AND((COUNTIF(AV$2:AV$33,'Your Team'!$D$10)&gt;0),TRUE),1,0)+IF( AND((COUNTIF(AV$2:AV$33,'Your Team'!$D$11)&gt;0),TRUE ),1,0)+IF( AND((COUNTIF(AV$2:AV$33,'Your Team'!$D$12)&gt;0),TRUE ),1,0)+IF( AND((COUNTIF(AV$2:AV$33,'Your Team'!$D$13)&gt;0),TRUE ),1,0)+IF( AND((COUNTIF(AV$2:AV$33,'Your Team'!$D$14)&gt;0),TRUE ),1,0)+IF( AND((COUNTIF(AV$2:AV$33,'Your Team'!$D$15)&gt;0),TRUE ),1,0)+IF( AND((COUNTIF(AV$2:AV$33,'Your Team'!$D$16)&gt;0),TRUE ),1,0)+IF( AND((COUNTIF(AV$2:AV$33,'Your Team'!$D$17)&gt;0),TRUE ),1,0)+IF( AND((COUNTIF(AV$2:AV$33,'Your Team'!$D$18)&gt;0),TRUE ),1,0)+IF( AND((COUNTIF(AV$2:AV$33,'Your Team'!$D$19)&gt;0),TRUE ),1,0)</f>
        <v>0</v>
      </c>
      <c r="AW37" s="9">
        <f>IF( AND((COUNTIF(AW$2:AW$33,'Your Team'!$D$3)&gt;0),TRUE ),1,0)+IF( AND((COUNTIF(AW$2:AW$33,'Your Team'!$D$4)&gt;0),TRUE),1,0)+IF( AND((COUNTIF(AW$2:AW$33,'Your Team'!$D$5)&gt;0),TRUE ),1,0)+IF( AND((COUNTIF(AW$2:AW$33,'Your Team'!$D$6)&gt;0),TRUE ),1,0)+IF( AND((COUNTIF(AW$2:AW$33,'Your Team'!$D$7)&gt;0),TRUE ),1,0)+IF( AND((COUNTIF(AW$2:AW$33,'Your Team'!$D$8)&gt;0),TRUE ),1,0)+IF( AND((COUNTIF(AW$2:AW$33,'Your Team'!$D$9)&gt;0),TRUE ),1,0)+IF( AND((COUNTIF(AW$2:AW$33,'Your Team'!$D$10)&gt;0),TRUE),1,0)+IF( AND((COUNTIF(AW$2:AW$33,'Your Team'!$D$11)&gt;0),TRUE ),1,0)+IF( AND((COUNTIF(AW$2:AW$33,'Your Team'!$D$12)&gt;0),TRUE ),1,0)+IF( AND((COUNTIF(AW$2:AW$33,'Your Team'!$D$13)&gt;0),TRUE ),1,0)+IF( AND((COUNTIF(AW$2:AW$33,'Your Team'!$D$14)&gt;0),TRUE ),1,0)+IF( AND((COUNTIF(AW$2:AW$33,'Your Team'!$D$15)&gt;0),TRUE ),1,0)+IF( AND((COUNTIF(AW$2:AW$33,'Your Team'!$D$16)&gt;0),TRUE ),1,0)+IF( AND((COUNTIF(AW$2:AW$33,'Your Team'!$D$17)&gt;0),TRUE ),1,0)+IF( AND((COUNTIF(AW$2:AW$33,'Your Team'!$D$18)&gt;0),TRUE ),1,0)+IF( AND((COUNTIF(AW$2:AW$33,'Your Team'!$D$19)&gt;0),TRUE ),1,0)</f>
        <v>0</v>
      </c>
      <c r="AX37" s="9">
        <f>IF( AND((COUNTIF(AX$2:AX$33,'Your Team'!$D$3)&gt;0),TRUE ),1,0)+IF( AND((COUNTIF(AX$2:AX$33,'Your Team'!$D$4)&gt;0),TRUE),1,0)+IF( AND((COUNTIF(AX$2:AX$33,'Your Team'!$D$5)&gt;0),TRUE ),1,0)+IF( AND((COUNTIF(AX$2:AX$33,'Your Team'!$D$6)&gt;0),TRUE ),1,0)+IF( AND((COUNTIF(AX$2:AX$33,'Your Team'!$D$7)&gt;0),TRUE ),1,0)+IF( AND((COUNTIF(AX$2:AX$33,'Your Team'!$D$8)&gt;0),TRUE ),1,0)+IF( AND((COUNTIF(AX$2:AX$33,'Your Team'!$D$9)&gt;0),TRUE ),1,0)+IF( AND((COUNTIF(AX$2:AX$33,'Your Team'!$D$10)&gt;0),TRUE),1,0)+IF( AND((COUNTIF(AX$2:AX$33,'Your Team'!$D$11)&gt;0),TRUE ),1,0)+IF( AND((COUNTIF(AX$2:AX$33,'Your Team'!$D$12)&gt;0),TRUE ),1,0)+IF( AND((COUNTIF(AX$2:AX$33,'Your Team'!$D$13)&gt;0),TRUE ),1,0)+IF( AND((COUNTIF(AX$2:AX$33,'Your Team'!$D$14)&gt;0),TRUE ),1,0)+IF( AND((COUNTIF(AX$2:AX$33,'Your Team'!$D$15)&gt;0),TRUE ),1,0)+IF( AND((COUNTIF(AX$2:AX$33,'Your Team'!$D$16)&gt;0),TRUE ),1,0)+IF( AND((COUNTIF(AX$2:AX$33,'Your Team'!$D$17)&gt;0),TRUE ),1,0)+IF( AND((COUNTIF(AX$2:AX$33,'Your Team'!$D$18)&gt;0),TRUE ),1,0)+IF( AND((COUNTIF(AX$2:AX$33,'Your Team'!$D$19)&gt;0),TRUE ),1,0)</f>
        <v>0</v>
      </c>
      <c r="AY37" s="9">
        <f>IF( AND((COUNTIF(AY$2:AY$33,'Your Team'!$D$3)&gt;0),TRUE ),1,0)+IF( AND((COUNTIF(AY$2:AY$33,'Your Team'!$D$4)&gt;0),TRUE),1,0)+IF( AND((COUNTIF(AY$2:AY$33,'Your Team'!$D$5)&gt;0),TRUE ),1,0)+IF( AND((COUNTIF(AY$2:AY$33,'Your Team'!$D$6)&gt;0),TRUE ),1,0)+IF( AND((COUNTIF(AY$2:AY$33,'Your Team'!$D$7)&gt;0),TRUE ),1,0)+IF( AND((COUNTIF(AY$2:AY$33,'Your Team'!$D$8)&gt;0),TRUE ),1,0)+IF( AND((COUNTIF(AY$2:AY$33,'Your Team'!$D$9)&gt;0),TRUE ),1,0)+IF( AND((COUNTIF(AY$2:AY$33,'Your Team'!$D$10)&gt;0),TRUE),1,0)+IF( AND((COUNTIF(AY$2:AY$33,'Your Team'!$D$11)&gt;0),TRUE ),1,0)+IF( AND((COUNTIF(AY$2:AY$33,'Your Team'!$D$12)&gt;0),TRUE ),1,0)+IF( AND((COUNTIF(AY$2:AY$33,'Your Team'!$D$13)&gt;0),TRUE ),1,0)+IF( AND((COUNTIF(AY$2:AY$33,'Your Team'!$D$14)&gt;0),TRUE ),1,0)+IF( AND((COUNTIF(AY$2:AY$33,'Your Team'!$D$15)&gt;0),TRUE ),1,0)+IF( AND((COUNTIF(AY$2:AY$33,'Your Team'!$D$16)&gt;0),TRUE ),1,0)+IF( AND((COUNTIF(AY$2:AY$33,'Your Team'!$D$17)&gt;0),TRUE ),1,0)+IF( AND((COUNTIF(AY$2:AY$33,'Your Team'!$D$18)&gt;0),TRUE ),1,0)+IF( AND((COUNTIF(AY$2:AY$33,'Your Team'!$D$19)&gt;0),TRUE ),1,0)</f>
        <v>0</v>
      </c>
      <c r="AZ37" s="9">
        <f>IF( AND((COUNTIF(AZ$2:AZ$33,'Your Team'!$D$3)&gt;0),TRUE ),1,0)+IF( AND((COUNTIF(AZ$2:AZ$33,'Your Team'!$D$4)&gt;0),TRUE),1,0)+IF( AND((COUNTIF(AZ$2:AZ$33,'Your Team'!$D$5)&gt;0),TRUE ),1,0)+IF( AND((COUNTIF(AZ$2:AZ$33,'Your Team'!$D$6)&gt;0),TRUE ),1,0)+IF( AND((COUNTIF(AZ$2:AZ$33,'Your Team'!$D$7)&gt;0),TRUE ),1,0)+IF( AND((COUNTIF(AZ$2:AZ$33,'Your Team'!$D$8)&gt;0),TRUE ),1,0)+IF( AND((COUNTIF(AZ$2:AZ$33,'Your Team'!$D$9)&gt;0),TRUE ),1,0)+IF( AND((COUNTIF(AZ$2:AZ$33,'Your Team'!$D$10)&gt;0),TRUE),1,0)+IF( AND((COUNTIF(AZ$2:AZ$33,'Your Team'!$D$11)&gt;0),TRUE ),1,0)+IF( AND((COUNTIF(AZ$2:AZ$33,'Your Team'!$D$12)&gt;0),TRUE ),1,0)+IF( AND((COUNTIF(AZ$2:AZ$33,'Your Team'!$D$13)&gt;0),TRUE ),1,0)+IF( AND((COUNTIF(AZ$2:AZ$33,'Your Team'!$D$14)&gt;0),TRUE ),1,0)+IF( AND((COUNTIF(AZ$2:AZ$33,'Your Team'!$D$15)&gt;0),TRUE ),1,0)+IF( AND((COUNTIF(AZ$2:AZ$33,'Your Team'!$D$16)&gt;0),TRUE ),1,0)+IF( AND((COUNTIF(AZ$2:AZ$33,'Your Team'!$D$17)&gt;0),TRUE ),1,0)+IF( AND((COUNTIF(AZ$2:AZ$33,'Your Team'!$D$18)&gt;0),TRUE ),1,0)+IF( AND((COUNTIF(AZ$2:AZ$33,'Your Team'!$D$19)&gt;0),TRUE ),1,0)</f>
        <v>0</v>
      </c>
      <c r="BA37" s="9">
        <f>IF( AND((COUNTIF(BA$2:BA$33,'Your Team'!$D$3)&gt;0),TRUE ),1,0)+IF( AND((COUNTIF(BA$2:BA$33,'Your Team'!$D$4)&gt;0),TRUE),1,0)+IF( AND((COUNTIF(BA$2:BA$33,'Your Team'!$D$5)&gt;0),TRUE ),1,0)+IF( AND((COUNTIF(BA$2:BA$33,'Your Team'!$D$6)&gt;0),TRUE ),1,0)+IF( AND((COUNTIF(BA$2:BA$33,'Your Team'!$D$7)&gt;0),TRUE ),1,0)+IF( AND((COUNTIF(BA$2:BA$33,'Your Team'!$D$8)&gt;0),TRUE ),1,0)+IF( AND((COUNTIF(BA$2:BA$33,'Your Team'!$D$9)&gt;0),TRUE ),1,0)+IF( AND((COUNTIF(BA$2:BA$33,'Your Team'!$D$10)&gt;0),TRUE),1,0)+IF( AND((COUNTIF(BA$2:BA$33,'Your Team'!$D$11)&gt;0),TRUE ),1,0)+IF( AND((COUNTIF(BA$2:BA$33,'Your Team'!$D$12)&gt;0),TRUE ),1,0)+IF( AND((COUNTIF(BA$2:BA$33,'Your Team'!$D$13)&gt;0),TRUE ),1,0)+IF( AND((COUNTIF(BA$2:BA$33,'Your Team'!$D$14)&gt;0),TRUE ),1,0)+IF( AND((COUNTIF(BA$2:BA$33,'Your Team'!$D$15)&gt;0),TRUE ),1,0)+IF( AND((COUNTIF(BA$2:BA$33,'Your Team'!$D$16)&gt;0),TRUE ),1,0)+IF( AND((COUNTIF(BA$2:BA$33,'Your Team'!$D$17)&gt;0),TRUE ),1,0)+IF( AND((COUNTIF(BA$2:BA$33,'Your Team'!$D$18)&gt;0),TRUE ),1,0)+IF( AND((COUNTIF(BA$2:BA$33,'Your Team'!$D$19)&gt;0),TRUE ),1,0)</f>
        <v>0</v>
      </c>
      <c r="BB37" s="9">
        <f>IF( AND((COUNTIF(BB$2:BB$33,'Your Team'!$D$3)&gt;0),TRUE ),1,0)+IF( AND((COUNTIF(BB$2:BB$33,'Your Team'!$D$4)&gt;0),TRUE),1,0)+IF( AND((COUNTIF(BB$2:BB$33,'Your Team'!$D$5)&gt;0),TRUE ),1,0)+IF( AND((COUNTIF(BB$2:BB$33,'Your Team'!$D$6)&gt;0),TRUE ),1,0)+IF( AND((COUNTIF(BB$2:BB$33,'Your Team'!$D$7)&gt;0),TRUE ),1,0)+IF( AND((COUNTIF(BB$2:BB$33,'Your Team'!$D$8)&gt;0),TRUE ),1,0)+IF( AND((COUNTIF(BB$2:BB$33,'Your Team'!$D$9)&gt;0),TRUE ),1,0)+IF( AND((COUNTIF(BB$2:BB$33,'Your Team'!$D$10)&gt;0),TRUE),1,0)+IF( AND((COUNTIF(BB$2:BB$33,'Your Team'!$D$11)&gt;0),TRUE ),1,0)+IF( AND((COUNTIF(BB$2:BB$33,'Your Team'!$D$12)&gt;0),TRUE ),1,0)+IF( AND((COUNTIF(BB$2:BB$33,'Your Team'!$D$13)&gt;0),TRUE ),1,0)+IF( AND((COUNTIF(BB$2:BB$33,'Your Team'!$D$14)&gt;0),TRUE ),1,0)+IF( AND((COUNTIF(BB$2:BB$33,'Your Team'!$D$15)&gt;0),TRUE ),1,0)+IF( AND((COUNTIF(BB$2:BB$33,'Your Team'!$D$16)&gt;0),TRUE ),1,0)+IF( AND((COUNTIF(BB$2:BB$33,'Your Team'!$D$17)&gt;0),TRUE ),1,0)+IF( AND((COUNTIF(BB$2:BB$33,'Your Team'!$D$18)&gt;0),TRUE ),1,0)+IF( AND((COUNTIF(BB$2:BB$33,'Your Team'!$D$19)&gt;0),TRUE ),1,0)</f>
        <v>0</v>
      </c>
      <c r="BC37" s="9">
        <f>IF( AND((COUNTIF(BC$2:BC$33,'Your Team'!$D$3)&gt;0),TRUE ),1,0)+IF( AND((COUNTIF(BC$2:BC$33,'Your Team'!$D$4)&gt;0),TRUE),1,0)+IF( AND((COUNTIF(BC$2:BC$33,'Your Team'!$D$5)&gt;0),TRUE ),1,0)+IF( AND((COUNTIF(BC$2:BC$33,'Your Team'!$D$6)&gt;0),TRUE ),1,0)+IF( AND((COUNTIF(BC$2:BC$33,'Your Team'!$D$7)&gt;0),TRUE ),1,0)+IF( AND((COUNTIF(BC$2:BC$33,'Your Team'!$D$8)&gt;0),TRUE ),1,0)+IF( AND((COUNTIF(BC$2:BC$33,'Your Team'!$D$9)&gt;0),TRUE ),1,0)+IF( AND((COUNTIF(BC$2:BC$33,'Your Team'!$D$10)&gt;0),TRUE),1,0)+IF( AND((COUNTIF(BC$2:BC$33,'Your Team'!$D$11)&gt;0),TRUE ),1,0)+IF( AND((COUNTIF(BC$2:BC$33,'Your Team'!$D$12)&gt;0),TRUE ),1,0)+IF( AND((COUNTIF(BC$2:BC$33,'Your Team'!$D$13)&gt;0),TRUE ),1,0)+IF( AND((COUNTIF(BC$2:BC$33,'Your Team'!$D$14)&gt;0),TRUE ),1,0)+IF( AND((COUNTIF(BC$2:BC$33,'Your Team'!$D$15)&gt;0),TRUE ),1,0)+IF( AND((COUNTIF(BC$2:BC$33,'Your Team'!$D$16)&gt;0),TRUE ),1,0)+IF( AND((COUNTIF(BC$2:BC$33,'Your Team'!$D$17)&gt;0),TRUE ),1,0)+IF( AND((COUNTIF(BC$2:BC$33,'Your Team'!$D$18)&gt;0),TRUE ),1,0)+IF( AND((COUNTIF(BC$2:BC$33,'Your Team'!$D$19)&gt;0),TRUE ),1,0)</f>
        <v>0</v>
      </c>
      <c r="BD37" s="9">
        <f>IF( AND((COUNTIF(BD$2:BD$33,'Your Team'!$D$3)&gt;0),TRUE ),1,0)+IF( AND((COUNTIF(BD$2:BD$33,'Your Team'!$D$4)&gt;0),TRUE),1,0)+IF( AND((COUNTIF(BD$2:BD$33,'Your Team'!$D$5)&gt;0),TRUE ),1,0)+IF( AND((COUNTIF(BD$2:BD$33,'Your Team'!$D$6)&gt;0),TRUE ),1,0)+IF( AND((COUNTIF(BD$2:BD$33,'Your Team'!$D$7)&gt;0),TRUE ),1,0)+IF( AND((COUNTIF(BD$2:BD$33,'Your Team'!$D$8)&gt;0),TRUE ),1,0)+IF( AND((COUNTIF(BD$2:BD$33,'Your Team'!$D$9)&gt;0),TRUE ),1,0)+IF( AND((COUNTIF(BD$2:BD$33,'Your Team'!$D$10)&gt;0),TRUE),1,0)+IF( AND((COUNTIF(BD$2:BD$33,'Your Team'!$D$11)&gt;0),TRUE ),1,0)+IF( AND((COUNTIF(BD$2:BD$33,'Your Team'!$D$12)&gt;0),TRUE ),1,0)+IF( AND((COUNTIF(BD$2:BD$33,'Your Team'!$D$13)&gt;0),TRUE ),1,0)+IF( AND((COUNTIF(BD$2:BD$33,'Your Team'!$D$14)&gt;0),TRUE ),1,0)+IF( AND((COUNTIF(BD$2:BD$33,'Your Team'!$D$15)&gt;0),TRUE ),1,0)+IF( AND((COUNTIF(BD$2:BD$33,'Your Team'!$D$16)&gt;0),TRUE ),1,0)+IF( AND((COUNTIF(BD$2:BD$33,'Your Team'!$D$17)&gt;0),TRUE ),1,0)+IF( AND((COUNTIF(BD$2:BD$33,'Your Team'!$D$18)&gt;0),TRUE ),1,0)+IF( AND((COUNTIF(BD$2:BD$33,'Your Team'!$D$19)&gt;0),TRUE ),1,0)</f>
        <v>0</v>
      </c>
      <c r="BE37" s="9">
        <f>IF( AND((COUNTIF(BE$2:BE$33,'Your Team'!$D$3)&gt;0),TRUE ),1,0)+IF( AND((COUNTIF(BE$2:BE$33,'Your Team'!$D$4)&gt;0),TRUE),1,0)+IF( AND((COUNTIF(BE$2:BE$33,'Your Team'!$D$5)&gt;0),TRUE ),1,0)+IF( AND((COUNTIF(BE$2:BE$33,'Your Team'!$D$6)&gt;0),TRUE ),1,0)+IF( AND((COUNTIF(BE$2:BE$33,'Your Team'!$D$7)&gt;0),TRUE ),1,0)+IF( AND((COUNTIF(BE$2:BE$33,'Your Team'!$D$8)&gt;0),TRUE ),1,0)+IF( AND((COUNTIF(BE$2:BE$33,'Your Team'!$D$9)&gt;0),TRUE ),1,0)+IF( AND((COUNTIF(BE$2:BE$33,'Your Team'!$D$10)&gt;0),TRUE),1,0)+IF( AND((COUNTIF(BE$2:BE$33,'Your Team'!$D$11)&gt;0),TRUE ),1,0)+IF( AND((COUNTIF(BE$2:BE$33,'Your Team'!$D$12)&gt;0),TRUE ),1,0)+IF( AND((COUNTIF(BE$2:BE$33,'Your Team'!$D$13)&gt;0),TRUE ),1,0)+IF( AND((COUNTIF(BE$2:BE$33,'Your Team'!$D$14)&gt;0),TRUE ),1,0)+IF( AND((COUNTIF(BE$2:BE$33,'Your Team'!$D$15)&gt;0),TRUE ),1,0)+IF( AND((COUNTIF(BE$2:BE$33,'Your Team'!$D$16)&gt;0),TRUE ),1,0)+IF( AND((COUNTIF(BE$2:BE$33,'Your Team'!$D$17)&gt;0),TRUE ),1,0)+IF( AND((COUNTIF(BE$2:BE$33,'Your Team'!$D$18)&gt;0),TRUE ),1,0)+IF( AND((COUNTIF(BE$2:BE$33,'Your Team'!$D$19)&gt;0),TRUE ),1,0)</f>
        <v>0</v>
      </c>
      <c r="BF37" s="9">
        <f>IF( AND((COUNTIF(BF$2:BF$33,'Your Team'!$D$3)&gt;0),TRUE ),1,0)+IF( AND((COUNTIF(BF$2:BF$33,'Your Team'!$D$4)&gt;0),TRUE),1,0)+IF( AND((COUNTIF(BF$2:BF$33,'Your Team'!$D$5)&gt;0),TRUE ),1,0)+IF( AND((COUNTIF(BF$2:BF$33,'Your Team'!$D$6)&gt;0),TRUE ),1,0)+IF( AND((COUNTIF(BF$2:BF$33,'Your Team'!$D$7)&gt;0),TRUE ),1,0)+IF( AND((COUNTIF(BF$2:BF$33,'Your Team'!$D$8)&gt;0),TRUE ),1,0)+IF( AND((COUNTIF(BF$2:BF$33,'Your Team'!$D$9)&gt;0),TRUE ),1,0)+IF( AND((COUNTIF(BF$2:BF$33,'Your Team'!$D$10)&gt;0),TRUE),1,0)+IF( AND((COUNTIF(BF$2:BF$33,'Your Team'!$D$11)&gt;0),TRUE ),1,0)+IF( AND((COUNTIF(BF$2:BF$33,'Your Team'!$D$12)&gt;0),TRUE ),1,0)+IF( AND((COUNTIF(BF$2:BF$33,'Your Team'!$D$13)&gt;0),TRUE ),1,0)+IF( AND((COUNTIF(BF$2:BF$33,'Your Team'!$D$14)&gt;0),TRUE ),1,0)+IF( AND((COUNTIF(BF$2:BF$33,'Your Team'!$D$15)&gt;0),TRUE ),1,0)+IF( AND((COUNTIF(BF$2:BF$33,'Your Team'!$D$16)&gt;0),TRUE ),1,0)+IF( AND((COUNTIF(BF$2:BF$33,'Your Team'!$D$17)&gt;0),TRUE ),1,0)+IF( AND((COUNTIF(BF$2:BF$33,'Your Team'!$D$18)&gt;0),TRUE ),1,0)+IF( AND((COUNTIF(BF$2:BF$33,'Your Team'!$D$19)&gt;0),TRUE ),1,0)</f>
        <v>0</v>
      </c>
      <c r="BG37" s="9">
        <f>IF( AND((COUNTIF(BG$2:BG$33,'Your Team'!$D$3)&gt;0),TRUE ),1,0)+IF( AND((COUNTIF(BG$2:BG$33,'Your Team'!$D$4)&gt;0),TRUE),1,0)+IF( AND((COUNTIF(BG$2:BG$33,'Your Team'!$D$5)&gt;0),TRUE ),1,0)+IF( AND((COUNTIF(BG$2:BG$33,'Your Team'!$D$6)&gt;0),TRUE ),1,0)+IF( AND((COUNTIF(BG$2:BG$33,'Your Team'!$D$7)&gt;0),TRUE ),1,0)+IF( AND((COUNTIF(BG$2:BG$33,'Your Team'!$D$8)&gt;0),TRUE ),1,0)+IF( AND((COUNTIF(BG$2:BG$33,'Your Team'!$D$9)&gt;0),TRUE ),1,0)+IF( AND((COUNTIF(BG$2:BG$33,'Your Team'!$D$10)&gt;0),TRUE),1,0)+IF( AND((COUNTIF(BG$2:BG$33,'Your Team'!$D$11)&gt;0),TRUE ),1,0)+IF( AND((COUNTIF(BG$2:BG$33,'Your Team'!$D$12)&gt;0),TRUE ),1,0)+IF( AND((COUNTIF(BG$2:BG$33,'Your Team'!$D$13)&gt;0),TRUE ),1,0)+IF( AND((COUNTIF(BG$2:BG$33,'Your Team'!$D$14)&gt;0),TRUE ),1,0)+IF( AND((COUNTIF(BG$2:BG$33,'Your Team'!$D$15)&gt;0),TRUE ),1,0)+IF( AND((COUNTIF(BG$2:BG$33,'Your Team'!$D$16)&gt;0),TRUE ),1,0)+IF( AND((COUNTIF(BG$2:BG$33,'Your Team'!$D$17)&gt;0),TRUE ),1,0)+IF( AND((COUNTIF(BG$2:BG$33,'Your Team'!$D$18)&gt;0),TRUE ),1,0)+IF( AND((COUNTIF(BG$2:BG$33,'Your Team'!$D$19)&gt;0),TRUE ),1,0)</f>
        <v>0</v>
      </c>
      <c r="BH37" s="9">
        <f>IF( AND((COUNTIF(BH$2:BH$33,'Your Team'!$D$3)&gt;0),TRUE ),1,0)+IF( AND((COUNTIF(BH$2:BH$33,'Your Team'!$D$4)&gt;0),TRUE),1,0)+IF( AND((COUNTIF(BH$2:BH$33,'Your Team'!$D$5)&gt;0),TRUE ),1,0)+IF( AND((COUNTIF(BH$2:BH$33,'Your Team'!$D$6)&gt;0),TRUE ),1,0)+IF( AND((COUNTIF(BH$2:BH$33,'Your Team'!$D$7)&gt;0),TRUE ),1,0)+IF( AND((COUNTIF(BH$2:BH$33,'Your Team'!$D$8)&gt;0),TRUE ),1,0)+IF( AND((COUNTIF(BH$2:BH$33,'Your Team'!$D$9)&gt;0),TRUE ),1,0)+IF( AND((COUNTIF(BH$2:BH$33,'Your Team'!$D$10)&gt;0),TRUE),1,0)+IF( AND((COUNTIF(BH$2:BH$33,'Your Team'!$D$11)&gt;0),TRUE ),1,0)+IF( AND((COUNTIF(BH$2:BH$33,'Your Team'!$D$12)&gt;0),TRUE ),1,0)+IF( AND((COUNTIF(BH$2:BH$33,'Your Team'!$D$13)&gt;0),TRUE ),1,0)+IF( AND((COUNTIF(BH$2:BH$33,'Your Team'!$D$14)&gt;0),TRUE ),1,0)+IF( AND((COUNTIF(BH$2:BH$33,'Your Team'!$D$15)&gt;0),TRUE ),1,0)+IF( AND((COUNTIF(BH$2:BH$33,'Your Team'!$D$16)&gt;0),TRUE ),1,0)+IF( AND((COUNTIF(BH$2:BH$33,'Your Team'!$D$17)&gt;0),TRUE ),1,0)+IF( AND((COUNTIF(BH$2:BH$33,'Your Team'!$D$18)&gt;0),TRUE ),1,0)+IF( AND((COUNTIF(BH$2:BH$33,'Your Team'!$D$19)&gt;0),TRUE ),1,0)</f>
        <v>0</v>
      </c>
      <c r="BI37" s="9">
        <f>IF( AND((COUNTIF(BI$2:BI$33,'Your Team'!$D$3)&gt;0),TRUE ),1,0)+IF( AND((COUNTIF(BI$2:BI$33,'Your Team'!$D$4)&gt;0),TRUE),1,0)+IF( AND((COUNTIF(BI$2:BI$33,'Your Team'!$D$5)&gt;0),TRUE ),1,0)+IF( AND((COUNTIF(BI$2:BI$33,'Your Team'!$D$6)&gt;0),TRUE ),1,0)+IF( AND((COUNTIF(BI$2:BI$33,'Your Team'!$D$7)&gt;0),TRUE ),1,0)+IF( AND((COUNTIF(BI$2:BI$33,'Your Team'!$D$8)&gt;0),TRUE ),1,0)+IF( AND((COUNTIF(BI$2:BI$33,'Your Team'!$D$9)&gt;0),TRUE ),1,0)+IF( AND((COUNTIF(BI$2:BI$33,'Your Team'!$D$10)&gt;0),TRUE),1,0)+IF( AND((COUNTIF(BI$2:BI$33,'Your Team'!$D$11)&gt;0),TRUE ),1,0)+IF( AND((COUNTIF(BI$2:BI$33,'Your Team'!$D$12)&gt;0),TRUE ),1,0)+IF( AND((COUNTIF(BI$2:BI$33,'Your Team'!$D$13)&gt;0),TRUE ),1,0)+IF( AND((COUNTIF(BI$2:BI$33,'Your Team'!$D$14)&gt;0),TRUE ),1,0)+IF( AND((COUNTIF(BI$2:BI$33,'Your Team'!$D$15)&gt;0),TRUE ),1,0)+IF( AND((COUNTIF(BI$2:BI$33,'Your Team'!$D$16)&gt;0),TRUE ),1,0)+IF( AND((COUNTIF(BI$2:BI$33,'Your Team'!$D$17)&gt;0),TRUE ),1,0)+IF( AND((COUNTIF(BI$2:BI$33,'Your Team'!$D$18)&gt;0),TRUE ),1,0)+IF( AND((COUNTIF(BI$2:BI$33,'Your Team'!$D$19)&gt;0),TRUE ),1,0)</f>
        <v>0</v>
      </c>
      <c r="BJ37" s="9">
        <f>IF( AND((COUNTIF(BJ$2:BJ$33,'Your Team'!$D$3)&gt;0),TRUE ),1,0)+IF( AND((COUNTIF(BJ$2:BJ$33,'Your Team'!$D$4)&gt;0),TRUE),1,0)+IF( AND((COUNTIF(BJ$2:BJ$33,'Your Team'!$D$5)&gt;0),TRUE ),1,0)+IF( AND((COUNTIF(BJ$2:BJ$33,'Your Team'!$D$6)&gt;0),TRUE ),1,0)+IF( AND((COUNTIF(BJ$2:BJ$33,'Your Team'!$D$7)&gt;0),TRUE ),1,0)+IF( AND((COUNTIF(BJ$2:BJ$33,'Your Team'!$D$8)&gt;0),TRUE ),1,0)+IF( AND((COUNTIF(BJ$2:BJ$33,'Your Team'!$D$9)&gt;0),TRUE ),1,0)+IF( AND((COUNTIF(BJ$2:BJ$33,'Your Team'!$D$10)&gt;0),TRUE),1,0)+IF( AND((COUNTIF(BJ$2:BJ$33,'Your Team'!$D$11)&gt;0),TRUE ),1,0)+IF( AND((COUNTIF(BJ$2:BJ$33,'Your Team'!$D$12)&gt;0),TRUE ),1,0)+IF( AND((COUNTIF(BJ$2:BJ$33,'Your Team'!$D$13)&gt;0),TRUE ),1,0)+IF( AND((COUNTIF(BJ$2:BJ$33,'Your Team'!$D$14)&gt;0),TRUE ),1,0)+IF( AND((COUNTIF(BJ$2:BJ$33,'Your Team'!$D$15)&gt;0),TRUE ),1,0)+IF( AND((COUNTIF(BJ$2:BJ$33,'Your Team'!$D$16)&gt;0),TRUE ),1,0)+IF( AND((COUNTIF(BJ$2:BJ$33,'Your Team'!$D$17)&gt;0),TRUE ),1,0)+IF( AND((COUNTIF(BJ$2:BJ$33,'Your Team'!$D$18)&gt;0),TRUE ),1,0)+IF( AND((COUNTIF(BJ$2:BJ$33,'Your Team'!$D$19)&gt;0),TRUE ),1,0)</f>
        <v>0</v>
      </c>
      <c r="BK37" s="9">
        <f>IF( AND((COUNTIF(BK$2:BK$33,'Your Team'!$D$3)&gt;0),TRUE ),1,0)+IF( AND((COUNTIF(BK$2:BK$33,'Your Team'!$D$4)&gt;0),TRUE),1,0)+IF( AND((COUNTIF(BK$2:BK$33,'Your Team'!$D$5)&gt;0),TRUE ),1,0)+IF( AND((COUNTIF(BK$2:BK$33,'Your Team'!$D$6)&gt;0),TRUE ),1,0)+IF( AND((COUNTIF(BK$2:BK$33,'Your Team'!$D$7)&gt;0),TRUE ),1,0)+IF( AND((COUNTIF(BK$2:BK$33,'Your Team'!$D$8)&gt;0),TRUE ),1,0)+IF( AND((COUNTIF(BK$2:BK$33,'Your Team'!$D$9)&gt;0),TRUE ),1,0)+IF( AND((COUNTIF(BK$2:BK$33,'Your Team'!$D$10)&gt;0),TRUE),1,0)+IF( AND((COUNTIF(BK$2:BK$33,'Your Team'!$D$11)&gt;0),TRUE ),1,0)+IF( AND((COUNTIF(BK$2:BK$33,'Your Team'!$D$12)&gt;0),TRUE ),1,0)+IF( AND((COUNTIF(BK$2:BK$33,'Your Team'!$D$13)&gt;0),TRUE ),1,0)+IF( AND((COUNTIF(BK$2:BK$33,'Your Team'!$D$14)&gt;0),TRUE ),1,0)+IF( AND((COUNTIF(BK$2:BK$33,'Your Team'!$D$15)&gt;0),TRUE ),1,0)+IF( AND((COUNTIF(BK$2:BK$33,'Your Team'!$D$16)&gt;0),TRUE ),1,0)+IF( AND((COUNTIF(BK$2:BK$33,'Your Team'!$D$17)&gt;0),TRUE ),1,0)+IF( AND((COUNTIF(BK$2:BK$33,'Your Team'!$D$18)&gt;0),TRUE ),1,0)+IF( AND((COUNTIF(BK$2:BK$33,'Your Team'!$D$19)&gt;0),TRUE ),1,0)</f>
        <v>0</v>
      </c>
      <c r="BL37" s="9">
        <f>IF( AND((COUNTIF(BL$2:BL$33,'Your Team'!$D$3)&gt;0),TRUE ),1,0)+IF( AND((COUNTIF(BL$2:BL$33,'Your Team'!$D$4)&gt;0),TRUE),1,0)+IF( AND((COUNTIF(BL$2:BL$33,'Your Team'!$D$5)&gt;0),TRUE ),1,0)+IF( AND((COUNTIF(BL$2:BL$33,'Your Team'!$D$6)&gt;0),TRUE ),1,0)+IF( AND((COUNTIF(BL$2:BL$33,'Your Team'!$D$7)&gt;0),TRUE ),1,0)+IF( AND((COUNTIF(BL$2:BL$33,'Your Team'!$D$8)&gt;0),TRUE ),1,0)+IF( AND((COUNTIF(BL$2:BL$33,'Your Team'!$D$9)&gt;0),TRUE ),1,0)+IF( AND((COUNTIF(BL$2:BL$33,'Your Team'!$D$10)&gt;0),TRUE),1,0)+IF( AND((COUNTIF(BL$2:BL$33,'Your Team'!$D$11)&gt;0),TRUE ),1,0)+IF( AND((COUNTIF(BL$2:BL$33,'Your Team'!$D$12)&gt;0),TRUE ),1,0)+IF( AND((COUNTIF(BL$2:BL$33,'Your Team'!$D$13)&gt;0),TRUE ),1,0)+IF( AND((COUNTIF(BL$2:BL$33,'Your Team'!$D$14)&gt;0),TRUE ),1,0)+IF( AND((COUNTIF(BL$2:BL$33,'Your Team'!$D$15)&gt;0),TRUE ),1,0)+IF( AND((COUNTIF(BL$2:BL$33,'Your Team'!$D$16)&gt;0),TRUE ),1,0)+IF( AND((COUNTIF(BL$2:BL$33,'Your Team'!$D$17)&gt;0),TRUE ),1,0)+IF( AND((COUNTIF(BL$2:BL$33,'Your Team'!$D$18)&gt;0),TRUE ),1,0)+IF( AND((COUNTIF(BL$2:BL$33,'Your Team'!$D$19)&gt;0),TRUE ),1,0)</f>
        <v>0</v>
      </c>
      <c r="BM37" s="9">
        <f>IF( AND((COUNTIF(BM$2:BM$33,'Your Team'!$D$3)&gt;0),TRUE ),1,0)+IF( AND((COUNTIF(BM$2:BM$33,'Your Team'!$D$4)&gt;0),TRUE),1,0)+IF( AND((COUNTIF(BM$2:BM$33,'Your Team'!$D$5)&gt;0),TRUE ),1,0)+IF( AND((COUNTIF(BM$2:BM$33,'Your Team'!$D$6)&gt;0),TRUE ),1,0)+IF( AND((COUNTIF(BM$2:BM$33,'Your Team'!$D$7)&gt;0),TRUE ),1,0)+IF( AND((COUNTIF(BM$2:BM$33,'Your Team'!$D$8)&gt;0),TRUE ),1,0)+IF( AND((COUNTIF(BM$2:BM$33,'Your Team'!$D$9)&gt;0),TRUE ),1,0)+IF( AND((COUNTIF(BM$2:BM$33,'Your Team'!$D$10)&gt;0),TRUE),1,0)+IF( AND((COUNTIF(BM$2:BM$33,'Your Team'!$D$11)&gt;0),TRUE ),1,0)+IF( AND((COUNTIF(BM$2:BM$33,'Your Team'!$D$12)&gt;0),TRUE ),1,0)+IF( AND((COUNTIF(BM$2:BM$33,'Your Team'!$D$13)&gt;0),TRUE ),1,0)+IF( AND((COUNTIF(BM$2:BM$33,'Your Team'!$D$14)&gt;0),TRUE ),1,0)+IF( AND((COUNTIF(BM$2:BM$33,'Your Team'!$D$15)&gt;0),TRUE ),1,0)+IF( AND((COUNTIF(BM$2:BM$33,'Your Team'!$D$16)&gt;0),TRUE ),1,0)+IF( AND((COUNTIF(BM$2:BM$33,'Your Team'!$D$17)&gt;0),TRUE ),1,0)+IF( AND((COUNTIF(BM$2:BM$33,'Your Team'!$D$18)&gt;0),TRUE ),1,0)+IF( AND((COUNTIF(BM$2:BM$33,'Your Team'!$D$19)&gt;0),TRUE ),1,0)</f>
        <v>0</v>
      </c>
      <c r="BN37" s="9">
        <f>IF( AND((COUNTIF(BN$2:BN$33,'Your Team'!$D$3)&gt;0),TRUE ),1,0)+IF( AND((COUNTIF(BN$2:BN$33,'Your Team'!$D$4)&gt;0),TRUE),1,0)+IF( AND((COUNTIF(BN$2:BN$33,'Your Team'!$D$5)&gt;0),TRUE ),1,0)+IF( AND((COUNTIF(BN$2:BN$33,'Your Team'!$D$6)&gt;0),TRUE ),1,0)+IF( AND((COUNTIF(BN$2:BN$33,'Your Team'!$D$7)&gt;0),TRUE ),1,0)+IF( AND((COUNTIF(BN$2:BN$33,'Your Team'!$D$8)&gt;0),TRUE ),1,0)+IF( AND((COUNTIF(BN$2:BN$33,'Your Team'!$D$9)&gt;0),TRUE ),1,0)+IF( AND((COUNTIF(BN$2:BN$33,'Your Team'!$D$10)&gt;0),TRUE),1,0)+IF( AND((COUNTIF(BN$2:BN$33,'Your Team'!$D$11)&gt;0),TRUE ),1,0)+IF( AND((COUNTIF(BN$2:BN$33,'Your Team'!$D$12)&gt;0),TRUE ),1,0)+IF( AND((COUNTIF(BN$2:BN$33,'Your Team'!$D$13)&gt;0),TRUE ),1,0)+IF( AND((COUNTIF(BN$2:BN$33,'Your Team'!$D$14)&gt;0),TRUE ),1,0)+IF( AND((COUNTIF(BN$2:BN$33,'Your Team'!$D$15)&gt;0),TRUE ),1,0)+IF( AND((COUNTIF(BN$2:BN$33,'Your Team'!$D$16)&gt;0),TRUE ),1,0)+IF( AND((COUNTIF(BN$2:BN$33,'Your Team'!$D$17)&gt;0),TRUE ),1,0)+IF( AND((COUNTIF(BN$2:BN$33,'Your Team'!$D$18)&gt;0),TRUE ),1,0)+IF( AND((COUNTIF(BN$2:BN$33,'Your Team'!$D$19)&gt;0),TRUE ),1,0)</f>
        <v>0</v>
      </c>
      <c r="BO37" s="9">
        <f>IF( AND((COUNTIF(BO$2:BO$33,'Your Team'!$D$3)&gt;0),TRUE ),1,0)+IF( AND((COUNTIF(BO$2:BO$33,'Your Team'!$D$4)&gt;0),TRUE),1,0)+IF( AND((COUNTIF(BO$2:BO$33,'Your Team'!$D$5)&gt;0),TRUE ),1,0)+IF( AND((COUNTIF(BO$2:BO$33,'Your Team'!$D$6)&gt;0),TRUE ),1,0)+IF( AND((COUNTIF(BO$2:BO$33,'Your Team'!$D$7)&gt;0),TRUE ),1,0)+IF( AND((COUNTIF(BO$2:BO$33,'Your Team'!$D$8)&gt;0),TRUE ),1,0)+IF( AND((COUNTIF(BO$2:BO$33,'Your Team'!$D$9)&gt;0),TRUE ),1,0)+IF( AND((COUNTIF(BO$2:BO$33,'Your Team'!$D$10)&gt;0),TRUE),1,0)+IF( AND((COUNTIF(BO$2:BO$33,'Your Team'!$D$11)&gt;0),TRUE ),1,0)+IF( AND((COUNTIF(BO$2:BO$33,'Your Team'!$D$12)&gt;0),TRUE ),1,0)+IF( AND((COUNTIF(BO$2:BO$33,'Your Team'!$D$13)&gt;0),TRUE ),1,0)+IF( AND((COUNTIF(BO$2:BO$33,'Your Team'!$D$14)&gt;0),TRUE ),1,0)+IF( AND((COUNTIF(BO$2:BO$33,'Your Team'!$D$15)&gt;0),TRUE ),1,0)+IF( AND((COUNTIF(BO$2:BO$33,'Your Team'!$D$16)&gt;0),TRUE ),1,0)+IF( AND((COUNTIF(BO$2:BO$33,'Your Team'!$D$17)&gt;0),TRUE ),1,0)+IF( AND((COUNTIF(BO$2:BO$33,'Your Team'!$D$18)&gt;0),TRUE ),1,0)+IF( AND((COUNTIF(BO$2:BO$33,'Your Team'!$D$19)&gt;0),TRUE ),1,0)</f>
        <v>0</v>
      </c>
      <c r="BP37" s="9">
        <f>IF( AND((COUNTIF(BP$2:BP$33,'Your Team'!$D$3)&gt;0),TRUE ),1,0)+IF( AND((COUNTIF(BP$2:BP$33,'Your Team'!$D$4)&gt;0),TRUE),1,0)+IF( AND((COUNTIF(BP$2:BP$33,'Your Team'!$D$5)&gt;0),TRUE ),1,0)+IF( AND((COUNTIF(BP$2:BP$33,'Your Team'!$D$6)&gt;0),TRUE ),1,0)+IF( AND((COUNTIF(BP$2:BP$33,'Your Team'!$D$7)&gt;0),TRUE ),1,0)+IF( AND((COUNTIF(BP$2:BP$33,'Your Team'!$D$8)&gt;0),TRUE ),1,0)+IF( AND((COUNTIF(BP$2:BP$33,'Your Team'!$D$9)&gt;0),TRUE ),1,0)+IF( AND((COUNTIF(BP$2:BP$33,'Your Team'!$D$10)&gt;0),TRUE),1,0)+IF( AND((COUNTIF(BP$2:BP$33,'Your Team'!$D$11)&gt;0),TRUE ),1,0)+IF( AND((COUNTIF(BP$2:BP$33,'Your Team'!$D$12)&gt;0),TRUE ),1,0)+IF( AND((COUNTIF(BP$2:BP$33,'Your Team'!$D$13)&gt;0),TRUE ),1,0)+IF( AND((COUNTIF(BP$2:BP$33,'Your Team'!$D$14)&gt;0),TRUE ),1,0)+IF( AND((COUNTIF(BP$2:BP$33,'Your Team'!$D$15)&gt;0),TRUE ),1,0)+IF( AND((COUNTIF(BP$2:BP$33,'Your Team'!$D$16)&gt;0),TRUE ),1,0)+IF( AND((COUNTIF(BP$2:BP$33,'Your Team'!$D$17)&gt;0),TRUE ),1,0)+IF( AND((COUNTIF(BP$2:BP$33,'Your Team'!$D$18)&gt;0),TRUE ),1,0)+IF( AND((COUNTIF(BP$2:BP$33,'Your Team'!$D$19)&gt;0),TRUE ),1,0)</f>
        <v>0</v>
      </c>
      <c r="BQ37" s="9">
        <f>IF( AND((COUNTIF(BQ$2:BQ$33,'Your Team'!$D$3)&gt;0),TRUE ),1,0)+IF( AND((COUNTIF(BQ$2:BQ$33,'Your Team'!$D$4)&gt;0),TRUE),1,0)+IF( AND((COUNTIF(BQ$2:BQ$33,'Your Team'!$D$5)&gt;0),TRUE ),1,0)+IF( AND((COUNTIF(BQ$2:BQ$33,'Your Team'!$D$6)&gt;0),TRUE ),1,0)+IF( AND((COUNTIF(BQ$2:BQ$33,'Your Team'!$D$7)&gt;0),TRUE ),1,0)+IF( AND((COUNTIF(BQ$2:BQ$33,'Your Team'!$D$8)&gt;0),TRUE ),1,0)+IF( AND((COUNTIF(BQ$2:BQ$33,'Your Team'!$D$9)&gt;0),TRUE ),1,0)+IF( AND((COUNTIF(BQ$2:BQ$33,'Your Team'!$D$10)&gt;0),TRUE),1,0)+IF( AND((COUNTIF(BQ$2:BQ$33,'Your Team'!$D$11)&gt;0),TRUE ),1,0)+IF( AND((COUNTIF(BQ$2:BQ$33,'Your Team'!$D$12)&gt;0),TRUE ),1,0)+IF( AND((COUNTIF(BQ$2:BQ$33,'Your Team'!$D$13)&gt;0),TRUE ),1,0)+IF( AND((COUNTIF(BQ$2:BQ$33,'Your Team'!$D$14)&gt;0),TRUE ),1,0)+IF( AND((COUNTIF(BQ$2:BQ$33,'Your Team'!$D$15)&gt;0),TRUE ),1,0)+IF( AND((COUNTIF(BQ$2:BQ$33,'Your Team'!$D$16)&gt;0),TRUE ),1,0)+IF( AND((COUNTIF(BQ$2:BQ$33,'Your Team'!$D$17)&gt;0),TRUE ),1,0)+IF( AND((COUNTIF(BQ$2:BQ$33,'Your Team'!$D$18)&gt;0),TRUE ),1,0)+IF( AND((COUNTIF(BQ$2:BQ$33,'Your Team'!$D$19)&gt;0),TRUE ),1,0)</f>
        <v>0</v>
      </c>
      <c r="BR37" s="9">
        <f>IF( AND((COUNTIF(BR$2:BR$33,'Your Team'!$D$3)&gt;0),TRUE ),1,0)+IF( AND((COUNTIF(BR$2:BR$33,'Your Team'!$D$4)&gt;0),TRUE),1,0)+IF( AND((COUNTIF(BR$2:BR$33,'Your Team'!$D$5)&gt;0),TRUE ),1,0)+IF( AND((COUNTIF(BR$2:BR$33,'Your Team'!$D$6)&gt;0),TRUE ),1,0)+IF( AND((COUNTIF(BR$2:BR$33,'Your Team'!$D$7)&gt;0),TRUE ),1,0)+IF( AND((COUNTIF(BR$2:BR$33,'Your Team'!$D$8)&gt;0),TRUE ),1,0)+IF( AND((COUNTIF(BR$2:BR$33,'Your Team'!$D$9)&gt;0),TRUE ),1,0)+IF( AND((COUNTIF(BR$2:BR$33,'Your Team'!$D$10)&gt;0),TRUE),1,0)+IF( AND((COUNTIF(BR$2:BR$33,'Your Team'!$D$11)&gt;0),TRUE ),1,0)+IF( AND((COUNTIF(BR$2:BR$33,'Your Team'!$D$12)&gt;0),TRUE ),1,0)+IF( AND((COUNTIF(BR$2:BR$33,'Your Team'!$D$13)&gt;0),TRUE ),1,0)+IF( AND((COUNTIF(BR$2:BR$33,'Your Team'!$D$14)&gt;0),TRUE ),1,0)+IF( AND((COUNTIF(BR$2:BR$33,'Your Team'!$D$15)&gt;0),TRUE ),1,0)+IF( AND((COUNTIF(BR$2:BR$33,'Your Team'!$D$16)&gt;0),TRUE ),1,0)+IF( AND((COUNTIF(BR$2:BR$33,'Your Team'!$D$17)&gt;0),TRUE ),1,0)+IF( AND((COUNTIF(BR$2:BR$33,'Your Team'!$D$18)&gt;0),TRUE ),1,0)+IF( AND((COUNTIF(BR$2:BR$33,'Your Team'!$D$19)&gt;0),TRUE ),1,0)</f>
        <v>0</v>
      </c>
      <c r="BS37" s="9">
        <f>IF( AND((COUNTIF(BS$2:BS$33,'Your Team'!$D$3)&gt;0),TRUE ),1,0)+IF( AND((COUNTIF(BS$2:BS$33,'Your Team'!$D$4)&gt;0),TRUE),1,0)+IF( AND((COUNTIF(BS$2:BS$33,'Your Team'!$D$5)&gt;0),TRUE ),1,0)+IF( AND((COUNTIF(BS$2:BS$33,'Your Team'!$D$6)&gt;0),TRUE ),1,0)+IF( AND((COUNTIF(BS$2:BS$33,'Your Team'!$D$7)&gt;0),TRUE ),1,0)+IF( AND((COUNTIF(BS$2:BS$33,'Your Team'!$D$8)&gt;0),TRUE ),1,0)+IF( AND((COUNTIF(BS$2:BS$33,'Your Team'!$D$9)&gt;0),TRUE ),1,0)+IF( AND((COUNTIF(BS$2:BS$33,'Your Team'!$D$10)&gt;0),TRUE),1,0)+IF( AND((COUNTIF(BS$2:BS$33,'Your Team'!$D$11)&gt;0),TRUE ),1,0)+IF( AND((COUNTIF(BS$2:BS$33,'Your Team'!$D$12)&gt;0),TRUE ),1,0)+IF( AND((COUNTIF(BS$2:BS$33,'Your Team'!$D$13)&gt;0),TRUE ),1,0)+IF( AND((COUNTIF(BS$2:BS$33,'Your Team'!$D$14)&gt;0),TRUE ),1,0)+IF( AND((COUNTIF(BS$2:BS$33,'Your Team'!$D$15)&gt;0),TRUE ),1,0)+IF( AND((COUNTIF(BS$2:BS$33,'Your Team'!$D$16)&gt;0),TRUE ),1,0)+IF( AND((COUNTIF(BS$2:BS$33,'Your Team'!$D$17)&gt;0),TRUE ),1,0)+IF( AND((COUNTIF(BS$2:BS$33,'Your Team'!$D$18)&gt;0),TRUE ),1,0)+IF( AND((COUNTIF(BS$2:BS$33,'Your Team'!$D$19)&gt;0),TRUE ),1,0)</f>
        <v>0</v>
      </c>
      <c r="BT37" s="9">
        <f>IF( AND((COUNTIF(BT$2:BT$33,'Your Team'!$D$3)&gt;0),TRUE ),1,0)+IF( AND((COUNTIF(BT$2:BT$33,'Your Team'!$D$4)&gt;0),TRUE),1,0)+IF( AND((COUNTIF(BT$2:BT$33,'Your Team'!$D$5)&gt;0),TRUE ),1,0)+IF( AND((COUNTIF(BT$2:BT$33,'Your Team'!$D$6)&gt;0),TRUE ),1,0)+IF( AND((COUNTIF(BT$2:BT$33,'Your Team'!$D$7)&gt;0),TRUE ),1,0)+IF( AND((COUNTIF(BT$2:BT$33,'Your Team'!$D$8)&gt;0),TRUE ),1,0)+IF( AND((COUNTIF(BT$2:BT$33,'Your Team'!$D$9)&gt;0),TRUE ),1,0)+IF( AND((COUNTIF(BT$2:BT$33,'Your Team'!$D$10)&gt;0),TRUE),1,0)+IF( AND((COUNTIF(BT$2:BT$33,'Your Team'!$D$11)&gt;0),TRUE ),1,0)+IF( AND((COUNTIF(BT$2:BT$33,'Your Team'!$D$12)&gt;0),TRUE ),1,0)+IF( AND((COUNTIF(BT$2:BT$33,'Your Team'!$D$13)&gt;0),TRUE ),1,0)+IF( AND((COUNTIF(BT$2:BT$33,'Your Team'!$D$14)&gt;0),TRUE ),1,0)+IF( AND((COUNTIF(BT$2:BT$33,'Your Team'!$D$15)&gt;0),TRUE ),1,0)+IF( AND((COUNTIF(BT$2:BT$33,'Your Team'!$D$16)&gt;0),TRUE ),1,0)+IF( AND((COUNTIF(BT$2:BT$33,'Your Team'!$D$17)&gt;0),TRUE ),1,0)+IF( AND((COUNTIF(BT$2:BT$33,'Your Team'!$D$18)&gt;0),TRUE ),1,0)+IF( AND((COUNTIF(BT$2:BT$33,'Your Team'!$D$19)&gt;0),TRUE ),1,0)</f>
        <v>0</v>
      </c>
      <c r="BU37" s="9">
        <f>IF( AND((COUNTIF(BU$2:BU$33,'Your Team'!$D$3)&gt;0),TRUE ),1,0)+IF( AND((COUNTIF(BU$2:BU$33,'Your Team'!$D$4)&gt;0),TRUE),1,0)+IF( AND((COUNTIF(BU$2:BU$33,'Your Team'!$D$5)&gt;0),TRUE ),1,0)+IF( AND((COUNTIF(BU$2:BU$33,'Your Team'!$D$6)&gt;0),TRUE ),1,0)+IF( AND((COUNTIF(BU$2:BU$33,'Your Team'!$D$7)&gt;0),TRUE ),1,0)+IF( AND((COUNTIF(BU$2:BU$33,'Your Team'!$D$8)&gt;0),TRUE ),1,0)+IF( AND((COUNTIF(BU$2:BU$33,'Your Team'!$D$9)&gt;0),TRUE ),1,0)+IF( AND((COUNTIF(BU$2:BU$33,'Your Team'!$D$10)&gt;0),TRUE),1,0)+IF( AND((COUNTIF(BU$2:BU$33,'Your Team'!$D$11)&gt;0),TRUE ),1,0)+IF( AND((COUNTIF(BU$2:BU$33,'Your Team'!$D$12)&gt;0),TRUE ),1,0)+IF( AND((COUNTIF(BU$2:BU$33,'Your Team'!$D$13)&gt;0),TRUE ),1,0)+IF( AND((COUNTIF(BU$2:BU$33,'Your Team'!$D$14)&gt;0),TRUE ),1,0)+IF( AND((COUNTIF(BU$2:BU$33,'Your Team'!$D$15)&gt;0),TRUE ),1,0)+IF( AND((COUNTIF(BU$2:BU$33,'Your Team'!$D$16)&gt;0),TRUE ),1,0)+IF( AND((COUNTIF(BU$2:BU$33,'Your Team'!$D$17)&gt;0),TRUE ),1,0)+IF( AND((COUNTIF(BU$2:BU$33,'Your Team'!$D$18)&gt;0),TRUE ),1,0)+IF( AND((COUNTIF(BU$2:BU$33,'Your Team'!$D$19)&gt;0),TRUE ),1,0)</f>
        <v>0</v>
      </c>
      <c r="BV37" s="9">
        <f>IF( AND((COUNTIF(BV$2:BV$33,'Your Team'!$D$3)&gt;0),TRUE ),1,0)+IF( AND((COUNTIF(BV$2:BV$33,'Your Team'!$D$4)&gt;0),TRUE),1,0)+IF( AND((COUNTIF(BV$2:BV$33,'Your Team'!$D$5)&gt;0),TRUE ),1,0)+IF( AND((COUNTIF(BV$2:BV$33,'Your Team'!$D$6)&gt;0),TRUE ),1,0)+IF( AND((COUNTIF(BV$2:BV$33,'Your Team'!$D$7)&gt;0),TRUE ),1,0)+IF( AND((COUNTIF(BV$2:BV$33,'Your Team'!$D$8)&gt;0),TRUE ),1,0)+IF( AND((COUNTIF(BV$2:BV$33,'Your Team'!$D$9)&gt;0),TRUE ),1,0)+IF( AND((COUNTIF(BV$2:BV$33,'Your Team'!$D$10)&gt;0),TRUE),1,0)+IF( AND((COUNTIF(BV$2:BV$33,'Your Team'!$D$11)&gt;0),TRUE ),1,0)+IF( AND((COUNTIF(BV$2:BV$33,'Your Team'!$D$12)&gt;0),TRUE ),1,0)+IF( AND((COUNTIF(BV$2:BV$33,'Your Team'!$D$13)&gt;0),TRUE ),1,0)+IF( AND((COUNTIF(BV$2:BV$33,'Your Team'!$D$14)&gt;0),TRUE ),1,0)+IF( AND((COUNTIF(BV$2:BV$33,'Your Team'!$D$15)&gt;0),TRUE ),1,0)+IF( AND((COUNTIF(BV$2:BV$33,'Your Team'!$D$16)&gt;0),TRUE ),1,0)+IF( AND((COUNTIF(BV$2:BV$33,'Your Team'!$D$17)&gt;0),TRUE ),1,0)+IF( AND((COUNTIF(BV$2:BV$33,'Your Team'!$D$18)&gt;0),TRUE ),1,0)+IF( AND((COUNTIF(BV$2:BV$33,'Your Team'!$D$19)&gt;0),TRUE ),1,0)</f>
        <v>0</v>
      </c>
      <c r="BW37" s="9">
        <f>IF( AND((COUNTIF(BW$2:BW$33,'Your Team'!$D$3)&gt;0),TRUE ),1,0)+IF( AND((COUNTIF(BW$2:BW$33,'Your Team'!$D$4)&gt;0),TRUE),1,0)+IF( AND((COUNTIF(BW$2:BW$33,'Your Team'!$D$5)&gt;0),TRUE ),1,0)+IF( AND((COUNTIF(BW$2:BW$33,'Your Team'!$D$6)&gt;0),TRUE ),1,0)+IF( AND((COUNTIF(BW$2:BW$33,'Your Team'!$D$7)&gt;0),TRUE ),1,0)+IF( AND((COUNTIF(BW$2:BW$33,'Your Team'!$D$8)&gt;0),TRUE ),1,0)+IF( AND((COUNTIF(BW$2:BW$33,'Your Team'!$D$9)&gt;0),TRUE ),1,0)+IF( AND((COUNTIF(BW$2:BW$33,'Your Team'!$D$10)&gt;0),TRUE),1,0)+IF( AND((COUNTIF(BW$2:BW$33,'Your Team'!$D$11)&gt;0),TRUE ),1,0)+IF( AND((COUNTIF(BW$2:BW$33,'Your Team'!$D$12)&gt;0),TRUE ),1,0)+IF( AND((COUNTIF(BW$2:BW$33,'Your Team'!$D$13)&gt;0),TRUE ),1,0)+IF( AND((COUNTIF(BW$2:BW$33,'Your Team'!$D$14)&gt;0),TRUE ),1,0)+IF( AND((COUNTIF(BW$2:BW$33,'Your Team'!$D$15)&gt;0),TRUE ),1,0)+IF( AND((COUNTIF(BW$2:BW$33,'Your Team'!$D$16)&gt;0),TRUE ),1,0)+IF( AND((COUNTIF(BW$2:BW$33,'Your Team'!$D$17)&gt;0),TRUE ),1,0)+IF( AND((COUNTIF(BW$2:BW$33,'Your Team'!$D$18)&gt;0),TRUE ),1,0)+IF( AND((COUNTIF(BW$2:BW$33,'Your Team'!$D$19)&gt;0),TRUE ),1,0)</f>
        <v>0</v>
      </c>
      <c r="BX37" s="9">
        <f>IF( AND((COUNTIF(BX$2:BX$33,'Your Team'!$D$3)&gt;0),TRUE ),1,0)+IF( AND((COUNTIF(BX$2:BX$33,'Your Team'!$D$4)&gt;0),TRUE),1,0)+IF( AND((COUNTIF(BX$2:BX$33,'Your Team'!$D$5)&gt;0),TRUE ),1,0)+IF( AND((COUNTIF(BX$2:BX$33,'Your Team'!$D$6)&gt;0),TRUE ),1,0)+IF( AND((COUNTIF(BX$2:BX$33,'Your Team'!$D$7)&gt;0),TRUE ),1,0)+IF( AND((COUNTIF(BX$2:BX$33,'Your Team'!$D$8)&gt;0),TRUE ),1,0)+IF( AND((COUNTIF(BX$2:BX$33,'Your Team'!$D$9)&gt;0),TRUE ),1,0)+IF( AND((COUNTIF(BX$2:BX$33,'Your Team'!$D$10)&gt;0),TRUE),1,0)+IF( AND((COUNTIF(BX$2:BX$33,'Your Team'!$D$11)&gt;0),TRUE ),1,0)+IF( AND((COUNTIF(BX$2:BX$33,'Your Team'!$D$12)&gt;0),TRUE ),1,0)+IF( AND((COUNTIF(BX$2:BX$33,'Your Team'!$D$13)&gt;0),TRUE ),1,0)+IF( AND((COUNTIF(BX$2:BX$33,'Your Team'!$D$14)&gt;0),TRUE ),1,0)+IF( AND((COUNTIF(BX$2:BX$33,'Your Team'!$D$15)&gt;0),TRUE ),1,0)+IF( AND((COUNTIF(BX$2:BX$33,'Your Team'!$D$16)&gt;0),TRUE ),1,0)+IF( AND((COUNTIF(BX$2:BX$33,'Your Team'!$D$17)&gt;0),TRUE ),1,0)+IF( AND((COUNTIF(BX$2:BX$33,'Your Team'!$D$18)&gt;0),TRUE ),1,0)+IF( AND((COUNTIF(BX$2:BX$33,'Your Team'!$D$19)&gt;0),TRUE ),1,0)</f>
        <v>0</v>
      </c>
      <c r="BY37" s="9">
        <f>IF( AND((COUNTIF(BY$2:BY$33,'Your Team'!$D$3)&gt;0),TRUE ),1,0)+IF( AND((COUNTIF(BY$2:BY$33,'Your Team'!$D$4)&gt;0),TRUE),1,0)+IF( AND((COUNTIF(BY$2:BY$33,'Your Team'!$D$5)&gt;0),TRUE ),1,0)+IF( AND((COUNTIF(BY$2:BY$33,'Your Team'!$D$6)&gt;0),TRUE ),1,0)+IF( AND((COUNTIF(BY$2:BY$33,'Your Team'!$D$7)&gt;0),TRUE ),1,0)+IF( AND((COUNTIF(BY$2:BY$33,'Your Team'!$D$8)&gt;0),TRUE ),1,0)+IF( AND((COUNTIF(BY$2:BY$33,'Your Team'!$D$9)&gt;0),TRUE ),1,0)+IF( AND((COUNTIF(BY$2:BY$33,'Your Team'!$D$10)&gt;0),TRUE),1,0)+IF( AND((COUNTIF(BY$2:BY$33,'Your Team'!$D$11)&gt;0),TRUE ),1,0)+IF( AND((COUNTIF(BY$2:BY$33,'Your Team'!$D$12)&gt;0),TRUE ),1,0)+IF( AND((COUNTIF(BY$2:BY$33,'Your Team'!$D$13)&gt;0),TRUE ),1,0)+IF( AND((COUNTIF(BY$2:BY$33,'Your Team'!$D$14)&gt;0),TRUE ),1,0)+IF( AND((COUNTIF(BY$2:BY$33,'Your Team'!$D$15)&gt;0),TRUE ),1,0)+IF( AND((COUNTIF(BY$2:BY$33,'Your Team'!$D$16)&gt;0),TRUE ),1,0)+IF( AND((COUNTIF(BY$2:BY$33,'Your Team'!$D$17)&gt;0),TRUE ),1,0)+IF( AND((COUNTIF(BY$2:BY$33,'Your Team'!$D$18)&gt;0),TRUE ),1,0)+IF( AND((COUNTIF(BY$2:BY$33,'Your Team'!$D$19)&gt;0),TRUE ),1,0)</f>
        <v>0</v>
      </c>
      <c r="BZ37" s="9">
        <f>IF( AND((COUNTIF(BZ$2:BZ$33,'Your Team'!$D$3)&gt;0),TRUE ),1,0)+IF( AND((COUNTIF(BZ$2:BZ$33,'Your Team'!$D$4)&gt;0),TRUE),1,0)+IF( AND((COUNTIF(BZ$2:BZ$33,'Your Team'!$D$5)&gt;0),TRUE ),1,0)+IF( AND((COUNTIF(BZ$2:BZ$33,'Your Team'!$D$6)&gt;0),TRUE ),1,0)+IF( AND((COUNTIF(BZ$2:BZ$33,'Your Team'!$D$7)&gt;0),TRUE ),1,0)+IF( AND((COUNTIF(BZ$2:BZ$33,'Your Team'!$D$8)&gt;0),TRUE ),1,0)+IF( AND((COUNTIF(BZ$2:BZ$33,'Your Team'!$D$9)&gt;0),TRUE ),1,0)+IF( AND((COUNTIF(BZ$2:BZ$33,'Your Team'!$D$10)&gt;0),TRUE),1,0)+IF( AND((COUNTIF(BZ$2:BZ$33,'Your Team'!$D$11)&gt;0),TRUE ),1,0)+IF( AND((COUNTIF(BZ$2:BZ$33,'Your Team'!$D$12)&gt;0),TRUE ),1,0)+IF( AND((COUNTIF(BZ$2:BZ$33,'Your Team'!$D$13)&gt;0),TRUE ),1,0)+IF( AND((COUNTIF(BZ$2:BZ$33,'Your Team'!$D$14)&gt;0),TRUE ),1,0)+IF( AND((COUNTIF(BZ$2:BZ$33,'Your Team'!$D$15)&gt;0),TRUE ),1,0)+IF( AND((COUNTIF(BZ$2:BZ$33,'Your Team'!$D$16)&gt;0),TRUE ),1,0)+IF( AND((COUNTIF(BZ$2:BZ$33,'Your Team'!$D$17)&gt;0),TRUE ),1,0)+IF( AND((COUNTIF(BZ$2:BZ$33,'Your Team'!$D$18)&gt;0),TRUE ),1,0)+IF( AND((COUNTIF(BZ$2:BZ$33,'Your Team'!$D$19)&gt;0),TRUE ),1,0)</f>
        <v>0</v>
      </c>
      <c r="CA37" s="9">
        <f>IF( AND((COUNTIF(CA$2:CA$33,'Your Team'!$D$3)&gt;0),TRUE ),1,0)+IF( AND((COUNTIF(CA$2:CA$33,'Your Team'!$D$4)&gt;0),TRUE),1,0)+IF( AND((COUNTIF(CA$2:CA$33,'Your Team'!$D$5)&gt;0),TRUE ),1,0)+IF( AND((COUNTIF(CA$2:CA$33,'Your Team'!$D$6)&gt;0),TRUE ),1,0)+IF( AND((COUNTIF(CA$2:CA$33,'Your Team'!$D$7)&gt;0),TRUE ),1,0)+IF( AND((COUNTIF(CA$2:CA$33,'Your Team'!$D$8)&gt;0),TRUE ),1,0)+IF( AND((COUNTIF(CA$2:CA$33,'Your Team'!$D$9)&gt;0),TRUE ),1,0)+IF( AND((COUNTIF(CA$2:CA$33,'Your Team'!$D$10)&gt;0),TRUE),1,0)+IF( AND((COUNTIF(CA$2:CA$33,'Your Team'!$D$11)&gt;0),TRUE ),1,0)+IF( AND((COUNTIF(CA$2:CA$33,'Your Team'!$D$12)&gt;0),TRUE ),1,0)+IF( AND((COUNTIF(CA$2:CA$33,'Your Team'!$D$13)&gt;0),TRUE ),1,0)+IF( AND((COUNTIF(CA$2:CA$33,'Your Team'!$D$14)&gt;0),TRUE ),1,0)+IF( AND((COUNTIF(CA$2:CA$33,'Your Team'!$D$15)&gt;0),TRUE ),1,0)+IF( AND((COUNTIF(CA$2:CA$33,'Your Team'!$D$16)&gt;0),TRUE ),1,0)+IF( AND((COUNTIF(CA$2:CA$33,'Your Team'!$D$17)&gt;0),TRUE ),1,0)+IF( AND((COUNTIF(CA$2:CA$33,'Your Team'!$D$18)&gt;0),TRUE ),1,0)+IF( AND((COUNTIF(CA$2:CA$33,'Your Team'!$D$19)&gt;0),TRUE ),1,0)</f>
        <v>0</v>
      </c>
      <c r="CB37" s="9">
        <f>IF( AND((COUNTIF(CB$2:CB$33,'Your Team'!$D$3)&gt;0),TRUE ),1,0)+IF( AND((COUNTIF(CB$2:CB$33,'Your Team'!$D$4)&gt;0),TRUE),1,0)+IF( AND((COUNTIF(CB$2:CB$33,'Your Team'!$D$5)&gt;0),TRUE ),1,0)+IF( AND((COUNTIF(CB$2:CB$33,'Your Team'!$D$6)&gt;0),TRUE ),1,0)+IF( AND((COUNTIF(CB$2:CB$33,'Your Team'!$D$7)&gt;0),TRUE ),1,0)+IF( AND((COUNTIF(CB$2:CB$33,'Your Team'!$D$8)&gt;0),TRUE ),1,0)+IF( AND((COUNTIF(CB$2:CB$33,'Your Team'!$D$9)&gt;0),TRUE ),1,0)+IF( AND((COUNTIF(CB$2:CB$33,'Your Team'!$D$10)&gt;0),TRUE),1,0)+IF( AND((COUNTIF(CB$2:CB$33,'Your Team'!$D$11)&gt;0),TRUE ),1,0)+IF( AND((COUNTIF(CB$2:CB$33,'Your Team'!$D$12)&gt;0),TRUE ),1,0)+IF( AND((COUNTIF(CB$2:CB$33,'Your Team'!$D$13)&gt;0),TRUE ),1,0)+IF( AND((COUNTIF(CB$2:CB$33,'Your Team'!$D$14)&gt;0),TRUE ),1,0)+IF( AND((COUNTIF(CB$2:CB$33,'Your Team'!$D$15)&gt;0),TRUE ),1,0)+IF( AND((COUNTIF(CB$2:CB$33,'Your Team'!$D$16)&gt;0),TRUE ),1,0)+IF( AND((COUNTIF(CB$2:CB$33,'Your Team'!$D$17)&gt;0),TRUE ),1,0)+IF( AND((COUNTIF(CB$2:CB$33,'Your Team'!$D$18)&gt;0),TRUE ),1,0)+IF( AND((COUNTIF(CB$2:CB$33,'Your Team'!$D$19)&gt;0),TRUE ),1,0)</f>
        <v>0</v>
      </c>
      <c r="CC37" s="9">
        <f>IF( AND((COUNTIF(CC$2:CC$33,'Your Team'!$D$3)&gt;0),TRUE ),1,0)+IF( AND((COUNTIF(CC$2:CC$33,'Your Team'!$D$4)&gt;0),TRUE),1,0)+IF( AND((COUNTIF(CC$2:CC$33,'Your Team'!$D$5)&gt;0),TRUE ),1,0)+IF( AND((COUNTIF(CC$2:CC$33,'Your Team'!$D$6)&gt;0),TRUE ),1,0)+IF( AND((COUNTIF(CC$2:CC$33,'Your Team'!$D$7)&gt;0),TRUE ),1,0)+IF( AND((COUNTIF(CC$2:CC$33,'Your Team'!$D$8)&gt;0),TRUE ),1,0)+IF( AND((COUNTIF(CC$2:CC$33,'Your Team'!$D$9)&gt;0),TRUE ),1,0)+IF( AND((COUNTIF(CC$2:CC$33,'Your Team'!$D$10)&gt;0),TRUE),1,0)+IF( AND((COUNTIF(CC$2:CC$33,'Your Team'!$D$11)&gt;0),TRUE ),1,0)+IF( AND((COUNTIF(CC$2:CC$33,'Your Team'!$D$12)&gt;0),TRUE ),1,0)+IF( AND((COUNTIF(CC$2:CC$33,'Your Team'!$D$13)&gt;0),TRUE ),1,0)+IF( AND((COUNTIF(CC$2:CC$33,'Your Team'!$D$14)&gt;0),TRUE ),1,0)+IF( AND((COUNTIF(CC$2:CC$33,'Your Team'!$D$15)&gt;0),TRUE ),1,0)+IF( AND((COUNTIF(CC$2:CC$33,'Your Team'!$D$16)&gt;0),TRUE ),1,0)+IF( AND((COUNTIF(CC$2:CC$33,'Your Team'!$D$17)&gt;0),TRUE ),1,0)+IF( AND((COUNTIF(CC$2:CC$33,'Your Team'!$D$18)&gt;0),TRUE ),1,0)+IF( AND((COUNTIF(CC$2:CC$33,'Your Team'!$D$19)&gt;0),TRUE ),1,0)</f>
        <v>0</v>
      </c>
      <c r="CD37" s="9">
        <f>IF( AND((COUNTIF(CD$2:CD$33,'Your Team'!$D$3)&gt;0),TRUE ),1,0)+IF( AND((COUNTIF(CD$2:CD$33,'Your Team'!$D$4)&gt;0),TRUE),1,0)+IF( AND((COUNTIF(CD$2:CD$33,'Your Team'!$D$5)&gt;0),TRUE ),1,0)+IF( AND((COUNTIF(CD$2:CD$33,'Your Team'!$D$6)&gt;0),TRUE ),1,0)+IF( AND((COUNTIF(CD$2:CD$33,'Your Team'!$D$7)&gt;0),TRUE ),1,0)+IF( AND((COUNTIF(CD$2:CD$33,'Your Team'!$D$8)&gt;0),TRUE ),1,0)+IF( AND((COUNTIF(CD$2:CD$33,'Your Team'!$D$9)&gt;0),TRUE ),1,0)+IF( AND((COUNTIF(CD$2:CD$33,'Your Team'!$D$10)&gt;0),TRUE),1,0)+IF( AND((COUNTIF(CD$2:CD$33,'Your Team'!$D$11)&gt;0),TRUE ),1,0)+IF( AND((COUNTIF(CD$2:CD$33,'Your Team'!$D$12)&gt;0),TRUE ),1,0)+IF( AND((COUNTIF(CD$2:CD$33,'Your Team'!$D$13)&gt;0),TRUE ),1,0)+IF( AND((COUNTIF(CD$2:CD$33,'Your Team'!$D$14)&gt;0),TRUE ),1,0)+IF( AND((COUNTIF(CD$2:CD$33,'Your Team'!$D$15)&gt;0),TRUE ),1,0)+IF( AND((COUNTIF(CD$2:CD$33,'Your Team'!$D$16)&gt;0),TRUE ),1,0)+IF( AND((COUNTIF(CD$2:CD$33,'Your Team'!$D$17)&gt;0),TRUE ),1,0)+IF( AND((COUNTIF(CD$2:CD$33,'Your Team'!$D$18)&gt;0),TRUE ),1,0)+IF( AND((COUNTIF(CD$2:CD$33,'Your Team'!$D$19)&gt;0),TRUE ),1,0)</f>
        <v>0</v>
      </c>
      <c r="CE37" s="9">
        <f>IF( AND((COUNTIF(CE$2:CE$33,'Your Team'!$D$3)&gt;0),TRUE ),1,0)+IF( AND((COUNTIF(CE$2:CE$33,'Your Team'!$D$4)&gt;0),TRUE),1,0)+IF( AND((COUNTIF(CE$2:CE$33,'Your Team'!$D$5)&gt;0),TRUE ),1,0)+IF( AND((COUNTIF(CE$2:CE$33,'Your Team'!$D$6)&gt;0),TRUE ),1,0)+IF( AND((COUNTIF(CE$2:CE$33,'Your Team'!$D$7)&gt;0),TRUE ),1,0)+IF( AND((COUNTIF(CE$2:CE$33,'Your Team'!$D$8)&gt;0),TRUE ),1,0)+IF( AND((COUNTIF(CE$2:CE$33,'Your Team'!$D$9)&gt;0),TRUE ),1,0)+IF( AND((COUNTIF(CE$2:CE$33,'Your Team'!$D$10)&gt;0),TRUE),1,0)+IF( AND((COUNTIF(CE$2:CE$33,'Your Team'!$D$11)&gt;0),TRUE ),1,0)+IF( AND((COUNTIF(CE$2:CE$33,'Your Team'!$D$12)&gt;0),TRUE ),1,0)+IF( AND((COUNTIF(CE$2:CE$33,'Your Team'!$D$13)&gt;0),TRUE ),1,0)+IF( AND((COUNTIF(CE$2:CE$33,'Your Team'!$D$14)&gt;0),TRUE ),1,0)+IF( AND((COUNTIF(CE$2:CE$33,'Your Team'!$D$15)&gt;0),TRUE ),1,0)+IF( AND((COUNTIF(CE$2:CE$33,'Your Team'!$D$16)&gt;0),TRUE ),1,0)+IF( AND((COUNTIF(CE$2:CE$33,'Your Team'!$D$17)&gt;0),TRUE ),1,0)+IF( AND((COUNTIF(CE$2:CE$33,'Your Team'!$D$18)&gt;0),TRUE ),1,0)+IF( AND((COUNTIF(CE$2:CE$33,'Your Team'!$D$19)&gt;0),TRUE ),1,0)</f>
        <v>0</v>
      </c>
      <c r="CF37" s="9">
        <f>IF( AND((COUNTIF(CF$2:CF$33,'Your Team'!$D$3)&gt;0),TRUE ),1,0)+IF( AND((COUNTIF(CF$2:CF$33,'Your Team'!$D$4)&gt;0),TRUE),1,0)+IF( AND((COUNTIF(CF$2:CF$33,'Your Team'!$D$5)&gt;0),TRUE ),1,0)+IF( AND((COUNTIF(CF$2:CF$33,'Your Team'!$D$6)&gt;0),TRUE ),1,0)+IF( AND((COUNTIF(CF$2:CF$33,'Your Team'!$D$7)&gt;0),TRUE ),1,0)+IF( AND((COUNTIF(CF$2:CF$33,'Your Team'!$D$8)&gt;0),TRUE ),1,0)+IF( AND((COUNTIF(CF$2:CF$33,'Your Team'!$D$9)&gt;0),TRUE ),1,0)+IF( AND((COUNTIF(CF$2:CF$33,'Your Team'!$D$10)&gt;0),TRUE),1,0)+IF( AND((COUNTIF(CF$2:CF$33,'Your Team'!$D$11)&gt;0),TRUE ),1,0)+IF( AND((COUNTIF(CF$2:CF$33,'Your Team'!$D$12)&gt;0),TRUE ),1,0)+IF( AND((COUNTIF(CF$2:CF$33,'Your Team'!$D$13)&gt;0),TRUE ),1,0)+IF( AND((COUNTIF(CF$2:CF$33,'Your Team'!$D$14)&gt;0),TRUE ),1,0)+IF( AND((COUNTIF(CF$2:CF$33,'Your Team'!$D$15)&gt;0),TRUE ),1,0)+IF( AND((COUNTIF(CF$2:CF$33,'Your Team'!$D$16)&gt;0),TRUE ),1,0)+IF( AND((COUNTIF(CF$2:CF$33,'Your Team'!$D$17)&gt;0),TRUE ),1,0)+IF( AND((COUNTIF(CF$2:CF$33,'Your Team'!$D$18)&gt;0),TRUE ),1,0)+IF( AND((COUNTIF(CF$2:CF$33,'Your Team'!$D$19)&gt;0),TRUE ),1,0)</f>
        <v>0</v>
      </c>
      <c r="CG37" s="9">
        <f>IF( AND((COUNTIF(CG$2:CG$33,'Your Team'!$D$3)&gt;0),TRUE ),1,0)+IF( AND((COUNTIF(CG$2:CG$33,'Your Team'!$D$4)&gt;0),TRUE),1,0)+IF( AND((COUNTIF(CG$2:CG$33,'Your Team'!$D$5)&gt;0),TRUE ),1,0)+IF( AND((COUNTIF(CG$2:CG$33,'Your Team'!$D$6)&gt;0),TRUE ),1,0)+IF( AND((COUNTIF(CG$2:CG$33,'Your Team'!$D$7)&gt;0),TRUE ),1,0)+IF( AND((COUNTIF(CG$2:CG$33,'Your Team'!$D$8)&gt;0),TRUE ),1,0)+IF( AND((COUNTIF(CG$2:CG$33,'Your Team'!$D$9)&gt;0),TRUE ),1,0)+IF( AND((COUNTIF(CG$2:CG$33,'Your Team'!$D$10)&gt;0),TRUE),1,0)+IF( AND((COUNTIF(CG$2:CG$33,'Your Team'!$D$11)&gt;0),TRUE ),1,0)+IF( AND((COUNTIF(CG$2:CG$33,'Your Team'!$D$12)&gt;0),TRUE ),1,0)+IF( AND((COUNTIF(CG$2:CG$33,'Your Team'!$D$13)&gt;0),TRUE ),1,0)+IF( AND((COUNTIF(CG$2:CG$33,'Your Team'!$D$14)&gt;0),TRUE ),1,0)+IF( AND((COUNTIF(CG$2:CG$33,'Your Team'!$D$15)&gt;0),TRUE ),1,0)+IF( AND((COUNTIF(CG$2:CG$33,'Your Team'!$D$16)&gt;0),TRUE ),1,0)+IF( AND((COUNTIF(CG$2:CG$33,'Your Team'!$D$17)&gt;0),TRUE ),1,0)+IF( AND((COUNTIF(CG$2:CG$33,'Your Team'!$D$18)&gt;0),TRUE ),1,0)+IF( AND((COUNTIF(CG$2:CG$33,'Your Team'!$D$19)&gt;0),TRUE ),1,0)</f>
        <v>0</v>
      </c>
      <c r="CH37" s="9">
        <f>IF( AND((COUNTIF(CH$2:CH$33,'Your Team'!$D$3)&gt;0),TRUE ),1,0)+IF( AND((COUNTIF(CH$2:CH$33,'Your Team'!$D$4)&gt;0),TRUE),1,0)+IF( AND((COUNTIF(CH$2:CH$33,'Your Team'!$D$5)&gt;0),TRUE ),1,0)+IF( AND((COUNTIF(CH$2:CH$33,'Your Team'!$D$6)&gt;0),TRUE ),1,0)+IF( AND((COUNTIF(CH$2:CH$33,'Your Team'!$D$7)&gt;0),TRUE ),1,0)+IF( AND((COUNTIF(CH$2:CH$33,'Your Team'!$D$8)&gt;0),TRUE ),1,0)+IF( AND((COUNTIF(CH$2:CH$33,'Your Team'!$D$9)&gt;0),TRUE ),1,0)+IF( AND((COUNTIF(CH$2:CH$33,'Your Team'!$D$10)&gt;0),TRUE),1,0)+IF( AND((COUNTIF(CH$2:CH$33,'Your Team'!$D$11)&gt;0),TRUE ),1,0)+IF( AND((COUNTIF(CH$2:CH$33,'Your Team'!$D$12)&gt;0),TRUE ),1,0)+IF( AND((COUNTIF(CH$2:CH$33,'Your Team'!$D$13)&gt;0),TRUE ),1,0)+IF( AND((COUNTIF(CH$2:CH$33,'Your Team'!$D$14)&gt;0),TRUE ),1,0)+IF( AND((COUNTIF(CH$2:CH$33,'Your Team'!$D$15)&gt;0),TRUE ),1,0)+IF( AND((COUNTIF(CH$2:CH$33,'Your Team'!$D$16)&gt;0),TRUE ),1,0)+IF( AND((COUNTIF(CH$2:CH$33,'Your Team'!$D$17)&gt;0),TRUE ),1,0)+IF( AND((COUNTIF(CH$2:CH$33,'Your Team'!$D$18)&gt;0),TRUE ),1,0)+IF( AND((COUNTIF(CH$2:CH$33,'Your Team'!$D$19)&gt;0),TRUE ),1,0)</f>
        <v>0</v>
      </c>
      <c r="CI37" s="9">
        <f>IF( AND((COUNTIF(CI$2:CI$33,'Your Team'!$D$3)&gt;0),TRUE ),1,0)+IF( AND((COUNTIF(CI$2:CI$33,'Your Team'!$D$4)&gt;0),TRUE),1,0)+IF( AND((COUNTIF(CI$2:CI$33,'Your Team'!$D$5)&gt;0),TRUE ),1,0)+IF( AND((COUNTIF(CI$2:CI$33,'Your Team'!$D$6)&gt;0),TRUE ),1,0)+IF( AND((COUNTIF(CI$2:CI$33,'Your Team'!$D$7)&gt;0),TRUE ),1,0)+IF( AND((COUNTIF(CI$2:CI$33,'Your Team'!$D$8)&gt;0),TRUE ),1,0)+IF( AND((COUNTIF(CI$2:CI$33,'Your Team'!$D$9)&gt;0),TRUE ),1,0)+IF( AND((COUNTIF(CI$2:CI$33,'Your Team'!$D$10)&gt;0),TRUE),1,0)+IF( AND((COUNTIF(CI$2:CI$33,'Your Team'!$D$11)&gt;0),TRUE ),1,0)+IF( AND((COUNTIF(CI$2:CI$33,'Your Team'!$D$12)&gt;0),TRUE ),1,0)+IF( AND((COUNTIF(CI$2:CI$33,'Your Team'!$D$13)&gt;0),TRUE ),1,0)+IF( AND((COUNTIF(CI$2:CI$33,'Your Team'!$D$14)&gt;0),TRUE ),1,0)+IF( AND((COUNTIF(CI$2:CI$33,'Your Team'!$D$15)&gt;0),TRUE ),1,0)+IF( AND((COUNTIF(CI$2:CI$33,'Your Team'!$D$16)&gt;0),TRUE ),1,0)+IF( AND((COUNTIF(CI$2:CI$33,'Your Team'!$D$17)&gt;0),TRUE ),1,0)+IF( AND((COUNTIF(CI$2:CI$33,'Your Team'!$D$18)&gt;0),TRUE ),1,0)+IF( AND((COUNTIF(CI$2:CI$33,'Your Team'!$D$19)&gt;0),TRUE ),1,0)</f>
        <v>0</v>
      </c>
      <c r="CJ37" s="9">
        <f>IF( AND((COUNTIF(CJ$2:CJ$33,'Your Team'!$D$3)&gt;0),TRUE ),1,0)+IF( AND((COUNTIF(CJ$2:CJ$33,'Your Team'!$D$4)&gt;0),TRUE),1,0)+IF( AND((COUNTIF(CJ$2:CJ$33,'Your Team'!$D$5)&gt;0),TRUE ),1,0)+IF( AND((COUNTIF(CJ$2:CJ$33,'Your Team'!$D$6)&gt;0),TRUE ),1,0)+IF( AND((COUNTIF(CJ$2:CJ$33,'Your Team'!$D$7)&gt;0),TRUE ),1,0)+IF( AND((COUNTIF(CJ$2:CJ$33,'Your Team'!$D$8)&gt;0),TRUE ),1,0)+IF( AND((COUNTIF(CJ$2:CJ$33,'Your Team'!$D$9)&gt;0),TRUE ),1,0)+IF( AND((COUNTIF(CJ$2:CJ$33,'Your Team'!$D$10)&gt;0),TRUE),1,0)+IF( AND((COUNTIF(CJ$2:CJ$33,'Your Team'!$D$11)&gt;0),TRUE ),1,0)+IF( AND((COUNTIF(CJ$2:CJ$33,'Your Team'!$D$12)&gt;0),TRUE ),1,0)+IF( AND((COUNTIF(CJ$2:CJ$33,'Your Team'!$D$13)&gt;0),TRUE ),1,0)+IF( AND((COUNTIF(CJ$2:CJ$33,'Your Team'!$D$14)&gt;0),TRUE ),1,0)+IF( AND((COUNTIF(CJ$2:CJ$33,'Your Team'!$D$15)&gt;0),TRUE ),1,0)+IF( AND((COUNTIF(CJ$2:CJ$33,'Your Team'!$D$16)&gt;0),TRUE ),1,0)+IF( AND((COUNTIF(CJ$2:CJ$33,'Your Team'!$D$17)&gt;0),TRUE ),1,0)+IF( AND((COUNTIF(CJ$2:CJ$33,'Your Team'!$D$18)&gt;0),TRUE ),1,0)+IF( AND((COUNTIF(CJ$2:CJ$33,'Your Team'!$D$19)&gt;0),TRUE ),1,0)</f>
        <v>0</v>
      </c>
      <c r="CK37" s="9">
        <f>IF( AND((COUNTIF(CK$2:CK$33,'Your Team'!$D$3)&gt;0),TRUE ),1,0)+IF( AND((COUNTIF(CK$2:CK$33,'Your Team'!$D$4)&gt;0),TRUE),1,0)+IF( AND((COUNTIF(CK$2:CK$33,'Your Team'!$D$5)&gt;0),TRUE ),1,0)+IF( AND((COUNTIF(CK$2:CK$33,'Your Team'!$D$6)&gt;0),TRUE ),1,0)+IF( AND((COUNTIF(CK$2:CK$33,'Your Team'!$D$7)&gt;0),TRUE ),1,0)+IF( AND((COUNTIF(CK$2:CK$33,'Your Team'!$D$8)&gt;0),TRUE ),1,0)+IF( AND((COUNTIF(CK$2:CK$33,'Your Team'!$D$9)&gt;0),TRUE ),1,0)+IF( AND((COUNTIF(CK$2:CK$33,'Your Team'!$D$10)&gt;0),TRUE),1,0)+IF( AND((COUNTIF(CK$2:CK$33,'Your Team'!$D$11)&gt;0),TRUE ),1,0)+IF( AND((COUNTIF(CK$2:CK$33,'Your Team'!$D$12)&gt;0),TRUE ),1,0)+IF( AND((COUNTIF(CK$2:CK$33,'Your Team'!$D$13)&gt;0),TRUE ),1,0)+IF( AND((COUNTIF(CK$2:CK$33,'Your Team'!$D$14)&gt;0),TRUE ),1,0)+IF( AND((COUNTIF(CK$2:CK$33,'Your Team'!$D$15)&gt;0),TRUE ),1,0)+IF( AND((COUNTIF(CK$2:CK$33,'Your Team'!$D$16)&gt;0),TRUE ),1,0)+IF( AND((COUNTIF(CK$2:CK$33,'Your Team'!$D$17)&gt;0),TRUE ),1,0)+IF( AND((COUNTIF(CK$2:CK$33,'Your Team'!$D$18)&gt;0),TRUE ),1,0)+IF( AND((COUNTIF(CK$2:CK$33,'Your Team'!$D$19)&gt;0),TRUE ),1,0)</f>
        <v>0</v>
      </c>
      <c r="CL37" s="9">
        <f>IF( AND((COUNTIF(CL$2:CL$33,'Your Team'!$D$3)&gt;0),TRUE ),1,0)+IF( AND((COUNTIF(CL$2:CL$33,'Your Team'!$D$4)&gt;0),TRUE),1,0)+IF( AND((COUNTIF(CL$2:CL$33,'Your Team'!$D$5)&gt;0),TRUE ),1,0)+IF( AND((COUNTIF(CL$2:CL$33,'Your Team'!$D$6)&gt;0),TRUE ),1,0)+IF( AND((COUNTIF(CL$2:CL$33,'Your Team'!$D$7)&gt;0),TRUE ),1,0)+IF( AND((COUNTIF(CL$2:CL$33,'Your Team'!$D$8)&gt;0),TRUE ),1,0)+IF( AND((COUNTIF(CL$2:CL$33,'Your Team'!$D$9)&gt;0),TRUE ),1,0)+IF( AND((COUNTIF(CL$2:CL$33,'Your Team'!$D$10)&gt;0),TRUE),1,0)+IF( AND((COUNTIF(CL$2:CL$33,'Your Team'!$D$11)&gt;0),TRUE ),1,0)+IF( AND((COUNTIF(CL$2:CL$33,'Your Team'!$D$12)&gt;0),TRUE ),1,0)+IF( AND((COUNTIF(CL$2:CL$33,'Your Team'!$D$13)&gt;0),TRUE ),1,0)+IF( AND((COUNTIF(CL$2:CL$33,'Your Team'!$D$14)&gt;0),TRUE ),1,0)+IF( AND((COUNTIF(CL$2:CL$33,'Your Team'!$D$15)&gt;0),TRUE ),1,0)+IF( AND((COUNTIF(CL$2:CL$33,'Your Team'!$D$16)&gt;0),TRUE ),1,0)+IF( AND((COUNTIF(CL$2:CL$33,'Your Team'!$D$17)&gt;0),TRUE ),1,0)+IF( AND((COUNTIF(CL$2:CL$33,'Your Team'!$D$18)&gt;0),TRUE ),1,0)+IF( AND((COUNTIF(CL$2:CL$33,'Your Team'!$D$19)&gt;0),TRUE ),1,0)</f>
        <v>0</v>
      </c>
      <c r="CM37" s="9">
        <f>IF( AND((COUNTIF(CM$2:CM$33,'Your Team'!$D$3)&gt;0),TRUE ),1,0)+IF( AND((COUNTIF(CM$2:CM$33,'Your Team'!$D$4)&gt;0),TRUE),1,0)+IF( AND((COUNTIF(CM$2:CM$33,'Your Team'!$D$5)&gt;0),TRUE ),1,0)+IF( AND((COUNTIF(CM$2:CM$33,'Your Team'!$D$6)&gt;0),TRUE ),1,0)+IF( AND((COUNTIF(CM$2:CM$33,'Your Team'!$D$7)&gt;0),TRUE ),1,0)+IF( AND((COUNTIF(CM$2:CM$33,'Your Team'!$D$8)&gt;0),TRUE ),1,0)+IF( AND((COUNTIF(CM$2:CM$33,'Your Team'!$D$9)&gt;0),TRUE ),1,0)+IF( AND((COUNTIF(CM$2:CM$33,'Your Team'!$D$10)&gt;0),TRUE),1,0)+IF( AND((COUNTIF(CM$2:CM$33,'Your Team'!$D$11)&gt;0),TRUE ),1,0)+IF( AND((COUNTIF(CM$2:CM$33,'Your Team'!$D$12)&gt;0),TRUE ),1,0)+IF( AND((COUNTIF(CM$2:CM$33,'Your Team'!$D$13)&gt;0),TRUE ),1,0)+IF( AND((COUNTIF(CM$2:CM$33,'Your Team'!$D$14)&gt;0),TRUE ),1,0)+IF( AND((COUNTIF(CM$2:CM$33,'Your Team'!$D$15)&gt;0),TRUE ),1,0)+IF( AND((COUNTIF(CM$2:CM$33,'Your Team'!$D$16)&gt;0),TRUE ),1,0)+IF( AND((COUNTIF(CM$2:CM$33,'Your Team'!$D$17)&gt;0),TRUE ),1,0)+IF( AND((COUNTIF(CM$2:CM$33,'Your Team'!$D$18)&gt;0),TRUE ),1,0)+IF( AND((COUNTIF(CM$2:CM$33,'Your Team'!$D$19)&gt;0),TRUE ),1,0)</f>
        <v>0</v>
      </c>
      <c r="CN37" s="9">
        <f>IF( AND((COUNTIF(CN$2:CN$33,'Your Team'!$D$3)&gt;0),TRUE ),1,0)+IF( AND((COUNTIF(CN$2:CN$33,'Your Team'!$D$4)&gt;0),TRUE),1,0)+IF( AND((COUNTIF(CN$2:CN$33,'Your Team'!$D$5)&gt;0),TRUE ),1,0)+IF( AND((COUNTIF(CN$2:CN$33,'Your Team'!$D$6)&gt;0),TRUE ),1,0)+IF( AND((COUNTIF(CN$2:CN$33,'Your Team'!$D$7)&gt;0),TRUE ),1,0)+IF( AND((COUNTIF(CN$2:CN$33,'Your Team'!$D$8)&gt;0),TRUE ),1,0)+IF( AND((COUNTIF(CN$2:CN$33,'Your Team'!$D$9)&gt;0),TRUE ),1,0)+IF( AND((COUNTIF(CN$2:CN$33,'Your Team'!$D$10)&gt;0),TRUE),1,0)+IF( AND((COUNTIF(CN$2:CN$33,'Your Team'!$D$11)&gt;0),TRUE ),1,0)+IF( AND((COUNTIF(CN$2:CN$33,'Your Team'!$D$12)&gt;0),TRUE ),1,0)+IF( AND((COUNTIF(CN$2:CN$33,'Your Team'!$D$13)&gt;0),TRUE ),1,0)+IF( AND((COUNTIF(CN$2:CN$33,'Your Team'!$D$14)&gt;0),TRUE ),1,0)+IF( AND((COUNTIF(CN$2:CN$33,'Your Team'!$D$15)&gt;0),TRUE ),1,0)+IF( AND((COUNTIF(CN$2:CN$33,'Your Team'!$D$16)&gt;0),TRUE ),1,0)+IF( AND((COUNTIF(CN$2:CN$33,'Your Team'!$D$17)&gt;0),TRUE ),1,0)+IF( AND((COUNTIF(CN$2:CN$33,'Your Team'!$D$18)&gt;0),TRUE ),1,0)+IF( AND((COUNTIF(CN$2:CN$33,'Your Team'!$D$19)&gt;0),TRUE ),1,0)</f>
        <v>0</v>
      </c>
      <c r="CO37" s="9">
        <f>IF( AND((COUNTIF(CO$2:CO$33,'Your Team'!$D$3)&gt;0),TRUE ),1,0)+IF( AND((COUNTIF(CO$2:CO$33,'Your Team'!$D$4)&gt;0),TRUE),1,0)+IF( AND((COUNTIF(CO$2:CO$33,'Your Team'!$D$5)&gt;0),TRUE ),1,0)+IF( AND((COUNTIF(CO$2:CO$33,'Your Team'!$D$6)&gt;0),TRUE ),1,0)+IF( AND((COUNTIF(CO$2:CO$33,'Your Team'!$D$7)&gt;0),TRUE ),1,0)+IF( AND((COUNTIF(CO$2:CO$33,'Your Team'!$D$8)&gt;0),TRUE ),1,0)+IF( AND((COUNTIF(CO$2:CO$33,'Your Team'!$D$9)&gt;0),TRUE ),1,0)+IF( AND((COUNTIF(CO$2:CO$33,'Your Team'!$D$10)&gt;0),TRUE),1,0)+IF( AND((COUNTIF(CO$2:CO$33,'Your Team'!$D$11)&gt;0),TRUE ),1,0)+IF( AND((COUNTIF(CO$2:CO$33,'Your Team'!$D$12)&gt;0),TRUE ),1,0)+IF( AND((COUNTIF(CO$2:CO$33,'Your Team'!$D$13)&gt;0),TRUE ),1,0)+IF( AND((COUNTIF(CO$2:CO$33,'Your Team'!$D$14)&gt;0),TRUE ),1,0)+IF( AND((COUNTIF(CO$2:CO$33,'Your Team'!$D$15)&gt;0),TRUE ),1,0)+IF( AND((COUNTIF(CO$2:CO$33,'Your Team'!$D$16)&gt;0),TRUE ),1,0)+IF( AND((COUNTIF(CO$2:CO$33,'Your Team'!$D$17)&gt;0),TRUE ),1,0)+IF( AND((COUNTIF(CO$2:CO$33,'Your Team'!$D$18)&gt;0),TRUE ),1,0)+IF( AND((COUNTIF(CO$2:CO$33,'Your Team'!$D$19)&gt;0),TRUE ),1,0)</f>
        <v>0</v>
      </c>
      <c r="CP37" s="9">
        <f>IF( AND((COUNTIF(CP$2:CP$33,'Your Team'!$D$3)&gt;0),TRUE ),1,0)+IF( AND((COUNTIF(CP$2:CP$33,'Your Team'!$D$4)&gt;0),TRUE),1,0)+IF( AND((COUNTIF(CP$2:CP$33,'Your Team'!$D$5)&gt;0),TRUE ),1,0)+IF( AND((COUNTIF(CP$2:CP$33,'Your Team'!$D$6)&gt;0),TRUE ),1,0)+IF( AND((COUNTIF(CP$2:CP$33,'Your Team'!$D$7)&gt;0),TRUE ),1,0)+IF( AND((COUNTIF(CP$2:CP$33,'Your Team'!$D$8)&gt;0),TRUE ),1,0)+IF( AND((COUNTIF(CP$2:CP$33,'Your Team'!$D$9)&gt;0),TRUE ),1,0)+IF( AND((COUNTIF(CP$2:CP$33,'Your Team'!$D$10)&gt;0),TRUE),1,0)+IF( AND((COUNTIF(CP$2:CP$33,'Your Team'!$D$11)&gt;0),TRUE ),1,0)+IF( AND((COUNTIF(CP$2:CP$33,'Your Team'!$D$12)&gt;0),TRUE ),1,0)+IF( AND((COUNTIF(CP$2:CP$33,'Your Team'!$D$13)&gt;0),TRUE ),1,0)+IF( AND((COUNTIF(CP$2:CP$33,'Your Team'!$D$14)&gt;0),TRUE ),1,0)+IF( AND((COUNTIF(CP$2:CP$33,'Your Team'!$D$15)&gt;0),TRUE ),1,0)+IF( AND((COUNTIF(CP$2:CP$33,'Your Team'!$D$16)&gt;0),TRUE ),1,0)+IF( AND((COUNTIF(CP$2:CP$33,'Your Team'!$D$17)&gt;0),TRUE ),1,0)+IF( AND((COUNTIF(CP$2:CP$33,'Your Team'!$D$18)&gt;0),TRUE ),1,0)+IF( AND((COUNTIF(CP$2:CP$33,'Your Team'!$D$19)&gt;0),TRUE ),1,0)</f>
        <v>0</v>
      </c>
      <c r="CQ37" s="9">
        <f>IF( AND((COUNTIF(CQ$2:CQ$33,'Your Team'!$D$3)&gt;0),TRUE ),1,0)+IF( AND((COUNTIF(CQ$2:CQ$33,'Your Team'!$D$4)&gt;0),TRUE),1,0)+IF( AND((COUNTIF(CQ$2:CQ$33,'Your Team'!$D$5)&gt;0),TRUE ),1,0)+IF( AND((COUNTIF(CQ$2:CQ$33,'Your Team'!$D$6)&gt;0),TRUE ),1,0)+IF( AND((COUNTIF(CQ$2:CQ$33,'Your Team'!$D$7)&gt;0),TRUE ),1,0)+IF( AND((COUNTIF(CQ$2:CQ$33,'Your Team'!$D$8)&gt;0),TRUE ),1,0)+IF( AND((COUNTIF(CQ$2:CQ$33,'Your Team'!$D$9)&gt;0),TRUE ),1,0)+IF( AND((COUNTIF(CQ$2:CQ$33,'Your Team'!$D$10)&gt;0),TRUE),1,0)+IF( AND((COUNTIF(CQ$2:CQ$33,'Your Team'!$D$11)&gt;0),TRUE ),1,0)+IF( AND((COUNTIF(CQ$2:CQ$33,'Your Team'!$D$12)&gt;0),TRUE ),1,0)+IF( AND((COUNTIF(CQ$2:CQ$33,'Your Team'!$D$13)&gt;0),TRUE ),1,0)+IF( AND((COUNTIF(CQ$2:CQ$33,'Your Team'!$D$14)&gt;0),TRUE ),1,0)+IF( AND((COUNTIF(CQ$2:CQ$33,'Your Team'!$D$15)&gt;0),TRUE ),1,0)+IF( AND((COUNTIF(CQ$2:CQ$33,'Your Team'!$D$16)&gt;0),TRUE ),1,0)+IF( AND((COUNTIF(CQ$2:CQ$33,'Your Team'!$D$17)&gt;0),TRUE ),1,0)+IF( AND((COUNTIF(CQ$2:CQ$33,'Your Team'!$D$18)&gt;0),TRUE ),1,0)+IF( AND((COUNTIF(CQ$2:CQ$33,'Your Team'!$D$19)&gt;0),TRUE ),1,0)</f>
        <v>0</v>
      </c>
      <c r="CR37" s="9">
        <f>IF( AND((COUNTIF(CR$2:CR$33,'Your Team'!$D$3)&gt;0),TRUE ),1,0)+IF( AND((COUNTIF(CR$2:CR$33,'Your Team'!$D$4)&gt;0),TRUE),1,0)+IF( AND((COUNTIF(CR$2:CR$33,'Your Team'!$D$5)&gt;0),TRUE ),1,0)+IF( AND((COUNTIF(CR$2:CR$33,'Your Team'!$D$6)&gt;0),TRUE ),1,0)+IF( AND((COUNTIF(CR$2:CR$33,'Your Team'!$D$7)&gt;0),TRUE ),1,0)+IF( AND((COUNTIF(CR$2:CR$33,'Your Team'!$D$8)&gt;0),TRUE ),1,0)+IF( AND((COUNTIF(CR$2:CR$33,'Your Team'!$D$9)&gt;0),TRUE ),1,0)+IF( AND((COUNTIF(CR$2:CR$33,'Your Team'!$D$10)&gt;0),TRUE),1,0)+IF( AND((COUNTIF(CR$2:CR$33,'Your Team'!$D$11)&gt;0),TRUE ),1,0)+IF( AND((COUNTIF(CR$2:CR$33,'Your Team'!$D$12)&gt;0),TRUE ),1,0)+IF( AND((COUNTIF(CR$2:CR$33,'Your Team'!$D$13)&gt;0),TRUE ),1,0)+IF( AND((COUNTIF(CR$2:CR$33,'Your Team'!$D$14)&gt;0),TRUE ),1,0)+IF( AND((COUNTIF(CR$2:CR$33,'Your Team'!$D$15)&gt;0),TRUE ),1,0)+IF( AND((COUNTIF(CR$2:CR$33,'Your Team'!$D$16)&gt;0),TRUE ),1,0)+IF( AND((COUNTIF(CR$2:CR$33,'Your Team'!$D$17)&gt;0),TRUE ),1,0)+IF( AND((COUNTIF(CR$2:CR$33,'Your Team'!$D$18)&gt;0),TRUE ),1,0)+IF( AND((COUNTIF(CR$2:CR$33,'Your Team'!$D$19)&gt;0),TRUE ),1,0)</f>
        <v>0</v>
      </c>
      <c r="CS37" s="9">
        <f>IF( AND((COUNTIF(CS$2:CS$33,'Your Team'!$D$3)&gt;0),TRUE ),1,0)+IF( AND((COUNTIF(CS$2:CS$33,'Your Team'!$D$4)&gt;0),TRUE),1,0)+IF( AND((COUNTIF(CS$2:CS$33,'Your Team'!$D$5)&gt;0),TRUE ),1,0)+IF( AND((COUNTIF(CS$2:CS$33,'Your Team'!$D$6)&gt;0),TRUE ),1,0)+IF( AND((COUNTIF(CS$2:CS$33,'Your Team'!$D$7)&gt;0),TRUE ),1,0)+IF( AND((COUNTIF(CS$2:CS$33,'Your Team'!$D$8)&gt;0),TRUE ),1,0)+IF( AND((COUNTIF(CS$2:CS$33,'Your Team'!$D$9)&gt;0),TRUE ),1,0)+IF( AND((COUNTIF(CS$2:CS$33,'Your Team'!$D$10)&gt;0),TRUE),1,0)+IF( AND((COUNTIF(CS$2:CS$33,'Your Team'!$D$11)&gt;0),TRUE ),1,0)+IF( AND((COUNTIF(CS$2:CS$33,'Your Team'!$D$12)&gt;0),TRUE ),1,0)+IF( AND((COUNTIF(CS$2:CS$33,'Your Team'!$D$13)&gt;0),TRUE ),1,0)+IF( AND((COUNTIF(CS$2:CS$33,'Your Team'!$D$14)&gt;0),TRUE ),1,0)+IF( AND((COUNTIF(CS$2:CS$33,'Your Team'!$D$15)&gt;0),TRUE ),1,0)+IF( AND((COUNTIF(CS$2:CS$33,'Your Team'!$D$16)&gt;0),TRUE ),1,0)+IF( AND((COUNTIF(CS$2:CS$33,'Your Team'!$D$17)&gt;0),TRUE ),1,0)+IF( AND((COUNTIF(CS$2:CS$33,'Your Team'!$D$18)&gt;0),TRUE ),1,0)+IF( AND((COUNTIF(CS$2:CS$33,'Your Team'!$D$19)&gt;0),TRUE ),1,0)</f>
        <v>0</v>
      </c>
      <c r="CT37" s="9">
        <f>IF( AND((COUNTIF(CT$2:CT$33,'Your Team'!$D$3)&gt;0),TRUE ),1,0)+IF( AND((COUNTIF(CT$2:CT$33,'Your Team'!$D$4)&gt;0),TRUE),1,0)+IF( AND((COUNTIF(CT$2:CT$33,'Your Team'!$D$5)&gt;0),TRUE ),1,0)+IF( AND((COUNTIF(CT$2:CT$33,'Your Team'!$D$6)&gt;0),TRUE ),1,0)+IF( AND((COUNTIF(CT$2:CT$33,'Your Team'!$D$7)&gt;0),TRUE ),1,0)+IF( AND((COUNTIF(CT$2:CT$33,'Your Team'!$D$8)&gt;0),TRUE ),1,0)+IF( AND((COUNTIF(CT$2:CT$33,'Your Team'!$D$9)&gt;0),TRUE ),1,0)+IF( AND((COUNTIF(CT$2:CT$33,'Your Team'!$D$10)&gt;0),TRUE),1,0)+IF( AND((COUNTIF(CT$2:CT$33,'Your Team'!$D$11)&gt;0),TRUE ),1,0)+IF( AND((COUNTIF(CT$2:CT$33,'Your Team'!$D$12)&gt;0),TRUE ),1,0)+IF( AND((COUNTIF(CT$2:CT$33,'Your Team'!$D$13)&gt;0),TRUE ),1,0)+IF( AND((COUNTIF(CT$2:CT$33,'Your Team'!$D$14)&gt;0),TRUE ),1,0)+IF( AND((COUNTIF(CT$2:CT$33,'Your Team'!$D$15)&gt;0),TRUE ),1,0)+IF( AND((COUNTIF(CT$2:CT$33,'Your Team'!$D$16)&gt;0),TRUE ),1,0)+IF( AND((COUNTIF(CT$2:CT$33,'Your Team'!$D$17)&gt;0),TRUE ),1,0)+IF( AND((COUNTIF(CT$2:CT$33,'Your Team'!$D$18)&gt;0),TRUE ),1,0)+IF( AND((COUNTIF(CT$2:CT$33,'Your Team'!$D$19)&gt;0),TRUE ),1,0)</f>
        <v>0</v>
      </c>
      <c r="CU37" s="9">
        <f>IF( AND((COUNTIF(CU$2:CU$33,'Your Team'!$D$3)&gt;0),TRUE ),1,0)+IF( AND((COUNTIF(CU$2:CU$33,'Your Team'!$D$4)&gt;0),TRUE),1,0)+IF( AND((COUNTIF(CU$2:CU$33,'Your Team'!$D$5)&gt;0),TRUE ),1,0)+IF( AND((COUNTIF(CU$2:CU$33,'Your Team'!$D$6)&gt;0),TRUE ),1,0)+IF( AND((COUNTIF(CU$2:CU$33,'Your Team'!$D$7)&gt;0),TRUE ),1,0)+IF( AND((COUNTIF(CU$2:CU$33,'Your Team'!$D$8)&gt;0),TRUE ),1,0)+IF( AND((COUNTIF(CU$2:CU$33,'Your Team'!$D$9)&gt;0),TRUE ),1,0)+IF( AND((COUNTIF(CU$2:CU$33,'Your Team'!$D$10)&gt;0),TRUE),1,0)+IF( AND((COUNTIF(CU$2:CU$33,'Your Team'!$D$11)&gt;0),TRUE ),1,0)+IF( AND((COUNTIF(CU$2:CU$33,'Your Team'!$D$12)&gt;0),TRUE ),1,0)+IF( AND((COUNTIF(CU$2:CU$33,'Your Team'!$D$13)&gt;0),TRUE ),1,0)+IF( AND((COUNTIF(CU$2:CU$33,'Your Team'!$D$14)&gt;0),TRUE ),1,0)+IF( AND((COUNTIF(CU$2:CU$33,'Your Team'!$D$15)&gt;0),TRUE ),1,0)+IF( AND((COUNTIF(CU$2:CU$33,'Your Team'!$D$16)&gt;0),TRUE ),1,0)+IF( AND((COUNTIF(CU$2:CU$33,'Your Team'!$D$17)&gt;0),TRUE ),1,0)+IF( AND((COUNTIF(CU$2:CU$33,'Your Team'!$D$18)&gt;0),TRUE ),1,0)+IF( AND((COUNTIF(CU$2:CU$33,'Your Team'!$D$19)&gt;0),TRUE ),1,0)</f>
        <v>0</v>
      </c>
      <c r="CV37" s="9">
        <f>IF( AND((COUNTIF(CV$2:CV$33,'Your Team'!$D$3)&gt;0),TRUE ),1,0)+IF( AND((COUNTIF(CV$2:CV$33,'Your Team'!$D$4)&gt;0),TRUE),1,0)+IF( AND((COUNTIF(CV$2:CV$33,'Your Team'!$D$5)&gt;0),TRUE ),1,0)+IF( AND((COUNTIF(CV$2:CV$33,'Your Team'!$D$6)&gt;0),TRUE ),1,0)+IF( AND((COUNTIF(CV$2:CV$33,'Your Team'!$D$7)&gt;0),TRUE ),1,0)+IF( AND((COUNTIF(CV$2:CV$33,'Your Team'!$D$8)&gt;0),TRUE ),1,0)+IF( AND((COUNTIF(CV$2:CV$33,'Your Team'!$D$9)&gt;0),TRUE ),1,0)+IF( AND((COUNTIF(CV$2:CV$33,'Your Team'!$D$10)&gt;0),TRUE),1,0)+IF( AND((COUNTIF(CV$2:CV$33,'Your Team'!$D$11)&gt;0),TRUE ),1,0)+IF( AND((COUNTIF(CV$2:CV$33,'Your Team'!$D$12)&gt;0),TRUE ),1,0)+IF( AND((COUNTIF(CV$2:CV$33,'Your Team'!$D$13)&gt;0),TRUE ),1,0)+IF( AND((COUNTIF(CV$2:CV$33,'Your Team'!$D$14)&gt;0),TRUE ),1,0)+IF( AND((COUNTIF(CV$2:CV$33,'Your Team'!$D$15)&gt;0),TRUE ),1,0)+IF( AND((COUNTIF(CV$2:CV$33,'Your Team'!$D$16)&gt;0),TRUE ),1,0)+IF( AND((COUNTIF(CV$2:CV$33,'Your Team'!$D$17)&gt;0),TRUE ),1,0)+IF( AND((COUNTIF(CV$2:CV$33,'Your Team'!$D$18)&gt;0),TRUE ),1,0)+IF( AND((COUNTIF(CV$2:CV$33,'Your Team'!$D$19)&gt;0),TRUE ),1,0)</f>
        <v>0</v>
      </c>
      <c r="CW37" s="9">
        <f>IF( AND((COUNTIF(CW$2:CW$33,'Your Team'!$D$3)&gt;0),TRUE ),1,0)+IF( AND((COUNTIF(CW$2:CW$33,'Your Team'!$D$4)&gt;0),TRUE),1,0)+IF( AND((COUNTIF(CW$2:CW$33,'Your Team'!$D$5)&gt;0),TRUE ),1,0)+IF( AND((COUNTIF(CW$2:CW$33,'Your Team'!$D$6)&gt;0),TRUE ),1,0)+IF( AND((COUNTIF(CW$2:CW$33,'Your Team'!$D$7)&gt;0),TRUE ),1,0)+IF( AND((COUNTIF(CW$2:CW$33,'Your Team'!$D$8)&gt;0),TRUE ),1,0)+IF( AND((COUNTIF(CW$2:CW$33,'Your Team'!$D$9)&gt;0),TRUE ),1,0)+IF( AND((COUNTIF(CW$2:CW$33,'Your Team'!$D$10)&gt;0),TRUE),1,0)+IF( AND((COUNTIF(CW$2:CW$33,'Your Team'!$D$11)&gt;0),TRUE ),1,0)+IF( AND((COUNTIF(CW$2:CW$33,'Your Team'!$D$12)&gt;0),TRUE ),1,0)+IF( AND((COUNTIF(CW$2:CW$33,'Your Team'!$D$13)&gt;0),TRUE ),1,0)+IF( AND((COUNTIF(CW$2:CW$33,'Your Team'!$D$14)&gt;0),TRUE ),1,0)+IF( AND((COUNTIF(CW$2:CW$33,'Your Team'!$D$15)&gt;0),TRUE ),1,0)+IF( AND((COUNTIF(CW$2:CW$33,'Your Team'!$D$16)&gt;0),TRUE ),1,0)+IF( AND((COUNTIF(CW$2:CW$33,'Your Team'!$D$17)&gt;0),TRUE ),1,0)+IF( AND((COUNTIF(CW$2:CW$33,'Your Team'!$D$18)&gt;0),TRUE ),1,0)+IF( AND((COUNTIF(CW$2:CW$33,'Your Team'!$D$19)&gt;0),TRUE ),1,0)</f>
        <v>0</v>
      </c>
      <c r="CX37" s="9">
        <f>IF( AND((COUNTIF(CX$2:CX$33,'Your Team'!$D$3)&gt;0),TRUE ),1,0)+IF( AND((COUNTIF(CX$2:CX$33,'Your Team'!$D$4)&gt;0),TRUE),1,0)+IF( AND((COUNTIF(CX$2:CX$33,'Your Team'!$D$5)&gt;0),TRUE ),1,0)+IF( AND((COUNTIF(CX$2:CX$33,'Your Team'!$D$6)&gt;0),TRUE ),1,0)+IF( AND((COUNTIF(CX$2:CX$33,'Your Team'!$D$7)&gt;0),TRUE ),1,0)+IF( AND((COUNTIF(CX$2:CX$33,'Your Team'!$D$8)&gt;0),TRUE ),1,0)+IF( AND((COUNTIF(CX$2:CX$33,'Your Team'!$D$9)&gt;0),TRUE ),1,0)+IF( AND((COUNTIF(CX$2:CX$33,'Your Team'!$D$10)&gt;0),TRUE),1,0)+IF( AND((COUNTIF(CX$2:CX$33,'Your Team'!$D$11)&gt;0),TRUE ),1,0)+IF( AND((COUNTIF(CX$2:CX$33,'Your Team'!$D$12)&gt;0),TRUE ),1,0)+IF( AND((COUNTIF(CX$2:CX$33,'Your Team'!$D$13)&gt;0),TRUE ),1,0)+IF( AND((COUNTIF(CX$2:CX$33,'Your Team'!$D$14)&gt;0),TRUE ),1,0)+IF( AND((COUNTIF(CX$2:CX$33,'Your Team'!$D$15)&gt;0),TRUE ),1,0)+IF( AND((COUNTIF(CX$2:CX$33,'Your Team'!$D$16)&gt;0),TRUE ),1,0)+IF( AND((COUNTIF(CX$2:CX$33,'Your Team'!$D$17)&gt;0),TRUE ),1,0)+IF( AND((COUNTIF(CX$2:CX$33,'Your Team'!$D$18)&gt;0),TRUE ),1,0)+IF( AND((COUNTIF(CX$2:CX$33,'Your Team'!$D$19)&gt;0),TRUE ),1,0)</f>
        <v>0</v>
      </c>
      <c r="CY37" s="9">
        <f>IF( AND((COUNTIF(CY$2:CY$33,'Your Team'!$D$3)&gt;0),TRUE ),1,0)+IF( AND((COUNTIF(CY$2:CY$33,'Your Team'!$D$4)&gt;0),TRUE),1,0)+IF( AND((COUNTIF(CY$2:CY$33,'Your Team'!$D$5)&gt;0),TRUE ),1,0)+IF( AND((COUNTIF(CY$2:CY$33,'Your Team'!$D$6)&gt;0),TRUE ),1,0)+IF( AND((COUNTIF(CY$2:CY$33,'Your Team'!$D$7)&gt;0),TRUE ),1,0)+IF( AND((COUNTIF(CY$2:CY$33,'Your Team'!$D$8)&gt;0),TRUE ),1,0)+IF( AND((COUNTIF(CY$2:CY$33,'Your Team'!$D$9)&gt;0),TRUE ),1,0)+IF( AND((COUNTIF(CY$2:CY$33,'Your Team'!$D$10)&gt;0),TRUE),1,0)+IF( AND((COUNTIF(CY$2:CY$33,'Your Team'!$D$11)&gt;0),TRUE ),1,0)+IF( AND((COUNTIF(CY$2:CY$33,'Your Team'!$D$12)&gt;0),TRUE ),1,0)+IF( AND((COUNTIF(CY$2:CY$33,'Your Team'!$D$13)&gt;0),TRUE ),1,0)+IF( AND((COUNTIF(CY$2:CY$33,'Your Team'!$D$14)&gt;0),TRUE ),1,0)+IF( AND((COUNTIF(CY$2:CY$33,'Your Team'!$D$15)&gt;0),TRUE ),1,0)+IF( AND((COUNTIF(CY$2:CY$33,'Your Team'!$D$16)&gt;0),TRUE ),1,0)+IF( AND((COUNTIF(CY$2:CY$33,'Your Team'!$D$17)&gt;0),TRUE ),1,0)+IF( AND((COUNTIF(CY$2:CY$33,'Your Team'!$D$18)&gt;0),TRUE ),1,0)+IF( AND((COUNTIF(CY$2:CY$33,'Your Team'!$D$19)&gt;0),TRUE ),1,0)</f>
        <v>0</v>
      </c>
      <c r="CZ37" s="9">
        <f>IF( AND((COUNTIF(CZ$2:CZ$33,'Your Team'!$D$3)&gt;0),TRUE ),1,0)+IF( AND((COUNTIF(CZ$2:CZ$33,'Your Team'!$D$4)&gt;0),TRUE),1,0)+IF( AND((COUNTIF(CZ$2:CZ$33,'Your Team'!$D$5)&gt;0),TRUE ),1,0)+IF( AND((COUNTIF(CZ$2:CZ$33,'Your Team'!$D$6)&gt;0),TRUE ),1,0)+IF( AND((COUNTIF(CZ$2:CZ$33,'Your Team'!$D$7)&gt;0),TRUE ),1,0)+IF( AND((COUNTIF(CZ$2:CZ$33,'Your Team'!$D$8)&gt;0),TRUE ),1,0)+IF( AND((COUNTIF(CZ$2:CZ$33,'Your Team'!$D$9)&gt;0),TRUE ),1,0)+IF( AND((COUNTIF(CZ$2:CZ$33,'Your Team'!$D$10)&gt;0),TRUE),1,0)+IF( AND((COUNTIF(CZ$2:CZ$33,'Your Team'!$D$11)&gt;0),TRUE ),1,0)+IF( AND((COUNTIF(CZ$2:CZ$33,'Your Team'!$D$12)&gt;0),TRUE ),1,0)+IF( AND((COUNTIF(CZ$2:CZ$33,'Your Team'!$D$13)&gt;0),TRUE ),1,0)+IF( AND((COUNTIF(CZ$2:CZ$33,'Your Team'!$D$14)&gt;0),TRUE ),1,0)+IF( AND((COUNTIF(CZ$2:CZ$33,'Your Team'!$D$15)&gt;0),TRUE ),1,0)+IF( AND((COUNTIF(CZ$2:CZ$33,'Your Team'!$D$16)&gt;0),TRUE ),1,0)+IF( AND((COUNTIF(CZ$2:CZ$33,'Your Team'!$D$17)&gt;0),TRUE ),1,0)+IF( AND((COUNTIF(CZ$2:CZ$33,'Your Team'!$D$18)&gt;0),TRUE ),1,0)+IF( AND((COUNTIF(CZ$2:CZ$33,'Your Team'!$D$19)&gt;0),TRUE ),1,0)</f>
        <v>0</v>
      </c>
      <c r="DA37" s="9">
        <f>IF( AND((COUNTIF(DA$2:DA$33,'Your Team'!$D$3)&gt;0),TRUE ),1,0)+IF( AND((COUNTIF(DA$2:DA$33,'Your Team'!$D$4)&gt;0),TRUE),1,0)+IF( AND((COUNTIF(DA$2:DA$33,'Your Team'!$D$5)&gt;0),TRUE ),1,0)+IF( AND((COUNTIF(DA$2:DA$33,'Your Team'!$D$6)&gt;0),TRUE ),1,0)+IF( AND((COUNTIF(DA$2:DA$33,'Your Team'!$D$7)&gt;0),TRUE ),1,0)+IF( AND((COUNTIF(DA$2:DA$33,'Your Team'!$D$8)&gt;0),TRUE ),1,0)+IF( AND((COUNTIF(DA$2:DA$33,'Your Team'!$D$9)&gt;0),TRUE ),1,0)+IF( AND((COUNTIF(DA$2:DA$33,'Your Team'!$D$10)&gt;0),TRUE),1,0)+IF( AND((COUNTIF(DA$2:DA$33,'Your Team'!$D$11)&gt;0),TRUE ),1,0)+IF( AND((COUNTIF(DA$2:DA$33,'Your Team'!$D$12)&gt;0),TRUE ),1,0)+IF( AND((COUNTIF(DA$2:DA$33,'Your Team'!$D$13)&gt;0),TRUE ),1,0)+IF( AND((COUNTIF(DA$2:DA$33,'Your Team'!$D$14)&gt;0),TRUE ),1,0)+IF( AND((COUNTIF(DA$2:DA$33,'Your Team'!$D$15)&gt;0),TRUE ),1,0)+IF( AND((COUNTIF(DA$2:DA$33,'Your Team'!$D$16)&gt;0),TRUE ),1,0)+IF( AND((COUNTIF(DA$2:DA$33,'Your Team'!$D$17)&gt;0),TRUE ),1,0)+IF( AND((COUNTIF(DA$2:DA$33,'Your Team'!$D$18)&gt;0),TRUE ),1,0)+IF( AND((COUNTIF(DA$2:DA$33,'Your Team'!$D$19)&gt;0),TRUE ),1,0)</f>
        <v>0</v>
      </c>
      <c r="DB37" s="9">
        <f>IF( AND((COUNTIF(DB$2:DB$33,'Your Team'!$D$3)&gt;0),TRUE ),1,0)+IF( AND((COUNTIF(DB$2:DB$33,'Your Team'!$D$4)&gt;0),TRUE),1,0)+IF( AND((COUNTIF(DB$2:DB$33,'Your Team'!$D$5)&gt;0),TRUE ),1,0)+IF( AND((COUNTIF(DB$2:DB$33,'Your Team'!$D$6)&gt;0),TRUE ),1,0)+IF( AND((COUNTIF(DB$2:DB$33,'Your Team'!$D$7)&gt;0),TRUE ),1,0)+IF( AND((COUNTIF(DB$2:DB$33,'Your Team'!$D$8)&gt;0),TRUE ),1,0)+IF( AND((COUNTIF(DB$2:DB$33,'Your Team'!$D$9)&gt;0),TRUE ),1,0)+IF( AND((COUNTIF(DB$2:DB$33,'Your Team'!$D$10)&gt;0),TRUE),1,0)+IF( AND((COUNTIF(DB$2:DB$33,'Your Team'!$D$11)&gt;0),TRUE ),1,0)+IF( AND((COUNTIF(DB$2:DB$33,'Your Team'!$D$12)&gt;0),TRUE ),1,0)+IF( AND((COUNTIF(DB$2:DB$33,'Your Team'!$D$13)&gt;0),TRUE ),1,0)+IF( AND((COUNTIF(DB$2:DB$33,'Your Team'!$D$14)&gt;0),TRUE ),1,0)+IF( AND((COUNTIF(DB$2:DB$33,'Your Team'!$D$15)&gt;0),TRUE ),1,0)+IF( AND((COUNTIF(DB$2:DB$33,'Your Team'!$D$16)&gt;0),TRUE ),1,0)+IF( AND((COUNTIF(DB$2:DB$33,'Your Team'!$D$17)&gt;0),TRUE ),1,0)+IF( AND((COUNTIF(DB$2:DB$33,'Your Team'!$D$18)&gt;0),TRUE ),1,0)+IF( AND((COUNTIF(DB$2:DB$33,'Your Team'!$D$19)&gt;0),TRUE ),1,0)</f>
        <v>0</v>
      </c>
      <c r="DC37" s="9">
        <f>IF( AND((COUNTIF(DC$2:DC$33,'Your Team'!$D$3)&gt;0),TRUE ),1,0)+IF( AND((COUNTIF(DC$2:DC$33,'Your Team'!$D$4)&gt;0),TRUE),1,0)+IF( AND((COUNTIF(DC$2:DC$33,'Your Team'!$D$5)&gt;0),TRUE ),1,0)+IF( AND((COUNTIF(DC$2:DC$33,'Your Team'!$D$6)&gt;0),TRUE ),1,0)+IF( AND((COUNTIF(DC$2:DC$33,'Your Team'!$D$7)&gt;0),TRUE ),1,0)+IF( AND((COUNTIF(DC$2:DC$33,'Your Team'!$D$8)&gt;0),TRUE ),1,0)+IF( AND((COUNTIF(DC$2:DC$33,'Your Team'!$D$9)&gt;0),TRUE ),1,0)+IF( AND((COUNTIF(DC$2:DC$33,'Your Team'!$D$10)&gt;0),TRUE),1,0)+IF( AND((COUNTIF(DC$2:DC$33,'Your Team'!$D$11)&gt;0),TRUE ),1,0)+IF( AND((COUNTIF(DC$2:DC$33,'Your Team'!$D$12)&gt;0),TRUE ),1,0)+IF( AND((COUNTIF(DC$2:DC$33,'Your Team'!$D$13)&gt;0),TRUE ),1,0)+IF( AND((COUNTIF(DC$2:DC$33,'Your Team'!$D$14)&gt;0),TRUE ),1,0)+IF( AND((COUNTIF(DC$2:DC$33,'Your Team'!$D$15)&gt;0),TRUE ),1,0)+IF( AND((COUNTIF(DC$2:DC$33,'Your Team'!$D$16)&gt;0),TRUE ),1,0)+IF( AND((COUNTIF(DC$2:DC$33,'Your Team'!$D$17)&gt;0),TRUE ),1,0)+IF( AND((COUNTIF(DC$2:DC$33,'Your Team'!$D$18)&gt;0),TRUE ),1,0)+IF( AND((COUNTIF(DC$2:DC$33,'Your Team'!$D$19)&gt;0),TRUE ),1,0)</f>
        <v>0</v>
      </c>
      <c r="DD37" s="9">
        <f>IF( AND((COUNTIF(DD$2:DD$33,'Your Team'!$D$3)&gt;0),TRUE ),1,0)+IF( AND((COUNTIF(DD$2:DD$33,'Your Team'!$D$4)&gt;0),TRUE),1,0)+IF( AND((COUNTIF(DD$2:DD$33,'Your Team'!$D$5)&gt;0),TRUE ),1,0)+IF( AND((COUNTIF(DD$2:DD$33,'Your Team'!$D$6)&gt;0),TRUE ),1,0)+IF( AND((COUNTIF(DD$2:DD$33,'Your Team'!$D$7)&gt;0),TRUE ),1,0)+IF( AND((COUNTIF(DD$2:DD$33,'Your Team'!$D$8)&gt;0),TRUE ),1,0)+IF( AND((COUNTIF(DD$2:DD$33,'Your Team'!$D$9)&gt;0),TRUE ),1,0)+IF( AND((COUNTIF(DD$2:DD$33,'Your Team'!$D$10)&gt;0),TRUE),1,0)+IF( AND((COUNTIF(DD$2:DD$33,'Your Team'!$D$11)&gt;0),TRUE ),1,0)+IF( AND((COUNTIF(DD$2:DD$33,'Your Team'!$D$12)&gt;0),TRUE ),1,0)+IF( AND((COUNTIF(DD$2:DD$33,'Your Team'!$D$13)&gt;0),TRUE ),1,0)+IF( AND((COUNTIF(DD$2:DD$33,'Your Team'!$D$14)&gt;0),TRUE ),1,0)+IF( AND((COUNTIF(DD$2:DD$33,'Your Team'!$D$15)&gt;0),TRUE ),1,0)+IF( AND((COUNTIF(DD$2:DD$33,'Your Team'!$D$16)&gt;0),TRUE ),1,0)+IF( AND((COUNTIF(DD$2:DD$33,'Your Team'!$D$17)&gt;0),TRUE ),1,0)+IF( AND((COUNTIF(DD$2:DD$33,'Your Team'!$D$18)&gt;0),TRUE ),1,0)+IF( AND((COUNTIF(DD$2:DD$33,'Your Team'!$D$19)&gt;0),TRUE ),1,0)</f>
        <v>0</v>
      </c>
      <c r="DE37" s="9">
        <f>IF( AND((COUNTIF(DE$2:DE$33,'Your Team'!$D$3)&gt;0),TRUE ),1,0)+IF( AND((COUNTIF(DE$2:DE$33,'Your Team'!$D$4)&gt;0),TRUE),1,0)+IF( AND((COUNTIF(DE$2:DE$33,'Your Team'!$D$5)&gt;0),TRUE ),1,0)+IF( AND((COUNTIF(DE$2:DE$33,'Your Team'!$D$6)&gt;0),TRUE ),1,0)+IF( AND((COUNTIF(DE$2:DE$33,'Your Team'!$D$7)&gt;0),TRUE ),1,0)+IF( AND((COUNTIF(DE$2:DE$33,'Your Team'!$D$8)&gt;0),TRUE ),1,0)+IF( AND((COUNTIF(DE$2:DE$33,'Your Team'!$D$9)&gt;0),TRUE ),1,0)+IF( AND((COUNTIF(DE$2:DE$33,'Your Team'!$D$10)&gt;0),TRUE),1,0)+IF( AND((COUNTIF(DE$2:DE$33,'Your Team'!$D$11)&gt;0),TRUE ),1,0)+IF( AND((COUNTIF(DE$2:DE$33,'Your Team'!$D$12)&gt;0),TRUE ),1,0)+IF( AND((COUNTIF(DE$2:DE$33,'Your Team'!$D$13)&gt;0),TRUE ),1,0)+IF( AND((COUNTIF(DE$2:DE$33,'Your Team'!$D$14)&gt;0),TRUE ),1,0)+IF( AND((COUNTIF(DE$2:DE$33,'Your Team'!$D$15)&gt;0),TRUE ),1,0)+IF( AND((COUNTIF(DE$2:DE$33,'Your Team'!$D$16)&gt;0),TRUE ),1,0)+IF( AND((COUNTIF(DE$2:DE$33,'Your Team'!$D$17)&gt;0),TRUE ),1,0)+IF( AND((COUNTIF(DE$2:DE$33,'Your Team'!$D$18)&gt;0),TRUE ),1,0)+IF( AND((COUNTIF(DE$2:DE$33,'Your Team'!$D$19)&gt;0),TRUE ),1,0)</f>
        <v>0</v>
      </c>
      <c r="DF37" s="9">
        <f>IF( AND((COUNTIF(DF$2:DF$33,'Your Team'!$D$3)&gt;0),TRUE ),1,0)+IF( AND((COUNTIF(DF$2:DF$33,'Your Team'!$D$4)&gt;0),TRUE),1,0)+IF( AND((COUNTIF(DF$2:DF$33,'Your Team'!$D$5)&gt;0),TRUE ),1,0)+IF( AND((COUNTIF(DF$2:DF$33,'Your Team'!$D$6)&gt;0),TRUE ),1,0)+IF( AND((COUNTIF(DF$2:DF$33,'Your Team'!$D$7)&gt;0),TRUE ),1,0)+IF( AND((COUNTIF(DF$2:DF$33,'Your Team'!$D$8)&gt;0),TRUE ),1,0)+IF( AND((COUNTIF(DF$2:DF$33,'Your Team'!$D$9)&gt;0),TRUE ),1,0)+IF( AND((COUNTIF(DF$2:DF$33,'Your Team'!$D$10)&gt;0),TRUE),1,0)+IF( AND((COUNTIF(DF$2:DF$33,'Your Team'!$D$11)&gt;0),TRUE ),1,0)+IF( AND((COUNTIF(DF$2:DF$33,'Your Team'!$D$12)&gt;0),TRUE ),1,0)+IF( AND((COUNTIF(DF$2:DF$33,'Your Team'!$D$13)&gt;0),TRUE ),1,0)+IF( AND((COUNTIF(DF$2:DF$33,'Your Team'!$D$14)&gt;0),TRUE ),1,0)+IF( AND((COUNTIF(DF$2:DF$33,'Your Team'!$D$15)&gt;0),TRUE ),1,0)+IF( AND((COUNTIF(DF$2:DF$33,'Your Team'!$D$16)&gt;0),TRUE ),1,0)+IF( AND((COUNTIF(DF$2:DF$33,'Your Team'!$D$17)&gt;0),TRUE ),1,0)+IF( AND((COUNTIF(DF$2:DF$33,'Your Team'!$D$18)&gt;0),TRUE ),1,0)+IF( AND((COUNTIF(DF$2:DF$33,'Your Team'!$D$19)&gt;0),TRUE ),1,0)</f>
        <v>0</v>
      </c>
      <c r="DG37" s="9">
        <f>IF( AND((COUNTIF(DG$2:DG$33,'Your Team'!$D$3)&gt;0),TRUE ),1,0)+IF( AND((COUNTIF(DG$2:DG$33,'Your Team'!$D$4)&gt;0),TRUE),1,0)+IF( AND((COUNTIF(DG$2:DG$33,'Your Team'!$D$5)&gt;0),TRUE ),1,0)+IF( AND((COUNTIF(DG$2:DG$33,'Your Team'!$D$6)&gt;0),TRUE ),1,0)+IF( AND((COUNTIF(DG$2:DG$33,'Your Team'!$D$7)&gt;0),TRUE ),1,0)+IF( AND((COUNTIF(DG$2:DG$33,'Your Team'!$D$8)&gt;0),TRUE ),1,0)+IF( AND((COUNTIF(DG$2:DG$33,'Your Team'!$D$9)&gt;0),TRUE ),1,0)+IF( AND((COUNTIF(DG$2:DG$33,'Your Team'!$D$10)&gt;0),TRUE),1,0)+IF( AND((COUNTIF(DG$2:DG$33,'Your Team'!$D$11)&gt;0),TRUE ),1,0)+IF( AND((COUNTIF(DG$2:DG$33,'Your Team'!$D$12)&gt;0),TRUE ),1,0)+IF( AND((COUNTIF(DG$2:DG$33,'Your Team'!$D$13)&gt;0),TRUE ),1,0)+IF( AND((COUNTIF(DG$2:DG$33,'Your Team'!$D$14)&gt;0),TRUE ),1,0)+IF( AND((COUNTIF(DG$2:DG$33,'Your Team'!$D$15)&gt;0),TRUE ),1,0)+IF( AND((COUNTIF(DG$2:DG$33,'Your Team'!$D$16)&gt;0),TRUE ),1,0)+IF( AND((COUNTIF(DG$2:DG$33,'Your Team'!$D$17)&gt;0),TRUE ),1,0)+IF( AND((COUNTIF(DG$2:DG$33,'Your Team'!$D$18)&gt;0),TRUE ),1,0)+IF( AND((COUNTIF(DG$2:DG$33,'Your Team'!$D$19)&gt;0),TRUE ),1,0)</f>
        <v>0</v>
      </c>
      <c r="DH37" s="9">
        <f>IF( AND((COUNTIF(DH$2:DH$33,'Your Team'!$D$3)&gt;0),TRUE ),1,0)+IF( AND((COUNTIF(DH$2:DH$33,'Your Team'!$D$4)&gt;0),TRUE),1,0)+IF( AND((COUNTIF(DH$2:DH$33,'Your Team'!$D$5)&gt;0),TRUE ),1,0)+IF( AND((COUNTIF(DH$2:DH$33,'Your Team'!$D$6)&gt;0),TRUE ),1,0)+IF( AND((COUNTIF(DH$2:DH$33,'Your Team'!$D$7)&gt;0),TRUE ),1,0)+IF( AND((COUNTIF(DH$2:DH$33,'Your Team'!$D$8)&gt;0),TRUE ),1,0)+IF( AND((COUNTIF(DH$2:DH$33,'Your Team'!$D$9)&gt;0),TRUE ),1,0)+IF( AND((COUNTIF(DH$2:DH$33,'Your Team'!$D$10)&gt;0),TRUE),1,0)+IF( AND((COUNTIF(DH$2:DH$33,'Your Team'!$D$11)&gt;0),TRUE ),1,0)+IF( AND((COUNTIF(DH$2:DH$33,'Your Team'!$D$12)&gt;0),TRUE ),1,0)+IF( AND((COUNTIF(DH$2:DH$33,'Your Team'!$D$13)&gt;0),TRUE ),1,0)+IF( AND((COUNTIF(DH$2:DH$33,'Your Team'!$D$14)&gt;0),TRUE ),1,0)+IF( AND((COUNTIF(DH$2:DH$33,'Your Team'!$D$15)&gt;0),TRUE ),1,0)+IF( AND((COUNTIF(DH$2:DH$33,'Your Team'!$D$16)&gt;0),TRUE ),1,0)+IF( AND((COUNTIF(DH$2:DH$33,'Your Team'!$D$17)&gt;0),TRUE ),1,0)+IF( AND((COUNTIF(DH$2:DH$33,'Your Team'!$D$18)&gt;0),TRUE ),1,0)+IF( AND((COUNTIF(DH$2:DH$33,'Your Team'!$D$19)&gt;0),TRUE ),1,0)</f>
        <v>0</v>
      </c>
      <c r="DI37" s="9">
        <f>IF( AND((COUNTIF(DI$2:DI$33,'Your Team'!$D$3)&gt;0),TRUE ),1,0)+IF( AND((COUNTIF(DI$2:DI$33,'Your Team'!$D$4)&gt;0),TRUE),1,0)+IF( AND((COUNTIF(DI$2:DI$33,'Your Team'!$D$5)&gt;0),TRUE ),1,0)+IF( AND((COUNTIF(DI$2:DI$33,'Your Team'!$D$6)&gt;0),TRUE ),1,0)+IF( AND((COUNTIF(DI$2:DI$33,'Your Team'!$D$7)&gt;0),TRUE ),1,0)+IF( AND((COUNTIF(DI$2:DI$33,'Your Team'!$D$8)&gt;0),TRUE ),1,0)+IF( AND((COUNTIF(DI$2:DI$33,'Your Team'!$D$9)&gt;0),TRUE ),1,0)+IF( AND((COUNTIF(DI$2:DI$33,'Your Team'!$D$10)&gt;0),TRUE),1,0)+IF( AND((COUNTIF(DI$2:DI$33,'Your Team'!$D$11)&gt;0),TRUE ),1,0)+IF( AND((COUNTIF(DI$2:DI$33,'Your Team'!$D$12)&gt;0),TRUE ),1,0)+IF( AND((COUNTIF(DI$2:DI$33,'Your Team'!$D$13)&gt;0),TRUE ),1,0)+IF( AND((COUNTIF(DI$2:DI$33,'Your Team'!$D$14)&gt;0),TRUE ),1,0)+IF( AND((COUNTIF(DI$2:DI$33,'Your Team'!$D$15)&gt;0),TRUE ),1,0)+IF( AND((COUNTIF(DI$2:DI$33,'Your Team'!$D$16)&gt;0),TRUE ),1,0)+IF( AND((COUNTIF(DI$2:DI$33,'Your Team'!$D$17)&gt;0),TRUE ),1,0)+IF( AND((COUNTIF(DI$2:DI$33,'Your Team'!$D$18)&gt;0),TRUE ),1,0)+IF( AND((COUNTIF(DI$2:DI$33,'Your Team'!$D$19)&gt;0),TRUE ),1,0)</f>
        <v>0</v>
      </c>
      <c r="DJ37" s="9">
        <f>IF( AND((COUNTIF(DJ$2:DJ$33,'Your Team'!$D$3)&gt;0),TRUE ),1,0)+IF( AND((COUNTIF(DJ$2:DJ$33,'Your Team'!$D$4)&gt;0),TRUE),1,0)+IF( AND((COUNTIF(DJ$2:DJ$33,'Your Team'!$D$5)&gt;0),TRUE ),1,0)+IF( AND((COUNTIF(DJ$2:DJ$33,'Your Team'!$D$6)&gt;0),TRUE ),1,0)+IF( AND((COUNTIF(DJ$2:DJ$33,'Your Team'!$D$7)&gt;0),TRUE ),1,0)+IF( AND((COUNTIF(DJ$2:DJ$33,'Your Team'!$D$8)&gt;0),TRUE ),1,0)+IF( AND((COUNTIF(DJ$2:DJ$33,'Your Team'!$D$9)&gt;0),TRUE ),1,0)+IF( AND((COUNTIF(DJ$2:DJ$33,'Your Team'!$D$10)&gt;0),TRUE),1,0)+IF( AND((COUNTIF(DJ$2:DJ$33,'Your Team'!$D$11)&gt;0),TRUE ),1,0)+IF( AND((COUNTIF(DJ$2:DJ$33,'Your Team'!$D$12)&gt;0),TRUE ),1,0)+IF( AND((COUNTIF(DJ$2:DJ$33,'Your Team'!$D$13)&gt;0),TRUE ),1,0)+IF( AND((COUNTIF(DJ$2:DJ$33,'Your Team'!$D$14)&gt;0),TRUE ),1,0)+IF( AND((COUNTIF(DJ$2:DJ$33,'Your Team'!$D$15)&gt;0),TRUE ),1,0)+IF( AND((COUNTIF(DJ$2:DJ$33,'Your Team'!$D$16)&gt;0),TRUE ),1,0)+IF( AND((COUNTIF(DJ$2:DJ$33,'Your Team'!$D$17)&gt;0),TRUE ),1,0)+IF( AND((COUNTIF(DJ$2:DJ$33,'Your Team'!$D$18)&gt;0),TRUE ),1,0)+IF( AND((COUNTIF(DJ$2:DJ$33,'Your Team'!$D$19)&gt;0),TRUE ),1,0)</f>
        <v>0</v>
      </c>
      <c r="DK37" s="9">
        <f>IF( AND((COUNTIF(DK$2:DK$33,'Your Team'!$D$3)&gt;0),TRUE ),1,0)+IF( AND((COUNTIF(DK$2:DK$33,'Your Team'!$D$4)&gt;0),TRUE),1,0)+IF( AND((COUNTIF(DK$2:DK$33,'Your Team'!$D$5)&gt;0),TRUE ),1,0)+IF( AND((COUNTIF(DK$2:DK$33,'Your Team'!$D$6)&gt;0),TRUE ),1,0)+IF( AND((COUNTIF(DK$2:DK$33,'Your Team'!$D$7)&gt;0),TRUE ),1,0)+IF( AND((COUNTIF(DK$2:DK$33,'Your Team'!$D$8)&gt;0),TRUE ),1,0)+IF( AND((COUNTIF(DK$2:DK$33,'Your Team'!$D$9)&gt;0),TRUE ),1,0)+IF( AND((COUNTIF(DK$2:DK$33,'Your Team'!$D$10)&gt;0),TRUE),1,0)+IF( AND((COUNTIF(DK$2:DK$33,'Your Team'!$D$11)&gt;0),TRUE ),1,0)+IF( AND((COUNTIF(DK$2:DK$33,'Your Team'!$D$12)&gt;0),TRUE ),1,0)+IF( AND((COUNTIF(DK$2:DK$33,'Your Team'!$D$13)&gt;0),TRUE ),1,0)+IF( AND((COUNTIF(DK$2:DK$33,'Your Team'!$D$14)&gt;0),TRUE ),1,0)+IF( AND((COUNTIF(DK$2:DK$33,'Your Team'!$D$15)&gt;0),TRUE ),1,0)+IF( AND((COUNTIF(DK$2:DK$33,'Your Team'!$D$16)&gt;0),TRUE ),1,0)+IF( AND((COUNTIF(DK$2:DK$33,'Your Team'!$D$17)&gt;0),TRUE ),1,0)+IF( AND((COUNTIF(DK$2:DK$33,'Your Team'!$D$18)&gt;0),TRUE ),1,0)+IF( AND((COUNTIF(DK$2:DK$33,'Your Team'!$D$19)&gt;0),TRUE ),1,0)</f>
        <v>0</v>
      </c>
      <c r="DL37" s="9">
        <f>IF( AND((COUNTIF(DL$2:DL$33,'Your Team'!$D$3)&gt;0),TRUE ),1,0)+IF( AND((COUNTIF(DL$2:DL$33,'Your Team'!$D$4)&gt;0),TRUE),1,0)+IF( AND((COUNTIF(DL$2:DL$33,'Your Team'!$D$5)&gt;0),TRUE ),1,0)+IF( AND((COUNTIF(DL$2:DL$33,'Your Team'!$D$6)&gt;0),TRUE ),1,0)+IF( AND((COUNTIF(DL$2:DL$33,'Your Team'!$D$7)&gt;0),TRUE ),1,0)+IF( AND((COUNTIF(DL$2:DL$33,'Your Team'!$D$8)&gt;0),TRUE ),1,0)+IF( AND((COUNTIF(DL$2:DL$33,'Your Team'!$D$9)&gt;0),TRUE ),1,0)+IF( AND((COUNTIF(DL$2:DL$33,'Your Team'!$D$10)&gt;0),TRUE),1,0)+IF( AND((COUNTIF(DL$2:DL$33,'Your Team'!$D$11)&gt;0),TRUE ),1,0)+IF( AND((COUNTIF(DL$2:DL$33,'Your Team'!$D$12)&gt;0),TRUE ),1,0)+IF( AND((COUNTIF(DL$2:DL$33,'Your Team'!$D$13)&gt;0),TRUE ),1,0)+IF( AND((COUNTIF(DL$2:DL$33,'Your Team'!$D$14)&gt;0),TRUE ),1,0)+IF( AND((COUNTIF(DL$2:DL$33,'Your Team'!$D$15)&gt;0),TRUE ),1,0)+IF( AND((COUNTIF(DL$2:DL$33,'Your Team'!$D$16)&gt;0),TRUE ),1,0)+IF( AND((COUNTIF(DL$2:DL$33,'Your Team'!$D$17)&gt;0),TRUE ),1,0)+IF( AND((COUNTIF(DL$2:DL$33,'Your Team'!$D$18)&gt;0),TRUE ),1,0)+IF( AND((COUNTIF(DL$2:DL$33,'Your Team'!$D$19)&gt;0),TRUE ),1,0)</f>
        <v>0</v>
      </c>
      <c r="DM37" s="9">
        <f>IF( AND((COUNTIF(DM$2:DM$33,'Your Team'!$D$3)&gt;0),TRUE ),1,0)+IF( AND((COUNTIF(DM$2:DM$33,'Your Team'!$D$4)&gt;0),TRUE),1,0)+IF( AND((COUNTIF(DM$2:DM$33,'Your Team'!$D$5)&gt;0),TRUE ),1,0)+IF( AND((COUNTIF(DM$2:DM$33,'Your Team'!$D$6)&gt;0),TRUE ),1,0)+IF( AND((COUNTIF(DM$2:DM$33,'Your Team'!$D$7)&gt;0),TRUE ),1,0)+IF( AND((COUNTIF(DM$2:DM$33,'Your Team'!$D$8)&gt;0),TRUE ),1,0)+IF( AND((COUNTIF(DM$2:DM$33,'Your Team'!$D$9)&gt;0),TRUE ),1,0)+IF( AND((COUNTIF(DM$2:DM$33,'Your Team'!$D$10)&gt;0),TRUE),1,0)+IF( AND((COUNTIF(DM$2:DM$33,'Your Team'!$D$11)&gt;0),TRUE ),1,0)+IF( AND((COUNTIF(DM$2:DM$33,'Your Team'!$D$12)&gt;0),TRUE ),1,0)+IF( AND((COUNTIF(DM$2:DM$33,'Your Team'!$D$13)&gt;0),TRUE ),1,0)+IF( AND((COUNTIF(DM$2:DM$33,'Your Team'!$D$14)&gt;0),TRUE ),1,0)+IF( AND((COUNTIF(DM$2:DM$33,'Your Team'!$D$15)&gt;0),TRUE ),1,0)+IF( AND((COUNTIF(DM$2:DM$33,'Your Team'!$D$16)&gt;0),TRUE ),1,0)+IF( AND((COUNTIF(DM$2:DM$33,'Your Team'!$D$17)&gt;0),TRUE ),1,0)+IF( AND((COUNTIF(DM$2:DM$33,'Your Team'!$D$18)&gt;0),TRUE ),1,0)+IF( AND((COUNTIF(DM$2:DM$33,'Your Team'!$D$19)&gt;0),TRUE ),1,0)</f>
        <v>0</v>
      </c>
      <c r="DN37" s="9">
        <f>IF( AND((COUNTIF(DN$2:DN$33,'Your Team'!$D$3)&gt;0),TRUE ),1,0)+IF( AND((COUNTIF(DN$2:DN$33,'Your Team'!$D$4)&gt;0),TRUE),1,0)+IF( AND((COUNTIF(DN$2:DN$33,'Your Team'!$D$5)&gt;0),TRUE ),1,0)+IF( AND((COUNTIF(DN$2:DN$33,'Your Team'!$D$6)&gt;0),TRUE ),1,0)+IF( AND((COUNTIF(DN$2:DN$33,'Your Team'!$D$7)&gt;0),TRUE ),1,0)+IF( AND((COUNTIF(DN$2:DN$33,'Your Team'!$D$8)&gt;0),TRUE ),1,0)+IF( AND((COUNTIF(DN$2:DN$33,'Your Team'!$D$9)&gt;0),TRUE ),1,0)+IF( AND((COUNTIF(DN$2:DN$33,'Your Team'!$D$10)&gt;0),TRUE),1,0)+IF( AND((COUNTIF(DN$2:DN$33,'Your Team'!$D$11)&gt;0),TRUE ),1,0)+IF( AND((COUNTIF(DN$2:DN$33,'Your Team'!$D$12)&gt;0),TRUE ),1,0)+IF( AND((COUNTIF(DN$2:DN$33,'Your Team'!$D$13)&gt;0),TRUE ),1,0)+IF( AND((COUNTIF(DN$2:DN$33,'Your Team'!$D$14)&gt;0),TRUE ),1,0)+IF( AND((COUNTIF(DN$2:DN$33,'Your Team'!$D$15)&gt;0),TRUE ),1,0)+IF( AND((COUNTIF(DN$2:DN$33,'Your Team'!$D$16)&gt;0),TRUE ),1,0)+IF( AND((COUNTIF(DN$2:DN$33,'Your Team'!$D$17)&gt;0),TRUE ),1,0)+IF( AND((COUNTIF(DN$2:DN$33,'Your Team'!$D$18)&gt;0),TRUE ),1,0)+IF( AND((COUNTIF(DN$2:DN$33,'Your Team'!$D$19)&gt;0),TRUE ),1,0)</f>
        <v>0</v>
      </c>
      <c r="DO37" s="9">
        <f>IF( AND((COUNTIF(DO$2:DO$33,'Your Team'!$D$3)&gt;0),TRUE ),1,0)+IF( AND((COUNTIF(DO$2:DO$33,'Your Team'!$D$4)&gt;0),TRUE),1,0)+IF( AND((COUNTIF(DO$2:DO$33,'Your Team'!$D$5)&gt;0),TRUE ),1,0)+IF( AND((COUNTIF(DO$2:DO$33,'Your Team'!$D$6)&gt;0),TRUE ),1,0)+IF( AND((COUNTIF(DO$2:DO$33,'Your Team'!$D$7)&gt;0),TRUE ),1,0)+IF( AND((COUNTIF(DO$2:DO$33,'Your Team'!$D$8)&gt;0),TRUE ),1,0)+IF( AND((COUNTIF(DO$2:DO$33,'Your Team'!$D$9)&gt;0),TRUE ),1,0)+IF( AND((COUNTIF(DO$2:DO$33,'Your Team'!$D$10)&gt;0),TRUE),1,0)+IF( AND((COUNTIF(DO$2:DO$33,'Your Team'!$D$11)&gt;0),TRUE ),1,0)+IF( AND((COUNTIF(DO$2:DO$33,'Your Team'!$D$12)&gt;0),TRUE ),1,0)+IF( AND((COUNTIF(DO$2:DO$33,'Your Team'!$D$13)&gt;0),TRUE ),1,0)+IF( AND((COUNTIF(DO$2:DO$33,'Your Team'!$D$14)&gt;0),TRUE ),1,0)+IF( AND((COUNTIF(DO$2:DO$33,'Your Team'!$D$15)&gt;0),TRUE ),1,0)+IF( AND((COUNTIF(DO$2:DO$33,'Your Team'!$D$16)&gt;0),TRUE ),1,0)+IF( AND((COUNTIF(DO$2:DO$33,'Your Team'!$D$17)&gt;0),TRUE ),1,0)+IF( AND((COUNTIF(DO$2:DO$33,'Your Team'!$D$18)&gt;0),TRUE ),1,0)+IF( AND((COUNTIF(DO$2:DO$33,'Your Team'!$D$19)&gt;0),TRUE ),1,0)</f>
        <v>0</v>
      </c>
      <c r="DP37" s="9">
        <f>IF( AND((COUNTIF(DP$2:DP$33,'Your Team'!$D$3)&gt;0),TRUE ),1,0)+IF( AND((COUNTIF(DP$2:DP$33,'Your Team'!$D$4)&gt;0),TRUE),1,0)+IF( AND((COUNTIF(DP$2:DP$33,'Your Team'!$D$5)&gt;0),TRUE ),1,0)+IF( AND((COUNTIF(DP$2:DP$33,'Your Team'!$D$6)&gt;0),TRUE ),1,0)+IF( AND((COUNTIF(DP$2:DP$33,'Your Team'!$D$7)&gt;0),TRUE ),1,0)+IF( AND((COUNTIF(DP$2:DP$33,'Your Team'!$D$8)&gt;0),TRUE ),1,0)+IF( AND((COUNTIF(DP$2:DP$33,'Your Team'!$D$9)&gt;0),TRUE ),1,0)+IF( AND((COUNTIF(DP$2:DP$33,'Your Team'!$D$10)&gt;0),TRUE),1,0)+IF( AND((COUNTIF(DP$2:DP$33,'Your Team'!$D$11)&gt;0),TRUE ),1,0)+IF( AND((COUNTIF(DP$2:DP$33,'Your Team'!$D$12)&gt;0),TRUE ),1,0)+IF( AND((COUNTIF(DP$2:DP$33,'Your Team'!$D$13)&gt;0),TRUE ),1,0)+IF( AND((COUNTIF(DP$2:DP$33,'Your Team'!$D$14)&gt;0),TRUE ),1,0)+IF( AND((COUNTIF(DP$2:DP$33,'Your Team'!$D$15)&gt;0),TRUE ),1,0)+IF( AND((COUNTIF(DP$2:DP$33,'Your Team'!$D$16)&gt;0),TRUE ),1,0)+IF( AND((COUNTIF(DP$2:DP$33,'Your Team'!$D$17)&gt;0),TRUE ),1,0)+IF( AND((COUNTIF(DP$2:DP$33,'Your Team'!$D$18)&gt;0),TRUE ),1,0)+IF( AND((COUNTIF(DP$2:DP$33,'Your Team'!$D$19)&gt;0),TRUE ),1,0)</f>
        <v>0</v>
      </c>
      <c r="DQ37" s="9">
        <f>IF( AND((COUNTIF(DQ$2:DQ$33,'Your Team'!$D$3)&gt;0),TRUE ),1,0)+IF( AND((COUNTIF(DQ$2:DQ$33,'Your Team'!$D$4)&gt;0),TRUE),1,0)+IF( AND((COUNTIF(DQ$2:DQ$33,'Your Team'!$D$5)&gt;0),TRUE ),1,0)+IF( AND((COUNTIF(DQ$2:DQ$33,'Your Team'!$D$6)&gt;0),TRUE ),1,0)+IF( AND((COUNTIF(DQ$2:DQ$33,'Your Team'!$D$7)&gt;0),TRUE ),1,0)+IF( AND((COUNTIF(DQ$2:DQ$33,'Your Team'!$D$8)&gt;0),TRUE ),1,0)+IF( AND((COUNTIF(DQ$2:DQ$33,'Your Team'!$D$9)&gt;0),TRUE ),1,0)+IF( AND((COUNTIF(DQ$2:DQ$33,'Your Team'!$D$10)&gt;0),TRUE),1,0)+IF( AND((COUNTIF(DQ$2:DQ$33,'Your Team'!$D$11)&gt;0),TRUE ),1,0)+IF( AND((COUNTIF(DQ$2:DQ$33,'Your Team'!$D$12)&gt;0),TRUE ),1,0)+IF( AND((COUNTIF(DQ$2:DQ$33,'Your Team'!$D$13)&gt;0),TRUE ),1,0)+IF( AND((COUNTIF(DQ$2:DQ$33,'Your Team'!$D$14)&gt;0),TRUE ),1,0)+IF( AND((COUNTIF(DQ$2:DQ$33,'Your Team'!$D$15)&gt;0),TRUE ),1,0)+IF( AND((COUNTIF(DQ$2:DQ$33,'Your Team'!$D$16)&gt;0),TRUE ),1,0)+IF( AND((COUNTIF(DQ$2:DQ$33,'Your Team'!$D$17)&gt;0),TRUE ),1,0)+IF( AND((COUNTIF(DQ$2:DQ$33,'Your Team'!$D$18)&gt;0),TRUE ),1,0)+IF( AND((COUNTIF(DQ$2:DQ$33,'Your Team'!$D$19)&gt;0),TRUE ),1,0)</f>
        <v>0</v>
      </c>
      <c r="DR37" s="9">
        <f>IF( AND((COUNTIF(DR$2:DR$33,'Your Team'!$D$3)&gt;0),TRUE ),1,0)+IF( AND((COUNTIF(DR$2:DR$33,'Your Team'!$D$4)&gt;0),TRUE),1,0)+IF( AND((COUNTIF(DR$2:DR$33,'Your Team'!$D$5)&gt;0),TRUE ),1,0)+IF( AND((COUNTIF(DR$2:DR$33,'Your Team'!$D$6)&gt;0),TRUE ),1,0)+IF( AND((COUNTIF(DR$2:DR$33,'Your Team'!$D$7)&gt;0),TRUE ),1,0)+IF( AND((COUNTIF(DR$2:DR$33,'Your Team'!$D$8)&gt;0),TRUE ),1,0)+IF( AND((COUNTIF(DR$2:DR$33,'Your Team'!$D$9)&gt;0),TRUE ),1,0)+IF( AND((COUNTIF(DR$2:DR$33,'Your Team'!$D$10)&gt;0),TRUE),1,0)+IF( AND((COUNTIF(DR$2:DR$33,'Your Team'!$D$11)&gt;0),TRUE ),1,0)+IF( AND((COUNTIF(DR$2:DR$33,'Your Team'!$D$12)&gt;0),TRUE ),1,0)+IF( AND((COUNTIF(DR$2:DR$33,'Your Team'!$D$13)&gt;0),TRUE ),1,0)+IF( AND((COUNTIF(DR$2:DR$33,'Your Team'!$D$14)&gt;0),TRUE ),1,0)+IF( AND((COUNTIF(DR$2:DR$33,'Your Team'!$D$15)&gt;0),TRUE ),1,0)+IF( AND((COUNTIF(DR$2:DR$33,'Your Team'!$D$16)&gt;0),TRUE ),1,0)+IF( AND((COUNTIF(DR$2:DR$33,'Your Team'!$D$17)&gt;0),TRUE ),1,0)+IF( AND((COUNTIF(DR$2:DR$33,'Your Team'!$D$18)&gt;0),TRUE ),1,0)+IF( AND((COUNTIF(DR$2:DR$33,'Your Team'!$D$19)&gt;0),TRUE ),1,0)</f>
        <v>0</v>
      </c>
      <c r="DS37" s="9">
        <f>IF( AND((COUNTIF(DS$2:DS$33,'Your Team'!$D$3)&gt;0),TRUE ),1,0)+IF( AND((COUNTIF(DS$2:DS$33,'Your Team'!$D$4)&gt;0),TRUE),1,0)+IF( AND((COUNTIF(DS$2:DS$33,'Your Team'!$D$5)&gt;0),TRUE ),1,0)+IF( AND((COUNTIF(DS$2:DS$33,'Your Team'!$D$6)&gt;0),TRUE ),1,0)+IF( AND((COUNTIF(DS$2:DS$33,'Your Team'!$D$7)&gt;0),TRUE ),1,0)+IF( AND((COUNTIF(DS$2:DS$33,'Your Team'!$D$8)&gt;0),TRUE ),1,0)+IF( AND((COUNTIF(DS$2:DS$33,'Your Team'!$D$9)&gt;0),TRUE ),1,0)+IF( AND((COUNTIF(DS$2:DS$33,'Your Team'!$D$10)&gt;0),TRUE),1,0)+IF( AND((COUNTIF(DS$2:DS$33,'Your Team'!$D$11)&gt;0),TRUE ),1,0)+IF( AND((COUNTIF(DS$2:DS$33,'Your Team'!$D$12)&gt;0),TRUE ),1,0)+IF( AND((COUNTIF(DS$2:DS$33,'Your Team'!$D$13)&gt;0),TRUE ),1,0)+IF( AND((COUNTIF(DS$2:DS$33,'Your Team'!$D$14)&gt;0),TRUE ),1,0)+IF( AND((COUNTIF(DS$2:DS$33,'Your Team'!$D$15)&gt;0),TRUE ),1,0)+IF( AND((COUNTIF(DS$2:DS$33,'Your Team'!$D$16)&gt;0),TRUE ),1,0)+IF( AND((COUNTIF(DS$2:DS$33,'Your Team'!$D$17)&gt;0),TRUE ),1,0)+IF( AND((COUNTIF(DS$2:DS$33,'Your Team'!$D$18)&gt;0),TRUE ),1,0)+IF( AND((COUNTIF(DS$2:DS$33,'Your Team'!$D$19)&gt;0),TRUE ),1,0)</f>
        <v>0</v>
      </c>
      <c r="DT37" s="9">
        <f>IF( AND((COUNTIF(DT$2:DT$33,'Your Team'!$D$3)&gt;0),TRUE ),1,0)+IF( AND((COUNTIF(DT$2:DT$33,'Your Team'!$D$4)&gt;0),TRUE),1,0)+IF( AND((COUNTIF(DT$2:DT$33,'Your Team'!$D$5)&gt;0),TRUE ),1,0)+IF( AND((COUNTIF(DT$2:DT$33,'Your Team'!$D$6)&gt;0),TRUE ),1,0)+IF( AND((COUNTIF(DT$2:DT$33,'Your Team'!$D$7)&gt;0),TRUE ),1,0)+IF( AND((COUNTIF(DT$2:DT$33,'Your Team'!$D$8)&gt;0),TRUE ),1,0)+IF( AND((COUNTIF(DT$2:DT$33,'Your Team'!$D$9)&gt;0),TRUE ),1,0)+IF( AND((COUNTIF(DT$2:DT$33,'Your Team'!$D$10)&gt;0),TRUE),1,0)+IF( AND((COUNTIF(DT$2:DT$33,'Your Team'!$D$11)&gt;0),TRUE ),1,0)+IF( AND((COUNTIF(DT$2:DT$33,'Your Team'!$D$12)&gt;0),TRUE ),1,0)+IF( AND((COUNTIF(DT$2:DT$33,'Your Team'!$D$13)&gt;0),TRUE ),1,0)+IF( AND((COUNTIF(DT$2:DT$33,'Your Team'!$D$14)&gt;0),TRUE ),1,0)+IF( AND((COUNTIF(DT$2:DT$33,'Your Team'!$D$15)&gt;0),TRUE ),1,0)+IF( AND((COUNTIF(DT$2:DT$33,'Your Team'!$D$16)&gt;0),TRUE ),1,0)+IF( AND((COUNTIF(DT$2:DT$33,'Your Team'!$D$17)&gt;0),TRUE ),1,0)+IF( AND((COUNTIF(DT$2:DT$33,'Your Team'!$D$18)&gt;0),TRUE ),1,0)+IF( AND((COUNTIF(DT$2:DT$33,'Your Team'!$D$19)&gt;0),TRUE ),1,0)</f>
        <v>0</v>
      </c>
      <c r="DU37" s="9">
        <f>IF( AND((COUNTIF(DU$2:DU$33,'Your Team'!$D$3)&gt;0),TRUE ),1,0)+IF( AND((COUNTIF(DU$2:DU$33,'Your Team'!$D$4)&gt;0),TRUE),1,0)+IF( AND((COUNTIF(DU$2:DU$33,'Your Team'!$D$5)&gt;0),TRUE ),1,0)+IF( AND((COUNTIF(DU$2:DU$33,'Your Team'!$D$6)&gt;0),TRUE ),1,0)+IF( AND((COUNTIF(DU$2:DU$33,'Your Team'!$D$7)&gt;0),TRUE ),1,0)+IF( AND((COUNTIF(DU$2:DU$33,'Your Team'!$D$8)&gt;0),TRUE ),1,0)+IF( AND((COUNTIF(DU$2:DU$33,'Your Team'!$D$9)&gt;0),TRUE ),1,0)+IF( AND((COUNTIF(DU$2:DU$33,'Your Team'!$D$10)&gt;0),TRUE),1,0)+IF( AND((COUNTIF(DU$2:DU$33,'Your Team'!$D$11)&gt;0),TRUE ),1,0)+IF( AND((COUNTIF(DU$2:DU$33,'Your Team'!$D$12)&gt;0),TRUE ),1,0)+IF( AND((COUNTIF(DU$2:DU$33,'Your Team'!$D$13)&gt;0),TRUE ),1,0)+IF( AND((COUNTIF(DU$2:DU$33,'Your Team'!$D$14)&gt;0),TRUE ),1,0)+IF( AND((COUNTIF(DU$2:DU$33,'Your Team'!$D$15)&gt;0),TRUE ),1,0)+IF( AND((COUNTIF(DU$2:DU$33,'Your Team'!$D$16)&gt;0),TRUE ),1,0)+IF( AND((COUNTIF(DU$2:DU$33,'Your Team'!$D$17)&gt;0),TRUE ),1,0)+IF( AND((COUNTIF(DU$2:DU$33,'Your Team'!$D$18)&gt;0),TRUE ),1,0)+IF( AND((COUNTIF(DU$2:DU$33,'Your Team'!$D$19)&gt;0),TRUE ),1,0)</f>
        <v>0</v>
      </c>
      <c r="DV37" s="9">
        <f>IF( AND((COUNTIF(DV$2:DV$33,'Your Team'!$D$3)&gt;0),TRUE ),1,0)+IF( AND((COUNTIF(DV$2:DV$33,'Your Team'!$D$4)&gt;0),TRUE),1,0)+IF( AND((COUNTIF(DV$2:DV$33,'Your Team'!$D$5)&gt;0),TRUE ),1,0)+IF( AND((COUNTIF(DV$2:DV$33,'Your Team'!$D$6)&gt;0),TRUE ),1,0)+IF( AND((COUNTIF(DV$2:DV$33,'Your Team'!$D$7)&gt;0),TRUE ),1,0)+IF( AND((COUNTIF(DV$2:DV$33,'Your Team'!$D$8)&gt;0),TRUE ),1,0)+IF( AND((COUNTIF(DV$2:DV$33,'Your Team'!$D$9)&gt;0),TRUE ),1,0)+IF( AND((COUNTIF(DV$2:DV$33,'Your Team'!$D$10)&gt;0),TRUE),1,0)+IF( AND((COUNTIF(DV$2:DV$33,'Your Team'!$D$11)&gt;0),TRUE ),1,0)+IF( AND((COUNTIF(DV$2:DV$33,'Your Team'!$D$12)&gt;0),TRUE ),1,0)+IF( AND((COUNTIF(DV$2:DV$33,'Your Team'!$D$13)&gt;0),TRUE ),1,0)+IF( AND((COUNTIF(DV$2:DV$33,'Your Team'!$D$14)&gt;0),TRUE ),1,0)+IF( AND((COUNTIF(DV$2:DV$33,'Your Team'!$D$15)&gt;0),TRUE ),1,0)+IF( AND((COUNTIF(DV$2:DV$33,'Your Team'!$D$16)&gt;0),TRUE ),1,0)+IF( AND((COUNTIF(DV$2:DV$33,'Your Team'!$D$17)&gt;0),TRUE ),1,0)+IF( AND((COUNTIF(DV$2:DV$33,'Your Team'!$D$18)&gt;0),TRUE ),1,0)+IF( AND((COUNTIF(DV$2:DV$33,'Your Team'!$D$19)&gt;0),TRUE ),1,0)</f>
        <v>0</v>
      </c>
      <c r="DW37" s="9">
        <f>IF( AND((COUNTIF(DW$2:DW$33,'Your Team'!$D$3)&gt;0),TRUE ),1,0)+IF( AND((COUNTIF(DW$2:DW$33,'Your Team'!$D$4)&gt;0),TRUE),1,0)+IF( AND((COUNTIF(DW$2:DW$33,'Your Team'!$D$5)&gt;0),TRUE ),1,0)+IF( AND((COUNTIF(DW$2:DW$33,'Your Team'!$D$6)&gt;0),TRUE ),1,0)+IF( AND((COUNTIF(DW$2:DW$33,'Your Team'!$D$7)&gt;0),TRUE ),1,0)+IF( AND((COUNTIF(DW$2:DW$33,'Your Team'!$D$8)&gt;0),TRUE ),1,0)+IF( AND((COUNTIF(DW$2:DW$33,'Your Team'!$D$9)&gt;0),TRUE ),1,0)+IF( AND((COUNTIF(DW$2:DW$33,'Your Team'!$D$10)&gt;0),TRUE),1,0)+IF( AND((COUNTIF(DW$2:DW$33,'Your Team'!$D$11)&gt;0),TRUE ),1,0)+IF( AND((COUNTIF(DW$2:DW$33,'Your Team'!$D$12)&gt;0),TRUE ),1,0)+IF( AND((COUNTIF(DW$2:DW$33,'Your Team'!$D$13)&gt;0),TRUE ),1,0)+IF( AND((COUNTIF(DW$2:DW$33,'Your Team'!$D$14)&gt;0),TRUE ),1,0)+IF( AND((COUNTIF(DW$2:DW$33,'Your Team'!$D$15)&gt;0),TRUE ),1,0)+IF( AND((COUNTIF(DW$2:DW$33,'Your Team'!$D$16)&gt;0),TRUE ),1,0)+IF( AND((COUNTIF(DW$2:DW$33,'Your Team'!$D$17)&gt;0),TRUE ),1,0)+IF( AND((COUNTIF(DW$2:DW$33,'Your Team'!$D$18)&gt;0),TRUE ),1,0)+IF( AND((COUNTIF(DW$2:DW$33,'Your Team'!$D$19)&gt;0),TRUE ),1,0)</f>
        <v>0</v>
      </c>
      <c r="DX37" s="9">
        <f>IF( AND((COUNTIF(DX$2:DX$33,'Your Team'!$D$3)&gt;0),TRUE ),1,0)+IF( AND((COUNTIF(DX$2:DX$33,'Your Team'!$D$4)&gt;0),TRUE),1,0)+IF( AND((COUNTIF(DX$2:DX$33,'Your Team'!$D$5)&gt;0),TRUE ),1,0)+IF( AND((COUNTIF(DX$2:DX$33,'Your Team'!$D$6)&gt;0),TRUE ),1,0)+IF( AND((COUNTIF(DX$2:DX$33,'Your Team'!$D$7)&gt;0),TRUE ),1,0)+IF( AND((COUNTIF(DX$2:DX$33,'Your Team'!$D$8)&gt;0),TRUE ),1,0)+IF( AND((COUNTIF(DX$2:DX$33,'Your Team'!$D$9)&gt;0),TRUE ),1,0)+IF( AND((COUNTIF(DX$2:DX$33,'Your Team'!$D$10)&gt;0),TRUE),1,0)+IF( AND((COUNTIF(DX$2:DX$33,'Your Team'!$D$11)&gt;0),TRUE ),1,0)+IF( AND((COUNTIF(DX$2:DX$33,'Your Team'!$D$12)&gt;0),TRUE ),1,0)+IF( AND((COUNTIF(DX$2:DX$33,'Your Team'!$D$13)&gt;0),TRUE ),1,0)+IF( AND((COUNTIF(DX$2:DX$33,'Your Team'!$D$14)&gt;0),TRUE ),1,0)+IF( AND((COUNTIF(DX$2:DX$33,'Your Team'!$D$15)&gt;0),TRUE ),1,0)+IF( AND((COUNTIF(DX$2:DX$33,'Your Team'!$D$16)&gt;0),TRUE ),1,0)+IF( AND((COUNTIF(DX$2:DX$33,'Your Team'!$D$17)&gt;0),TRUE ),1,0)+IF( AND((COUNTIF(DX$2:DX$33,'Your Team'!$D$18)&gt;0),TRUE ),1,0)+IF( AND((COUNTIF(DX$2:DX$33,'Your Team'!$D$19)&gt;0),TRUE ),1,0)</f>
        <v>0</v>
      </c>
      <c r="DY37" s="9">
        <f>IF( AND((COUNTIF(DY$2:DY$33,'Your Team'!$D$3)&gt;0),TRUE ),1,0)+IF( AND((COUNTIF(DY$2:DY$33,'Your Team'!$D$4)&gt;0),TRUE),1,0)+IF( AND((COUNTIF(DY$2:DY$33,'Your Team'!$D$5)&gt;0),TRUE ),1,0)+IF( AND((COUNTIF(DY$2:DY$33,'Your Team'!$D$6)&gt;0),TRUE ),1,0)+IF( AND((COUNTIF(DY$2:DY$33,'Your Team'!$D$7)&gt;0),TRUE ),1,0)+IF( AND((COUNTIF(DY$2:DY$33,'Your Team'!$D$8)&gt;0),TRUE ),1,0)+IF( AND((COUNTIF(DY$2:DY$33,'Your Team'!$D$9)&gt;0),TRUE ),1,0)+IF( AND((COUNTIF(DY$2:DY$33,'Your Team'!$D$10)&gt;0),TRUE),1,0)+IF( AND((COUNTIF(DY$2:DY$33,'Your Team'!$D$11)&gt;0),TRUE ),1,0)+IF( AND((COUNTIF(DY$2:DY$33,'Your Team'!$D$12)&gt;0),TRUE ),1,0)+IF( AND((COUNTIF(DY$2:DY$33,'Your Team'!$D$13)&gt;0),TRUE ),1,0)+IF( AND((COUNTIF(DY$2:DY$33,'Your Team'!$D$14)&gt;0),TRUE ),1,0)+IF( AND((COUNTIF(DY$2:DY$33,'Your Team'!$D$15)&gt;0),TRUE ),1,0)+IF( AND((COUNTIF(DY$2:DY$33,'Your Team'!$D$16)&gt;0),TRUE ),1,0)+IF( AND((COUNTIF(DY$2:DY$33,'Your Team'!$D$17)&gt;0),TRUE ),1,0)+IF( AND((COUNTIF(DY$2:DY$33,'Your Team'!$D$18)&gt;0),TRUE ),1,0)+IF( AND((COUNTIF(DY$2:DY$33,'Your Team'!$D$19)&gt;0),TRUE ),1,0)</f>
        <v>0</v>
      </c>
      <c r="DZ37" s="9">
        <f>IF( AND((COUNTIF(DZ$2:DZ$33,'Your Team'!$D$3)&gt;0),TRUE ),1,0)+IF( AND((COUNTIF(DZ$2:DZ$33,'Your Team'!$D$4)&gt;0),TRUE),1,0)+IF( AND((COUNTIF(DZ$2:DZ$33,'Your Team'!$D$5)&gt;0),TRUE ),1,0)+IF( AND((COUNTIF(DZ$2:DZ$33,'Your Team'!$D$6)&gt;0),TRUE ),1,0)+IF( AND((COUNTIF(DZ$2:DZ$33,'Your Team'!$D$7)&gt;0),TRUE ),1,0)+IF( AND((COUNTIF(DZ$2:DZ$33,'Your Team'!$D$8)&gt;0),TRUE ),1,0)+IF( AND((COUNTIF(DZ$2:DZ$33,'Your Team'!$D$9)&gt;0),TRUE ),1,0)+IF( AND((COUNTIF(DZ$2:DZ$33,'Your Team'!$D$10)&gt;0),TRUE),1,0)+IF( AND((COUNTIF(DZ$2:DZ$33,'Your Team'!$D$11)&gt;0),TRUE ),1,0)+IF( AND((COUNTIF(DZ$2:DZ$33,'Your Team'!$D$12)&gt;0),TRUE ),1,0)+IF( AND((COUNTIF(DZ$2:DZ$33,'Your Team'!$D$13)&gt;0),TRUE ),1,0)+IF( AND((COUNTIF(DZ$2:DZ$33,'Your Team'!$D$14)&gt;0),TRUE ),1,0)+IF( AND((COUNTIF(DZ$2:DZ$33,'Your Team'!$D$15)&gt;0),TRUE ),1,0)+IF( AND((COUNTIF(DZ$2:DZ$33,'Your Team'!$D$16)&gt;0),TRUE ),1,0)+IF( AND((COUNTIF(DZ$2:DZ$33,'Your Team'!$D$17)&gt;0),TRUE ),1,0)+IF( AND((COUNTIF(DZ$2:DZ$33,'Your Team'!$D$18)&gt;0),TRUE ),1,0)+IF( AND((COUNTIF(DZ$2:DZ$33,'Your Team'!$D$19)&gt;0),TRUE ),1,0)</f>
        <v>0</v>
      </c>
      <c r="EA37" s="9">
        <f>IF( AND((COUNTIF(EA$2:EA$33,'Your Team'!$D$3)&gt;0),TRUE ),1,0)+IF( AND((COUNTIF(EA$2:EA$33,'Your Team'!$D$4)&gt;0),TRUE),1,0)+IF( AND((COUNTIF(EA$2:EA$33,'Your Team'!$D$5)&gt;0),TRUE ),1,0)+IF( AND((COUNTIF(EA$2:EA$33,'Your Team'!$D$6)&gt;0),TRUE ),1,0)+IF( AND((COUNTIF(EA$2:EA$33,'Your Team'!$D$7)&gt;0),TRUE ),1,0)+IF( AND((COUNTIF(EA$2:EA$33,'Your Team'!$D$8)&gt;0),TRUE ),1,0)+IF( AND((COUNTIF(EA$2:EA$33,'Your Team'!$D$9)&gt;0),TRUE ),1,0)+IF( AND((COUNTIF(EA$2:EA$33,'Your Team'!$D$10)&gt;0),TRUE),1,0)+IF( AND((COUNTIF(EA$2:EA$33,'Your Team'!$D$11)&gt;0),TRUE ),1,0)+IF( AND((COUNTIF(EA$2:EA$33,'Your Team'!$D$12)&gt;0),TRUE ),1,0)+IF( AND((COUNTIF(EA$2:EA$33,'Your Team'!$D$13)&gt;0),TRUE ),1,0)+IF( AND((COUNTIF(EA$2:EA$33,'Your Team'!$D$14)&gt;0),TRUE ),1,0)+IF( AND((COUNTIF(EA$2:EA$33,'Your Team'!$D$15)&gt;0),TRUE ),1,0)+IF( AND((COUNTIF(EA$2:EA$33,'Your Team'!$D$16)&gt;0),TRUE ),1,0)+IF( AND((COUNTIF(EA$2:EA$33,'Your Team'!$D$17)&gt;0),TRUE ),1,0)+IF( AND((COUNTIF(EA$2:EA$33,'Your Team'!$D$18)&gt;0),TRUE ),1,0)+IF( AND((COUNTIF(EA$2:EA$33,'Your Team'!$D$19)&gt;0),TRUE ),1,0)</f>
        <v>0</v>
      </c>
      <c r="EB37" s="9">
        <f>IF( AND((COUNTIF(EB$2:EB$33,'Your Team'!$D$3)&gt;0),TRUE ),1,0)+IF( AND((COUNTIF(EB$2:EB$33,'Your Team'!$D$4)&gt;0),TRUE),1,0)+IF( AND((COUNTIF(EB$2:EB$33,'Your Team'!$D$5)&gt;0),TRUE ),1,0)+IF( AND((COUNTIF(EB$2:EB$33,'Your Team'!$D$6)&gt;0),TRUE ),1,0)+IF( AND((COUNTIF(EB$2:EB$33,'Your Team'!$D$7)&gt;0),TRUE ),1,0)+IF( AND((COUNTIF(EB$2:EB$33,'Your Team'!$D$8)&gt;0),TRUE ),1,0)+IF( AND((COUNTIF(EB$2:EB$33,'Your Team'!$D$9)&gt;0),TRUE ),1,0)+IF( AND((COUNTIF(EB$2:EB$33,'Your Team'!$D$10)&gt;0),TRUE),1,0)+IF( AND((COUNTIF(EB$2:EB$33,'Your Team'!$D$11)&gt;0),TRUE ),1,0)+IF( AND((COUNTIF(EB$2:EB$33,'Your Team'!$D$12)&gt;0),TRUE ),1,0)+IF( AND((COUNTIF(EB$2:EB$33,'Your Team'!$D$13)&gt;0),TRUE ),1,0)+IF( AND((COUNTIF(EB$2:EB$33,'Your Team'!$D$14)&gt;0),TRUE ),1,0)+IF( AND((COUNTIF(EB$2:EB$33,'Your Team'!$D$15)&gt;0),TRUE ),1,0)+IF( AND((COUNTIF(EB$2:EB$33,'Your Team'!$D$16)&gt;0),TRUE ),1,0)+IF( AND((COUNTIF(EB$2:EB$33,'Your Team'!$D$17)&gt;0),TRUE ),1,0)+IF( AND((COUNTIF(EB$2:EB$33,'Your Team'!$D$18)&gt;0),TRUE ),1,0)+IF( AND((COUNTIF(EB$2:EB$33,'Your Team'!$D$19)&gt;0),TRUE ),1,0)</f>
        <v>0</v>
      </c>
      <c r="EC37" s="9">
        <f>IF( AND((COUNTIF(EC$2:EC$33,'Your Team'!$D$3)&gt;0),TRUE ),1,0)+IF( AND((COUNTIF(EC$2:EC$33,'Your Team'!$D$4)&gt;0),TRUE),1,0)+IF( AND((COUNTIF(EC$2:EC$33,'Your Team'!$D$5)&gt;0),TRUE ),1,0)+IF( AND((COUNTIF(EC$2:EC$33,'Your Team'!$D$6)&gt;0),TRUE ),1,0)+IF( AND((COUNTIF(EC$2:EC$33,'Your Team'!$D$7)&gt;0),TRUE ),1,0)+IF( AND((COUNTIF(EC$2:EC$33,'Your Team'!$D$8)&gt;0),TRUE ),1,0)+IF( AND((COUNTIF(EC$2:EC$33,'Your Team'!$D$9)&gt;0),TRUE ),1,0)+IF( AND((COUNTIF(EC$2:EC$33,'Your Team'!$D$10)&gt;0),TRUE),1,0)+IF( AND((COUNTIF(EC$2:EC$33,'Your Team'!$D$11)&gt;0),TRUE ),1,0)+IF( AND((COUNTIF(EC$2:EC$33,'Your Team'!$D$12)&gt;0),TRUE ),1,0)+IF( AND((COUNTIF(EC$2:EC$33,'Your Team'!$D$13)&gt;0),TRUE ),1,0)+IF( AND((COUNTIF(EC$2:EC$33,'Your Team'!$D$14)&gt;0),TRUE ),1,0)+IF( AND((COUNTIF(EC$2:EC$33,'Your Team'!$D$15)&gt;0),TRUE ),1,0)+IF( AND((COUNTIF(EC$2:EC$33,'Your Team'!$D$16)&gt;0),TRUE ),1,0)+IF( AND((COUNTIF(EC$2:EC$33,'Your Team'!$D$17)&gt;0),TRUE ),1,0)+IF( AND((COUNTIF(EC$2:EC$33,'Your Team'!$D$18)&gt;0),TRUE ),1,0)+IF( AND((COUNTIF(EC$2:EC$33,'Your Team'!$D$19)&gt;0),TRUE ),1,0)</f>
        <v>0</v>
      </c>
      <c r="ED37" s="9">
        <f>IF( AND((COUNTIF(ED$2:ED$33,'Your Team'!$D$3)&gt;0),TRUE ),1,0)+IF( AND((COUNTIF(ED$2:ED$33,'Your Team'!$D$4)&gt;0),TRUE),1,0)+IF( AND((COUNTIF(ED$2:ED$33,'Your Team'!$D$5)&gt;0),TRUE ),1,0)+IF( AND((COUNTIF(ED$2:ED$33,'Your Team'!$D$6)&gt;0),TRUE ),1,0)+IF( AND((COUNTIF(ED$2:ED$33,'Your Team'!$D$7)&gt;0),TRUE ),1,0)+IF( AND((COUNTIF(ED$2:ED$33,'Your Team'!$D$8)&gt;0),TRUE ),1,0)+IF( AND((COUNTIF(ED$2:ED$33,'Your Team'!$D$9)&gt;0),TRUE ),1,0)+IF( AND((COUNTIF(ED$2:ED$33,'Your Team'!$D$10)&gt;0),TRUE),1,0)+IF( AND((COUNTIF(ED$2:ED$33,'Your Team'!$D$11)&gt;0),TRUE ),1,0)+IF( AND((COUNTIF(ED$2:ED$33,'Your Team'!$D$12)&gt;0),TRUE ),1,0)+IF( AND((COUNTIF(ED$2:ED$33,'Your Team'!$D$13)&gt;0),TRUE ),1,0)+IF( AND((COUNTIF(ED$2:ED$33,'Your Team'!$D$14)&gt;0),TRUE ),1,0)+IF( AND((COUNTIF(ED$2:ED$33,'Your Team'!$D$15)&gt;0),TRUE ),1,0)+IF( AND((COUNTIF(ED$2:ED$33,'Your Team'!$D$16)&gt;0),TRUE ),1,0)+IF( AND((COUNTIF(ED$2:ED$33,'Your Team'!$D$17)&gt;0),TRUE ),1,0)+IF( AND((COUNTIF(ED$2:ED$33,'Your Team'!$D$18)&gt;0),TRUE ),1,0)+IF( AND((COUNTIF(ED$2:ED$33,'Your Team'!$D$19)&gt;0),TRUE ),1,0)</f>
        <v>0</v>
      </c>
      <c r="EE37" s="9">
        <f>IF( AND((COUNTIF(EE$2:EE$33,'Your Team'!$D$3)&gt;0),TRUE ),1,0)+IF( AND((COUNTIF(EE$2:EE$33,'Your Team'!$D$4)&gt;0),TRUE),1,0)+IF( AND((COUNTIF(EE$2:EE$33,'Your Team'!$D$5)&gt;0),TRUE ),1,0)+IF( AND((COUNTIF(EE$2:EE$33,'Your Team'!$D$6)&gt;0),TRUE ),1,0)+IF( AND((COUNTIF(EE$2:EE$33,'Your Team'!$D$7)&gt;0),TRUE ),1,0)+IF( AND((COUNTIF(EE$2:EE$33,'Your Team'!$D$8)&gt;0),TRUE ),1,0)+IF( AND((COUNTIF(EE$2:EE$33,'Your Team'!$D$9)&gt;0),TRUE ),1,0)+IF( AND((COUNTIF(EE$2:EE$33,'Your Team'!$D$10)&gt;0),TRUE),1,0)+IF( AND((COUNTIF(EE$2:EE$33,'Your Team'!$D$11)&gt;0),TRUE ),1,0)+IF( AND((COUNTIF(EE$2:EE$33,'Your Team'!$D$12)&gt;0),TRUE ),1,0)+IF( AND((COUNTIF(EE$2:EE$33,'Your Team'!$D$13)&gt;0),TRUE ),1,0)+IF( AND((COUNTIF(EE$2:EE$33,'Your Team'!$D$14)&gt;0),TRUE ),1,0)+IF( AND((COUNTIF(EE$2:EE$33,'Your Team'!$D$15)&gt;0),TRUE ),1,0)+IF( AND((COUNTIF(EE$2:EE$33,'Your Team'!$D$16)&gt;0),TRUE ),1,0)+IF( AND((COUNTIF(EE$2:EE$33,'Your Team'!$D$17)&gt;0),TRUE ),1,0)+IF( AND((COUNTIF(EE$2:EE$33,'Your Team'!$D$18)&gt;0),TRUE ),1,0)+IF( AND((COUNTIF(EE$2:EE$33,'Your Team'!$D$19)&gt;0),TRUE ),1,0)</f>
        <v>0</v>
      </c>
      <c r="EF37" s="9">
        <f>IF( AND((COUNTIF(EF$2:EF$33,'Your Team'!$D$3)&gt;0),TRUE ),1,0)+IF( AND((COUNTIF(EF$2:EF$33,'Your Team'!$D$4)&gt;0),TRUE),1,0)+IF( AND((COUNTIF(EF$2:EF$33,'Your Team'!$D$5)&gt;0),TRUE ),1,0)+IF( AND((COUNTIF(EF$2:EF$33,'Your Team'!$D$6)&gt;0),TRUE ),1,0)+IF( AND((COUNTIF(EF$2:EF$33,'Your Team'!$D$7)&gt;0),TRUE ),1,0)+IF( AND((COUNTIF(EF$2:EF$33,'Your Team'!$D$8)&gt;0),TRUE ),1,0)+IF( AND((COUNTIF(EF$2:EF$33,'Your Team'!$D$9)&gt;0),TRUE ),1,0)+IF( AND((COUNTIF(EF$2:EF$33,'Your Team'!$D$10)&gt;0),TRUE),1,0)+IF( AND((COUNTIF(EF$2:EF$33,'Your Team'!$D$11)&gt;0),TRUE ),1,0)+IF( AND((COUNTIF(EF$2:EF$33,'Your Team'!$D$12)&gt;0),TRUE ),1,0)+IF( AND((COUNTIF(EF$2:EF$33,'Your Team'!$D$13)&gt;0),TRUE ),1,0)+IF( AND((COUNTIF(EF$2:EF$33,'Your Team'!$D$14)&gt;0),TRUE ),1,0)+IF( AND((COUNTIF(EF$2:EF$33,'Your Team'!$D$15)&gt;0),TRUE ),1,0)+IF( AND((COUNTIF(EF$2:EF$33,'Your Team'!$D$16)&gt;0),TRUE ),1,0)+IF( AND((COUNTIF(EF$2:EF$33,'Your Team'!$D$17)&gt;0),TRUE ),1,0)+IF( AND((COUNTIF(EF$2:EF$33,'Your Team'!$D$18)&gt;0),TRUE ),1,0)+IF( AND((COUNTIF(EF$2:EF$33,'Your Team'!$D$19)&gt;0),TRUE ),1,0)</f>
        <v>0</v>
      </c>
      <c r="EG37" s="9">
        <f>IF( AND((COUNTIF(EG$2:EG$33,'Your Team'!$D$3)&gt;0),TRUE ),1,0)+IF( AND((COUNTIF(EG$2:EG$33,'Your Team'!$D$4)&gt;0),TRUE),1,0)+IF( AND((COUNTIF(EG$2:EG$33,'Your Team'!$D$5)&gt;0),TRUE ),1,0)+IF( AND((COUNTIF(EG$2:EG$33,'Your Team'!$D$6)&gt;0),TRUE ),1,0)+IF( AND((COUNTIF(EG$2:EG$33,'Your Team'!$D$7)&gt;0),TRUE ),1,0)+IF( AND((COUNTIF(EG$2:EG$33,'Your Team'!$D$8)&gt;0),TRUE ),1,0)+IF( AND((COUNTIF(EG$2:EG$33,'Your Team'!$D$9)&gt;0),TRUE ),1,0)+IF( AND((COUNTIF(EG$2:EG$33,'Your Team'!$D$10)&gt;0),TRUE),1,0)+IF( AND((COUNTIF(EG$2:EG$33,'Your Team'!$D$11)&gt;0),TRUE ),1,0)+IF( AND((COUNTIF(EG$2:EG$33,'Your Team'!$D$12)&gt;0),TRUE ),1,0)+IF( AND((COUNTIF(EG$2:EG$33,'Your Team'!$D$13)&gt;0),TRUE ),1,0)+IF( AND((COUNTIF(EG$2:EG$33,'Your Team'!$D$14)&gt;0),TRUE ),1,0)+IF( AND((COUNTIF(EG$2:EG$33,'Your Team'!$D$15)&gt;0),TRUE ),1,0)+IF( AND((COUNTIF(EG$2:EG$33,'Your Team'!$D$16)&gt;0),TRUE ),1,0)+IF( AND((COUNTIF(EG$2:EG$33,'Your Team'!$D$17)&gt;0),TRUE ),1,0)+IF( AND((COUNTIF(EG$2:EG$33,'Your Team'!$D$18)&gt;0),TRUE ),1,0)+IF( AND((COUNTIF(EG$2:EG$33,'Your Team'!$D$19)&gt;0),TRUE ),1,0)</f>
        <v>0</v>
      </c>
      <c r="EH37" s="9">
        <f>IF( AND((COUNTIF(EH$2:EH$33,'Your Team'!$D$3)&gt;0),TRUE ),1,0)+IF( AND((COUNTIF(EH$2:EH$33,'Your Team'!$D$4)&gt;0),TRUE),1,0)+IF( AND((COUNTIF(EH$2:EH$33,'Your Team'!$D$5)&gt;0),TRUE ),1,0)+IF( AND((COUNTIF(EH$2:EH$33,'Your Team'!$D$6)&gt;0),TRUE ),1,0)+IF( AND((COUNTIF(EH$2:EH$33,'Your Team'!$D$7)&gt;0),TRUE ),1,0)+IF( AND((COUNTIF(EH$2:EH$33,'Your Team'!$D$8)&gt;0),TRUE ),1,0)+IF( AND((COUNTIF(EH$2:EH$33,'Your Team'!$D$9)&gt;0),TRUE ),1,0)+IF( AND((COUNTIF(EH$2:EH$33,'Your Team'!$D$10)&gt;0),TRUE),1,0)+IF( AND((COUNTIF(EH$2:EH$33,'Your Team'!$D$11)&gt;0),TRUE ),1,0)+IF( AND((COUNTIF(EH$2:EH$33,'Your Team'!$D$12)&gt;0),TRUE ),1,0)+IF( AND((COUNTIF(EH$2:EH$33,'Your Team'!$D$13)&gt;0),TRUE ),1,0)+IF( AND((COUNTIF(EH$2:EH$33,'Your Team'!$D$14)&gt;0),TRUE ),1,0)+IF( AND((COUNTIF(EH$2:EH$33,'Your Team'!$D$15)&gt;0),TRUE ),1,0)+IF( AND((COUNTIF(EH$2:EH$33,'Your Team'!$D$16)&gt;0),TRUE ),1,0)+IF( AND((COUNTIF(EH$2:EH$33,'Your Team'!$D$17)&gt;0),TRUE ),1,0)+IF( AND((COUNTIF(EH$2:EH$33,'Your Team'!$D$18)&gt;0),TRUE ),1,0)+IF( AND((COUNTIF(EH$2:EH$33,'Your Team'!$D$19)&gt;0),TRUE ),1,0)</f>
        <v>0</v>
      </c>
      <c r="EI37" s="9">
        <f>IF( AND((COUNTIF(EI$2:EI$33,'Your Team'!$D$3)&gt;0),TRUE ),1,0)+IF( AND((COUNTIF(EI$2:EI$33,'Your Team'!$D$4)&gt;0),TRUE),1,0)+IF( AND((COUNTIF(EI$2:EI$33,'Your Team'!$D$5)&gt;0),TRUE ),1,0)+IF( AND((COUNTIF(EI$2:EI$33,'Your Team'!$D$6)&gt;0),TRUE ),1,0)+IF( AND((COUNTIF(EI$2:EI$33,'Your Team'!$D$7)&gt;0),TRUE ),1,0)+IF( AND((COUNTIF(EI$2:EI$33,'Your Team'!$D$8)&gt;0),TRUE ),1,0)+IF( AND((COUNTIF(EI$2:EI$33,'Your Team'!$D$9)&gt;0),TRUE ),1,0)+IF( AND((COUNTIF(EI$2:EI$33,'Your Team'!$D$10)&gt;0),TRUE),1,0)+IF( AND((COUNTIF(EI$2:EI$33,'Your Team'!$D$11)&gt;0),TRUE ),1,0)+IF( AND((COUNTIF(EI$2:EI$33,'Your Team'!$D$12)&gt;0),TRUE ),1,0)+IF( AND((COUNTIF(EI$2:EI$33,'Your Team'!$D$13)&gt;0),TRUE ),1,0)+IF( AND((COUNTIF(EI$2:EI$33,'Your Team'!$D$14)&gt;0),TRUE ),1,0)+IF( AND((COUNTIF(EI$2:EI$33,'Your Team'!$D$15)&gt;0),TRUE ),1,0)+IF( AND((COUNTIF(EI$2:EI$33,'Your Team'!$D$16)&gt;0),TRUE ),1,0)+IF( AND((COUNTIF(EI$2:EI$33,'Your Team'!$D$17)&gt;0),TRUE ),1,0)+IF( AND((COUNTIF(EI$2:EI$33,'Your Team'!$D$18)&gt;0),TRUE ),1,0)+IF( AND((COUNTIF(EI$2:EI$33,'Your Team'!$D$19)&gt;0),TRUE ),1,0)</f>
        <v>0</v>
      </c>
      <c r="EJ37" s="9">
        <f>IF( AND((COUNTIF(EJ$2:EJ$33,'Your Team'!$D$3)&gt;0),TRUE ),1,0)+IF( AND((COUNTIF(EJ$2:EJ$33,'Your Team'!$D$4)&gt;0),TRUE),1,0)+IF( AND((COUNTIF(EJ$2:EJ$33,'Your Team'!$D$5)&gt;0),TRUE ),1,0)+IF( AND((COUNTIF(EJ$2:EJ$33,'Your Team'!$D$6)&gt;0),TRUE ),1,0)+IF( AND((COUNTIF(EJ$2:EJ$33,'Your Team'!$D$7)&gt;0),TRUE ),1,0)+IF( AND((COUNTIF(EJ$2:EJ$33,'Your Team'!$D$8)&gt;0),TRUE ),1,0)+IF( AND((COUNTIF(EJ$2:EJ$33,'Your Team'!$D$9)&gt;0),TRUE ),1,0)+IF( AND((COUNTIF(EJ$2:EJ$33,'Your Team'!$D$10)&gt;0),TRUE),1,0)+IF( AND((COUNTIF(EJ$2:EJ$33,'Your Team'!$D$11)&gt;0),TRUE ),1,0)+IF( AND((COUNTIF(EJ$2:EJ$33,'Your Team'!$D$12)&gt;0),TRUE ),1,0)+IF( AND((COUNTIF(EJ$2:EJ$33,'Your Team'!$D$13)&gt;0),TRUE ),1,0)+IF( AND((COUNTIF(EJ$2:EJ$33,'Your Team'!$D$14)&gt;0),TRUE ),1,0)+IF( AND((COUNTIF(EJ$2:EJ$33,'Your Team'!$D$15)&gt;0),TRUE ),1,0)+IF( AND((COUNTIF(EJ$2:EJ$33,'Your Team'!$D$16)&gt;0),TRUE ),1,0)+IF( AND((COUNTIF(EJ$2:EJ$33,'Your Team'!$D$17)&gt;0),TRUE ),1,0)+IF( AND((COUNTIF(EJ$2:EJ$33,'Your Team'!$D$18)&gt;0),TRUE ),1,0)+IF( AND((COUNTIF(EJ$2:EJ$33,'Your Team'!$D$19)&gt;0),TRUE ),1,0)</f>
        <v>0</v>
      </c>
      <c r="EK37" s="9">
        <f>IF( AND((COUNTIF(EK$2:EK$33,'Your Team'!$D$3)&gt;0),TRUE ),1,0)+IF( AND((COUNTIF(EK$2:EK$33,'Your Team'!$D$4)&gt;0),TRUE),1,0)+IF( AND((COUNTIF(EK$2:EK$33,'Your Team'!$D$5)&gt;0),TRUE ),1,0)+IF( AND((COUNTIF(EK$2:EK$33,'Your Team'!$D$6)&gt;0),TRUE ),1,0)+IF( AND((COUNTIF(EK$2:EK$33,'Your Team'!$D$7)&gt;0),TRUE ),1,0)+IF( AND((COUNTIF(EK$2:EK$33,'Your Team'!$D$8)&gt;0),TRUE ),1,0)+IF( AND((COUNTIF(EK$2:EK$33,'Your Team'!$D$9)&gt;0),TRUE ),1,0)+IF( AND((COUNTIF(EK$2:EK$33,'Your Team'!$D$10)&gt;0),TRUE),1,0)+IF( AND((COUNTIF(EK$2:EK$33,'Your Team'!$D$11)&gt;0),TRUE ),1,0)+IF( AND((COUNTIF(EK$2:EK$33,'Your Team'!$D$12)&gt;0),TRUE ),1,0)+IF( AND((COUNTIF(EK$2:EK$33,'Your Team'!$D$13)&gt;0),TRUE ),1,0)+IF( AND((COUNTIF(EK$2:EK$33,'Your Team'!$D$14)&gt;0),TRUE ),1,0)+IF( AND((COUNTIF(EK$2:EK$33,'Your Team'!$D$15)&gt;0),TRUE ),1,0)+IF( AND((COUNTIF(EK$2:EK$33,'Your Team'!$D$16)&gt;0),TRUE ),1,0)+IF( AND((COUNTIF(EK$2:EK$33,'Your Team'!$D$17)&gt;0),TRUE ),1,0)+IF( AND((COUNTIF(EK$2:EK$33,'Your Team'!$D$18)&gt;0),TRUE ),1,0)+IF( AND((COUNTIF(EK$2:EK$33,'Your Team'!$D$19)&gt;0),TRUE ),1,0)</f>
        <v>0</v>
      </c>
      <c r="EL37" s="9">
        <f>IF( AND((COUNTIF(EL$2:EL$33,'Your Team'!$D$3)&gt;0),TRUE ),1,0)+IF( AND((COUNTIF(EL$2:EL$33,'Your Team'!$D$4)&gt;0),TRUE),1,0)+IF( AND((COUNTIF(EL$2:EL$33,'Your Team'!$D$5)&gt;0),TRUE ),1,0)+IF( AND((COUNTIF(EL$2:EL$33,'Your Team'!$D$6)&gt;0),TRUE ),1,0)+IF( AND((COUNTIF(EL$2:EL$33,'Your Team'!$D$7)&gt;0),TRUE ),1,0)+IF( AND((COUNTIF(EL$2:EL$33,'Your Team'!$D$8)&gt;0),TRUE ),1,0)+IF( AND((COUNTIF(EL$2:EL$33,'Your Team'!$D$9)&gt;0),TRUE ),1,0)+IF( AND((COUNTIF(EL$2:EL$33,'Your Team'!$D$10)&gt;0),TRUE),1,0)+IF( AND((COUNTIF(EL$2:EL$33,'Your Team'!$D$11)&gt;0),TRUE ),1,0)+IF( AND((COUNTIF(EL$2:EL$33,'Your Team'!$D$12)&gt;0),TRUE ),1,0)+IF( AND((COUNTIF(EL$2:EL$33,'Your Team'!$D$13)&gt;0),TRUE ),1,0)+IF( AND((COUNTIF(EL$2:EL$33,'Your Team'!$D$14)&gt;0),TRUE ),1,0)+IF( AND((COUNTIF(EL$2:EL$33,'Your Team'!$D$15)&gt;0),TRUE ),1,0)+IF( AND((COUNTIF(EL$2:EL$33,'Your Team'!$D$16)&gt;0),TRUE ),1,0)+IF( AND((COUNTIF(EL$2:EL$33,'Your Team'!$D$17)&gt;0),TRUE ),1,0)+IF( AND((COUNTIF(EL$2:EL$33,'Your Team'!$D$18)&gt;0),TRUE ),1,0)+IF( AND((COUNTIF(EL$2:EL$33,'Your Team'!$D$19)&gt;0),TRUE ),1,0)</f>
        <v>0</v>
      </c>
      <c r="EM37" s="9">
        <f>IF( AND((COUNTIF(EM$2:EM$33,'Your Team'!$D$3)&gt;0),TRUE ),1,0)+IF( AND((COUNTIF(EM$2:EM$33,'Your Team'!$D$4)&gt;0),TRUE),1,0)+IF( AND((COUNTIF(EM$2:EM$33,'Your Team'!$D$5)&gt;0),TRUE ),1,0)+IF( AND((COUNTIF(EM$2:EM$33,'Your Team'!$D$6)&gt;0),TRUE ),1,0)+IF( AND((COUNTIF(EM$2:EM$33,'Your Team'!$D$7)&gt;0),TRUE ),1,0)+IF( AND((COUNTIF(EM$2:EM$33,'Your Team'!$D$8)&gt;0),TRUE ),1,0)+IF( AND((COUNTIF(EM$2:EM$33,'Your Team'!$D$9)&gt;0),TRUE ),1,0)+IF( AND((COUNTIF(EM$2:EM$33,'Your Team'!$D$10)&gt;0),TRUE),1,0)+IF( AND((COUNTIF(EM$2:EM$33,'Your Team'!$D$11)&gt;0),TRUE ),1,0)+IF( AND((COUNTIF(EM$2:EM$33,'Your Team'!$D$12)&gt;0),TRUE ),1,0)+IF( AND((COUNTIF(EM$2:EM$33,'Your Team'!$D$13)&gt;0),TRUE ),1,0)+IF( AND((COUNTIF(EM$2:EM$33,'Your Team'!$D$14)&gt;0),TRUE ),1,0)+IF( AND((COUNTIF(EM$2:EM$33,'Your Team'!$D$15)&gt;0),TRUE ),1,0)+IF( AND((COUNTIF(EM$2:EM$33,'Your Team'!$D$16)&gt;0),TRUE ),1,0)+IF( AND((COUNTIF(EM$2:EM$33,'Your Team'!$D$17)&gt;0),TRUE ),1,0)+IF( AND((COUNTIF(EM$2:EM$33,'Your Team'!$D$18)&gt;0),TRUE ),1,0)+IF( AND((COUNTIF(EM$2:EM$33,'Your Team'!$D$19)&gt;0),TRUE ),1,0)</f>
        <v>0</v>
      </c>
      <c r="EN37" s="9">
        <f>IF( AND((COUNTIF(EN$2:EN$33,'Your Team'!$D$3)&gt;0),TRUE ),1,0)+IF( AND((COUNTIF(EN$2:EN$33,'Your Team'!$D$4)&gt;0),TRUE),1,0)+IF( AND((COUNTIF(EN$2:EN$33,'Your Team'!$D$5)&gt;0),TRUE ),1,0)+IF( AND((COUNTIF(EN$2:EN$33,'Your Team'!$D$6)&gt;0),TRUE ),1,0)+IF( AND((COUNTIF(EN$2:EN$33,'Your Team'!$D$7)&gt;0),TRUE ),1,0)+IF( AND((COUNTIF(EN$2:EN$33,'Your Team'!$D$8)&gt;0),TRUE ),1,0)+IF( AND((COUNTIF(EN$2:EN$33,'Your Team'!$D$9)&gt;0),TRUE ),1,0)+IF( AND((COUNTIF(EN$2:EN$33,'Your Team'!$D$10)&gt;0),TRUE),1,0)+IF( AND((COUNTIF(EN$2:EN$33,'Your Team'!$D$11)&gt;0),TRUE ),1,0)+IF( AND((COUNTIF(EN$2:EN$33,'Your Team'!$D$12)&gt;0),TRUE ),1,0)+IF( AND((COUNTIF(EN$2:EN$33,'Your Team'!$D$13)&gt;0),TRUE ),1,0)+IF( AND((COUNTIF(EN$2:EN$33,'Your Team'!$D$14)&gt;0),TRUE ),1,0)+IF( AND((COUNTIF(EN$2:EN$33,'Your Team'!$D$15)&gt;0),TRUE ),1,0)+IF( AND((COUNTIF(EN$2:EN$33,'Your Team'!$D$16)&gt;0),TRUE ),1,0)+IF( AND((COUNTIF(EN$2:EN$33,'Your Team'!$D$17)&gt;0),TRUE ),1,0)+IF( AND((COUNTIF(EN$2:EN$33,'Your Team'!$D$18)&gt;0),TRUE ),1,0)+IF( AND((COUNTIF(EN$2:EN$33,'Your Team'!$D$19)&gt;0),TRUE ),1,0)</f>
        <v>0</v>
      </c>
      <c r="EO37" s="9">
        <f>IF( AND((COUNTIF(EO$2:EO$33,'Your Team'!$D$3)&gt;0),TRUE ),1,0)+IF( AND((COUNTIF(EO$2:EO$33,'Your Team'!$D$4)&gt;0),TRUE),1,0)+IF( AND((COUNTIF(EO$2:EO$33,'Your Team'!$D$5)&gt;0),TRUE ),1,0)+IF( AND((COUNTIF(EO$2:EO$33,'Your Team'!$D$6)&gt;0),TRUE ),1,0)+IF( AND((COUNTIF(EO$2:EO$33,'Your Team'!$D$7)&gt;0),TRUE ),1,0)+IF( AND((COUNTIF(EO$2:EO$33,'Your Team'!$D$8)&gt;0),TRUE ),1,0)+IF( AND((COUNTIF(EO$2:EO$33,'Your Team'!$D$9)&gt;0),TRUE ),1,0)+IF( AND((COUNTIF(EO$2:EO$33,'Your Team'!$D$10)&gt;0),TRUE),1,0)+IF( AND((COUNTIF(EO$2:EO$33,'Your Team'!$D$11)&gt;0),TRUE ),1,0)+IF( AND((COUNTIF(EO$2:EO$33,'Your Team'!$D$12)&gt;0),TRUE ),1,0)+IF( AND((COUNTIF(EO$2:EO$33,'Your Team'!$D$13)&gt;0),TRUE ),1,0)+IF( AND((COUNTIF(EO$2:EO$33,'Your Team'!$D$14)&gt;0),TRUE ),1,0)+IF( AND((COUNTIF(EO$2:EO$33,'Your Team'!$D$15)&gt;0),TRUE ),1,0)+IF( AND((COUNTIF(EO$2:EO$33,'Your Team'!$D$16)&gt;0),TRUE ),1,0)+IF( AND((COUNTIF(EO$2:EO$33,'Your Team'!$D$17)&gt;0),TRUE ),1,0)+IF( AND((COUNTIF(EO$2:EO$33,'Your Team'!$D$18)&gt;0),TRUE ),1,0)+IF( AND((COUNTIF(EO$2:EO$33,'Your Team'!$D$19)&gt;0),TRUE ),1,0)</f>
        <v>0</v>
      </c>
      <c r="EP37" s="9">
        <f>IF( AND((COUNTIF(EP$2:EP$33,'Your Team'!$D$3)&gt;0),TRUE ),1,0)+IF( AND((COUNTIF(EP$2:EP$33,'Your Team'!$D$4)&gt;0),TRUE),1,0)+IF( AND((COUNTIF(EP$2:EP$33,'Your Team'!$D$5)&gt;0),TRUE ),1,0)+IF( AND((COUNTIF(EP$2:EP$33,'Your Team'!$D$6)&gt;0),TRUE ),1,0)+IF( AND((COUNTIF(EP$2:EP$33,'Your Team'!$D$7)&gt;0),TRUE ),1,0)+IF( AND((COUNTIF(EP$2:EP$33,'Your Team'!$D$8)&gt;0),TRUE ),1,0)+IF( AND((COUNTIF(EP$2:EP$33,'Your Team'!$D$9)&gt;0),TRUE ),1,0)+IF( AND((COUNTIF(EP$2:EP$33,'Your Team'!$D$10)&gt;0),TRUE),1,0)+IF( AND((COUNTIF(EP$2:EP$33,'Your Team'!$D$11)&gt;0),TRUE ),1,0)+IF( AND((COUNTIF(EP$2:EP$33,'Your Team'!$D$12)&gt;0),TRUE ),1,0)+IF( AND((COUNTIF(EP$2:EP$33,'Your Team'!$D$13)&gt;0),TRUE ),1,0)+IF( AND((COUNTIF(EP$2:EP$33,'Your Team'!$D$14)&gt;0),TRUE ),1,0)+IF( AND((COUNTIF(EP$2:EP$33,'Your Team'!$D$15)&gt;0),TRUE ),1,0)+IF( AND((COUNTIF(EP$2:EP$33,'Your Team'!$D$16)&gt;0),TRUE ),1,0)+IF( AND((COUNTIF(EP$2:EP$33,'Your Team'!$D$17)&gt;0),TRUE ),1,0)+IF( AND((COUNTIF(EP$2:EP$33,'Your Team'!$D$18)&gt;0),TRUE ),1,0)+IF( AND((COUNTIF(EP$2:EP$33,'Your Team'!$D$19)&gt;0),TRUE ),1,0)</f>
        <v>0</v>
      </c>
      <c r="EQ37" s="9">
        <f>IF( AND((COUNTIF(EQ$2:EQ$33,'Your Team'!$D$3)&gt;0),TRUE ),1,0)+IF( AND((COUNTIF(EQ$2:EQ$33,'Your Team'!$D$4)&gt;0),TRUE),1,0)+IF( AND((COUNTIF(EQ$2:EQ$33,'Your Team'!$D$5)&gt;0),TRUE ),1,0)+IF( AND((COUNTIF(EQ$2:EQ$33,'Your Team'!$D$6)&gt;0),TRUE ),1,0)+IF( AND((COUNTIF(EQ$2:EQ$33,'Your Team'!$D$7)&gt;0),TRUE ),1,0)+IF( AND((COUNTIF(EQ$2:EQ$33,'Your Team'!$D$8)&gt;0),TRUE ),1,0)+IF( AND((COUNTIF(EQ$2:EQ$33,'Your Team'!$D$9)&gt;0),TRUE ),1,0)+IF( AND((COUNTIF(EQ$2:EQ$33,'Your Team'!$D$10)&gt;0),TRUE),1,0)+IF( AND((COUNTIF(EQ$2:EQ$33,'Your Team'!$D$11)&gt;0),TRUE ),1,0)+IF( AND((COUNTIF(EQ$2:EQ$33,'Your Team'!$D$12)&gt;0),TRUE ),1,0)+IF( AND((COUNTIF(EQ$2:EQ$33,'Your Team'!$D$13)&gt;0),TRUE ),1,0)+IF( AND((COUNTIF(EQ$2:EQ$33,'Your Team'!$D$14)&gt;0),TRUE ),1,0)+IF( AND((COUNTIF(EQ$2:EQ$33,'Your Team'!$D$15)&gt;0),TRUE ),1,0)+IF( AND((COUNTIF(EQ$2:EQ$33,'Your Team'!$D$16)&gt;0),TRUE ),1,0)+IF( AND((COUNTIF(EQ$2:EQ$33,'Your Team'!$D$17)&gt;0),TRUE ),1,0)+IF( AND((COUNTIF(EQ$2:EQ$33,'Your Team'!$D$18)&gt;0),TRUE ),1,0)+IF( AND((COUNTIF(EQ$2:EQ$33,'Your Team'!$D$19)&gt;0),TRUE ),1,0)</f>
        <v>0</v>
      </c>
      <c r="ER37" s="9">
        <f>IF( AND((COUNTIF(ER$2:ER$33,'Your Team'!$D$3)&gt;0),TRUE ),1,0)+IF( AND((COUNTIF(ER$2:ER$33,'Your Team'!$D$4)&gt;0),TRUE),1,0)+IF( AND((COUNTIF(ER$2:ER$33,'Your Team'!$D$5)&gt;0),TRUE ),1,0)+IF( AND((COUNTIF(ER$2:ER$33,'Your Team'!$D$6)&gt;0),TRUE ),1,0)+IF( AND((COUNTIF(ER$2:ER$33,'Your Team'!$D$7)&gt;0),TRUE ),1,0)+IF( AND((COUNTIF(ER$2:ER$33,'Your Team'!$D$8)&gt;0),TRUE ),1,0)+IF( AND((COUNTIF(ER$2:ER$33,'Your Team'!$D$9)&gt;0),TRUE ),1,0)+IF( AND((COUNTIF(ER$2:ER$33,'Your Team'!$D$10)&gt;0),TRUE),1,0)+IF( AND((COUNTIF(ER$2:ER$33,'Your Team'!$D$11)&gt;0),TRUE ),1,0)+IF( AND((COUNTIF(ER$2:ER$33,'Your Team'!$D$12)&gt;0),TRUE ),1,0)+IF( AND((COUNTIF(ER$2:ER$33,'Your Team'!$D$13)&gt;0),TRUE ),1,0)+IF( AND((COUNTIF(ER$2:ER$33,'Your Team'!$D$14)&gt;0),TRUE ),1,0)+IF( AND((COUNTIF(ER$2:ER$33,'Your Team'!$D$15)&gt;0),TRUE ),1,0)+IF( AND((COUNTIF(ER$2:ER$33,'Your Team'!$D$16)&gt;0),TRUE ),1,0)+IF( AND((COUNTIF(ER$2:ER$33,'Your Team'!$D$17)&gt;0),TRUE ),1,0)+IF( AND((COUNTIF(ER$2:ER$33,'Your Team'!$D$18)&gt;0),TRUE ),1,0)+IF( AND((COUNTIF(ER$2:ER$33,'Your Team'!$D$19)&gt;0),TRUE ),1,0)</f>
        <v>0</v>
      </c>
      <c r="ES37" s="9">
        <f>IF( AND((COUNTIF(ES$2:ES$33,'Your Team'!$D$3)&gt;0),TRUE ),1,0)+IF( AND((COUNTIF(ES$2:ES$33,'Your Team'!$D$4)&gt;0),TRUE),1,0)+IF( AND((COUNTIF(ES$2:ES$33,'Your Team'!$D$5)&gt;0),TRUE ),1,0)+IF( AND((COUNTIF(ES$2:ES$33,'Your Team'!$D$6)&gt;0),TRUE ),1,0)+IF( AND((COUNTIF(ES$2:ES$33,'Your Team'!$D$7)&gt;0),TRUE ),1,0)+IF( AND((COUNTIF(ES$2:ES$33,'Your Team'!$D$8)&gt;0),TRUE ),1,0)+IF( AND((COUNTIF(ES$2:ES$33,'Your Team'!$D$9)&gt;0),TRUE ),1,0)+IF( AND((COUNTIF(ES$2:ES$33,'Your Team'!$D$10)&gt;0),TRUE),1,0)+IF( AND((COUNTIF(ES$2:ES$33,'Your Team'!$D$11)&gt;0),TRUE ),1,0)+IF( AND((COUNTIF(ES$2:ES$33,'Your Team'!$D$12)&gt;0),TRUE ),1,0)+IF( AND((COUNTIF(ES$2:ES$33,'Your Team'!$D$13)&gt;0),TRUE ),1,0)+IF( AND((COUNTIF(ES$2:ES$33,'Your Team'!$D$14)&gt;0),TRUE ),1,0)+IF( AND((COUNTIF(ES$2:ES$33,'Your Team'!$D$15)&gt;0),TRUE ),1,0)+IF( AND((COUNTIF(ES$2:ES$33,'Your Team'!$D$16)&gt;0),TRUE ),1,0)+IF( AND((COUNTIF(ES$2:ES$33,'Your Team'!$D$17)&gt;0),TRUE ),1,0)+IF( AND((COUNTIF(ES$2:ES$33,'Your Team'!$D$18)&gt;0),TRUE ),1,0)+IF( AND((COUNTIF(ES$2:ES$33,'Your Team'!$D$19)&gt;0),TRUE ),1,0)</f>
        <v>0</v>
      </c>
      <c r="ET37" s="9">
        <f>IF( AND((COUNTIF(ET$2:ET$33,'Your Team'!$D$3)&gt;0),TRUE ),1,0)+IF( AND((COUNTIF(ET$2:ET$33,'Your Team'!$D$4)&gt;0),TRUE),1,0)+IF( AND((COUNTIF(ET$2:ET$33,'Your Team'!$D$5)&gt;0),TRUE ),1,0)+IF( AND((COUNTIF(ET$2:ET$33,'Your Team'!$D$6)&gt;0),TRUE ),1,0)+IF( AND((COUNTIF(ET$2:ET$33,'Your Team'!$D$7)&gt;0),TRUE ),1,0)+IF( AND((COUNTIF(ET$2:ET$33,'Your Team'!$D$8)&gt;0),TRUE ),1,0)+IF( AND((COUNTIF(ET$2:ET$33,'Your Team'!$D$9)&gt;0),TRUE ),1,0)+IF( AND((COUNTIF(ET$2:ET$33,'Your Team'!$D$10)&gt;0),TRUE),1,0)+IF( AND((COUNTIF(ET$2:ET$33,'Your Team'!$D$11)&gt;0),TRUE ),1,0)+IF( AND((COUNTIF(ET$2:ET$33,'Your Team'!$D$12)&gt;0),TRUE ),1,0)+IF( AND((COUNTIF(ET$2:ET$33,'Your Team'!$D$13)&gt;0),TRUE ),1,0)+IF( AND((COUNTIF(ET$2:ET$33,'Your Team'!$D$14)&gt;0),TRUE ),1,0)+IF( AND((COUNTIF(ET$2:ET$33,'Your Team'!$D$15)&gt;0),TRUE ),1,0)+IF( AND((COUNTIF(ET$2:ET$33,'Your Team'!$D$16)&gt;0),TRUE ),1,0)+IF( AND((COUNTIF(ET$2:ET$33,'Your Team'!$D$17)&gt;0),TRUE ),1,0)+IF( AND((COUNTIF(ET$2:ET$33,'Your Team'!$D$18)&gt;0),TRUE ),1,0)+IF( AND((COUNTIF(ET$2:ET$33,'Your Team'!$D$19)&gt;0),TRUE ),1,0)</f>
        <v>0</v>
      </c>
      <c r="EU37" s="9">
        <f>IF( AND((COUNTIF(EU$2:EU$33,'Your Team'!$D$3)&gt;0),TRUE ),1,0)+IF( AND((COUNTIF(EU$2:EU$33,'Your Team'!$D$4)&gt;0),TRUE),1,0)+IF( AND((COUNTIF(EU$2:EU$33,'Your Team'!$D$5)&gt;0),TRUE ),1,0)+IF( AND((COUNTIF(EU$2:EU$33,'Your Team'!$D$6)&gt;0),TRUE ),1,0)+IF( AND((COUNTIF(EU$2:EU$33,'Your Team'!$D$7)&gt;0),TRUE ),1,0)+IF( AND((COUNTIF(EU$2:EU$33,'Your Team'!$D$8)&gt;0),TRUE ),1,0)+IF( AND((COUNTIF(EU$2:EU$33,'Your Team'!$D$9)&gt;0),TRUE ),1,0)+IF( AND((COUNTIF(EU$2:EU$33,'Your Team'!$D$10)&gt;0),TRUE),1,0)+IF( AND((COUNTIF(EU$2:EU$33,'Your Team'!$D$11)&gt;0),TRUE ),1,0)+IF( AND((COUNTIF(EU$2:EU$33,'Your Team'!$D$12)&gt;0),TRUE ),1,0)+IF( AND((COUNTIF(EU$2:EU$33,'Your Team'!$D$13)&gt;0),TRUE ),1,0)+IF( AND((COUNTIF(EU$2:EU$33,'Your Team'!$D$14)&gt;0),TRUE ),1,0)+IF( AND((COUNTIF(EU$2:EU$33,'Your Team'!$D$15)&gt;0),TRUE ),1,0)+IF( AND((COUNTIF(EU$2:EU$33,'Your Team'!$D$16)&gt;0),TRUE ),1,0)+IF( AND((COUNTIF(EU$2:EU$33,'Your Team'!$D$17)&gt;0),TRUE ),1,0)+IF( AND((COUNTIF(EU$2:EU$33,'Your Team'!$D$18)&gt;0),TRUE ),1,0)+IF( AND((COUNTIF(EU$2:EU$33,'Your Team'!$D$19)&gt;0),TRUE ),1,0)</f>
        <v>0</v>
      </c>
      <c r="EV37" s="9">
        <f>IF( AND((COUNTIF(EV$2:EV$33,'Your Team'!$D$3)&gt;0),TRUE ),1,0)+IF( AND((COUNTIF(EV$2:EV$33,'Your Team'!$D$4)&gt;0),TRUE),1,0)+IF( AND((COUNTIF(EV$2:EV$33,'Your Team'!$D$5)&gt;0),TRUE ),1,0)+IF( AND((COUNTIF(EV$2:EV$33,'Your Team'!$D$6)&gt;0),TRUE ),1,0)+IF( AND((COUNTIF(EV$2:EV$33,'Your Team'!$D$7)&gt;0),TRUE ),1,0)+IF( AND((COUNTIF(EV$2:EV$33,'Your Team'!$D$8)&gt;0),TRUE ),1,0)+IF( AND((COUNTIF(EV$2:EV$33,'Your Team'!$D$9)&gt;0),TRUE ),1,0)+IF( AND((COUNTIF(EV$2:EV$33,'Your Team'!$D$10)&gt;0),TRUE),1,0)+IF( AND((COUNTIF(EV$2:EV$33,'Your Team'!$D$11)&gt;0),TRUE ),1,0)+IF( AND((COUNTIF(EV$2:EV$33,'Your Team'!$D$12)&gt;0),TRUE ),1,0)+IF( AND((COUNTIF(EV$2:EV$33,'Your Team'!$D$13)&gt;0),TRUE ),1,0)+IF( AND((COUNTIF(EV$2:EV$33,'Your Team'!$D$14)&gt;0),TRUE ),1,0)+IF( AND((COUNTIF(EV$2:EV$33,'Your Team'!$D$15)&gt;0),TRUE ),1,0)+IF( AND((COUNTIF(EV$2:EV$33,'Your Team'!$D$16)&gt;0),TRUE ),1,0)+IF( AND((COUNTIF(EV$2:EV$33,'Your Team'!$D$17)&gt;0),TRUE ),1,0)+IF( AND((COUNTIF(EV$2:EV$33,'Your Team'!$D$18)&gt;0),TRUE ),1,0)+IF( AND((COUNTIF(EV$2:EV$33,'Your Team'!$D$19)&gt;0),TRUE ),1,0)</f>
        <v>0</v>
      </c>
      <c r="EW37" s="9">
        <f>IF( AND((COUNTIF(EW$2:EW$33,'Your Team'!$D$3)&gt;0),TRUE ),1,0)+IF( AND((COUNTIF(EW$2:EW$33,'Your Team'!$D$4)&gt;0),TRUE),1,0)+IF( AND((COUNTIF(EW$2:EW$33,'Your Team'!$D$5)&gt;0),TRUE ),1,0)+IF( AND((COUNTIF(EW$2:EW$33,'Your Team'!$D$6)&gt;0),TRUE ),1,0)+IF( AND((COUNTIF(EW$2:EW$33,'Your Team'!$D$7)&gt;0),TRUE ),1,0)+IF( AND((COUNTIF(EW$2:EW$33,'Your Team'!$D$8)&gt;0),TRUE ),1,0)+IF( AND((COUNTIF(EW$2:EW$33,'Your Team'!$D$9)&gt;0),TRUE ),1,0)+IF( AND((COUNTIF(EW$2:EW$33,'Your Team'!$D$10)&gt;0),TRUE),1,0)+IF( AND((COUNTIF(EW$2:EW$33,'Your Team'!$D$11)&gt;0),TRUE ),1,0)+IF( AND((COUNTIF(EW$2:EW$33,'Your Team'!$D$12)&gt;0),TRUE ),1,0)+IF( AND((COUNTIF(EW$2:EW$33,'Your Team'!$D$13)&gt;0),TRUE ),1,0)+IF( AND((COUNTIF(EW$2:EW$33,'Your Team'!$D$14)&gt;0),TRUE ),1,0)+IF( AND((COUNTIF(EW$2:EW$33,'Your Team'!$D$15)&gt;0),TRUE ),1,0)+IF( AND((COUNTIF(EW$2:EW$33,'Your Team'!$D$16)&gt;0),TRUE ),1,0)+IF( AND((COUNTIF(EW$2:EW$33,'Your Team'!$D$17)&gt;0),TRUE ),1,0)+IF( AND((COUNTIF(EW$2:EW$33,'Your Team'!$D$18)&gt;0),TRUE ),1,0)+IF( AND((COUNTIF(EW$2:EW$33,'Your Team'!$D$19)&gt;0),TRUE ),1,0)</f>
        <v>0</v>
      </c>
      <c r="EX37" s="9">
        <f>IF( AND((COUNTIF(EX$2:EX$33,'Your Team'!$D$3)&gt;0),TRUE ),1,0)+IF( AND((COUNTIF(EX$2:EX$33,'Your Team'!$D$4)&gt;0),TRUE),1,0)+IF( AND((COUNTIF(EX$2:EX$33,'Your Team'!$D$5)&gt;0),TRUE ),1,0)+IF( AND((COUNTIF(EX$2:EX$33,'Your Team'!$D$6)&gt;0),TRUE ),1,0)+IF( AND((COUNTIF(EX$2:EX$33,'Your Team'!$D$7)&gt;0),TRUE ),1,0)+IF( AND((COUNTIF(EX$2:EX$33,'Your Team'!$D$8)&gt;0),TRUE ),1,0)+IF( AND((COUNTIF(EX$2:EX$33,'Your Team'!$D$9)&gt;0),TRUE ),1,0)+IF( AND((COUNTIF(EX$2:EX$33,'Your Team'!$D$10)&gt;0),TRUE),1,0)+IF( AND((COUNTIF(EX$2:EX$33,'Your Team'!$D$11)&gt;0),TRUE ),1,0)+IF( AND((COUNTIF(EX$2:EX$33,'Your Team'!$D$12)&gt;0),TRUE ),1,0)+IF( AND((COUNTIF(EX$2:EX$33,'Your Team'!$D$13)&gt;0),TRUE ),1,0)+IF( AND((COUNTIF(EX$2:EX$33,'Your Team'!$D$14)&gt;0),TRUE ),1,0)+IF( AND((COUNTIF(EX$2:EX$33,'Your Team'!$D$15)&gt;0),TRUE ),1,0)+IF( AND((COUNTIF(EX$2:EX$33,'Your Team'!$D$16)&gt;0),TRUE ),1,0)+IF( AND((COUNTIF(EX$2:EX$33,'Your Team'!$D$17)&gt;0),TRUE ),1,0)+IF( AND((COUNTIF(EX$2:EX$33,'Your Team'!$D$18)&gt;0),TRUE ),1,0)+IF( AND((COUNTIF(EX$2:EX$33,'Your Team'!$D$19)&gt;0),TRUE ),1,0)</f>
        <v>0</v>
      </c>
      <c r="EY37" s="9">
        <f>IF( AND((COUNTIF(EY$2:EY$33,'Your Team'!$D$3)&gt;0),TRUE ),1,0)+IF( AND((COUNTIF(EY$2:EY$33,'Your Team'!$D$4)&gt;0),TRUE),1,0)+IF( AND((COUNTIF(EY$2:EY$33,'Your Team'!$D$5)&gt;0),TRUE ),1,0)+IF( AND((COUNTIF(EY$2:EY$33,'Your Team'!$D$6)&gt;0),TRUE ),1,0)+IF( AND((COUNTIF(EY$2:EY$33,'Your Team'!$D$7)&gt;0),TRUE ),1,0)+IF( AND((COUNTIF(EY$2:EY$33,'Your Team'!$D$8)&gt;0),TRUE ),1,0)+IF( AND((COUNTIF(EY$2:EY$33,'Your Team'!$D$9)&gt;0),TRUE ),1,0)+IF( AND((COUNTIF(EY$2:EY$33,'Your Team'!$D$10)&gt;0),TRUE),1,0)+IF( AND((COUNTIF(EY$2:EY$33,'Your Team'!$D$11)&gt;0),TRUE ),1,0)+IF( AND((COUNTIF(EY$2:EY$33,'Your Team'!$D$12)&gt;0),TRUE ),1,0)+IF( AND((COUNTIF(EY$2:EY$33,'Your Team'!$D$13)&gt;0),TRUE ),1,0)+IF( AND((COUNTIF(EY$2:EY$33,'Your Team'!$D$14)&gt;0),TRUE ),1,0)+IF( AND((COUNTIF(EY$2:EY$33,'Your Team'!$D$15)&gt;0),TRUE ),1,0)+IF( AND((COUNTIF(EY$2:EY$33,'Your Team'!$D$16)&gt;0),TRUE ),1,0)+IF( AND((COUNTIF(EY$2:EY$33,'Your Team'!$D$17)&gt;0),TRUE ),1,0)+IF( AND((COUNTIF(EY$2:EY$33,'Your Team'!$D$18)&gt;0),TRUE ),1,0)+IF( AND((COUNTIF(EY$2:EY$33,'Your Team'!$D$19)&gt;0),TRUE ),1,0)</f>
        <v>0</v>
      </c>
      <c r="EZ37" s="9">
        <f>IF( AND((COUNTIF(EZ$2:EZ$33,'Your Team'!$D$3)&gt;0),TRUE ),1,0)+IF( AND((COUNTIF(EZ$2:EZ$33,'Your Team'!$D$4)&gt;0),TRUE),1,0)+IF( AND((COUNTIF(EZ$2:EZ$33,'Your Team'!$D$5)&gt;0),TRUE ),1,0)+IF( AND((COUNTIF(EZ$2:EZ$33,'Your Team'!$D$6)&gt;0),TRUE ),1,0)+IF( AND((COUNTIF(EZ$2:EZ$33,'Your Team'!$D$7)&gt;0),TRUE ),1,0)+IF( AND((COUNTIF(EZ$2:EZ$33,'Your Team'!$D$8)&gt;0),TRUE ),1,0)+IF( AND((COUNTIF(EZ$2:EZ$33,'Your Team'!$D$9)&gt;0),TRUE ),1,0)+IF( AND((COUNTIF(EZ$2:EZ$33,'Your Team'!$D$10)&gt;0),TRUE),1,0)+IF( AND((COUNTIF(EZ$2:EZ$33,'Your Team'!$D$11)&gt;0),TRUE ),1,0)+IF( AND((COUNTIF(EZ$2:EZ$33,'Your Team'!$D$12)&gt;0),TRUE ),1,0)+IF( AND((COUNTIF(EZ$2:EZ$33,'Your Team'!$D$13)&gt;0),TRUE ),1,0)+IF( AND((COUNTIF(EZ$2:EZ$33,'Your Team'!$D$14)&gt;0),TRUE ),1,0)+IF( AND((COUNTIF(EZ$2:EZ$33,'Your Team'!$D$15)&gt;0),TRUE ),1,0)+IF( AND((COUNTIF(EZ$2:EZ$33,'Your Team'!$D$16)&gt;0),TRUE ),1,0)+IF( AND((COUNTIF(EZ$2:EZ$33,'Your Team'!$D$17)&gt;0),TRUE ),1,0)+IF( AND((COUNTIF(EZ$2:EZ$33,'Your Team'!$D$18)&gt;0),TRUE ),1,0)+IF( AND((COUNTIF(EZ$2:EZ$33,'Your Team'!$D$19)&gt;0),TRUE ),1,0)</f>
        <v>0</v>
      </c>
      <c r="FA37" s="9">
        <f>IF( AND((COUNTIF(FA$2:FA$33,'Your Team'!$D$3)&gt;0),TRUE ),1,0)+IF( AND((COUNTIF(FA$2:FA$33,'Your Team'!$D$4)&gt;0),TRUE),1,0)+IF( AND((COUNTIF(FA$2:FA$33,'Your Team'!$D$5)&gt;0),TRUE ),1,0)+IF( AND((COUNTIF(FA$2:FA$33,'Your Team'!$D$6)&gt;0),TRUE ),1,0)+IF( AND((COUNTIF(FA$2:FA$33,'Your Team'!$D$7)&gt;0),TRUE ),1,0)+IF( AND((COUNTIF(FA$2:FA$33,'Your Team'!$D$8)&gt;0),TRUE ),1,0)+IF( AND((COUNTIF(FA$2:FA$33,'Your Team'!$D$9)&gt;0),TRUE ),1,0)+IF( AND((COUNTIF(FA$2:FA$33,'Your Team'!$D$10)&gt;0),TRUE),1,0)+IF( AND((COUNTIF(FA$2:FA$33,'Your Team'!$D$11)&gt;0),TRUE ),1,0)+IF( AND((COUNTIF(FA$2:FA$33,'Your Team'!$D$12)&gt;0),TRUE ),1,0)+IF( AND((COUNTIF(FA$2:FA$33,'Your Team'!$D$13)&gt;0),TRUE ),1,0)+IF( AND((COUNTIF(FA$2:FA$33,'Your Team'!$D$14)&gt;0),TRUE ),1,0)+IF( AND((COUNTIF(FA$2:FA$33,'Your Team'!$D$15)&gt;0),TRUE ),1,0)+IF( AND((COUNTIF(FA$2:FA$33,'Your Team'!$D$16)&gt;0),TRUE ),1,0)+IF( AND((COUNTIF(FA$2:FA$33,'Your Team'!$D$17)&gt;0),TRUE ),1,0)+IF( AND((COUNTIF(FA$2:FA$33,'Your Team'!$D$18)&gt;0),TRUE ),1,0)+IF( AND((COUNTIF(FA$2:FA$33,'Your Team'!$D$19)&gt;0),TRUE ),1,0)</f>
        <v>0</v>
      </c>
      <c r="FB37" s="9">
        <f>IF( AND((COUNTIF(FB$2:FB$33,'Your Team'!$D$3)&gt;0),TRUE ),1,0)+IF( AND((COUNTIF(FB$2:FB$33,'Your Team'!$D$4)&gt;0),TRUE),1,0)+IF( AND((COUNTIF(FB$2:FB$33,'Your Team'!$D$5)&gt;0),TRUE ),1,0)+IF( AND((COUNTIF(FB$2:FB$33,'Your Team'!$D$6)&gt;0),TRUE ),1,0)+IF( AND((COUNTIF(FB$2:FB$33,'Your Team'!$D$7)&gt;0),TRUE ),1,0)+IF( AND((COUNTIF(FB$2:FB$33,'Your Team'!$D$8)&gt;0),TRUE ),1,0)+IF( AND((COUNTIF(FB$2:FB$33,'Your Team'!$D$9)&gt;0),TRUE ),1,0)+IF( AND((COUNTIF(FB$2:FB$33,'Your Team'!$D$10)&gt;0),TRUE),1,0)+IF( AND((COUNTIF(FB$2:FB$33,'Your Team'!$D$11)&gt;0),TRUE ),1,0)+IF( AND((COUNTIF(FB$2:FB$33,'Your Team'!$D$12)&gt;0),TRUE ),1,0)+IF( AND((COUNTIF(FB$2:FB$33,'Your Team'!$D$13)&gt;0),TRUE ),1,0)+IF( AND((COUNTIF(FB$2:FB$33,'Your Team'!$D$14)&gt;0),TRUE ),1,0)+IF( AND((COUNTIF(FB$2:FB$33,'Your Team'!$D$15)&gt;0),TRUE ),1,0)+IF( AND((COUNTIF(FB$2:FB$33,'Your Team'!$D$16)&gt;0),TRUE ),1,0)+IF( AND((COUNTIF(FB$2:FB$33,'Your Team'!$D$17)&gt;0),TRUE ),1,0)+IF( AND((COUNTIF(FB$2:FB$33,'Your Team'!$D$18)&gt;0),TRUE ),1,0)+IF( AND((COUNTIF(FB$2:FB$33,'Your Team'!$D$19)&gt;0),TRUE ),1,0)</f>
        <v>0</v>
      </c>
      <c r="FC37" s="9">
        <f>IF( AND((COUNTIF(FC$2:FC$33,'Your Team'!$D$3)&gt;0),TRUE ),1,0)+IF( AND((COUNTIF(FC$2:FC$33,'Your Team'!$D$4)&gt;0),TRUE),1,0)+IF( AND((COUNTIF(FC$2:FC$33,'Your Team'!$D$5)&gt;0),TRUE ),1,0)+IF( AND((COUNTIF(FC$2:FC$33,'Your Team'!$D$6)&gt;0),TRUE ),1,0)+IF( AND((COUNTIF(FC$2:FC$33,'Your Team'!$D$7)&gt;0),TRUE ),1,0)+IF( AND((COUNTIF(FC$2:FC$33,'Your Team'!$D$8)&gt;0),TRUE ),1,0)+IF( AND((COUNTIF(FC$2:FC$33,'Your Team'!$D$9)&gt;0),TRUE ),1,0)+IF( AND((COUNTIF(FC$2:FC$33,'Your Team'!$D$10)&gt;0),TRUE),1,0)+IF( AND((COUNTIF(FC$2:FC$33,'Your Team'!$D$11)&gt;0),TRUE ),1,0)+IF( AND((COUNTIF(FC$2:FC$33,'Your Team'!$D$12)&gt;0),TRUE ),1,0)+IF( AND((COUNTIF(FC$2:FC$33,'Your Team'!$D$13)&gt;0),TRUE ),1,0)+IF( AND((COUNTIF(FC$2:FC$33,'Your Team'!$D$14)&gt;0),TRUE ),1,0)+IF( AND((COUNTIF(FC$2:FC$33,'Your Team'!$D$15)&gt;0),TRUE ),1,0)+IF( AND((COUNTIF(FC$2:FC$33,'Your Team'!$D$16)&gt;0),TRUE ),1,0)+IF( AND((COUNTIF(FC$2:FC$33,'Your Team'!$D$17)&gt;0),TRUE ),1,0)+IF( AND((COUNTIF(FC$2:FC$33,'Your Team'!$D$18)&gt;0),TRUE ),1,0)+IF( AND((COUNTIF(FC$2:FC$33,'Your Team'!$D$19)&gt;0),TRUE ),1,0)</f>
        <v>0</v>
      </c>
      <c r="FD37" s="9">
        <f>IF( AND((COUNTIF(FD$2:FD$33,'Your Team'!$D$3)&gt;0),TRUE ),1,0)+IF( AND((COUNTIF(FD$2:FD$33,'Your Team'!$D$4)&gt;0),TRUE),1,0)+IF( AND((COUNTIF(FD$2:FD$33,'Your Team'!$D$5)&gt;0),TRUE ),1,0)+IF( AND((COUNTIF(FD$2:FD$33,'Your Team'!$D$6)&gt;0),TRUE ),1,0)+IF( AND((COUNTIF(FD$2:FD$33,'Your Team'!$D$7)&gt;0),TRUE ),1,0)+IF( AND((COUNTIF(FD$2:FD$33,'Your Team'!$D$8)&gt;0),TRUE ),1,0)+IF( AND((COUNTIF(FD$2:FD$33,'Your Team'!$D$9)&gt;0),TRUE ),1,0)+IF( AND((COUNTIF(FD$2:FD$33,'Your Team'!$D$10)&gt;0),TRUE),1,0)+IF( AND((COUNTIF(FD$2:FD$33,'Your Team'!$D$11)&gt;0),TRUE ),1,0)+IF( AND((COUNTIF(FD$2:FD$33,'Your Team'!$D$12)&gt;0),TRUE ),1,0)+IF( AND((COUNTIF(FD$2:FD$33,'Your Team'!$D$13)&gt;0),TRUE ),1,0)+IF( AND((COUNTIF(FD$2:FD$33,'Your Team'!$D$14)&gt;0),TRUE ),1,0)+IF( AND((COUNTIF(FD$2:FD$33,'Your Team'!$D$15)&gt;0),TRUE ),1,0)+IF( AND((COUNTIF(FD$2:FD$33,'Your Team'!$D$16)&gt;0),TRUE ),1,0)+IF( AND((COUNTIF(FD$2:FD$33,'Your Team'!$D$17)&gt;0),TRUE ),1,0)+IF( AND((COUNTIF(FD$2:FD$33,'Your Team'!$D$18)&gt;0),TRUE ),1,0)+IF( AND((COUNTIF(FD$2:FD$33,'Your Team'!$D$19)&gt;0),TRUE ),1,0)</f>
        <v>0</v>
      </c>
      <c r="FE37" s="9">
        <f>IF( AND((COUNTIF(FE$2:FE$33,'Your Team'!$D$3)&gt;0),TRUE ),1,0)+IF( AND((COUNTIF(FE$2:FE$33,'Your Team'!$D$4)&gt;0),TRUE),1,0)+IF( AND((COUNTIF(FE$2:FE$33,'Your Team'!$D$5)&gt;0),TRUE ),1,0)+IF( AND((COUNTIF(FE$2:FE$33,'Your Team'!$D$6)&gt;0),TRUE ),1,0)+IF( AND((COUNTIF(FE$2:FE$33,'Your Team'!$D$7)&gt;0),TRUE ),1,0)+IF( AND((COUNTIF(FE$2:FE$33,'Your Team'!$D$8)&gt;0),TRUE ),1,0)+IF( AND((COUNTIF(FE$2:FE$33,'Your Team'!$D$9)&gt;0),TRUE ),1,0)+IF( AND((COUNTIF(FE$2:FE$33,'Your Team'!$D$10)&gt;0),TRUE),1,0)+IF( AND((COUNTIF(FE$2:FE$33,'Your Team'!$D$11)&gt;0),TRUE ),1,0)+IF( AND((COUNTIF(FE$2:FE$33,'Your Team'!$D$12)&gt;0),TRUE ),1,0)+IF( AND((COUNTIF(FE$2:FE$33,'Your Team'!$D$13)&gt;0),TRUE ),1,0)+IF( AND((COUNTIF(FE$2:FE$33,'Your Team'!$D$14)&gt;0),TRUE ),1,0)+IF( AND((COUNTIF(FE$2:FE$33,'Your Team'!$D$15)&gt;0),TRUE ),1,0)+IF( AND((COUNTIF(FE$2:FE$33,'Your Team'!$D$16)&gt;0),TRUE ),1,0)+IF( AND((COUNTIF(FE$2:FE$33,'Your Team'!$D$17)&gt;0),TRUE ),1,0)+IF( AND((COUNTIF(FE$2:FE$33,'Your Team'!$D$18)&gt;0),TRUE ),1,0)+IF( AND((COUNTIF(FE$2:FE$33,'Your Team'!$D$19)&gt;0),TRUE ),1,0)</f>
        <v>0</v>
      </c>
      <c r="FF37" s="9">
        <f>IF( AND((COUNTIF(FF$2:FF$33,'Your Team'!$D$3)&gt;0),TRUE ),1,0)+IF( AND((COUNTIF(FF$2:FF$33,'Your Team'!$D$4)&gt;0),TRUE),1,0)+IF( AND((COUNTIF(FF$2:FF$33,'Your Team'!$D$5)&gt;0),TRUE ),1,0)+IF( AND((COUNTIF(FF$2:FF$33,'Your Team'!$D$6)&gt;0),TRUE ),1,0)+IF( AND((COUNTIF(FF$2:FF$33,'Your Team'!$D$7)&gt;0),TRUE ),1,0)+IF( AND((COUNTIF(FF$2:FF$33,'Your Team'!$D$8)&gt;0),TRUE ),1,0)+IF( AND((COUNTIF(FF$2:FF$33,'Your Team'!$D$9)&gt;0),TRUE ),1,0)+IF( AND((COUNTIF(FF$2:FF$33,'Your Team'!$D$10)&gt;0),TRUE),1,0)+IF( AND((COUNTIF(FF$2:FF$33,'Your Team'!$D$11)&gt;0),TRUE ),1,0)+IF( AND((COUNTIF(FF$2:FF$33,'Your Team'!$D$12)&gt;0),TRUE ),1,0)+IF( AND((COUNTIF(FF$2:FF$33,'Your Team'!$D$13)&gt;0),TRUE ),1,0)+IF( AND((COUNTIF(FF$2:FF$33,'Your Team'!$D$14)&gt;0),TRUE ),1,0)+IF( AND((COUNTIF(FF$2:FF$33,'Your Team'!$D$15)&gt;0),TRUE ),1,0)+IF( AND((COUNTIF(FF$2:FF$33,'Your Team'!$D$16)&gt;0),TRUE ),1,0)+IF( AND((COUNTIF(FF$2:FF$33,'Your Team'!$D$17)&gt;0),TRUE ),1,0)+IF( AND((COUNTIF(FF$2:FF$33,'Your Team'!$D$18)&gt;0),TRUE ),1,0)+IF( AND((COUNTIF(FF$2:FF$33,'Your Team'!$D$19)&gt;0),TRUE ),1,0)</f>
        <v>0</v>
      </c>
      <c r="FG37" s="9">
        <f>IF( AND((COUNTIF(FG$2:FG$33,'Your Team'!$D$3)&gt;0),TRUE ),1,0)+IF( AND((COUNTIF(FG$2:FG$33,'Your Team'!$D$4)&gt;0),TRUE),1,0)+IF( AND((COUNTIF(FG$2:FG$33,'Your Team'!$D$5)&gt;0),TRUE ),1,0)+IF( AND((COUNTIF(FG$2:FG$33,'Your Team'!$D$6)&gt;0),TRUE ),1,0)+IF( AND((COUNTIF(FG$2:FG$33,'Your Team'!$D$7)&gt;0),TRUE ),1,0)+IF( AND((COUNTIF(FG$2:FG$33,'Your Team'!$D$8)&gt;0),TRUE ),1,0)+IF( AND((COUNTIF(FG$2:FG$33,'Your Team'!$D$9)&gt;0),TRUE ),1,0)+IF( AND((COUNTIF(FG$2:FG$33,'Your Team'!$D$10)&gt;0),TRUE),1,0)+IF( AND((COUNTIF(FG$2:FG$33,'Your Team'!$D$11)&gt;0),TRUE ),1,0)+IF( AND((COUNTIF(FG$2:FG$33,'Your Team'!$D$12)&gt;0),TRUE ),1,0)+IF( AND((COUNTIF(FG$2:FG$33,'Your Team'!$D$13)&gt;0),TRUE ),1,0)+IF( AND((COUNTIF(FG$2:FG$33,'Your Team'!$D$14)&gt;0),TRUE ),1,0)+IF( AND((COUNTIF(FG$2:FG$33,'Your Team'!$D$15)&gt;0),TRUE ),1,0)+IF( AND((COUNTIF(FG$2:FG$33,'Your Team'!$D$16)&gt;0),TRUE ),1,0)+IF( AND((COUNTIF(FG$2:FG$33,'Your Team'!$D$17)&gt;0),TRUE ),1,0)+IF( AND((COUNTIF(FG$2:FG$33,'Your Team'!$D$18)&gt;0),TRUE ),1,0)+IF( AND((COUNTIF(FG$2:FG$33,'Your Team'!$D$19)&gt;0),TRUE ),1,0)</f>
        <v>0</v>
      </c>
      <c r="FH37" s="9">
        <f>IF( AND((COUNTIF(FH$2:FH$33,'Your Team'!$D$3)&gt;0),TRUE ),1,0)+IF( AND((COUNTIF(FH$2:FH$33,'Your Team'!$D$4)&gt;0),TRUE),1,0)+IF( AND((COUNTIF(FH$2:FH$33,'Your Team'!$D$5)&gt;0),TRUE ),1,0)+IF( AND((COUNTIF(FH$2:FH$33,'Your Team'!$D$6)&gt;0),TRUE ),1,0)+IF( AND((COUNTIF(FH$2:FH$33,'Your Team'!$D$7)&gt;0),TRUE ),1,0)+IF( AND((COUNTIF(FH$2:FH$33,'Your Team'!$D$8)&gt;0),TRUE ),1,0)+IF( AND((COUNTIF(FH$2:FH$33,'Your Team'!$D$9)&gt;0),TRUE ),1,0)+IF( AND((COUNTIF(FH$2:FH$33,'Your Team'!$D$10)&gt;0),TRUE),1,0)+IF( AND((COUNTIF(FH$2:FH$33,'Your Team'!$D$11)&gt;0),TRUE ),1,0)+IF( AND((COUNTIF(FH$2:FH$33,'Your Team'!$D$12)&gt;0),TRUE ),1,0)+IF( AND((COUNTIF(FH$2:FH$33,'Your Team'!$D$13)&gt;0),TRUE ),1,0)+IF( AND((COUNTIF(FH$2:FH$33,'Your Team'!$D$14)&gt;0),TRUE ),1,0)+IF( AND((COUNTIF(FH$2:FH$33,'Your Team'!$D$15)&gt;0),TRUE ),1,0)+IF( AND((COUNTIF(FH$2:FH$33,'Your Team'!$D$16)&gt;0),TRUE ),1,0)+IF( AND((COUNTIF(FH$2:FH$33,'Your Team'!$D$17)&gt;0),TRUE ),1,0)+IF( AND((COUNTIF(FH$2:FH$33,'Your Team'!$D$18)&gt;0),TRUE ),1,0)+IF( AND((COUNTIF(FH$2:FH$33,'Your Team'!$D$19)&gt;0),TRUE ),1,0)</f>
        <v>0</v>
      </c>
      <c r="FI37" s="9">
        <f>IF( AND((COUNTIF(FI$2:FI$33,'Your Team'!$D$3)&gt;0),TRUE ),1,0)+IF( AND((COUNTIF(FI$2:FI$33,'Your Team'!$D$4)&gt;0),TRUE),1,0)+IF( AND((COUNTIF(FI$2:FI$33,'Your Team'!$D$5)&gt;0),TRUE ),1,0)+IF( AND((COUNTIF(FI$2:FI$33,'Your Team'!$D$6)&gt;0),TRUE ),1,0)+IF( AND((COUNTIF(FI$2:FI$33,'Your Team'!$D$7)&gt;0),TRUE ),1,0)+IF( AND((COUNTIF(FI$2:FI$33,'Your Team'!$D$8)&gt;0),TRUE ),1,0)+IF( AND((COUNTIF(FI$2:FI$33,'Your Team'!$D$9)&gt;0),TRUE ),1,0)+IF( AND((COUNTIF(FI$2:FI$33,'Your Team'!$D$10)&gt;0),TRUE),1,0)+IF( AND((COUNTIF(FI$2:FI$33,'Your Team'!$D$11)&gt;0),TRUE ),1,0)+IF( AND((COUNTIF(FI$2:FI$33,'Your Team'!$D$12)&gt;0),TRUE ),1,0)+IF( AND((COUNTIF(FI$2:FI$33,'Your Team'!$D$13)&gt;0),TRUE ),1,0)+IF( AND((COUNTIF(FI$2:FI$33,'Your Team'!$D$14)&gt;0),TRUE ),1,0)+IF( AND((COUNTIF(FI$2:FI$33,'Your Team'!$D$15)&gt;0),TRUE ),1,0)+IF( AND((COUNTIF(FI$2:FI$33,'Your Team'!$D$16)&gt;0),TRUE ),1,0)+IF( AND((COUNTIF(FI$2:FI$33,'Your Team'!$D$17)&gt;0),TRUE ),1,0)+IF( AND((COUNTIF(FI$2:FI$33,'Your Team'!$D$18)&gt;0),TRUE ),1,0)+IF( AND((COUNTIF(FI$2:FI$33,'Your Team'!$D$19)&gt;0),TRUE ),1,0)</f>
        <v>0</v>
      </c>
      <c r="FJ37" s="9">
        <f>IF( AND((COUNTIF(FJ$2:FJ$33,'Your Team'!$D$3)&gt;0),TRUE ),1,0)+IF( AND((COUNTIF(FJ$2:FJ$33,'Your Team'!$D$4)&gt;0),TRUE),1,0)+IF( AND((COUNTIF(FJ$2:FJ$33,'Your Team'!$D$5)&gt;0),TRUE ),1,0)+IF( AND((COUNTIF(FJ$2:FJ$33,'Your Team'!$D$6)&gt;0),TRUE ),1,0)+IF( AND((COUNTIF(FJ$2:FJ$33,'Your Team'!$D$7)&gt;0),TRUE ),1,0)+IF( AND((COUNTIF(FJ$2:FJ$33,'Your Team'!$D$8)&gt;0),TRUE ),1,0)+IF( AND((COUNTIF(FJ$2:FJ$33,'Your Team'!$D$9)&gt;0),TRUE ),1,0)+IF( AND((COUNTIF(FJ$2:FJ$33,'Your Team'!$D$10)&gt;0),TRUE),1,0)+IF( AND((COUNTIF(FJ$2:FJ$33,'Your Team'!$D$11)&gt;0),TRUE ),1,0)+IF( AND((COUNTIF(FJ$2:FJ$33,'Your Team'!$D$12)&gt;0),TRUE ),1,0)+IF( AND((COUNTIF(FJ$2:FJ$33,'Your Team'!$D$13)&gt;0),TRUE ),1,0)+IF( AND((COUNTIF(FJ$2:FJ$33,'Your Team'!$D$14)&gt;0),TRUE ),1,0)+IF( AND((COUNTIF(FJ$2:FJ$33,'Your Team'!$D$15)&gt;0),TRUE ),1,0)+IF( AND((COUNTIF(FJ$2:FJ$33,'Your Team'!$D$16)&gt;0),TRUE ),1,0)+IF( AND((COUNTIF(FJ$2:FJ$33,'Your Team'!$D$17)&gt;0),TRUE ),1,0)+IF( AND((COUNTIF(FJ$2:FJ$33,'Your Team'!$D$18)&gt;0),TRUE ),1,0)+IF( AND((COUNTIF(FJ$2:FJ$33,'Your Team'!$D$19)&gt;0),TRUE ),1,0)</f>
        <v>0</v>
      </c>
      <c r="FK37" s="9">
        <f>IF( AND((COUNTIF(FK$2:FK$33,'Your Team'!$D$3)&gt;0),TRUE ),1,0)+IF( AND((COUNTIF(FK$2:FK$33,'Your Team'!$D$4)&gt;0),TRUE),1,0)+IF( AND((COUNTIF(FK$2:FK$33,'Your Team'!$D$5)&gt;0),TRUE ),1,0)+IF( AND((COUNTIF(FK$2:FK$33,'Your Team'!$D$6)&gt;0),TRUE ),1,0)+IF( AND((COUNTIF(FK$2:FK$33,'Your Team'!$D$7)&gt;0),TRUE ),1,0)+IF( AND((COUNTIF(FK$2:FK$33,'Your Team'!$D$8)&gt;0),TRUE ),1,0)+IF( AND((COUNTIF(FK$2:FK$33,'Your Team'!$D$9)&gt;0),TRUE ),1,0)+IF( AND((COUNTIF(FK$2:FK$33,'Your Team'!$D$10)&gt;0),TRUE),1,0)+IF( AND((COUNTIF(FK$2:FK$33,'Your Team'!$D$11)&gt;0),TRUE ),1,0)+IF( AND((COUNTIF(FK$2:FK$33,'Your Team'!$D$12)&gt;0),TRUE ),1,0)+IF( AND((COUNTIF(FK$2:FK$33,'Your Team'!$D$13)&gt;0),TRUE ),1,0)+IF( AND((COUNTIF(FK$2:FK$33,'Your Team'!$D$14)&gt;0),TRUE ),1,0)+IF( AND((COUNTIF(FK$2:FK$33,'Your Team'!$D$15)&gt;0),TRUE ),1,0)+IF( AND((COUNTIF(FK$2:FK$33,'Your Team'!$D$16)&gt;0),TRUE ),1,0)+IF( AND((COUNTIF(FK$2:FK$33,'Your Team'!$D$17)&gt;0),TRUE ),1,0)+IF( AND((COUNTIF(FK$2:FK$33,'Your Team'!$D$18)&gt;0),TRUE ),1,0)+IF( AND((COUNTIF(FK$2:FK$33,'Your Team'!$D$19)&gt;0),TRUE ),1,0)</f>
        <v>0</v>
      </c>
      <c r="FL37" s="9">
        <f>IF( AND((COUNTIF(FL$2:FL$33,'Your Team'!$D$3)&gt;0),TRUE ),1,0)+IF( AND((COUNTIF(FL$2:FL$33,'Your Team'!$D$4)&gt;0),TRUE),1,0)+IF( AND((COUNTIF(FL$2:FL$33,'Your Team'!$D$5)&gt;0),TRUE ),1,0)+IF( AND((COUNTIF(FL$2:FL$33,'Your Team'!$D$6)&gt;0),TRUE ),1,0)+IF( AND((COUNTIF(FL$2:FL$33,'Your Team'!$D$7)&gt;0),TRUE ),1,0)+IF( AND((COUNTIF(FL$2:FL$33,'Your Team'!$D$8)&gt;0),TRUE ),1,0)+IF( AND((COUNTIF(FL$2:FL$33,'Your Team'!$D$9)&gt;0),TRUE ),1,0)+IF( AND((COUNTIF(FL$2:FL$33,'Your Team'!$D$10)&gt;0),TRUE),1,0)+IF( AND((COUNTIF(FL$2:FL$33,'Your Team'!$D$11)&gt;0),TRUE ),1,0)+IF( AND((COUNTIF(FL$2:FL$33,'Your Team'!$D$12)&gt;0),TRUE ),1,0)+IF( AND((COUNTIF(FL$2:FL$33,'Your Team'!$D$13)&gt;0),TRUE ),1,0)+IF( AND((COUNTIF(FL$2:FL$33,'Your Team'!$D$14)&gt;0),TRUE ),1,0)+IF( AND((COUNTIF(FL$2:FL$33,'Your Team'!$D$15)&gt;0),TRUE ),1,0)+IF( AND((COUNTIF(FL$2:FL$33,'Your Team'!$D$16)&gt;0),TRUE ),1,0)+IF( AND((COUNTIF(FL$2:FL$33,'Your Team'!$D$17)&gt;0),TRUE ),1,0)+IF( AND((COUNTIF(FL$2:FL$33,'Your Team'!$D$18)&gt;0),TRUE ),1,0)+IF( AND((COUNTIF(FL$2:FL$33,'Your Team'!$D$19)&gt;0),TRUE ),1,0)</f>
        <v>0</v>
      </c>
      <c r="FM37" s="9">
        <f>IF( AND((COUNTIF(FM$2:FM$33,'Your Team'!$D$3)&gt;0),TRUE ),1,0)+IF( AND((COUNTIF(FM$2:FM$33,'Your Team'!$D$4)&gt;0),TRUE),1,0)+IF( AND((COUNTIF(FM$2:FM$33,'Your Team'!$D$5)&gt;0),TRUE ),1,0)+IF( AND((COUNTIF(FM$2:FM$33,'Your Team'!$D$6)&gt;0),TRUE ),1,0)+IF( AND((COUNTIF(FM$2:FM$33,'Your Team'!$D$7)&gt;0),TRUE ),1,0)+IF( AND((COUNTIF(FM$2:FM$33,'Your Team'!$D$8)&gt;0),TRUE ),1,0)+IF( AND((COUNTIF(FM$2:FM$33,'Your Team'!$D$9)&gt;0),TRUE ),1,0)+IF( AND((COUNTIF(FM$2:FM$33,'Your Team'!$D$10)&gt;0),TRUE),1,0)+IF( AND((COUNTIF(FM$2:FM$33,'Your Team'!$D$11)&gt;0),TRUE ),1,0)+IF( AND((COUNTIF(FM$2:FM$33,'Your Team'!$D$12)&gt;0),TRUE ),1,0)+IF( AND((COUNTIF(FM$2:FM$33,'Your Team'!$D$13)&gt;0),TRUE ),1,0)+IF( AND((COUNTIF(FM$2:FM$33,'Your Team'!$D$14)&gt;0),TRUE ),1,0)+IF( AND((COUNTIF(FM$2:FM$33,'Your Team'!$D$15)&gt;0),TRUE ),1,0)+IF( AND((COUNTIF(FM$2:FM$33,'Your Team'!$D$16)&gt;0),TRUE ),1,0)+IF( AND((COUNTIF(FM$2:FM$33,'Your Team'!$D$17)&gt;0),TRUE ),1,0)+IF( AND((COUNTIF(FM$2:FM$33,'Your Team'!$D$18)&gt;0),TRUE ),1,0)+IF( AND((COUNTIF(FM$2:FM$33,'Your Team'!$D$19)&gt;0),TRUE ),1,0)</f>
        <v>0</v>
      </c>
      <c r="FN37" s="9">
        <f>IF( AND((COUNTIF(FN$2:FN$33,'Your Team'!$D$3)&gt;0),TRUE ),1,0)+IF( AND((COUNTIF(FN$2:FN$33,'Your Team'!$D$4)&gt;0),TRUE),1,0)+IF( AND((COUNTIF(FN$2:FN$33,'Your Team'!$D$5)&gt;0),TRUE ),1,0)+IF( AND((COUNTIF(FN$2:FN$33,'Your Team'!$D$6)&gt;0),TRUE ),1,0)+IF( AND((COUNTIF(FN$2:FN$33,'Your Team'!$D$7)&gt;0),TRUE ),1,0)+IF( AND((COUNTIF(FN$2:FN$33,'Your Team'!$D$8)&gt;0),TRUE ),1,0)+IF( AND((COUNTIF(FN$2:FN$33,'Your Team'!$D$9)&gt;0),TRUE ),1,0)+IF( AND((COUNTIF(FN$2:FN$33,'Your Team'!$D$10)&gt;0),TRUE),1,0)+IF( AND((COUNTIF(FN$2:FN$33,'Your Team'!$D$11)&gt;0),TRUE ),1,0)+IF( AND((COUNTIF(FN$2:FN$33,'Your Team'!$D$12)&gt;0),TRUE ),1,0)+IF( AND((COUNTIF(FN$2:FN$33,'Your Team'!$D$13)&gt;0),TRUE ),1,0)+IF( AND((COUNTIF(FN$2:FN$33,'Your Team'!$D$14)&gt;0),TRUE ),1,0)+IF( AND((COUNTIF(FN$2:FN$33,'Your Team'!$D$15)&gt;0),TRUE ),1,0)+IF( AND((COUNTIF(FN$2:FN$33,'Your Team'!$D$16)&gt;0),TRUE ),1,0)+IF( AND((COUNTIF(FN$2:FN$33,'Your Team'!$D$17)&gt;0),TRUE ),1,0)+IF( AND((COUNTIF(FN$2:FN$33,'Your Team'!$D$18)&gt;0),TRUE ),1,0)+IF( AND((COUNTIF(FN$2:FN$33,'Your Team'!$D$19)&gt;0),TRUE ),1,0)</f>
        <v>0</v>
      </c>
      <c r="FO37" s="9">
        <f>IF( AND((COUNTIF(FO$2:FO$33,'Your Team'!$D$3)&gt;0),TRUE ),1,0)+IF( AND((COUNTIF(FO$2:FO$33,'Your Team'!$D$4)&gt;0),TRUE),1,0)+IF( AND((COUNTIF(FO$2:FO$33,'Your Team'!$D$5)&gt;0),TRUE ),1,0)+IF( AND((COUNTIF(FO$2:FO$33,'Your Team'!$D$6)&gt;0),TRUE ),1,0)+IF( AND((COUNTIF(FO$2:FO$33,'Your Team'!$D$7)&gt;0),TRUE ),1,0)+IF( AND((COUNTIF(FO$2:FO$33,'Your Team'!$D$8)&gt;0),TRUE ),1,0)+IF( AND((COUNTIF(FO$2:FO$33,'Your Team'!$D$9)&gt;0),TRUE ),1,0)+IF( AND((COUNTIF(FO$2:FO$33,'Your Team'!$D$10)&gt;0),TRUE),1,0)+IF( AND((COUNTIF(FO$2:FO$33,'Your Team'!$D$11)&gt;0),TRUE ),1,0)+IF( AND((COUNTIF(FO$2:FO$33,'Your Team'!$D$12)&gt;0),TRUE ),1,0)+IF( AND((COUNTIF(FO$2:FO$33,'Your Team'!$D$13)&gt;0),TRUE ),1,0)+IF( AND((COUNTIF(FO$2:FO$33,'Your Team'!$D$14)&gt;0),TRUE ),1,0)+IF( AND((COUNTIF(FO$2:FO$33,'Your Team'!$D$15)&gt;0),TRUE ),1,0)+IF( AND((COUNTIF(FO$2:FO$33,'Your Team'!$D$16)&gt;0),TRUE ),1,0)+IF( AND((COUNTIF(FO$2:FO$33,'Your Team'!$D$17)&gt;0),TRUE ),1,0)+IF( AND((COUNTIF(FO$2:FO$33,'Your Team'!$D$18)&gt;0),TRUE ),1,0)+IF( AND((COUNTIF(FO$2:FO$33,'Your Team'!$D$19)&gt;0),TRUE ),1,0)</f>
        <v>0</v>
      </c>
      <c r="FP37" s="9">
        <f>IF( AND((COUNTIF(FP$2:FP$33,'Your Team'!$D$3)&gt;0),TRUE ),1,0)+IF( AND((COUNTIF(FP$2:FP$33,'Your Team'!$D$4)&gt;0),TRUE),1,0)+IF( AND((COUNTIF(FP$2:FP$33,'Your Team'!$D$5)&gt;0),TRUE ),1,0)+IF( AND((COUNTIF(FP$2:FP$33,'Your Team'!$D$6)&gt;0),TRUE ),1,0)+IF( AND((COUNTIF(FP$2:FP$33,'Your Team'!$D$7)&gt;0),TRUE ),1,0)+IF( AND((COUNTIF(FP$2:FP$33,'Your Team'!$D$8)&gt;0),TRUE ),1,0)+IF( AND((COUNTIF(FP$2:FP$33,'Your Team'!$D$9)&gt;0),TRUE ),1,0)+IF( AND((COUNTIF(FP$2:FP$33,'Your Team'!$D$10)&gt;0),TRUE),1,0)+IF( AND((COUNTIF(FP$2:FP$33,'Your Team'!$D$11)&gt;0),TRUE ),1,0)+IF( AND((COUNTIF(FP$2:FP$33,'Your Team'!$D$12)&gt;0),TRUE ),1,0)+IF( AND((COUNTIF(FP$2:FP$33,'Your Team'!$D$13)&gt;0),TRUE ),1,0)+IF( AND((COUNTIF(FP$2:FP$33,'Your Team'!$D$14)&gt;0),TRUE ),1,0)+IF( AND((COUNTIF(FP$2:FP$33,'Your Team'!$D$15)&gt;0),TRUE ),1,0)+IF( AND((COUNTIF(FP$2:FP$33,'Your Team'!$D$16)&gt;0),TRUE ),1,0)+IF( AND((COUNTIF(FP$2:FP$33,'Your Team'!$D$17)&gt;0),TRUE ),1,0)+IF( AND((COUNTIF(FP$2:FP$33,'Your Team'!$D$18)&gt;0),TRUE ),1,0)+IF( AND((COUNTIF(FP$2:FP$33,'Your Team'!$D$19)&gt;0),TRUE ),1,0)</f>
        <v>0</v>
      </c>
      <c r="FQ37" s="9">
        <f>IF( AND((COUNTIF(FQ$2:FQ$33,'Your Team'!$D$3)&gt;0),TRUE ),1,0)+IF( AND((COUNTIF(FQ$2:FQ$33,'Your Team'!$D$4)&gt;0),TRUE),1,0)+IF( AND((COUNTIF(FQ$2:FQ$33,'Your Team'!$D$5)&gt;0),TRUE ),1,0)+IF( AND((COUNTIF(FQ$2:FQ$33,'Your Team'!$D$6)&gt;0),TRUE ),1,0)+IF( AND((COUNTIF(FQ$2:FQ$33,'Your Team'!$D$7)&gt;0),TRUE ),1,0)+IF( AND((COUNTIF(FQ$2:FQ$33,'Your Team'!$D$8)&gt;0),TRUE ),1,0)+IF( AND((COUNTIF(FQ$2:FQ$33,'Your Team'!$D$9)&gt;0),TRUE ),1,0)+IF( AND((COUNTIF(FQ$2:FQ$33,'Your Team'!$D$10)&gt;0),TRUE),1,0)+IF( AND((COUNTIF(FQ$2:FQ$33,'Your Team'!$D$11)&gt;0),TRUE ),1,0)+IF( AND((COUNTIF(FQ$2:FQ$33,'Your Team'!$D$12)&gt;0),TRUE ),1,0)+IF( AND((COUNTIF(FQ$2:FQ$33,'Your Team'!$D$13)&gt;0),TRUE ),1,0)+IF( AND((COUNTIF(FQ$2:FQ$33,'Your Team'!$D$14)&gt;0),TRUE ),1,0)+IF( AND((COUNTIF(FQ$2:FQ$33,'Your Team'!$D$15)&gt;0),TRUE ),1,0)+IF( AND((COUNTIF(FQ$2:FQ$33,'Your Team'!$D$16)&gt;0),TRUE ),1,0)+IF( AND((COUNTIF(FQ$2:FQ$33,'Your Team'!$D$17)&gt;0),TRUE ),1,0)+IF( AND((COUNTIF(FQ$2:FQ$33,'Your Team'!$D$18)&gt;0),TRUE ),1,0)+IF( AND((COUNTIF(FQ$2:FQ$33,'Your Team'!$D$19)&gt;0),TRUE ),1,0)</f>
        <v>0</v>
      </c>
      <c r="FR37" s="9">
        <f>IF( AND((COUNTIF(FR$2:FR$33,'Your Team'!$D$3)&gt;0),TRUE ),1,0)+IF( AND((COUNTIF(FR$2:FR$33,'Your Team'!$D$4)&gt;0),TRUE),1,0)+IF( AND((COUNTIF(FR$2:FR$33,'Your Team'!$D$5)&gt;0),TRUE ),1,0)+IF( AND((COUNTIF(FR$2:FR$33,'Your Team'!$D$6)&gt;0),TRUE ),1,0)+IF( AND((COUNTIF(FR$2:FR$33,'Your Team'!$D$7)&gt;0),TRUE ),1,0)+IF( AND((COUNTIF(FR$2:FR$33,'Your Team'!$D$8)&gt;0),TRUE ),1,0)+IF( AND((COUNTIF(FR$2:FR$33,'Your Team'!$D$9)&gt;0),TRUE ),1,0)+IF( AND((COUNTIF(FR$2:FR$33,'Your Team'!$D$10)&gt;0),TRUE),1,0)+IF( AND((COUNTIF(FR$2:FR$33,'Your Team'!$D$11)&gt;0),TRUE ),1,0)+IF( AND((COUNTIF(FR$2:FR$33,'Your Team'!$D$12)&gt;0),TRUE ),1,0)+IF( AND((COUNTIF(FR$2:FR$33,'Your Team'!$D$13)&gt;0),TRUE ),1,0)+IF( AND((COUNTIF(FR$2:FR$33,'Your Team'!$D$14)&gt;0),TRUE ),1,0)+IF( AND((COUNTIF(FR$2:FR$33,'Your Team'!$D$15)&gt;0),TRUE ),1,0)+IF( AND((COUNTIF(FR$2:FR$33,'Your Team'!$D$16)&gt;0),TRUE ),1,0)+IF( AND((COUNTIF(FR$2:FR$33,'Your Team'!$D$17)&gt;0),TRUE ),1,0)+IF( AND((COUNTIF(FR$2:FR$33,'Your Team'!$D$18)&gt;0),TRUE ),1,0)+IF( AND((COUNTIF(FR$2:FR$33,'Your Team'!$D$19)&gt;0),TRUE ),1,0)</f>
        <v>0</v>
      </c>
      <c r="FS37" s="9">
        <f>IF( AND((COUNTIF(FS$2:FS$33,'Your Team'!$D$3)&gt;0),TRUE ),1,0)+IF( AND((COUNTIF(FS$2:FS$33,'Your Team'!$D$4)&gt;0),TRUE),1,0)+IF( AND((COUNTIF(FS$2:FS$33,'Your Team'!$D$5)&gt;0),TRUE ),1,0)+IF( AND((COUNTIF(FS$2:FS$33,'Your Team'!$D$6)&gt;0),TRUE ),1,0)+IF( AND((COUNTIF(FS$2:FS$33,'Your Team'!$D$7)&gt;0),TRUE ),1,0)+IF( AND((COUNTIF(FS$2:FS$33,'Your Team'!$D$8)&gt;0),TRUE ),1,0)+IF( AND((COUNTIF(FS$2:FS$33,'Your Team'!$D$9)&gt;0),TRUE ),1,0)+IF( AND((COUNTIF(FS$2:FS$33,'Your Team'!$D$10)&gt;0),TRUE),1,0)+IF( AND((COUNTIF(FS$2:FS$33,'Your Team'!$D$11)&gt;0),TRUE ),1,0)+IF( AND((COUNTIF(FS$2:FS$33,'Your Team'!$D$12)&gt;0),TRUE ),1,0)+IF( AND((COUNTIF(FS$2:FS$33,'Your Team'!$D$13)&gt;0),TRUE ),1,0)+IF( AND((COUNTIF(FS$2:FS$33,'Your Team'!$D$14)&gt;0),TRUE ),1,0)+IF( AND((COUNTIF(FS$2:FS$33,'Your Team'!$D$15)&gt;0),TRUE ),1,0)+IF( AND((COUNTIF(FS$2:FS$33,'Your Team'!$D$16)&gt;0),TRUE ),1,0)+IF( AND((COUNTIF(FS$2:FS$33,'Your Team'!$D$17)&gt;0),TRUE ),1,0)+IF( AND((COUNTIF(FS$2:FS$33,'Your Team'!$D$18)&gt;0),TRUE ),1,0)+IF( AND((COUNTIF(FS$2:FS$33,'Your Team'!$D$19)&gt;0),TRUE ),1,0)</f>
        <v>0</v>
      </c>
      <c r="FT37" s="9">
        <f>IF( AND((COUNTIF(FT$2:FT$33,'Your Team'!$D$3)&gt;0),TRUE ),1,0)+IF( AND((COUNTIF(FT$2:FT$33,'Your Team'!$D$4)&gt;0),TRUE),1,0)+IF( AND((COUNTIF(FT$2:FT$33,'Your Team'!$D$5)&gt;0),TRUE ),1,0)+IF( AND((COUNTIF(FT$2:FT$33,'Your Team'!$D$6)&gt;0),TRUE ),1,0)+IF( AND((COUNTIF(FT$2:FT$33,'Your Team'!$D$7)&gt;0),TRUE ),1,0)+IF( AND((COUNTIF(FT$2:FT$33,'Your Team'!$D$8)&gt;0),TRUE ),1,0)+IF( AND((COUNTIF(FT$2:FT$33,'Your Team'!$D$9)&gt;0),TRUE ),1,0)+IF( AND((COUNTIF(FT$2:FT$33,'Your Team'!$D$10)&gt;0),TRUE),1,0)+IF( AND((COUNTIF(FT$2:FT$33,'Your Team'!$D$11)&gt;0),TRUE ),1,0)+IF( AND((COUNTIF(FT$2:FT$33,'Your Team'!$D$12)&gt;0),TRUE ),1,0)+IF( AND((COUNTIF(FT$2:FT$33,'Your Team'!$D$13)&gt;0),TRUE ),1,0)+IF( AND((COUNTIF(FT$2:FT$33,'Your Team'!$D$14)&gt;0),TRUE ),1,0)+IF( AND((COUNTIF(FT$2:FT$33,'Your Team'!$D$15)&gt;0),TRUE ),1,0)+IF( AND((COUNTIF(FT$2:FT$33,'Your Team'!$D$16)&gt;0),TRUE ),1,0)+IF( AND((COUNTIF(FT$2:FT$33,'Your Team'!$D$17)&gt;0),TRUE ),1,0)+IF( AND((COUNTIF(FT$2:FT$33,'Your Team'!$D$18)&gt;0),TRUE ),1,0)+IF( AND((COUNTIF(FT$2:FT$33,'Your Team'!$D$19)&gt;0),TRUE ),1,0)</f>
        <v>0</v>
      </c>
      <c r="FU37" s="9">
        <f>IF( AND((COUNTIF(FU$2:FU$33,'Your Team'!$D$3)&gt;0),TRUE ),1,0)+IF( AND((COUNTIF(FU$2:FU$33,'Your Team'!$D$4)&gt;0),TRUE),1,0)+IF( AND((COUNTIF(FU$2:FU$33,'Your Team'!$D$5)&gt;0),TRUE ),1,0)+IF( AND((COUNTIF(FU$2:FU$33,'Your Team'!$D$6)&gt;0),TRUE ),1,0)+IF( AND((COUNTIF(FU$2:FU$33,'Your Team'!$D$7)&gt;0),TRUE ),1,0)+IF( AND((COUNTIF(FU$2:FU$33,'Your Team'!$D$8)&gt;0),TRUE ),1,0)+IF( AND((COUNTIF(FU$2:FU$33,'Your Team'!$D$9)&gt;0),TRUE ),1,0)+IF( AND((COUNTIF(FU$2:FU$33,'Your Team'!$D$10)&gt;0),TRUE),1,0)+IF( AND((COUNTIF(FU$2:FU$33,'Your Team'!$D$11)&gt;0),TRUE ),1,0)+IF( AND((COUNTIF(FU$2:FU$33,'Your Team'!$D$12)&gt;0),TRUE ),1,0)+IF( AND((COUNTIF(FU$2:FU$33,'Your Team'!$D$13)&gt;0),TRUE ),1,0)+IF( AND((COUNTIF(FU$2:FU$33,'Your Team'!$D$14)&gt;0),TRUE ),1,0)+IF( AND((COUNTIF(FU$2:FU$33,'Your Team'!$D$15)&gt;0),TRUE ),1,0)+IF( AND((COUNTIF(FU$2:FU$33,'Your Team'!$D$16)&gt;0),TRUE ),1,0)+IF( AND((COUNTIF(FU$2:FU$33,'Your Team'!$D$17)&gt;0),TRUE ),1,0)+IF( AND((COUNTIF(FU$2:FU$33,'Your Team'!$D$18)&gt;0),TRUE ),1,0)+IF( AND((COUNTIF(FU$2:FU$33,'Your Team'!$D$19)&gt;0),TRUE ),1,0)</f>
        <v>0</v>
      </c>
      <c r="FV37" s="9">
        <f>IF( AND((COUNTIF(FV$2:FV$33,'Your Team'!$D$3)&gt;0),TRUE ),1,0)+IF( AND((COUNTIF(FV$2:FV$33,'Your Team'!$D$4)&gt;0),TRUE),1,0)+IF( AND((COUNTIF(FV$2:FV$33,'Your Team'!$D$5)&gt;0),TRUE ),1,0)+IF( AND((COUNTIF(FV$2:FV$33,'Your Team'!$D$6)&gt;0),TRUE ),1,0)+IF( AND((COUNTIF(FV$2:FV$33,'Your Team'!$D$7)&gt;0),TRUE ),1,0)+IF( AND((COUNTIF(FV$2:FV$33,'Your Team'!$D$8)&gt;0),TRUE ),1,0)+IF( AND((COUNTIF(FV$2:FV$33,'Your Team'!$D$9)&gt;0),TRUE ),1,0)+IF( AND((COUNTIF(FV$2:FV$33,'Your Team'!$D$10)&gt;0),TRUE),1,0)+IF( AND((COUNTIF(FV$2:FV$33,'Your Team'!$D$11)&gt;0),TRUE ),1,0)+IF( AND((COUNTIF(FV$2:FV$33,'Your Team'!$D$12)&gt;0),TRUE ),1,0)+IF( AND((COUNTIF(FV$2:FV$33,'Your Team'!$D$13)&gt;0),TRUE ),1,0)+IF( AND((COUNTIF(FV$2:FV$33,'Your Team'!$D$14)&gt;0),TRUE ),1,0)+IF( AND((COUNTIF(FV$2:FV$33,'Your Team'!$D$15)&gt;0),TRUE ),1,0)+IF( AND((COUNTIF(FV$2:FV$33,'Your Team'!$D$16)&gt;0),TRUE ),1,0)+IF( AND((COUNTIF(FV$2:FV$33,'Your Team'!$D$17)&gt;0),TRUE ),1,0)+IF( AND((COUNTIF(FV$2:FV$33,'Your Team'!$D$18)&gt;0),TRUE ),1,0)+IF( AND((COUNTIF(FV$2:FV$33,'Your Team'!$D$19)&gt;0),TRUE ),1,0)</f>
        <v>0</v>
      </c>
      <c r="FW37" s="9">
        <f>IF( AND((COUNTIF(FW$2:FW$33,'Your Team'!$D$3)&gt;0),TRUE ),1,0)+IF( AND((COUNTIF(FW$2:FW$33,'Your Team'!$D$4)&gt;0),TRUE),1,0)+IF( AND((COUNTIF(FW$2:FW$33,'Your Team'!$D$5)&gt;0),TRUE ),1,0)+IF( AND((COUNTIF(FW$2:FW$33,'Your Team'!$D$6)&gt;0),TRUE ),1,0)+IF( AND((COUNTIF(FW$2:FW$33,'Your Team'!$D$7)&gt;0),TRUE ),1,0)+IF( AND((COUNTIF(FW$2:FW$33,'Your Team'!$D$8)&gt;0),TRUE ),1,0)+IF( AND((COUNTIF(FW$2:FW$33,'Your Team'!$D$9)&gt;0),TRUE ),1,0)+IF( AND((COUNTIF(FW$2:FW$33,'Your Team'!$D$10)&gt;0),TRUE),1,0)+IF( AND((COUNTIF(FW$2:FW$33,'Your Team'!$D$11)&gt;0),TRUE ),1,0)+IF( AND((COUNTIF(FW$2:FW$33,'Your Team'!$D$12)&gt;0),TRUE ),1,0)+IF( AND((COUNTIF(FW$2:FW$33,'Your Team'!$D$13)&gt;0),TRUE ),1,0)+IF( AND((COUNTIF(FW$2:FW$33,'Your Team'!$D$14)&gt;0),TRUE ),1,0)+IF( AND((COUNTIF(FW$2:FW$33,'Your Team'!$D$15)&gt;0),TRUE ),1,0)+IF( AND((COUNTIF(FW$2:FW$33,'Your Team'!$D$16)&gt;0),TRUE ),1,0)+IF( AND((COUNTIF(FW$2:FW$33,'Your Team'!$D$17)&gt;0),TRUE ),1,0)+IF( AND((COUNTIF(FW$2:FW$33,'Your Team'!$D$18)&gt;0),TRUE ),1,0)+IF( AND((COUNTIF(FW$2:FW$33,'Your Team'!$D$19)&gt;0),TRUE ),1,0)</f>
        <v>0</v>
      </c>
      <c r="FX37" s="9">
        <f>IF( AND((COUNTIF(FX$2:FX$33,'Your Team'!$D$3)&gt;0),TRUE ),1,0)+IF( AND((COUNTIF(FX$2:FX$33,'Your Team'!$D$4)&gt;0),TRUE),1,0)+IF( AND((COUNTIF(FX$2:FX$33,'Your Team'!$D$5)&gt;0),TRUE ),1,0)+IF( AND((COUNTIF(FX$2:FX$33,'Your Team'!$D$6)&gt;0),TRUE ),1,0)+IF( AND((COUNTIF(FX$2:FX$33,'Your Team'!$D$7)&gt;0),TRUE ),1,0)+IF( AND((COUNTIF(FX$2:FX$33,'Your Team'!$D$8)&gt;0),TRUE ),1,0)+IF( AND((COUNTIF(FX$2:FX$33,'Your Team'!$D$9)&gt;0),TRUE ),1,0)+IF( AND((COUNTIF(FX$2:FX$33,'Your Team'!$D$10)&gt;0),TRUE),1,0)+IF( AND((COUNTIF(FX$2:FX$33,'Your Team'!$D$11)&gt;0),TRUE ),1,0)+IF( AND((COUNTIF(FX$2:FX$33,'Your Team'!$D$12)&gt;0),TRUE ),1,0)+IF( AND((COUNTIF(FX$2:FX$33,'Your Team'!$D$13)&gt;0),TRUE ),1,0)+IF( AND((COUNTIF(FX$2:FX$33,'Your Team'!$D$14)&gt;0),TRUE ),1,0)+IF( AND((COUNTIF(FX$2:FX$33,'Your Team'!$D$15)&gt;0),TRUE ),1,0)+IF( AND((COUNTIF(FX$2:FX$33,'Your Team'!$D$16)&gt;0),TRUE ),1,0)+IF( AND((COUNTIF(FX$2:FX$33,'Your Team'!$D$17)&gt;0),TRUE ),1,0)+IF( AND((COUNTIF(FX$2:FX$33,'Your Team'!$D$18)&gt;0),TRUE ),1,0)+IF( AND((COUNTIF(FX$2:FX$33,'Your Team'!$D$19)&gt;0),TRUE ),1,0)</f>
        <v>0</v>
      </c>
      <c r="FY37" s="9">
        <f>IF( AND((COUNTIF(FY$2:FY$33,'Your Team'!$D$3)&gt;0),TRUE ),1,0)+IF( AND((COUNTIF(FY$2:FY$33,'Your Team'!$D$4)&gt;0),TRUE),1,0)+IF( AND((COUNTIF(FY$2:FY$33,'Your Team'!$D$5)&gt;0),TRUE ),1,0)+IF( AND((COUNTIF(FY$2:FY$33,'Your Team'!$D$6)&gt;0),TRUE ),1,0)+IF( AND((COUNTIF(FY$2:FY$33,'Your Team'!$D$7)&gt;0),TRUE ),1,0)+IF( AND((COUNTIF(FY$2:FY$33,'Your Team'!$D$8)&gt;0),TRUE ),1,0)+IF( AND((COUNTIF(FY$2:FY$33,'Your Team'!$D$9)&gt;0),TRUE ),1,0)+IF( AND((COUNTIF(FY$2:FY$33,'Your Team'!$D$10)&gt;0),TRUE),1,0)+IF( AND((COUNTIF(FY$2:FY$33,'Your Team'!$D$11)&gt;0),TRUE ),1,0)+IF( AND((COUNTIF(FY$2:FY$33,'Your Team'!$D$12)&gt;0),TRUE ),1,0)+IF( AND((COUNTIF(FY$2:FY$33,'Your Team'!$D$13)&gt;0),TRUE ),1,0)+IF( AND((COUNTIF(FY$2:FY$33,'Your Team'!$D$14)&gt;0),TRUE ),1,0)+IF( AND((COUNTIF(FY$2:FY$33,'Your Team'!$D$15)&gt;0),TRUE ),1,0)+IF( AND((COUNTIF(FY$2:FY$33,'Your Team'!$D$16)&gt;0),TRUE ),1,0)+IF( AND((COUNTIF(FY$2:FY$33,'Your Team'!$D$17)&gt;0),TRUE ),1,0)+IF( AND((COUNTIF(FY$2:FY$33,'Your Team'!$D$18)&gt;0),TRUE ),1,0)+IF( AND((COUNTIF(FY$2:FY$33,'Your Team'!$D$19)&gt;0),TRUE ),1,0)</f>
        <v>0</v>
      </c>
      <c r="FZ37" s="9">
        <f>IF( AND((COUNTIF(FZ$2:FZ$33,'Your Team'!$D$3)&gt;0),TRUE ),1,0)+IF( AND((COUNTIF(FZ$2:FZ$33,'Your Team'!$D$4)&gt;0),TRUE),1,0)+IF( AND((COUNTIF(FZ$2:FZ$33,'Your Team'!$D$5)&gt;0),TRUE ),1,0)+IF( AND((COUNTIF(FZ$2:FZ$33,'Your Team'!$D$6)&gt;0),TRUE ),1,0)+IF( AND((COUNTIF(FZ$2:FZ$33,'Your Team'!$D$7)&gt;0),TRUE ),1,0)+IF( AND((COUNTIF(FZ$2:FZ$33,'Your Team'!$D$8)&gt;0),TRUE ),1,0)+IF( AND((COUNTIF(FZ$2:FZ$33,'Your Team'!$D$9)&gt;0),TRUE ),1,0)+IF( AND((COUNTIF(FZ$2:FZ$33,'Your Team'!$D$10)&gt;0),TRUE),1,0)+IF( AND((COUNTIF(FZ$2:FZ$33,'Your Team'!$D$11)&gt;0),TRUE ),1,0)+IF( AND((COUNTIF(FZ$2:FZ$33,'Your Team'!$D$12)&gt;0),TRUE ),1,0)+IF( AND((COUNTIF(FZ$2:FZ$33,'Your Team'!$D$13)&gt;0),TRUE ),1,0)+IF( AND((COUNTIF(FZ$2:FZ$33,'Your Team'!$D$14)&gt;0),TRUE ),1,0)+IF( AND((COUNTIF(FZ$2:FZ$33,'Your Team'!$D$15)&gt;0),TRUE ),1,0)+IF( AND((COUNTIF(FZ$2:FZ$33,'Your Team'!$D$16)&gt;0),TRUE ),1,0)+IF( AND((COUNTIF(FZ$2:FZ$33,'Your Team'!$D$17)&gt;0),TRUE ),1,0)+IF( AND((COUNTIF(FZ$2:FZ$33,'Your Team'!$D$18)&gt;0),TRUE ),1,0)+IF( AND((COUNTIF(FZ$2:FZ$33,'Your Team'!$D$19)&gt;0),TRUE ),1,0)</f>
        <v>0</v>
      </c>
      <c r="GA37" s="9">
        <f>IF( AND((COUNTIF(GA$2:GA$33,'Your Team'!$D$3)&gt;0),TRUE ),1,0)+IF( AND((COUNTIF(GA$2:GA$33,'Your Team'!$D$4)&gt;0),TRUE),1,0)+IF( AND((COUNTIF(GA$2:GA$33,'Your Team'!$D$5)&gt;0),TRUE ),1,0)+IF( AND((COUNTIF(GA$2:GA$33,'Your Team'!$D$6)&gt;0),TRUE ),1,0)+IF( AND((COUNTIF(GA$2:GA$33,'Your Team'!$D$7)&gt;0),TRUE ),1,0)+IF( AND((COUNTIF(GA$2:GA$33,'Your Team'!$D$8)&gt;0),TRUE ),1,0)+IF( AND((COUNTIF(GA$2:GA$33,'Your Team'!$D$9)&gt;0),TRUE ),1,0)+IF( AND((COUNTIF(GA$2:GA$33,'Your Team'!$D$10)&gt;0),TRUE),1,0)+IF( AND((COUNTIF(GA$2:GA$33,'Your Team'!$D$11)&gt;0),TRUE ),1,0)+IF( AND((COUNTIF(GA$2:GA$33,'Your Team'!$D$12)&gt;0),TRUE ),1,0)+IF( AND((COUNTIF(GA$2:GA$33,'Your Team'!$D$13)&gt;0),TRUE ),1,0)+IF( AND((COUNTIF(GA$2:GA$33,'Your Team'!$D$14)&gt;0),TRUE ),1,0)+IF( AND((COUNTIF(GA$2:GA$33,'Your Team'!$D$15)&gt;0),TRUE ),1,0)+IF( AND((COUNTIF(GA$2:GA$33,'Your Team'!$D$16)&gt;0),TRUE ),1,0)+IF( AND((COUNTIF(GA$2:GA$33,'Your Team'!$D$17)&gt;0),TRUE ),1,0)+IF( AND((COUNTIF(GA$2:GA$33,'Your Team'!$D$18)&gt;0),TRUE ),1,0)+IF( AND((COUNTIF(GA$2:GA$33,'Your Team'!$D$19)&gt;0),TRUE ),1,0)</f>
        <v>0</v>
      </c>
      <c r="GB37" s="9">
        <f>IF( AND((COUNTIF(GB$2:GB$33,'Your Team'!$D$3)&gt;0),TRUE ),1,0)+IF( AND((COUNTIF(GB$2:GB$33,'Your Team'!$D$4)&gt;0),TRUE),1,0)+IF( AND((COUNTIF(GB$2:GB$33,'Your Team'!$D$5)&gt;0),TRUE ),1,0)+IF( AND((COUNTIF(GB$2:GB$33,'Your Team'!$D$6)&gt;0),TRUE ),1,0)+IF( AND((COUNTIF(GB$2:GB$33,'Your Team'!$D$7)&gt;0),TRUE ),1,0)+IF( AND((COUNTIF(GB$2:GB$33,'Your Team'!$D$8)&gt;0),TRUE ),1,0)+IF( AND((COUNTIF(GB$2:GB$33,'Your Team'!$D$9)&gt;0),TRUE ),1,0)+IF( AND((COUNTIF(GB$2:GB$33,'Your Team'!$D$10)&gt;0),TRUE),1,0)+IF( AND((COUNTIF(GB$2:GB$33,'Your Team'!$D$11)&gt;0),TRUE ),1,0)+IF( AND((COUNTIF(GB$2:GB$33,'Your Team'!$D$12)&gt;0),TRUE ),1,0)+IF( AND((COUNTIF(GB$2:GB$33,'Your Team'!$D$13)&gt;0),TRUE ),1,0)+IF( AND((COUNTIF(GB$2:GB$33,'Your Team'!$D$14)&gt;0),TRUE ),1,0)+IF( AND((COUNTIF(GB$2:GB$33,'Your Team'!$D$15)&gt;0),TRUE ),1,0)+IF( AND((COUNTIF(GB$2:GB$33,'Your Team'!$D$16)&gt;0),TRUE ),1,0)+IF( AND((COUNTIF(GB$2:GB$33,'Your Team'!$D$17)&gt;0),TRUE ),1,0)+IF( AND((COUNTIF(GB$2:GB$33,'Your Team'!$D$18)&gt;0),TRUE ),1,0)+IF( AND((COUNTIF(GB$2:GB$33,'Your Team'!$D$19)&gt;0),TRUE ),1,0)</f>
        <v>0</v>
      </c>
      <c r="GC37" s="9">
        <f>IF( AND((COUNTIF(GC$2:GC$33,'Your Team'!$D$3)&gt;0),TRUE ),1,0)+IF( AND((COUNTIF(GC$2:GC$33,'Your Team'!$D$4)&gt;0),TRUE),1,0)+IF( AND((COUNTIF(GC$2:GC$33,'Your Team'!$D$5)&gt;0),TRUE ),1,0)+IF( AND((COUNTIF(GC$2:GC$33,'Your Team'!$D$6)&gt;0),TRUE ),1,0)+IF( AND((COUNTIF(GC$2:GC$33,'Your Team'!$D$7)&gt;0),TRUE ),1,0)+IF( AND((COUNTIF(GC$2:GC$33,'Your Team'!$D$8)&gt;0),TRUE ),1,0)+IF( AND((COUNTIF(GC$2:GC$33,'Your Team'!$D$9)&gt;0),TRUE ),1,0)+IF( AND((COUNTIF(GC$2:GC$33,'Your Team'!$D$10)&gt;0),TRUE),1,0)+IF( AND((COUNTIF(GC$2:GC$33,'Your Team'!$D$11)&gt;0),TRUE ),1,0)+IF( AND((COUNTIF(GC$2:GC$33,'Your Team'!$D$12)&gt;0),TRUE ),1,0)+IF( AND((COUNTIF(GC$2:GC$33,'Your Team'!$D$13)&gt;0),TRUE ),1,0)+IF( AND((COUNTIF(GC$2:GC$33,'Your Team'!$D$14)&gt;0),TRUE ),1,0)+IF( AND((COUNTIF(GC$2:GC$33,'Your Team'!$D$15)&gt;0),TRUE ),1,0)+IF( AND((COUNTIF(GC$2:GC$33,'Your Team'!$D$16)&gt;0),TRUE ),1,0)+IF( AND((COUNTIF(GC$2:GC$33,'Your Team'!$D$17)&gt;0),TRUE ),1,0)+IF( AND((COUNTIF(GC$2:GC$33,'Your Team'!$D$18)&gt;0),TRUE ),1,0)+IF( AND((COUNTIF(GC$2:GC$33,'Your Team'!$D$19)&gt;0),TRUE ),1,0)</f>
        <v>0</v>
      </c>
      <c r="GD37" s="9">
        <f>IF( AND((COUNTIF(GD$2:GD$33,'Your Team'!$D$3)&gt;0),TRUE ),1,0)+IF( AND((COUNTIF(GD$2:GD$33,'Your Team'!$D$4)&gt;0),TRUE),1,0)+IF( AND((COUNTIF(GD$2:GD$33,'Your Team'!$D$5)&gt;0),TRUE ),1,0)+IF( AND((COUNTIF(GD$2:GD$33,'Your Team'!$D$6)&gt;0),TRUE ),1,0)+IF( AND((COUNTIF(GD$2:GD$33,'Your Team'!$D$7)&gt;0),TRUE ),1,0)+IF( AND((COUNTIF(GD$2:GD$33,'Your Team'!$D$8)&gt;0),TRUE ),1,0)+IF( AND((COUNTIF(GD$2:GD$33,'Your Team'!$D$9)&gt;0),TRUE ),1,0)+IF( AND((COUNTIF(GD$2:GD$33,'Your Team'!$D$10)&gt;0),TRUE),1,0)+IF( AND((COUNTIF(GD$2:GD$33,'Your Team'!$D$11)&gt;0),TRUE ),1,0)+IF( AND((COUNTIF(GD$2:GD$33,'Your Team'!$D$12)&gt;0),TRUE ),1,0)+IF( AND((COUNTIF(GD$2:GD$33,'Your Team'!$D$13)&gt;0),TRUE ),1,0)+IF( AND((COUNTIF(GD$2:GD$33,'Your Team'!$D$14)&gt;0),TRUE ),1,0)+IF( AND((COUNTIF(GD$2:GD$33,'Your Team'!$D$15)&gt;0),TRUE ),1,0)+IF( AND((COUNTIF(GD$2:GD$33,'Your Team'!$D$16)&gt;0),TRUE ),1,0)+IF( AND((COUNTIF(GD$2:GD$33,'Your Team'!$D$17)&gt;0),TRUE ),1,0)+IF( AND((COUNTIF(GD$2:GD$33,'Your Team'!$D$18)&gt;0),TRUE ),1,0)+IF( AND((COUNTIF(GD$2:GD$33,'Your Team'!$D$19)&gt;0),TRUE ),1,0)</f>
        <v>0</v>
      </c>
      <c r="GE37" s="9">
        <f>IF( AND((COUNTIF(GE$2:GE$33,'Your Team'!$D$3)&gt;0),TRUE ),1,0)+IF( AND((COUNTIF(GE$2:GE$33,'Your Team'!$D$4)&gt;0),TRUE),1,0)+IF( AND((COUNTIF(GE$2:GE$33,'Your Team'!$D$5)&gt;0),TRUE ),1,0)+IF( AND((COUNTIF(GE$2:GE$33,'Your Team'!$D$6)&gt;0),TRUE ),1,0)+IF( AND((COUNTIF(GE$2:GE$33,'Your Team'!$D$7)&gt;0),TRUE ),1,0)+IF( AND((COUNTIF(GE$2:GE$33,'Your Team'!$D$8)&gt;0),TRUE ),1,0)+IF( AND((COUNTIF(GE$2:GE$33,'Your Team'!$D$9)&gt;0),TRUE ),1,0)+IF( AND((COUNTIF(GE$2:GE$33,'Your Team'!$D$10)&gt;0),TRUE),1,0)+IF( AND((COUNTIF(GE$2:GE$33,'Your Team'!$D$11)&gt;0),TRUE ),1,0)+IF( AND((COUNTIF(GE$2:GE$33,'Your Team'!$D$12)&gt;0),TRUE ),1,0)+IF( AND((COUNTIF(GE$2:GE$33,'Your Team'!$D$13)&gt;0),TRUE ),1,0)+IF( AND((COUNTIF(GE$2:GE$33,'Your Team'!$D$14)&gt;0),TRUE ),1,0)+IF( AND((COUNTIF(GE$2:GE$33,'Your Team'!$D$15)&gt;0),TRUE ),1,0)+IF( AND((COUNTIF(GE$2:GE$33,'Your Team'!$D$16)&gt;0),TRUE ),1,0)+IF( AND((COUNTIF(GE$2:GE$33,'Your Team'!$D$17)&gt;0),TRUE ),1,0)+IF( AND((COUNTIF(GE$2:GE$33,'Your Team'!$D$18)&gt;0),TRUE ),1,0)+IF( AND((COUNTIF(GE$2:GE$33,'Your Team'!$D$19)&gt;0),TRUE ),1,0)</f>
        <v>0</v>
      </c>
      <c r="GF37" s="9">
        <f>IF( AND((COUNTIF(GF$2:GF$33,'Your Team'!$D$3)&gt;0),TRUE ),1,0)+IF( AND((COUNTIF(GF$2:GF$33,'Your Team'!$D$4)&gt;0),TRUE),1,0)+IF( AND((COUNTIF(GF$2:GF$33,'Your Team'!$D$5)&gt;0),TRUE ),1,0)+IF( AND((COUNTIF(GF$2:GF$33,'Your Team'!$D$6)&gt;0),TRUE ),1,0)+IF( AND((COUNTIF(GF$2:GF$33,'Your Team'!$D$7)&gt;0),TRUE ),1,0)+IF( AND((COUNTIF(GF$2:GF$33,'Your Team'!$D$8)&gt;0),TRUE ),1,0)+IF( AND((COUNTIF(GF$2:GF$33,'Your Team'!$D$9)&gt;0),TRUE ),1,0)+IF( AND((COUNTIF(GF$2:GF$33,'Your Team'!$D$10)&gt;0),TRUE),1,0)+IF( AND((COUNTIF(GF$2:GF$33,'Your Team'!$D$11)&gt;0),TRUE ),1,0)+IF( AND((COUNTIF(GF$2:GF$33,'Your Team'!$D$12)&gt;0),TRUE ),1,0)+IF( AND((COUNTIF(GF$2:GF$33,'Your Team'!$D$13)&gt;0),TRUE ),1,0)+IF( AND((COUNTIF(GF$2:GF$33,'Your Team'!$D$14)&gt;0),TRUE ),1,0)+IF( AND((COUNTIF(GF$2:GF$33,'Your Team'!$D$15)&gt;0),TRUE ),1,0)+IF( AND((COUNTIF(GF$2:GF$33,'Your Team'!$D$16)&gt;0),TRUE ),1,0)+IF( AND((COUNTIF(GF$2:GF$33,'Your Team'!$D$17)&gt;0),TRUE ),1,0)+IF( AND((COUNTIF(GF$2:GF$33,'Your Team'!$D$18)&gt;0),TRUE ),1,0)+IF( AND((COUNTIF(GF$2:GF$33,'Your Team'!$D$19)&gt;0),TRUE ),1,0)</f>
        <v>0</v>
      </c>
      <c r="GG37" s="9">
        <f>IF( AND((COUNTIF(GG$2:GG$33,'Your Team'!$D$3)&gt;0),TRUE ),1,0)+IF( AND((COUNTIF(GG$2:GG$33,'Your Team'!$D$4)&gt;0),TRUE),1,0)+IF( AND((COUNTIF(GG$2:GG$33,'Your Team'!$D$5)&gt;0),TRUE ),1,0)+IF( AND((COUNTIF(GG$2:GG$33,'Your Team'!$D$6)&gt;0),TRUE ),1,0)+IF( AND((COUNTIF(GG$2:GG$33,'Your Team'!$D$7)&gt;0),TRUE ),1,0)+IF( AND((COUNTIF(GG$2:GG$33,'Your Team'!$D$8)&gt;0),TRUE ),1,0)+IF( AND((COUNTIF(GG$2:GG$33,'Your Team'!$D$9)&gt;0),TRUE ),1,0)+IF( AND((COUNTIF(GG$2:GG$33,'Your Team'!$D$10)&gt;0),TRUE),1,0)+IF( AND((COUNTIF(GG$2:GG$33,'Your Team'!$D$11)&gt;0),TRUE ),1,0)+IF( AND((COUNTIF(GG$2:GG$33,'Your Team'!$D$12)&gt;0),TRUE ),1,0)+IF( AND((COUNTIF(GG$2:GG$33,'Your Team'!$D$13)&gt;0),TRUE ),1,0)+IF( AND((COUNTIF(GG$2:GG$33,'Your Team'!$D$14)&gt;0),TRUE ),1,0)+IF( AND((COUNTIF(GG$2:GG$33,'Your Team'!$D$15)&gt;0),TRUE ),1,0)+IF( AND((COUNTIF(GG$2:GG$33,'Your Team'!$D$16)&gt;0),TRUE ),1,0)+IF( AND((COUNTIF(GG$2:GG$33,'Your Team'!$D$17)&gt;0),TRUE ),1,0)+IF( AND((COUNTIF(GG$2:GG$33,'Your Team'!$D$18)&gt;0),TRUE ),1,0)+IF( AND((COUNTIF(GG$2:GG$33,'Your Team'!$D$19)&gt;0),TRUE ),1,0)</f>
        <v>0</v>
      </c>
      <c r="GH37" s="9">
        <f>IF( AND((COUNTIF(GH$2:GH$33,'Your Team'!$D$3)&gt;0),TRUE ),1,0)+IF( AND((COUNTIF(GH$2:GH$33,'Your Team'!$D$4)&gt;0),TRUE),1,0)+IF( AND((COUNTIF(GH$2:GH$33,'Your Team'!$D$5)&gt;0),TRUE ),1,0)+IF( AND((COUNTIF(GH$2:GH$33,'Your Team'!$D$6)&gt;0),TRUE ),1,0)+IF( AND((COUNTIF(GH$2:GH$33,'Your Team'!$D$7)&gt;0),TRUE ),1,0)+IF( AND((COUNTIF(GH$2:GH$33,'Your Team'!$D$8)&gt;0),TRUE ),1,0)+IF( AND((COUNTIF(GH$2:GH$33,'Your Team'!$D$9)&gt;0),TRUE ),1,0)+IF( AND((COUNTIF(GH$2:GH$33,'Your Team'!$D$10)&gt;0),TRUE),1,0)+IF( AND((COUNTIF(GH$2:GH$33,'Your Team'!$D$11)&gt;0),TRUE ),1,0)+IF( AND((COUNTIF(GH$2:GH$33,'Your Team'!$D$12)&gt;0),TRUE ),1,0)+IF( AND((COUNTIF(GH$2:GH$33,'Your Team'!$D$13)&gt;0),TRUE ),1,0)+IF( AND((COUNTIF(GH$2:GH$33,'Your Team'!$D$14)&gt;0),TRUE ),1,0)+IF( AND((COUNTIF(GH$2:GH$33,'Your Team'!$D$15)&gt;0),TRUE ),1,0)+IF( AND((COUNTIF(GH$2:GH$33,'Your Team'!$D$16)&gt;0),TRUE ),1,0)+IF( AND((COUNTIF(GH$2:GH$33,'Your Team'!$D$17)&gt;0),TRUE ),1,0)+IF( AND((COUNTIF(GH$2:GH$33,'Your Team'!$D$18)&gt;0),TRUE ),1,0)+IF( AND((COUNTIF(GH$2:GH$33,'Your Team'!$D$19)&gt;0),TRUE ),1,0)</f>
        <v>0</v>
      </c>
      <c r="GI37" s="9">
        <f>IF( AND((COUNTIF(GI$2:GI$33,'Your Team'!$D$3)&gt;0),TRUE ),1,0)+IF( AND((COUNTIF(GI$2:GI$33,'Your Team'!$D$4)&gt;0),TRUE),1,0)+IF( AND((COUNTIF(GI$2:GI$33,'Your Team'!$D$5)&gt;0),TRUE ),1,0)+IF( AND((COUNTIF(GI$2:GI$33,'Your Team'!$D$6)&gt;0),TRUE ),1,0)+IF( AND((COUNTIF(GI$2:GI$33,'Your Team'!$D$7)&gt;0),TRUE ),1,0)+IF( AND((COUNTIF(GI$2:GI$33,'Your Team'!$D$8)&gt;0),TRUE ),1,0)+IF( AND((COUNTIF(GI$2:GI$33,'Your Team'!$D$9)&gt;0),TRUE ),1,0)+IF( AND((COUNTIF(GI$2:GI$33,'Your Team'!$D$10)&gt;0),TRUE),1,0)+IF( AND((COUNTIF(GI$2:GI$33,'Your Team'!$D$11)&gt;0),TRUE ),1,0)+IF( AND((COUNTIF(GI$2:GI$33,'Your Team'!$D$12)&gt;0),TRUE ),1,0)+IF( AND((COUNTIF(GI$2:GI$33,'Your Team'!$D$13)&gt;0),TRUE ),1,0)+IF( AND((COUNTIF(GI$2:GI$33,'Your Team'!$D$14)&gt;0),TRUE ),1,0)+IF( AND((COUNTIF(GI$2:GI$33,'Your Team'!$D$15)&gt;0),TRUE ),1,0)+IF( AND((COUNTIF(GI$2:GI$33,'Your Team'!$D$16)&gt;0),TRUE ),1,0)+IF( AND((COUNTIF(GI$2:GI$33,'Your Team'!$D$17)&gt;0),TRUE ),1,0)+IF( AND((COUNTIF(GI$2:GI$33,'Your Team'!$D$18)&gt;0),TRUE ),1,0)+IF( AND((COUNTIF(GI$2:GI$33,'Your Team'!$D$19)&gt;0),TRUE ),1,0)</f>
        <v>0</v>
      </c>
      <c r="GJ37" s="9">
        <f>IF( AND((COUNTIF(GJ$2:GJ$33,'Your Team'!$D$3)&gt;0),TRUE ),1,0)+IF( AND((COUNTIF(GJ$2:GJ$33,'Your Team'!$D$4)&gt;0),TRUE),1,0)+IF( AND((COUNTIF(GJ$2:GJ$33,'Your Team'!$D$5)&gt;0),TRUE ),1,0)+IF( AND((COUNTIF(GJ$2:GJ$33,'Your Team'!$D$6)&gt;0),TRUE ),1,0)+IF( AND((COUNTIF(GJ$2:GJ$33,'Your Team'!$D$7)&gt;0),TRUE ),1,0)+IF( AND((COUNTIF(GJ$2:GJ$33,'Your Team'!$D$8)&gt;0),TRUE ),1,0)+IF( AND((COUNTIF(GJ$2:GJ$33,'Your Team'!$D$9)&gt;0),TRUE ),1,0)+IF( AND((COUNTIF(GJ$2:GJ$33,'Your Team'!$D$10)&gt;0),TRUE),1,0)+IF( AND((COUNTIF(GJ$2:GJ$33,'Your Team'!$D$11)&gt;0),TRUE ),1,0)+IF( AND((COUNTIF(GJ$2:GJ$33,'Your Team'!$D$12)&gt;0),TRUE ),1,0)+IF( AND((COUNTIF(GJ$2:GJ$33,'Your Team'!$D$13)&gt;0),TRUE ),1,0)+IF( AND((COUNTIF(GJ$2:GJ$33,'Your Team'!$D$14)&gt;0),TRUE ),1,0)+IF( AND((COUNTIF(GJ$2:GJ$33,'Your Team'!$D$15)&gt;0),TRUE ),1,0)+IF( AND((COUNTIF(GJ$2:GJ$33,'Your Team'!$D$16)&gt;0),TRUE ),1,0)+IF( AND((COUNTIF(GJ$2:GJ$33,'Your Team'!$D$17)&gt;0),TRUE ),1,0)+IF( AND((COUNTIF(GJ$2:GJ$33,'Your Team'!$D$18)&gt;0),TRUE ),1,0)+IF( AND((COUNTIF(GJ$2:GJ$33,'Your Team'!$D$19)&gt;0),TRUE ),1,0)</f>
        <v>0</v>
      </c>
      <c r="GK37" s="9">
        <f>IF( AND((COUNTIF(GK$2:GK$33,'Your Team'!$D$3)&gt;0),TRUE ),1,0)+IF( AND((COUNTIF(GK$2:GK$33,'Your Team'!$D$4)&gt;0),TRUE),1,0)+IF( AND((COUNTIF(GK$2:GK$33,'Your Team'!$D$5)&gt;0),TRUE ),1,0)+IF( AND((COUNTIF(GK$2:GK$33,'Your Team'!$D$6)&gt;0),TRUE ),1,0)+IF( AND((COUNTIF(GK$2:GK$33,'Your Team'!$D$7)&gt;0),TRUE ),1,0)+IF( AND((COUNTIF(GK$2:GK$33,'Your Team'!$D$8)&gt;0),TRUE ),1,0)+IF( AND((COUNTIF(GK$2:GK$33,'Your Team'!$D$9)&gt;0),TRUE ),1,0)+IF( AND((COUNTIF(GK$2:GK$33,'Your Team'!$D$10)&gt;0),TRUE),1,0)+IF( AND((COUNTIF(GK$2:GK$33,'Your Team'!$D$11)&gt;0),TRUE ),1,0)+IF( AND((COUNTIF(GK$2:GK$33,'Your Team'!$D$12)&gt;0),TRUE ),1,0)+IF( AND((COUNTIF(GK$2:GK$33,'Your Team'!$D$13)&gt;0),TRUE ),1,0)+IF( AND((COUNTIF(GK$2:GK$33,'Your Team'!$D$14)&gt;0),TRUE ),1,0)+IF( AND((COUNTIF(GK$2:GK$33,'Your Team'!$D$15)&gt;0),TRUE ),1,0)+IF( AND((COUNTIF(GK$2:GK$33,'Your Team'!$D$16)&gt;0),TRUE ),1,0)+IF( AND((COUNTIF(GK$2:GK$33,'Your Team'!$D$17)&gt;0),TRUE ),1,0)+IF( AND((COUNTIF(GK$2:GK$33,'Your Team'!$D$18)&gt;0),TRUE ),1,0)+IF( AND((COUNTIF(GK$2:GK$33,'Your Team'!$D$19)&gt;0),TRUE ),1,0)</f>
        <v>0</v>
      </c>
      <c r="GL37" s="9">
        <f>IF( AND((COUNTIF(GL$2:GL$33,'Your Team'!$D$3)&gt;0),TRUE ),1,0)+IF( AND((COUNTIF(GL$2:GL$33,'Your Team'!$D$4)&gt;0),TRUE),1,0)+IF( AND((COUNTIF(GL$2:GL$33,'Your Team'!$D$5)&gt;0),TRUE ),1,0)+IF( AND((COUNTIF(GL$2:GL$33,'Your Team'!$D$6)&gt;0),TRUE ),1,0)+IF( AND((COUNTIF(GL$2:GL$33,'Your Team'!$D$7)&gt;0),TRUE ),1,0)+IF( AND((COUNTIF(GL$2:GL$33,'Your Team'!$D$8)&gt;0),TRUE ),1,0)+IF( AND((COUNTIF(GL$2:GL$33,'Your Team'!$D$9)&gt;0),TRUE ),1,0)+IF( AND((COUNTIF(GL$2:GL$33,'Your Team'!$D$10)&gt;0),TRUE),1,0)+IF( AND((COUNTIF(GL$2:GL$33,'Your Team'!$D$11)&gt;0),TRUE ),1,0)+IF( AND((COUNTIF(GL$2:GL$33,'Your Team'!$D$12)&gt;0),TRUE ),1,0)+IF( AND((COUNTIF(GL$2:GL$33,'Your Team'!$D$13)&gt;0),TRUE ),1,0)+IF( AND((COUNTIF(GL$2:GL$33,'Your Team'!$D$14)&gt;0),TRUE ),1,0)+IF( AND((COUNTIF(GL$2:GL$33,'Your Team'!$D$15)&gt;0),TRUE ),1,0)+IF( AND((COUNTIF(GL$2:GL$33,'Your Team'!$D$16)&gt;0),TRUE ),1,0)+IF( AND((COUNTIF(GL$2:GL$33,'Your Team'!$D$17)&gt;0),TRUE ),1,0)+IF( AND((COUNTIF(GL$2:GL$33,'Your Team'!$D$18)&gt;0),TRUE ),1,0)+IF( AND((COUNTIF(GL$2:GL$33,'Your Team'!$D$19)&gt;0),TRUE ),1,0)</f>
        <v>0</v>
      </c>
      <c r="GM37" s="9">
        <f>IF( AND((COUNTIF(GM$2:GM$33,'Your Team'!$D$3)&gt;0),TRUE ),1,0)+IF( AND((COUNTIF(GM$2:GM$33,'Your Team'!$D$4)&gt;0),TRUE),1,0)+IF( AND((COUNTIF(GM$2:GM$33,'Your Team'!$D$5)&gt;0),TRUE ),1,0)+IF( AND((COUNTIF(GM$2:GM$33,'Your Team'!$D$6)&gt;0),TRUE ),1,0)+IF( AND((COUNTIF(GM$2:GM$33,'Your Team'!$D$7)&gt;0),TRUE ),1,0)+IF( AND((COUNTIF(GM$2:GM$33,'Your Team'!$D$8)&gt;0),TRUE ),1,0)+IF( AND((COUNTIF(GM$2:GM$33,'Your Team'!$D$9)&gt;0),TRUE ),1,0)+IF( AND((COUNTIF(GM$2:GM$33,'Your Team'!$D$10)&gt;0),TRUE),1,0)+IF( AND((COUNTIF(GM$2:GM$33,'Your Team'!$D$11)&gt;0),TRUE ),1,0)+IF( AND((COUNTIF(GM$2:GM$33,'Your Team'!$D$12)&gt;0),TRUE ),1,0)+IF( AND((COUNTIF(GM$2:GM$33,'Your Team'!$D$13)&gt;0),TRUE ),1,0)+IF( AND((COUNTIF(GM$2:GM$33,'Your Team'!$D$14)&gt;0),TRUE ),1,0)+IF( AND((COUNTIF(GM$2:GM$33,'Your Team'!$D$15)&gt;0),TRUE ),1,0)+IF( AND((COUNTIF(GM$2:GM$33,'Your Team'!$D$16)&gt;0),TRUE ),1,0)+IF( AND((COUNTIF(GM$2:GM$33,'Your Team'!$D$17)&gt;0),TRUE ),1,0)+IF( AND((COUNTIF(GM$2:GM$33,'Your Team'!$D$18)&gt;0),TRUE ),1,0)+IF( AND((COUNTIF(GM$2:GM$33,'Your Team'!$D$19)&gt;0),TRUE ),1,0)</f>
        <v>0</v>
      </c>
      <c r="GN37" s="9">
        <f>IF( AND((COUNTIF(GN$2:GN$33,'Your Team'!$D$3)&gt;0),TRUE ),1,0)+IF( AND((COUNTIF(GN$2:GN$33,'Your Team'!$D$4)&gt;0),TRUE),1,0)+IF( AND((COUNTIF(GN$2:GN$33,'Your Team'!$D$5)&gt;0),TRUE ),1,0)+IF( AND((COUNTIF(GN$2:GN$33,'Your Team'!$D$6)&gt;0),TRUE ),1,0)+IF( AND((COUNTIF(GN$2:GN$33,'Your Team'!$D$7)&gt;0),TRUE ),1,0)+IF( AND((COUNTIF(GN$2:GN$33,'Your Team'!$D$8)&gt;0),TRUE ),1,0)+IF( AND((COUNTIF(GN$2:GN$33,'Your Team'!$D$9)&gt;0),TRUE ),1,0)+IF( AND((COUNTIF(GN$2:GN$33,'Your Team'!$D$10)&gt;0),TRUE),1,0)+IF( AND((COUNTIF(GN$2:GN$33,'Your Team'!$D$11)&gt;0),TRUE ),1,0)+IF( AND((COUNTIF(GN$2:GN$33,'Your Team'!$D$12)&gt;0),TRUE ),1,0)+IF( AND((COUNTIF(GN$2:GN$33,'Your Team'!$D$13)&gt;0),TRUE ),1,0)+IF( AND((COUNTIF(GN$2:GN$33,'Your Team'!$D$14)&gt;0),TRUE ),1,0)+IF( AND((COUNTIF(GN$2:GN$33,'Your Team'!$D$15)&gt;0),TRUE ),1,0)+IF( AND((COUNTIF(GN$2:GN$33,'Your Team'!$D$16)&gt;0),TRUE ),1,0)+IF( AND((COUNTIF(GN$2:GN$33,'Your Team'!$D$17)&gt;0),TRUE ),1,0)+IF( AND((COUNTIF(GN$2:GN$33,'Your Team'!$D$18)&gt;0),TRUE ),1,0)+IF( AND((COUNTIF(GN$2:GN$33,'Your Team'!$D$19)&gt;0),TRUE ),1,0)</f>
        <v>0</v>
      </c>
    </row>
    <row r="38" spans="1:196" x14ac:dyDescent="0.3">
      <c r="A38" s="6" t="s">
        <v>999</v>
      </c>
      <c r="H38" s="9">
        <f>IF( AND((COUNTIF(H$2:H$33,'Your Team'!$D$3)&gt;0),'Your Team'!$C$3="F" ),1,0)+IF( AND((COUNTIF(H$2:H$33,'Your Team'!$D$4)&gt;0),'Your Team'!$C$4="F" ),1,0)+IF( AND((COUNTIF(H$2:H$33,'Your Team'!$D$5)&gt;0),'Your Team'!$C$5="F" ),1,0)+IF( AND((COUNTIF(H$2:H$33,'Your Team'!$D$6)&gt;0),'Your Team'!$C$6="F" ),1,0)+IF( AND((COUNTIF(H$2:H$33,'Your Team'!$D$7)&gt;0),'Your Team'!$C$7="F" ),1,0)+IF( AND((COUNTIF(H$2:H$33,'Your Team'!$D$8)&gt;0),'Your Team'!$C$8="F" ),1,0)+IF( AND((COUNTIF(H$2:H$33,'Your Team'!$D$9)&gt;0),'Your Team'!$C$9="F" ),1,0)+IF( AND((COUNTIF(H$2:H$33,'Your Team'!$D$10)&gt;0),'Your Team'!$C$10="F" ),1,0)+IF( AND((COUNTIF(H$2:H$33,'Your Team'!$D$11)&gt;0),'Your Team'!$C$11="F" ),1,0)+IF( AND((COUNTIF(H$2:H$33,'Your Team'!$D$12)&gt;0),'Your Team'!$C$12="F" ),1,0)+IF( AND((COUNTIF(H$2:H$33,'Your Team'!$D$13)&gt;0),'Your Team'!$C$13="F" ),1,0)+IF( AND((COUNTIF(H$2:H$33,'Your Team'!$D$14)&gt;0),'Your Team'!$C$14="F" ),1,0)+IF( AND((COUNTIF(H$2:H$33,'Your Team'!$D$15)&gt;0),'Your Team'!$C$15="F" ),1,0)+IF( AND((COUNTIF(H$2:H$33,'Your Team'!$D$16)&gt;0),'Your Team'!$C$16="F" ),1,0)+IF( AND((COUNTIF(H$2:H$33,'Your Team'!$D$17)&gt;0),'Your Team'!$C$17="F" ),1,0)+IF( AND((COUNTIF(H$2:H$33,'Your Team'!$D$18)&gt;0),'Your Team'!$C$18="F" ),1,0)+IF( AND((COUNTIF(H$2:H$33,'Your Team'!$D$19)&gt;0),'Your Team'!$C$19="F" ),1,0)</f>
        <v>0</v>
      </c>
      <c r="I38" s="9">
        <f>IF( AND((COUNTIF(I$2:I$33,'Your Team'!$D$3)&gt;0),'Your Team'!$C$3="F" ),1,0)+IF( AND((COUNTIF(I$2:I$33,'Your Team'!$D$4)&gt;0),'Your Team'!$C$4="F" ),1,0)+IF( AND((COUNTIF(I$2:I$33,'Your Team'!$D$5)&gt;0),'Your Team'!$C$5="F" ),1,0)+IF( AND((COUNTIF(I$2:I$33,'Your Team'!$D$6)&gt;0),'Your Team'!$C$6="F" ),1,0)+IF( AND((COUNTIF(I$2:I$33,'Your Team'!$D$7)&gt;0),'Your Team'!$C$7="F" ),1,0)+IF( AND((COUNTIF(I$2:I$33,'Your Team'!$D$8)&gt;0),'Your Team'!$C$8="F" ),1,0)+IF( AND((COUNTIF(I$2:I$33,'Your Team'!$D$9)&gt;0),'Your Team'!$C$9="F" ),1,0)+IF( AND((COUNTIF(I$2:I$33,'Your Team'!$D$10)&gt;0),'Your Team'!$C$10="F" ),1,0)+IF( AND((COUNTIF(I$2:I$33,'Your Team'!$D$11)&gt;0),'Your Team'!$C$11="F" ),1,0)+IF( AND((COUNTIF(I$2:I$33,'Your Team'!$D$12)&gt;0),'Your Team'!$C$12="F" ),1,0)+IF( AND((COUNTIF(I$2:I$33,'Your Team'!$D$13)&gt;0),'Your Team'!$C$13="F" ),1,0)+IF( AND((COUNTIF(I$2:I$33,'Your Team'!$D$14)&gt;0),'Your Team'!$C$14="F" ),1,0)+IF( AND((COUNTIF(I$2:I$33,'Your Team'!$D$15)&gt;0),'Your Team'!$C$15="F" ),1,0)+IF( AND((COUNTIF(I$2:I$33,'Your Team'!$D$16)&gt;0),'Your Team'!$C$16="F" ),1,0)+IF( AND((COUNTIF(I$2:I$33,'Your Team'!$D$17)&gt;0),'Your Team'!$C$17="F" ),1,0)+IF( AND((COUNTIF(I$2:I$33,'Your Team'!$D$18)&gt;0),'Your Team'!$C$18="F" ),1,0)+IF( AND((COUNTIF(I$2:I$33,'Your Team'!$D$19)&gt;0),'Your Team'!$C$19="F" ),1,0)</f>
        <v>0</v>
      </c>
      <c r="J38" s="9">
        <f>IF( AND((COUNTIF(J$2:J$33,'Your Team'!$D$3)&gt;0),'Your Team'!$C$3="F" ),1,0)+IF( AND((COUNTIF(J$2:J$33,'Your Team'!$D$4)&gt;0),'Your Team'!$C$4="F" ),1,0)+IF( AND((COUNTIF(J$2:J$33,'Your Team'!$D$5)&gt;0),'Your Team'!$C$5="F" ),1,0)+IF( AND((COUNTIF(J$2:J$33,'Your Team'!$D$6)&gt;0),'Your Team'!$C$6="F" ),1,0)+IF( AND((COUNTIF(J$2:J$33,'Your Team'!$D$7)&gt;0),'Your Team'!$C$7="F" ),1,0)+IF( AND((COUNTIF(J$2:J$33,'Your Team'!$D$8)&gt;0),'Your Team'!$C$8="F" ),1,0)+IF( AND((COUNTIF(J$2:J$33,'Your Team'!$D$9)&gt;0),'Your Team'!$C$9="F" ),1,0)+IF( AND((COUNTIF(J$2:J$33,'Your Team'!$D$10)&gt;0),'Your Team'!$C$10="F" ),1,0)+IF( AND((COUNTIF(J$2:J$33,'Your Team'!$D$11)&gt;0),'Your Team'!$C$11="F" ),1,0)+IF( AND((COUNTIF(J$2:J$33,'Your Team'!$D$12)&gt;0),'Your Team'!$C$12="F" ),1,0)+IF( AND((COUNTIF(J$2:J$33,'Your Team'!$D$13)&gt;0),'Your Team'!$C$13="F" ),1,0)+IF( AND((COUNTIF(J$2:J$33,'Your Team'!$D$14)&gt;0),'Your Team'!$C$14="F" ),1,0)+IF( AND((COUNTIF(J$2:J$33,'Your Team'!$D$15)&gt;0),'Your Team'!$C$15="F" ),1,0)+IF( AND((COUNTIF(J$2:J$33,'Your Team'!$D$16)&gt;0),'Your Team'!$C$16="F" ),1,0)+IF( AND((COUNTIF(J$2:J$33,'Your Team'!$D$17)&gt;0),'Your Team'!$C$17="F" ),1,0)+IF( AND((COUNTIF(J$2:J$33,'Your Team'!$D$18)&gt;0),'Your Team'!$C$18="F" ),1,0)+IF( AND((COUNTIF(J$2:J$33,'Your Team'!$D$19)&gt;0),'Your Team'!$C$19="F" ),1,0)</f>
        <v>0</v>
      </c>
      <c r="K38" s="9">
        <f>IF( AND((COUNTIF(K$2:K$33,'Your Team'!$D$3)&gt;0),'Your Team'!$C$3="F" ),1,0)+IF( AND((COUNTIF(K$2:K$33,'Your Team'!$D$4)&gt;0),'Your Team'!$C$4="F" ),1,0)+IF( AND((COUNTIF(K$2:K$33,'Your Team'!$D$5)&gt;0),'Your Team'!$C$5="F" ),1,0)+IF( AND((COUNTIF(K$2:K$33,'Your Team'!$D$6)&gt;0),'Your Team'!$C$6="F" ),1,0)+IF( AND((COUNTIF(K$2:K$33,'Your Team'!$D$7)&gt;0),'Your Team'!$C$7="F" ),1,0)+IF( AND((COUNTIF(K$2:K$33,'Your Team'!$D$8)&gt;0),'Your Team'!$C$8="F" ),1,0)+IF( AND((COUNTIF(K$2:K$33,'Your Team'!$D$9)&gt;0),'Your Team'!$C$9="F" ),1,0)+IF( AND((COUNTIF(K$2:K$33,'Your Team'!$D$10)&gt;0),'Your Team'!$C$10="F" ),1,0)+IF( AND((COUNTIF(K$2:K$33,'Your Team'!$D$11)&gt;0),'Your Team'!$C$11="F" ),1,0)+IF( AND((COUNTIF(K$2:K$33,'Your Team'!$D$12)&gt;0),'Your Team'!$C$12="F" ),1,0)+IF( AND((COUNTIF(K$2:K$33,'Your Team'!$D$13)&gt;0),'Your Team'!$C$13="F" ),1,0)+IF( AND((COUNTIF(K$2:K$33,'Your Team'!$D$14)&gt;0),'Your Team'!$C$14="F" ),1,0)+IF( AND((COUNTIF(K$2:K$33,'Your Team'!$D$15)&gt;0),'Your Team'!$C$15="F" ),1,0)+IF( AND((COUNTIF(K$2:K$33,'Your Team'!$D$16)&gt;0),'Your Team'!$C$16="F" ),1,0)+IF( AND((COUNTIF(K$2:K$33,'Your Team'!$D$17)&gt;0),'Your Team'!$C$17="F" ),1,0)+IF( AND((COUNTIF(K$2:K$33,'Your Team'!$D$18)&gt;0),'Your Team'!$C$18="F" ),1,0)+IF( AND((COUNTIF(K$2:K$33,'Your Team'!$D$19)&gt;0),'Your Team'!$C$19="F" ),1,0)</f>
        <v>0</v>
      </c>
      <c r="L38" s="9">
        <f>IF( AND((COUNTIF(L$2:L$33,'Your Team'!$D$3)&gt;0),'Your Team'!$C$3="F" ),1,0)+IF( AND((COUNTIF(L$2:L$33,'Your Team'!$D$4)&gt;0),'Your Team'!$C$4="F" ),1,0)+IF( AND((COUNTIF(L$2:L$33,'Your Team'!$D$5)&gt;0),'Your Team'!$C$5="F" ),1,0)+IF( AND((COUNTIF(L$2:L$33,'Your Team'!$D$6)&gt;0),'Your Team'!$C$6="F" ),1,0)+IF( AND((COUNTIF(L$2:L$33,'Your Team'!$D$7)&gt;0),'Your Team'!$C$7="F" ),1,0)+IF( AND((COUNTIF(L$2:L$33,'Your Team'!$D$8)&gt;0),'Your Team'!$C$8="F" ),1,0)+IF( AND((COUNTIF(L$2:L$33,'Your Team'!$D$9)&gt;0),'Your Team'!$C$9="F" ),1,0)+IF( AND((COUNTIF(L$2:L$33,'Your Team'!$D$10)&gt;0),'Your Team'!$C$10="F" ),1,0)+IF( AND((COUNTIF(L$2:L$33,'Your Team'!$D$11)&gt;0),'Your Team'!$C$11="F" ),1,0)+IF( AND((COUNTIF(L$2:L$33,'Your Team'!$D$12)&gt;0),'Your Team'!$C$12="F" ),1,0)+IF( AND((COUNTIF(L$2:L$33,'Your Team'!$D$13)&gt;0),'Your Team'!$C$13="F" ),1,0)+IF( AND((COUNTIF(L$2:L$33,'Your Team'!$D$14)&gt;0),'Your Team'!$C$14="F" ),1,0)+IF( AND((COUNTIF(L$2:L$33,'Your Team'!$D$15)&gt;0),'Your Team'!$C$15="F" ),1,0)+IF( AND((COUNTIF(L$2:L$33,'Your Team'!$D$16)&gt;0),'Your Team'!$C$16="F" ),1,0)+IF( AND((COUNTIF(L$2:L$33,'Your Team'!$D$17)&gt;0),'Your Team'!$C$17="F" ),1,0)+IF( AND((COUNTIF(L$2:L$33,'Your Team'!$D$18)&gt;0),'Your Team'!$C$18="F" ),1,0)+IF( AND((COUNTIF(L$2:L$33,'Your Team'!$D$19)&gt;0),'Your Team'!$C$19="F" ),1,0)</f>
        <v>0</v>
      </c>
      <c r="M38" s="9">
        <f>IF( AND((COUNTIF(M$2:M$33,'Your Team'!$D$3)&gt;0),'Your Team'!$C$3="F" ),1,0)+IF( AND((COUNTIF(M$2:M$33,'Your Team'!$D$4)&gt;0),'Your Team'!$C$4="F" ),1,0)+IF( AND((COUNTIF(M$2:M$33,'Your Team'!$D$5)&gt;0),'Your Team'!$C$5="F" ),1,0)+IF( AND((COUNTIF(M$2:M$33,'Your Team'!$D$6)&gt;0),'Your Team'!$C$6="F" ),1,0)+IF( AND((COUNTIF(M$2:M$33,'Your Team'!$D$7)&gt;0),'Your Team'!$C$7="F" ),1,0)+IF( AND((COUNTIF(M$2:M$33,'Your Team'!$D$8)&gt;0),'Your Team'!$C$8="F" ),1,0)+IF( AND((COUNTIF(M$2:M$33,'Your Team'!$D$9)&gt;0),'Your Team'!$C$9="F" ),1,0)+IF( AND((COUNTIF(M$2:M$33,'Your Team'!$D$10)&gt;0),'Your Team'!$C$10="F" ),1,0)+IF( AND((COUNTIF(M$2:M$33,'Your Team'!$D$11)&gt;0),'Your Team'!$C$11="F" ),1,0)+IF( AND((COUNTIF(M$2:M$33,'Your Team'!$D$12)&gt;0),'Your Team'!$C$12="F" ),1,0)+IF( AND((COUNTIF(M$2:M$33,'Your Team'!$D$13)&gt;0),'Your Team'!$C$13="F" ),1,0)+IF( AND((COUNTIF(M$2:M$33,'Your Team'!$D$14)&gt;0),'Your Team'!$C$14="F" ),1,0)+IF( AND((COUNTIF(M$2:M$33,'Your Team'!$D$15)&gt;0),'Your Team'!$C$15="F" ),1,0)+IF( AND((COUNTIF(M$2:M$33,'Your Team'!$D$16)&gt;0),'Your Team'!$C$16="F" ),1,0)+IF( AND((COUNTIF(M$2:M$33,'Your Team'!$D$17)&gt;0),'Your Team'!$C$17="F" ),1,0)+IF( AND((COUNTIF(M$2:M$33,'Your Team'!$D$18)&gt;0),'Your Team'!$C$18="F" ),1,0)+IF( AND((COUNTIF(M$2:M$33,'Your Team'!$D$19)&gt;0),'Your Team'!$C$19="F" ),1,0)</f>
        <v>0</v>
      </c>
      <c r="N38" s="9">
        <f>IF( AND((COUNTIF(N$2:N$33,'Your Team'!$D$3)&gt;0),'Your Team'!$C$3="F" ),1,0)+IF( AND((COUNTIF(N$2:N$33,'Your Team'!$D$4)&gt;0),'Your Team'!$C$4="F" ),1,0)+IF( AND((COUNTIF(N$2:N$33,'Your Team'!$D$5)&gt;0),'Your Team'!$C$5="F" ),1,0)+IF( AND((COUNTIF(N$2:N$33,'Your Team'!$D$6)&gt;0),'Your Team'!$C$6="F" ),1,0)+IF( AND((COUNTIF(N$2:N$33,'Your Team'!$D$7)&gt;0),'Your Team'!$C$7="F" ),1,0)+IF( AND((COUNTIF(N$2:N$33,'Your Team'!$D$8)&gt;0),'Your Team'!$C$8="F" ),1,0)+IF( AND((COUNTIF(N$2:N$33,'Your Team'!$D$9)&gt;0),'Your Team'!$C$9="F" ),1,0)+IF( AND((COUNTIF(N$2:N$33,'Your Team'!$D$10)&gt;0),'Your Team'!$C$10="F" ),1,0)+IF( AND((COUNTIF(N$2:N$33,'Your Team'!$D$11)&gt;0),'Your Team'!$C$11="F" ),1,0)+IF( AND((COUNTIF(N$2:N$33,'Your Team'!$D$12)&gt;0),'Your Team'!$C$12="F" ),1,0)+IF( AND((COUNTIF(N$2:N$33,'Your Team'!$D$13)&gt;0),'Your Team'!$C$13="F" ),1,0)+IF( AND((COUNTIF(N$2:N$33,'Your Team'!$D$14)&gt;0),'Your Team'!$C$14="F" ),1,0)+IF( AND((COUNTIF(N$2:N$33,'Your Team'!$D$15)&gt;0),'Your Team'!$C$15="F" ),1,0)+IF( AND((COUNTIF(N$2:N$33,'Your Team'!$D$16)&gt;0),'Your Team'!$C$16="F" ),1,0)+IF( AND((COUNTIF(N$2:N$33,'Your Team'!$D$17)&gt;0),'Your Team'!$C$17="F" ),1,0)+IF( AND((COUNTIF(N$2:N$33,'Your Team'!$D$18)&gt;0),'Your Team'!$C$18="F" ),1,0)+IF( AND((COUNTIF(N$2:N$33,'Your Team'!$D$19)&gt;0),'Your Team'!$C$19="F" ),1,0)</f>
        <v>0</v>
      </c>
      <c r="O38" s="9">
        <f>IF( AND((COUNTIF(O$2:O$33,'Your Team'!$D$3)&gt;0),'Your Team'!$C$3="F" ),1,0)+IF( AND((COUNTIF(O$2:O$33,'Your Team'!$D$4)&gt;0),'Your Team'!$C$4="F" ),1,0)+IF( AND((COUNTIF(O$2:O$33,'Your Team'!$D$5)&gt;0),'Your Team'!$C$5="F" ),1,0)+IF( AND((COUNTIF(O$2:O$33,'Your Team'!$D$6)&gt;0),'Your Team'!$C$6="F" ),1,0)+IF( AND((COUNTIF(O$2:O$33,'Your Team'!$D$7)&gt;0),'Your Team'!$C$7="F" ),1,0)+IF( AND((COUNTIF(O$2:O$33,'Your Team'!$D$8)&gt;0),'Your Team'!$C$8="F" ),1,0)+IF( AND((COUNTIF(O$2:O$33,'Your Team'!$D$9)&gt;0),'Your Team'!$C$9="F" ),1,0)+IF( AND((COUNTIF(O$2:O$33,'Your Team'!$D$10)&gt;0),'Your Team'!$C$10="F" ),1,0)+IF( AND((COUNTIF(O$2:O$33,'Your Team'!$D$11)&gt;0),'Your Team'!$C$11="F" ),1,0)+IF( AND((COUNTIF(O$2:O$33,'Your Team'!$D$12)&gt;0),'Your Team'!$C$12="F" ),1,0)+IF( AND((COUNTIF(O$2:O$33,'Your Team'!$D$13)&gt;0),'Your Team'!$C$13="F" ),1,0)+IF( AND((COUNTIF(O$2:O$33,'Your Team'!$D$14)&gt;0),'Your Team'!$C$14="F" ),1,0)+IF( AND((COUNTIF(O$2:O$33,'Your Team'!$D$15)&gt;0),'Your Team'!$C$15="F" ),1,0)+IF( AND((COUNTIF(O$2:O$33,'Your Team'!$D$16)&gt;0),'Your Team'!$C$16="F" ),1,0)+IF( AND((COUNTIF(O$2:O$33,'Your Team'!$D$17)&gt;0),'Your Team'!$C$17="F" ),1,0)+IF( AND((COUNTIF(O$2:O$33,'Your Team'!$D$18)&gt;0),'Your Team'!$C$18="F" ),1,0)+IF( AND((COUNTIF(O$2:O$33,'Your Team'!$D$19)&gt;0),'Your Team'!$C$19="F" ),1,0)</f>
        <v>0</v>
      </c>
      <c r="P38" s="9">
        <f>IF( AND((COUNTIF(P$2:P$33,'Your Team'!$D$3)&gt;0),'Your Team'!$C$3="F" ),1,0)+IF( AND((COUNTIF(P$2:P$33,'Your Team'!$D$4)&gt;0),'Your Team'!$C$4="F" ),1,0)+IF( AND((COUNTIF(P$2:P$33,'Your Team'!$D$5)&gt;0),'Your Team'!$C$5="F" ),1,0)+IF( AND((COUNTIF(P$2:P$33,'Your Team'!$D$6)&gt;0),'Your Team'!$C$6="F" ),1,0)+IF( AND((COUNTIF(P$2:P$33,'Your Team'!$D$7)&gt;0),'Your Team'!$C$7="F" ),1,0)+IF( AND((COUNTIF(P$2:P$33,'Your Team'!$D$8)&gt;0),'Your Team'!$C$8="F" ),1,0)+IF( AND((COUNTIF(P$2:P$33,'Your Team'!$D$9)&gt;0),'Your Team'!$C$9="F" ),1,0)+IF( AND((COUNTIF(P$2:P$33,'Your Team'!$D$10)&gt;0),'Your Team'!$C$10="F" ),1,0)+IF( AND((COUNTIF(P$2:P$33,'Your Team'!$D$11)&gt;0),'Your Team'!$C$11="F" ),1,0)+IF( AND((COUNTIF(P$2:P$33,'Your Team'!$D$12)&gt;0),'Your Team'!$C$12="F" ),1,0)+IF( AND((COUNTIF(P$2:P$33,'Your Team'!$D$13)&gt;0),'Your Team'!$C$13="F" ),1,0)+IF( AND((COUNTIF(P$2:P$33,'Your Team'!$D$14)&gt;0),'Your Team'!$C$14="F" ),1,0)+IF( AND((COUNTIF(P$2:P$33,'Your Team'!$D$15)&gt;0),'Your Team'!$C$15="F" ),1,0)+IF( AND((COUNTIF(P$2:P$33,'Your Team'!$D$16)&gt;0),'Your Team'!$C$16="F" ),1,0)+IF( AND((COUNTIF(P$2:P$33,'Your Team'!$D$17)&gt;0),'Your Team'!$C$17="F" ),1,0)+IF( AND((COUNTIF(P$2:P$33,'Your Team'!$D$18)&gt;0),'Your Team'!$C$18="F" ),1,0)+IF( AND((COUNTIF(P$2:P$33,'Your Team'!$D$19)&gt;0),'Your Team'!$C$19="F" ),1,0)</f>
        <v>0</v>
      </c>
      <c r="Q38" s="9">
        <f>IF( AND((COUNTIF(Q$2:Q$33,'Your Team'!$D$3)&gt;0),'Your Team'!$C$3="F" ),1,0)+IF( AND((COUNTIF(Q$2:Q$33,'Your Team'!$D$4)&gt;0),'Your Team'!$C$4="F" ),1,0)+IF( AND((COUNTIF(Q$2:Q$33,'Your Team'!$D$5)&gt;0),'Your Team'!$C$5="F" ),1,0)+IF( AND((COUNTIF(Q$2:Q$33,'Your Team'!$D$6)&gt;0),'Your Team'!$C$6="F" ),1,0)+IF( AND((COUNTIF(Q$2:Q$33,'Your Team'!$D$7)&gt;0),'Your Team'!$C$7="F" ),1,0)+IF( AND((COUNTIF(Q$2:Q$33,'Your Team'!$D$8)&gt;0),'Your Team'!$C$8="F" ),1,0)+IF( AND((COUNTIF(Q$2:Q$33,'Your Team'!$D$9)&gt;0),'Your Team'!$C$9="F" ),1,0)+IF( AND((COUNTIF(Q$2:Q$33,'Your Team'!$D$10)&gt;0),'Your Team'!$C$10="F" ),1,0)+IF( AND((COUNTIF(Q$2:Q$33,'Your Team'!$D$11)&gt;0),'Your Team'!$C$11="F" ),1,0)+IF( AND((COUNTIF(Q$2:Q$33,'Your Team'!$D$12)&gt;0),'Your Team'!$C$12="F" ),1,0)+IF( AND((COUNTIF(Q$2:Q$33,'Your Team'!$D$13)&gt;0),'Your Team'!$C$13="F" ),1,0)+IF( AND((COUNTIF(Q$2:Q$33,'Your Team'!$D$14)&gt;0),'Your Team'!$C$14="F" ),1,0)+IF( AND((COUNTIF(Q$2:Q$33,'Your Team'!$D$15)&gt;0),'Your Team'!$C$15="F" ),1,0)+IF( AND((COUNTIF(Q$2:Q$33,'Your Team'!$D$16)&gt;0),'Your Team'!$C$16="F" ),1,0)+IF( AND((COUNTIF(Q$2:Q$33,'Your Team'!$D$17)&gt;0),'Your Team'!$C$17="F" ),1,0)+IF( AND((COUNTIF(Q$2:Q$33,'Your Team'!$D$18)&gt;0),'Your Team'!$C$18="F" ),1,0)+IF( AND((COUNTIF(Q$2:Q$33,'Your Team'!$D$19)&gt;0),'Your Team'!$C$19="F" ),1,0)</f>
        <v>0</v>
      </c>
      <c r="R38" s="9">
        <f>IF( AND((COUNTIF(R$2:R$33,'Your Team'!$D$3)&gt;0),'Your Team'!$C$3="F" ),1,0)+IF( AND((COUNTIF(R$2:R$33,'Your Team'!$D$4)&gt;0),'Your Team'!$C$4="F" ),1,0)+IF( AND((COUNTIF(R$2:R$33,'Your Team'!$D$5)&gt;0),'Your Team'!$C$5="F" ),1,0)+IF( AND((COUNTIF(R$2:R$33,'Your Team'!$D$6)&gt;0),'Your Team'!$C$6="F" ),1,0)+IF( AND((COUNTIF(R$2:R$33,'Your Team'!$D$7)&gt;0),'Your Team'!$C$7="F" ),1,0)+IF( AND((COUNTIF(R$2:R$33,'Your Team'!$D$8)&gt;0),'Your Team'!$C$8="F" ),1,0)+IF( AND((COUNTIF(R$2:R$33,'Your Team'!$D$9)&gt;0),'Your Team'!$C$9="F" ),1,0)+IF( AND((COUNTIF(R$2:R$33,'Your Team'!$D$10)&gt;0),'Your Team'!$C$10="F" ),1,0)+IF( AND((COUNTIF(R$2:R$33,'Your Team'!$D$11)&gt;0),'Your Team'!$C$11="F" ),1,0)+IF( AND((COUNTIF(R$2:R$33,'Your Team'!$D$12)&gt;0),'Your Team'!$C$12="F" ),1,0)+IF( AND((COUNTIF(R$2:R$33,'Your Team'!$D$13)&gt;0),'Your Team'!$C$13="F" ),1,0)+IF( AND((COUNTIF(R$2:R$33,'Your Team'!$D$14)&gt;0),'Your Team'!$C$14="F" ),1,0)+IF( AND((COUNTIF(R$2:R$33,'Your Team'!$D$15)&gt;0),'Your Team'!$C$15="F" ),1,0)+IF( AND((COUNTIF(R$2:R$33,'Your Team'!$D$16)&gt;0),'Your Team'!$C$16="F" ),1,0)+IF( AND((COUNTIF(R$2:R$33,'Your Team'!$D$17)&gt;0),'Your Team'!$C$17="F" ),1,0)+IF( AND((COUNTIF(R$2:R$33,'Your Team'!$D$18)&gt;0),'Your Team'!$C$18="F" ),1,0)+IF( AND((COUNTIF(R$2:R$33,'Your Team'!$D$19)&gt;0),'Your Team'!$C$19="F" ),1,0)</f>
        <v>0</v>
      </c>
      <c r="S38" s="9">
        <f>IF( AND((COUNTIF(S$2:S$33,'Your Team'!$D$3)&gt;0),'Your Team'!$C$3="F" ),1,0)+IF( AND((COUNTIF(S$2:S$33,'Your Team'!$D$4)&gt;0),'Your Team'!$C$4="F" ),1,0)+IF( AND((COUNTIF(S$2:S$33,'Your Team'!$D$5)&gt;0),'Your Team'!$C$5="F" ),1,0)+IF( AND((COUNTIF(S$2:S$33,'Your Team'!$D$6)&gt;0),'Your Team'!$C$6="F" ),1,0)+IF( AND((COUNTIF(S$2:S$33,'Your Team'!$D$7)&gt;0),'Your Team'!$C$7="F" ),1,0)+IF( AND((COUNTIF(S$2:S$33,'Your Team'!$D$8)&gt;0),'Your Team'!$C$8="F" ),1,0)+IF( AND((COUNTIF(S$2:S$33,'Your Team'!$D$9)&gt;0),'Your Team'!$C$9="F" ),1,0)+IF( AND((COUNTIF(S$2:S$33,'Your Team'!$D$10)&gt;0),'Your Team'!$C$10="F" ),1,0)+IF( AND((COUNTIF(S$2:S$33,'Your Team'!$D$11)&gt;0),'Your Team'!$C$11="F" ),1,0)+IF( AND((COUNTIF(S$2:S$33,'Your Team'!$D$12)&gt;0),'Your Team'!$C$12="F" ),1,0)+IF( AND((COUNTIF(S$2:S$33,'Your Team'!$D$13)&gt;0),'Your Team'!$C$13="F" ),1,0)+IF( AND((COUNTIF(S$2:S$33,'Your Team'!$D$14)&gt;0),'Your Team'!$C$14="F" ),1,0)+IF( AND((COUNTIF(S$2:S$33,'Your Team'!$D$15)&gt;0),'Your Team'!$C$15="F" ),1,0)+IF( AND((COUNTIF(S$2:S$33,'Your Team'!$D$16)&gt;0),'Your Team'!$C$16="F" ),1,0)+IF( AND((COUNTIF(S$2:S$33,'Your Team'!$D$17)&gt;0),'Your Team'!$C$17="F" ),1,0)+IF( AND((COUNTIF(S$2:S$33,'Your Team'!$D$18)&gt;0),'Your Team'!$C$18="F" ),1,0)+IF( AND((COUNTIF(S$2:S$33,'Your Team'!$D$19)&gt;0),'Your Team'!$C$19="F" ),1,0)</f>
        <v>0</v>
      </c>
      <c r="T38" s="9">
        <f>IF( AND((COUNTIF(T$2:T$33,'Your Team'!$D$3)&gt;0),'Your Team'!$C$3="F" ),1,0)+IF( AND((COUNTIF(T$2:T$33,'Your Team'!$D$4)&gt;0),'Your Team'!$C$4="F" ),1,0)+IF( AND((COUNTIF(T$2:T$33,'Your Team'!$D$5)&gt;0),'Your Team'!$C$5="F" ),1,0)+IF( AND((COUNTIF(T$2:T$33,'Your Team'!$D$6)&gt;0),'Your Team'!$C$6="F" ),1,0)+IF( AND((COUNTIF(T$2:T$33,'Your Team'!$D$7)&gt;0),'Your Team'!$C$7="F" ),1,0)+IF( AND((COUNTIF(T$2:T$33,'Your Team'!$D$8)&gt;0),'Your Team'!$C$8="F" ),1,0)+IF( AND((COUNTIF(T$2:T$33,'Your Team'!$D$9)&gt;0),'Your Team'!$C$9="F" ),1,0)+IF( AND((COUNTIF(T$2:T$33,'Your Team'!$D$10)&gt;0),'Your Team'!$C$10="F" ),1,0)+IF( AND((COUNTIF(T$2:T$33,'Your Team'!$D$11)&gt;0),'Your Team'!$C$11="F" ),1,0)+IF( AND((COUNTIF(T$2:T$33,'Your Team'!$D$12)&gt;0),'Your Team'!$C$12="F" ),1,0)+IF( AND((COUNTIF(T$2:T$33,'Your Team'!$D$13)&gt;0),'Your Team'!$C$13="F" ),1,0)+IF( AND((COUNTIF(T$2:T$33,'Your Team'!$D$14)&gt;0),'Your Team'!$C$14="F" ),1,0)+IF( AND((COUNTIF(T$2:T$33,'Your Team'!$D$15)&gt;0),'Your Team'!$C$15="F" ),1,0)+IF( AND((COUNTIF(T$2:T$33,'Your Team'!$D$16)&gt;0),'Your Team'!$C$16="F" ),1,0)+IF( AND((COUNTIF(T$2:T$33,'Your Team'!$D$17)&gt;0),'Your Team'!$C$17="F" ),1,0)+IF( AND((COUNTIF(T$2:T$33,'Your Team'!$D$18)&gt;0),'Your Team'!$C$18="F" ),1,0)+IF( AND((COUNTIF(T$2:T$33,'Your Team'!$D$19)&gt;0),'Your Team'!$C$19="F" ),1,0)</f>
        <v>0</v>
      </c>
      <c r="U38" s="9">
        <f>IF( AND((COUNTIF(U$2:U$33,'Your Team'!$D$3)&gt;0),'Your Team'!$C$3="F" ),1,0)+IF( AND((COUNTIF(U$2:U$33,'Your Team'!$D$4)&gt;0),'Your Team'!$C$4="F" ),1,0)+IF( AND((COUNTIF(U$2:U$33,'Your Team'!$D$5)&gt;0),'Your Team'!$C$5="F" ),1,0)+IF( AND((COUNTIF(U$2:U$33,'Your Team'!$D$6)&gt;0),'Your Team'!$C$6="F" ),1,0)+IF( AND((COUNTIF(U$2:U$33,'Your Team'!$D$7)&gt;0),'Your Team'!$C$7="F" ),1,0)+IF( AND((COUNTIF(U$2:U$33,'Your Team'!$D$8)&gt;0),'Your Team'!$C$8="F" ),1,0)+IF( AND((COUNTIF(U$2:U$33,'Your Team'!$D$9)&gt;0),'Your Team'!$C$9="F" ),1,0)+IF( AND((COUNTIF(U$2:U$33,'Your Team'!$D$10)&gt;0),'Your Team'!$C$10="F" ),1,0)+IF( AND((COUNTIF(U$2:U$33,'Your Team'!$D$11)&gt;0),'Your Team'!$C$11="F" ),1,0)+IF( AND((COUNTIF(U$2:U$33,'Your Team'!$D$12)&gt;0),'Your Team'!$C$12="F" ),1,0)+IF( AND((COUNTIF(U$2:U$33,'Your Team'!$D$13)&gt;0),'Your Team'!$C$13="F" ),1,0)+IF( AND((COUNTIF(U$2:U$33,'Your Team'!$D$14)&gt;0),'Your Team'!$C$14="F" ),1,0)+IF( AND((COUNTIF(U$2:U$33,'Your Team'!$D$15)&gt;0),'Your Team'!$C$15="F" ),1,0)+IF( AND((COUNTIF(U$2:U$33,'Your Team'!$D$16)&gt;0),'Your Team'!$C$16="F" ),1,0)+IF( AND((COUNTIF(U$2:U$33,'Your Team'!$D$17)&gt;0),'Your Team'!$C$17="F" ),1,0)+IF( AND((COUNTIF(U$2:U$33,'Your Team'!$D$18)&gt;0),'Your Team'!$C$18="F" ),1,0)+IF( AND((COUNTIF(U$2:U$33,'Your Team'!$D$19)&gt;0),'Your Team'!$C$19="F" ),1,0)</f>
        <v>0</v>
      </c>
      <c r="V38" s="9">
        <f>IF( AND((COUNTIF(V$2:V$33,'Your Team'!$D$3)&gt;0),'Your Team'!$C$3="F" ),1,0)+IF( AND((COUNTIF(V$2:V$33,'Your Team'!$D$4)&gt;0),'Your Team'!$C$4="F" ),1,0)+IF( AND((COUNTIF(V$2:V$33,'Your Team'!$D$5)&gt;0),'Your Team'!$C$5="F" ),1,0)+IF( AND((COUNTIF(V$2:V$33,'Your Team'!$D$6)&gt;0),'Your Team'!$C$6="F" ),1,0)+IF( AND((COUNTIF(V$2:V$33,'Your Team'!$D$7)&gt;0),'Your Team'!$C$7="F" ),1,0)+IF( AND((COUNTIF(V$2:V$33,'Your Team'!$D$8)&gt;0),'Your Team'!$C$8="F" ),1,0)+IF( AND((COUNTIF(V$2:V$33,'Your Team'!$D$9)&gt;0),'Your Team'!$C$9="F" ),1,0)+IF( AND((COUNTIF(V$2:V$33,'Your Team'!$D$10)&gt;0),'Your Team'!$C$10="F" ),1,0)+IF( AND((COUNTIF(V$2:V$33,'Your Team'!$D$11)&gt;0),'Your Team'!$C$11="F" ),1,0)+IF( AND((COUNTIF(V$2:V$33,'Your Team'!$D$12)&gt;0),'Your Team'!$C$12="F" ),1,0)+IF( AND((COUNTIF(V$2:V$33,'Your Team'!$D$13)&gt;0),'Your Team'!$C$13="F" ),1,0)+IF( AND((COUNTIF(V$2:V$33,'Your Team'!$D$14)&gt;0),'Your Team'!$C$14="F" ),1,0)+IF( AND((COUNTIF(V$2:V$33,'Your Team'!$D$15)&gt;0),'Your Team'!$C$15="F" ),1,0)+IF( AND((COUNTIF(V$2:V$33,'Your Team'!$D$16)&gt;0),'Your Team'!$C$16="F" ),1,0)+IF( AND((COUNTIF(V$2:V$33,'Your Team'!$D$17)&gt;0),'Your Team'!$C$17="F" ),1,0)+IF( AND((COUNTIF(V$2:V$33,'Your Team'!$D$18)&gt;0),'Your Team'!$C$18="F" ),1,0)+IF( AND((COUNTIF(V$2:V$33,'Your Team'!$D$19)&gt;0),'Your Team'!$C$19="F" ),1,0)</f>
        <v>0</v>
      </c>
      <c r="W38" s="9">
        <f>IF( AND((COUNTIF(W$2:W$33,'Your Team'!$D$3)&gt;0),'Your Team'!$C$3="F" ),1,0)+IF( AND((COUNTIF(W$2:W$33,'Your Team'!$D$4)&gt;0),'Your Team'!$C$4="F" ),1,0)+IF( AND((COUNTIF(W$2:W$33,'Your Team'!$D$5)&gt;0),'Your Team'!$C$5="F" ),1,0)+IF( AND((COUNTIF(W$2:W$33,'Your Team'!$D$6)&gt;0),'Your Team'!$C$6="F" ),1,0)+IF( AND((COUNTIF(W$2:W$33,'Your Team'!$D$7)&gt;0),'Your Team'!$C$7="F" ),1,0)+IF( AND((COUNTIF(W$2:W$33,'Your Team'!$D$8)&gt;0),'Your Team'!$C$8="F" ),1,0)+IF( AND((COUNTIF(W$2:W$33,'Your Team'!$D$9)&gt;0),'Your Team'!$C$9="F" ),1,0)+IF( AND((COUNTIF(W$2:W$33,'Your Team'!$D$10)&gt;0),'Your Team'!$C$10="F" ),1,0)+IF( AND((COUNTIF(W$2:W$33,'Your Team'!$D$11)&gt;0),'Your Team'!$C$11="F" ),1,0)+IF( AND((COUNTIF(W$2:W$33,'Your Team'!$D$12)&gt;0),'Your Team'!$C$12="F" ),1,0)+IF( AND((COUNTIF(W$2:W$33,'Your Team'!$D$13)&gt;0),'Your Team'!$C$13="F" ),1,0)+IF( AND((COUNTIF(W$2:W$33,'Your Team'!$D$14)&gt;0),'Your Team'!$C$14="F" ),1,0)+IF( AND((COUNTIF(W$2:W$33,'Your Team'!$D$15)&gt;0),'Your Team'!$C$15="F" ),1,0)+IF( AND((COUNTIF(W$2:W$33,'Your Team'!$D$16)&gt;0),'Your Team'!$C$16="F" ),1,0)+IF( AND((COUNTIF(W$2:W$33,'Your Team'!$D$17)&gt;0),'Your Team'!$C$17="F" ),1,0)+IF( AND((COUNTIF(W$2:W$33,'Your Team'!$D$18)&gt;0),'Your Team'!$C$18="F" ),1,0)+IF( AND((COUNTIF(W$2:W$33,'Your Team'!$D$19)&gt;0),'Your Team'!$C$19="F" ),1,0)</f>
        <v>0</v>
      </c>
      <c r="X38" s="9">
        <f>IF( AND((COUNTIF(X$2:X$33,'Your Team'!$D$3)&gt;0),'Your Team'!$C$3="F" ),1,0)+IF( AND((COUNTIF(X$2:X$33,'Your Team'!$D$4)&gt;0),'Your Team'!$C$4="F" ),1,0)+IF( AND((COUNTIF(X$2:X$33,'Your Team'!$D$5)&gt;0),'Your Team'!$C$5="F" ),1,0)+IF( AND((COUNTIF(X$2:X$33,'Your Team'!$D$6)&gt;0),'Your Team'!$C$6="F" ),1,0)+IF( AND((COUNTIF(X$2:X$33,'Your Team'!$D$7)&gt;0),'Your Team'!$C$7="F" ),1,0)+IF( AND((COUNTIF(X$2:X$33,'Your Team'!$D$8)&gt;0),'Your Team'!$C$8="F" ),1,0)+IF( AND((COUNTIF(X$2:X$33,'Your Team'!$D$9)&gt;0),'Your Team'!$C$9="F" ),1,0)+IF( AND((COUNTIF(X$2:X$33,'Your Team'!$D$10)&gt;0),'Your Team'!$C$10="F" ),1,0)+IF( AND((COUNTIF(X$2:X$33,'Your Team'!$D$11)&gt;0),'Your Team'!$C$11="F" ),1,0)+IF( AND((COUNTIF(X$2:X$33,'Your Team'!$D$12)&gt;0),'Your Team'!$C$12="F" ),1,0)+IF( AND((COUNTIF(X$2:X$33,'Your Team'!$D$13)&gt;0),'Your Team'!$C$13="F" ),1,0)+IF( AND((COUNTIF(X$2:X$33,'Your Team'!$D$14)&gt;0),'Your Team'!$C$14="F" ),1,0)+IF( AND((COUNTIF(X$2:X$33,'Your Team'!$D$15)&gt;0),'Your Team'!$C$15="F" ),1,0)+IF( AND((COUNTIF(X$2:X$33,'Your Team'!$D$16)&gt;0),'Your Team'!$C$16="F" ),1,0)+IF( AND((COUNTIF(X$2:X$33,'Your Team'!$D$17)&gt;0),'Your Team'!$C$17="F" ),1,0)+IF( AND((COUNTIF(X$2:X$33,'Your Team'!$D$18)&gt;0),'Your Team'!$C$18="F" ),1,0)+IF( AND((COUNTIF(X$2:X$33,'Your Team'!$D$19)&gt;0),'Your Team'!$C$19="F" ),1,0)</f>
        <v>0</v>
      </c>
      <c r="Y38" s="9">
        <f>IF( AND((COUNTIF(Y$2:Y$33,'Your Team'!$D$3)&gt;0),'Your Team'!$C$3="F" ),1,0)+IF( AND((COUNTIF(Y$2:Y$33,'Your Team'!$D$4)&gt;0),'Your Team'!$C$4="F" ),1,0)+IF( AND((COUNTIF(Y$2:Y$33,'Your Team'!$D$5)&gt;0),'Your Team'!$C$5="F" ),1,0)+IF( AND((COUNTIF(Y$2:Y$33,'Your Team'!$D$6)&gt;0),'Your Team'!$C$6="F" ),1,0)+IF( AND((COUNTIF(Y$2:Y$33,'Your Team'!$D$7)&gt;0),'Your Team'!$C$7="F" ),1,0)+IF( AND((COUNTIF(Y$2:Y$33,'Your Team'!$D$8)&gt;0),'Your Team'!$C$8="F" ),1,0)+IF( AND((COUNTIF(Y$2:Y$33,'Your Team'!$D$9)&gt;0),'Your Team'!$C$9="F" ),1,0)+IF( AND((COUNTIF(Y$2:Y$33,'Your Team'!$D$10)&gt;0),'Your Team'!$C$10="F" ),1,0)+IF( AND((COUNTIF(Y$2:Y$33,'Your Team'!$D$11)&gt;0),'Your Team'!$C$11="F" ),1,0)+IF( AND((COUNTIF(Y$2:Y$33,'Your Team'!$D$12)&gt;0),'Your Team'!$C$12="F" ),1,0)+IF( AND((COUNTIF(Y$2:Y$33,'Your Team'!$D$13)&gt;0),'Your Team'!$C$13="F" ),1,0)+IF( AND((COUNTIF(Y$2:Y$33,'Your Team'!$D$14)&gt;0),'Your Team'!$C$14="F" ),1,0)+IF( AND((COUNTIF(Y$2:Y$33,'Your Team'!$D$15)&gt;0),'Your Team'!$C$15="F" ),1,0)+IF( AND((COUNTIF(Y$2:Y$33,'Your Team'!$D$16)&gt;0),'Your Team'!$C$16="F" ),1,0)+IF( AND((COUNTIF(Y$2:Y$33,'Your Team'!$D$17)&gt;0),'Your Team'!$C$17="F" ),1,0)+IF( AND((COUNTIF(Y$2:Y$33,'Your Team'!$D$18)&gt;0),'Your Team'!$C$18="F" ),1,0)+IF( AND((COUNTIF(Y$2:Y$33,'Your Team'!$D$19)&gt;0),'Your Team'!$C$19="F" ),1,0)</f>
        <v>0</v>
      </c>
      <c r="Z38" s="9">
        <f>IF( AND((COUNTIF(Z$2:Z$33,'Your Team'!$D$3)&gt;0),'Your Team'!$C$3="F" ),1,0)+IF( AND((COUNTIF(Z$2:Z$33,'Your Team'!$D$4)&gt;0),'Your Team'!$C$4="F" ),1,0)+IF( AND((COUNTIF(Z$2:Z$33,'Your Team'!$D$5)&gt;0),'Your Team'!$C$5="F" ),1,0)+IF( AND((COUNTIF(Z$2:Z$33,'Your Team'!$D$6)&gt;0),'Your Team'!$C$6="F" ),1,0)+IF( AND((COUNTIF(Z$2:Z$33,'Your Team'!$D$7)&gt;0),'Your Team'!$C$7="F" ),1,0)+IF( AND((COUNTIF(Z$2:Z$33,'Your Team'!$D$8)&gt;0),'Your Team'!$C$8="F" ),1,0)+IF( AND((COUNTIF(Z$2:Z$33,'Your Team'!$D$9)&gt;0),'Your Team'!$C$9="F" ),1,0)+IF( AND((COUNTIF(Z$2:Z$33,'Your Team'!$D$10)&gt;0),'Your Team'!$C$10="F" ),1,0)+IF( AND((COUNTIF(Z$2:Z$33,'Your Team'!$D$11)&gt;0),'Your Team'!$C$11="F" ),1,0)+IF( AND((COUNTIF(Z$2:Z$33,'Your Team'!$D$12)&gt;0),'Your Team'!$C$12="F" ),1,0)+IF( AND((COUNTIF(Z$2:Z$33,'Your Team'!$D$13)&gt;0),'Your Team'!$C$13="F" ),1,0)+IF( AND((COUNTIF(Z$2:Z$33,'Your Team'!$D$14)&gt;0),'Your Team'!$C$14="F" ),1,0)+IF( AND((COUNTIF(Z$2:Z$33,'Your Team'!$D$15)&gt;0),'Your Team'!$C$15="F" ),1,0)+IF( AND((COUNTIF(Z$2:Z$33,'Your Team'!$D$16)&gt;0),'Your Team'!$C$16="F" ),1,0)+IF( AND((COUNTIF(Z$2:Z$33,'Your Team'!$D$17)&gt;0),'Your Team'!$C$17="F" ),1,0)+IF( AND((COUNTIF(Z$2:Z$33,'Your Team'!$D$18)&gt;0),'Your Team'!$C$18="F" ),1,0)+IF( AND((COUNTIF(Z$2:Z$33,'Your Team'!$D$19)&gt;0),'Your Team'!$C$19="F" ),1,0)</f>
        <v>0</v>
      </c>
      <c r="AA38" s="9">
        <f>IF( AND((COUNTIF(AA$2:AA$33,'Your Team'!$D$3)&gt;0),'Your Team'!$C$3="F" ),1,0)+IF( AND((COUNTIF(AA$2:AA$33,'Your Team'!$D$4)&gt;0),'Your Team'!$C$4="F" ),1,0)+IF( AND((COUNTIF(AA$2:AA$33,'Your Team'!$D$5)&gt;0),'Your Team'!$C$5="F" ),1,0)+IF( AND((COUNTIF(AA$2:AA$33,'Your Team'!$D$6)&gt;0),'Your Team'!$C$6="F" ),1,0)+IF( AND((COUNTIF(AA$2:AA$33,'Your Team'!$D$7)&gt;0),'Your Team'!$C$7="F" ),1,0)+IF( AND((COUNTIF(AA$2:AA$33,'Your Team'!$D$8)&gt;0),'Your Team'!$C$8="F" ),1,0)+IF( AND((COUNTIF(AA$2:AA$33,'Your Team'!$D$9)&gt;0),'Your Team'!$C$9="F" ),1,0)+IF( AND((COUNTIF(AA$2:AA$33,'Your Team'!$D$10)&gt;0),'Your Team'!$C$10="F" ),1,0)+IF( AND((COUNTIF(AA$2:AA$33,'Your Team'!$D$11)&gt;0),'Your Team'!$C$11="F" ),1,0)+IF( AND((COUNTIF(AA$2:AA$33,'Your Team'!$D$12)&gt;0),'Your Team'!$C$12="F" ),1,0)+IF( AND((COUNTIF(AA$2:AA$33,'Your Team'!$D$13)&gt;0),'Your Team'!$C$13="F" ),1,0)+IF( AND((COUNTIF(AA$2:AA$33,'Your Team'!$D$14)&gt;0),'Your Team'!$C$14="F" ),1,0)+IF( AND((COUNTIF(AA$2:AA$33,'Your Team'!$D$15)&gt;0),'Your Team'!$C$15="F" ),1,0)+IF( AND((COUNTIF(AA$2:AA$33,'Your Team'!$D$16)&gt;0),'Your Team'!$C$16="F" ),1,0)+IF( AND((COUNTIF(AA$2:AA$33,'Your Team'!$D$17)&gt;0),'Your Team'!$C$17="F" ),1,0)+IF( AND((COUNTIF(AA$2:AA$33,'Your Team'!$D$18)&gt;0),'Your Team'!$C$18="F" ),1,0)+IF( AND((COUNTIF(AA$2:AA$33,'Your Team'!$D$19)&gt;0),'Your Team'!$C$19="F" ),1,0)</f>
        <v>0</v>
      </c>
      <c r="AB38" s="9">
        <f>IF( AND((COUNTIF(AB$2:AB$33,'Your Team'!$D$3)&gt;0),'Your Team'!$C$3="F" ),1,0)+IF( AND((COUNTIF(AB$2:AB$33,'Your Team'!$D$4)&gt;0),'Your Team'!$C$4="F" ),1,0)+IF( AND((COUNTIF(AB$2:AB$33,'Your Team'!$D$5)&gt;0),'Your Team'!$C$5="F" ),1,0)+IF( AND((COUNTIF(AB$2:AB$33,'Your Team'!$D$6)&gt;0),'Your Team'!$C$6="F" ),1,0)+IF( AND((COUNTIF(AB$2:AB$33,'Your Team'!$D$7)&gt;0),'Your Team'!$C$7="F" ),1,0)+IF( AND((COUNTIF(AB$2:AB$33,'Your Team'!$D$8)&gt;0),'Your Team'!$C$8="F" ),1,0)+IF( AND((COUNTIF(AB$2:AB$33,'Your Team'!$D$9)&gt;0),'Your Team'!$C$9="F" ),1,0)+IF( AND((COUNTIF(AB$2:AB$33,'Your Team'!$D$10)&gt;0),'Your Team'!$C$10="F" ),1,0)+IF( AND((COUNTIF(AB$2:AB$33,'Your Team'!$D$11)&gt;0),'Your Team'!$C$11="F" ),1,0)+IF( AND((COUNTIF(AB$2:AB$33,'Your Team'!$D$12)&gt;0),'Your Team'!$C$12="F" ),1,0)+IF( AND((COUNTIF(AB$2:AB$33,'Your Team'!$D$13)&gt;0),'Your Team'!$C$13="F" ),1,0)+IF( AND((COUNTIF(AB$2:AB$33,'Your Team'!$D$14)&gt;0),'Your Team'!$C$14="F" ),1,0)+IF( AND((COUNTIF(AB$2:AB$33,'Your Team'!$D$15)&gt;0),'Your Team'!$C$15="F" ),1,0)+IF( AND((COUNTIF(AB$2:AB$33,'Your Team'!$D$16)&gt;0),'Your Team'!$C$16="F" ),1,0)+IF( AND((COUNTIF(AB$2:AB$33,'Your Team'!$D$17)&gt;0),'Your Team'!$C$17="F" ),1,0)+IF( AND((COUNTIF(AB$2:AB$33,'Your Team'!$D$18)&gt;0),'Your Team'!$C$18="F" ),1,0)+IF( AND((COUNTIF(AB$2:AB$33,'Your Team'!$D$19)&gt;0),'Your Team'!$C$19="F" ),1,0)</f>
        <v>0</v>
      </c>
      <c r="AC38" s="9">
        <f>IF( AND((COUNTIF(AC$2:AC$33,'Your Team'!$D$3)&gt;0),'Your Team'!$C$3="F" ),1,0)+IF( AND((COUNTIF(AC$2:AC$33,'Your Team'!$D$4)&gt;0),'Your Team'!$C$4="F" ),1,0)+IF( AND((COUNTIF(AC$2:AC$33,'Your Team'!$D$5)&gt;0),'Your Team'!$C$5="F" ),1,0)+IF( AND((COUNTIF(AC$2:AC$33,'Your Team'!$D$6)&gt;0),'Your Team'!$C$6="F" ),1,0)+IF( AND((COUNTIF(AC$2:AC$33,'Your Team'!$D$7)&gt;0),'Your Team'!$C$7="F" ),1,0)+IF( AND((COUNTIF(AC$2:AC$33,'Your Team'!$D$8)&gt;0),'Your Team'!$C$8="F" ),1,0)+IF( AND((COUNTIF(AC$2:AC$33,'Your Team'!$D$9)&gt;0),'Your Team'!$C$9="F" ),1,0)+IF( AND((COUNTIF(AC$2:AC$33,'Your Team'!$D$10)&gt;0),'Your Team'!$C$10="F" ),1,0)+IF( AND((COUNTIF(AC$2:AC$33,'Your Team'!$D$11)&gt;0),'Your Team'!$C$11="F" ),1,0)+IF( AND((COUNTIF(AC$2:AC$33,'Your Team'!$D$12)&gt;0),'Your Team'!$C$12="F" ),1,0)+IF( AND((COUNTIF(AC$2:AC$33,'Your Team'!$D$13)&gt;0),'Your Team'!$C$13="F" ),1,0)+IF( AND((COUNTIF(AC$2:AC$33,'Your Team'!$D$14)&gt;0),'Your Team'!$C$14="F" ),1,0)+IF( AND((COUNTIF(AC$2:AC$33,'Your Team'!$D$15)&gt;0),'Your Team'!$C$15="F" ),1,0)+IF( AND((COUNTIF(AC$2:AC$33,'Your Team'!$D$16)&gt;0),'Your Team'!$C$16="F" ),1,0)+IF( AND((COUNTIF(AC$2:AC$33,'Your Team'!$D$17)&gt;0),'Your Team'!$C$17="F" ),1,0)+IF( AND((COUNTIF(AC$2:AC$33,'Your Team'!$D$18)&gt;0),'Your Team'!$C$18="F" ),1,0)+IF( AND((COUNTIF(AC$2:AC$33,'Your Team'!$D$19)&gt;0),'Your Team'!$C$19="F" ),1,0)</f>
        <v>0</v>
      </c>
      <c r="AD38" s="9">
        <f>IF( AND((COUNTIF(AD$2:AD$33,'Your Team'!$D$3)&gt;0),'Your Team'!$C$3="F" ),1,0)+IF( AND((COUNTIF(AD$2:AD$33,'Your Team'!$D$4)&gt;0),'Your Team'!$C$4="F" ),1,0)+IF( AND((COUNTIF(AD$2:AD$33,'Your Team'!$D$5)&gt;0),'Your Team'!$C$5="F" ),1,0)+IF( AND((COUNTIF(AD$2:AD$33,'Your Team'!$D$6)&gt;0),'Your Team'!$C$6="F" ),1,0)+IF( AND((COUNTIF(AD$2:AD$33,'Your Team'!$D$7)&gt;0),'Your Team'!$C$7="F" ),1,0)+IF( AND((COUNTIF(AD$2:AD$33,'Your Team'!$D$8)&gt;0),'Your Team'!$C$8="F" ),1,0)+IF( AND((COUNTIF(AD$2:AD$33,'Your Team'!$D$9)&gt;0),'Your Team'!$C$9="F" ),1,0)+IF( AND((COUNTIF(AD$2:AD$33,'Your Team'!$D$10)&gt;0),'Your Team'!$C$10="F" ),1,0)+IF( AND((COUNTIF(AD$2:AD$33,'Your Team'!$D$11)&gt;0),'Your Team'!$C$11="F" ),1,0)+IF( AND((COUNTIF(AD$2:AD$33,'Your Team'!$D$12)&gt;0),'Your Team'!$C$12="F" ),1,0)+IF( AND((COUNTIF(AD$2:AD$33,'Your Team'!$D$13)&gt;0),'Your Team'!$C$13="F" ),1,0)+IF( AND((COUNTIF(AD$2:AD$33,'Your Team'!$D$14)&gt;0),'Your Team'!$C$14="F" ),1,0)+IF( AND((COUNTIF(AD$2:AD$33,'Your Team'!$D$15)&gt;0),'Your Team'!$C$15="F" ),1,0)+IF( AND((COUNTIF(AD$2:AD$33,'Your Team'!$D$16)&gt;0),'Your Team'!$C$16="F" ),1,0)+IF( AND((COUNTIF(AD$2:AD$33,'Your Team'!$D$17)&gt;0),'Your Team'!$C$17="F" ),1,0)+IF( AND((COUNTIF(AD$2:AD$33,'Your Team'!$D$18)&gt;0),'Your Team'!$C$18="F" ),1,0)+IF( AND((COUNTIF(AD$2:AD$33,'Your Team'!$D$19)&gt;0),'Your Team'!$C$19="F" ),1,0)</f>
        <v>0</v>
      </c>
      <c r="AE38" s="9">
        <f>IF( AND((COUNTIF(AE$2:AE$33,'Your Team'!$D$3)&gt;0),'Your Team'!$C$3="F" ),1,0)+IF( AND((COUNTIF(AE$2:AE$33,'Your Team'!$D$4)&gt;0),'Your Team'!$C$4="F" ),1,0)+IF( AND((COUNTIF(AE$2:AE$33,'Your Team'!$D$5)&gt;0),'Your Team'!$C$5="F" ),1,0)+IF( AND((COUNTIF(AE$2:AE$33,'Your Team'!$D$6)&gt;0),'Your Team'!$C$6="F" ),1,0)+IF( AND((COUNTIF(AE$2:AE$33,'Your Team'!$D$7)&gt;0),'Your Team'!$C$7="F" ),1,0)+IF( AND((COUNTIF(AE$2:AE$33,'Your Team'!$D$8)&gt;0),'Your Team'!$C$8="F" ),1,0)+IF( AND((COUNTIF(AE$2:AE$33,'Your Team'!$D$9)&gt;0),'Your Team'!$C$9="F" ),1,0)+IF( AND((COUNTIF(AE$2:AE$33,'Your Team'!$D$10)&gt;0),'Your Team'!$C$10="F" ),1,0)+IF( AND((COUNTIF(AE$2:AE$33,'Your Team'!$D$11)&gt;0),'Your Team'!$C$11="F" ),1,0)+IF( AND((COUNTIF(AE$2:AE$33,'Your Team'!$D$12)&gt;0),'Your Team'!$C$12="F" ),1,0)+IF( AND((COUNTIF(AE$2:AE$33,'Your Team'!$D$13)&gt;0),'Your Team'!$C$13="F" ),1,0)+IF( AND((COUNTIF(AE$2:AE$33,'Your Team'!$D$14)&gt;0),'Your Team'!$C$14="F" ),1,0)+IF( AND((COUNTIF(AE$2:AE$33,'Your Team'!$D$15)&gt;0),'Your Team'!$C$15="F" ),1,0)+IF( AND((COUNTIF(AE$2:AE$33,'Your Team'!$D$16)&gt;0),'Your Team'!$C$16="F" ),1,0)+IF( AND((COUNTIF(AE$2:AE$33,'Your Team'!$D$17)&gt;0),'Your Team'!$C$17="F" ),1,0)+IF( AND((COUNTIF(AE$2:AE$33,'Your Team'!$D$18)&gt;0),'Your Team'!$C$18="F" ),1,0)+IF( AND((COUNTIF(AE$2:AE$33,'Your Team'!$D$19)&gt;0),'Your Team'!$C$19="F" ),1,0)</f>
        <v>0</v>
      </c>
      <c r="AF38" s="9">
        <f>IF( AND((COUNTIF(AF$2:AF$33,'Your Team'!$D$3)&gt;0),'Your Team'!$C$3="F" ),1,0)+IF( AND((COUNTIF(AF$2:AF$33,'Your Team'!$D$4)&gt;0),'Your Team'!$C$4="F" ),1,0)+IF( AND((COUNTIF(AF$2:AF$33,'Your Team'!$D$5)&gt;0),'Your Team'!$C$5="F" ),1,0)+IF( AND((COUNTIF(AF$2:AF$33,'Your Team'!$D$6)&gt;0),'Your Team'!$C$6="F" ),1,0)+IF( AND((COUNTIF(AF$2:AF$33,'Your Team'!$D$7)&gt;0),'Your Team'!$C$7="F" ),1,0)+IF( AND((COUNTIF(AF$2:AF$33,'Your Team'!$D$8)&gt;0),'Your Team'!$C$8="F" ),1,0)+IF( AND((COUNTIF(AF$2:AF$33,'Your Team'!$D$9)&gt;0),'Your Team'!$C$9="F" ),1,0)+IF( AND((COUNTIF(AF$2:AF$33,'Your Team'!$D$10)&gt;0),'Your Team'!$C$10="F" ),1,0)+IF( AND((COUNTIF(AF$2:AF$33,'Your Team'!$D$11)&gt;0),'Your Team'!$C$11="F" ),1,0)+IF( AND((COUNTIF(AF$2:AF$33,'Your Team'!$D$12)&gt;0),'Your Team'!$C$12="F" ),1,0)+IF( AND((COUNTIF(AF$2:AF$33,'Your Team'!$D$13)&gt;0),'Your Team'!$C$13="F" ),1,0)+IF( AND((COUNTIF(AF$2:AF$33,'Your Team'!$D$14)&gt;0),'Your Team'!$C$14="F" ),1,0)+IF( AND((COUNTIF(AF$2:AF$33,'Your Team'!$D$15)&gt;0),'Your Team'!$C$15="F" ),1,0)+IF( AND((COUNTIF(AF$2:AF$33,'Your Team'!$D$16)&gt;0),'Your Team'!$C$16="F" ),1,0)+IF( AND((COUNTIF(AF$2:AF$33,'Your Team'!$D$17)&gt;0),'Your Team'!$C$17="F" ),1,0)+IF( AND((COUNTIF(AF$2:AF$33,'Your Team'!$D$18)&gt;0),'Your Team'!$C$18="F" ),1,0)+IF( AND((COUNTIF(AF$2:AF$33,'Your Team'!$D$19)&gt;0),'Your Team'!$C$19="F" ),1,0)</f>
        <v>0</v>
      </c>
      <c r="AG38" s="9">
        <f>IF( AND((COUNTIF(AG$2:AG$33,'Your Team'!$D$3)&gt;0),'Your Team'!$C$3="F" ),1,0)+IF( AND((COUNTIF(AG$2:AG$33,'Your Team'!$D$4)&gt;0),'Your Team'!$C$4="F" ),1,0)+IF( AND((COUNTIF(AG$2:AG$33,'Your Team'!$D$5)&gt;0),'Your Team'!$C$5="F" ),1,0)+IF( AND((COUNTIF(AG$2:AG$33,'Your Team'!$D$6)&gt;0),'Your Team'!$C$6="F" ),1,0)+IF( AND((COUNTIF(AG$2:AG$33,'Your Team'!$D$7)&gt;0),'Your Team'!$C$7="F" ),1,0)+IF( AND((COUNTIF(AG$2:AG$33,'Your Team'!$D$8)&gt;0),'Your Team'!$C$8="F" ),1,0)+IF( AND((COUNTIF(AG$2:AG$33,'Your Team'!$D$9)&gt;0),'Your Team'!$C$9="F" ),1,0)+IF( AND((COUNTIF(AG$2:AG$33,'Your Team'!$D$10)&gt;0),'Your Team'!$C$10="F" ),1,0)+IF( AND((COUNTIF(AG$2:AG$33,'Your Team'!$D$11)&gt;0),'Your Team'!$C$11="F" ),1,0)+IF( AND((COUNTIF(AG$2:AG$33,'Your Team'!$D$12)&gt;0),'Your Team'!$C$12="F" ),1,0)+IF( AND((COUNTIF(AG$2:AG$33,'Your Team'!$D$13)&gt;0),'Your Team'!$C$13="F" ),1,0)+IF( AND((COUNTIF(AG$2:AG$33,'Your Team'!$D$14)&gt;0),'Your Team'!$C$14="F" ),1,0)+IF( AND((COUNTIF(AG$2:AG$33,'Your Team'!$D$15)&gt;0),'Your Team'!$C$15="F" ),1,0)+IF( AND((COUNTIF(AG$2:AG$33,'Your Team'!$D$16)&gt;0),'Your Team'!$C$16="F" ),1,0)+IF( AND((COUNTIF(AG$2:AG$33,'Your Team'!$D$17)&gt;0),'Your Team'!$C$17="F" ),1,0)+IF( AND((COUNTIF(AG$2:AG$33,'Your Team'!$D$18)&gt;0),'Your Team'!$C$18="F" ),1,0)+IF( AND((COUNTIF(AG$2:AG$33,'Your Team'!$D$19)&gt;0),'Your Team'!$C$19="F" ),1,0)</f>
        <v>0</v>
      </c>
      <c r="AH38" s="9">
        <f>IF( AND((COUNTIF(AH$2:AH$33,'Your Team'!$D$3)&gt;0),'Your Team'!$C$3="F" ),1,0)+IF( AND((COUNTIF(AH$2:AH$33,'Your Team'!$D$4)&gt;0),'Your Team'!$C$4="F" ),1,0)+IF( AND((COUNTIF(AH$2:AH$33,'Your Team'!$D$5)&gt;0),'Your Team'!$C$5="F" ),1,0)+IF( AND((COUNTIF(AH$2:AH$33,'Your Team'!$D$6)&gt;0),'Your Team'!$C$6="F" ),1,0)+IF( AND((COUNTIF(AH$2:AH$33,'Your Team'!$D$7)&gt;0),'Your Team'!$C$7="F" ),1,0)+IF( AND((COUNTIF(AH$2:AH$33,'Your Team'!$D$8)&gt;0),'Your Team'!$C$8="F" ),1,0)+IF( AND((COUNTIF(AH$2:AH$33,'Your Team'!$D$9)&gt;0),'Your Team'!$C$9="F" ),1,0)+IF( AND((COUNTIF(AH$2:AH$33,'Your Team'!$D$10)&gt;0),'Your Team'!$C$10="F" ),1,0)+IF( AND((COUNTIF(AH$2:AH$33,'Your Team'!$D$11)&gt;0),'Your Team'!$C$11="F" ),1,0)+IF( AND((COUNTIF(AH$2:AH$33,'Your Team'!$D$12)&gt;0),'Your Team'!$C$12="F" ),1,0)+IF( AND((COUNTIF(AH$2:AH$33,'Your Team'!$D$13)&gt;0),'Your Team'!$C$13="F" ),1,0)+IF( AND((COUNTIF(AH$2:AH$33,'Your Team'!$D$14)&gt;0),'Your Team'!$C$14="F" ),1,0)+IF( AND((COUNTIF(AH$2:AH$33,'Your Team'!$D$15)&gt;0),'Your Team'!$C$15="F" ),1,0)+IF( AND((COUNTIF(AH$2:AH$33,'Your Team'!$D$16)&gt;0),'Your Team'!$C$16="F" ),1,0)+IF( AND((COUNTIF(AH$2:AH$33,'Your Team'!$D$17)&gt;0),'Your Team'!$C$17="F" ),1,0)+IF( AND((COUNTIF(AH$2:AH$33,'Your Team'!$D$18)&gt;0),'Your Team'!$C$18="F" ),1,0)+IF( AND((COUNTIF(AH$2:AH$33,'Your Team'!$D$19)&gt;0),'Your Team'!$C$19="F" ),1,0)</f>
        <v>0</v>
      </c>
      <c r="AI38" s="9">
        <f>IF( AND((COUNTIF(AI$2:AI$33,'Your Team'!$D$3)&gt;0),'Your Team'!$C$3="F" ),1,0)+IF( AND((COUNTIF(AI$2:AI$33,'Your Team'!$D$4)&gt;0),'Your Team'!$C$4="F" ),1,0)+IF( AND((COUNTIF(AI$2:AI$33,'Your Team'!$D$5)&gt;0),'Your Team'!$C$5="F" ),1,0)+IF( AND((COUNTIF(AI$2:AI$33,'Your Team'!$D$6)&gt;0),'Your Team'!$C$6="F" ),1,0)+IF( AND((COUNTIF(AI$2:AI$33,'Your Team'!$D$7)&gt;0),'Your Team'!$C$7="F" ),1,0)+IF( AND((COUNTIF(AI$2:AI$33,'Your Team'!$D$8)&gt;0),'Your Team'!$C$8="F" ),1,0)+IF( AND((COUNTIF(AI$2:AI$33,'Your Team'!$D$9)&gt;0),'Your Team'!$C$9="F" ),1,0)+IF( AND((COUNTIF(AI$2:AI$33,'Your Team'!$D$10)&gt;0),'Your Team'!$C$10="F" ),1,0)+IF( AND((COUNTIF(AI$2:AI$33,'Your Team'!$D$11)&gt;0),'Your Team'!$C$11="F" ),1,0)+IF( AND((COUNTIF(AI$2:AI$33,'Your Team'!$D$12)&gt;0),'Your Team'!$C$12="F" ),1,0)+IF( AND((COUNTIF(AI$2:AI$33,'Your Team'!$D$13)&gt;0),'Your Team'!$C$13="F" ),1,0)+IF( AND((COUNTIF(AI$2:AI$33,'Your Team'!$D$14)&gt;0),'Your Team'!$C$14="F" ),1,0)+IF( AND((COUNTIF(AI$2:AI$33,'Your Team'!$D$15)&gt;0),'Your Team'!$C$15="F" ),1,0)+IF( AND((COUNTIF(AI$2:AI$33,'Your Team'!$D$16)&gt;0),'Your Team'!$C$16="F" ),1,0)+IF( AND((COUNTIF(AI$2:AI$33,'Your Team'!$D$17)&gt;0),'Your Team'!$C$17="F" ),1,0)+IF( AND((COUNTIF(AI$2:AI$33,'Your Team'!$D$18)&gt;0),'Your Team'!$C$18="F" ),1,0)+IF( AND((COUNTIF(AI$2:AI$33,'Your Team'!$D$19)&gt;0),'Your Team'!$C$19="F" ),1,0)</f>
        <v>0</v>
      </c>
      <c r="AJ38" s="9">
        <f>IF( AND((COUNTIF(AJ$2:AJ$33,'Your Team'!$D$3)&gt;0),'Your Team'!$C$3="F" ),1,0)+IF( AND((COUNTIF(AJ$2:AJ$33,'Your Team'!$D$4)&gt;0),'Your Team'!$C$4="F" ),1,0)+IF( AND((COUNTIF(AJ$2:AJ$33,'Your Team'!$D$5)&gt;0),'Your Team'!$C$5="F" ),1,0)+IF( AND((COUNTIF(AJ$2:AJ$33,'Your Team'!$D$6)&gt;0),'Your Team'!$C$6="F" ),1,0)+IF( AND((COUNTIF(AJ$2:AJ$33,'Your Team'!$D$7)&gt;0),'Your Team'!$C$7="F" ),1,0)+IF( AND((COUNTIF(AJ$2:AJ$33,'Your Team'!$D$8)&gt;0),'Your Team'!$C$8="F" ),1,0)+IF( AND((COUNTIF(AJ$2:AJ$33,'Your Team'!$D$9)&gt;0),'Your Team'!$C$9="F" ),1,0)+IF( AND((COUNTIF(AJ$2:AJ$33,'Your Team'!$D$10)&gt;0),'Your Team'!$C$10="F" ),1,0)+IF( AND((COUNTIF(AJ$2:AJ$33,'Your Team'!$D$11)&gt;0),'Your Team'!$C$11="F" ),1,0)+IF( AND((COUNTIF(AJ$2:AJ$33,'Your Team'!$D$12)&gt;0),'Your Team'!$C$12="F" ),1,0)+IF( AND((COUNTIF(AJ$2:AJ$33,'Your Team'!$D$13)&gt;0),'Your Team'!$C$13="F" ),1,0)+IF( AND((COUNTIF(AJ$2:AJ$33,'Your Team'!$D$14)&gt;0),'Your Team'!$C$14="F" ),1,0)+IF( AND((COUNTIF(AJ$2:AJ$33,'Your Team'!$D$15)&gt;0),'Your Team'!$C$15="F" ),1,0)+IF( AND((COUNTIF(AJ$2:AJ$33,'Your Team'!$D$16)&gt;0),'Your Team'!$C$16="F" ),1,0)+IF( AND((COUNTIF(AJ$2:AJ$33,'Your Team'!$D$17)&gt;0),'Your Team'!$C$17="F" ),1,0)+IF( AND((COUNTIF(AJ$2:AJ$33,'Your Team'!$D$18)&gt;0),'Your Team'!$C$18="F" ),1,0)+IF( AND((COUNTIF(AJ$2:AJ$33,'Your Team'!$D$19)&gt;0),'Your Team'!$C$19="F" ),1,0)</f>
        <v>0</v>
      </c>
      <c r="AK38" s="9">
        <f>IF( AND((COUNTIF(AK$2:AK$33,'Your Team'!$D$3)&gt;0),'Your Team'!$C$3="F" ),1,0)+IF( AND((COUNTIF(AK$2:AK$33,'Your Team'!$D$4)&gt;0),'Your Team'!$C$4="F" ),1,0)+IF( AND((COUNTIF(AK$2:AK$33,'Your Team'!$D$5)&gt;0),'Your Team'!$C$5="F" ),1,0)+IF( AND((COUNTIF(AK$2:AK$33,'Your Team'!$D$6)&gt;0),'Your Team'!$C$6="F" ),1,0)+IF( AND((COUNTIF(AK$2:AK$33,'Your Team'!$D$7)&gt;0),'Your Team'!$C$7="F" ),1,0)+IF( AND((COUNTIF(AK$2:AK$33,'Your Team'!$D$8)&gt;0),'Your Team'!$C$8="F" ),1,0)+IF( AND((COUNTIF(AK$2:AK$33,'Your Team'!$D$9)&gt;0),'Your Team'!$C$9="F" ),1,0)+IF( AND((COUNTIF(AK$2:AK$33,'Your Team'!$D$10)&gt;0),'Your Team'!$C$10="F" ),1,0)+IF( AND((COUNTIF(AK$2:AK$33,'Your Team'!$D$11)&gt;0),'Your Team'!$C$11="F" ),1,0)+IF( AND((COUNTIF(AK$2:AK$33,'Your Team'!$D$12)&gt;0),'Your Team'!$C$12="F" ),1,0)+IF( AND((COUNTIF(AK$2:AK$33,'Your Team'!$D$13)&gt;0),'Your Team'!$C$13="F" ),1,0)+IF( AND((COUNTIF(AK$2:AK$33,'Your Team'!$D$14)&gt;0),'Your Team'!$C$14="F" ),1,0)+IF( AND((COUNTIF(AK$2:AK$33,'Your Team'!$D$15)&gt;0),'Your Team'!$C$15="F" ),1,0)+IF( AND((COUNTIF(AK$2:AK$33,'Your Team'!$D$16)&gt;0),'Your Team'!$C$16="F" ),1,0)+IF( AND((COUNTIF(AK$2:AK$33,'Your Team'!$D$17)&gt;0),'Your Team'!$C$17="F" ),1,0)+IF( AND((COUNTIF(AK$2:AK$33,'Your Team'!$D$18)&gt;0),'Your Team'!$C$18="F" ),1,0)+IF( AND((COUNTIF(AK$2:AK$33,'Your Team'!$D$19)&gt;0),'Your Team'!$C$19="F" ),1,0)</f>
        <v>0</v>
      </c>
      <c r="AL38" s="9">
        <f>IF( AND((COUNTIF(AL$2:AL$33,'Your Team'!$D$3)&gt;0),'Your Team'!$C$3="F" ),1,0)+IF( AND((COUNTIF(AL$2:AL$33,'Your Team'!$D$4)&gt;0),'Your Team'!$C$4="F" ),1,0)+IF( AND((COUNTIF(AL$2:AL$33,'Your Team'!$D$5)&gt;0),'Your Team'!$C$5="F" ),1,0)+IF( AND((COUNTIF(AL$2:AL$33,'Your Team'!$D$6)&gt;0),'Your Team'!$C$6="F" ),1,0)+IF( AND((COUNTIF(AL$2:AL$33,'Your Team'!$D$7)&gt;0),'Your Team'!$C$7="F" ),1,0)+IF( AND((COUNTIF(AL$2:AL$33,'Your Team'!$D$8)&gt;0),'Your Team'!$C$8="F" ),1,0)+IF( AND((COUNTIF(AL$2:AL$33,'Your Team'!$D$9)&gt;0),'Your Team'!$C$9="F" ),1,0)+IF( AND((COUNTIF(AL$2:AL$33,'Your Team'!$D$10)&gt;0),'Your Team'!$C$10="F" ),1,0)+IF( AND((COUNTIF(AL$2:AL$33,'Your Team'!$D$11)&gt;0),'Your Team'!$C$11="F" ),1,0)+IF( AND((COUNTIF(AL$2:AL$33,'Your Team'!$D$12)&gt;0),'Your Team'!$C$12="F" ),1,0)+IF( AND((COUNTIF(AL$2:AL$33,'Your Team'!$D$13)&gt;0),'Your Team'!$C$13="F" ),1,0)+IF( AND((COUNTIF(AL$2:AL$33,'Your Team'!$D$14)&gt;0),'Your Team'!$C$14="F" ),1,0)+IF( AND((COUNTIF(AL$2:AL$33,'Your Team'!$D$15)&gt;0),'Your Team'!$C$15="F" ),1,0)+IF( AND((COUNTIF(AL$2:AL$33,'Your Team'!$D$16)&gt;0),'Your Team'!$C$16="F" ),1,0)+IF( AND((COUNTIF(AL$2:AL$33,'Your Team'!$D$17)&gt;0),'Your Team'!$C$17="F" ),1,0)+IF( AND((COUNTIF(AL$2:AL$33,'Your Team'!$D$18)&gt;0),'Your Team'!$C$18="F" ),1,0)+IF( AND((COUNTIF(AL$2:AL$33,'Your Team'!$D$19)&gt;0),'Your Team'!$C$19="F" ),1,0)</f>
        <v>0</v>
      </c>
      <c r="AM38" s="9">
        <f>IF( AND((COUNTIF(AM$2:AM$33,'Your Team'!$D$3)&gt;0),'Your Team'!$C$3="F" ),1,0)+IF( AND((COUNTIF(AM$2:AM$33,'Your Team'!$D$4)&gt;0),'Your Team'!$C$4="F" ),1,0)+IF( AND((COUNTIF(AM$2:AM$33,'Your Team'!$D$5)&gt;0),'Your Team'!$C$5="F" ),1,0)+IF( AND((COUNTIF(AM$2:AM$33,'Your Team'!$D$6)&gt;0),'Your Team'!$C$6="F" ),1,0)+IF( AND((COUNTIF(AM$2:AM$33,'Your Team'!$D$7)&gt;0),'Your Team'!$C$7="F" ),1,0)+IF( AND((COUNTIF(AM$2:AM$33,'Your Team'!$D$8)&gt;0),'Your Team'!$C$8="F" ),1,0)+IF( AND((COUNTIF(AM$2:AM$33,'Your Team'!$D$9)&gt;0),'Your Team'!$C$9="F" ),1,0)+IF( AND((COUNTIF(AM$2:AM$33,'Your Team'!$D$10)&gt;0),'Your Team'!$C$10="F" ),1,0)+IF( AND((COUNTIF(AM$2:AM$33,'Your Team'!$D$11)&gt;0),'Your Team'!$C$11="F" ),1,0)+IF( AND((COUNTIF(AM$2:AM$33,'Your Team'!$D$12)&gt;0),'Your Team'!$C$12="F" ),1,0)+IF( AND((COUNTIF(AM$2:AM$33,'Your Team'!$D$13)&gt;0),'Your Team'!$C$13="F" ),1,0)+IF( AND((COUNTIF(AM$2:AM$33,'Your Team'!$D$14)&gt;0),'Your Team'!$C$14="F" ),1,0)+IF( AND((COUNTIF(AM$2:AM$33,'Your Team'!$D$15)&gt;0),'Your Team'!$C$15="F" ),1,0)+IF( AND((COUNTIF(AM$2:AM$33,'Your Team'!$D$16)&gt;0),'Your Team'!$C$16="F" ),1,0)+IF( AND((COUNTIF(AM$2:AM$33,'Your Team'!$D$17)&gt;0),'Your Team'!$C$17="F" ),1,0)+IF( AND((COUNTIF(AM$2:AM$33,'Your Team'!$D$18)&gt;0),'Your Team'!$C$18="F" ),1,0)+IF( AND((COUNTIF(AM$2:AM$33,'Your Team'!$D$19)&gt;0),'Your Team'!$C$19="F" ),1,0)</f>
        <v>0</v>
      </c>
      <c r="AN38" s="9">
        <f>IF( AND((COUNTIF(AN$2:AN$33,'Your Team'!$D$3)&gt;0),'Your Team'!$C$3="F" ),1,0)+IF( AND((COUNTIF(AN$2:AN$33,'Your Team'!$D$4)&gt;0),'Your Team'!$C$4="F" ),1,0)+IF( AND((COUNTIF(AN$2:AN$33,'Your Team'!$D$5)&gt;0),'Your Team'!$C$5="F" ),1,0)+IF( AND((COUNTIF(AN$2:AN$33,'Your Team'!$D$6)&gt;0),'Your Team'!$C$6="F" ),1,0)+IF( AND((COUNTIF(AN$2:AN$33,'Your Team'!$D$7)&gt;0),'Your Team'!$C$7="F" ),1,0)+IF( AND((COUNTIF(AN$2:AN$33,'Your Team'!$D$8)&gt;0),'Your Team'!$C$8="F" ),1,0)+IF( AND((COUNTIF(AN$2:AN$33,'Your Team'!$D$9)&gt;0),'Your Team'!$C$9="F" ),1,0)+IF( AND((COUNTIF(AN$2:AN$33,'Your Team'!$D$10)&gt;0),'Your Team'!$C$10="F" ),1,0)+IF( AND((COUNTIF(AN$2:AN$33,'Your Team'!$D$11)&gt;0),'Your Team'!$C$11="F" ),1,0)+IF( AND((COUNTIF(AN$2:AN$33,'Your Team'!$D$12)&gt;0),'Your Team'!$C$12="F" ),1,0)+IF( AND((COUNTIF(AN$2:AN$33,'Your Team'!$D$13)&gt;0),'Your Team'!$C$13="F" ),1,0)+IF( AND((COUNTIF(AN$2:AN$33,'Your Team'!$D$14)&gt;0),'Your Team'!$C$14="F" ),1,0)+IF( AND((COUNTIF(AN$2:AN$33,'Your Team'!$D$15)&gt;0),'Your Team'!$C$15="F" ),1,0)+IF( AND((COUNTIF(AN$2:AN$33,'Your Team'!$D$16)&gt;0),'Your Team'!$C$16="F" ),1,0)+IF( AND((COUNTIF(AN$2:AN$33,'Your Team'!$D$17)&gt;0),'Your Team'!$C$17="F" ),1,0)+IF( AND((COUNTIF(AN$2:AN$33,'Your Team'!$D$18)&gt;0),'Your Team'!$C$18="F" ),1,0)+IF( AND((COUNTIF(AN$2:AN$33,'Your Team'!$D$19)&gt;0),'Your Team'!$C$19="F" ),1,0)</f>
        <v>0</v>
      </c>
      <c r="AO38" s="9">
        <f>IF( AND((COUNTIF(AO$2:AO$33,'Your Team'!$D$3)&gt;0),'Your Team'!$C$3="F" ),1,0)+IF( AND((COUNTIF(AO$2:AO$33,'Your Team'!$D$4)&gt;0),'Your Team'!$C$4="F" ),1,0)+IF( AND((COUNTIF(AO$2:AO$33,'Your Team'!$D$5)&gt;0),'Your Team'!$C$5="F" ),1,0)+IF( AND((COUNTIF(AO$2:AO$33,'Your Team'!$D$6)&gt;0),'Your Team'!$C$6="F" ),1,0)+IF( AND((COUNTIF(AO$2:AO$33,'Your Team'!$D$7)&gt;0),'Your Team'!$C$7="F" ),1,0)+IF( AND((COUNTIF(AO$2:AO$33,'Your Team'!$D$8)&gt;0),'Your Team'!$C$8="F" ),1,0)+IF( AND((COUNTIF(AO$2:AO$33,'Your Team'!$D$9)&gt;0),'Your Team'!$C$9="F" ),1,0)+IF( AND((COUNTIF(AO$2:AO$33,'Your Team'!$D$10)&gt;0),'Your Team'!$C$10="F" ),1,0)+IF( AND((COUNTIF(AO$2:AO$33,'Your Team'!$D$11)&gt;0),'Your Team'!$C$11="F" ),1,0)+IF( AND((COUNTIF(AO$2:AO$33,'Your Team'!$D$12)&gt;0),'Your Team'!$C$12="F" ),1,0)+IF( AND((COUNTIF(AO$2:AO$33,'Your Team'!$D$13)&gt;0),'Your Team'!$C$13="F" ),1,0)+IF( AND((COUNTIF(AO$2:AO$33,'Your Team'!$D$14)&gt;0),'Your Team'!$C$14="F" ),1,0)+IF( AND((COUNTIF(AO$2:AO$33,'Your Team'!$D$15)&gt;0),'Your Team'!$C$15="F" ),1,0)+IF( AND((COUNTIF(AO$2:AO$33,'Your Team'!$D$16)&gt;0),'Your Team'!$C$16="F" ),1,0)+IF( AND((COUNTIF(AO$2:AO$33,'Your Team'!$D$17)&gt;0),'Your Team'!$C$17="F" ),1,0)+IF( AND((COUNTIF(AO$2:AO$33,'Your Team'!$D$18)&gt;0),'Your Team'!$C$18="F" ),1,0)+IF( AND((COUNTIF(AO$2:AO$33,'Your Team'!$D$19)&gt;0),'Your Team'!$C$19="F" ),1,0)</f>
        <v>0</v>
      </c>
      <c r="AP38" s="9">
        <f>IF( AND((COUNTIF(AP$2:AP$33,'Your Team'!$D$3)&gt;0),'Your Team'!$C$3="F" ),1,0)+IF( AND((COUNTIF(AP$2:AP$33,'Your Team'!$D$4)&gt;0),'Your Team'!$C$4="F" ),1,0)+IF( AND((COUNTIF(AP$2:AP$33,'Your Team'!$D$5)&gt;0),'Your Team'!$C$5="F" ),1,0)+IF( AND((COUNTIF(AP$2:AP$33,'Your Team'!$D$6)&gt;0),'Your Team'!$C$6="F" ),1,0)+IF( AND((COUNTIF(AP$2:AP$33,'Your Team'!$D$7)&gt;0),'Your Team'!$C$7="F" ),1,0)+IF( AND((COUNTIF(AP$2:AP$33,'Your Team'!$D$8)&gt;0),'Your Team'!$C$8="F" ),1,0)+IF( AND((COUNTIF(AP$2:AP$33,'Your Team'!$D$9)&gt;0),'Your Team'!$C$9="F" ),1,0)+IF( AND((COUNTIF(AP$2:AP$33,'Your Team'!$D$10)&gt;0),'Your Team'!$C$10="F" ),1,0)+IF( AND((COUNTIF(AP$2:AP$33,'Your Team'!$D$11)&gt;0),'Your Team'!$C$11="F" ),1,0)+IF( AND((COUNTIF(AP$2:AP$33,'Your Team'!$D$12)&gt;0),'Your Team'!$C$12="F" ),1,0)+IF( AND((COUNTIF(AP$2:AP$33,'Your Team'!$D$13)&gt;0),'Your Team'!$C$13="F" ),1,0)+IF( AND((COUNTIF(AP$2:AP$33,'Your Team'!$D$14)&gt;0),'Your Team'!$C$14="F" ),1,0)+IF( AND((COUNTIF(AP$2:AP$33,'Your Team'!$D$15)&gt;0),'Your Team'!$C$15="F" ),1,0)+IF( AND((COUNTIF(AP$2:AP$33,'Your Team'!$D$16)&gt;0),'Your Team'!$C$16="F" ),1,0)+IF( AND((COUNTIF(AP$2:AP$33,'Your Team'!$D$17)&gt;0),'Your Team'!$C$17="F" ),1,0)+IF( AND((COUNTIF(AP$2:AP$33,'Your Team'!$D$18)&gt;0),'Your Team'!$C$18="F" ),1,0)+IF( AND((COUNTIF(AP$2:AP$33,'Your Team'!$D$19)&gt;0),'Your Team'!$C$19="F" ),1,0)</f>
        <v>0</v>
      </c>
      <c r="AQ38" s="9">
        <f>IF( AND((COUNTIF(AQ$2:AQ$33,'Your Team'!$D$3)&gt;0),'Your Team'!$C$3="F" ),1,0)+IF( AND((COUNTIF(AQ$2:AQ$33,'Your Team'!$D$4)&gt;0),'Your Team'!$C$4="F" ),1,0)+IF( AND((COUNTIF(AQ$2:AQ$33,'Your Team'!$D$5)&gt;0),'Your Team'!$C$5="F" ),1,0)+IF( AND((COUNTIF(AQ$2:AQ$33,'Your Team'!$D$6)&gt;0),'Your Team'!$C$6="F" ),1,0)+IF( AND((COUNTIF(AQ$2:AQ$33,'Your Team'!$D$7)&gt;0),'Your Team'!$C$7="F" ),1,0)+IF( AND((COUNTIF(AQ$2:AQ$33,'Your Team'!$D$8)&gt;0),'Your Team'!$C$8="F" ),1,0)+IF( AND((COUNTIF(AQ$2:AQ$33,'Your Team'!$D$9)&gt;0),'Your Team'!$C$9="F" ),1,0)+IF( AND((COUNTIF(AQ$2:AQ$33,'Your Team'!$D$10)&gt;0),'Your Team'!$C$10="F" ),1,0)+IF( AND((COUNTIF(AQ$2:AQ$33,'Your Team'!$D$11)&gt;0),'Your Team'!$C$11="F" ),1,0)+IF( AND((COUNTIF(AQ$2:AQ$33,'Your Team'!$D$12)&gt;0),'Your Team'!$C$12="F" ),1,0)+IF( AND((COUNTIF(AQ$2:AQ$33,'Your Team'!$D$13)&gt;0),'Your Team'!$C$13="F" ),1,0)+IF( AND((COUNTIF(AQ$2:AQ$33,'Your Team'!$D$14)&gt;0),'Your Team'!$C$14="F" ),1,0)+IF( AND((COUNTIF(AQ$2:AQ$33,'Your Team'!$D$15)&gt;0),'Your Team'!$C$15="F" ),1,0)+IF( AND((COUNTIF(AQ$2:AQ$33,'Your Team'!$D$16)&gt;0),'Your Team'!$C$16="F" ),1,0)+IF( AND((COUNTIF(AQ$2:AQ$33,'Your Team'!$D$17)&gt;0),'Your Team'!$C$17="F" ),1,0)+IF( AND((COUNTIF(AQ$2:AQ$33,'Your Team'!$D$18)&gt;0),'Your Team'!$C$18="F" ),1,0)+IF( AND((COUNTIF(AQ$2:AQ$33,'Your Team'!$D$19)&gt;0),'Your Team'!$C$19="F" ),1,0)</f>
        <v>0</v>
      </c>
      <c r="AR38" s="9">
        <f>IF( AND((COUNTIF(AR$2:AR$33,'Your Team'!$D$3)&gt;0),'Your Team'!$C$3="F" ),1,0)+IF( AND((COUNTIF(AR$2:AR$33,'Your Team'!$D$4)&gt;0),'Your Team'!$C$4="F" ),1,0)+IF( AND((COUNTIF(AR$2:AR$33,'Your Team'!$D$5)&gt;0),'Your Team'!$C$5="F" ),1,0)+IF( AND((COUNTIF(AR$2:AR$33,'Your Team'!$D$6)&gt;0),'Your Team'!$C$6="F" ),1,0)+IF( AND((COUNTIF(AR$2:AR$33,'Your Team'!$D$7)&gt;0),'Your Team'!$C$7="F" ),1,0)+IF( AND((COUNTIF(AR$2:AR$33,'Your Team'!$D$8)&gt;0),'Your Team'!$C$8="F" ),1,0)+IF( AND((COUNTIF(AR$2:AR$33,'Your Team'!$D$9)&gt;0),'Your Team'!$C$9="F" ),1,0)+IF( AND((COUNTIF(AR$2:AR$33,'Your Team'!$D$10)&gt;0),'Your Team'!$C$10="F" ),1,0)+IF( AND((COUNTIF(AR$2:AR$33,'Your Team'!$D$11)&gt;0),'Your Team'!$C$11="F" ),1,0)+IF( AND((COUNTIF(AR$2:AR$33,'Your Team'!$D$12)&gt;0),'Your Team'!$C$12="F" ),1,0)+IF( AND((COUNTIF(AR$2:AR$33,'Your Team'!$D$13)&gt;0),'Your Team'!$C$13="F" ),1,0)+IF( AND((COUNTIF(AR$2:AR$33,'Your Team'!$D$14)&gt;0),'Your Team'!$C$14="F" ),1,0)+IF( AND((COUNTIF(AR$2:AR$33,'Your Team'!$D$15)&gt;0),'Your Team'!$C$15="F" ),1,0)+IF( AND((COUNTIF(AR$2:AR$33,'Your Team'!$D$16)&gt;0),'Your Team'!$C$16="F" ),1,0)+IF( AND((COUNTIF(AR$2:AR$33,'Your Team'!$D$17)&gt;0),'Your Team'!$C$17="F" ),1,0)+IF( AND((COUNTIF(AR$2:AR$33,'Your Team'!$D$18)&gt;0),'Your Team'!$C$18="F" ),1,0)+IF( AND((COUNTIF(AR$2:AR$33,'Your Team'!$D$19)&gt;0),'Your Team'!$C$19="F" ),1,0)</f>
        <v>0</v>
      </c>
      <c r="AS38" s="9">
        <f>IF( AND((COUNTIF(AS$2:AS$33,'Your Team'!$D$3)&gt;0),'Your Team'!$C$3="F" ),1,0)+IF( AND((COUNTIF(AS$2:AS$33,'Your Team'!$D$4)&gt;0),'Your Team'!$C$4="F" ),1,0)+IF( AND((COUNTIF(AS$2:AS$33,'Your Team'!$D$5)&gt;0),'Your Team'!$C$5="F" ),1,0)+IF( AND((COUNTIF(AS$2:AS$33,'Your Team'!$D$6)&gt;0),'Your Team'!$C$6="F" ),1,0)+IF( AND((COUNTIF(AS$2:AS$33,'Your Team'!$D$7)&gt;0),'Your Team'!$C$7="F" ),1,0)+IF( AND((COUNTIF(AS$2:AS$33,'Your Team'!$D$8)&gt;0),'Your Team'!$C$8="F" ),1,0)+IF( AND((COUNTIF(AS$2:AS$33,'Your Team'!$D$9)&gt;0),'Your Team'!$C$9="F" ),1,0)+IF( AND((COUNTIF(AS$2:AS$33,'Your Team'!$D$10)&gt;0),'Your Team'!$C$10="F" ),1,0)+IF( AND((COUNTIF(AS$2:AS$33,'Your Team'!$D$11)&gt;0),'Your Team'!$C$11="F" ),1,0)+IF( AND((COUNTIF(AS$2:AS$33,'Your Team'!$D$12)&gt;0),'Your Team'!$C$12="F" ),1,0)+IF( AND((COUNTIF(AS$2:AS$33,'Your Team'!$D$13)&gt;0),'Your Team'!$C$13="F" ),1,0)+IF( AND((COUNTIF(AS$2:AS$33,'Your Team'!$D$14)&gt;0),'Your Team'!$C$14="F" ),1,0)+IF( AND((COUNTIF(AS$2:AS$33,'Your Team'!$D$15)&gt;0),'Your Team'!$C$15="F" ),1,0)+IF( AND((COUNTIF(AS$2:AS$33,'Your Team'!$D$16)&gt;0),'Your Team'!$C$16="F" ),1,0)+IF( AND((COUNTIF(AS$2:AS$33,'Your Team'!$D$17)&gt;0),'Your Team'!$C$17="F" ),1,0)+IF( AND((COUNTIF(AS$2:AS$33,'Your Team'!$D$18)&gt;0),'Your Team'!$C$18="F" ),1,0)+IF( AND((COUNTIF(AS$2:AS$33,'Your Team'!$D$19)&gt;0),'Your Team'!$C$19="F" ),1,0)</f>
        <v>0</v>
      </c>
      <c r="AT38" s="9">
        <f>IF( AND((COUNTIF(AT$2:AT$33,'Your Team'!$D$3)&gt;0),'Your Team'!$C$3="F" ),1,0)+IF( AND((COUNTIF(AT$2:AT$33,'Your Team'!$D$4)&gt;0),'Your Team'!$C$4="F" ),1,0)+IF( AND((COUNTIF(AT$2:AT$33,'Your Team'!$D$5)&gt;0),'Your Team'!$C$5="F" ),1,0)+IF( AND((COUNTIF(AT$2:AT$33,'Your Team'!$D$6)&gt;0),'Your Team'!$C$6="F" ),1,0)+IF( AND((COUNTIF(AT$2:AT$33,'Your Team'!$D$7)&gt;0),'Your Team'!$C$7="F" ),1,0)+IF( AND((COUNTIF(AT$2:AT$33,'Your Team'!$D$8)&gt;0),'Your Team'!$C$8="F" ),1,0)+IF( AND((COUNTIF(AT$2:AT$33,'Your Team'!$D$9)&gt;0),'Your Team'!$C$9="F" ),1,0)+IF( AND((COUNTIF(AT$2:AT$33,'Your Team'!$D$10)&gt;0),'Your Team'!$C$10="F" ),1,0)+IF( AND((COUNTIF(AT$2:AT$33,'Your Team'!$D$11)&gt;0),'Your Team'!$C$11="F" ),1,0)+IF( AND((COUNTIF(AT$2:AT$33,'Your Team'!$D$12)&gt;0),'Your Team'!$C$12="F" ),1,0)+IF( AND((COUNTIF(AT$2:AT$33,'Your Team'!$D$13)&gt;0),'Your Team'!$C$13="F" ),1,0)+IF( AND((COUNTIF(AT$2:AT$33,'Your Team'!$D$14)&gt;0),'Your Team'!$C$14="F" ),1,0)+IF( AND((COUNTIF(AT$2:AT$33,'Your Team'!$D$15)&gt;0),'Your Team'!$C$15="F" ),1,0)+IF( AND((COUNTIF(AT$2:AT$33,'Your Team'!$D$16)&gt;0),'Your Team'!$C$16="F" ),1,0)+IF( AND((COUNTIF(AT$2:AT$33,'Your Team'!$D$17)&gt;0),'Your Team'!$C$17="F" ),1,0)+IF( AND((COUNTIF(AT$2:AT$33,'Your Team'!$D$18)&gt;0),'Your Team'!$C$18="F" ),1,0)+IF( AND((COUNTIF(AT$2:AT$33,'Your Team'!$D$19)&gt;0),'Your Team'!$C$19="F" ),1,0)</f>
        <v>0</v>
      </c>
      <c r="AU38" s="9">
        <f>IF( AND((COUNTIF(AU$2:AU$33,'Your Team'!$D$3)&gt;0),'Your Team'!$C$3="F" ),1,0)+IF( AND((COUNTIF(AU$2:AU$33,'Your Team'!$D$4)&gt;0),'Your Team'!$C$4="F" ),1,0)+IF( AND((COUNTIF(AU$2:AU$33,'Your Team'!$D$5)&gt;0),'Your Team'!$C$5="F" ),1,0)+IF( AND((COUNTIF(AU$2:AU$33,'Your Team'!$D$6)&gt;0),'Your Team'!$C$6="F" ),1,0)+IF( AND((COUNTIF(AU$2:AU$33,'Your Team'!$D$7)&gt;0),'Your Team'!$C$7="F" ),1,0)+IF( AND((COUNTIF(AU$2:AU$33,'Your Team'!$D$8)&gt;0),'Your Team'!$C$8="F" ),1,0)+IF( AND((COUNTIF(AU$2:AU$33,'Your Team'!$D$9)&gt;0),'Your Team'!$C$9="F" ),1,0)+IF( AND((COUNTIF(AU$2:AU$33,'Your Team'!$D$10)&gt;0),'Your Team'!$C$10="F" ),1,0)+IF( AND((COUNTIF(AU$2:AU$33,'Your Team'!$D$11)&gt;0),'Your Team'!$C$11="F" ),1,0)+IF( AND((COUNTIF(AU$2:AU$33,'Your Team'!$D$12)&gt;0),'Your Team'!$C$12="F" ),1,0)+IF( AND((COUNTIF(AU$2:AU$33,'Your Team'!$D$13)&gt;0),'Your Team'!$C$13="F" ),1,0)+IF( AND((COUNTIF(AU$2:AU$33,'Your Team'!$D$14)&gt;0),'Your Team'!$C$14="F" ),1,0)+IF( AND((COUNTIF(AU$2:AU$33,'Your Team'!$D$15)&gt;0),'Your Team'!$C$15="F" ),1,0)+IF( AND((COUNTIF(AU$2:AU$33,'Your Team'!$D$16)&gt;0),'Your Team'!$C$16="F" ),1,0)+IF( AND((COUNTIF(AU$2:AU$33,'Your Team'!$D$17)&gt;0),'Your Team'!$C$17="F" ),1,0)+IF( AND((COUNTIF(AU$2:AU$33,'Your Team'!$D$18)&gt;0),'Your Team'!$C$18="F" ),1,0)+IF( AND((COUNTIF(AU$2:AU$33,'Your Team'!$D$19)&gt;0),'Your Team'!$C$19="F" ),1,0)</f>
        <v>0</v>
      </c>
      <c r="AV38" s="9">
        <f>IF( AND((COUNTIF(AV$2:AV$33,'Your Team'!$D$3)&gt;0),'Your Team'!$C$3="F" ),1,0)+IF( AND((COUNTIF(AV$2:AV$33,'Your Team'!$D$4)&gt;0),'Your Team'!$C$4="F" ),1,0)+IF( AND((COUNTIF(AV$2:AV$33,'Your Team'!$D$5)&gt;0),'Your Team'!$C$5="F" ),1,0)+IF( AND((COUNTIF(AV$2:AV$33,'Your Team'!$D$6)&gt;0),'Your Team'!$C$6="F" ),1,0)+IF( AND((COUNTIF(AV$2:AV$33,'Your Team'!$D$7)&gt;0),'Your Team'!$C$7="F" ),1,0)+IF( AND((COUNTIF(AV$2:AV$33,'Your Team'!$D$8)&gt;0),'Your Team'!$C$8="F" ),1,0)+IF( AND((COUNTIF(AV$2:AV$33,'Your Team'!$D$9)&gt;0),'Your Team'!$C$9="F" ),1,0)+IF( AND((COUNTIF(AV$2:AV$33,'Your Team'!$D$10)&gt;0),'Your Team'!$C$10="F" ),1,0)+IF( AND((COUNTIF(AV$2:AV$33,'Your Team'!$D$11)&gt;0),'Your Team'!$C$11="F" ),1,0)+IF( AND((COUNTIF(AV$2:AV$33,'Your Team'!$D$12)&gt;0),'Your Team'!$C$12="F" ),1,0)+IF( AND((COUNTIF(AV$2:AV$33,'Your Team'!$D$13)&gt;0),'Your Team'!$C$13="F" ),1,0)+IF( AND((COUNTIF(AV$2:AV$33,'Your Team'!$D$14)&gt;0),'Your Team'!$C$14="F" ),1,0)+IF( AND((COUNTIF(AV$2:AV$33,'Your Team'!$D$15)&gt;0),'Your Team'!$C$15="F" ),1,0)+IF( AND((COUNTIF(AV$2:AV$33,'Your Team'!$D$16)&gt;0),'Your Team'!$C$16="F" ),1,0)+IF( AND((COUNTIF(AV$2:AV$33,'Your Team'!$D$17)&gt;0),'Your Team'!$C$17="F" ),1,0)+IF( AND((COUNTIF(AV$2:AV$33,'Your Team'!$D$18)&gt;0),'Your Team'!$C$18="F" ),1,0)+IF( AND((COUNTIF(AV$2:AV$33,'Your Team'!$D$19)&gt;0),'Your Team'!$C$19="F" ),1,0)</f>
        <v>0</v>
      </c>
      <c r="AW38" s="9">
        <f>IF( AND((COUNTIF(AW$2:AW$33,'Your Team'!$D$3)&gt;0),'Your Team'!$C$3="F" ),1,0)+IF( AND((COUNTIF(AW$2:AW$33,'Your Team'!$D$4)&gt;0),'Your Team'!$C$4="F" ),1,0)+IF( AND((COUNTIF(AW$2:AW$33,'Your Team'!$D$5)&gt;0),'Your Team'!$C$5="F" ),1,0)+IF( AND((COUNTIF(AW$2:AW$33,'Your Team'!$D$6)&gt;0),'Your Team'!$C$6="F" ),1,0)+IF( AND((COUNTIF(AW$2:AW$33,'Your Team'!$D$7)&gt;0),'Your Team'!$C$7="F" ),1,0)+IF( AND((COUNTIF(AW$2:AW$33,'Your Team'!$D$8)&gt;0),'Your Team'!$C$8="F" ),1,0)+IF( AND((COUNTIF(AW$2:AW$33,'Your Team'!$D$9)&gt;0),'Your Team'!$C$9="F" ),1,0)+IF( AND((COUNTIF(AW$2:AW$33,'Your Team'!$D$10)&gt;0),'Your Team'!$C$10="F" ),1,0)+IF( AND((COUNTIF(AW$2:AW$33,'Your Team'!$D$11)&gt;0),'Your Team'!$C$11="F" ),1,0)+IF( AND((COUNTIF(AW$2:AW$33,'Your Team'!$D$12)&gt;0),'Your Team'!$C$12="F" ),1,0)+IF( AND((COUNTIF(AW$2:AW$33,'Your Team'!$D$13)&gt;0),'Your Team'!$C$13="F" ),1,0)+IF( AND((COUNTIF(AW$2:AW$33,'Your Team'!$D$14)&gt;0),'Your Team'!$C$14="F" ),1,0)+IF( AND((COUNTIF(AW$2:AW$33,'Your Team'!$D$15)&gt;0),'Your Team'!$C$15="F" ),1,0)+IF( AND((COUNTIF(AW$2:AW$33,'Your Team'!$D$16)&gt;0),'Your Team'!$C$16="F" ),1,0)+IF( AND((COUNTIF(AW$2:AW$33,'Your Team'!$D$17)&gt;0),'Your Team'!$C$17="F" ),1,0)+IF( AND((COUNTIF(AW$2:AW$33,'Your Team'!$D$18)&gt;0),'Your Team'!$C$18="F" ),1,0)+IF( AND((COUNTIF(AW$2:AW$33,'Your Team'!$D$19)&gt;0),'Your Team'!$C$19="F" ),1,0)</f>
        <v>0</v>
      </c>
      <c r="AX38" s="9">
        <f>IF( AND((COUNTIF(AX$2:AX$33,'Your Team'!$D$3)&gt;0),'Your Team'!$C$3="F" ),1,0)+IF( AND((COUNTIF(AX$2:AX$33,'Your Team'!$D$4)&gt;0),'Your Team'!$C$4="F" ),1,0)+IF( AND((COUNTIF(AX$2:AX$33,'Your Team'!$D$5)&gt;0),'Your Team'!$C$5="F" ),1,0)+IF( AND((COUNTIF(AX$2:AX$33,'Your Team'!$D$6)&gt;0),'Your Team'!$C$6="F" ),1,0)+IF( AND((COUNTIF(AX$2:AX$33,'Your Team'!$D$7)&gt;0),'Your Team'!$C$7="F" ),1,0)+IF( AND((COUNTIF(AX$2:AX$33,'Your Team'!$D$8)&gt;0),'Your Team'!$C$8="F" ),1,0)+IF( AND((COUNTIF(AX$2:AX$33,'Your Team'!$D$9)&gt;0),'Your Team'!$C$9="F" ),1,0)+IF( AND((COUNTIF(AX$2:AX$33,'Your Team'!$D$10)&gt;0),'Your Team'!$C$10="F" ),1,0)+IF( AND((COUNTIF(AX$2:AX$33,'Your Team'!$D$11)&gt;0),'Your Team'!$C$11="F" ),1,0)+IF( AND((COUNTIF(AX$2:AX$33,'Your Team'!$D$12)&gt;0),'Your Team'!$C$12="F" ),1,0)+IF( AND((COUNTIF(AX$2:AX$33,'Your Team'!$D$13)&gt;0),'Your Team'!$C$13="F" ),1,0)+IF( AND((COUNTIF(AX$2:AX$33,'Your Team'!$D$14)&gt;0),'Your Team'!$C$14="F" ),1,0)+IF( AND((COUNTIF(AX$2:AX$33,'Your Team'!$D$15)&gt;0),'Your Team'!$C$15="F" ),1,0)+IF( AND((COUNTIF(AX$2:AX$33,'Your Team'!$D$16)&gt;0),'Your Team'!$C$16="F" ),1,0)+IF( AND((COUNTIF(AX$2:AX$33,'Your Team'!$D$17)&gt;0),'Your Team'!$C$17="F" ),1,0)+IF( AND((COUNTIF(AX$2:AX$33,'Your Team'!$D$18)&gt;0),'Your Team'!$C$18="F" ),1,0)+IF( AND((COUNTIF(AX$2:AX$33,'Your Team'!$D$19)&gt;0),'Your Team'!$C$19="F" ),1,0)</f>
        <v>0</v>
      </c>
      <c r="AY38" s="9">
        <f>IF( AND((COUNTIF(AY$2:AY$33,'Your Team'!$D$3)&gt;0),'Your Team'!$C$3="F" ),1,0)+IF( AND((COUNTIF(AY$2:AY$33,'Your Team'!$D$4)&gt;0),'Your Team'!$C$4="F" ),1,0)+IF( AND((COUNTIF(AY$2:AY$33,'Your Team'!$D$5)&gt;0),'Your Team'!$C$5="F" ),1,0)+IF( AND((COUNTIF(AY$2:AY$33,'Your Team'!$D$6)&gt;0),'Your Team'!$C$6="F" ),1,0)+IF( AND((COUNTIF(AY$2:AY$33,'Your Team'!$D$7)&gt;0),'Your Team'!$C$7="F" ),1,0)+IF( AND((COUNTIF(AY$2:AY$33,'Your Team'!$D$8)&gt;0),'Your Team'!$C$8="F" ),1,0)+IF( AND((COUNTIF(AY$2:AY$33,'Your Team'!$D$9)&gt;0),'Your Team'!$C$9="F" ),1,0)+IF( AND((COUNTIF(AY$2:AY$33,'Your Team'!$D$10)&gt;0),'Your Team'!$C$10="F" ),1,0)+IF( AND((COUNTIF(AY$2:AY$33,'Your Team'!$D$11)&gt;0),'Your Team'!$C$11="F" ),1,0)+IF( AND((COUNTIF(AY$2:AY$33,'Your Team'!$D$12)&gt;0),'Your Team'!$C$12="F" ),1,0)+IF( AND((COUNTIF(AY$2:AY$33,'Your Team'!$D$13)&gt;0),'Your Team'!$C$13="F" ),1,0)+IF( AND((COUNTIF(AY$2:AY$33,'Your Team'!$D$14)&gt;0),'Your Team'!$C$14="F" ),1,0)+IF( AND((COUNTIF(AY$2:AY$33,'Your Team'!$D$15)&gt;0),'Your Team'!$C$15="F" ),1,0)+IF( AND((COUNTIF(AY$2:AY$33,'Your Team'!$D$16)&gt;0),'Your Team'!$C$16="F" ),1,0)+IF( AND((COUNTIF(AY$2:AY$33,'Your Team'!$D$17)&gt;0),'Your Team'!$C$17="F" ),1,0)+IF( AND((COUNTIF(AY$2:AY$33,'Your Team'!$D$18)&gt;0),'Your Team'!$C$18="F" ),1,0)+IF( AND((COUNTIF(AY$2:AY$33,'Your Team'!$D$19)&gt;0),'Your Team'!$C$19="F" ),1,0)</f>
        <v>0</v>
      </c>
      <c r="AZ38" s="9">
        <f>IF( AND((COUNTIF(AZ$2:AZ$33,'Your Team'!$D$3)&gt;0),'Your Team'!$C$3="F" ),1,0)+IF( AND((COUNTIF(AZ$2:AZ$33,'Your Team'!$D$4)&gt;0),'Your Team'!$C$4="F" ),1,0)+IF( AND((COUNTIF(AZ$2:AZ$33,'Your Team'!$D$5)&gt;0),'Your Team'!$C$5="F" ),1,0)+IF( AND((COUNTIF(AZ$2:AZ$33,'Your Team'!$D$6)&gt;0),'Your Team'!$C$6="F" ),1,0)+IF( AND((COUNTIF(AZ$2:AZ$33,'Your Team'!$D$7)&gt;0),'Your Team'!$C$7="F" ),1,0)+IF( AND((COUNTIF(AZ$2:AZ$33,'Your Team'!$D$8)&gt;0),'Your Team'!$C$8="F" ),1,0)+IF( AND((COUNTIF(AZ$2:AZ$33,'Your Team'!$D$9)&gt;0),'Your Team'!$C$9="F" ),1,0)+IF( AND((COUNTIF(AZ$2:AZ$33,'Your Team'!$D$10)&gt;0),'Your Team'!$C$10="F" ),1,0)+IF( AND((COUNTIF(AZ$2:AZ$33,'Your Team'!$D$11)&gt;0),'Your Team'!$C$11="F" ),1,0)+IF( AND((COUNTIF(AZ$2:AZ$33,'Your Team'!$D$12)&gt;0),'Your Team'!$C$12="F" ),1,0)+IF( AND((COUNTIF(AZ$2:AZ$33,'Your Team'!$D$13)&gt;0),'Your Team'!$C$13="F" ),1,0)+IF( AND((COUNTIF(AZ$2:AZ$33,'Your Team'!$D$14)&gt;0),'Your Team'!$C$14="F" ),1,0)+IF( AND((COUNTIF(AZ$2:AZ$33,'Your Team'!$D$15)&gt;0),'Your Team'!$C$15="F" ),1,0)+IF( AND((COUNTIF(AZ$2:AZ$33,'Your Team'!$D$16)&gt;0),'Your Team'!$C$16="F" ),1,0)+IF( AND((COUNTIF(AZ$2:AZ$33,'Your Team'!$D$17)&gt;0),'Your Team'!$C$17="F" ),1,0)+IF( AND((COUNTIF(AZ$2:AZ$33,'Your Team'!$D$18)&gt;0),'Your Team'!$C$18="F" ),1,0)+IF( AND((COUNTIF(AZ$2:AZ$33,'Your Team'!$D$19)&gt;0),'Your Team'!$C$19="F" ),1,0)</f>
        <v>0</v>
      </c>
      <c r="BA38" s="9">
        <f>IF( AND((COUNTIF(BA$2:BA$33,'Your Team'!$D$3)&gt;0),'Your Team'!$C$3="F" ),1,0)+IF( AND((COUNTIF(BA$2:BA$33,'Your Team'!$D$4)&gt;0),'Your Team'!$C$4="F" ),1,0)+IF( AND((COUNTIF(BA$2:BA$33,'Your Team'!$D$5)&gt;0),'Your Team'!$C$5="F" ),1,0)+IF( AND((COUNTIF(BA$2:BA$33,'Your Team'!$D$6)&gt;0),'Your Team'!$C$6="F" ),1,0)+IF( AND((COUNTIF(BA$2:BA$33,'Your Team'!$D$7)&gt;0),'Your Team'!$C$7="F" ),1,0)+IF( AND((COUNTIF(BA$2:BA$33,'Your Team'!$D$8)&gt;0),'Your Team'!$C$8="F" ),1,0)+IF( AND((COUNTIF(BA$2:BA$33,'Your Team'!$D$9)&gt;0),'Your Team'!$C$9="F" ),1,0)+IF( AND((COUNTIF(BA$2:BA$33,'Your Team'!$D$10)&gt;0),'Your Team'!$C$10="F" ),1,0)+IF( AND((COUNTIF(BA$2:BA$33,'Your Team'!$D$11)&gt;0),'Your Team'!$C$11="F" ),1,0)+IF( AND((COUNTIF(BA$2:BA$33,'Your Team'!$D$12)&gt;0),'Your Team'!$C$12="F" ),1,0)+IF( AND((COUNTIF(BA$2:BA$33,'Your Team'!$D$13)&gt;0),'Your Team'!$C$13="F" ),1,0)+IF( AND((COUNTIF(BA$2:BA$33,'Your Team'!$D$14)&gt;0),'Your Team'!$C$14="F" ),1,0)+IF( AND((COUNTIF(BA$2:BA$33,'Your Team'!$D$15)&gt;0),'Your Team'!$C$15="F" ),1,0)+IF( AND((COUNTIF(BA$2:BA$33,'Your Team'!$D$16)&gt;0),'Your Team'!$C$16="F" ),1,0)+IF( AND((COUNTIF(BA$2:BA$33,'Your Team'!$D$17)&gt;0),'Your Team'!$C$17="F" ),1,0)+IF( AND((COUNTIF(BA$2:BA$33,'Your Team'!$D$18)&gt;0),'Your Team'!$C$18="F" ),1,0)+IF( AND((COUNTIF(BA$2:BA$33,'Your Team'!$D$19)&gt;0),'Your Team'!$C$19="F" ),1,0)</f>
        <v>0</v>
      </c>
      <c r="BB38" s="9">
        <f>IF( AND((COUNTIF(BB$2:BB$33,'Your Team'!$D$3)&gt;0),'Your Team'!$C$3="F" ),1,0)+IF( AND((COUNTIF(BB$2:BB$33,'Your Team'!$D$4)&gt;0),'Your Team'!$C$4="F" ),1,0)+IF( AND((COUNTIF(BB$2:BB$33,'Your Team'!$D$5)&gt;0),'Your Team'!$C$5="F" ),1,0)+IF( AND((COUNTIF(BB$2:BB$33,'Your Team'!$D$6)&gt;0),'Your Team'!$C$6="F" ),1,0)+IF( AND((COUNTIF(BB$2:BB$33,'Your Team'!$D$7)&gt;0),'Your Team'!$C$7="F" ),1,0)+IF( AND((COUNTIF(BB$2:BB$33,'Your Team'!$D$8)&gt;0),'Your Team'!$C$8="F" ),1,0)+IF( AND((COUNTIF(BB$2:BB$33,'Your Team'!$D$9)&gt;0),'Your Team'!$C$9="F" ),1,0)+IF( AND((COUNTIF(BB$2:BB$33,'Your Team'!$D$10)&gt;0),'Your Team'!$C$10="F" ),1,0)+IF( AND((COUNTIF(BB$2:BB$33,'Your Team'!$D$11)&gt;0),'Your Team'!$C$11="F" ),1,0)+IF( AND((COUNTIF(BB$2:BB$33,'Your Team'!$D$12)&gt;0),'Your Team'!$C$12="F" ),1,0)+IF( AND((COUNTIF(BB$2:BB$33,'Your Team'!$D$13)&gt;0),'Your Team'!$C$13="F" ),1,0)+IF( AND((COUNTIF(BB$2:BB$33,'Your Team'!$D$14)&gt;0),'Your Team'!$C$14="F" ),1,0)+IF( AND((COUNTIF(BB$2:BB$33,'Your Team'!$D$15)&gt;0),'Your Team'!$C$15="F" ),1,0)+IF( AND((COUNTIF(BB$2:BB$33,'Your Team'!$D$16)&gt;0),'Your Team'!$C$16="F" ),1,0)+IF( AND((COUNTIF(BB$2:BB$33,'Your Team'!$D$17)&gt;0),'Your Team'!$C$17="F" ),1,0)+IF( AND((COUNTIF(BB$2:BB$33,'Your Team'!$D$18)&gt;0),'Your Team'!$C$18="F" ),1,0)+IF( AND((COUNTIF(BB$2:BB$33,'Your Team'!$D$19)&gt;0),'Your Team'!$C$19="F" ),1,0)</f>
        <v>0</v>
      </c>
      <c r="BC38" s="9">
        <f>IF( AND((COUNTIF(BC$2:BC$33,'Your Team'!$D$3)&gt;0),'Your Team'!$C$3="F" ),1,0)+IF( AND((COUNTIF(BC$2:BC$33,'Your Team'!$D$4)&gt;0),'Your Team'!$C$4="F" ),1,0)+IF( AND((COUNTIF(BC$2:BC$33,'Your Team'!$D$5)&gt;0),'Your Team'!$C$5="F" ),1,0)+IF( AND((COUNTIF(BC$2:BC$33,'Your Team'!$D$6)&gt;0),'Your Team'!$C$6="F" ),1,0)+IF( AND((COUNTIF(BC$2:BC$33,'Your Team'!$D$7)&gt;0),'Your Team'!$C$7="F" ),1,0)+IF( AND((COUNTIF(BC$2:BC$33,'Your Team'!$D$8)&gt;0),'Your Team'!$C$8="F" ),1,0)+IF( AND((COUNTIF(BC$2:BC$33,'Your Team'!$D$9)&gt;0),'Your Team'!$C$9="F" ),1,0)+IF( AND((COUNTIF(BC$2:BC$33,'Your Team'!$D$10)&gt;0),'Your Team'!$C$10="F" ),1,0)+IF( AND((COUNTIF(BC$2:BC$33,'Your Team'!$D$11)&gt;0),'Your Team'!$C$11="F" ),1,0)+IF( AND((COUNTIF(BC$2:BC$33,'Your Team'!$D$12)&gt;0),'Your Team'!$C$12="F" ),1,0)+IF( AND((COUNTIF(BC$2:BC$33,'Your Team'!$D$13)&gt;0),'Your Team'!$C$13="F" ),1,0)+IF( AND((COUNTIF(BC$2:BC$33,'Your Team'!$D$14)&gt;0),'Your Team'!$C$14="F" ),1,0)+IF( AND((COUNTIF(BC$2:BC$33,'Your Team'!$D$15)&gt;0),'Your Team'!$C$15="F" ),1,0)+IF( AND((COUNTIF(BC$2:BC$33,'Your Team'!$D$16)&gt;0),'Your Team'!$C$16="F" ),1,0)+IF( AND((COUNTIF(BC$2:BC$33,'Your Team'!$D$17)&gt;0),'Your Team'!$C$17="F" ),1,0)+IF( AND((COUNTIF(BC$2:BC$33,'Your Team'!$D$18)&gt;0),'Your Team'!$C$18="F" ),1,0)+IF( AND((COUNTIF(BC$2:BC$33,'Your Team'!$D$19)&gt;0),'Your Team'!$C$19="F" ),1,0)</f>
        <v>0</v>
      </c>
      <c r="BD38" s="9">
        <f>IF( AND((COUNTIF(BD$2:BD$33,'Your Team'!$D$3)&gt;0),'Your Team'!$C$3="F" ),1,0)+IF( AND((COUNTIF(BD$2:BD$33,'Your Team'!$D$4)&gt;0),'Your Team'!$C$4="F" ),1,0)+IF( AND((COUNTIF(BD$2:BD$33,'Your Team'!$D$5)&gt;0),'Your Team'!$C$5="F" ),1,0)+IF( AND((COUNTIF(BD$2:BD$33,'Your Team'!$D$6)&gt;0),'Your Team'!$C$6="F" ),1,0)+IF( AND((COUNTIF(BD$2:BD$33,'Your Team'!$D$7)&gt;0),'Your Team'!$C$7="F" ),1,0)+IF( AND((COUNTIF(BD$2:BD$33,'Your Team'!$D$8)&gt;0),'Your Team'!$C$8="F" ),1,0)+IF( AND((COUNTIF(BD$2:BD$33,'Your Team'!$D$9)&gt;0),'Your Team'!$C$9="F" ),1,0)+IF( AND((COUNTIF(BD$2:BD$33,'Your Team'!$D$10)&gt;0),'Your Team'!$C$10="F" ),1,0)+IF( AND((COUNTIF(BD$2:BD$33,'Your Team'!$D$11)&gt;0),'Your Team'!$C$11="F" ),1,0)+IF( AND((COUNTIF(BD$2:BD$33,'Your Team'!$D$12)&gt;0),'Your Team'!$C$12="F" ),1,0)+IF( AND((COUNTIF(BD$2:BD$33,'Your Team'!$D$13)&gt;0),'Your Team'!$C$13="F" ),1,0)+IF( AND((COUNTIF(BD$2:BD$33,'Your Team'!$D$14)&gt;0),'Your Team'!$C$14="F" ),1,0)+IF( AND((COUNTIF(BD$2:BD$33,'Your Team'!$D$15)&gt;0),'Your Team'!$C$15="F" ),1,0)+IF( AND((COUNTIF(BD$2:BD$33,'Your Team'!$D$16)&gt;0),'Your Team'!$C$16="F" ),1,0)+IF( AND((COUNTIF(BD$2:BD$33,'Your Team'!$D$17)&gt;0),'Your Team'!$C$17="F" ),1,0)+IF( AND((COUNTIF(BD$2:BD$33,'Your Team'!$D$18)&gt;0),'Your Team'!$C$18="F" ),1,0)+IF( AND((COUNTIF(BD$2:BD$33,'Your Team'!$D$19)&gt;0),'Your Team'!$C$19="F" ),1,0)</f>
        <v>0</v>
      </c>
      <c r="BE38" s="9">
        <f>IF( AND((COUNTIF(BE$2:BE$33,'Your Team'!$D$3)&gt;0),'Your Team'!$C$3="F" ),1,0)+IF( AND((COUNTIF(BE$2:BE$33,'Your Team'!$D$4)&gt;0),'Your Team'!$C$4="F" ),1,0)+IF( AND((COUNTIF(BE$2:BE$33,'Your Team'!$D$5)&gt;0),'Your Team'!$C$5="F" ),1,0)+IF( AND((COUNTIF(BE$2:BE$33,'Your Team'!$D$6)&gt;0),'Your Team'!$C$6="F" ),1,0)+IF( AND((COUNTIF(BE$2:BE$33,'Your Team'!$D$7)&gt;0),'Your Team'!$C$7="F" ),1,0)+IF( AND((COUNTIF(BE$2:BE$33,'Your Team'!$D$8)&gt;0),'Your Team'!$C$8="F" ),1,0)+IF( AND((COUNTIF(BE$2:BE$33,'Your Team'!$D$9)&gt;0),'Your Team'!$C$9="F" ),1,0)+IF( AND((COUNTIF(BE$2:BE$33,'Your Team'!$D$10)&gt;0),'Your Team'!$C$10="F" ),1,0)+IF( AND((COUNTIF(BE$2:BE$33,'Your Team'!$D$11)&gt;0),'Your Team'!$C$11="F" ),1,0)+IF( AND((COUNTIF(BE$2:BE$33,'Your Team'!$D$12)&gt;0),'Your Team'!$C$12="F" ),1,0)+IF( AND((COUNTIF(BE$2:BE$33,'Your Team'!$D$13)&gt;0),'Your Team'!$C$13="F" ),1,0)+IF( AND((COUNTIF(BE$2:BE$33,'Your Team'!$D$14)&gt;0),'Your Team'!$C$14="F" ),1,0)+IF( AND((COUNTIF(BE$2:BE$33,'Your Team'!$D$15)&gt;0),'Your Team'!$C$15="F" ),1,0)+IF( AND((COUNTIF(BE$2:BE$33,'Your Team'!$D$16)&gt;0),'Your Team'!$C$16="F" ),1,0)+IF( AND((COUNTIF(BE$2:BE$33,'Your Team'!$D$17)&gt;0),'Your Team'!$C$17="F" ),1,0)+IF( AND((COUNTIF(BE$2:BE$33,'Your Team'!$D$18)&gt;0),'Your Team'!$C$18="F" ),1,0)+IF( AND((COUNTIF(BE$2:BE$33,'Your Team'!$D$19)&gt;0),'Your Team'!$C$19="F" ),1,0)</f>
        <v>0</v>
      </c>
      <c r="BF38" s="9">
        <f>IF( AND((COUNTIF(BF$2:BF$33,'Your Team'!$D$3)&gt;0),'Your Team'!$C$3="F" ),1,0)+IF( AND((COUNTIF(BF$2:BF$33,'Your Team'!$D$4)&gt;0),'Your Team'!$C$4="F" ),1,0)+IF( AND((COUNTIF(BF$2:BF$33,'Your Team'!$D$5)&gt;0),'Your Team'!$C$5="F" ),1,0)+IF( AND((COUNTIF(BF$2:BF$33,'Your Team'!$D$6)&gt;0),'Your Team'!$C$6="F" ),1,0)+IF( AND((COUNTIF(BF$2:BF$33,'Your Team'!$D$7)&gt;0),'Your Team'!$C$7="F" ),1,0)+IF( AND((COUNTIF(BF$2:BF$33,'Your Team'!$D$8)&gt;0),'Your Team'!$C$8="F" ),1,0)+IF( AND((COUNTIF(BF$2:BF$33,'Your Team'!$D$9)&gt;0),'Your Team'!$C$9="F" ),1,0)+IF( AND((COUNTIF(BF$2:BF$33,'Your Team'!$D$10)&gt;0),'Your Team'!$C$10="F" ),1,0)+IF( AND((COUNTIF(BF$2:BF$33,'Your Team'!$D$11)&gt;0),'Your Team'!$C$11="F" ),1,0)+IF( AND((COUNTIF(BF$2:BF$33,'Your Team'!$D$12)&gt;0),'Your Team'!$C$12="F" ),1,0)+IF( AND((COUNTIF(BF$2:BF$33,'Your Team'!$D$13)&gt;0),'Your Team'!$C$13="F" ),1,0)+IF( AND((COUNTIF(BF$2:BF$33,'Your Team'!$D$14)&gt;0),'Your Team'!$C$14="F" ),1,0)+IF( AND((COUNTIF(BF$2:BF$33,'Your Team'!$D$15)&gt;0),'Your Team'!$C$15="F" ),1,0)+IF( AND((COUNTIF(BF$2:BF$33,'Your Team'!$D$16)&gt;0),'Your Team'!$C$16="F" ),1,0)+IF( AND((COUNTIF(BF$2:BF$33,'Your Team'!$D$17)&gt;0),'Your Team'!$C$17="F" ),1,0)+IF( AND((COUNTIF(BF$2:BF$33,'Your Team'!$D$18)&gt;0),'Your Team'!$C$18="F" ),1,0)+IF( AND((COUNTIF(BF$2:BF$33,'Your Team'!$D$19)&gt;0),'Your Team'!$C$19="F" ),1,0)</f>
        <v>0</v>
      </c>
      <c r="BG38" s="9">
        <f>IF( AND((COUNTIF(BG$2:BG$33,'Your Team'!$D$3)&gt;0),'Your Team'!$C$3="F" ),1,0)+IF( AND((COUNTIF(BG$2:BG$33,'Your Team'!$D$4)&gt;0),'Your Team'!$C$4="F" ),1,0)+IF( AND((COUNTIF(BG$2:BG$33,'Your Team'!$D$5)&gt;0),'Your Team'!$C$5="F" ),1,0)+IF( AND((COUNTIF(BG$2:BG$33,'Your Team'!$D$6)&gt;0),'Your Team'!$C$6="F" ),1,0)+IF( AND((COUNTIF(BG$2:BG$33,'Your Team'!$D$7)&gt;0),'Your Team'!$C$7="F" ),1,0)+IF( AND((COUNTIF(BG$2:BG$33,'Your Team'!$D$8)&gt;0),'Your Team'!$C$8="F" ),1,0)+IF( AND((COUNTIF(BG$2:BG$33,'Your Team'!$D$9)&gt;0),'Your Team'!$C$9="F" ),1,0)+IF( AND((COUNTIF(BG$2:BG$33,'Your Team'!$D$10)&gt;0),'Your Team'!$C$10="F" ),1,0)+IF( AND((COUNTIF(BG$2:BG$33,'Your Team'!$D$11)&gt;0),'Your Team'!$C$11="F" ),1,0)+IF( AND((COUNTIF(BG$2:BG$33,'Your Team'!$D$12)&gt;0),'Your Team'!$C$12="F" ),1,0)+IF( AND((COUNTIF(BG$2:BG$33,'Your Team'!$D$13)&gt;0),'Your Team'!$C$13="F" ),1,0)+IF( AND((COUNTIF(BG$2:BG$33,'Your Team'!$D$14)&gt;0),'Your Team'!$C$14="F" ),1,0)+IF( AND((COUNTIF(BG$2:BG$33,'Your Team'!$D$15)&gt;0),'Your Team'!$C$15="F" ),1,0)+IF( AND((COUNTIF(BG$2:BG$33,'Your Team'!$D$16)&gt;0),'Your Team'!$C$16="F" ),1,0)+IF( AND((COUNTIF(BG$2:BG$33,'Your Team'!$D$17)&gt;0),'Your Team'!$C$17="F" ),1,0)+IF( AND((COUNTIF(BG$2:BG$33,'Your Team'!$D$18)&gt;0),'Your Team'!$C$18="F" ),1,0)+IF( AND((COUNTIF(BG$2:BG$33,'Your Team'!$D$19)&gt;0),'Your Team'!$C$19="F" ),1,0)</f>
        <v>0</v>
      </c>
      <c r="BH38" s="9">
        <f>IF( AND((COUNTIF(BH$2:BH$33,'Your Team'!$D$3)&gt;0),'Your Team'!$C$3="F" ),1,0)+IF( AND((COUNTIF(BH$2:BH$33,'Your Team'!$D$4)&gt;0),'Your Team'!$C$4="F" ),1,0)+IF( AND((COUNTIF(BH$2:BH$33,'Your Team'!$D$5)&gt;0),'Your Team'!$C$5="F" ),1,0)+IF( AND((COUNTIF(BH$2:BH$33,'Your Team'!$D$6)&gt;0),'Your Team'!$C$6="F" ),1,0)+IF( AND((COUNTIF(BH$2:BH$33,'Your Team'!$D$7)&gt;0),'Your Team'!$C$7="F" ),1,0)+IF( AND((COUNTIF(BH$2:BH$33,'Your Team'!$D$8)&gt;0),'Your Team'!$C$8="F" ),1,0)+IF( AND((COUNTIF(BH$2:BH$33,'Your Team'!$D$9)&gt;0),'Your Team'!$C$9="F" ),1,0)+IF( AND((COUNTIF(BH$2:BH$33,'Your Team'!$D$10)&gt;0),'Your Team'!$C$10="F" ),1,0)+IF( AND((COUNTIF(BH$2:BH$33,'Your Team'!$D$11)&gt;0),'Your Team'!$C$11="F" ),1,0)+IF( AND((COUNTIF(BH$2:BH$33,'Your Team'!$D$12)&gt;0),'Your Team'!$C$12="F" ),1,0)+IF( AND((COUNTIF(BH$2:BH$33,'Your Team'!$D$13)&gt;0),'Your Team'!$C$13="F" ),1,0)+IF( AND((COUNTIF(BH$2:BH$33,'Your Team'!$D$14)&gt;0),'Your Team'!$C$14="F" ),1,0)+IF( AND((COUNTIF(BH$2:BH$33,'Your Team'!$D$15)&gt;0),'Your Team'!$C$15="F" ),1,0)+IF( AND((COUNTIF(BH$2:BH$33,'Your Team'!$D$16)&gt;0),'Your Team'!$C$16="F" ),1,0)+IF( AND((COUNTIF(BH$2:BH$33,'Your Team'!$D$17)&gt;0),'Your Team'!$C$17="F" ),1,0)+IF( AND((COUNTIF(BH$2:BH$33,'Your Team'!$D$18)&gt;0),'Your Team'!$C$18="F" ),1,0)+IF( AND((COUNTIF(BH$2:BH$33,'Your Team'!$D$19)&gt;0),'Your Team'!$C$19="F" ),1,0)</f>
        <v>0</v>
      </c>
      <c r="BI38" s="9">
        <f>IF( AND((COUNTIF(BI$2:BI$33,'Your Team'!$D$3)&gt;0),'Your Team'!$C$3="F" ),1,0)+IF( AND((COUNTIF(BI$2:BI$33,'Your Team'!$D$4)&gt;0),'Your Team'!$C$4="F" ),1,0)+IF( AND((COUNTIF(BI$2:BI$33,'Your Team'!$D$5)&gt;0),'Your Team'!$C$5="F" ),1,0)+IF( AND((COUNTIF(BI$2:BI$33,'Your Team'!$D$6)&gt;0),'Your Team'!$C$6="F" ),1,0)+IF( AND((COUNTIF(BI$2:BI$33,'Your Team'!$D$7)&gt;0),'Your Team'!$C$7="F" ),1,0)+IF( AND((COUNTIF(BI$2:BI$33,'Your Team'!$D$8)&gt;0),'Your Team'!$C$8="F" ),1,0)+IF( AND((COUNTIF(BI$2:BI$33,'Your Team'!$D$9)&gt;0),'Your Team'!$C$9="F" ),1,0)+IF( AND((COUNTIF(BI$2:BI$33,'Your Team'!$D$10)&gt;0),'Your Team'!$C$10="F" ),1,0)+IF( AND((COUNTIF(BI$2:BI$33,'Your Team'!$D$11)&gt;0),'Your Team'!$C$11="F" ),1,0)+IF( AND((COUNTIF(BI$2:BI$33,'Your Team'!$D$12)&gt;0),'Your Team'!$C$12="F" ),1,0)+IF( AND((COUNTIF(BI$2:BI$33,'Your Team'!$D$13)&gt;0),'Your Team'!$C$13="F" ),1,0)+IF( AND((COUNTIF(BI$2:BI$33,'Your Team'!$D$14)&gt;0),'Your Team'!$C$14="F" ),1,0)+IF( AND((COUNTIF(BI$2:BI$33,'Your Team'!$D$15)&gt;0),'Your Team'!$C$15="F" ),1,0)+IF( AND((COUNTIF(BI$2:BI$33,'Your Team'!$D$16)&gt;0),'Your Team'!$C$16="F" ),1,0)+IF( AND((COUNTIF(BI$2:BI$33,'Your Team'!$D$17)&gt;0),'Your Team'!$C$17="F" ),1,0)+IF( AND((COUNTIF(BI$2:BI$33,'Your Team'!$D$18)&gt;0),'Your Team'!$C$18="F" ),1,0)+IF( AND((COUNTIF(BI$2:BI$33,'Your Team'!$D$19)&gt;0),'Your Team'!$C$19="F" ),1,0)</f>
        <v>0</v>
      </c>
      <c r="BJ38" s="9">
        <f>IF( AND((COUNTIF(BJ$2:BJ$33,'Your Team'!$D$3)&gt;0),'Your Team'!$C$3="F" ),1,0)+IF( AND((COUNTIF(BJ$2:BJ$33,'Your Team'!$D$4)&gt;0),'Your Team'!$C$4="F" ),1,0)+IF( AND((COUNTIF(BJ$2:BJ$33,'Your Team'!$D$5)&gt;0),'Your Team'!$C$5="F" ),1,0)+IF( AND((COUNTIF(BJ$2:BJ$33,'Your Team'!$D$6)&gt;0),'Your Team'!$C$6="F" ),1,0)+IF( AND((COUNTIF(BJ$2:BJ$33,'Your Team'!$D$7)&gt;0),'Your Team'!$C$7="F" ),1,0)+IF( AND((COUNTIF(BJ$2:BJ$33,'Your Team'!$D$8)&gt;0),'Your Team'!$C$8="F" ),1,0)+IF( AND((COUNTIF(BJ$2:BJ$33,'Your Team'!$D$9)&gt;0),'Your Team'!$C$9="F" ),1,0)+IF( AND((COUNTIF(BJ$2:BJ$33,'Your Team'!$D$10)&gt;0),'Your Team'!$C$10="F" ),1,0)+IF( AND((COUNTIF(BJ$2:BJ$33,'Your Team'!$D$11)&gt;0),'Your Team'!$C$11="F" ),1,0)+IF( AND((COUNTIF(BJ$2:BJ$33,'Your Team'!$D$12)&gt;0),'Your Team'!$C$12="F" ),1,0)+IF( AND((COUNTIF(BJ$2:BJ$33,'Your Team'!$D$13)&gt;0),'Your Team'!$C$13="F" ),1,0)+IF( AND((COUNTIF(BJ$2:BJ$33,'Your Team'!$D$14)&gt;0),'Your Team'!$C$14="F" ),1,0)+IF( AND((COUNTIF(BJ$2:BJ$33,'Your Team'!$D$15)&gt;0),'Your Team'!$C$15="F" ),1,0)+IF( AND((COUNTIF(BJ$2:BJ$33,'Your Team'!$D$16)&gt;0),'Your Team'!$C$16="F" ),1,0)+IF( AND((COUNTIF(BJ$2:BJ$33,'Your Team'!$D$17)&gt;0),'Your Team'!$C$17="F" ),1,0)+IF( AND((COUNTIF(BJ$2:BJ$33,'Your Team'!$D$18)&gt;0),'Your Team'!$C$18="F" ),1,0)+IF( AND((COUNTIF(BJ$2:BJ$33,'Your Team'!$D$19)&gt;0),'Your Team'!$C$19="F" ),1,0)</f>
        <v>0</v>
      </c>
      <c r="BK38" s="9">
        <f>IF( AND((COUNTIF(BK$2:BK$33,'Your Team'!$D$3)&gt;0),'Your Team'!$C$3="F" ),1,0)+IF( AND((COUNTIF(BK$2:BK$33,'Your Team'!$D$4)&gt;0),'Your Team'!$C$4="F" ),1,0)+IF( AND((COUNTIF(BK$2:BK$33,'Your Team'!$D$5)&gt;0),'Your Team'!$C$5="F" ),1,0)+IF( AND((COUNTIF(BK$2:BK$33,'Your Team'!$D$6)&gt;0),'Your Team'!$C$6="F" ),1,0)+IF( AND((COUNTIF(BK$2:BK$33,'Your Team'!$D$7)&gt;0),'Your Team'!$C$7="F" ),1,0)+IF( AND((COUNTIF(BK$2:BK$33,'Your Team'!$D$8)&gt;0),'Your Team'!$C$8="F" ),1,0)+IF( AND((COUNTIF(BK$2:BK$33,'Your Team'!$D$9)&gt;0),'Your Team'!$C$9="F" ),1,0)+IF( AND((COUNTIF(BK$2:BK$33,'Your Team'!$D$10)&gt;0),'Your Team'!$C$10="F" ),1,0)+IF( AND((COUNTIF(BK$2:BK$33,'Your Team'!$D$11)&gt;0),'Your Team'!$C$11="F" ),1,0)+IF( AND((COUNTIF(BK$2:BK$33,'Your Team'!$D$12)&gt;0),'Your Team'!$C$12="F" ),1,0)+IF( AND((COUNTIF(BK$2:BK$33,'Your Team'!$D$13)&gt;0),'Your Team'!$C$13="F" ),1,0)+IF( AND((COUNTIF(BK$2:BK$33,'Your Team'!$D$14)&gt;0),'Your Team'!$C$14="F" ),1,0)+IF( AND((COUNTIF(BK$2:BK$33,'Your Team'!$D$15)&gt;0),'Your Team'!$C$15="F" ),1,0)+IF( AND((COUNTIF(BK$2:BK$33,'Your Team'!$D$16)&gt;0),'Your Team'!$C$16="F" ),1,0)+IF( AND((COUNTIF(BK$2:BK$33,'Your Team'!$D$17)&gt;0),'Your Team'!$C$17="F" ),1,0)+IF( AND((COUNTIF(BK$2:BK$33,'Your Team'!$D$18)&gt;0),'Your Team'!$C$18="F" ),1,0)+IF( AND((COUNTIF(BK$2:BK$33,'Your Team'!$D$19)&gt;0),'Your Team'!$C$19="F" ),1,0)</f>
        <v>0</v>
      </c>
      <c r="BL38" s="9">
        <f>IF( AND((COUNTIF(BL$2:BL$33,'Your Team'!$D$3)&gt;0),'Your Team'!$C$3="F" ),1,0)+IF( AND((COUNTIF(BL$2:BL$33,'Your Team'!$D$4)&gt;0),'Your Team'!$C$4="F" ),1,0)+IF( AND((COUNTIF(BL$2:BL$33,'Your Team'!$D$5)&gt;0),'Your Team'!$C$5="F" ),1,0)+IF( AND((COUNTIF(BL$2:BL$33,'Your Team'!$D$6)&gt;0),'Your Team'!$C$6="F" ),1,0)+IF( AND((COUNTIF(BL$2:BL$33,'Your Team'!$D$7)&gt;0),'Your Team'!$C$7="F" ),1,0)+IF( AND((COUNTIF(BL$2:BL$33,'Your Team'!$D$8)&gt;0),'Your Team'!$C$8="F" ),1,0)+IF( AND((COUNTIF(BL$2:BL$33,'Your Team'!$D$9)&gt;0),'Your Team'!$C$9="F" ),1,0)+IF( AND((COUNTIF(BL$2:BL$33,'Your Team'!$D$10)&gt;0),'Your Team'!$C$10="F" ),1,0)+IF( AND((COUNTIF(BL$2:BL$33,'Your Team'!$D$11)&gt;0),'Your Team'!$C$11="F" ),1,0)+IF( AND((COUNTIF(BL$2:BL$33,'Your Team'!$D$12)&gt;0),'Your Team'!$C$12="F" ),1,0)+IF( AND((COUNTIF(BL$2:BL$33,'Your Team'!$D$13)&gt;0),'Your Team'!$C$13="F" ),1,0)+IF( AND((COUNTIF(BL$2:BL$33,'Your Team'!$D$14)&gt;0),'Your Team'!$C$14="F" ),1,0)+IF( AND((COUNTIF(BL$2:BL$33,'Your Team'!$D$15)&gt;0),'Your Team'!$C$15="F" ),1,0)+IF( AND((COUNTIF(BL$2:BL$33,'Your Team'!$D$16)&gt;0),'Your Team'!$C$16="F" ),1,0)+IF( AND((COUNTIF(BL$2:BL$33,'Your Team'!$D$17)&gt;0),'Your Team'!$C$17="F" ),1,0)+IF( AND((COUNTIF(BL$2:BL$33,'Your Team'!$D$18)&gt;0),'Your Team'!$C$18="F" ),1,0)+IF( AND((COUNTIF(BL$2:BL$33,'Your Team'!$D$19)&gt;0),'Your Team'!$C$19="F" ),1,0)</f>
        <v>0</v>
      </c>
      <c r="BM38" s="9">
        <f>IF( AND((COUNTIF(BM$2:BM$33,'Your Team'!$D$3)&gt;0),'Your Team'!$C$3="F" ),1,0)+IF( AND((COUNTIF(BM$2:BM$33,'Your Team'!$D$4)&gt;0),'Your Team'!$C$4="F" ),1,0)+IF( AND((COUNTIF(BM$2:BM$33,'Your Team'!$D$5)&gt;0),'Your Team'!$C$5="F" ),1,0)+IF( AND((COUNTIF(BM$2:BM$33,'Your Team'!$D$6)&gt;0),'Your Team'!$C$6="F" ),1,0)+IF( AND((COUNTIF(BM$2:BM$33,'Your Team'!$D$7)&gt;0),'Your Team'!$C$7="F" ),1,0)+IF( AND((COUNTIF(BM$2:BM$33,'Your Team'!$D$8)&gt;0),'Your Team'!$C$8="F" ),1,0)+IF( AND((COUNTIF(BM$2:BM$33,'Your Team'!$D$9)&gt;0),'Your Team'!$C$9="F" ),1,0)+IF( AND((COUNTIF(BM$2:BM$33,'Your Team'!$D$10)&gt;0),'Your Team'!$C$10="F" ),1,0)+IF( AND((COUNTIF(BM$2:BM$33,'Your Team'!$D$11)&gt;0),'Your Team'!$C$11="F" ),1,0)+IF( AND((COUNTIF(BM$2:BM$33,'Your Team'!$D$12)&gt;0),'Your Team'!$C$12="F" ),1,0)+IF( AND((COUNTIF(BM$2:BM$33,'Your Team'!$D$13)&gt;0),'Your Team'!$C$13="F" ),1,0)+IF( AND((COUNTIF(BM$2:BM$33,'Your Team'!$D$14)&gt;0),'Your Team'!$C$14="F" ),1,0)+IF( AND((COUNTIF(BM$2:BM$33,'Your Team'!$D$15)&gt;0),'Your Team'!$C$15="F" ),1,0)+IF( AND((COUNTIF(BM$2:BM$33,'Your Team'!$D$16)&gt;0),'Your Team'!$C$16="F" ),1,0)+IF( AND((COUNTIF(BM$2:BM$33,'Your Team'!$D$17)&gt;0),'Your Team'!$C$17="F" ),1,0)+IF( AND((COUNTIF(BM$2:BM$33,'Your Team'!$D$18)&gt;0),'Your Team'!$C$18="F" ),1,0)+IF( AND((COUNTIF(BM$2:BM$33,'Your Team'!$D$19)&gt;0),'Your Team'!$C$19="F" ),1,0)</f>
        <v>0</v>
      </c>
      <c r="BN38" s="9">
        <f>IF( AND((COUNTIF(BN$2:BN$33,'Your Team'!$D$3)&gt;0),'Your Team'!$C$3="F" ),1,0)+IF( AND((COUNTIF(BN$2:BN$33,'Your Team'!$D$4)&gt;0),'Your Team'!$C$4="F" ),1,0)+IF( AND((COUNTIF(BN$2:BN$33,'Your Team'!$D$5)&gt;0),'Your Team'!$C$5="F" ),1,0)+IF( AND((COUNTIF(BN$2:BN$33,'Your Team'!$D$6)&gt;0),'Your Team'!$C$6="F" ),1,0)+IF( AND((COUNTIF(BN$2:BN$33,'Your Team'!$D$7)&gt;0),'Your Team'!$C$7="F" ),1,0)+IF( AND((COUNTIF(BN$2:BN$33,'Your Team'!$D$8)&gt;0),'Your Team'!$C$8="F" ),1,0)+IF( AND((COUNTIF(BN$2:BN$33,'Your Team'!$D$9)&gt;0),'Your Team'!$C$9="F" ),1,0)+IF( AND((COUNTIF(BN$2:BN$33,'Your Team'!$D$10)&gt;0),'Your Team'!$C$10="F" ),1,0)+IF( AND((COUNTIF(BN$2:BN$33,'Your Team'!$D$11)&gt;0),'Your Team'!$C$11="F" ),1,0)+IF( AND((COUNTIF(BN$2:BN$33,'Your Team'!$D$12)&gt;0),'Your Team'!$C$12="F" ),1,0)+IF( AND((COUNTIF(BN$2:BN$33,'Your Team'!$D$13)&gt;0),'Your Team'!$C$13="F" ),1,0)+IF( AND((COUNTIF(BN$2:BN$33,'Your Team'!$D$14)&gt;0),'Your Team'!$C$14="F" ),1,0)+IF( AND((COUNTIF(BN$2:BN$33,'Your Team'!$D$15)&gt;0),'Your Team'!$C$15="F" ),1,0)+IF( AND((COUNTIF(BN$2:BN$33,'Your Team'!$D$16)&gt;0),'Your Team'!$C$16="F" ),1,0)+IF( AND((COUNTIF(BN$2:BN$33,'Your Team'!$D$17)&gt;0),'Your Team'!$C$17="F" ),1,0)+IF( AND((COUNTIF(BN$2:BN$33,'Your Team'!$D$18)&gt;0),'Your Team'!$C$18="F" ),1,0)+IF( AND((COUNTIF(BN$2:BN$33,'Your Team'!$D$19)&gt;0),'Your Team'!$C$19="F" ),1,0)</f>
        <v>0</v>
      </c>
      <c r="BO38" s="9">
        <f>IF( AND((COUNTIF(BO$2:BO$33,'Your Team'!$D$3)&gt;0),'Your Team'!$C$3="F" ),1,0)+IF( AND((COUNTIF(BO$2:BO$33,'Your Team'!$D$4)&gt;0),'Your Team'!$C$4="F" ),1,0)+IF( AND((COUNTIF(BO$2:BO$33,'Your Team'!$D$5)&gt;0),'Your Team'!$C$5="F" ),1,0)+IF( AND((COUNTIF(BO$2:BO$33,'Your Team'!$D$6)&gt;0),'Your Team'!$C$6="F" ),1,0)+IF( AND((COUNTIF(BO$2:BO$33,'Your Team'!$D$7)&gt;0),'Your Team'!$C$7="F" ),1,0)+IF( AND((COUNTIF(BO$2:BO$33,'Your Team'!$D$8)&gt;0),'Your Team'!$C$8="F" ),1,0)+IF( AND((COUNTIF(BO$2:BO$33,'Your Team'!$D$9)&gt;0),'Your Team'!$C$9="F" ),1,0)+IF( AND((COUNTIF(BO$2:BO$33,'Your Team'!$D$10)&gt;0),'Your Team'!$C$10="F" ),1,0)+IF( AND((COUNTIF(BO$2:BO$33,'Your Team'!$D$11)&gt;0),'Your Team'!$C$11="F" ),1,0)+IF( AND((COUNTIF(BO$2:BO$33,'Your Team'!$D$12)&gt;0),'Your Team'!$C$12="F" ),1,0)+IF( AND((COUNTIF(BO$2:BO$33,'Your Team'!$D$13)&gt;0),'Your Team'!$C$13="F" ),1,0)+IF( AND((COUNTIF(BO$2:BO$33,'Your Team'!$D$14)&gt;0),'Your Team'!$C$14="F" ),1,0)+IF( AND((COUNTIF(BO$2:BO$33,'Your Team'!$D$15)&gt;0),'Your Team'!$C$15="F" ),1,0)+IF( AND((COUNTIF(BO$2:BO$33,'Your Team'!$D$16)&gt;0),'Your Team'!$C$16="F" ),1,0)+IF( AND((COUNTIF(BO$2:BO$33,'Your Team'!$D$17)&gt;0),'Your Team'!$C$17="F" ),1,0)+IF( AND((COUNTIF(BO$2:BO$33,'Your Team'!$D$18)&gt;0),'Your Team'!$C$18="F" ),1,0)+IF( AND((COUNTIF(BO$2:BO$33,'Your Team'!$D$19)&gt;0),'Your Team'!$C$19="F" ),1,0)</f>
        <v>0</v>
      </c>
      <c r="BP38" s="9">
        <f>IF( AND((COUNTIF(BP$2:BP$33,'Your Team'!$D$3)&gt;0),'Your Team'!$C$3="F" ),1,0)+IF( AND((COUNTIF(BP$2:BP$33,'Your Team'!$D$4)&gt;0),'Your Team'!$C$4="F" ),1,0)+IF( AND((COUNTIF(BP$2:BP$33,'Your Team'!$D$5)&gt;0),'Your Team'!$C$5="F" ),1,0)+IF( AND((COUNTIF(BP$2:BP$33,'Your Team'!$D$6)&gt;0),'Your Team'!$C$6="F" ),1,0)+IF( AND((COUNTIF(BP$2:BP$33,'Your Team'!$D$7)&gt;0),'Your Team'!$C$7="F" ),1,0)+IF( AND((COUNTIF(BP$2:BP$33,'Your Team'!$D$8)&gt;0),'Your Team'!$C$8="F" ),1,0)+IF( AND((COUNTIF(BP$2:BP$33,'Your Team'!$D$9)&gt;0),'Your Team'!$C$9="F" ),1,0)+IF( AND((COUNTIF(BP$2:BP$33,'Your Team'!$D$10)&gt;0),'Your Team'!$C$10="F" ),1,0)+IF( AND((COUNTIF(BP$2:BP$33,'Your Team'!$D$11)&gt;0),'Your Team'!$C$11="F" ),1,0)+IF( AND((COUNTIF(BP$2:BP$33,'Your Team'!$D$12)&gt;0),'Your Team'!$C$12="F" ),1,0)+IF( AND((COUNTIF(BP$2:BP$33,'Your Team'!$D$13)&gt;0),'Your Team'!$C$13="F" ),1,0)+IF( AND((COUNTIF(BP$2:BP$33,'Your Team'!$D$14)&gt;0),'Your Team'!$C$14="F" ),1,0)+IF( AND((COUNTIF(BP$2:BP$33,'Your Team'!$D$15)&gt;0),'Your Team'!$C$15="F" ),1,0)+IF( AND((COUNTIF(BP$2:BP$33,'Your Team'!$D$16)&gt;0),'Your Team'!$C$16="F" ),1,0)+IF( AND((COUNTIF(BP$2:BP$33,'Your Team'!$D$17)&gt;0),'Your Team'!$C$17="F" ),1,0)+IF( AND((COUNTIF(BP$2:BP$33,'Your Team'!$D$18)&gt;0),'Your Team'!$C$18="F" ),1,0)+IF( AND((COUNTIF(BP$2:BP$33,'Your Team'!$D$19)&gt;0),'Your Team'!$C$19="F" ),1,0)</f>
        <v>0</v>
      </c>
      <c r="BQ38" s="9">
        <f>IF( AND((COUNTIF(BQ$2:BQ$33,'Your Team'!$D$3)&gt;0),'Your Team'!$C$3="F" ),1,0)+IF( AND((COUNTIF(BQ$2:BQ$33,'Your Team'!$D$4)&gt;0),'Your Team'!$C$4="F" ),1,0)+IF( AND((COUNTIF(BQ$2:BQ$33,'Your Team'!$D$5)&gt;0),'Your Team'!$C$5="F" ),1,0)+IF( AND((COUNTIF(BQ$2:BQ$33,'Your Team'!$D$6)&gt;0),'Your Team'!$C$6="F" ),1,0)+IF( AND((COUNTIF(BQ$2:BQ$33,'Your Team'!$D$7)&gt;0),'Your Team'!$C$7="F" ),1,0)+IF( AND((COUNTIF(BQ$2:BQ$33,'Your Team'!$D$8)&gt;0),'Your Team'!$C$8="F" ),1,0)+IF( AND((COUNTIF(BQ$2:BQ$33,'Your Team'!$D$9)&gt;0),'Your Team'!$C$9="F" ),1,0)+IF( AND((COUNTIF(BQ$2:BQ$33,'Your Team'!$D$10)&gt;0),'Your Team'!$C$10="F" ),1,0)+IF( AND((COUNTIF(BQ$2:BQ$33,'Your Team'!$D$11)&gt;0),'Your Team'!$C$11="F" ),1,0)+IF( AND((COUNTIF(BQ$2:BQ$33,'Your Team'!$D$12)&gt;0),'Your Team'!$C$12="F" ),1,0)+IF( AND((COUNTIF(BQ$2:BQ$33,'Your Team'!$D$13)&gt;0),'Your Team'!$C$13="F" ),1,0)+IF( AND((COUNTIF(BQ$2:BQ$33,'Your Team'!$D$14)&gt;0),'Your Team'!$C$14="F" ),1,0)+IF( AND((COUNTIF(BQ$2:BQ$33,'Your Team'!$D$15)&gt;0),'Your Team'!$C$15="F" ),1,0)+IF( AND((COUNTIF(BQ$2:BQ$33,'Your Team'!$D$16)&gt;0),'Your Team'!$C$16="F" ),1,0)+IF( AND((COUNTIF(BQ$2:BQ$33,'Your Team'!$D$17)&gt;0),'Your Team'!$C$17="F" ),1,0)+IF( AND((COUNTIF(BQ$2:BQ$33,'Your Team'!$D$18)&gt;0),'Your Team'!$C$18="F" ),1,0)+IF( AND((COUNTIF(BQ$2:BQ$33,'Your Team'!$D$19)&gt;0),'Your Team'!$C$19="F" ),1,0)</f>
        <v>0</v>
      </c>
      <c r="BR38" s="9">
        <f>IF( AND((COUNTIF(BR$2:BR$33,'Your Team'!$D$3)&gt;0),'Your Team'!$C$3="F" ),1,0)+IF( AND((COUNTIF(BR$2:BR$33,'Your Team'!$D$4)&gt;0),'Your Team'!$C$4="F" ),1,0)+IF( AND((COUNTIF(BR$2:BR$33,'Your Team'!$D$5)&gt;0),'Your Team'!$C$5="F" ),1,0)+IF( AND((COUNTIF(BR$2:BR$33,'Your Team'!$D$6)&gt;0),'Your Team'!$C$6="F" ),1,0)+IF( AND((COUNTIF(BR$2:BR$33,'Your Team'!$D$7)&gt;0),'Your Team'!$C$7="F" ),1,0)+IF( AND((COUNTIF(BR$2:BR$33,'Your Team'!$D$8)&gt;0),'Your Team'!$C$8="F" ),1,0)+IF( AND((COUNTIF(BR$2:BR$33,'Your Team'!$D$9)&gt;0),'Your Team'!$C$9="F" ),1,0)+IF( AND((COUNTIF(BR$2:BR$33,'Your Team'!$D$10)&gt;0),'Your Team'!$C$10="F" ),1,0)+IF( AND((COUNTIF(BR$2:BR$33,'Your Team'!$D$11)&gt;0),'Your Team'!$C$11="F" ),1,0)+IF( AND((COUNTIF(BR$2:BR$33,'Your Team'!$D$12)&gt;0),'Your Team'!$C$12="F" ),1,0)+IF( AND((COUNTIF(BR$2:BR$33,'Your Team'!$D$13)&gt;0),'Your Team'!$C$13="F" ),1,0)+IF( AND((COUNTIF(BR$2:BR$33,'Your Team'!$D$14)&gt;0),'Your Team'!$C$14="F" ),1,0)+IF( AND((COUNTIF(BR$2:BR$33,'Your Team'!$D$15)&gt;0),'Your Team'!$C$15="F" ),1,0)+IF( AND((COUNTIF(BR$2:BR$33,'Your Team'!$D$16)&gt;0),'Your Team'!$C$16="F" ),1,0)+IF( AND((COUNTIF(BR$2:BR$33,'Your Team'!$D$17)&gt;0),'Your Team'!$C$17="F" ),1,0)+IF( AND((COUNTIF(BR$2:BR$33,'Your Team'!$D$18)&gt;0),'Your Team'!$C$18="F" ),1,0)+IF( AND((COUNTIF(BR$2:BR$33,'Your Team'!$D$19)&gt;0),'Your Team'!$C$19="F" ),1,0)</f>
        <v>0</v>
      </c>
      <c r="BS38" s="9">
        <f>IF( AND((COUNTIF(BS$2:BS$33,'Your Team'!$D$3)&gt;0),'Your Team'!$C$3="F" ),1,0)+IF( AND((COUNTIF(BS$2:BS$33,'Your Team'!$D$4)&gt;0),'Your Team'!$C$4="F" ),1,0)+IF( AND((COUNTIF(BS$2:BS$33,'Your Team'!$D$5)&gt;0),'Your Team'!$C$5="F" ),1,0)+IF( AND((COUNTIF(BS$2:BS$33,'Your Team'!$D$6)&gt;0),'Your Team'!$C$6="F" ),1,0)+IF( AND((COUNTIF(BS$2:BS$33,'Your Team'!$D$7)&gt;0),'Your Team'!$C$7="F" ),1,0)+IF( AND((COUNTIF(BS$2:BS$33,'Your Team'!$D$8)&gt;0),'Your Team'!$C$8="F" ),1,0)+IF( AND((COUNTIF(BS$2:BS$33,'Your Team'!$D$9)&gt;0),'Your Team'!$C$9="F" ),1,0)+IF( AND((COUNTIF(BS$2:BS$33,'Your Team'!$D$10)&gt;0),'Your Team'!$C$10="F" ),1,0)+IF( AND((COUNTIF(BS$2:BS$33,'Your Team'!$D$11)&gt;0),'Your Team'!$C$11="F" ),1,0)+IF( AND((COUNTIF(BS$2:BS$33,'Your Team'!$D$12)&gt;0),'Your Team'!$C$12="F" ),1,0)+IF( AND((COUNTIF(BS$2:BS$33,'Your Team'!$D$13)&gt;0),'Your Team'!$C$13="F" ),1,0)+IF( AND((COUNTIF(BS$2:BS$33,'Your Team'!$D$14)&gt;0),'Your Team'!$C$14="F" ),1,0)+IF( AND((COUNTIF(BS$2:BS$33,'Your Team'!$D$15)&gt;0),'Your Team'!$C$15="F" ),1,0)+IF( AND((COUNTIF(BS$2:BS$33,'Your Team'!$D$16)&gt;0),'Your Team'!$C$16="F" ),1,0)+IF( AND((COUNTIF(BS$2:BS$33,'Your Team'!$D$17)&gt;0),'Your Team'!$C$17="F" ),1,0)+IF( AND((COUNTIF(BS$2:BS$33,'Your Team'!$D$18)&gt;0),'Your Team'!$C$18="F" ),1,0)+IF( AND((COUNTIF(BS$2:BS$33,'Your Team'!$D$19)&gt;0),'Your Team'!$C$19="F" ),1,0)</f>
        <v>0</v>
      </c>
      <c r="BT38" s="9">
        <f>IF( AND((COUNTIF(BT$2:BT$33,'Your Team'!$D$3)&gt;0),'Your Team'!$C$3="F" ),1,0)+IF( AND((COUNTIF(BT$2:BT$33,'Your Team'!$D$4)&gt;0),'Your Team'!$C$4="F" ),1,0)+IF( AND((COUNTIF(BT$2:BT$33,'Your Team'!$D$5)&gt;0),'Your Team'!$C$5="F" ),1,0)+IF( AND((COUNTIF(BT$2:BT$33,'Your Team'!$D$6)&gt;0),'Your Team'!$C$6="F" ),1,0)+IF( AND((COUNTIF(BT$2:BT$33,'Your Team'!$D$7)&gt;0),'Your Team'!$C$7="F" ),1,0)+IF( AND((COUNTIF(BT$2:BT$33,'Your Team'!$D$8)&gt;0),'Your Team'!$C$8="F" ),1,0)+IF( AND((COUNTIF(BT$2:BT$33,'Your Team'!$D$9)&gt;0),'Your Team'!$C$9="F" ),1,0)+IF( AND((COUNTIF(BT$2:BT$33,'Your Team'!$D$10)&gt;0),'Your Team'!$C$10="F" ),1,0)+IF( AND((COUNTIF(BT$2:BT$33,'Your Team'!$D$11)&gt;0),'Your Team'!$C$11="F" ),1,0)+IF( AND((COUNTIF(BT$2:BT$33,'Your Team'!$D$12)&gt;0),'Your Team'!$C$12="F" ),1,0)+IF( AND((COUNTIF(BT$2:BT$33,'Your Team'!$D$13)&gt;0),'Your Team'!$C$13="F" ),1,0)+IF( AND((COUNTIF(BT$2:BT$33,'Your Team'!$D$14)&gt;0),'Your Team'!$C$14="F" ),1,0)+IF( AND((COUNTIF(BT$2:BT$33,'Your Team'!$D$15)&gt;0),'Your Team'!$C$15="F" ),1,0)+IF( AND((COUNTIF(BT$2:BT$33,'Your Team'!$D$16)&gt;0),'Your Team'!$C$16="F" ),1,0)+IF( AND((COUNTIF(BT$2:BT$33,'Your Team'!$D$17)&gt;0),'Your Team'!$C$17="F" ),1,0)+IF( AND((COUNTIF(BT$2:BT$33,'Your Team'!$D$18)&gt;0),'Your Team'!$C$18="F" ),1,0)+IF( AND((COUNTIF(BT$2:BT$33,'Your Team'!$D$19)&gt;0),'Your Team'!$C$19="F" ),1,0)</f>
        <v>0</v>
      </c>
      <c r="BU38" s="9">
        <f>IF( AND((COUNTIF(BU$2:BU$33,'Your Team'!$D$3)&gt;0),'Your Team'!$C$3="F" ),1,0)+IF( AND((COUNTIF(BU$2:BU$33,'Your Team'!$D$4)&gt;0),'Your Team'!$C$4="F" ),1,0)+IF( AND((COUNTIF(BU$2:BU$33,'Your Team'!$D$5)&gt;0),'Your Team'!$C$5="F" ),1,0)+IF( AND((COUNTIF(BU$2:BU$33,'Your Team'!$D$6)&gt;0),'Your Team'!$C$6="F" ),1,0)+IF( AND((COUNTIF(BU$2:BU$33,'Your Team'!$D$7)&gt;0),'Your Team'!$C$7="F" ),1,0)+IF( AND((COUNTIF(BU$2:BU$33,'Your Team'!$D$8)&gt;0),'Your Team'!$C$8="F" ),1,0)+IF( AND((COUNTIF(BU$2:BU$33,'Your Team'!$D$9)&gt;0),'Your Team'!$C$9="F" ),1,0)+IF( AND((COUNTIF(BU$2:BU$33,'Your Team'!$D$10)&gt;0),'Your Team'!$C$10="F" ),1,0)+IF( AND((COUNTIF(BU$2:BU$33,'Your Team'!$D$11)&gt;0),'Your Team'!$C$11="F" ),1,0)+IF( AND((COUNTIF(BU$2:BU$33,'Your Team'!$D$12)&gt;0),'Your Team'!$C$12="F" ),1,0)+IF( AND((COUNTIF(BU$2:BU$33,'Your Team'!$D$13)&gt;0),'Your Team'!$C$13="F" ),1,0)+IF( AND((COUNTIF(BU$2:BU$33,'Your Team'!$D$14)&gt;0),'Your Team'!$C$14="F" ),1,0)+IF( AND((COUNTIF(BU$2:BU$33,'Your Team'!$D$15)&gt;0),'Your Team'!$C$15="F" ),1,0)+IF( AND((COUNTIF(BU$2:BU$33,'Your Team'!$D$16)&gt;0),'Your Team'!$C$16="F" ),1,0)+IF( AND((COUNTIF(BU$2:BU$33,'Your Team'!$D$17)&gt;0),'Your Team'!$C$17="F" ),1,0)+IF( AND((COUNTIF(BU$2:BU$33,'Your Team'!$D$18)&gt;0),'Your Team'!$C$18="F" ),1,0)+IF( AND((COUNTIF(BU$2:BU$33,'Your Team'!$D$19)&gt;0),'Your Team'!$C$19="F" ),1,0)</f>
        <v>0</v>
      </c>
      <c r="BV38" s="9">
        <f>IF( AND((COUNTIF(BV$2:BV$33,'Your Team'!$D$3)&gt;0),'Your Team'!$C$3="F" ),1,0)+IF( AND((COUNTIF(BV$2:BV$33,'Your Team'!$D$4)&gt;0),'Your Team'!$C$4="F" ),1,0)+IF( AND((COUNTIF(BV$2:BV$33,'Your Team'!$D$5)&gt;0),'Your Team'!$C$5="F" ),1,0)+IF( AND((COUNTIF(BV$2:BV$33,'Your Team'!$D$6)&gt;0),'Your Team'!$C$6="F" ),1,0)+IF( AND((COUNTIF(BV$2:BV$33,'Your Team'!$D$7)&gt;0),'Your Team'!$C$7="F" ),1,0)+IF( AND((COUNTIF(BV$2:BV$33,'Your Team'!$D$8)&gt;0),'Your Team'!$C$8="F" ),1,0)+IF( AND((COUNTIF(BV$2:BV$33,'Your Team'!$D$9)&gt;0),'Your Team'!$C$9="F" ),1,0)+IF( AND((COUNTIF(BV$2:BV$33,'Your Team'!$D$10)&gt;0),'Your Team'!$C$10="F" ),1,0)+IF( AND((COUNTIF(BV$2:BV$33,'Your Team'!$D$11)&gt;0),'Your Team'!$C$11="F" ),1,0)+IF( AND((COUNTIF(BV$2:BV$33,'Your Team'!$D$12)&gt;0),'Your Team'!$C$12="F" ),1,0)+IF( AND((COUNTIF(BV$2:BV$33,'Your Team'!$D$13)&gt;0),'Your Team'!$C$13="F" ),1,0)+IF( AND((COUNTIF(BV$2:BV$33,'Your Team'!$D$14)&gt;0),'Your Team'!$C$14="F" ),1,0)+IF( AND((COUNTIF(BV$2:BV$33,'Your Team'!$D$15)&gt;0),'Your Team'!$C$15="F" ),1,0)+IF( AND((COUNTIF(BV$2:BV$33,'Your Team'!$D$16)&gt;0),'Your Team'!$C$16="F" ),1,0)+IF( AND((COUNTIF(BV$2:BV$33,'Your Team'!$D$17)&gt;0),'Your Team'!$C$17="F" ),1,0)+IF( AND((COUNTIF(BV$2:BV$33,'Your Team'!$D$18)&gt;0),'Your Team'!$C$18="F" ),1,0)+IF( AND((COUNTIF(BV$2:BV$33,'Your Team'!$D$19)&gt;0),'Your Team'!$C$19="F" ),1,0)</f>
        <v>0</v>
      </c>
      <c r="BW38" s="9">
        <f>IF( AND((COUNTIF(BW$2:BW$33,'Your Team'!$D$3)&gt;0),'Your Team'!$C$3="F" ),1,0)+IF( AND((COUNTIF(BW$2:BW$33,'Your Team'!$D$4)&gt;0),'Your Team'!$C$4="F" ),1,0)+IF( AND((COUNTIF(BW$2:BW$33,'Your Team'!$D$5)&gt;0),'Your Team'!$C$5="F" ),1,0)+IF( AND((COUNTIF(BW$2:BW$33,'Your Team'!$D$6)&gt;0),'Your Team'!$C$6="F" ),1,0)+IF( AND((COUNTIF(BW$2:BW$33,'Your Team'!$D$7)&gt;0),'Your Team'!$C$7="F" ),1,0)+IF( AND((COUNTIF(BW$2:BW$33,'Your Team'!$D$8)&gt;0),'Your Team'!$C$8="F" ),1,0)+IF( AND((COUNTIF(BW$2:BW$33,'Your Team'!$D$9)&gt;0),'Your Team'!$C$9="F" ),1,0)+IF( AND((COUNTIF(BW$2:BW$33,'Your Team'!$D$10)&gt;0),'Your Team'!$C$10="F" ),1,0)+IF( AND((COUNTIF(BW$2:BW$33,'Your Team'!$D$11)&gt;0),'Your Team'!$C$11="F" ),1,0)+IF( AND((COUNTIF(BW$2:BW$33,'Your Team'!$D$12)&gt;0),'Your Team'!$C$12="F" ),1,0)+IF( AND((COUNTIF(BW$2:BW$33,'Your Team'!$D$13)&gt;0),'Your Team'!$C$13="F" ),1,0)+IF( AND((COUNTIF(BW$2:BW$33,'Your Team'!$D$14)&gt;0),'Your Team'!$C$14="F" ),1,0)+IF( AND((COUNTIF(BW$2:BW$33,'Your Team'!$D$15)&gt;0),'Your Team'!$C$15="F" ),1,0)+IF( AND((COUNTIF(BW$2:BW$33,'Your Team'!$D$16)&gt;0),'Your Team'!$C$16="F" ),1,0)+IF( AND((COUNTIF(BW$2:BW$33,'Your Team'!$D$17)&gt;0),'Your Team'!$C$17="F" ),1,0)+IF( AND((COUNTIF(BW$2:BW$33,'Your Team'!$D$18)&gt;0),'Your Team'!$C$18="F" ),1,0)+IF( AND((COUNTIF(BW$2:BW$33,'Your Team'!$D$19)&gt;0),'Your Team'!$C$19="F" ),1,0)</f>
        <v>0</v>
      </c>
      <c r="BX38" s="9">
        <f>IF( AND((COUNTIF(BX$2:BX$33,'Your Team'!$D$3)&gt;0),'Your Team'!$C$3="F" ),1,0)+IF( AND((COUNTIF(BX$2:BX$33,'Your Team'!$D$4)&gt;0),'Your Team'!$C$4="F" ),1,0)+IF( AND((COUNTIF(BX$2:BX$33,'Your Team'!$D$5)&gt;0),'Your Team'!$C$5="F" ),1,0)+IF( AND((COUNTIF(BX$2:BX$33,'Your Team'!$D$6)&gt;0),'Your Team'!$C$6="F" ),1,0)+IF( AND((COUNTIF(BX$2:BX$33,'Your Team'!$D$7)&gt;0),'Your Team'!$C$7="F" ),1,0)+IF( AND((COUNTIF(BX$2:BX$33,'Your Team'!$D$8)&gt;0),'Your Team'!$C$8="F" ),1,0)+IF( AND((COUNTIF(BX$2:BX$33,'Your Team'!$D$9)&gt;0),'Your Team'!$C$9="F" ),1,0)+IF( AND((COUNTIF(BX$2:BX$33,'Your Team'!$D$10)&gt;0),'Your Team'!$C$10="F" ),1,0)+IF( AND((COUNTIF(BX$2:BX$33,'Your Team'!$D$11)&gt;0),'Your Team'!$C$11="F" ),1,0)+IF( AND((COUNTIF(BX$2:BX$33,'Your Team'!$D$12)&gt;0),'Your Team'!$C$12="F" ),1,0)+IF( AND((COUNTIF(BX$2:BX$33,'Your Team'!$D$13)&gt;0),'Your Team'!$C$13="F" ),1,0)+IF( AND((COUNTIF(BX$2:BX$33,'Your Team'!$D$14)&gt;0),'Your Team'!$C$14="F" ),1,0)+IF( AND((COUNTIF(BX$2:BX$33,'Your Team'!$D$15)&gt;0),'Your Team'!$C$15="F" ),1,0)+IF( AND((COUNTIF(BX$2:BX$33,'Your Team'!$D$16)&gt;0),'Your Team'!$C$16="F" ),1,0)+IF( AND((COUNTIF(BX$2:BX$33,'Your Team'!$D$17)&gt;0),'Your Team'!$C$17="F" ),1,0)+IF( AND((COUNTIF(BX$2:BX$33,'Your Team'!$D$18)&gt;0),'Your Team'!$C$18="F" ),1,0)+IF( AND((COUNTIF(BX$2:BX$33,'Your Team'!$D$19)&gt;0),'Your Team'!$C$19="F" ),1,0)</f>
        <v>0</v>
      </c>
      <c r="BY38" s="9">
        <f>IF( AND((COUNTIF(BY$2:BY$33,'Your Team'!$D$3)&gt;0),'Your Team'!$C$3="F" ),1,0)+IF( AND((COUNTIF(BY$2:BY$33,'Your Team'!$D$4)&gt;0),'Your Team'!$C$4="F" ),1,0)+IF( AND((COUNTIF(BY$2:BY$33,'Your Team'!$D$5)&gt;0),'Your Team'!$C$5="F" ),1,0)+IF( AND((COUNTIF(BY$2:BY$33,'Your Team'!$D$6)&gt;0),'Your Team'!$C$6="F" ),1,0)+IF( AND((COUNTIF(BY$2:BY$33,'Your Team'!$D$7)&gt;0),'Your Team'!$C$7="F" ),1,0)+IF( AND((COUNTIF(BY$2:BY$33,'Your Team'!$D$8)&gt;0),'Your Team'!$C$8="F" ),1,0)+IF( AND((COUNTIF(BY$2:BY$33,'Your Team'!$D$9)&gt;0),'Your Team'!$C$9="F" ),1,0)+IF( AND((COUNTIF(BY$2:BY$33,'Your Team'!$D$10)&gt;0),'Your Team'!$C$10="F" ),1,0)+IF( AND((COUNTIF(BY$2:BY$33,'Your Team'!$D$11)&gt;0),'Your Team'!$C$11="F" ),1,0)+IF( AND((COUNTIF(BY$2:BY$33,'Your Team'!$D$12)&gt;0),'Your Team'!$C$12="F" ),1,0)+IF( AND((COUNTIF(BY$2:BY$33,'Your Team'!$D$13)&gt;0),'Your Team'!$C$13="F" ),1,0)+IF( AND((COUNTIF(BY$2:BY$33,'Your Team'!$D$14)&gt;0),'Your Team'!$C$14="F" ),1,0)+IF( AND((COUNTIF(BY$2:BY$33,'Your Team'!$D$15)&gt;0),'Your Team'!$C$15="F" ),1,0)+IF( AND((COUNTIF(BY$2:BY$33,'Your Team'!$D$16)&gt;0),'Your Team'!$C$16="F" ),1,0)+IF( AND((COUNTIF(BY$2:BY$33,'Your Team'!$D$17)&gt;0),'Your Team'!$C$17="F" ),1,0)+IF( AND((COUNTIF(BY$2:BY$33,'Your Team'!$D$18)&gt;0),'Your Team'!$C$18="F" ),1,0)+IF( AND((COUNTIF(BY$2:BY$33,'Your Team'!$D$19)&gt;0),'Your Team'!$C$19="F" ),1,0)</f>
        <v>0</v>
      </c>
      <c r="BZ38" s="9">
        <f>IF( AND((COUNTIF(BZ$2:BZ$33,'Your Team'!$D$3)&gt;0),'Your Team'!$C$3="F" ),1,0)+IF( AND((COUNTIF(BZ$2:BZ$33,'Your Team'!$D$4)&gt;0),'Your Team'!$C$4="F" ),1,0)+IF( AND((COUNTIF(BZ$2:BZ$33,'Your Team'!$D$5)&gt;0),'Your Team'!$C$5="F" ),1,0)+IF( AND((COUNTIF(BZ$2:BZ$33,'Your Team'!$D$6)&gt;0),'Your Team'!$C$6="F" ),1,0)+IF( AND((COUNTIF(BZ$2:BZ$33,'Your Team'!$D$7)&gt;0),'Your Team'!$C$7="F" ),1,0)+IF( AND((COUNTIF(BZ$2:BZ$33,'Your Team'!$D$8)&gt;0),'Your Team'!$C$8="F" ),1,0)+IF( AND((COUNTIF(BZ$2:BZ$33,'Your Team'!$D$9)&gt;0),'Your Team'!$C$9="F" ),1,0)+IF( AND((COUNTIF(BZ$2:BZ$33,'Your Team'!$D$10)&gt;0),'Your Team'!$C$10="F" ),1,0)+IF( AND((COUNTIF(BZ$2:BZ$33,'Your Team'!$D$11)&gt;0),'Your Team'!$C$11="F" ),1,0)+IF( AND((COUNTIF(BZ$2:BZ$33,'Your Team'!$D$12)&gt;0),'Your Team'!$C$12="F" ),1,0)+IF( AND((COUNTIF(BZ$2:BZ$33,'Your Team'!$D$13)&gt;0),'Your Team'!$C$13="F" ),1,0)+IF( AND((COUNTIF(BZ$2:BZ$33,'Your Team'!$D$14)&gt;0),'Your Team'!$C$14="F" ),1,0)+IF( AND((COUNTIF(BZ$2:BZ$33,'Your Team'!$D$15)&gt;0),'Your Team'!$C$15="F" ),1,0)+IF( AND((COUNTIF(BZ$2:BZ$33,'Your Team'!$D$16)&gt;0),'Your Team'!$C$16="F" ),1,0)+IF( AND((COUNTIF(BZ$2:BZ$33,'Your Team'!$D$17)&gt;0),'Your Team'!$C$17="F" ),1,0)+IF( AND((COUNTIF(BZ$2:BZ$33,'Your Team'!$D$18)&gt;0),'Your Team'!$C$18="F" ),1,0)+IF( AND((COUNTIF(BZ$2:BZ$33,'Your Team'!$D$19)&gt;0),'Your Team'!$C$19="F" ),1,0)</f>
        <v>0</v>
      </c>
      <c r="CA38" s="9">
        <f>IF( AND((COUNTIF(CA$2:CA$33,'Your Team'!$D$3)&gt;0),'Your Team'!$C$3="F" ),1,0)+IF( AND((COUNTIF(CA$2:CA$33,'Your Team'!$D$4)&gt;0),'Your Team'!$C$4="F" ),1,0)+IF( AND((COUNTIF(CA$2:CA$33,'Your Team'!$D$5)&gt;0),'Your Team'!$C$5="F" ),1,0)+IF( AND((COUNTIF(CA$2:CA$33,'Your Team'!$D$6)&gt;0),'Your Team'!$C$6="F" ),1,0)+IF( AND((COUNTIF(CA$2:CA$33,'Your Team'!$D$7)&gt;0),'Your Team'!$C$7="F" ),1,0)+IF( AND((COUNTIF(CA$2:CA$33,'Your Team'!$D$8)&gt;0),'Your Team'!$C$8="F" ),1,0)+IF( AND((COUNTIF(CA$2:CA$33,'Your Team'!$D$9)&gt;0),'Your Team'!$C$9="F" ),1,0)+IF( AND((COUNTIF(CA$2:CA$33,'Your Team'!$D$10)&gt;0),'Your Team'!$C$10="F" ),1,0)+IF( AND((COUNTIF(CA$2:CA$33,'Your Team'!$D$11)&gt;0),'Your Team'!$C$11="F" ),1,0)+IF( AND((COUNTIF(CA$2:CA$33,'Your Team'!$D$12)&gt;0),'Your Team'!$C$12="F" ),1,0)+IF( AND((COUNTIF(CA$2:CA$33,'Your Team'!$D$13)&gt;0),'Your Team'!$C$13="F" ),1,0)+IF( AND((COUNTIF(CA$2:CA$33,'Your Team'!$D$14)&gt;0),'Your Team'!$C$14="F" ),1,0)+IF( AND((COUNTIF(CA$2:CA$33,'Your Team'!$D$15)&gt;0),'Your Team'!$C$15="F" ),1,0)+IF( AND((COUNTIF(CA$2:CA$33,'Your Team'!$D$16)&gt;0),'Your Team'!$C$16="F" ),1,0)+IF( AND((COUNTIF(CA$2:CA$33,'Your Team'!$D$17)&gt;0),'Your Team'!$C$17="F" ),1,0)+IF( AND((COUNTIF(CA$2:CA$33,'Your Team'!$D$18)&gt;0),'Your Team'!$C$18="F" ),1,0)+IF( AND((COUNTIF(CA$2:CA$33,'Your Team'!$D$19)&gt;0),'Your Team'!$C$19="F" ),1,0)</f>
        <v>0</v>
      </c>
      <c r="CB38" s="9">
        <f>IF( AND((COUNTIF(CB$2:CB$33,'Your Team'!$D$3)&gt;0),'Your Team'!$C$3="F" ),1,0)+IF( AND((COUNTIF(CB$2:CB$33,'Your Team'!$D$4)&gt;0),'Your Team'!$C$4="F" ),1,0)+IF( AND((COUNTIF(CB$2:CB$33,'Your Team'!$D$5)&gt;0),'Your Team'!$C$5="F" ),1,0)+IF( AND((COUNTIF(CB$2:CB$33,'Your Team'!$D$6)&gt;0),'Your Team'!$C$6="F" ),1,0)+IF( AND((COUNTIF(CB$2:CB$33,'Your Team'!$D$7)&gt;0),'Your Team'!$C$7="F" ),1,0)+IF( AND((COUNTIF(CB$2:CB$33,'Your Team'!$D$8)&gt;0),'Your Team'!$C$8="F" ),1,0)+IF( AND((COUNTIF(CB$2:CB$33,'Your Team'!$D$9)&gt;0),'Your Team'!$C$9="F" ),1,0)+IF( AND((COUNTIF(CB$2:CB$33,'Your Team'!$D$10)&gt;0),'Your Team'!$C$10="F" ),1,0)+IF( AND((COUNTIF(CB$2:CB$33,'Your Team'!$D$11)&gt;0),'Your Team'!$C$11="F" ),1,0)+IF( AND((COUNTIF(CB$2:CB$33,'Your Team'!$D$12)&gt;0),'Your Team'!$C$12="F" ),1,0)+IF( AND((COUNTIF(CB$2:CB$33,'Your Team'!$D$13)&gt;0),'Your Team'!$C$13="F" ),1,0)+IF( AND((COUNTIF(CB$2:CB$33,'Your Team'!$D$14)&gt;0),'Your Team'!$C$14="F" ),1,0)+IF( AND((COUNTIF(CB$2:CB$33,'Your Team'!$D$15)&gt;0),'Your Team'!$C$15="F" ),1,0)+IF( AND((COUNTIF(CB$2:CB$33,'Your Team'!$D$16)&gt;0),'Your Team'!$C$16="F" ),1,0)+IF( AND((COUNTIF(CB$2:CB$33,'Your Team'!$D$17)&gt;0),'Your Team'!$C$17="F" ),1,0)+IF( AND((COUNTIF(CB$2:CB$33,'Your Team'!$D$18)&gt;0),'Your Team'!$C$18="F" ),1,0)+IF( AND((COUNTIF(CB$2:CB$33,'Your Team'!$D$19)&gt;0),'Your Team'!$C$19="F" ),1,0)</f>
        <v>0</v>
      </c>
      <c r="CC38" s="9">
        <f>IF( AND((COUNTIF(CC$2:CC$33,'Your Team'!$D$3)&gt;0),'Your Team'!$C$3="F" ),1,0)+IF( AND((COUNTIF(CC$2:CC$33,'Your Team'!$D$4)&gt;0),'Your Team'!$C$4="F" ),1,0)+IF( AND((COUNTIF(CC$2:CC$33,'Your Team'!$D$5)&gt;0),'Your Team'!$C$5="F" ),1,0)+IF( AND((COUNTIF(CC$2:CC$33,'Your Team'!$D$6)&gt;0),'Your Team'!$C$6="F" ),1,0)+IF( AND((COUNTIF(CC$2:CC$33,'Your Team'!$D$7)&gt;0),'Your Team'!$C$7="F" ),1,0)+IF( AND((COUNTIF(CC$2:CC$33,'Your Team'!$D$8)&gt;0),'Your Team'!$C$8="F" ),1,0)+IF( AND((COUNTIF(CC$2:CC$33,'Your Team'!$D$9)&gt;0),'Your Team'!$C$9="F" ),1,0)+IF( AND((COUNTIF(CC$2:CC$33,'Your Team'!$D$10)&gt;0),'Your Team'!$C$10="F" ),1,0)+IF( AND((COUNTIF(CC$2:CC$33,'Your Team'!$D$11)&gt;0),'Your Team'!$C$11="F" ),1,0)+IF( AND((COUNTIF(CC$2:CC$33,'Your Team'!$D$12)&gt;0),'Your Team'!$C$12="F" ),1,0)+IF( AND((COUNTIF(CC$2:CC$33,'Your Team'!$D$13)&gt;0),'Your Team'!$C$13="F" ),1,0)+IF( AND((COUNTIF(CC$2:CC$33,'Your Team'!$D$14)&gt;0),'Your Team'!$C$14="F" ),1,0)+IF( AND((COUNTIF(CC$2:CC$33,'Your Team'!$D$15)&gt;0),'Your Team'!$C$15="F" ),1,0)+IF( AND((COUNTIF(CC$2:CC$33,'Your Team'!$D$16)&gt;0),'Your Team'!$C$16="F" ),1,0)+IF( AND((COUNTIF(CC$2:CC$33,'Your Team'!$D$17)&gt;0),'Your Team'!$C$17="F" ),1,0)+IF( AND((COUNTIF(CC$2:CC$33,'Your Team'!$D$18)&gt;0),'Your Team'!$C$18="F" ),1,0)+IF( AND((COUNTIF(CC$2:CC$33,'Your Team'!$D$19)&gt;0),'Your Team'!$C$19="F" ),1,0)</f>
        <v>0</v>
      </c>
      <c r="CD38" s="9">
        <f>IF( AND((COUNTIF(CD$2:CD$33,'Your Team'!$D$3)&gt;0),'Your Team'!$C$3="F" ),1,0)+IF( AND((COUNTIF(CD$2:CD$33,'Your Team'!$D$4)&gt;0),'Your Team'!$C$4="F" ),1,0)+IF( AND((COUNTIF(CD$2:CD$33,'Your Team'!$D$5)&gt;0),'Your Team'!$C$5="F" ),1,0)+IF( AND((COUNTIF(CD$2:CD$33,'Your Team'!$D$6)&gt;0),'Your Team'!$C$6="F" ),1,0)+IF( AND((COUNTIF(CD$2:CD$33,'Your Team'!$D$7)&gt;0),'Your Team'!$C$7="F" ),1,0)+IF( AND((COUNTIF(CD$2:CD$33,'Your Team'!$D$8)&gt;0),'Your Team'!$C$8="F" ),1,0)+IF( AND((COUNTIF(CD$2:CD$33,'Your Team'!$D$9)&gt;0),'Your Team'!$C$9="F" ),1,0)+IF( AND((COUNTIF(CD$2:CD$33,'Your Team'!$D$10)&gt;0),'Your Team'!$C$10="F" ),1,0)+IF( AND((COUNTIF(CD$2:CD$33,'Your Team'!$D$11)&gt;0),'Your Team'!$C$11="F" ),1,0)+IF( AND((COUNTIF(CD$2:CD$33,'Your Team'!$D$12)&gt;0),'Your Team'!$C$12="F" ),1,0)+IF( AND((COUNTIF(CD$2:CD$33,'Your Team'!$D$13)&gt;0),'Your Team'!$C$13="F" ),1,0)+IF( AND((COUNTIF(CD$2:CD$33,'Your Team'!$D$14)&gt;0),'Your Team'!$C$14="F" ),1,0)+IF( AND((COUNTIF(CD$2:CD$33,'Your Team'!$D$15)&gt;0),'Your Team'!$C$15="F" ),1,0)+IF( AND((COUNTIF(CD$2:CD$33,'Your Team'!$D$16)&gt;0),'Your Team'!$C$16="F" ),1,0)+IF( AND((COUNTIF(CD$2:CD$33,'Your Team'!$D$17)&gt;0),'Your Team'!$C$17="F" ),1,0)+IF( AND((COUNTIF(CD$2:CD$33,'Your Team'!$D$18)&gt;0),'Your Team'!$C$18="F" ),1,0)+IF( AND((COUNTIF(CD$2:CD$33,'Your Team'!$D$19)&gt;0),'Your Team'!$C$19="F" ),1,0)</f>
        <v>0</v>
      </c>
      <c r="CE38" s="9">
        <f>IF( AND((COUNTIF(CE$2:CE$33,'Your Team'!$D$3)&gt;0),'Your Team'!$C$3="F" ),1,0)+IF( AND((COUNTIF(CE$2:CE$33,'Your Team'!$D$4)&gt;0),'Your Team'!$C$4="F" ),1,0)+IF( AND((COUNTIF(CE$2:CE$33,'Your Team'!$D$5)&gt;0),'Your Team'!$C$5="F" ),1,0)+IF( AND((COUNTIF(CE$2:CE$33,'Your Team'!$D$6)&gt;0),'Your Team'!$C$6="F" ),1,0)+IF( AND((COUNTIF(CE$2:CE$33,'Your Team'!$D$7)&gt;0),'Your Team'!$C$7="F" ),1,0)+IF( AND((COUNTIF(CE$2:CE$33,'Your Team'!$D$8)&gt;0),'Your Team'!$C$8="F" ),1,0)+IF( AND((COUNTIF(CE$2:CE$33,'Your Team'!$D$9)&gt;0),'Your Team'!$C$9="F" ),1,0)+IF( AND((COUNTIF(CE$2:CE$33,'Your Team'!$D$10)&gt;0),'Your Team'!$C$10="F" ),1,0)+IF( AND((COUNTIF(CE$2:CE$33,'Your Team'!$D$11)&gt;0),'Your Team'!$C$11="F" ),1,0)+IF( AND((COUNTIF(CE$2:CE$33,'Your Team'!$D$12)&gt;0),'Your Team'!$C$12="F" ),1,0)+IF( AND((COUNTIF(CE$2:CE$33,'Your Team'!$D$13)&gt;0),'Your Team'!$C$13="F" ),1,0)+IF( AND((COUNTIF(CE$2:CE$33,'Your Team'!$D$14)&gt;0),'Your Team'!$C$14="F" ),1,0)+IF( AND((COUNTIF(CE$2:CE$33,'Your Team'!$D$15)&gt;0),'Your Team'!$C$15="F" ),1,0)+IF( AND((COUNTIF(CE$2:CE$33,'Your Team'!$D$16)&gt;0),'Your Team'!$C$16="F" ),1,0)+IF( AND((COUNTIF(CE$2:CE$33,'Your Team'!$D$17)&gt;0),'Your Team'!$C$17="F" ),1,0)+IF( AND((COUNTIF(CE$2:CE$33,'Your Team'!$D$18)&gt;0),'Your Team'!$C$18="F" ),1,0)+IF( AND((COUNTIF(CE$2:CE$33,'Your Team'!$D$19)&gt;0),'Your Team'!$C$19="F" ),1,0)</f>
        <v>0</v>
      </c>
      <c r="CF38" s="9">
        <f>IF( AND((COUNTIF(CF$2:CF$33,'Your Team'!$D$3)&gt;0),'Your Team'!$C$3="F" ),1,0)+IF( AND((COUNTIF(CF$2:CF$33,'Your Team'!$D$4)&gt;0),'Your Team'!$C$4="F" ),1,0)+IF( AND((COUNTIF(CF$2:CF$33,'Your Team'!$D$5)&gt;0),'Your Team'!$C$5="F" ),1,0)+IF( AND((COUNTIF(CF$2:CF$33,'Your Team'!$D$6)&gt;0),'Your Team'!$C$6="F" ),1,0)+IF( AND((COUNTIF(CF$2:CF$33,'Your Team'!$D$7)&gt;0),'Your Team'!$C$7="F" ),1,0)+IF( AND((COUNTIF(CF$2:CF$33,'Your Team'!$D$8)&gt;0),'Your Team'!$C$8="F" ),1,0)+IF( AND((COUNTIF(CF$2:CF$33,'Your Team'!$D$9)&gt;0),'Your Team'!$C$9="F" ),1,0)+IF( AND((COUNTIF(CF$2:CF$33,'Your Team'!$D$10)&gt;0),'Your Team'!$C$10="F" ),1,0)+IF( AND((COUNTIF(CF$2:CF$33,'Your Team'!$D$11)&gt;0),'Your Team'!$C$11="F" ),1,0)+IF( AND((COUNTIF(CF$2:CF$33,'Your Team'!$D$12)&gt;0),'Your Team'!$C$12="F" ),1,0)+IF( AND((COUNTIF(CF$2:CF$33,'Your Team'!$D$13)&gt;0),'Your Team'!$C$13="F" ),1,0)+IF( AND((COUNTIF(CF$2:CF$33,'Your Team'!$D$14)&gt;0),'Your Team'!$C$14="F" ),1,0)+IF( AND((COUNTIF(CF$2:CF$33,'Your Team'!$D$15)&gt;0),'Your Team'!$C$15="F" ),1,0)+IF( AND((COUNTIF(CF$2:CF$33,'Your Team'!$D$16)&gt;0),'Your Team'!$C$16="F" ),1,0)+IF( AND((COUNTIF(CF$2:CF$33,'Your Team'!$D$17)&gt;0),'Your Team'!$C$17="F" ),1,0)+IF( AND((COUNTIF(CF$2:CF$33,'Your Team'!$D$18)&gt;0),'Your Team'!$C$18="F" ),1,0)+IF( AND((COUNTIF(CF$2:CF$33,'Your Team'!$D$19)&gt;0),'Your Team'!$C$19="F" ),1,0)</f>
        <v>0</v>
      </c>
      <c r="CG38" s="9">
        <f>IF( AND((COUNTIF(CG$2:CG$33,'Your Team'!$D$3)&gt;0),'Your Team'!$C$3="F" ),1,0)+IF( AND((COUNTIF(CG$2:CG$33,'Your Team'!$D$4)&gt;0),'Your Team'!$C$4="F" ),1,0)+IF( AND((COUNTIF(CG$2:CG$33,'Your Team'!$D$5)&gt;0),'Your Team'!$C$5="F" ),1,0)+IF( AND((COUNTIF(CG$2:CG$33,'Your Team'!$D$6)&gt;0),'Your Team'!$C$6="F" ),1,0)+IF( AND((COUNTIF(CG$2:CG$33,'Your Team'!$D$7)&gt;0),'Your Team'!$C$7="F" ),1,0)+IF( AND((COUNTIF(CG$2:CG$33,'Your Team'!$D$8)&gt;0),'Your Team'!$C$8="F" ),1,0)+IF( AND((COUNTIF(CG$2:CG$33,'Your Team'!$D$9)&gt;0),'Your Team'!$C$9="F" ),1,0)+IF( AND((COUNTIF(CG$2:CG$33,'Your Team'!$D$10)&gt;0),'Your Team'!$C$10="F" ),1,0)+IF( AND((COUNTIF(CG$2:CG$33,'Your Team'!$D$11)&gt;0),'Your Team'!$C$11="F" ),1,0)+IF( AND((COUNTIF(CG$2:CG$33,'Your Team'!$D$12)&gt;0),'Your Team'!$C$12="F" ),1,0)+IF( AND((COUNTIF(CG$2:CG$33,'Your Team'!$D$13)&gt;0),'Your Team'!$C$13="F" ),1,0)+IF( AND((COUNTIF(CG$2:CG$33,'Your Team'!$D$14)&gt;0),'Your Team'!$C$14="F" ),1,0)+IF( AND((COUNTIF(CG$2:CG$33,'Your Team'!$D$15)&gt;0),'Your Team'!$C$15="F" ),1,0)+IF( AND((COUNTIF(CG$2:CG$33,'Your Team'!$D$16)&gt;0),'Your Team'!$C$16="F" ),1,0)+IF( AND((COUNTIF(CG$2:CG$33,'Your Team'!$D$17)&gt;0),'Your Team'!$C$17="F" ),1,0)+IF( AND((COUNTIF(CG$2:CG$33,'Your Team'!$D$18)&gt;0),'Your Team'!$C$18="F" ),1,0)+IF( AND((COUNTIF(CG$2:CG$33,'Your Team'!$D$19)&gt;0),'Your Team'!$C$19="F" ),1,0)</f>
        <v>0</v>
      </c>
      <c r="CH38" s="9">
        <f>IF( AND((COUNTIF(CH$2:CH$33,'Your Team'!$D$3)&gt;0),'Your Team'!$C$3="F" ),1,0)+IF( AND((COUNTIF(CH$2:CH$33,'Your Team'!$D$4)&gt;0),'Your Team'!$C$4="F" ),1,0)+IF( AND((COUNTIF(CH$2:CH$33,'Your Team'!$D$5)&gt;0),'Your Team'!$C$5="F" ),1,0)+IF( AND((COUNTIF(CH$2:CH$33,'Your Team'!$D$6)&gt;0),'Your Team'!$C$6="F" ),1,0)+IF( AND((COUNTIF(CH$2:CH$33,'Your Team'!$D$7)&gt;0),'Your Team'!$C$7="F" ),1,0)+IF( AND((COUNTIF(CH$2:CH$33,'Your Team'!$D$8)&gt;0),'Your Team'!$C$8="F" ),1,0)+IF( AND((COUNTIF(CH$2:CH$33,'Your Team'!$D$9)&gt;0),'Your Team'!$C$9="F" ),1,0)+IF( AND((COUNTIF(CH$2:CH$33,'Your Team'!$D$10)&gt;0),'Your Team'!$C$10="F" ),1,0)+IF( AND((COUNTIF(CH$2:CH$33,'Your Team'!$D$11)&gt;0),'Your Team'!$C$11="F" ),1,0)+IF( AND((COUNTIF(CH$2:CH$33,'Your Team'!$D$12)&gt;0),'Your Team'!$C$12="F" ),1,0)+IF( AND((COUNTIF(CH$2:CH$33,'Your Team'!$D$13)&gt;0),'Your Team'!$C$13="F" ),1,0)+IF( AND((COUNTIF(CH$2:CH$33,'Your Team'!$D$14)&gt;0),'Your Team'!$C$14="F" ),1,0)+IF( AND((COUNTIF(CH$2:CH$33,'Your Team'!$D$15)&gt;0),'Your Team'!$C$15="F" ),1,0)+IF( AND((COUNTIF(CH$2:CH$33,'Your Team'!$D$16)&gt;0),'Your Team'!$C$16="F" ),1,0)+IF( AND((COUNTIF(CH$2:CH$33,'Your Team'!$D$17)&gt;0),'Your Team'!$C$17="F" ),1,0)+IF( AND((COUNTIF(CH$2:CH$33,'Your Team'!$D$18)&gt;0),'Your Team'!$C$18="F" ),1,0)+IF( AND((COUNTIF(CH$2:CH$33,'Your Team'!$D$19)&gt;0),'Your Team'!$C$19="F" ),1,0)</f>
        <v>0</v>
      </c>
      <c r="CI38" s="9">
        <f>IF( AND((COUNTIF(CI$2:CI$33,'Your Team'!$D$3)&gt;0),'Your Team'!$C$3="F" ),1,0)+IF( AND((COUNTIF(CI$2:CI$33,'Your Team'!$D$4)&gt;0),'Your Team'!$C$4="F" ),1,0)+IF( AND((COUNTIF(CI$2:CI$33,'Your Team'!$D$5)&gt;0),'Your Team'!$C$5="F" ),1,0)+IF( AND((COUNTIF(CI$2:CI$33,'Your Team'!$D$6)&gt;0),'Your Team'!$C$6="F" ),1,0)+IF( AND((COUNTIF(CI$2:CI$33,'Your Team'!$D$7)&gt;0),'Your Team'!$C$7="F" ),1,0)+IF( AND((COUNTIF(CI$2:CI$33,'Your Team'!$D$8)&gt;0),'Your Team'!$C$8="F" ),1,0)+IF( AND((COUNTIF(CI$2:CI$33,'Your Team'!$D$9)&gt;0),'Your Team'!$C$9="F" ),1,0)+IF( AND((COUNTIF(CI$2:CI$33,'Your Team'!$D$10)&gt;0),'Your Team'!$C$10="F" ),1,0)+IF( AND((COUNTIF(CI$2:CI$33,'Your Team'!$D$11)&gt;0),'Your Team'!$C$11="F" ),1,0)+IF( AND((COUNTIF(CI$2:CI$33,'Your Team'!$D$12)&gt;0),'Your Team'!$C$12="F" ),1,0)+IF( AND((COUNTIF(CI$2:CI$33,'Your Team'!$D$13)&gt;0),'Your Team'!$C$13="F" ),1,0)+IF( AND((COUNTIF(CI$2:CI$33,'Your Team'!$D$14)&gt;0),'Your Team'!$C$14="F" ),1,0)+IF( AND((COUNTIF(CI$2:CI$33,'Your Team'!$D$15)&gt;0),'Your Team'!$C$15="F" ),1,0)+IF( AND((COUNTIF(CI$2:CI$33,'Your Team'!$D$16)&gt;0),'Your Team'!$C$16="F" ),1,0)+IF( AND((COUNTIF(CI$2:CI$33,'Your Team'!$D$17)&gt;0),'Your Team'!$C$17="F" ),1,0)+IF( AND((COUNTIF(CI$2:CI$33,'Your Team'!$D$18)&gt;0),'Your Team'!$C$18="F" ),1,0)+IF( AND((COUNTIF(CI$2:CI$33,'Your Team'!$D$19)&gt;0),'Your Team'!$C$19="F" ),1,0)</f>
        <v>0</v>
      </c>
      <c r="CJ38" s="9">
        <f>IF( AND((COUNTIF(CJ$2:CJ$33,'Your Team'!$D$3)&gt;0),'Your Team'!$C$3="F" ),1,0)+IF( AND((COUNTIF(CJ$2:CJ$33,'Your Team'!$D$4)&gt;0),'Your Team'!$C$4="F" ),1,0)+IF( AND((COUNTIF(CJ$2:CJ$33,'Your Team'!$D$5)&gt;0),'Your Team'!$C$5="F" ),1,0)+IF( AND((COUNTIF(CJ$2:CJ$33,'Your Team'!$D$6)&gt;0),'Your Team'!$C$6="F" ),1,0)+IF( AND((COUNTIF(CJ$2:CJ$33,'Your Team'!$D$7)&gt;0),'Your Team'!$C$7="F" ),1,0)+IF( AND((COUNTIF(CJ$2:CJ$33,'Your Team'!$D$8)&gt;0),'Your Team'!$C$8="F" ),1,0)+IF( AND((COUNTIF(CJ$2:CJ$33,'Your Team'!$D$9)&gt;0),'Your Team'!$C$9="F" ),1,0)+IF( AND((COUNTIF(CJ$2:CJ$33,'Your Team'!$D$10)&gt;0),'Your Team'!$C$10="F" ),1,0)+IF( AND((COUNTIF(CJ$2:CJ$33,'Your Team'!$D$11)&gt;0),'Your Team'!$C$11="F" ),1,0)+IF( AND((COUNTIF(CJ$2:CJ$33,'Your Team'!$D$12)&gt;0),'Your Team'!$C$12="F" ),1,0)+IF( AND((COUNTIF(CJ$2:CJ$33,'Your Team'!$D$13)&gt;0),'Your Team'!$C$13="F" ),1,0)+IF( AND((COUNTIF(CJ$2:CJ$33,'Your Team'!$D$14)&gt;0),'Your Team'!$C$14="F" ),1,0)+IF( AND((COUNTIF(CJ$2:CJ$33,'Your Team'!$D$15)&gt;0),'Your Team'!$C$15="F" ),1,0)+IF( AND((COUNTIF(CJ$2:CJ$33,'Your Team'!$D$16)&gt;0),'Your Team'!$C$16="F" ),1,0)+IF( AND((COUNTIF(CJ$2:CJ$33,'Your Team'!$D$17)&gt;0),'Your Team'!$C$17="F" ),1,0)+IF( AND((COUNTIF(CJ$2:CJ$33,'Your Team'!$D$18)&gt;0),'Your Team'!$C$18="F" ),1,0)+IF( AND((COUNTIF(CJ$2:CJ$33,'Your Team'!$D$19)&gt;0),'Your Team'!$C$19="F" ),1,0)</f>
        <v>0</v>
      </c>
      <c r="CK38" s="9">
        <f>IF( AND((COUNTIF(CK$2:CK$33,'Your Team'!$D$3)&gt;0),'Your Team'!$C$3="F" ),1,0)+IF( AND((COUNTIF(CK$2:CK$33,'Your Team'!$D$4)&gt;0),'Your Team'!$C$4="F" ),1,0)+IF( AND((COUNTIF(CK$2:CK$33,'Your Team'!$D$5)&gt;0),'Your Team'!$C$5="F" ),1,0)+IF( AND((COUNTIF(CK$2:CK$33,'Your Team'!$D$6)&gt;0),'Your Team'!$C$6="F" ),1,0)+IF( AND((COUNTIF(CK$2:CK$33,'Your Team'!$D$7)&gt;0),'Your Team'!$C$7="F" ),1,0)+IF( AND((COUNTIF(CK$2:CK$33,'Your Team'!$D$8)&gt;0),'Your Team'!$C$8="F" ),1,0)+IF( AND((COUNTIF(CK$2:CK$33,'Your Team'!$D$9)&gt;0),'Your Team'!$C$9="F" ),1,0)+IF( AND((COUNTIF(CK$2:CK$33,'Your Team'!$D$10)&gt;0),'Your Team'!$C$10="F" ),1,0)+IF( AND((COUNTIF(CK$2:CK$33,'Your Team'!$D$11)&gt;0),'Your Team'!$C$11="F" ),1,0)+IF( AND((COUNTIF(CK$2:CK$33,'Your Team'!$D$12)&gt;0),'Your Team'!$C$12="F" ),1,0)+IF( AND((COUNTIF(CK$2:CK$33,'Your Team'!$D$13)&gt;0),'Your Team'!$C$13="F" ),1,0)+IF( AND((COUNTIF(CK$2:CK$33,'Your Team'!$D$14)&gt;0),'Your Team'!$C$14="F" ),1,0)+IF( AND((COUNTIF(CK$2:CK$33,'Your Team'!$D$15)&gt;0),'Your Team'!$C$15="F" ),1,0)+IF( AND((COUNTIF(CK$2:CK$33,'Your Team'!$D$16)&gt;0),'Your Team'!$C$16="F" ),1,0)+IF( AND((COUNTIF(CK$2:CK$33,'Your Team'!$D$17)&gt;0),'Your Team'!$C$17="F" ),1,0)+IF( AND((COUNTIF(CK$2:CK$33,'Your Team'!$D$18)&gt;0),'Your Team'!$C$18="F" ),1,0)+IF( AND((COUNTIF(CK$2:CK$33,'Your Team'!$D$19)&gt;0),'Your Team'!$C$19="F" ),1,0)</f>
        <v>0</v>
      </c>
      <c r="CL38" s="9">
        <f>IF( AND((COUNTIF(CL$2:CL$33,'Your Team'!$D$3)&gt;0),'Your Team'!$C$3="F" ),1,0)+IF( AND((COUNTIF(CL$2:CL$33,'Your Team'!$D$4)&gt;0),'Your Team'!$C$4="F" ),1,0)+IF( AND((COUNTIF(CL$2:CL$33,'Your Team'!$D$5)&gt;0),'Your Team'!$C$5="F" ),1,0)+IF( AND((COUNTIF(CL$2:CL$33,'Your Team'!$D$6)&gt;0),'Your Team'!$C$6="F" ),1,0)+IF( AND((COUNTIF(CL$2:CL$33,'Your Team'!$D$7)&gt;0),'Your Team'!$C$7="F" ),1,0)+IF( AND((COUNTIF(CL$2:CL$33,'Your Team'!$D$8)&gt;0),'Your Team'!$C$8="F" ),1,0)+IF( AND((COUNTIF(CL$2:CL$33,'Your Team'!$D$9)&gt;0),'Your Team'!$C$9="F" ),1,0)+IF( AND((COUNTIF(CL$2:CL$33,'Your Team'!$D$10)&gt;0),'Your Team'!$C$10="F" ),1,0)+IF( AND((COUNTIF(CL$2:CL$33,'Your Team'!$D$11)&gt;0),'Your Team'!$C$11="F" ),1,0)+IF( AND((COUNTIF(CL$2:CL$33,'Your Team'!$D$12)&gt;0),'Your Team'!$C$12="F" ),1,0)+IF( AND((COUNTIF(CL$2:CL$33,'Your Team'!$D$13)&gt;0),'Your Team'!$C$13="F" ),1,0)+IF( AND((COUNTIF(CL$2:CL$33,'Your Team'!$D$14)&gt;0),'Your Team'!$C$14="F" ),1,0)+IF( AND((COUNTIF(CL$2:CL$33,'Your Team'!$D$15)&gt;0),'Your Team'!$C$15="F" ),1,0)+IF( AND((COUNTIF(CL$2:CL$33,'Your Team'!$D$16)&gt;0),'Your Team'!$C$16="F" ),1,0)+IF( AND((COUNTIF(CL$2:CL$33,'Your Team'!$D$17)&gt;0),'Your Team'!$C$17="F" ),1,0)+IF( AND((COUNTIF(CL$2:CL$33,'Your Team'!$D$18)&gt;0),'Your Team'!$C$18="F" ),1,0)+IF( AND((COUNTIF(CL$2:CL$33,'Your Team'!$D$19)&gt;0),'Your Team'!$C$19="F" ),1,0)</f>
        <v>0</v>
      </c>
      <c r="CM38" s="9">
        <f>IF( AND((COUNTIF(CM$2:CM$33,'Your Team'!$D$3)&gt;0),'Your Team'!$C$3="F" ),1,0)+IF( AND((COUNTIF(CM$2:CM$33,'Your Team'!$D$4)&gt;0),'Your Team'!$C$4="F" ),1,0)+IF( AND((COUNTIF(CM$2:CM$33,'Your Team'!$D$5)&gt;0),'Your Team'!$C$5="F" ),1,0)+IF( AND((COUNTIF(CM$2:CM$33,'Your Team'!$D$6)&gt;0),'Your Team'!$C$6="F" ),1,0)+IF( AND((COUNTIF(CM$2:CM$33,'Your Team'!$D$7)&gt;0),'Your Team'!$C$7="F" ),1,0)+IF( AND((COUNTIF(CM$2:CM$33,'Your Team'!$D$8)&gt;0),'Your Team'!$C$8="F" ),1,0)+IF( AND((COUNTIF(CM$2:CM$33,'Your Team'!$D$9)&gt;0),'Your Team'!$C$9="F" ),1,0)+IF( AND((COUNTIF(CM$2:CM$33,'Your Team'!$D$10)&gt;0),'Your Team'!$C$10="F" ),1,0)+IF( AND((COUNTIF(CM$2:CM$33,'Your Team'!$D$11)&gt;0),'Your Team'!$C$11="F" ),1,0)+IF( AND((COUNTIF(CM$2:CM$33,'Your Team'!$D$12)&gt;0),'Your Team'!$C$12="F" ),1,0)+IF( AND((COUNTIF(CM$2:CM$33,'Your Team'!$D$13)&gt;0),'Your Team'!$C$13="F" ),1,0)+IF( AND((COUNTIF(CM$2:CM$33,'Your Team'!$D$14)&gt;0),'Your Team'!$C$14="F" ),1,0)+IF( AND((COUNTIF(CM$2:CM$33,'Your Team'!$D$15)&gt;0),'Your Team'!$C$15="F" ),1,0)+IF( AND((COUNTIF(CM$2:CM$33,'Your Team'!$D$16)&gt;0),'Your Team'!$C$16="F" ),1,0)+IF( AND((COUNTIF(CM$2:CM$33,'Your Team'!$D$17)&gt;0),'Your Team'!$C$17="F" ),1,0)+IF( AND((COUNTIF(CM$2:CM$33,'Your Team'!$D$18)&gt;0),'Your Team'!$C$18="F" ),1,0)+IF( AND((COUNTIF(CM$2:CM$33,'Your Team'!$D$19)&gt;0),'Your Team'!$C$19="F" ),1,0)</f>
        <v>0</v>
      </c>
      <c r="CN38" s="9">
        <f>IF( AND((COUNTIF(CN$2:CN$33,'Your Team'!$D$3)&gt;0),'Your Team'!$C$3="F" ),1,0)+IF( AND((COUNTIF(CN$2:CN$33,'Your Team'!$D$4)&gt;0),'Your Team'!$C$4="F" ),1,0)+IF( AND((COUNTIF(CN$2:CN$33,'Your Team'!$D$5)&gt;0),'Your Team'!$C$5="F" ),1,0)+IF( AND((COUNTIF(CN$2:CN$33,'Your Team'!$D$6)&gt;0),'Your Team'!$C$6="F" ),1,0)+IF( AND((COUNTIF(CN$2:CN$33,'Your Team'!$D$7)&gt;0),'Your Team'!$C$7="F" ),1,0)+IF( AND((COUNTIF(CN$2:CN$33,'Your Team'!$D$8)&gt;0),'Your Team'!$C$8="F" ),1,0)+IF( AND((COUNTIF(CN$2:CN$33,'Your Team'!$D$9)&gt;0),'Your Team'!$C$9="F" ),1,0)+IF( AND((COUNTIF(CN$2:CN$33,'Your Team'!$D$10)&gt;0),'Your Team'!$C$10="F" ),1,0)+IF( AND((COUNTIF(CN$2:CN$33,'Your Team'!$D$11)&gt;0),'Your Team'!$C$11="F" ),1,0)+IF( AND((COUNTIF(CN$2:CN$33,'Your Team'!$D$12)&gt;0),'Your Team'!$C$12="F" ),1,0)+IF( AND((COUNTIF(CN$2:CN$33,'Your Team'!$D$13)&gt;0),'Your Team'!$C$13="F" ),1,0)+IF( AND((COUNTIF(CN$2:CN$33,'Your Team'!$D$14)&gt;0),'Your Team'!$C$14="F" ),1,0)+IF( AND((COUNTIF(CN$2:CN$33,'Your Team'!$D$15)&gt;0),'Your Team'!$C$15="F" ),1,0)+IF( AND((COUNTIF(CN$2:CN$33,'Your Team'!$D$16)&gt;0),'Your Team'!$C$16="F" ),1,0)+IF( AND((COUNTIF(CN$2:CN$33,'Your Team'!$D$17)&gt;0),'Your Team'!$C$17="F" ),1,0)+IF( AND((COUNTIF(CN$2:CN$33,'Your Team'!$D$18)&gt;0),'Your Team'!$C$18="F" ),1,0)+IF( AND((COUNTIF(CN$2:CN$33,'Your Team'!$D$19)&gt;0),'Your Team'!$C$19="F" ),1,0)</f>
        <v>0</v>
      </c>
      <c r="CO38" s="9">
        <f>IF( AND((COUNTIF(CO$2:CO$33,'Your Team'!$D$3)&gt;0),'Your Team'!$C$3="F" ),1,0)+IF( AND((COUNTIF(CO$2:CO$33,'Your Team'!$D$4)&gt;0),'Your Team'!$C$4="F" ),1,0)+IF( AND((COUNTIF(CO$2:CO$33,'Your Team'!$D$5)&gt;0),'Your Team'!$C$5="F" ),1,0)+IF( AND((COUNTIF(CO$2:CO$33,'Your Team'!$D$6)&gt;0),'Your Team'!$C$6="F" ),1,0)+IF( AND((COUNTIF(CO$2:CO$33,'Your Team'!$D$7)&gt;0),'Your Team'!$C$7="F" ),1,0)+IF( AND((COUNTIF(CO$2:CO$33,'Your Team'!$D$8)&gt;0),'Your Team'!$C$8="F" ),1,0)+IF( AND((COUNTIF(CO$2:CO$33,'Your Team'!$D$9)&gt;0),'Your Team'!$C$9="F" ),1,0)+IF( AND((COUNTIF(CO$2:CO$33,'Your Team'!$D$10)&gt;0),'Your Team'!$C$10="F" ),1,0)+IF( AND((COUNTIF(CO$2:CO$33,'Your Team'!$D$11)&gt;0),'Your Team'!$C$11="F" ),1,0)+IF( AND((COUNTIF(CO$2:CO$33,'Your Team'!$D$12)&gt;0),'Your Team'!$C$12="F" ),1,0)+IF( AND((COUNTIF(CO$2:CO$33,'Your Team'!$D$13)&gt;0),'Your Team'!$C$13="F" ),1,0)+IF( AND((COUNTIF(CO$2:CO$33,'Your Team'!$D$14)&gt;0),'Your Team'!$C$14="F" ),1,0)+IF( AND((COUNTIF(CO$2:CO$33,'Your Team'!$D$15)&gt;0),'Your Team'!$C$15="F" ),1,0)+IF( AND((COUNTIF(CO$2:CO$33,'Your Team'!$D$16)&gt;0),'Your Team'!$C$16="F" ),1,0)+IF( AND((COUNTIF(CO$2:CO$33,'Your Team'!$D$17)&gt;0),'Your Team'!$C$17="F" ),1,0)+IF( AND((COUNTIF(CO$2:CO$33,'Your Team'!$D$18)&gt;0),'Your Team'!$C$18="F" ),1,0)+IF( AND((COUNTIF(CO$2:CO$33,'Your Team'!$D$19)&gt;0),'Your Team'!$C$19="F" ),1,0)</f>
        <v>0</v>
      </c>
      <c r="CP38" s="9">
        <f>IF( AND((COUNTIF(CP$2:CP$33,'Your Team'!$D$3)&gt;0),'Your Team'!$C$3="F" ),1,0)+IF( AND((COUNTIF(CP$2:CP$33,'Your Team'!$D$4)&gt;0),'Your Team'!$C$4="F" ),1,0)+IF( AND((COUNTIF(CP$2:CP$33,'Your Team'!$D$5)&gt;0),'Your Team'!$C$5="F" ),1,0)+IF( AND((COUNTIF(CP$2:CP$33,'Your Team'!$D$6)&gt;0),'Your Team'!$C$6="F" ),1,0)+IF( AND((COUNTIF(CP$2:CP$33,'Your Team'!$D$7)&gt;0),'Your Team'!$C$7="F" ),1,0)+IF( AND((COUNTIF(CP$2:CP$33,'Your Team'!$D$8)&gt;0),'Your Team'!$C$8="F" ),1,0)+IF( AND((COUNTIF(CP$2:CP$33,'Your Team'!$D$9)&gt;0),'Your Team'!$C$9="F" ),1,0)+IF( AND((COUNTIF(CP$2:CP$33,'Your Team'!$D$10)&gt;0),'Your Team'!$C$10="F" ),1,0)+IF( AND((COUNTIF(CP$2:CP$33,'Your Team'!$D$11)&gt;0),'Your Team'!$C$11="F" ),1,0)+IF( AND((COUNTIF(CP$2:CP$33,'Your Team'!$D$12)&gt;0),'Your Team'!$C$12="F" ),1,0)+IF( AND((COUNTIF(CP$2:CP$33,'Your Team'!$D$13)&gt;0),'Your Team'!$C$13="F" ),1,0)+IF( AND((COUNTIF(CP$2:CP$33,'Your Team'!$D$14)&gt;0),'Your Team'!$C$14="F" ),1,0)+IF( AND((COUNTIF(CP$2:CP$33,'Your Team'!$D$15)&gt;0),'Your Team'!$C$15="F" ),1,0)+IF( AND((COUNTIF(CP$2:CP$33,'Your Team'!$D$16)&gt;0),'Your Team'!$C$16="F" ),1,0)+IF( AND((COUNTIF(CP$2:CP$33,'Your Team'!$D$17)&gt;0),'Your Team'!$C$17="F" ),1,0)+IF( AND((COUNTIF(CP$2:CP$33,'Your Team'!$D$18)&gt;0),'Your Team'!$C$18="F" ),1,0)+IF( AND((COUNTIF(CP$2:CP$33,'Your Team'!$D$19)&gt;0),'Your Team'!$C$19="F" ),1,0)</f>
        <v>0</v>
      </c>
      <c r="CQ38" s="9">
        <f>IF( AND((COUNTIF(CQ$2:CQ$33,'Your Team'!$D$3)&gt;0),'Your Team'!$C$3="F" ),1,0)+IF( AND((COUNTIF(CQ$2:CQ$33,'Your Team'!$D$4)&gt;0),'Your Team'!$C$4="F" ),1,0)+IF( AND((COUNTIF(CQ$2:CQ$33,'Your Team'!$D$5)&gt;0),'Your Team'!$C$5="F" ),1,0)+IF( AND((COUNTIF(CQ$2:CQ$33,'Your Team'!$D$6)&gt;0),'Your Team'!$C$6="F" ),1,0)+IF( AND((COUNTIF(CQ$2:CQ$33,'Your Team'!$D$7)&gt;0),'Your Team'!$C$7="F" ),1,0)+IF( AND((COUNTIF(CQ$2:CQ$33,'Your Team'!$D$8)&gt;0),'Your Team'!$C$8="F" ),1,0)+IF( AND((COUNTIF(CQ$2:CQ$33,'Your Team'!$D$9)&gt;0),'Your Team'!$C$9="F" ),1,0)+IF( AND((COUNTIF(CQ$2:CQ$33,'Your Team'!$D$10)&gt;0),'Your Team'!$C$10="F" ),1,0)+IF( AND((COUNTIF(CQ$2:CQ$33,'Your Team'!$D$11)&gt;0),'Your Team'!$C$11="F" ),1,0)+IF( AND((COUNTIF(CQ$2:CQ$33,'Your Team'!$D$12)&gt;0),'Your Team'!$C$12="F" ),1,0)+IF( AND((COUNTIF(CQ$2:CQ$33,'Your Team'!$D$13)&gt;0),'Your Team'!$C$13="F" ),1,0)+IF( AND((COUNTIF(CQ$2:CQ$33,'Your Team'!$D$14)&gt;0),'Your Team'!$C$14="F" ),1,0)+IF( AND((COUNTIF(CQ$2:CQ$33,'Your Team'!$D$15)&gt;0),'Your Team'!$C$15="F" ),1,0)+IF( AND((COUNTIF(CQ$2:CQ$33,'Your Team'!$D$16)&gt;0),'Your Team'!$C$16="F" ),1,0)+IF( AND((COUNTIF(CQ$2:CQ$33,'Your Team'!$D$17)&gt;0),'Your Team'!$C$17="F" ),1,0)+IF( AND((COUNTIF(CQ$2:CQ$33,'Your Team'!$D$18)&gt;0),'Your Team'!$C$18="F" ),1,0)+IF( AND((COUNTIF(CQ$2:CQ$33,'Your Team'!$D$19)&gt;0),'Your Team'!$C$19="F" ),1,0)</f>
        <v>0</v>
      </c>
      <c r="CR38" s="9">
        <f>IF( AND((COUNTIF(CR$2:CR$33,'Your Team'!$D$3)&gt;0),'Your Team'!$C$3="F" ),1,0)+IF( AND((COUNTIF(CR$2:CR$33,'Your Team'!$D$4)&gt;0),'Your Team'!$C$4="F" ),1,0)+IF( AND((COUNTIF(CR$2:CR$33,'Your Team'!$D$5)&gt;0),'Your Team'!$C$5="F" ),1,0)+IF( AND((COUNTIF(CR$2:CR$33,'Your Team'!$D$6)&gt;0),'Your Team'!$C$6="F" ),1,0)+IF( AND((COUNTIF(CR$2:CR$33,'Your Team'!$D$7)&gt;0),'Your Team'!$C$7="F" ),1,0)+IF( AND((COUNTIF(CR$2:CR$33,'Your Team'!$D$8)&gt;0),'Your Team'!$C$8="F" ),1,0)+IF( AND((COUNTIF(CR$2:CR$33,'Your Team'!$D$9)&gt;0),'Your Team'!$C$9="F" ),1,0)+IF( AND((COUNTIF(CR$2:CR$33,'Your Team'!$D$10)&gt;0),'Your Team'!$C$10="F" ),1,0)+IF( AND((COUNTIF(CR$2:CR$33,'Your Team'!$D$11)&gt;0),'Your Team'!$C$11="F" ),1,0)+IF( AND((COUNTIF(CR$2:CR$33,'Your Team'!$D$12)&gt;0),'Your Team'!$C$12="F" ),1,0)+IF( AND((COUNTIF(CR$2:CR$33,'Your Team'!$D$13)&gt;0),'Your Team'!$C$13="F" ),1,0)+IF( AND((COUNTIF(CR$2:CR$33,'Your Team'!$D$14)&gt;0),'Your Team'!$C$14="F" ),1,0)+IF( AND((COUNTIF(CR$2:CR$33,'Your Team'!$D$15)&gt;0),'Your Team'!$C$15="F" ),1,0)+IF( AND((COUNTIF(CR$2:CR$33,'Your Team'!$D$16)&gt;0),'Your Team'!$C$16="F" ),1,0)+IF( AND((COUNTIF(CR$2:CR$33,'Your Team'!$D$17)&gt;0),'Your Team'!$C$17="F" ),1,0)+IF( AND((COUNTIF(CR$2:CR$33,'Your Team'!$D$18)&gt;0),'Your Team'!$C$18="F" ),1,0)+IF( AND((COUNTIF(CR$2:CR$33,'Your Team'!$D$19)&gt;0),'Your Team'!$C$19="F" ),1,0)</f>
        <v>0</v>
      </c>
      <c r="CS38" s="9">
        <f>IF( AND((COUNTIF(CS$2:CS$33,'Your Team'!$D$3)&gt;0),'Your Team'!$C$3="F" ),1,0)+IF( AND((COUNTIF(CS$2:CS$33,'Your Team'!$D$4)&gt;0),'Your Team'!$C$4="F" ),1,0)+IF( AND((COUNTIF(CS$2:CS$33,'Your Team'!$D$5)&gt;0),'Your Team'!$C$5="F" ),1,0)+IF( AND((COUNTIF(CS$2:CS$33,'Your Team'!$D$6)&gt;0),'Your Team'!$C$6="F" ),1,0)+IF( AND((COUNTIF(CS$2:CS$33,'Your Team'!$D$7)&gt;0),'Your Team'!$C$7="F" ),1,0)+IF( AND((COUNTIF(CS$2:CS$33,'Your Team'!$D$8)&gt;0),'Your Team'!$C$8="F" ),1,0)+IF( AND((COUNTIF(CS$2:CS$33,'Your Team'!$D$9)&gt;0),'Your Team'!$C$9="F" ),1,0)+IF( AND((COUNTIF(CS$2:CS$33,'Your Team'!$D$10)&gt;0),'Your Team'!$C$10="F" ),1,0)+IF( AND((COUNTIF(CS$2:CS$33,'Your Team'!$D$11)&gt;0),'Your Team'!$C$11="F" ),1,0)+IF( AND((COUNTIF(CS$2:CS$33,'Your Team'!$D$12)&gt;0),'Your Team'!$C$12="F" ),1,0)+IF( AND((COUNTIF(CS$2:CS$33,'Your Team'!$D$13)&gt;0),'Your Team'!$C$13="F" ),1,0)+IF( AND((COUNTIF(CS$2:CS$33,'Your Team'!$D$14)&gt;0),'Your Team'!$C$14="F" ),1,0)+IF( AND((COUNTIF(CS$2:CS$33,'Your Team'!$D$15)&gt;0),'Your Team'!$C$15="F" ),1,0)+IF( AND((COUNTIF(CS$2:CS$33,'Your Team'!$D$16)&gt;0),'Your Team'!$C$16="F" ),1,0)+IF( AND((COUNTIF(CS$2:CS$33,'Your Team'!$D$17)&gt;0),'Your Team'!$C$17="F" ),1,0)+IF( AND((COUNTIF(CS$2:CS$33,'Your Team'!$D$18)&gt;0),'Your Team'!$C$18="F" ),1,0)+IF( AND((COUNTIF(CS$2:CS$33,'Your Team'!$D$19)&gt;0),'Your Team'!$C$19="F" ),1,0)</f>
        <v>0</v>
      </c>
      <c r="CT38" s="9">
        <f>IF( AND((COUNTIF(CT$2:CT$33,'Your Team'!$D$3)&gt;0),'Your Team'!$C$3="F" ),1,0)+IF( AND((COUNTIF(CT$2:CT$33,'Your Team'!$D$4)&gt;0),'Your Team'!$C$4="F" ),1,0)+IF( AND((COUNTIF(CT$2:CT$33,'Your Team'!$D$5)&gt;0),'Your Team'!$C$5="F" ),1,0)+IF( AND((COUNTIF(CT$2:CT$33,'Your Team'!$D$6)&gt;0),'Your Team'!$C$6="F" ),1,0)+IF( AND((COUNTIF(CT$2:CT$33,'Your Team'!$D$7)&gt;0),'Your Team'!$C$7="F" ),1,0)+IF( AND((COUNTIF(CT$2:CT$33,'Your Team'!$D$8)&gt;0),'Your Team'!$C$8="F" ),1,0)+IF( AND((COUNTIF(CT$2:CT$33,'Your Team'!$D$9)&gt;0),'Your Team'!$C$9="F" ),1,0)+IF( AND((COUNTIF(CT$2:CT$33,'Your Team'!$D$10)&gt;0),'Your Team'!$C$10="F" ),1,0)+IF( AND((COUNTIF(CT$2:CT$33,'Your Team'!$D$11)&gt;0),'Your Team'!$C$11="F" ),1,0)+IF( AND((COUNTIF(CT$2:CT$33,'Your Team'!$D$12)&gt;0),'Your Team'!$C$12="F" ),1,0)+IF( AND((COUNTIF(CT$2:CT$33,'Your Team'!$D$13)&gt;0),'Your Team'!$C$13="F" ),1,0)+IF( AND((COUNTIF(CT$2:CT$33,'Your Team'!$D$14)&gt;0),'Your Team'!$C$14="F" ),1,0)+IF( AND((COUNTIF(CT$2:CT$33,'Your Team'!$D$15)&gt;0),'Your Team'!$C$15="F" ),1,0)+IF( AND((COUNTIF(CT$2:CT$33,'Your Team'!$D$16)&gt;0),'Your Team'!$C$16="F" ),1,0)+IF( AND((COUNTIF(CT$2:CT$33,'Your Team'!$D$17)&gt;0),'Your Team'!$C$17="F" ),1,0)+IF( AND((COUNTIF(CT$2:CT$33,'Your Team'!$D$18)&gt;0),'Your Team'!$C$18="F" ),1,0)+IF( AND((COUNTIF(CT$2:CT$33,'Your Team'!$D$19)&gt;0),'Your Team'!$C$19="F" ),1,0)</f>
        <v>0</v>
      </c>
      <c r="CU38" s="9">
        <f>IF( AND((COUNTIF(CU$2:CU$33,'Your Team'!$D$3)&gt;0),'Your Team'!$C$3="F" ),1,0)+IF( AND((COUNTIF(CU$2:CU$33,'Your Team'!$D$4)&gt;0),'Your Team'!$C$4="F" ),1,0)+IF( AND((COUNTIF(CU$2:CU$33,'Your Team'!$D$5)&gt;0),'Your Team'!$C$5="F" ),1,0)+IF( AND((COUNTIF(CU$2:CU$33,'Your Team'!$D$6)&gt;0),'Your Team'!$C$6="F" ),1,0)+IF( AND((COUNTIF(CU$2:CU$33,'Your Team'!$D$7)&gt;0),'Your Team'!$C$7="F" ),1,0)+IF( AND((COUNTIF(CU$2:CU$33,'Your Team'!$D$8)&gt;0),'Your Team'!$C$8="F" ),1,0)+IF( AND((COUNTIF(CU$2:CU$33,'Your Team'!$D$9)&gt;0),'Your Team'!$C$9="F" ),1,0)+IF( AND((COUNTIF(CU$2:CU$33,'Your Team'!$D$10)&gt;0),'Your Team'!$C$10="F" ),1,0)+IF( AND((COUNTIF(CU$2:CU$33,'Your Team'!$D$11)&gt;0),'Your Team'!$C$11="F" ),1,0)+IF( AND((COUNTIF(CU$2:CU$33,'Your Team'!$D$12)&gt;0),'Your Team'!$C$12="F" ),1,0)+IF( AND((COUNTIF(CU$2:CU$33,'Your Team'!$D$13)&gt;0),'Your Team'!$C$13="F" ),1,0)+IF( AND((COUNTIF(CU$2:CU$33,'Your Team'!$D$14)&gt;0),'Your Team'!$C$14="F" ),1,0)+IF( AND((COUNTIF(CU$2:CU$33,'Your Team'!$D$15)&gt;0),'Your Team'!$C$15="F" ),1,0)+IF( AND((COUNTIF(CU$2:CU$33,'Your Team'!$D$16)&gt;0),'Your Team'!$C$16="F" ),1,0)+IF( AND((COUNTIF(CU$2:CU$33,'Your Team'!$D$17)&gt;0),'Your Team'!$C$17="F" ),1,0)+IF( AND((COUNTIF(CU$2:CU$33,'Your Team'!$D$18)&gt;0),'Your Team'!$C$18="F" ),1,0)+IF( AND((COUNTIF(CU$2:CU$33,'Your Team'!$D$19)&gt;0),'Your Team'!$C$19="F" ),1,0)</f>
        <v>0</v>
      </c>
      <c r="CV38" s="9">
        <f>IF( AND((COUNTIF(CV$2:CV$33,'Your Team'!$D$3)&gt;0),'Your Team'!$C$3="F" ),1,0)+IF( AND((COUNTIF(CV$2:CV$33,'Your Team'!$D$4)&gt;0),'Your Team'!$C$4="F" ),1,0)+IF( AND((COUNTIF(CV$2:CV$33,'Your Team'!$D$5)&gt;0),'Your Team'!$C$5="F" ),1,0)+IF( AND((COUNTIF(CV$2:CV$33,'Your Team'!$D$6)&gt;0),'Your Team'!$C$6="F" ),1,0)+IF( AND((COUNTIF(CV$2:CV$33,'Your Team'!$D$7)&gt;0),'Your Team'!$C$7="F" ),1,0)+IF( AND((COUNTIF(CV$2:CV$33,'Your Team'!$D$8)&gt;0),'Your Team'!$C$8="F" ),1,0)+IF( AND((COUNTIF(CV$2:CV$33,'Your Team'!$D$9)&gt;0),'Your Team'!$C$9="F" ),1,0)+IF( AND((COUNTIF(CV$2:CV$33,'Your Team'!$D$10)&gt;0),'Your Team'!$C$10="F" ),1,0)+IF( AND((COUNTIF(CV$2:CV$33,'Your Team'!$D$11)&gt;0),'Your Team'!$C$11="F" ),1,0)+IF( AND((COUNTIF(CV$2:CV$33,'Your Team'!$D$12)&gt;0),'Your Team'!$C$12="F" ),1,0)+IF( AND((COUNTIF(CV$2:CV$33,'Your Team'!$D$13)&gt;0),'Your Team'!$C$13="F" ),1,0)+IF( AND((COUNTIF(CV$2:CV$33,'Your Team'!$D$14)&gt;0),'Your Team'!$C$14="F" ),1,0)+IF( AND((COUNTIF(CV$2:CV$33,'Your Team'!$D$15)&gt;0),'Your Team'!$C$15="F" ),1,0)+IF( AND((COUNTIF(CV$2:CV$33,'Your Team'!$D$16)&gt;0),'Your Team'!$C$16="F" ),1,0)+IF( AND((COUNTIF(CV$2:CV$33,'Your Team'!$D$17)&gt;0),'Your Team'!$C$17="F" ),1,0)+IF( AND((COUNTIF(CV$2:CV$33,'Your Team'!$D$18)&gt;0),'Your Team'!$C$18="F" ),1,0)+IF( AND((COUNTIF(CV$2:CV$33,'Your Team'!$D$19)&gt;0),'Your Team'!$C$19="F" ),1,0)</f>
        <v>0</v>
      </c>
      <c r="CW38" s="9">
        <f>IF( AND((COUNTIF(CW$2:CW$33,'Your Team'!$D$3)&gt;0),'Your Team'!$C$3="F" ),1,0)+IF( AND((COUNTIF(CW$2:CW$33,'Your Team'!$D$4)&gt;0),'Your Team'!$C$4="F" ),1,0)+IF( AND((COUNTIF(CW$2:CW$33,'Your Team'!$D$5)&gt;0),'Your Team'!$C$5="F" ),1,0)+IF( AND((COUNTIF(CW$2:CW$33,'Your Team'!$D$6)&gt;0),'Your Team'!$C$6="F" ),1,0)+IF( AND((COUNTIF(CW$2:CW$33,'Your Team'!$D$7)&gt;0),'Your Team'!$C$7="F" ),1,0)+IF( AND((COUNTIF(CW$2:CW$33,'Your Team'!$D$8)&gt;0),'Your Team'!$C$8="F" ),1,0)+IF( AND((COUNTIF(CW$2:CW$33,'Your Team'!$D$9)&gt;0),'Your Team'!$C$9="F" ),1,0)+IF( AND((COUNTIF(CW$2:CW$33,'Your Team'!$D$10)&gt;0),'Your Team'!$C$10="F" ),1,0)+IF( AND((COUNTIF(CW$2:CW$33,'Your Team'!$D$11)&gt;0),'Your Team'!$C$11="F" ),1,0)+IF( AND((COUNTIF(CW$2:CW$33,'Your Team'!$D$12)&gt;0),'Your Team'!$C$12="F" ),1,0)+IF( AND((COUNTIF(CW$2:CW$33,'Your Team'!$D$13)&gt;0),'Your Team'!$C$13="F" ),1,0)+IF( AND((COUNTIF(CW$2:CW$33,'Your Team'!$D$14)&gt;0),'Your Team'!$C$14="F" ),1,0)+IF( AND((COUNTIF(CW$2:CW$33,'Your Team'!$D$15)&gt;0),'Your Team'!$C$15="F" ),1,0)+IF( AND((COUNTIF(CW$2:CW$33,'Your Team'!$D$16)&gt;0),'Your Team'!$C$16="F" ),1,0)+IF( AND((COUNTIF(CW$2:CW$33,'Your Team'!$D$17)&gt;0),'Your Team'!$C$17="F" ),1,0)+IF( AND((COUNTIF(CW$2:CW$33,'Your Team'!$D$18)&gt;0),'Your Team'!$C$18="F" ),1,0)+IF( AND((COUNTIF(CW$2:CW$33,'Your Team'!$D$19)&gt;0),'Your Team'!$C$19="F" ),1,0)</f>
        <v>0</v>
      </c>
      <c r="CX38" s="9">
        <f>IF( AND((COUNTIF(CX$2:CX$33,'Your Team'!$D$3)&gt;0),'Your Team'!$C$3="F" ),1,0)+IF( AND((COUNTIF(CX$2:CX$33,'Your Team'!$D$4)&gt;0),'Your Team'!$C$4="F" ),1,0)+IF( AND((COUNTIF(CX$2:CX$33,'Your Team'!$D$5)&gt;0),'Your Team'!$C$5="F" ),1,0)+IF( AND((COUNTIF(CX$2:CX$33,'Your Team'!$D$6)&gt;0),'Your Team'!$C$6="F" ),1,0)+IF( AND((COUNTIF(CX$2:CX$33,'Your Team'!$D$7)&gt;0),'Your Team'!$C$7="F" ),1,0)+IF( AND((COUNTIF(CX$2:CX$33,'Your Team'!$D$8)&gt;0),'Your Team'!$C$8="F" ),1,0)+IF( AND((COUNTIF(CX$2:CX$33,'Your Team'!$D$9)&gt;0),'Your Team'!$C$9="F" ),1,0)+IF( AND((COUNTIF(CX$2:CX$33,'Your Team'!$D$10)&gt;0),'Your Team'!$C$10="F" ),1,0)+IF( AND((COUNTIF(CX$2:CX$33,'Your Team'!$D$11)&gt;0),'Your Team'!$C$11="F" ),1,0)+IF( AND((COUNTIF(CX$2:CX$33,'Your Team'!$D$12)&gt;0),'Your Team'!$C$12="F" ),1,0)+IF( AND((COUNTIF(CX$2:CX$33,'Your Team'!$D$13)&gt;0),'Your Team'!$C$13="F" ),1,0)+IF( AND((COUNTIF(CX$2:CX$33,'Your Team'!$D$14)&gt;0),'Your Team'!$C$14="F" ),1,0)+IF( AND((COUNTIF(CX$2:CX$33,'Your Team'!$D$15)&gt;0),'Your Team'!$C$15="F" ),1,0)+IF( AND((COUNTIF(CX$2:CX$33,'Your Team'!$D$16)&gt;0),'Your Team'!$C$16="F" ),1,0)+IF( AND((COUNTIF(CX$2:CX$33,'Your Team'!$D$17)&gt;0),'Your Team'!$C$17="F" ),1,0)+IF( AND((COUNTIF(CX$2:CX$33,'Your Team'!$D$18)&gt;0),'Your Team'!$C$18="F" ),1,0)+IF( AND((COUNTIF(CX$2:CX$33,'Your Team'!$D$19)&gt;0),'Your Team'!$C$19="F" ),1,0)</f>
        <v>0</v>
      </c>
      <c r="CY38" s="9">
        <f>IF( AND((COUNTIF(CY$2:CY$33,'Your Team'!$D$3)&gt;0),'Your Team'!$C$3="F" ),1,0)+IF( AND((COUNTIF(CY$2:CY$33,'Your Team'!$D$4)&gt;0),'Your Team'!$C$4="F" ),1,0)+IF( AND((COUNTIF(CY$2:CY$33,'Your Team'!$D$5)&gt;0),'Your Team'!$C$5="F" ),1,0)+IF( AND((COUNTIF(CY$2:CY$33,'Your Team'!$D$6)&gt;0),'Your Team'!$C$6="F" ),1,0)+IF( AND((COUNTIF(CY$2:CY$33,'Your Team'!$D$7)&gt;0),'Your Team'!$C$7="F" ),1,0)+IF( AND((COUNTIF(CY$2:CY$33,'Your Team'!$D$8)&gt;0),'Your Team'!$C$8="F" ),1,0)+IF( AND((COUNTIF(CY$2:CY$33,'Your Team'!$D$9)&gt;0),'Your Team'!$C$9="F" ),1,0)+IF( AND((COUNTIF(CY$2:CY$33,'Your Team'!$D$10)&gt;0),'Your Team'!$C$10="F" ),1,0)+IF( AND((COUNTIF(CY$2:CY$33,'Your Team'!$D$11)&gt;0),'Your Team'!$C$11="F" ),1,0)+IF( AND((COUNTIF(CY$2:CY$33,'Your Team'!$D$12)&gt;0),'Your Team'!$C$12="F" ),1,0)+IF( AND((COUNTIF(CY$2:CY$33,'Your Team'!$D$13)&gt;0),'Your Team'!$C$13="F" ),1,0)+IF( AND((COUNTIF(CY$2:CY$33,'Your Team'!$D$14)&gt;0),'Your Team'!$C$14="F" ),1,0)+IF( AND((COUNTIF(CY$2:CY$33,'Your Team'!$D$15)&gt;0),'Your Team'!$C$15="F" ),1,0)+IF( AND((COUNTIF(CY$2:CY$33,'Your Team'!$D$16)&gt;0),'Your Team'!$C$16="F" ),1,0)+IF( AND((COUNTIF(CY$2:CY$33,'Your Team'!$D$17)&gt;0),'Your Team'!$C$17="F" ),1,0)+IF( AND((COUNTIF(CY$2:CY$33,'Your Team'!$D$18)&gt;0),'Your Team'!$C$18="F" ),1,0)+IF( AND((COUNTIF(CY$2:CY$33,'Your Team'!$D$19)&gt;0),'Your Team'!$C$19="F" ),1,0)</f>
        <v>0</v>
      </c>
      <c r="CZ38" s="9">
        <f>IF( AND((COUNTIF(CZ$2:CZ$33,'Your Team'!$D$3)&gt;0),'Your Team'!$C$3="F" ),1,0)+IF( AND((COUNTIF(CZ$2:CZ$33,'Your Team'!$D$4)&gt;0),'Your Team'!$C$4="F" ),1,0)+IF( AND((COUNTIF(CZ$2:CZ$33,'Your Team'!$D$5)&gt;0),'Your Team'!$C$5="F" ),1,0)+IF( AND((COUNTIF(CZ$2:CZ$33,'Your Team'!$D$6)&gt;0),'Your Team'!$C$6="F" ),1,0)+IF( AND((COUNTIF(CZ$2:CZ$33,'Your Team'!$D$7)&gt;0),'Your Team'!$C$7="F" ),1,0)+IF( AND((COUNTIF(CZ$2:CZ$33,'Your Team'!$D$8)&gt;0),'Your Team'!$C$8="F" ),1,0)+IF( AND((COUNTIF(CZ$2:CZ$33,'Your Team'!$D$9)&gt;0),'Your Team'!$C$9="F" ),1,0)+IF( AND((COUNTIF(CZ$2:CZ$33,'Your Team'!$D$10)&gt;0),'Your Team'!$C$10="F" ),1,0)+IF( AND((COUNTIF(CZ$2:CZ$33,'Your Team'!$D$11)&gt;0),'Your Team'!$C$11="F" ),1,0)+IF( AND((COUNTIF(CZ$2:CZ$33,'Your Team'!$D$12)&gt;0),'Your Team'!$C$12="F" ),1,0)+IF( AND((COUNTIF(CZ$2:CZ$33,'Your Team'!$D$13)&gt;0),'Your Team'!$C$13="F" ),1,0)+IF( AND((COUNTIF(CZ$2:CZ$33,'Your Team'!$D$14)&gt;0),'Your Team'!$C$14="F" ),1,0)+IF( AND((COUNTIF(CZ$2:CZ$33,'Your Team'!$D$15)&gt;0),'Your Team'!$C$15="F" ),1,0)+IF( AND((COUNTIF(CZ$2:CZ$33,'Your Team'!$D$16)&gt;0),'Your Team'!$C$16="F" ),1,0)+IF( AND((COUNTIF(CZ$2:CZ$33,'Your Team'!$D$17)&gt;0),'Your Team'!$C$17="F" ),1,0)+IF( AND((COUNTIF(CZ$2:CZ$33,'Your Team'!$D$18)&gt;0),'Your Team'!$C$18="F" ),1,0)+IF( AND((COUNTIF(CZ$2:CZ$33,'Your Team'!$D$19)&gt;0),'Your Team'!$C$19="F" ),1,0)</f>
        <v>0</v>
      </c>
      <c r="DA38" s="9">
        <f>IF( AND((COUNTIF(DA$2:DA$33,'Your Team'!$D$3)&gt;0),'Your Team'!$C$3="F" ),1,0)+IF( AND((COUNTIF(DA$2:DA$33,'Your Team'!$D$4)&gt;0),'Your Team'!$C$4="F" ),1,0)+IF( AND((COUNTIF(DA$2:DA$33,'Your Team'!$D$5)&gt;0),'Your Team'!$C$5="F" ),1,0)+IF( AND((COUNTIF(DA$2:DA$33,'Your Team'!$D$6)&gt;0),'Your Team'!$C$6="F" ),1,0)+IF( AND((COUNTIF(DA$2:DA$33,'Your Team'!$D$7)&gt;0),'Your Team'!$C$7="F" ),1,0)+IF( AND((COUNTIF(DA$2:DA$33,'Your Team'!$D$8)&gt;0),'Your Team'!$C$8="F" ),1,0)+IF( AND((COUNTIF(DA$2:DA$33,'Your Team'!$D$9)&gt;0),'Your Team'!$C$9="F" ),1,0)+IF( AND((COUNTIF(DA$2:DA$33,'Your Team'!$D$10)&gt;0),'Your Team'!$C$10="F" ),1,0)+IF( AND((COUNTIF(DA$2:DA$33,'Your Team'!$D$11)&gt;0),'Your Team'!$C$11="F" ),1,0)+IF( AND((COUNTIF(DA$2:DA$33,'Your Team'!$D$12)&gt;0),'Your Team'!$C$12="F" ),1,0)+IF( AND((COUNTIF(DA$2:DA$33,'Your Team'!$D$13)&gt;0),'Your Team'!$C$13="F" ),1,0)+IF( AND((COUNTIF(DA$2:DA$33,'Your Team'!$D$14)&gt;0),'Your Team'!$C$14="F" ),1,0)+IF( AND((COUNTIF(DA$2:DA$33,'Your Team'!$D$15)&gt;0),'Your Team'!$C$15="F" ),1,0)+IF( AND((COUNTIF(DA$2:DA$33,'Your Team'!$D$16)&gt;0),'Your Team'!$C$16="F" ),1,0)+IF( AND((COUNTIF(DA$2:DA$33,'Your Team'!$D$17)&gt;0),'Your Team'!$C$17="F" ),1,0)+IF( AND((COUNTIF(DA$2:DA$33,'Your Team'!$D$18)&gt;0),'Your Team'!$C$18="F" ),1,0)+IF( AND((COUNTIF(DA$2:DA$33,'Your Team'!$D$19)&gt;0),'Your Team'!$C$19="F" ),1,0)</f>
        <v>0</v>
      </c>
      <c r="DB38" s="9">
        <f>IF( AND((COUNTIF(DB$2:DB$33,'Your Team'!$D$3)&gt;0),'Your Team'!$C$3="F" ),1,0)+IF( AND((COUNTIF(DB$2:DB$33,'Your Team'!$D$4)&gt;0),'Your Team'!$C$4="F" ),1,0)+IF( AND((COUNTIF(DB$2:DB$33,'Your Team'!$D$5)&gt;0),'Your Team'!$C$5="F" ),1,0)+IF( AND((COUNTIF(DB$2:DB$33,'Your Team'!$D$6)&gt;0),'Your Team'!$C$6="F" ),1,0)+IF( AND((COUNTIF(DB$2:DB$33,'Your Team'!$D$7)&gt;0),'Your Team'!$C$7="F" ),1,0)+IF( AND((COUNTIF(DB$2:DB$33,'Your Team'!$D$8)&gt;0),'Your Team'!$C$8="F" ),1,0)+IF( AND((COUNTIF(DB$2:DB$33,'Your Team'!$D$9)&gt;0),'Your Team'!$C$9="F" ),1,0)+IF( AND((COUNTIF(DB$2:DB$33,'Your Team'!$D$10)&gt;0),'Your Team'!$C$10="F" ),1,0)+IF( AND((COUNTIF(DB$2:DB$33,'Your Team'!$D$11)&gt;0),'Your Team'!$C$11="F" ),1,0)+IF( AND((COUNTIF(DB$2:DB$33,'Your Team'!$D$12)&gt;0),'Your Team'!$C$12="F" ),1,0)+IF( AND((COUNTIF(DB$2:DB$33,'Your Team'!$D$13)&gt;0),'Your Team'!$C$13="F" ),1,0)+IF( AND((COUNTIF(DB$2:DB$33,'Your Team'!$D$14)&gt;0),'Your Team'!$C$14="F" ),1,0)+IF( AND((COUNTIF(DB$2:DB$33,'Your Team'!$D$15)&gt;0),'Your Team'!$C$15="F" ),1,0)+IF( AND((COUNTIF(DB$2:DB$33,'Your Team'!$D$16)&gt;0),'Your Team'!$C$16="F" ),1,0)+IF( AND((COUNTIF(DB$2:DB$33,'Your Team'!$D$17)&gt;0),'Your Team'!$C$17="F" ),1,0)+IF( AND((COUNTIF(DB$2:DB$33,'Your Team'!$D$18)&gt;0),'Your Team'!$C$18="F" ),1,0)+IF( AND((COUNTIF(DB$2:DB$33,'Your Team'!$D$19)&gt;0),'Your Team'!$C$19="F" ),1,0)</f>
        <v>0</v>
      </c>
      <c r="DC38" s="9">
        <f>IF( AND((COUNTIF(DC$2:DC$33,'Your Team'!$D$3)&gt;0),'Your Team'!$C$3="F" ),1,0)+IF( AND((COUNTIF(DC$2:DC$33,'Your Team'!$D$4)&gt;0),'Your Team'!$C$4="F" ),1,0)+IF( AND((COUNTIF(DC$2:DC$33,'Your Team'!$D$5)&gt;0),'Your Team'!$C$5="F" ),1,0)+IF( AND((COUNTIF(DC$2:DC$33,'Your Team'!$D$6)&gt;0),'Your Team'!$C$6="F" ),1,0)+IF( AND((COUNTIF(DC$2:DC$33,'Your Team'!$D$7)&gt;0),'Your Team'!$C$7="F" ),1,0)+IF( AND((COUNTIF(DC$2:DC$33,'Your Team'!$D$8)&gt;0),'Your Team'!$C$8="F" ),1,0)+IF( AND((COUNTIF(DC$2:DC$33,'Your Team'!$D$9)&gt;0),'Your Team'!$C$9="F" ),1,0)+IF( AND((COUNTIF(DC$2:DC$33,'Your Team'!$D$10)&gt;0),'Your Team'!$C$10="F" ),1,0)+IF( AND((COUNTIF(DC$2:DC$33,'Your Team'!$D$11)&gt;0),'Your Team'!$C$11="F" ),1,0)+IF( AND((COUNTIF(DC$2:DC$33,'Your Team'!$D$12)&gt;0),'Your Team'!$C$12="F" ),1,0)+IF( AND((COUNTIF(DC$2:DC$33,'Your Team'!$D$13)&gt;0),'Your Team'!$C$13="F" ),1,0)+IF( AND((COUNTIF(DC$2:DC$33,'Your Team'!$D$14)&gt;0),'Your Team'!$C$14="F" ),1,0)+IF( AND((COUNTIF(DC$2:DC$33,'Your Team'!$D$15)&gt;0),'Your Team'!$C$15="F" ),1,0)+IF( AND((COUNTIF(DC$2:DC$33,'Your Team'!$D$16)&gt;0),'Your Team'!$C$16="F" ),1,0)+IF( AND((COUNTIF(DC$2:DC$33,'Your Team'!$D$17)&gt;0),'Your Team'!$C$17="F" ),1,0)+IF( AND((COUNTIF(DC$2:DC$33,'Your Team'!$D$18)&gt;0),'Your Team'!$C$18="F" ),1,0)+IF( AND((COUNTIF(DC$2:DC$33,'Your Team'!$D$19)&gt;0),'Your Team'!$C$19="F" ),1,0)</f>
        <v>0</v>
      </c>
      <c r="DD38" s="9">
        <f>IF( AND((COUNTIF(DD$2:DD$33,'Your Team'!$D$3)&gt;0),'Your Team'!$C$3="F" ),1,0)+IF( AND((COUNTIF(DD$2:DD$33,'Your Team'!$D$4)&gt;0),'Your Team'!$C$4="F" ),1,0)+IF( AND((COUNTIF(DD$2:DD$33,'Your Team'!$D$5)&gt;0),'Your Team'!$C$5="F" ),1,0)+IF( AND((COUNTIF(DD$2:DD$33,'Your Team'!$D$6)&gt;0),'Your Team'!$C$6="F" ),1,0)+IF( AND((COUNTIF(DD$2:DD$33,'Your Team'!$D$7)&gt;0),'Your Team'!$C$7="F" ),1,0)+IF( AND((COUNTIF(DD$2:DD$33,'Your Team'!$D$8)&gt;0),'Your Team'!$C$8="F" ),1,0)+IF( AND((COUNTIF(DD$2:DD$33,'Your Team'!$D$9)&gt;0),'Your Team'!$C$9="F" ),1,0)+IF( AND((COUNTIF(DD$2:DD$33,'Your Team'!$D$10)&gt;0),'Your Team'!$C$10="F" ),1,0)+IF( AND((COUNTIF(DD$2:DD$33,'Your Team'!$D$11)&gt;0),'Your Team'!$C$11="F" ),1,0)+IF( AND((COUNTIF(DD$2:DD$33,'Your Team'!$D$12)&gt;0),'Your Team'!$C$12="F" ),1,0)+IF( AND((COUNTIF(DD$2:DD$33,'Your Team'!$D$13)&gt;0),'Your Team'!$C$13="F" ),1,0)+IF( AND((COUNTIF(DD$2:DD$33,'Your Team'!$D$14)&gt;0),'Your Team'!$C$14="F" ),1,0)+IF( AND((COUNTIF(DD$2:DD$33,'Your Team'!$D$15)&gt;0),'Your Team'!$C$15="F" ),1,0)+IF( AND((COUNTIF(DD$2:DD$33,'Your Team'!$D$16)&gt;0),'Your Team'!$C$16="F" ),1,0)+IF( AND((COUNTIF(DD$2:DD$33,'Your Team'!$D$17)&gt;0),'Your Team'!$C$17="F" ),1,0)+IF( AND((COUNTIF(DD$2:DD$33,'Your Team'!$D$18)&gt;0),'Your Team'!$C$18="F" ),1,0)+IF( AND((COUNTIF(DD$2:DD$33,'Your Team'!$D$19)&gt;0),'Your Team'!$C$19="F" ),1,0)</f>
        <v>0</v>
      </c>
      <c r="DE38" s="9">
        <f>IF( AND((COUNTIF(DE$2:DE$33,'Your Team'!$D$3)&gt;0),'Your Team'!$C$3="F" ),1,0)+IF( AND((COUNTIF(DE$2:DE$33,'Your Team'!$D$4)&gt;0),'Your Team'!$C$4="F" ),1,0)+IF( AND((COUNTIF(DE$2:DE$33,'Your Team'!$D$5)&gt;0),'Your Team'!$C$5="F" ),1,0)+IF( AND((COUNTIF(DE$2:DE$33,'Your Team'!$D$6)&gt;0),'Your Team'!$C$6="F" ),1,0)+IF( AND((COUNTIF(DE$2:DE$33,'Your Team'!$D$7)&gt;0),'Your Team'!$C$7="F" ),1,0)+IF( AND((COUNTIF(DE$2:DE$33,'Your Team'!$D$8)&gt;0),'Your Team'!$C$8="F" ),1,0)+IF( AND((COUNTIF(DE$2:DE$33,'Your Team'!$D$9)&gt;0),'Your Team'!$C$9="F" ),1,0)+IF( AND((COUNTIF(DE$2:DE$33,'Your Team'!$D$10)&gt;0),'Your Team'!$C$10="F" ),1,0)+IF( AND((COUNTIF(DE$2:DE$33,'Your Team'!$D$11)&gt;0),'Your Team'!$C$11="F" ),1,0)+IF( AND((COUNTIF(DE$2:DE$33,'Your Team'!$D$12)&gt;0),'Your Team'!$C$12="F" ),1,0)+IF( AND((COUNTIF(DE$2:DE$33,'Your Team'!$D$13)&gt;0),'Your Team'!$C$13="F" ),1,0)+IF( AND((COUNTIF(DE$2:DE$33,'Your Team'!$D$14)&gt;0),'Your Team'!$C$14="F" ),1,0)+IF( AND((COUNTIF(DE$2:DE$33,'Your Team'!$D$15)&gt;0),'Your Team'!$C$15="F" ),1,0)+IF( AND((COUNTIF(DE$2:DE$33,'Your Team'!$D$16)&gt;0),'Your Team'!$C$16="F" ),1,0)+IF( AND((COUNTIF(DE$2:DE$33,'Your Team'!$D$17)&gt;0),'Your Team'!$C$17="F" ),1,0)+IF( AND((COUNTIF(DE$2:DE$33,'Your Team'!$D$18)&gt;0),'Your Team'!$C$18="F" ),1,0)+IF( AND((COUNTIF(DE$2:DE$33,'Your Team'!$D$19)&gt;0),'Your Team'!$C$19="F" ),1,0)</f>
        <v>0</v>
      </c>
      <c r="DF38" s="9">
        <f>IF( AND((COUNTIF(DF$2:DF$33,'Your Team'!$D$3)&gt;0),'Your Team'!$C$3="F" ),1,0)+IF( AND((COUNTIF(DF$2:DF$33,'Your Team'!$D$4)&gt;0),'Your Team'!$C$4="F" ),1,0)+IF( AND((COUNTIF(DF$2:DF$33,'Your Team'!$D$5)&gt;0),'Your Team'!$C$5="F" ),1,0)+IF( AND((COUNTIF(DF$2:DF$33,'Your Team'!$D$6)&gt;0),'Your Team'!$C$6="F" ),1,0)+IF( AND((COUNTIF(DF$2:DF$33,'Your Team'!$D$7)&gt;0),'Your Team'!$C$7="F" ),1,0)+IF( AND((COUNTIF(DF$2:DF$33,'Your Team'!$D$8)&gt;0),'Your Team'!$C$8="F" ),1,0)+IF( AND((COUNTIF(DF$2:DF$33,'Your Team'!$D$9)&gt;0),'Your Team'!$C$9="F" ),1,0)+IF( AND((COUNTIF(DF$2:DF$33,'Your Team'!$D$10)&gt;0),'Your Team'!$C$10="F" ),1,0)+IF( AND((COUNTIF(DF$2:DF$33,'Your Team'!$D$11)&gt;0),'Your Team'!$C$11="F" ),1,0)+IF( AND((COUNTIF(DF$2:DF$33,'Your Team'!$D$12)&gt;0),'Your Team'!$C$12="F" ),1,0)+IF( AND((COUNTIF(DF$2:DF$33,'Your Team'!$D$13)&gt;0),'Your Team'!$C$13="F" ),1,0)+IF( AND((COUNTIF(DF$2:DF$33,'Your Team'!$D$14)&gt;0),'Your Team'!$C$14="F" ),1,0)+IF( AND((COUNTIF(DF$2:DF$33,'Your Team'!$D$15)&gt;0),'Your Team'!$C$15="F" ),1,0)+IF( AND((COUNTIF(DF$2:DF$33,'Your Team'!$D$16)&gt;0),'Your Team'!$C$16="F" ),1,0)+IF( AND((COUNTIF(DF$2:DF$33,'Your Team'!$D$17)&gt;0),'Your Team'!$C$17="F" ),1,0)+IF( AND((COUNTIF(DF$2:DF$33,'Your Team'!$D$18)&gt;0),'Your Team'!$C$18="F" ),1,0)+IF( AND((COUNTIF(DF$2:DF$33,'Your Team'!$D$19)&gt;0),'Your Team'!$C$19="F" ),1,0)</f>
        <v>0</v>
      </c>
      <c r="DG38" s="9">
        <f>IF( AND((COUNTIF(DG$2:DG$33,'Your Team'!$D$3)&gt;0),'Your Team'!$C$3="F" ),1,0)+IF( AND((COUNTIF(DG$2:DG$33,'Your Team'!$D$4)&gt;0),'Your Team'!$C$4="F" ),1,0)+IF( AND((COUNTIF(DG$2:DG$33,'Your Team'!$D$5)&gt;0),'Your Team'!$C$5="F" ),1,0)+IF( AND((COUNTIF(DG$2:DG$33,'Your Team'!$D$6)&gt;0),'Your Team'!$C$6="F" ),1,0)+IF( AND((COUNTIF(DG$2:DG$33,'Your Team'!$D$7)&gt;0),'Your Team'!$C$7="F" ),1,0)+IF( AND((COUNTIF(DG$2:DG$33,'Your Team'!$D$8)&gt;0),'Your Team'!$C$8="F" ),1,0)+IF( AND((COUNTIF(DG$2:DG$33,'Your Team'!$D$9)&gt;0),'Your Team'!$C$9="F" ),1,0)+IF( AND((COUNTIF(DG$2:DG$33,'Your Team'!$D$10)&gt;0),'Your Team'!$C$10="F" ),1,0)+IF( AND((COUNTIF(DG$2:DG$33,'Your Team'!$D$11)&gt;0),'Your Team'!$C$11="F" ),1,0)+IF( AND((COUNTIF(DG$2:DG$33,'Your Team'!$D$12)&gt;0),'Your Team'!$C$12="F" ),1,0)+IF( AND((COUNTIF(DG$2:DG$33,'Your Team'!$D$13)&gt;0),'Your Team'!$C$13="F" ),1,0)+IF( AND((COUNTIF(DG$2:DG$33,'Your Team'!$D$14)&gt;0),'Your Team'!$C$14="F" ),1,0)+IF( AND((COUNTIF(DG$2:DG$33,'Your Team'!$D$15)&gt;0),'Your Team'!$C$15="F" ),1,0)+IF( AND((COUNTIF(DG$2:DG$33,'Your Team'!$D$16)&gt;0),'Your Team'!$C$16="F" ),1,0)+IF( AND((COUNTIF(DG$2:DG$33,'Your Team'!$D$17)&gt;0),'Your Team'!$C$17="F" ),1,0)+IF( AND((COUNTIF(DG$2:DG$33,'Your Team'!$D$18)&gt;0),'Your Team'!$C$18="F" ),1,0)+IF( AND((COUNTIF(DG$2:DG$33,'Your Team'!$D$19)&gt;0),'Your Team'!$C$19="F" ),1,0)</f>
        <v>0</v>
      </c>
      <c r="DH38" s="9">
        <f>IF( AND((COUNTIF(DH$2:DH$33,'Your Team'!$D$3)&gt;0),'Your Team'!$C$3="F" ),1,0)+IF( AND((COUNTIF(DH$2:DH$33,'Your Team'!$D$4)&gt;0),'Your Team'!$C$4="F" ),1,0)+IF( AND((COUNTIF(DH$2:DH$33,'Your Team'!$D$5)&gt;0),'Your Team'!$C$5="F" ),1,0)+IF( AND((COUNTIF(DH$2:DH$33,'Your Team'!$D$6)&gt;0),'Your Team'!$C$6="F" ),1,0)+IF( AND((COUNTIF(DH$2:DH$33,'Your Team'!$D$7)&gt;0),'Your Team'!$C$7="F" ),1,0)+IF( AND((COUNTIF(DH$2:DH$33,'Your Team'!$D$8)&gt;0),'Your Team'!$C$8="F" ),1,0)+IF( AND((COUNTIF(DH$2:DH$33,'Your Team'!$D$9)&gt;0),'Your Team'!$C$9="F" ),1,0)+IF( AND((COUNTIF(DH$2:DH$33,'Your Team'!$D$10)&gt;0),'Your Team'!$C$10="F" ),1,0)+IF( AND((COUNTIF(DH$2:DH$33,'Your Team'!$D$11)&gt;0),'Your Team'!$C$11="F" ),1,0)+IF( AND((COUNTIF(DH$2:DH$33,'Your Team'!$D$12)&gt;0),'Your Team'!$C$12="F" ),1,0)+IF( AND((COUNTIF(DH$2:DH$33,'Your Team'!$D$13)&gt;0),'Your Team'!$C$13="F" ),1,0)+IF( AND((COUNTIF(DH$2:DH$33,'Your Team'!$D$14)&gt;0),'Your Team'!$C$14="F" ),1,0)+IF( AND((COUNTIF(DH$2:DH$33,'Your Team'!$D$15)&gt;0),'Your Team'!$C$15="F" ),1,0)+IF( AND((COUNTIF(DH$2:DH$33,'Your Team'!$D$16)&gt;0),'Your Team'!$C$16="F" ),1,0)+IF( AND((COUNTIF(DH$2:DH$33,'Your Team'!$D$17)&gt;0),'Your Team'!$C$17="F" ),1,0)+IF( AND((COUNTIF(DH$2:DH$33,'Your Team'!$D$18)&gt;0),'Your Team'!$C$18="F" ),1,0)+IF( AND((COUNTIF(DH$2:DH$33,'Your Team'!$D$19)&gt;0),'Your Team'!$C$19="F" ),1,0)</f>
        <v>0</v>
      </c>
      <c r="DI38" s="9">
        <f>IF( AND((COUNTIF(DI$2:DI$33,'Your Team'!$D$3)&gt;0),'Your Team'!$C$3="F" ),1,0)+IF( AND((COUNTIF(DI$2:DI$33,'Your Team'!$D$4)&gt;0),'Your Team'!$C$4="F" ),1,0)+IF( AND((COUNTIF(DI$2:DI$33,'Your Team'!$D$5)&gt;0),'Your Team'!$C$5="F" ),1,0)+IF( AND((COUNTIF(DI$2:DI$33,'Your Team'!$D$6)&gt;0),'Your Team'!$C$6="F" ),1,0)+IF( AND((COUNTIF(DI$2:DI$33,'Your Team'!$D$7)&gt;0),'Your Team'!$C$7="F" ),1,0)+IF( AND((COUNTIF(DI$2:DI$33,'Your Team'!$D$8)&gt;0),'Your Team'!$C$8="F" ),1,0)+IF( AND((COUNTIF(DI$2:DI$33,'Your Team'!$D$9)&gt;0),'Your Team'!$C$9="F" ),1,0)+IF( AND((COUNTIF(DI$2:DI$33,'Your Team'!$D$10)&gt;0),'Your Team'!$C$10="F" ),1,0)+IF( AND((COUNTIF(DI$2:DI$33,'Your Team'!$D$11)&gt;0),'Your Team'!$C$11="F" ),1,0)+IF( AND((COUNTIF(DI$2:DI$33,'Your Team'!$D$12)&gt;0),'Your Team'!$C$12="F" ),1,0)+IF( AND((COUNTIF(DI$2:DI$33,'Your Team'!$D$13)&gt;0),'Your Team'!$C$13="F" ),1,0)+IF( AND((COUNTIF(DI$2:DI$33,'Your Team'!$D$14)&gt;0),'Your Team'!$C$14="F" ),1,0)+IF( AND((COUNTIF(DI$2:DI$33,'Your Team'!$D$15)&gt;0),'Your Team'!$C$15="F" ),1,0)+IF( AND((COUNTIF(DI$2:DI$33,'Your Team'!$D$16)&gt;0),'Your Team'!$C$16="F" ),1,0)+IF( AND((COUNTIF(DI$2:DI$33,'Your Team'!$D$17)&gt;0),'Your Team'!$C$17="F" ),1,0)+IF( AND((COUNTIF(DI$2:DI$33,'Your Team'!$D$18)&gt;0),'Your Team'!$C$18="F" ),1,0)+IF( AND((COUNTIF(DI$2:DI$33,'Your Team'!$D$19)&gt;0),'Your Team'!$C$19="F" ),1,0)</f>
        <v>0</v>
      </c>
      <c r="DJ38" s="9">
        <f>IF( AND((COUNTIF(DJ$2:DJ$33,'Your Team'!$D$3)&gt;0),'Your Team'!$C$3="F" ),1,0)+IF( AND((COUNTIF(DJ$2:DJ$33,'Your Team'!$D$4)&gt;0),'Your Team'!$C$4="F" ),1,0)+IF( AND((COUNTIF(DJ$2:DJ$33,'Your Team'!$D$5)&gt;0),'Your Team'!$C$5="F" ),1,0)+IF( AND((COUNTIF(DJ$2:DJ$33,'Your Team'!$D$6)&gt;0),'Your Team'!$C$6="F" ),1,0)+IF( AND((COUNTIF(DJ$2:DJ$33,'Your Team'!$D$7)&gt;0),'Your Team'!$C$7="F" ),1,0)+IF( AND((COUNTIF(DJ$2:DJ$33,'Your Team'!$D$8)&gt;0),'Your Team'!$C$8="F" ),1,0)+IF( AND((COUNTIF(DJ$2:DJ$33,'Your Team'!$D$9)&gt;0),'Your Team'!$C$9="F" ),1,0)+IF( AND((COUNTIF(DJ$2:DJ$33,'Your Team'!$D$10)&gt;0),'Your Team'!$C$10="F" ),1,0)+IF( AND((COUNTIF(DJ$2:DJ$33,'Your Team'!$D$11)&gt;0),'Your Team'!$C$11="F" ),1,0)+IF( AND((COUNTIF(DJ$2:DJ$33,'Your Team'!$D$12)&gt;0),'Your Team'!$C$12="F" ),1,0)+IF( AND((COUNTIF(DJ$2:DJ$33,'Your Team'!$D$13)&gt;0),'Your Team'!$C$13="F" ),1,0)+IF( AND((COUNTIF(DJ$2:DJ$33,'Your Team'!$D$14)&gt;0),'Your Team'!$C$14="F" ),1,0)+IF( AND((COUNTIF(DJ$2:DJ$33,'Your Team'!$D$15)&gt;0),'Your Team'!$C$15="F" ),1,0)+IF( AND((COUNTIF(DJ$2:DJ$33,'Your Team'!$D$16)&gt;0),'Your Team'!$C$16="F" ),1,0)+IF( AND((COUNTIF(DJ$2:DJ$33,'Your Team'!$D$17)&gt;0),'Your Team'!$C$17="F" ),1,0)+IF( AND((COUNTIF(DJ$2:DJ$33,'Your Team'!$D$18)&gt;0),'Your Team'!$C$18="F" ),1,0)+IF( AND((COUNTIF(DJ$2:DJ$33,'Your Team'!$D$19)&gt;0),'Your Team'!$C$19="F" ),1,0)</f>
        <v>0</v>
      </c>
      <c r="DK38" s="9">
        <f>IF( AND((COUNTIF(DK$2:DK$33,'Your Team'!$D$3)&gt;0),'Your Team'!$C$3="F" ),1,0)+IF( AND((COUNTIF(DK$2:DK$33,'Your Team'!$D$4)&gt;0),'Your Team'!$C$4="F" ),1,0)+IF( AND((COUNTIF(DK$2:DK$33,'Your Team'!$D$5)&gt;0),'Your Team'!$C$5="F" ),1,0)+IF( AND((COUNTIF(DK$2:DK$33,'Your Team'!$D$6)&gt;0),'Your Team'!$C$6="F" ),1,0)+IF( AND((COUNTIF(DK$2:DK$33,'Your Team'!$D$7)&gt;0),'Your Team'!$C$7="F" ),1,0)+IF( AND((COUNTIF(DK$2:DK$33,'Your Team'!$D$8)&gt;0),'Your Team'!$C$8="F" ),1,0)+IF( AND((COUNTIF(DK$2:DK$33,'Your Team'!$D$9)&gt;0),'Your Team'!$C$9="F" ),1,0)+IF( AND((COUNTIF(DK$2:DK$33,'Your Team'!$D$10)&gt;0),'Your Team'!$C$10="F" ),1,0)+IF( AND((COUNTIF(DK$2:DK$33,'Your Team'!$D$11)&gt;0),'Your Team'!$C$11="F" ),1,0)+IF( AND((COUNTIF(DK$2:DK$33,'Your Team'!$D$12)&gt;0),'Your Team'!$C$12="F" ),1,0)+IF( AND((COUNTIF(DK$2:DK$33,'Your Team'!$D$13)&gt;0),'Your Team'!$C$13="F" ),1,0)+IF( AND((COUNTIF(DK$2:DK$33,'Your Team'!$D$14)&gt;0),'Your Team'!$C$14="F" ),1,0)+IF( AND((COUNTIF(DK$2:DK$33,'Your Team'!$D$15)&gt;0),'Your Team'!$C$15="F" ),1,0)+IF( AND((COUNTIF(DK$2:DK$33,'Your Team'!$D$16)&gt;0),'Your Team'!$C$16="F" ),1,0)+IF( AND((COUNTIF(DK$2:DK$33,'Your Team'!$D$17)&gt;0),'Your Team'!$C$17="F" ),1,0)+IF( AND((COUNTIF(DK$2:DK$33,'Your Team'!$D$18)&gt;0),'Your Team'!$C$18="F" ),1,0)+IF( AND((COUNTIF(DK$2:DK$33,'Your Team'!$D$19)&gt;0),'Your Team'!$C$19="F" ),1,0)</f>
        <v>0</v>
      </c>
      <c r="DL38" s="9">
        <f>IF( AND((COUNTIF(DL$2:DL$33,'Your Team'!$D$3)&gt;0),'Your Team'!$C$3="F" ),1,0)+IF( AND((COUNTIF(DL$2:DL$33,'Your Team'!$D$4)&gt;0),'Your Team'!$C$4="F" ),1,0)+IF( AND((COUNTIF(DL$2:DL$33,'Your Team'!$D$5)&gt;0),'Your Team'!$C$5="F" ),1,0)+IF( AND((COUNTIF(DL$2:DL$33,'Your Team'!$D$6)&gt;0),'Your Team'!$C$6="F" ),1,0)+IF( AND((COUNTIF(DL$2:DL$33,'Your Team'!$D$7)&gt;0),'Your Team'!$C$7="F" ),1,0)+IF( AND((COUNTIF(DL$2:DL$33,'Your Team'!$D$8)&gt;0),'Your Team'!$C$8="F" ),1,0)+IF( AND((COUNTIF(DL$2:DL$33,'Your Team'!$D$9)&gt;0),'Your Team'!$C$9="F" ),1,0)+IF( AND((COUNTIF(DL$2:DL$33,'Your Team'!$D$10)&gt;0),'Your Team'!$C$10="F" ),1,0)+IF( AND((COUNTIF(DL$2:DL$33,'Your Team'!$D$11)&gt;0),'Your Team'!$C$11="F" ),1,0)+IF( AND((COUNTIF(DL$2:DL$33,'Your Team'!$D$12)&gt;0),'Your Team'!$C$12="F" ),1,0)+IF( AND((COUNTIF(DL$2:DL$33,'Your Team'!$D$13)&gt;0),'Your Team'!$C$13="F" ),1,0)+IF( AND((COUNTIF(DL$2:DL$33,'Your Team'!$D$14)&gt;0),'Your Team'!$C$14="F" ),1,0)+IF( AND((COUNTIF(DL$2:DL$33,'Your Team'!$D$15)&gt;0),'Your Team'!$C$15="F" ),1,0)+IF( AND((COUNTIF(DL$2:DL$33,'Your Team'!$D$16)&gt;0),'Your Team'!$C$16="F" ),1,0)+IF( AND((COUNTIF(DL$2:DL$33,'Your Team'!$D$17)&gt;0),'Your Team'!$C$17="F" ),1,0)+IF( AND((COUNTIF(DL$2:DL$33,'Your Team'!$D$18)&gt;0),'Your Team'!$C$18="F" ),1,0)+IF( AND((COUNTIF(DL$2:DL$33,'Your Team'!$D$19)&gt;0),'Your Team'!$C$19="F" ),1,0)</f>
        <v>0</v>
      </c>
      <c r="DM38" s="9">
        <f>IF( AND((COUNTIF(DM$2:DM$33,'Your Team'!$D$3)&gt;0),'Your Team'!$C$3="F" ),1,0)+IF( AND((COUNTIF(DM$2:DM$33,'Your Team'!$D$4)&gt;0),'Your Team'!$C$4="F" ),1,0)+IF( AND((COUNTIF(DM$2:DM$33,'Your Team'!$D$5)&gt;0),'Your Team'!$C$5="F" ),1,0)+IF( AND((COUNTIF(DM$2:DM$33,'Your Team'!$D$6)&gt;0),'Your Team'!$C$6="F" ),1,0)+IF( AND((COUNTIF(DM$2:DM$33,'Your Team'!$D$7)&gt;0),'Your Team'!$C$7="F" ),1,0)+IF( AND((COUNTIF(DM$2:DM$33,'Your Team'!$D$8)&gt;0),'Your Team'!$C$8="F" ),1,0)+IF( AND((COUNTIF(DM$2:DM$33,'Your Team'!$D$9)&gt;0),'Your Team'!$C$9="F" ),1,0)+IF( AND((COUNTIF(DM$2:DM$33,'Your Team'!$D$10)&gt;0),'Your Team'!$C$10="F" ),1,0)+IF( AND((COUNTIF(DM$2:DM$33,'Your Team'!$D$11)&gt;0),'Your Team'!$C$11="F" ),1,0)+IF( AND((COUNTIF(DM$2:DM$33,'Your Team'!$D$12)&gt;0),'Your Team'!$C$12="F" ),1,0)+IF( AND((COUNTIF(DM$2:DM$33,'Your Team'!$D$13)&gt;0),'Your Team'!$C$13="F" ),1,0)+IF( AND((COUNTIF(DM$2:DM$33,'Your Team'!$D$14)&gt;0),'Your Team'!$C$14="F" ),1,0)+IF( AND((COUNTIF(DM$2:DM$33,'Your Team'!$D$15)&gt;0),'Your Team'!$C$15="F" ),1,0)+IF( AND((COUNTIF(DM$2:DM$33,'Your Team'!$D$16)&gt;0),'Your Team'!$C$16="F" ),1,0)+IF( AND((COUNTIF(DM$2:DM$33,'Your Team'!$D$17)&gt;0),'Your Team'!$C$17="F" ),1,0)+IF( AND((COUNTIF(DM$2:DM$33,'Your Team'!$D$18)&gt;0),'Your Team'!$C$18="F" ),1,0)+IF( AND((COUNTIF(DM$2:DM$33,'Your Team'!$D$19)&gt;0),'Your Team'!$C$19="F" ),1,0)</f>
        <v>0</v>
      </c>
      <c r="DN38" s="9">
        <f>IF( AND((COUNTIF(DN$2:DN$33,'Your Team'!$D$3)&gt;0),'Your Team'!$C$3="F" ),1,0)+IF( AND((COUNTIF(DN$2:DN$33,'Your Team'!$D$4)&gt;0),'Your Team'!$C$4="F" ),1,0)+IF( AND((COUNTIF(DN$2:DN$33,'Your Team'!$D$5)&gt;0),'Your Team'!$C$5="F" ),1,0)+IF( AND((COUNTIF(DN$2:DN$33,'Your Team'!$D$6)&gt;0),'Your Team'!$C$6="F" ),1,0)+IF( AND((COUNTIF(DN$2:DN$33,'Your Team'!$D$7)&gt;0),'Your Team'!$C$7="F" ),1,0)+IF( AND((COUNTIF(DN$2:DN$33,'Your Team'!$D$8)&gt;0),'Your Team'!$C$8="F" ),1,0)+IF( AND((COUNTIF(DN$2:DN$33,'Your Team'!$D$9)&gt;0),'Your Team'!$C$9="F" ),1,0)+IF( AND((COUNTIF(DN$2:DN$33,'Your Team'!$D$10)&gt;0),'Your Team'!$C$10="F" ),1,0)+IF( AND((COUNTIF(DN$2:DN$33,'Your Team'!$D$11)&gt;0),'Your Team'!$C$11="F" ),1,0)+IF( AND((COUNTIF(DN$2:DN$33,'Your Team'!$D$12)&gt;0),'Your Team'!$C$12="F" ),1,0)+IF( AND((COUNTIF(DN$2:DN$33,'Your Team'!$D$13)&gt;0),'Your Team'!$C$13="F" ),1,0)+IF( AND((COUNTIF(DN$2:DN$33,'Your Team'!$D$14)&gt;0),'Your Team'!$C$14="F" ),1,0)+IF( AND((COUNTIF(DN$2:DN$33,'Your Team'!$D$15)&gt;0),'Your Team'!$C$15="F" ),1,0)+IF( AND((COUNTIF(DN$2:DN$33,'Your Team'!$D$16)&gt;0),'Your Team'!$C$16="F" ),1,0)+IF( AND((COUNTIF(DN$2:DN$33,'Your Team'!$D$17)&gt;0),'Your Team'!$C$17="F" ),1,0)+IF( AND((COUNTIF(DN$2:DN$33,'Your Team'!$D$18)&gt;0),'Your Team'!$C$18="F" ),1,0)+IF( AND((COUNTIF(DN$2:DN$33,'Your Team'!$D$19)&gt;0),'Your Team'!$C$19="F" ),1,0)</f>
        <v>0</v>
      </c>
      <c r="DO38" s="9">
        <f>IF( AND((COUNTIF(DO$2:DO$33,'Your Team'!$D$3)&gt;0),'Your Team'!$C$3="F" ),1,0)+IF( AND((COUNTIF(DO$2:DO$33,'Your Team'!$D$4)&gt;0),'Your Team'!$C$4="F" ),1,0)+IF( AND((COUNTIF(DO$2:DO$33,'Your Team'!$D$5)&gt;0),'Your Team'!$C$5="F" ),1,0)+IF( AND((COUNTIF(DO$2:DO$33,'Your Team'!$D$6)&gt;0),'Your Team'!$C$6="F" ),1,0)+IF( AND((COUNTIF(DO$2:DO$33,'Your Team'!$D$7)&gt;0),'Your Team'!$C$7="F" ),1,0)+IF( AND((COUNTIF(DO$2:DO$33,'Your Team'!$D$8)&gt;0),'Your Team'!$C$8="F" ),1,0)+IF( AND((COUNTIF(DO$2:DO$33,'Your Team'!$D$9)&gt;0),'Your Team'!$C$9="F" ),1,0)+IF( AND((COUNTIF(DO$2:DO$33,'Your Team'!$D$10)&gt;0),'Your Team'!$C$10="F" ),1,0)+IF( AND((COUNTIF(DO$2:DO$33,'Your Team'!$D$11)&gt;0),'Your Team'!$C$11="F" ),1,0)+IF( AND((COUNTIF(DO$2:DO$33,'Your Team'!$D$12)&gt;0),'Your Team'!$C$12="F" ),1,0)+IF( AND((COUNTIF(DO$2:DO$33,'Your Team'!$D$13)&gt;0),'Your Team'!$C$13="F" ),1,0)+IF( AND((COUNTIF(DO$2:DO$33,'Your Team'!$D$14)&gt;0),'Your Team'!$C$14="F" ),1,0)+IF( AND((COUNTIF(DO$2:DO$33,'Your Team'!$D$15)&gt;0),'Your Team'!$C$15="F" ),1,0)+IF( AND((COUNTIF(DO$2:DO$33,'Your Team'!$D$16)&gt;0),'Your Team'!$C$16="F" ),1,0)+IF( AND((COUNTIF(DO$2:DO$33,'Your Team'!$D$17)&gt;0),'Your Team'!$C$17="F" ),1,0)+IF( AND((COUNTIF(DO$2:DO$33,'Your Team'!$D$18)&gt;0),'Your Team'!$C$18="F" ),1,0)+IF( AND((COUNTIF(DO$2:DO$33,'Your Team'!$D$19)&gt;0),'Your Team'!$C$19="F" ),1,0)</f>
        <v>0</v>
      </c>
      <c r="DP38" s="9">
        <f>IF( AND((COUNTIF(DP$2:DP$33,'Your Team'!$D$3)&gt;0),'Your Team'!$C$3="F" ),1,0)+IF( AND((COUNTIF(DP$2:DP$33,'Your Team'!$D$4)&gt;0),'Your Team'!$C$4="F" ),1,0)+IF( AND((COUNTIF(DP$2:DP$33,'Your Team'!$D$5)&gt;0),'Your Team'!$C$5="F" ),1,0)+IF( AND((COUNTIF(DP$2:DP$33,'Your Team'!$D$6)&gt;0),'Your Team'!$C$6="F" ),1,0)+IF( AND((COUNTIF(DP$2:DP$33,'Your Team'!$D$7)&gt;0),'Your Team'!$C$7="F" ),1,0)+IF( AND((COUNTIF(DP$2:DP$33,'Your Team'!$D$8)&gt;0),'Your Team'!$C$8="F" ),1,0)+IF( AND((COUNTIF(DP$2:DP$33,'Your Team'!$D$9)&gt;0),'Your Team'!$C$9="F" ),1,0)+IF( AND((COUNTIF(DP$2:DP$33,'Your Team'!$D$10)&gt;0),'Your Team'!$C$10="F" ),1,0)+IF( AND((COUNTIF(DP$2:DP$33,'Your Team'!$D$11)&gt;0),'Your Team'!$C$11="F" ),1,0)+IF( AND((COUNTIF(DP$2:DP$33,'Your Team'!$D$12)&gt;0),'Your Team'!$C$12="F" ),1,0)+IF( AND((COUNTIF(DP$2:DP$33,'Your Team'!$D$13)&gt;0),'Your Team'!$C$13="F" ),1,0)+IF( AND((COUNTIF(DP$2:DP$33,'Your Team'!$D$14)&gt;0),'Your Team'!$C$14="F" ),1,0)+IF( AND((COUNTIF(DP$2:DP$33,'Your Team'!$D$15)&gt;0),'Your Team'!$C$15="F" ),1,0)+IF( AND((COUNTIF(DP$2:DP$33,'Your Team'!$D$16)&gt;0),'Your Team'!$C$16="F" ),1,0)+IF( AND((COUNTIF(DP$2:DP$33,'Your Team'!$D$17)&gt;0),'Your Team'!$C$17="F" ),1,0)+IF( AND((COUNTIF(DP$2:DP$33,'Your Team'!$D$18)&gt;0),'Your Team'!$C$18="F" ),1,0)+IF( AND((COUNTIF(DP$2:DP$33,'Your Team'!$D$19)&gt;0),'Your Team'!$C$19="F" ),1,0)</f>
        <v>0</v>
      </c>
      <c r="DQ38" s="9">
        <f>IF( AND((COUNTIF(DQ$2:DQ$33,'Your Team'!$D$3)&gt;0),'Your Team'!$C$3="F" ),1,0)+IF( AND((COUNTIF(DQ$2:DQ$33,'Your Team'!$D$4)&gt;0),'Your Team'!$C$4="F" ),1,0)+IF( AND((COUNTIF(DQ$2:DQ$33,'Your Team'!$D$5)&gt;0),'Your Team'!$C$5="F" ),1,0)+IF( AND((COUNTIF(DQ$2:DQ$33,'Your Team'!$D$6)&gt;0),'Your Team'!$C$6="F" ),1,0)+IF( AND((COUNTIF(DQ$2:DQ$33,'Your Team'!$D$7)&gt;0),'Your Team'!$C$7="F" ),1,0)+IF( AND((COUNTIF(DQ$2:DQ$33,'Your Team'!$D$8)&gt;0),'Your Team'!$C$8="F" ),1,0)+IF( AND((COUNTIF(DQ$2:DQ$33,'Your Team'!$D$9)&gt;0),'Your Team'!$C$9="F" ),1,0)+IF( AND((COUNTIF(DQ$2:DQ$33,'Your Team'!$D$10)&gt;0),'Your Team'!$C$10="F" ),1,0)+IF( AND((COUNTIF(DQ$2:DQ$33,'Your Team'!$D$11)&gt;0),'Your Team'!$C$11="F" ),1,0)+IF( AND((COUNTIF(DQ$2:DQ$33,'Your Team'!$D$12)&gt;0),'Your Team'!$C$12="F" ),1,0)+IF( AND((COUNTIF(DQ$2:DQ$33,'Your Team'!$D$13)&gt;0),'Your Team'!$C$13="F" ),1,0)+IF( AND((COUNTIF(DQ$2:DQ$33,'Your Team'!$D$14)&gt;0),'Your Team'!$C$14="F" ),1,0)+IF( AND((COUNTIF(DQ$2:DQ$33,'Your Team'!$D$15)&gt;0),'Your Team'!$C$15="F" ),1,0)+IF( AND((COUNTIF(DQ$2:DQ$33,'Your Team'!$D$16)&gt;0),'Your Team'!$C$16="F" ),1,0)+IF( AND((COUNTIF(DQ$2:DQ$33,'Your Team'!$D$17)&gt;0),'Your Team'!$C$17="F" ),1,0)+IF( AND((COUNTIF(DQ$2:DQ$33,'Your Team'!$D$18)&gt;0),'Your Team'!$C$18="F" ),1,0)+IF( AND((COUNTIF(DQ$2:DQ$33,'Your Team'!$D$19)&gt;0),'Your Team'!$C$19="F" ),1,0)</f>
        <v>0</v>
      </c>
      <c r="DR38" s="9">
        <f>IF( AND((COUNTIF(DR$2:DR$33,'Your Team'!$D$3)&gt;0),'Your Team'!$C$3="F" ),1,0)+IF( AND((COUNTIF(DR$2:DR$33,'Your Team'!$D$4)&gt;0),'Your Team'!$C$4="F" ),1,0)+IF( AND((COUNTIF(DR$2:DR$33,'Your Team'!$D$5)&gt;0),'Your Team'!$C$5="F" ),1,0)+IF( AND((COUNTIF(DR$2:DR$33,'Your Team'!$D$6)&gt;0),'Your Team'!$C$6="F" ),1,0)+IF( AND((COUNTIF(DR$2:DR$33,'Your Team'!$D$7)&gt;0),'Your Team'!$C$7="F" ),1,0)+IF( AND((COUNTIF(DR$2:DR$33,'Your Team'!$D$8)&gt;0),'Your Team'!$C$8="F" ),1,0)+IF( AND((COUNTIF(DR$2:DR$33,'Your Team'!$D$9)&gt;0),'Your Team'!$C$9="F" ),1,0)+IF( AND((COUNTIF(DR$2:DR$33,'Your Team'!$D$10)&gt;0),'Your Team'!$C$10="F" ),1,0)+IF( AND((COUNTIF(DR$2:DR$33,'Your Team'!$D$11)&gt;0),'Your Team'!$C$11="F" ),1,0)+IF( AND((COUNTIF(DR$2:DR$33,'Your Team'!$D$12)&gt;0),'Your Team'!$C$12="F" ),1,0)+IF( AND((COUNTIF(DR$2:DR$33,'Your Team'!$D$13)&gt;0),'Your Team'!$C$13="F" ),1,0)+IF( AND((COUNTIF(DR$2:DR$33,'Your Team'!$D$14)&gt;0),'Your Team'!$C$14="F" ),1,0)+IF( AND((COUNTIF(DR$2:DR$33,'Your Team'!$D$15)&gt;0),'Your Team'!$C$15="F" ),1,0)+IF( AND((COUNTIF(DR$2:DR$33,'Your Team'!$D$16)&gt;0),'Your Team'!$C$16="F" ),1,0)+IF( AND((COUNTIF(DR$2:DR$33,'Your Team'!$D$17)&gt;0),'Your Team'!$C$17="F" ),1,0)+IF( AND((COUNTIF(DR$2:DR$33,'Your Team'!$D$18)&gt;0),'Your Team'!$C$18="F" ),1,0)+IF( AND((COUNTIF(DR$2:DR$33,'Your Team'!$D$19)&gt;0),'Your Team'!$C$19="F" ),1,0)</f>
        <v>0</v>
      </c>
      <c r="DS38" s="9">
        <f>IF( AND((COUNTIF(DS$2:DS$33,'Your Team'!$D$3)&gt;0),'Your Team'!$C$3="F" ),1,0)+IF( AND((COUNTIF(DS$2:DS$33,'Your Team'!$D$4)&gt;0),'Your Team'!$C$4="F" ),1,0)+IF( AND((COUNTIF(DS$2:DS$33,'Your Team'!$D$5)&gt;0),'Your Team'!$C$5="F" ),1,0)+IF( AND((COUNTIF(DS$2:DS$33,'Your Team'!$D$6)&gt;0),'Your Team'!$C$6="F" ),1,0)+IF( AND((COUNTIF(DS$2:DS$33,'Your Team'!$D$7)&gt;0),'Your Team'!$C$7="F" ),1,0)+IF( AND((COUNTIF(DS$2:DS$33,'Your Team'!$D$8)&gt;0),'Your Team'!$C$8="F" ),1,0)+IF( AND((COUNTIF(DS$2:DS$33,'Your Team'!$D$9)&gt;0),'Your Team'!$C$9="F" ),1,0)+IF( AND((COUNTIF(DS$2:DS$33,'Your Team'!$D$10)&gt;0),'Your Team'!$C$10="F" ),1,0)+IF( AND((COUNTIF(DS$2:DS$33,'Your Team'!$D$11)&gt;0),'Your Team'!$C$11="F" ),1,0)+IF( AND((COUNTIF(DS$2:DS$33,'Your Team'!$D$12)&gt;0),'Your Team'!$C$12="F" ),1,0)+IF( AND((COUNTIF(DS$2:DS$33,'Your Team'!$D$13)&gt;0),'Your Team'!$C$13="F" ),1,0)+IF( AND((COUNTIF(DS$2:DS$33,'Your Team'!$D$14)&gt;0),'Your Team'!$C$14="F" ),1,0)+IF( AND((COUNTIF(DS$2:DS$33,'Your Team'!$D$15)&gt;0),'Your Team'!$C$15="F" ),1,0)+IF( AND((COUNTIF(DS$2:DS$33,'Your Team'!$D$16)&gt;0),'Your Team'!$C$16="F" ),1,0)+IF( AND((COUNTIF(DS$2:DS$33,'Your Team'!$D$17)&gt;0),'Your Team'!$C$17="F" ),1,0)+IF( AND((COUNTIF(DS$2:DS$33,'Your Team'!$D$18)&gt;0),'Your Team'!$C$18="F" ),1,0)+IF( AND((COUNTIF(DS$2:DS$33,'Your Team'!$D$19)&gt;0),'Your Team'!$C$19="F" ),1,0)</f>
        <v>0</v>
      </c>
      <c r="DT38" s="9">
        <f>IF( AND((COUNTIF(DT$2:DT$33,'Your Team'!$D$3)&gt;0),'Your Team'!$C$3="F" ),1,0)+IF( AND((COUNTIF(DT$2:DT$33,'Your Team'!$D$4)&gt;0),'Your Team'!$C$4="F" ),1,0)+IF( AND((COUNTIF(DT$2:DT$33,'Your Team'!$D$5)&gt;0),'Your Team'!$C$5="F" ),1,0)+IF( AND((COUNTIF(DT$2:DT$33,'Your Team'!$D$6)&gt;0),'Your Team'!$C$6="F" ),1,0)+IF( AND((COUNTIF(DT$2:DT$33,'Your Team'!$D$7)&gt;0),'Your Team'!$C$7="F" ),1,0)+IF( AND((COUNTIF(DT$2:DT$33,'Your Team'!$D$8)&gt;0),'Your Team'!$C$8="F" ),1,0)+IF( AND((COUNTIF(DT$2:DT$33,'Your Team'!$D$9)&gt;0),'Your Team'!$C$9="F" ),1,0)+IF( AND((COUNTIF(DT$2:DT$33,'Your Team'!$D$10)&gt;0),'Your Team'!$C$10="F" ),1,0)+IF( AND((COUNTIF(DT$2:DT$33,'Your Team'!$D$11)&gt;0),'Your Team'!$C$11="F" ),1,0)+IF( AND((COUNTIF(DT$2:DT$33,'Your Team'!$D$12)&gt;0),'Your Team'!$C$12="F" ),1,0)+IF( AND((COUNTIF(DT$2:DT$33,'Your Team'!$D$13)&gt;0),'Your Team'!$C$13="F" ),1,0)+IF( AND((COUNTIF(DT$2:DT$33,'Your Team'!$D$14)&gt;0),'Your Team'!$C$14="F" ),1,0)+IF( AND((COUNTIF(DT$2:DT$33,'Your Team'!$D$15)&gt;0),'Your Team'!$C$15="F" ),1,0)+IF( AND((COUNTIF(DT$2:DT$33,'Your Team'!$D$16)&gt;0),'Your Team'!$C$16="F" ),1,0)+IF( AND((COUNTIF(DT$2:DT$33,'Your Team'!$D$17)&gt;0),'Your Team'!$C$17="F" ),1,0)+IF( AND((COUNTIF(DT$2:DT$33,'Your Team'!$D$18)&gt;0),'Your Team'!$C$18="F" ),1,0)+IF( AND((COUNTIF(DT$2:DT$33,'Your Team'!$D$19)&gt;0),'Your Team'!$C$19="F" ),1,0)</f>
        <v>0</v>
      </c>
      <c r="DU38" s="9">
        <f>IF( AND((COUNTIF(DU$2:DU$33,'Your Team'!$D$3)&gt;0),'Your Team'!$C$3="F" ),1,0)+IF( AND((COUNTIF(DU$2:DU$33,'Your Team'!$D$4)&gt;0),'Your Team'!$C$4="F" ),1,0)+IF( AND((COUNTIF(DU$2:DU$33,'Your Team'!$D$5)&gt;0),'Your Team'!$C$5="F" ),1,0)+IF( AND((COUNTIF(DU$2:DU$33,'Your Team'!$D$6)&gt;0),'Your Team'!$C$6="F" ),1,0)+IF( AND((COUNTIF(DU$2:DU$33,'Your Team'!$D$7)&gt;0),'Your Team'!$C$7="F" ),1,0)+IF( AND((COUNTIF(DU$2:DU$33,'Your Team'!$D$8)&gt;0),'Your Team'!$C$8="F" ),1,0)+IF( AND((COUNTIF(DU$2:DU$33,'Your Team'!$D$9)&gt;0),'Your Team'!$C$9="F" ),1,0)+IF( AND((COUNTIF(DU$2:DU$33,'Your Team'!$D$10)&gt;0),'Your Team'!$C$10="F" ),1,0)+IF( AND((COUNTIF(DU$2:DU$33,'Your Team'!$D$11)&gt;0),'Your Team'!$C$11="F" ),1,0)+IF( AND((COUNTIF(DU$2:DU$33,'Your Team'!$D$12)&gt;0),'Your Team'!$C$12="F" ),1,0)+IF( AND((COUNTIF(DU$2:DU$33,'Your Team'!$D$13)&gt;0),'Your Team'!$C$13="F" ),1,0)+IF( AND((COUNTIF(DU$2:DU$33,'Your Team'!$D$14)&gt;0),'Your Team'!$C$14="F" ),1,0)+IF( AND((COUNTIF(DU$2:DU$33,'Your Team'!$D$15)&gt;0),'Your Team'!$C$15="F" ),1,0)+IF( AND((COUNTIF(DU$2:DU$33,'Your Team'!$D$16)&gt;0),'Your Team'!$C$16="F" ),1,0)+IF( AND((COUNTIF(DU$2:DU$33,'Your Team'!$D$17)&gt;0),'Your Team'!$C$17="F" ),1,0)+IF( AND((COUNTIF(DU$2:DU$33,'Your Team'!$D$18)&gt;0),'Your Team'!$C$18="F" ),1,0)+IF( AND((COUNTIF(DU$2:DU$33,'Your Team'!$D$19)&gt;0),'Your Team'!$C$19="F" ),1,0)</f>
        <v>0</v>
      </c>
      <c r="DV38" s="9">
        <f>IF( AND((COUNTIF(DV$2:DV$33,'Your Team'!$D$3)&gt;0),'Your Team'!$C$3="F" ),1,0)+IF( AND((COUNTIF(DV$2:DV$33,'Your Team'!$D$4)&gt;0),'Your Team'!$C$4="F" ),1,0)+IF( AND((COUNTIF(DV$2:DV$33,'Your Team'!$D$5)&gt;0),'Your Team'!$C$5="F" ),1,0)+IF( AND((COUNTIF(DV$2:DV$33,'Your Team'!$D$6)&gt;0),'Your Team'!$C$6="F" ),1,0)+IF( AND((COUNTIF(DV$2:DV$33,'Your Team'!$D$7)&gt;0),'Your Team'!$C$7="F" ),1,0)+IF( AND((COUNTIF(DV$2:DV$33,'Your Team'!$D$8)&gt;0),'Your Team'!$C$8="F" ),1,0)+IF( AND((COUNTIF(DV$2:DV$33,'Your Team'!$D$9)&gt;0),'Your Team'!$C$9="F" ),1,0)+IF( AND((COUNTIF(DV$2:DV$33,'Your Team'!$D$10)&gt;0),'Your Team'!$C$10="F" ),1,0)+IF( AND((COUNTIF(DV$2:DV$33,'Your Team'!$D$11)&gt;0),'Your Team'!$C$11="F" ),1,0)+IF( AND((COUNTIF(DV$2:DV$33,'Your Team'!$D$12)&gt;0),'Your Team'!$C$12="F" ),1,0)+IF( AND((COUNTIF(DV$2:DV$33,'Your Team'!$D$13)&gt;0),'Your Team'!$C$13="F" ),1,0)+IF( AND((COUNTIF(DV$2:DV$33,'Your Team'!$D$14)&gt;0),'Your Team'!$C$14="F" ),1,0)+IF( AND((COUNTIF(DV$2:DV$33,'Your Team'!$D$15)&gt;0),'Your Team'!$C$15="F" ),1,0)+IF( AND((COUNTIF(DV$2:DV$33,'Your Team'!$D$16)&gt;0),'Your Team'!$C$16="F" ),1,0)+IF( AND((COUNTIF(DV$2:DV$33,'Your Team'!$D$17)&gt;0),'Your Team'!$C$17="F" ),1,0)+IF( AND((COUNTIF(DV$2:DV$33,'Your Team'!$D$18)&gt;0),'Your Team'!$C$18="F" ),1,0)+IF( AND((COUNTIF(DV$2:DV$33,'Your Team'!$D$19)&gt;0),'Your Team'!$C$19="F" ),1,0)</f>
        <v>0</v>
      </c>
      <c r="DW38" s="9">
        <f>IF( AND((COUNTIF(DW$2:DW$33,'Your Team'!$D$3)&gt;0),'Your Team'!$C$3="F" ),1,0)+IF( AND((COUNTIF(DW$2:DW$33,'Your Team'!$D$4)&gt;0),'Your Team'!$C$4="F" ),1,0)+IF( AND((COUNTIF(DW$2:DW$33,'Your Team'!$D$5)&gt;0),'Your Team'!$C$5="F" ),1,0)+IF( AND((COUNTIF(DW$2:DW$33,'Your Team'!$D$6)&gt;0),'Your Team'!$C$6="F" ),1,0)+IF( AND((COUNTIF(DW$2:DW$33,'Your Team'!$D$7)&gt;0),'Your Team'!$C$7="F" ),1,0)+IF( AND((COUNTIF(DW$2:DW$33,'Your Team'!$D$8)&gt;0),'Your Team'!$C$8="F" ),1,0)+IF( AND((COUNTIF(DW$2:DW$33,'Your Team'!$D$9)&gt;0),'Your Team'!$C$9="F" ),1,0)+IF( AND((COUNTIF(DW$2:DW$33,'Your Team'!$D$10)&gt;0),'Your Team'!$C$10="F" ),1,0)+IF( AND((COUNTIF(DW$2:DW$33,'Your Team'!$D$11)&gt;0),'Your Team'!$C$11="F" ),1,0)+IF( AND((COUNTIF(DW$2:DW$33,'Your Team'!$D$12)&gt;0),'Your Team'!$C$12="F" ),1,0)+IF( AND((COUNTIF(DW$2:DW$33,'Your Team'!$D$13)&gt;0),'Your Team'!$C$13="F" ),1,0)+IF( AND((COUNTIF(DW$2:DW$33,'Your Team'!$D$14)&gt;0),'Your Team'!$C$14="F" ),1,0)+IF( AND((COUNTIF(DW$2:DW$33,'Your Team'!$D$15)&gt;0),'Your Team'!$C$15="F" ),1,0)+IF( AND((COUNTIF(DW$2:DW$33,'Your Team'!$D$16)&gt;0),'Your Team'!$C$16="F" ),1,0)+IF( AND((COUNTIF(DW$2:DW$33,'Your Team'!$D$17)&gt;0),'Your Team'!$C$17="F" ),1,0)+IF( AND((COUNTIF(DW$2:DW$33,'Your Team'!$D$18)&gt;0),'Your Team'!$C$18="F" ),1,0)+IF( AND((COUNTIF(DW$2:DW$33,'Your Team'!$D$19)&gt;0),'Your Team'!$C$19="F" ),1,0)</f>
        <v>0</v>
      </c>
      <c r="DX38" s="9">
        <f>IF( AND((COUNTIF(DX$2:DX$33,'Your Team'!$D$3)&gt;0),'Your Team'!$C$3="F" ),1,0)+IF( AND((COUNTIF(DX$2:DX$33,'Your Team'!$D$4)&gt;0),'Your Team'!$C$4="F" ),1,0)+IF( AND((COUNTIF(DX$2:DX$33,'Your Team'!$D$5)&gt;0),'Your Team'!$C$5="F" ),1,0)+IF( AND((COUNTIF(DX$2:DX$33,'Your Team'!$D$6)&gt;0),'Your Team'!$C$6="F" ),1,0)+IF( AND((COUNTIF(DX$2:DX$33,'Your Team'!$D$7)&gt;0),'Your Team'!$C$7="F" ),1,0)+IF( AND((COUNTIF(DX$2:DX$33,'Your Team'!$D$8)&gt;0),'Your Team'!$C$8="F" ),1,0)+IF( AND((COUNTIF(DX$2:DX$33,'Your Team'!$D$9)&gt;0),'Your Team'!$C$9="F" ),1,0)+IF( AND((COUNTIF(DX$2:DX$33,'Your Team'!$D$10)&gt;0),'Your Team'!$C$10="F" ),1,0)+IF( AND((COUNTIF(DX$2:DX$33,'Your Team'!$D$11)&gt;0),'Your Team'!$C$11="F" ),1,0)+IF( AND((COUNTIF(DX$2:DX$33,'Your Team'!$D$12)&gt;0),'Your Team'!$C$12="F" ),1,0)+IF( AND((COUNTIF(DX$2:DX$33,'Your Team'!$D$13)&gt;0),'Your Team'!$C$13="F" ),1,0)+IF( AND((COUNTIF(DX$2:DX$33,'Your Team'!$D$14)&gt;0),'Your Team'!$C$14="F" ),1,0)+IF( AND((COUNTIF(DX$2:DX$33,'Your Team'!$D$15)&gt;0),'Your Team'!$C$15="F" ),1,0)+IF( AND((COUNTIF(DX$2:DX$33,'Your Team'!$D$16)&gt;0),'Your Team'!$C$16="F" ),1,0)+IF( AND((COUNTIF(DX$2:DX$33,'Your Team'!$D$17)&gt;0),'Your Team'!$C$17="F" ),1,0)+IF( AND((COUNTIF(DX$2:DX$33,'Your Team'!$D$18)&gt;0),'Your Team'!$C$18="F" ),1,0)+IF( AND((COUNTIF(DX$2:DX$33,'Your Team'!$D$19)&gt;0),'Your Team'!$C$19="F" ),1,0)</f>
        <v>0</v>
      </c>
      <c r="DY38" s="9">
        <f>IF( AND((COUNTIF(DY$2:DY$33,'Your Team'!$D$3)&gt;0),'Your Team'!$C$3="F" ),1,0)+IF( AND((COUNTIF(DY$2:DY$33,'Your Team'!$D$4)&gt;0),'Your Team'!$C$4="F" ),1,0)+IF( AND((COUNTIF(DY$2:DY$33,'Your Team'!$D$5)&gt;0),'Your Team'!$C$5="F" ),1,0)+IF( AND((COUNTIF(DY$2:DY$33,'Your Team'!$D$6)&gt;0),'Your Team'!$C$6="F" ),1,0)+IF( AND((COUNTIF(DY$2:DY$33,'Your Team'!$D$7)&gt;0),'Your Team'!$C$7="F" ),1,0)+IF( AND((COUNTIF(DY$2:DY$33,'Your Team'!$D$8)&gt;0),'Your Team'!$C$8="F" ),1,0)+IF( AND((COUNTIF(DY$2:DY$33,'Your Team'!$D$9)&gt;0),'Your Team'!$C$9="F" ),1,0)+IF( AND((COUNTIF(DY$2:DY$33,'Your Team'!$D$10)&gt;0),'Your Team'!$C$10="F" ),1,0)+IF( AND((COUNTIF(DY$2:DY$33,'Your Team'!$D$11)&gt;0),'Your Team'!$C$11="F" ),1,0)+IF( AND((COUNTIF(DY$2:DY$33,'Your Team'!$D$12)&gt;0),'Your Team'!$C$12="F" ),1,0)+IF( AND((COUNTIF(DY$2:DY$33,'Your Team'!$D$13)&gt;0),'Your Team'!$C$13="F" ),1,0)+IF( AND((COUNTIF(DY$2:DY$33,'Your Team'!$D$14)&gt;0),'Your Team'!$C$14="F" ),1,0)+IF( AND((COUNTIF(DY$2:DY$33,'Your Team'!$D$15)&gt;0),'Your Team'!$C$15="F" ),1,0)+IF( AND((COUNTIF(DY$2:DY$33,'Your Team'!$D$16)&gt;0),'Your Team'!$C$16="F" ),1,0)+IF( AND((COUNTIF(DY$2:DY$33,'Your Team'!$D$17)&gt;0),'Your Team'!$C$17="F" ),1,0)+IF( AND((COUNTIF(DY$2:DY$33,'Your Team'!$D$18)&gt;0),'Your Team'!$C$18="F" ),1,0)+IF( AND((COUNTIF(DY$2:DY$33,'Your Team'!$D$19)&gt;0),'Your Team'!$C$19="F" ),1,0)</f>
        <v>0</v>
      </c>
      <c r="DZ38" s="9">
        <f>IF( AND((COUNTIF(DZ$2:DZ$33,'Your Team'!$D$3)&gt;0),'Your Team'!$C$3="F" ),1,0)+IF( AND((COUNTIF(DZ$2:DZ$33,'Your Team'!$D$4)&gt;0),'Your Team'!$C$4="F" ),1,0)+IF( AND((COUNTIF(DZ$2:DZ$33,'Your Team'!$D$5)&gt;0),'Your Team'!$C$5="F" ),1,0)+IF( AND((COUNTIF(DZ$2:DZ$33,'Your Team'!$D$6)&gt;0),'Your Team'!$C$6="F" ),1,0)+IF( AND((COUNTIF(DZ$2:DZ$33,'Your Team'!$D$7)&gt;0),'Your Team'!$C$7="F" ),1,0)+IF( AND((COUNTIF(DZ$2:DZ$33,'Your Team'!$D$8)&gt;0),'Your Team'!$C$8="F" ),1,0)+IF( AND((COUNTIF(DZ$2:DZ$33,'Your Team'!$D$9)&gt;0),'Your Team'!$C$9="F" ),1,0)+IF( AND((COUNTIF(DZ$2:DZ$33,'Your Team'!$D$10)&gt;0),'Your Team'!$C$10="F" ),1,0)+IF( AND((COUNTIF(DZ$2:DZ$33,'Your Team'!$D$11)&gt;0),'Your Team'!$C$11="F" ),1,0)+IF( AND((COUNTIF(DZ$2:DZ$33,'Your Team'!$D$12)&gt;0),'Your Team'!$C$12="F" ),1,0)+IF( AND((COUNTIF(DZ$2:DZ$33,'Your Team'!$D$13)&gt;0),'Your Team'!$C$13="F" ),1,0)+IF( AND((COUNTIF(DZ$2:DZ$33,'Your Team'!$D$14)&gt;0),'Your Team'!$C$14="F" ),1,0)+IF( AND((COUNTIF(DZ$2:DZ$33,'Your Team'!$D$15)&gt;0),'Your Team'!$C$15="F" ),1,0)+IF( AND((COUNTIF(DZ$2:DZ$33,'Your Team'!$D$16)&gt;0),'Your Team'!$C$16="F" ),1,0)+IF( AND((COUNTIF(DZ$2:DZ$33,'Your Team'!$D$17)&gt;0),'Your Team'!$C$17="F" ),1,0)+IF( AND((COUNTIF(DZ$2:DZ$33,'Your Team'!$D$18)&gt;0),'Your Team'!$C$18="F" ),1,0)+IF( AND((COUNTIF(DZ$2:DZ$33,'Your Team'!$D$19)&gt;0),'Your Team'!$C$19="F" ),1,0)</f>
        <v>0</v>
      </c>
      <c r="EA38" s="9">
        <f>IF( AND((COUNTIF(EA$2:EA$33,'Your Team'!$D$3)&gt;0),'Your Team'!$C$3="F" ),1,0)+IF( AND((COUNTIF(EA$2:EA$33,'Your Team'!$D$4)&gt;0),'Your Team'!$C$4="F" ),1,0)+IF( AND((COUNTIF(EA$2:EA$33,'Your Team'!$D$5)&gt;0),'Your Team'!$C$5="F" ),1,0)+IF( AND((COUNTIF(EA$2:EA$33,'Your Team'!$D$6)&gt;0),'Your Team'!$C$6="F" ),1,0)+IF( AND((COUNTIF(EA$2:EA$33,'Your Team'!$D$7)&gt;0),'Your Team'!$C$7="F" ),1,0)+IF( AND((COUNTIF(EA$2:EA$33,'Your Team'!$D$8)&gt;0),'Your Team'!$C$8="F" ),1,0)+IF( AND((COUNTIF(EA$2:EA$33,'Your Team'!$D$9)&gt;0),'Your Team'!$C$9="F" ),1,0)+IF( AND((COUNTIF(EA$2:EA$33,'Your Team'!$D$10)&gt;0),'Your Team'!$C$10="F" ),1,0)+IF( AND((COUNTIF(EA$2:EA$33,'Your Team'!$D$11)&gt;0),'Your Team'!$C$11="F" ),1,0)+IF( AND((COUNTIF(EA$2:EA$33,'Your Team'!$D$12)&gt;0),'Your Team'!$C$12="F" ),1,0)+IF( AND((COUNTIF(EA$2:EA$33,'Your Team'!$D$13)&gt;0),'Your Team'!$C$13="F" ),1,0)+IF( AND((COUNTIF(EA$2:EA$33,'Your Team'!$D$14)&gt;0),'Your Team'!$C$14="F" ),1,0)+IF( AND((COUNTIF(EA$2:EA$33,'Your Team'!$D$15)&gt;0),'Your Team'!$C$15="F" ),1,0)+IF( AND((COUNTIF(EA$2:EA$33,'Your Team'!$D$16)&gt;0),'Your Team'!$C$16="F" ),1,0)+IF( AND((COUNTIF(EA$2:EA$33,'Your Team'!$D$17)&gt;0),'Your Team'!$C$17="F" ),1,0)+IF( AND((COUNTIF(EA$2:EA$33,'Your Team'!$D$18)&gt;0),'Your Team'!$C$18="F" ),1,0)+IF( AND((COUNTIF(EA$2:EA$33,'Your Team'!$D$19)&gt;0),'Your Team'!$C$19="F" ),1,0)</f>
        <v>0</v>
      </c>
      <c r="EB38" s="9">
        <f>IF( AND((COUNTIF(EB$2:EB$33,'Your Team'!$D$3)&gt;0),'Your Team'!$C$3="F" ),1,0)+IF( AND((COUNTIF(EB$2:EB$33,'Your Team'!$D$4)&gt;0),'Your Team'!$C$4="F" ),1,0)+IF( AND((COUNTIF(EB$2:EB$33,'Your Team'!$D$5)&gt;0),'Your Team'!$C$5="F" ),1,0)+IF( AND((COUNTIF(EB$2:EB$33,'Your Team'!$D$6)&gt;0),'Your Team'!$C$6="F" ),1,0)+IF( AND((COUNTIF(EB$2:EB$33,'Your Team'!$D$7)&gt;0),'Your Team'!$C$7="F" ),1,0)+IF( AND((COUNTIF(EB$2:EB$33,'Your Team'!$D$8)&gt;0),'Your Team'!$C$8="F" ),1,0)+IF( AND((COUNTIF(EB$2:EB$33,'Your Team'!$D$9)&gt;0),'Your Team'!$C$9="F" ),1,0)+IF( AND((COUNTIF(EB$2:EB$33,'Your Team'!$D$10)&gt;0),'Your Team'!$C$10="F" ),1,0)+IF( AND((COUNTIF(EB$2:EB$33,'Your Team'!$D$11)&gt;0),'Your Team'!$C$11="F" ),1,0)+IF( AND((COUNTIF(EB$2:EB$33,'Your Team'!$D$12)&gt;0),'Your Team'!$C$12="F" ),1,0)+IF( AND((COUNTIF(EB$2:EB$33,'Your Team'!$D$13)&gt;0),'Your Team'!$C$13="F" ),1,0)+IF( AND((COUNTIF(EB$2:EB$33,'Your Team'!$D$14)&gt;0),'Your Team'!$C$14="F" ),1,0)+IF( AND((COUNTIF(EB$2:EB$33,'Your Team'!$D$15)&gt;0),'Your Team'!$C$15="F" ),1,0)+IF( AND((COUNTIF(EB$2:EB$33,'Your Team'!$D$16)&gt;0),'Your Team'!$C$16="F" ),1,0)+IF( AND((COUNTIF(EB$2:EB$33,'Your Team'!$D$17)&gt;0),'Your Team'!$C$17="F" ),1,0)+IF( AND((COUNTIF(EB$2:EB$33,'Your Team'!$D$18)&gt;0),'Your Team'!$C$18="F" ),1,0)+IF( AND((COUNTIF(EB$2:EB$33,'Your Team'!$D$19)&gt;0),'Your Team'!$C$19="F" ),1,0)</f>
        <v>0</v>
      </c>
      <c r="EC38" s="9">
        <f>IF( AND((COUNTIF(EC$2:EC$33,'Your Team'!$D$3)&gt;0),'Your Team'!$C$3="F" ),1,0)+IF( AND((COUNTIF(EC$2:EC$33,'Your Team'!$D$4)&gt;0),'Your Team'!$C$4="F" ),1,0)+IF( AND((COUNTIF(EC$2:EC$33,'Your Team'!$D$5)&gt;0),'Your Team'!$C$5="F" ),1,0)+IF( AND((COUNTIF(EC$2:EC$33,'Your Team'!$D$6)&gt;0),'Your Team'!$C$6="F" ),1,0)+IF( AND((COUNTIF(EC$2:EC$33,'Your Team'!$D$7)&gt;0),'Your Team'!$C$7="F" ),1,0)+IF( AND((COUNTIF(EC$2:EC$33,'Your Team'!$D$8)&gt;0),'Your Team'!$C$8="F" ),1,0)+IF( AND((COUNTIF(EC$2:EC$33,'Your Team'!$D$9)&gt;0),'Your Team'!$C$9="F" ),1,0)+IF( AND((COUNTIF(EC$2:EC$33,'Your Team'!$D$10)&gt;0),'Your Team'!$C$10="F" ),1,0)+IF( AND((COUNTIF(EC$2:EC$33,'Your Team'!$D$11)&gt;0),'Your Team'!$C$11="F" ),1,0)+IF( AND((COUNTIF(EC$2:EC$33,'Your Team'!$D$12)&gt;0),'Your Team'!$C$12="F" ),1,0)+IF( AND((COUNTIF(EC$2:EC$33,'Your Team'!$D$13)&gt;0),'Your Team'!$C$13="F" ),1,0)+IF( AND((COUNTIF(EC$2:EC$33,'Your Team'!$D$14)&gt;0),'Your Team'!$C$14="F" ),1,0)+IF( AND((COUNTIF(EC$2:EC$33,'Your Team'!$D$15)&gt;0),'Your Team'!$C$15="F" ),1,0)+IF( AND((COUNTIF(EC$2:EC$33,'Your Team'!$D$16)&gt;0),'Your Team'!$C$16="F" ),1,0)+IF( AND((COUNTIF(EC$2:EC$33,'Your Team'!$D$17)&gt;0),'Your Team'!$C$17="F" ),1,0)+IF( AND((COUNTIF(EC$2:EC$33,'Your Team'!$D$18)&gt;0),'Your Team'!$C$18="F" ),1,0)+IF( AND((COUNTIF(EC$2:EC$33,'Your Team'!$D$19)&gt;0),'Your Team'!$C$19="F" ),1,0)</f>
        <v>0</v>
      </c>
      <c r="ED38" s="9">
        <f>IF( AND((COUNTIF(ED$2:ED$33,'Your Team'!$D$3)&gt;0),'Your Team'!$C$3="F" ),1,0)+IF( AND((COUNTIF(ED$2:ED$33,'Your Team'!$D$4)&gt;0),'Your Team'!$C$4="F" ),1,0)+IF( AND((COUNTIF(ED$2:ED$33,'Your Team'!$D$5)&gt;0),'Your Team'!$C$5="F" ),1,0)+IF( AND((COUNTIF(ED$2:ED$33,'Your Team'!$D$6)&gt;0),'Your Team'!$C$6="F" ),1,0)+IF( AND((COUNTIF(ED$2:ED$33,'Your Team'!$D$7)&gt;0),'Your Team'!$C$7="F" ),1,0)+IF( AND((COUNTIF(ED$2:ED$33,'Your Team'!$D$8)&gt;0),'Your Team'!$C$8="F" ),1,0)+IF( AND((COUNTIF(ED$2:ED$33,'Your Team'!$D$9)&gt;0),'Your Team'!$C$9="F" ),1,0)+IF( AND((COUNTIF(ED$2:ED$33,'Your Team'!$D$10)&gt;0),'Your Team'!$C$10="F" ),1,0)+IF( AND((COUNTIF(ED$2:ED$33,'Your Team'!$D$11)&gt;0),'Your Team'!$C$11="F" ),1,0)+IF( AND((COUNTIF(ED$2:ED$33,'Your Team'!$D$12)&gt;0),'Your Team'!$C$12="F" ),1,0)+IF( AND((COUNTIF(ED$2:ED$33,'Your Team'!$D$13)&gt;0),'Your Team'!$C$13="F" ),1,0)+IF( AND((COUNTIF(ED$2:ED$33,'Your Team'!$D$14)&gt;0),'Your Team'!$C$14="F" ),1,0)+IF( AND((COUNTIF(ED$2:ED$33,'Your Team'!$D$15)&gt;0),'Your Team'!$C$15="F" ),1,0)+IF( AND((COUNTIF(ED$2:ED$33,'Your Team'!$D$16)&gt;0),'Your Team'!$C$16="F" ),1,0)+IF( AND((COUNTIF(ED$2:ED$33,'Your Team'!$D$17)&gt;0),'Your Team'!$C$17="F" ),1,0)+IF( AND((COUNTIF(ED$2:ED$33,'Your Team'!$D$18)&gt;0),'Your Team'!$C$18="F" ),1,0)+IF( AND((COUNTIF(ED$2:ED$33,'Your Team'!$D$19)&gt;0),'Your Team'!$C$19="F" ),1,0)</f>
        <v>0</v>
      </c>
      <c r="EE38" s="9">
        <f>IF( AND((COUNTIF(EE$2:EE$33,'Your Team'!$D$3)&gt;0),'Your Team'!$C$3="F" ),1,0)+IF( AND((COUNTIF(EE$2:EE$33,'Your Team'!$D$4)&gt;0),'Your Team'!$C$4="F" ),1,0)+IF( AND((COUNTIF(EE$2:EE$33,'Your Team'!$D$5)&gt;0),'Your Team'!$C$5="F" ),1,0)+IF( AND((COUNTIF(EE$2:EE$33,'Your Team'!$D$6)&gt;0),'Your Team'!$C$6="F" ),1,0)+IF( AND((COUNTIF(EE$2:EE$33,'Your Team'!$D$7)&gt;0),'Your Team'!$C$7="F" ),1,0)+IF( AND((COUNTIF(EE$2:EE$33,'Your Team'!$D$8)&gt;0),'Your Team'!$C$8="F" ),1,0)+IF( AND((COUNTIF(EE$2:EE$33,'Your Team'!$D$9)&gt;0),'Your Team'!$C$9="F" ),1,0)+IF( AND((COUNTIF(EE$2:EE$33,'Your Team'!$D$10)&gt;0),'Your Team'!$C$10="F" ),1,0)+IF( AND((COUNTIF(EE$2:EE$33,'Your Team'!$D$11)&gt;0),'Your Team'!$C$11="F" ),1,0)+IF( AND((COUNTIF(EE$2:EE$33,'Your Team'!$D$12)&gt;0),'Your Team'!$C$12="F" ),1,0)+IF( AND((COUNTIF(EE$2:EE$33,'Your Team'!$D$13)&gt;0),'Your Team'!$C$13="F" ),1,0)+IF( AND((COUNTIF(EE$2:EE$33,'Your Team'!$D$14)&gt;0),'Your Team'!$C$14="F" ),1,0)+IF( AND((COUNTIF(EE$2:EE$33,'Your Team'!$D$15)&gt;0),'Your Team'!$C$15="F" ),1,0)+IF( AND((COUNTIF(EE$2:EE$33,'Your Team'!$D$16)&gt;0),'Your Team'!$C$16="F" ),1,0)+IF( AND((COUNTIF(EE$2:EE$33,'Your Team'!$D$17)&gt;0),'Your Team'!$C$17="F" ),1,0)+IF( AND((COUNTIF(EE$2:EE$33,'Your Team'!$D$18)&gt;0),'Your Team'!$C$18="F" ),1,0)+IF( AND((COUNTIF(EE$2:EE$33,'Your Team'!$D$19)&gt;0),'Your Team'!$C$19="F" ),1,0)</f>
        <v>0</v>
      </c>
      <c r="EF38" s="9">
        <f>IF( AND((COUNTIF(EF$2:EF$33,'Your Team'!$D$3)&gt;0),'Your Team'!$C$3="F" ),1,0)+IF( AND((COUNTIF(EF$2:EF$33,'Your Team'!$D$4)&gt;0),'Your Team'!$C$4="F" ),1,0)+IF( AND((COUNTIF(EF$2:EF$33,'Your Team'!$D$5)&gt;0),'Your Team'!$C$5="F" ),1,0)+IF( AND((COUNTIF(EF$2:EF$33,'Your Team'!$D$6)&gt;0),'Your Team'!$C$6="F" ),1,0)+IF( AND((COUNTIF(EF$2:EF$33,'Your Team'!$D$7)&gt;0),'Your Team'!$C$7="F" ),1,0)+IF( AND((COUNTIF(EF$2:EF$33,'Your Team'!$D$8)&gt;0),'Your Team'!$C$8="F" ),1,0)+IF( AND((COUNTIF(EF$2:EF$33,'Your Team'!$D$9)&gt;0),'Your Team'!$C$9="F" ),1,0)+IF( AND((COUNTIF(EF$2:EF$33,'Your Team'!$D$10)&gt;0),'Your Team'!$C$10="F" ),1,0)+IF( AND((COUNTIF(EF$2:EF$33,'Your Team'!$D$11)&gt;0),'Your Team'!$C$11="F" ),1,0)+IF( AND((COUNTIF(EF$2:EF$33,'Your Team'!$D$12)&gt;0),'Your Team'!$C$12="F" ),1,0)+IF( AND((COUNTIF(EF$2:EF$33,'Your Team'!$D$13)&gt;0),'Your Team'!$C$13="F" ),1,0)+IF( AND((COUNTIF(EF$2:EF$33,'Your Team'!$D$14)&gt;0),'Your Team'!$C$14="F" ),1,0)+IF( AND((COUNTIF(EF$2:EF$33,'Your Team'!$D$15)&gt;0),'Your Team'!$C$15="F" ),1,0)+IF( AND((COUNTIF(EF$2:EF$33,'Your Team'!$D$16)&gt;0),'Your Team'!$C$16="F" ),1,0)+IF( AND((COUNTIF(EF$2:EF$33,'Your Team'!$D$17)&gt;0),'Your Team'!$C$17="F" ),1,0)+IF( AND((COUNTIF(EF$2:EF$33,'Your Team'!$D$18)&gt;0),'Your Team'!$C$18="F" ),1,0)+IF( AND((COUNTIF(EF$2:EF$33,'Your Team'!$D$19)&gt;0),'Your Team'!$C$19="F" ),1,0)</f>
        <v>0</v>
      </c>
      <c r="EG38" s="9">
        <f>IF( AND((COUNTIF(EG$2:EG$33,'Your Team'!$D$3)&gt;0),'Your Team'!$C$3="F" ),1,0)+IF( AND((COUNTIF(EG$2:EG$33,'Your Team'!$D$4)&gt;0),'Your Team'!$C$4="F" ),1,0)+IF( AND((COUNTIF(EG$2:EG$33,'Your Team'!$D$5)&gt;0),'Your Team'!$C$5="F" ),1,0)+IF( AND((COUNTIF(EG$2:EG$33,'Your Team'!$D$6)&gt;0),'Your Team'!$C$6="F" ),1,0)+IF( AND((COUNTIF(EG$2:EG$33,'Your Team'!$D$7)&gt;0),'Your Team'!$C$7="F" ),1,0)+IF( AND((COUNTIF(EG$2:EG$33,'Your Team'!$D$8)&gt;0),'Your Team'!$C$8="F" ),1,0)+IF( AND((COUNTIF(EG$2:EG$33,'Your Team'!$D$9)&gt;0),'Your Team'!$C$9="F" ),1,0)+IF( AND((COUNTIF(EG$2:EG$33,'Your Team'!$D$10)&gt;0),'Your Team'!$C$10="F" ),1,0)+IF( AND((COUNTIF(EG$2:EG$33,'Your Team'!$D$11)&gt;0),'Your Team'!$C$11="F" ),1,0)+IF( AND((COUNTIF(EG$2:EG$33,'Your Team'!$D$12)&gt;0),'Your Team'!$C$12="F" ),1,0)+IF( AND((COUNTIF(EG$2:EG$33,'Your Team'!$D$13)&gt;0),'Your Team'!$C$13="F" ),1,0)+IF( AND((COUNTIF(EG$2:EG$33,'Your Team'!$D$14)&gt;0),'Your Team'!$C$14="F" ),1,0)+IF( AND((COUNTIF(EG$2:EG$33,'Your Team'!$D$15)&gt;0),'Your Team'!$C$15="F" ),1,0)+IF( AND((COUNTIF(EG$2:EG$33,'Your Team'!$D$16)&gt;0),'Your Team'!$C$16="F" ),1,0)+IF( AND((COUNTIF(EG$2:EG$33,'Your Team'!$D$17)&gt;0),'Your Team'!$C$17="F" ),1,0)+IF( AND((COUNTIF(EG$2:EG$33,'Your Team'!$D$18)&gt;0),'Your Team'!$C$18="F" ),1,0)+IF( AND((COUNTIF(EG$2:EG$33,'Your Team'!$D$19)&gt;0),'Your Team'!$C$19="F" ),1,0)</f>
        <v>0</v>
      </c>
      <c r="EH38" s="9">
        <f>IF( AND((COUNTIF(EH$2:EH$33,'Your Team'!$D$3)&gt;0),'Your Team'!$C$3="F" ),1,0)+IF( AND((COUNTIF(EH$2:EH$33,'Your Team'!$D$4)&gt;0),'Your Team'!$C$4="F" ),1,0)+IF( AND((COUNTIF(EH$2:EH$33,'Your Team'!$D$5)&gt;0),'Your Team'!$C$5="F" ),1,0)+IF( AND((COUNTIF(EH$2:EH$33,'Your Team'!$D$6)&gt;0),'Your Team'!$C$6="F" ),1,0)+IF( AND((COUNTIF(EH$2:EH$33,'Your Team'!$D$7)&gt;0),'Your Team'!$C$7="F" ),1,0)+IF( AND((COUNTIF(EH$2:EH$33,'Your Team'!$D$8)&gt;0),'Your Team'!$C$8="F" ),1,0)+IF( AND((COUNTIF(EH$2:EH$33,'Your Team'!$D$9)&gt;0),'Your Team'!$C$9="F" ),1,0)+IF( AND((COUNTIF(EH$2:EH$33,'Your Team'!$D$10)&gt;0),'Your Team'!$C$10="F" ),1,0)+IF( AND((COUNTIF(EH$2:EH$33,'Your Team'!$D$11)&gt;0),'Your Team'!$C$11="F" ),1,0)+IF( AND((COUNTIF(EH$2:EH$33,'Your Team'!$D$12)&gt;0),'Your Team'!$C$12="F" ),1,0)+IF( AND((COUNTIF(EH$2:EH$33,'Your Team'!$D$13)&gt;0),'Your Team'!$C$13="F" ),1,0)+IF( AND((COUNTIF(EH$2:EH$33,'Your Team'!$D$14)&gt;0),'Your Team'!$C$14="F" ),1,0)+IF( AND((COUNTIF(EH$2:EH$33,'Your Team'!$D$15)&gt;0),'Your Team'!$C$15="F" ),1,0)+IF( AND((COUNTIF(EH$2:EH$33,'Your Team'!$D$16)&gt;0),'Your Team'!$C$16="F" ),1,0)+IF( AND((COUNTIF(EH$2:EH$33,'Your Team'!$D$17)&gt;0),'Your Team'!$C$17="F" ),1,0)+IF( AND((COUNTIF(EH$2:EH$33,'Your Team'!$D$18)&gt;0),'Your Team'!$C$18="F" ),1,0)+IF( AND((COUNTIF(EH$2:EH$33,'Your Team'!$D$19)&gt;0),'Your Team'!$C$19="F" ),1,0)</f>
        <v>0</v>
      </c>
      <c r="EI38" s="9">
        <f>IF( AND((COUNTIF(EI$2:EI$33,'Your Team'!$D$3)&gt;0),'Your Team'!$C$3="F" ),1,0)+IF( AND((COUNTIF(EI$2:EI$33,'Your Team'!$D$4)&gt;0),'Your Team'!$C$4="F" ),1,0)+IF( AND((COUNTIF(EI$2:EI$33,'Your Team'!$D$5)&gt;0),'Your Team'!$C$5="F" ),1,0)+IF( AND((COUNTIF(EI$2:EI$33,'Your Team'!$D$6)&gt;0),'Your Team'!$C$6="F" ),1,0)+IF( AND((COUNTIF(EI$2:EI$33,'Your Team'!$D$7)&gt;0),'Your Team'!$C$7="F" ),1,0)+IF( AND((COUNTIF(EI$2:EI$33,'Your Team'!$D$8)&gt;0),'Your Team'!$C$8="F" ),1,0)+IF( AND((COUNTIF(EI$2:EI$33,'Your Team'!$D$9)&gt;0),'Your Team'!$C$9="F" ),1,0)+IF( AND((COUNTIF(EI$2:EI$33,'Your Team'!$D$10)&gt;0),'Your Team'!$C$10="F" ),1,0)+IF( AND((COUNTIF(EI$2:EI$33,'Your Team'!$D$11)&gt;0),'Your Team'!$C$11="F" ),1,0)+IF( AND((COUNTIF(EI$2:EI$33,'Your Team'!$D$12)&gt;0),'Your Team'!$C$12="F" ),1,0)+IF( AND((COUNTIF(EI$2:EI$33,'Your Team'!$D$13)&gt;0),'Your Team'!$C$13="F" ),1,0)+IF( AND((COUNTIF(EI$2:EI$33,'Your Team'!$D$14)&gt;0),'Your Team'!$C$14="F" ),1,0)+IF( AND((COUNTIF(EI$2:EI$33,'Your Team'!$D$15)&gt;0),'Your Team'!$C$15="F" ),1,0)+IF( AND((COUNTIF(EI$2:EI$33,'Your Team'!$D$16)&gt;0),'Your Team'!$C$16="F" ),1,0)+IF( AND((COUNTIF(EI$2:EI$33,'Your Team'!$D$17)&gt;0),'Your Team'!$C$17="F" ),1,0)+IF( AND((COUNTIF(EI$2:EI$33,'Your Team'!$D$18)&gt;0),'Your Team'!$C$18="F" ),1,0)+IF( AND((COUNTIF(EI$2:EI$33,'Your Team'!$D$19)&gt;0),'Your Team'!$C$19="F" ),1,0)</f>
        <v>0</v>
      </c>
      <c r="EJ38" s="9">
        <f>IF( AND((COUNTIF(EJ$2:EJ$33,'Your Team'!$D$3)&gt;0),'Your Team'!$C$3="F" ),1,0)+IF( AND((COUNTIF(EJ$2:EJ$33,'Your Team'!$D$4)&gt;0),'Your Team'!$C$4="F" ),1,0)+IF( AND((COUNTIF(EJ$2:EJ$33,'Your Team'!$D$5)&gt;0),'Your Team'!$C$5="F" ),1,0)+IF( AND((COUNTIF(EJ$2:EJ$33,'Your Team'!$D$6)&gt;0),'Your Team'!$C$6="F" ),1,0)+IF( AND((COUNTIF(EJ$2:EJ$33,'Your Team'!$D$7)&gt;0),'Your Team'!$C$7="F" ),1,0)+IF( AND((COUNTIF(EJ$2:EJ$33,'Your Team'!$D$8)&gt;0),'Your Team'!$C$8="F" ),1,0)+IF( AND((COUNTIF(EJ$2:EJ$33,'Your Team'!$D$9)&gt;0),'Your Team'!$C$9="F" ),1,0)+IF( AND((COUNTIF(EJ$2:EJ$33,'Your Team'!$D$10)&gt;0),'Your Team'!$C$10="F" ),1,0)+IF( AND((COUNTIF(EJ$2:EJ$33,'Your Team'!$D$11)&gt;0),'Your Team'!$C$11="F" ),1,0)+IF( AND((COUNTIF(EJ$2:EJ$33,'Your Team'!$D$12)&gt;0),'Your Team'!$C$12="F" ),1,0)+IF( AND((COUNTIF(EJ$2:EJ$33,'Your Team'!$D$13)&gt;0),'Your Team'!$C$13="F" ),1,0)+IF( AND((COUNTIF(EJ$2:EJ$33,'Your Team'!$D$14)&gt;0),'Your Team'!$C$14="F" ),1,0)+IF( AND((COUNTIF(EJ$2:EJ$33,'Your Team'!$D$15)&gt;0),'Your Team'!$C$15="F" ),1,0)+IF( AND((COUNTIF(EJ$2:EJ$33,'Your Team'!$D$16)&gt;0),'Your Team'!$C$16="F" ),1,0)+IF( AND((COUNTIF(EJ$2:EJ$33,'Your Team'!$D$17)&gt;0),'Your Team'!$C$17="F" ),1,0)+IF( AND((COUNTIF(EJ$2:EJ$33,'Your Team'!$D$18)&gt;0),'Your Team'!$C$18="F" ),1,0)+IF( AND((COUNTIF(EJ$2:EJ$33,'Your Team'!$D$19)&gt;0),'Your Team'!$C$19="F" ),1,0)</f>
        <v>0</v>
      </c>
      <c r="EK38" s="9">
        <f>IF( AND((COUNTIF(EK$2:EK$33,'Your Team'!$D$3)&gt;0),'Your Team'!$C$3="F" ),1,0)+IF( AND((COUNTIF(EK$2:EK$33,'Your Team'!$D$4)&gt;0),'Your Team'!$C$4="F" ),1,0)+IF( AND((COUNTIF(EK$2:EK$33,'Your Team'!$D$5)&gt;0),'Your Team'!$C$5="F" ),1,0)+IF( AND((COUNTIF(EK$2:EK$33,'Your Team'!$D$6)&gt;0),'Your Team'!$C$6="F" ),1,0)+IF( AND((COUNTIF(EK$2:EK$33,'Your Team'!$D$7)&gt;0),'Your Team'!$C$7="F" ),1,0)+IF( AND((COUNTIF(EK$2:EK$33,'Your Team'!$D$8)&gt;0),'Your Team'!$C$8="F" ),1,0)+IF( AND((COUNTIF(EK$2:EK$33,'Your Team'!$D$9)&gt;0),'Your Team'!$C$9="F" ),1,0)+IF( AND((COUNTIF(EK$2:EK$33,'Your Team'!$D$10)&gt;0),'Your Team'!$C$10="F" ),1,0)+IF( AND((COUNTIF(EK$2:EK$33,'Your Team'!$D$11)&gt;0),'Your Team'!$C$11="F" ),1,0)+IF( AND((COUNTIF(EK$2:EK$33,'Your Team'!$D$12)&gt;0),'Your Team'!$C$12="F" ),1,0)+IF( AND((COUNTIF(EK$2:EK$33,'Your Team'!$D$13)&gt;0),'Your Team'!$C$13="F" ),1,0)+IF( AND((COUNTIF(EK$2:EK$33,'Your Team'!$D$14)&gt;0),'Your Team'!$C$14="F" ),1,0)+IF( AND((COUNTIF(EK$2:EK$33,'Your Team'!$D$15)&gt;0),'Your Team'!$C$15="F" ),1,0)+IF( AND((COUNTIF(EK$2:EK$33,'Your Team'!$D$16)&gt;0),'Your Team'!$C$16="F" ),1,0)+IF( AND((COUNTIF(EK$2:EK$33,'Your Team'!$D$17)&gt;0),'Your Team'!$C$17="F" ),1,0)+IF( AND((COUNTIF(EK$2:EK$33,'Your Team'!$D$18)&gt;0),'Your Team'!$C$18="F" ),1,0)+IF( AND((COUNTIF(EK$2:EK$33,'Your Team'!$D$19)&gt;0),'Your Team'!$C$19="F" ),1,0)</f>
        <v>0</v>
      </c>
      <c r="EL38" s="9">
        <f>IF( AND((COUNTIF(EL$2:EL$33,'Your Team'!$D$3)&gt;0),'Your Team'!$C$3="F" ),1,0)+IF( AND((COUNTIF(EL$2:EL$33,'Your Team'!$D$4)&gt;0),'Your Team'!$C$4="F" ),1,0)+IF( AND((COUNTIF(EL$2:EL$33,'Your Team'!$D$5)&gt;0),'Your Team'!$C$5="F" ),1,0)+IF( AND((COUNTIF(EL$2:EL$33,'Your Team'!$D$6)&gt;0),'Your Team'!$C$6="F" ),1,0)+IF( AND((COUNTIF(EL$2:EL$33,'Your Team'!$D$7)&gt;0),'Your Team'!$C$7="F" ),1,0)+IF( AND((COUNTIF(EL$2:EL$33,'Your Team'!$D$8)&gt;0),'Your Team'!$C$8="F" ),1,0)+IF( AND((COUNTIF(EL$2:EL$33,'Your Team'!$D$9)&gt;0),'Your Team'!$C$9="F" ),1,0)+IF( AND((COUNTIF(EL$2:EL$33,'Your Team'!$D$10)&gt;0),'Your Team'!$C$10="F" ),1,0)+IF( AND((COUNTIF(EL$2:EL$33,'Your Team'!$D$11)&gt;0),'Your Team'!$C$11="F" ),1,0)+IF( AND((COUNTIF(EL$2:EL$33,'Your Team'!$D$12)&gt;0),'Your Team'!$C$12="F" ),1,0)+IF( AND((COUNTIF(EL$2:EL$33,'Your Team'!$D$13)&gt;0),'Your Team'!$C$13="F" ),1,0)+IF( AND((COUNTIF(EL$2:EL$33,'Your Team'!$D$14)&gt;0),'Your Team'!$C$14="F" ),1,0)+IF( AND((COUNTIF(EL$2:EL$33,'Your Team'!$D$15)&gt;0),'Your Team'!$C$15="F" ),1,0)+IF( AND((COUNTIF(EL$2:EL$33,'Your Team'!$D$16)&gt;0),'Your Team'!$C$16="F" ),1,0)+IF( AND((COUNTIF(EL$2:EL$33,'Your Team'!$D$17)&gt;0),'Your Team'!$C$17="F" ),1,0)+IF( AND((COUNTIF(EL$2:EL$33,'Your Team'!$D$18)&gt;0),'Your Team'!$C$18="F" ),1,0)+IF( AND((COUNTIF(EL$2:EL$33,'Your Team'!$D$19)&gt;0),'Your Team'!$C$19="F" ),1,0)</f>
        <v>0</v>
      </c>
      <c r="EM38" s="9">
        <f>IF( AND((COUNTIF(EM$2:EM$33,'Your Team'!$D$3)&gt;0),'Your Team'!$C$3="F" ),1,0)+IF( AND((COUNTIF(EM$2:EM$33,'Your Team'!$D$4)&gt;0),'Your Team'!$C$4="F" ),1,0)+IF( AND((COUNTIF(EM$2:EM$33,'Your Team'!$D$5)&gt;0),'Your Team'!$C$5="F" ),1,0)+IF( AND((COUNTIF(EM$2:EM$33,'Your Team'!$D$6)&gt;0),'Your Team'!$C$6="F" ),1,0)+IF( AND((COUNTIF(EM$2:EM$33,'Your Team'!$D$7)&gt;0),'Your Team'!$C$7="F" ),1,0)+IF( AND((COUNTIF(EM$2:EM$33,'Your Team'!$D$8)&gt;0),'Your Team'!$C$8="F" ),1,0)+IF( AND((COUNTIF(EM$2:EM$33,'Your Team'!$D$9)&gt;0),'Your Team'!$C$9="F" ),1,0)+IF( AND((COUNTIF(EM$2:EM$33,'Your Team'!$D$10)&gt;0),'Your Team'!$C$10="F" ),1,0)+IF( AND((COUNTIF(EM$2:EM$33,'Your Team'!$D$11)&gt;0),'Your Team'!$C$11="F" ),1,0)+IF( AND((COUNTIF(EM$2:EM$33,'Your Team'!$D$12)&gt;0),'Your Team'!$C$12="F" ),1,0)+IF( AND((COUNTIF(EM$2:EM$33,'Your Team'!$D$13)&gt;0),'Your Team'!$C$13="F" ),1,0)+IF( AND((COUNTIF(EM$2:EM$33,'Your Team'!$D$14)&gt;0),'Your Team'!$C$14="F" ),1,0)+IF( AND((COUNTIF(EM$2:EM$33,'Your Team'!$D$15)&gt;0),'Your Team'!$C$15="F" ),1,0)+IF( AND((COUNTIF(EM$2:EM$33,'Your Team'!$D$16)&gt;0),'Your Team'!$C$16="F" ),1,0)+IF( AND((COUNTIF(EM$2:EM$33,'Your Team'!$D$17)&gt;0),'Your Team'!$C$17="F" ),1,0)+IF( AND((COUNTIF(EM$2:EM$33,'Your Team'!$D$18)&gt;0),'Your Team'!$C$18="F" ),1,0)+IF( AND((COUNTIF(EM$2:EM$33,'Your Team'!$D$19)&gt;0),'Your Team'!$C$19="F" ),1,0)</f>
        <v>0</v>
      </c>
      <c r="EN38" s="9">
        <f>IF( AND((COUNTIF(EN$2:EN$33,'Your Team'!$D$3)&gt;0),'Your Team'!$C$3="F" ),1,0)+IF( AND((COUNTIF(EN$2:EN$33,'Your Team'!$D$4)&gt;0),'Your Team'!$C$4="F" ),1,0)+IF( AND((COUNTIF(EN$2:EN$33,'Your Team'!$D$5)&gt;0),'Your Team'!$C$5="F" ),1,0)+IF( AND((COUNTIF(EN$2:EN$33,'Your Team'!$D$6)&gt;0),'Your Team'!$C$6="F" ),1,0)+IF( AND((COUNTIF(EN$2:EN$33,'Your Team'!$D$7)&gt;0),'Your Team'!$C$7="F" ),1,0)+IF( AND((COUNTIF(EN$2:EN$33,'Your Team'!$D$8)&gt;0),'Your Team'!$C$8="F" ),1,0)+IF( AND((COUNTIF(EN$2:EN$33,'Your Team'!$D$9)&gt;0),'Your Team'!$C$9="F" ),1,0)+IF( AND((COUNTIF(EN$2:EN$33,'Your Team'!$D$10)&gt;0),'Your Team'!$C$10="F" ),1,0)+IF( AND((COUNTIF(EN$2:EN$33,'Your Team'!$D$11)&gt;0),'Your Team'!$C$11="F" ),1,0)+IF( AND((COUNTIF(EN$2:EN$33,'Your Team'!$D$12)&gt;0),'Your Team'!$C$12="F" ),1,0)+IF( AND((COUNTIF(EN$2:EN$33,'Your Team'!$D$13)&gt;0),'Your Team'!$C$13="F" ),1,0)+IF( AND((COUNTIF(EN$2:EN$33,'Your Team'!$D$14)&gt;0),'Your Team'!$C$14="F" ),1,0)+IF( AND((COUNTIF(EN$2:EN$33,'Your Team'!$D$15)&gt;0),'Your Team'!$C$15="F" ),1,0)+IF( AND((COUNTIF(EN$2:EN$33,'Your Team'!$D$16)&gt;0),'Your Team'!$C$16="F" ),1,0)+IF( AND((COUNTIF(EN$2:EN$33,'Your Team'!$D$17)&gt;0),'Your Team'!$C$17="F" ),1,0)+IF( AND((COUNTIF(EN$2:EN$33,'Your Team'!$D$18)&gt;0),'Your Team'!$C$18="F" ),1,0)+IF( AND((COUNTIF(EN$2:EN$33,'Your Team'!$D$19)&gt;0),'Your Team'!$C$19="F" ),1,0)</f>
        <v>0</v>
      </c>
      <c r="EO38" s="9">
        <f>IF( AND((COUNTIF(EO$2:EO$33,'Your Team'!$D$3)&gt;0),'Your Team'!$C$3="F" ),1,0)+IF( AND((COUNTIF(EO$2:EO$33,'Your Team'!$D$4)&gt;0),'Your Team'!$C$4="F" ),1,0)+IF( AND((COUNTIF(EO$2:EO$33,'Your Team'!$D$5)&gt;0),'Your Team'!$C$5="F" ),1,0)+IF( AND((COUNTIF(EO$2:EO$33,'Your Team'!$D$6)&gt;0),'Your Team'!$C$6="F" ),1,0)+IF( AND((COUNTIF(EO$2:EO$33,'Your Team'!$D$7)&gt;0),'Your Team'!$C$7="F" ),1,0)+IF( AND((COUNTIF(EO$2:EO$33,'Your Team'!$D$8)&gt;0),'Your Team'!$C$8="F" ),1,0)+IF( AND((COUNTIF(EO$2:EO$33,'Your Team'!$D$9)&gt;0),'Your Team'!$C$9="F" ),1,0)+IF( AND((COUNTIF(EO$2:EO$33,'Your Team'!$D$10)&gt;0),'Your Team'!$C$10="F" ),1,0)+IF( AND((COUNTIF(EO$2:EO$33,'Your Team'!$D$11)&gt;0),'Your Team'!$C$11="F" ),1,0)+IF( AND((COUNTIF(EO$2:EO$33,'Your Team'!$D$12)&gt;0),'Your Team'!$C$12="F" ),1,0)+IF( AND((COUNTIF(EO$2:EO$33,'Your Team'!$D$13)&gt;0),'Your Team'!$C$13="F" ),1,0)+IF( AND((COUNTIF(EO$2:EO$33,'Your Team'!$D$14)&gt;0),'Your Team'!$C$14="F" ),1,0)+IF( AND((COUNTIF(EO$2:EO$33,'Your Team'!$D$15)&gt;0),'Your Team'!$C$15="F" ),1,0)+IF( AND((COUNTIF(EO$2:EO$33,'Your Team'!$D$16)&gt;0),'Your Team'!$C$16="F" ),1,0)+IF( AND((COUNTIF(EO$2:EO$33,'Your Team'!$D$17)&gt;0),'Your Team'!$C$17="F" ),1,0)+IF( AND((COUNTIF(EO$2:EO$33,'Your Team'!$D$18)&gt;0),'Your Team'!$C$18="F" ),1,0)+IF( AND((COUNTIF(EO$2:EO$33,'Your Team'!$D$19)&gt;0),'Your Team'!$C$19="F" ),1,0)</f>
        <v>0</v>
      </c>
      <c r="EP38" s="9">
        <f>IF( AND((COUNTIF(EP$2:EP$33,'Your Team'!$D$3)&gt;0),'Your Team'!$C$3="F" ),1,0)+IF( AND((COUNTIF(EP$2:EP$33,'Your Team'!$D$4)&gt;0),'Your Team'!$C$4="F" ),1,0)+IF( AND((COUNTIF(EP$2:EP$33,'Your Team'!$D$5)&gt;0),'Your Team'!$C$5="F" ),1,0)+IF( AND((COUNTIF(EP$2:EP$33,'Your Team'!$D$6)&gt;0),'Your Team'!$C$6="F" ),1,0)+IF( AND((COUNTIF(EP$2:EP$33,'Your Team'!$D$7)&gt;0),'Your Team'!$C$7="F" ),1,0)+IF( AND((COUNTIF(EP$2:EP$33,'Your Team'!$D$8)&gt;0),'Your Team'!$C$8="F" ),1,0)+IF( AND((COUNTIF(EP$2:EP$33,'Your Team'!$D$9)&gt;0),'Your Team'!$C$9="F" ),1,0)+IF( AND((COUNTIF(EP$2:EP$33,'Your Team'!$D$10)&gt;0),'Your Team'!$C$10="F" ),1,0)+IF( AND((COUNTIF(EP$2:EP$33,'Your Team'!$D$11)&gt;0),'Your Team'!$C$11="F" ),1,0)+IF( AND((COUNTIF(EP$2:EP$33,'Your Team'!$D$12)&gt;0),'Your Team'!$C$12="F" ),1,0)+IF( AND((COUNTIF(EP$2:EP$33,'Your Team'!$D$13)&gt;0),'Your Team'!$C$13="F" ),1,0)+IF( AND((COUNTIF(EP$2:EP$33,'Your Team'!$D$14)&gt;0),'Your Team'!$C$14="F" ),1,0)+IF( AND((COUNTIF(EP$2:EP$33,'Your Team'!$D$15)&gt;0),'Your Team'!$C$15="F" ),1,0)+IF( AND((COUNTIF(EP$2:EP$33,'Your Team'!$D$16)&gt;0),'Your Team'!$C$16="F" ),1,0)+IF( AND((COUNTIF(EP$2:EP$33,'Your Team'!$D$17)&gt;0),'Your Team'!$C$17="F" ),1,0)+IF( AND((COUNTIF(EP$2:EP$33,'Your Team'!$D$18)&gt;0),'Your Team'!$C$18="F" ),1,0)+IF( AND((COUNTIF(EP$2:EP$33,'Your Team'!$D$19)&gt;0),'Your Team'!$C$19="F" ),1,0)</f>
        <v>0</v>
      </c>
      <c r="EQ38" s="9">
        <f>IF( AND((COUNTIF(EQ$2:EQ$33,'Your Team'!$D$3)&gt;0),'Your Team'!$C$3="F" ),1,0)+IF( AND((COUNTIF(EQ$2:EQ$33,'Your Team'!$D$4)&gt;0),'Your Team'!$C$4="F" ),1,0)+IF( AND((COUNTIF(EQ$2:EQ$33,'Your Team'!$D$5)&gt;0),'Your Team'!$C$5="F" ),1,0)+IF( AND((COUNTIF(EQ$2:EQ$33,'Your Team'!$D$6)&gt;0),'Your Team'!$C$6="F" ),1,0)+IF( AND((COUNTIF(EQ$2:EQ$33,'Your Team'!$D$7)&gt;0),'Your Team'!$C$7="F" ),1,0)+IF( AND((COUNTIF(EQ$2:EQ$33,'Your Team'!$D$8)&gt;0),'Your Team'!$C$8="F" ),1,0)+IF( AND((COUNTIF(EQ$2:EQ$33,'Your Team'!$D$9)&gt;0),'Your Team'!$C$9="F" ),1,0)+IF( AND((COUNTIF(EQ$2:EQ$33,'Your Team'!$D$10)&gt;0),'Your Team'!$C$10="F" ),1,0)+IF( AND((COUNTIF(EQ$2:EQ$33,'Your Team'!$D$11)&gt;0),'Your Team'!$C$11="F" ),1,0)+IF( AND((COUNTIF(EQ$2:EQ$33,'Your Team'!$D$12)&gt;0),'Your Team'!$C$12="F" ),1,0)+IF( AND((COUNTIF(EQ$2:EQ$33,'Your Team'!$D$13)&gt;0),'Your Team'!$C$13="F" ),1,0)+IF( AND((COUNTIF(EQ$2:EQ$33,'Your Team'!$D$14)&gt;0),'Your Team'!$C$14="F" ),1,0)+IF( AND((COUNTIF(EQ$2:EQ$33,'Your Team'!$D$15)&gt;0),'Your Team'!$C$15="F" ),1,0)+IF( AND((COUNTIF(EQ$2:EQ$33,'Your Team'!$D$16)&gt;0),'Your Team'!$C$16="F" ),1,0)+IF( AND((COUNTIF(EQ$2:EQ$33,'Your Team'!$D$17)&gt;0),'Your Team'!$C$17="F" ),1,0)+IF( AND((COUNTIF(EQ$2:EQ$33,'Your Team'!$D$18)&gt;0),'Your Team'!$C$18="F" ),1,0)+IF( AND((COUNTIF(EQ$2:EQ$33,'Your Team'!$D$19)&gt;0),'Your Team'!$C$19="F" ),1,0)</f>
        <v>0</v>
      </c>
      <c r="ER38" s="9">
        <f>IF( AND((COUNTIF(ER$2:ER$33,'Your Team'!$D$3)&gt;0),'Your Team'!$C$3="F" ),1,0)+IF( AND((COUNTIF(ER$2:ER$33,'Your Team'!$D$4)&gt;0),'Your Team'!$C$4="F" ),1,0)+IF( AND((COUNTIF(ER$2:ER$33,'Your Team'!$D$5)&gt;0),'Your Team'!$C$5="F" ),1,0)+IF( AND((COUNTIF(ER$2:ER$33,'Your Team'!$D$6)&gt;0),'Your Team'!$C$6="F" ),1,0)+IF( AND((COUNTIF(ER$2:ER$33,'Your Team'!$D$7)&gt;0),'Your Team'!$C$7="F" ),1,0)+IF( AND((COUNTIF(ER$2:ER$33,'Your Team'!$D$8)&gt;0),'Your Team'!$C$8="F" ),1,0)+IF( AND((COUNTIF(ER$2:ER$33,'Your Team'!$D$9)&gt;0),'Your Team'!$C$9="F" ),1,0)+IF( AND((COUNTIF(ER$2:ER$33,'Your Team'!$D$10)&gt;0),'Your Team'!$C$10="F" ),1,0)+IF( AND((COUNTIF(ER$2:ER$33,'Your Team'!$D$11)&gt;0),'Your Team'!$C$11="F" ),1,0)+IF( AND((COUNTIF(ER$2:ER$33,'Your Team'!$D$12)&gt;0),'Your Team'!$C$12="F" ),1,0)+IF( AND((COUNTIF(ER$2:ER$33,'Your Team'!$D$13)&gt;0),'Your Team'!$C$13="F" ),1,0)+IF( AND((COUNTIF(ER$2:ER$33,'Your Team'!$D$14)&gt;0),'Your Team'!$C$14="F" ),1,0)+IF( AND((COUNTIF(ER$2:ER$33,'Your Team'!$D$15)&gt;0),'Your Team'!$C$15="F" ),1,0)+IF( AND((COUNTIF(ER$2:ER$33,'Your Team'!$D$16)&gt;0),'Your Team'!$C$16="F" ),1,0)+IF( AND((COUNTIF(ER$2:ER$33,'Your Team'!$D$17)&gt;0),'Your Team'!$C$17="F" ),1,0)+IF( AND((COUNTIF(ER$2:ER$33,'Your Team'!$D$18)&gt;0),'Your Team'!$C$18="F" ),1,0)+IF( AND((COUNTIF(ER$2:ER$33,'Your Team'!$D$19)&gt;0),'Your Team'!$C$19="F" ),1,0)</f>
        <v>0</v>
      </c>
      <c r="ES38" s="9">
        <f>IF( AND((COUNTIF(ES$2:ES$33,'Your Team'!$D$3)&gt;0),'Your Team'!$C$3="F" ),1,0)+IF( AND((COUNTIF(ES$2:ES$33,'Your Team'!$D$4)&gt;0),'Your Team'!$C$4="F" ),1,0)+IF( AND((COUNTIF(ES$2:ES$33,'Your Team'!$D$5)&gt;0),'Your Team'!$C$5="F" ),1,0)+IF( AND((COUNTIF(ES$2:ES$33,'Your Team'!$D$6)&gt;0),'Your Team'!$C$6="F" ),1,0)+IF( AND((COUNTIF(ES$2:ES$33,'Your Team'!$D$7)&gt;0),'Your Team'!$C$7="F" ),1,0)+IF( AND((COUNTIF(ES$2:ES$33,'Your Team'!$D$8)&gt;0),'Your Team'!$C$8="F" ),1,0)+IF( AND((COUNTIF(ES$2:ES$33,'Your Team'!$D$9)&gt;0),'Your Team'!$C$9="F" ),1,0)+IF( AND((COUNTIF(ES$2:ES$33,'Your Team'!$D$10)&gt;0),'Your Team'!$C$10="F" ),1,0)+IF( AND((COUNTIF(ES$2:ES$33,'Your Team'!$D$11)&gt;0),'Your Team'!$C$11="F" ),1,0)+IF( AND((COUNTIF(ES$2:ES$33,'Your Team'!$D$12)&gt;0),'Your Team'!$C$12="F" ),1,0)+IF( AND((COUNTIF(ES$2:ES$33,'Your Team'!$D$13)&gt;0),'Your Team'!$C$13="F" ),1,0)+IF( AND((COUNTIF(ES$2:ES$33,'Your Team'!$D$14)&gt;0),'Your Team'!$C$14="F" ),1,0)+IF( AND((COUNTIF(ES$2:ES$33,'Your Team'!$D$15)&gt;0),'Your Team'!$C$15="F" ),1,0)+IF( AND((COUNTIF(ES$2:ES$33,'Your Team'!$D$16)&gt;0),'Your Team'!$C$16="F" ),1,0)+IF( AND((COUNTIF(ES$2:ES$33,'Your Team'!$D$17)&gt;0),'Your Team'!$C$17="F" ),1,0)+IF( AND((COUNTIF(ES$2:ES$33,'Your Team'!$D$18)&gt;0),'Your Team'!$C$18="F" ),1,0)+IF( AND((COUNTIF(ES$2:ES$33,'Your Team'!$D$19)&gt;0),'Your Team'!$C$19="F" ),1,0)</f>
        <v>0</v>
      </c>
      <c r="ET38" s="9">
        <f>IF( AND((COUNTIF(ET$2:ET$33,'Your Team'!$D$3)&gt;0),'Your Team'!$C$3="F" ),1,0)+IF( AND((COUNTIF(ET$2:ET$33,'Your Team'!$D$4)&gt;0),'Your Team'!$C$4="F" ),1,0)+IF( AND((COUNTIF(ET$2:ET$33,'Your Team'!$D$5)&gt;0),'Your Team'!$C$5="F" ),1,0)+IF( AND((COUNTIF(ET$2:ET$33,'Your Team'!$D$6)&gt;0),'Your Team'!$C$6="F" ),1,0)+IF( AND((COUNTIF(ET$2:ET$33,'Your Team'!$D$7)&gt;0),'Your Team'!$C$7="F" ),1,0)+IF( AND((COUNTIF(ET$2:ET$33,'Your Team'!$D$8)&gt;0),'Your Team'!$C$8="F" ),1,0)+IF( AND((COUNTIF(ET$2:ET$33,'Your Team'!$D$9)&gt;0),'Your Team'!$C$9="F" ),1,0)+IF( AND((COUNTIF(ET$2:ET$33,'Your Team'!$D$10)&gt;0),'Your Team'!$C$10="F" ),1,0)+IF( AND((COUNTIF(ET$2:ET$33,'Your Team'!$D$11)&gt;0),'Your Team'!$C$11="F" ),1,0)+IF( AND((COUNTIF(ET$2:ET$33,'Your Team'!$D$12)&gt;0),'Your Team'!$C$12="F" ),1,0)+IF( AND((COUNTIF(ET$2:ET$33,'Your Team'!$D$13)&gt;0),'Your Team'!$C$13="F" ),1,0)+IF( AND((COUNTIF(ET$2:ET$33,'Your Team'!$D$14)&gt;0),'Your Team'!$C$14="F" ),1,0)+IF( AND((COUNTIF(ET$2:ET$33,'Your Team'!$D$15)&gt;0),'Your Team'!$C$15="F" ),1,0)+IF( AND((COUNTIF(ET$2:ET$33,'Your Team'!$D$16)&gt;0),'Your Team'!$C$16="F" ),1,0)+IF( AND((COUNTIF(ET$2:ET$33,'Your Team'!$D$17)&gt;0),'Your Team'!$C$17="F" ),1,0)+IF( AND((COUNTIF(ET$2:ET$33,'Your Team'!$D$18)&gt;0),'Your Team'!$C$18="F" ),1,0)+IF( AND((COUNTIF(ET$2:ET$33,'Your Team'!$D$19)&gt;0),'Your Team'!$C$19="F" ),1,0)</f>
        <v>0</v>
      </c>
      <c r="EU38" s="9">
        <f>IF( AND((COUNTIF(EU$2:EU$33,'Your Team'!$D$3)&gt;0),'Your Team'!$C$3="F" ),1,0)+IF( AND((COUNTIF(EU$2:EU$33,'Your Team'!$D$4)&gt;0),'Your Team'!$C$4="F" ),1,0)+IF( AND((COUNTIF(EU$2:EU$33,'Your Team'!$D$5)&gt;0),'Your Team'!$C$5="F" ),1,0)+IF( AND((COUNTIF(EU$2:EU$33,'Your Team'!$D$6)&gt;0),'Your Team'!$C$6="F" ),1,0)+IF( AND((COUNTIF(EU$2:EU$33,'Your Team'!$D$7)&gt;0),'Your Team'!$C$7="F" ),1,0)+IF( AND((COUNTIF(EU$2:EU$33,'Your Team'!$D$8)&gt;0),'Your Team'!$C$8="F" ),1,0)+IF( AND((COUNTIF(EU$2:EU$33,'Your Team'!$D$9)&gt;0),'Your Team'!$C$9="F" ),1,0)+IF( AND((COUNTIF(EU$2:EU$33,'Your Team'!$D$10)&gt;0),'Your Team'!$C$10="F" ),1,0)+IF( AND((COUNTIF(EU$2:EU$33,'Your Team'!$D$11)&gt;0),'Your Team'!$C$11="F" ),1,0)+IF( AND((COUNTIF(EU$2:EU$33,'Your Team'!$D$12)&gt;0),'Your Team'!$C$12="F" ),1,0)+IF( AND((COUNTIF(EU$2:EU$33,'Your Team'!$D$13)&gt;0),'Your Team'!$C$13="F" ),1,0)+IF( AND((COUNTIF(EU$2:EU$33,'Your Team'!$D$14)&gt;0),'Your Team'!$C$14="F" ),1,0)+IF( AND((COUNTIF(EU$2:EU$33,'Your Team'!$D$15)&gt;0),'Your Team'!$C$15="F" ),1,0)+IF( AND((COUNTIF(EU$2:EU$33,'Your Team'!$D$16)&gt;0),'Your Team'!$C$16="F" ),1,0)+IF( AND((COUNTIF(EU$2:EU$33,'Your Team'!$D$17)&gt;0),'Your Team'!$C$17="F" ),1,0)+IF( AND((COUNTIF(EU$2:EU$33,'Your Team'!$D$18)&gt;0),'Your Team'!$C$18="F" ),1,0)+IF( AND((COUNTIF(EU$2:EU$33,'Your Team'!$D$19)&gt;0),'Your Team'!$C$19="F" ),1,0)</f>
        <v>0</v>
      </c>
      <c r="EV38" s="9">
        <f>IF( AND((COUNTIF(EV$2:EV$33,'Your Team'!$D$3)&gt;0),'Your Team'!$C$3="F" ),1,0)+IF( AND((COUNTIF(EV$2:EV$33,'Your Team'!$D$4)&gt;0),'Your Team'!$C$4="F" ),1,0)+IF( AND((COUNTIF(EV$2:EV$33,'Your Team'!$D$5)&gt;0),'Your Team'!$C$5="F" ),1,0)+IF( AND((COUNTIF(EV$2:EV$33,'Your Team'!$D$6)&gt;0),'Your Team'!$C$6="F" ),1,0)+IF( AND((COUNTIF(EV$2:EV$33,'Your Team'!$D$7)&gt;0),'Your Team'!$C$7="F" ),1,0)+IF( AND((COUNTIF(EV$2:EV$33,'Your Team'!$D$8)&gt;0),'Your Team'!$C$8="F" ),1,0)+IF( AND((COUNTIF(EV$2:EV$33,'Your Team'!$D$9)&gt;0),'Your Team'!$C$9="F" ),1,0)+IF( AND((COUNTIF(EV$2:EV$33,'Your Team'!$D$10)&gt;0),'Your Team'!$C$10="F" ),1,0)+IF( AND((COUNTIF(EV$2:EV$33,'Your Team'!$D$11)&gt;0),'Your Team'!$C$11="F" ),1,0)+IF( AND((COUNTIF(EV$2:EV$33,'Your Team'!$D$12)&gt;0),'Your Team'!$C$12="F" ),1,0)+IF( AND((COUNTIF(EV$2:EV$33,'Your Team'!$D$13)&gt;0),'Your Team'!$C$13="F" ),1,0)+IF( AND((COUNTIF(EV$2:EV$33,'Your Team'!$D$14)&gt;0),'Your Team'!$C$14="F" ),1,0)+IF( AND((COUNTIF(EV$2:EV$33,'Your Team'!$D$15)&gt;0),'Your Team'!$C$15="F" ),1,0)+IF( AND((COUNTIF(EV$2:EV$33,'Your Team'!$D$16)&gt;0),'Your Team'!$C$16="F" ),1,0)+IF( AND((COUNTIF(EV$2:EV$33,'Your Team'!$D$17)&gt;0),'Your Team'!$C$17="F" ),1,0)+IF( AND((COUNTIF(EV$2:EV$33,'Your Team'!$D$18)&gt;0),'Your Team'!$C$18="F" ),1,0)+IF( AND((COUNTIF(EV$2:EV$33,'Your Team'!$D$19)&gt;0),'Your Team'!$C$19="F" ),1,0)</f>
        <v>0</v>
      </c>
      <c r="EW38" s="9">
        <f>IF( AND((COUNTIF(EW$2:EW$33,'Your Team'!$D$3)&gt;0),'Your Team'!$C$3="F" ),1,0)+IF( AND((COUNTIF(EW$2:EW$33,'Your Team'!$D$4)&gt;0),'Your Team'!$C$4="F" ),1,0)+IF( AND((COUNTIF(EW$2:EW$33,'Your Team'!$D$5)&gt;0),'Your Team'!$C$5="F" ),1,0)+IF( AND((COUNTIF(EW$2:EW$33,'Your Team'!$D$6)&gt;0),'Your Team'!$C$6="F" ),1,0)+IF( AND((COUNTIF(EW$2:EW$33,'Your Team'!$D$7)&gt;0),'Your Team'!$C$7="F" ),1,0)+IF( AND((COUNTIF(EW$2:EW$33,'Your Team'!$D$8)&gt;0),'Your Team'!$C$8="F" ),1,0)+IF( AND((COUNTIF(EW$2:EW$33,'Your Team'!$D$9)&gt;0),'Your Team'!$C$9="F" ),1,0)+IF( AND((COUNTIF(EW$2:EW$33,'Your Team'!$D$10)&gt;0),'Your Team'!$C$10="F" ),1,0)+IF( AND((COUNTIF(EW$2:EW$33,'Your Team'!$D$11)&gt;0),'Your Team'!$C$11="F" ),1,0)+IF( AND((COUNTIF(EW$2:EW$33,'Your Team'!$D$12)&gt;0),'Your Team'!$C$12="F" ),1,0)+IF( AND((COUNTIF(EW$2:EW$33,'Your Team'!$D$13)&gt;0),'Your Team'!$C$13="F" ),1,0)+IF( AND((COUNTIF(EW$2:EW$33,'Your Team'!$D$14)&gt;0),'Your Team'!$C$14="F" ),1,0)+IF( AND((COUNTIF(EW$2:EW$33,'Your Team'!$D$15)&gt;0),'Your Team'!$C$15="F" ),1,0)+IF( AND((COUNTIF(EW$2:EW$33,'Your Team'!$D$16)&gt;0),'Your Team'!$C$16="F" ),1,0)+IF( AND((COUNTIF(EW$2:EW$33,'Your Team'!$D$17)&gt;0),'Your Team'!$C$17="F" ),1,0)+IF( AND((COUNTIF(EW$2:EW$33,'Your Team'!$D$18)&gt;0),'Your Team'!$C$18="F" ),1,0)+IF( AND((COUNTIF(EW$2:EW$33,'Your Team'!$D$19)&gt;0),'Your Team'!$C$19="F" ),1,0)</f>
        <v>0</v>
      </c>
      <c r="EX38" s="9">
        <f>IF( AND((COUNTIF(EX$2:EX$33,'Your Team'!$D$3)&gt;0),'Your Team'!$C$3="F" ),1,0)+IF( AND((COUNTIF(EX$2:EX$33,'Your Team'!$D$4)&gt;0),'Your Team'!$C$4="F" ),1,0)+IF( AND((COUNTIF(EX$2:EX$33,'Your Team'!$D$5)&gt;0),'Your Team'!$C$5="F" ),1,0)+IF( AND((COUNTIF(EX$2:EX$33,'Your Team'!$D$6)&gt;0),'Your Team'!$C$6="F" ),1,0)+IF( AND((COUNTIF(EX$2:EX$33,'Your Team'!$D$7)&gt;0),'Your Team'!$C$7="F" ),1,0)+IF( AND((COUNTIF(EX$2:EX$33,'Your Team'!$D$8)&gt;0),'Your Team'!$C$8="F" ),1,0)+IF( AND((COUNTIF(EX$2:EX$33,'Your Team'!$D$9)&gt;0),'Your Team'!$C$9="F" ),1,0)+IF( AND((COUNTIF(EX$2:EX$33,'Your Team'!$D$10)&gt;0),'Your Team'!$C$10="F" ),1,0)+IF( AND((COUNTIF(EX$2:EX$33,'Your Team'!$D$11)&gt;0),'Your Team'!$C$11="F" ),1,0)+IF( AND((COUNTIF(EX$2:EX$33,'Your Team'!$D$12)&gt;0),'Your Team'!$C$12="F" ),1,0)+IF( AND((COUNTIF(EX$2:EX$33,'Your Team'!$D$13)&gt;0),'Your Team'!$C$13="F" ),1,0)+IF( AND((COUNTIF(EX$2:EX$33,'Your Team'!$D$14)&gt;0),'Your Team'!$C$14="F" ),1,0)+IF( AND((COUNTIF(EX$2:EX$33,'Your Team'!$D$15)&gt;0),'Your Team'!$C$15="F" ),1,0)+IF( AND((COUNTIF(EX$2:EX$33,'Your Team'!$D$16)&gt;0),'Your Team'!$C$16="F" ),1,0)+IF( AND((COUNTIF(EX$2:EX$33,'Your Team'!$D$17)&gt;0),'Your Team'!$C$17="F" ),1,0)+IF( AND((COUNTIF(EX$2:EX$33,'Your Team'!$D$18)&gt;0),'Your Team'!$C$18="F" ),1,0)+IF( AND((COUNTIF(EX$2:EX$33,'Your Team'!$D$19)&gt;0),'Your Team'!$C$19="F" ),1,0)</f>
        <v>0</v>
      </c>
      <c r="EY38" s="9">
        <f>IF( AND((COUNTIF(EY$2:EY$33,'Your Team'!$D$3)&gt;0),'Your Team'!$C$3="F" ),1,0)+IF( AND((COUNTIF(EY$2:EY$33,'Your Team'!$D$4)&gt;0),'Your Team'!$C$4="F" ),1,0)+IF( AND((COUNTIF(EY$2:EY$33,'Your Team'!$D$5)&gt;0),'Your Team'!$C$5="F" ),1,0)+IF( AND((COUNTIF(EY$2:EY$33,'Your Team'!$D$6)&gt;0),'Your Team'!$C$6="F" ),1,0)+IF( AND((COUNTIF(EY$2:EY$33,'Your Team'!$D$7)&gt;0),'Your Team'!$C$7="F" ),1,0)+IF( AND((COUNTIF(EY$2:EY$33,'Your Team'!$D$8)&gt;0),'Your Team'!$C$8="F" ),1,0)+IF( AND((COUNTIF(EY$2:EY$33,'Your Team'!$D$9)&gt;0),'Your Team'!$C$9="F" ),1,0)+IF( AND((COUNTIF(EY$2:EY$33,'Your Team'!$D$10)&gt;0),'Your Team'!$C$10="F" ),1,0)+IF( AND((COUNTIF(EY$2:EY$33,'Your Team'!$D$11)&gt;0),'Your Team'!$C$11="F" ),1,0)+IF( AND((COUNTIF(EY$2:EY$33,'Your Team'!$D$12)&gt;0),'Your Team'!$C$12="F" ),1,0)+IF( AND((COUNTIF(EY$2:EY$33,'Your Team'!$D$13)&gt;0),'Your Team'!$C$13="F" ),1,0)+IF( AND((COUNTIF(EY$2:EY$33,'Your Team'!$D$14)&gt;0),'Your Team'!$C$14="F" ),1,0)+IF( AND((COUNTIF(EY$2:EY$33,'Your Team'!$D$15)&gt;0),'Your Team'!$C$15="F" ),1,0)+IF( AND((COUNTIF(EY$2:EY$33,'Your Team'!$D$16)&gt;0),'Your Team'!$C$16="F" ),1,0)+IF( AND((COUNTIF(EY$2:EY$33,'Your Team'!$D$17)&gt;0),'Your Team'!$C$17="F" ),1,0)+IF( AND((COUNTIF(EY$2:EY$33,'Your Team'!$D$18)&gt;0),'Your Team'!$C$18="F" ),1,0)+IF( AND((COUNTIF(EY$2:EY$33,'Your Team'!$D$19)&gt;0),'Your Team'!$C$19="F" ),1,0)</f>
        <v>0</v>
      </c>
      <c r="EZ38" s="9">
        <f>IF( AND((COUNTIF(EZ$2:EZ$33,'Your Team'!$D$3)&gt;0),'Your Team'!$C$3="F" ),1,0)+IF( AND((COUNTIF(EZ$2:EZ$33,'Your Team'!$D$4)&gt;0),'Your Team'!$C$4="F" ),1,0)+IF( AND((COUNTIF(EZ$2:EZ$33,'Your Team'!$D$5)&gt;0),'Your Team'!$C$5="F" ),1,0)+IF( AND((COUNTIF(EZ$2:EZ$33,'Your Team'!$D$6)&gt;0),'Your Team'!$C$6="F" ),1,0)+IF( AND((COUNTIF(EZ$2:EZ$33,'Your Team'!$D$7)&gt;0),'Your Team'!$C$7="F" ),1,0)+IF( AND((COUNTIF(EZ$2:EZ$33,'Your Team'!$D$8)&gt;0),'Your Team'!$C$8="F" ),1,0)+IF( AND((COUNTIF(EZ$2:EZ$33,'Your Team'!$D$9)&gt;0),'Your Team'!$C$9="F" ),1,0)+IF( AND((COUNTIF(EZ$2:EZ$33,'Your Team'!$D$10)&gt;0),'Your Team'!$C$10="F" ),1,0)+IF( AND((COUNTIF(EZ$2:EZ$33,'Your Team'!$D$11)&gt;0),'Your Team'!$C$11="F" ),1,0)+IF( AND((COUNTIF(EZ$2:EZ$33,'Your Team'!$D$12)&gt;0),'Your Team'!$C$12="F" ),1,0)+IF( AND((COUNTIF(EZ$2:EZ$33,'Your Team'!$D$13)&gt;0),'Your Team'!$C$13="F" ),1,0)+IF( AND((COUNTIF(EZ$2:EZ$33,'Your Team'!$D$14)&gt;0),'Your Team'!$C$14="F" ),1,0)+IF( AND((COUNTIF(EZ$2:EZ$33,'Your Team'!$D$15)&gt;0),'Your Team'!$C$15="F" ),1,0)+IF( AND((COUNTIF(EZ$2:EZ$33,'Your Team'!$D$16)&gt;0),'Your Team'!$C$16="F" ),1,0)+IF( AND((COUNTIF(EZ$2:EZ$33,'Your Team'!$D$17)&gt;0),'Your Team'!$C$17="F" ),1,0)+IF( AND((COUNTIF(EZ$2:EZ$33,'Your Team'!$D$18)&gt;0),'Your Team'!$C$18="F" ),1,0)+IF( AND((COUNTIF(EZ$2:EZ$33,'Your Team'!$D$19)&gt;0),'Your Team'!$C$19="F" ),1,0)</f>
        <v>0</v>
      </c>
      <c r="FA38" s="9">
        <f>IF( AND((COUNTIF(FA$2:FA$33,'Your Team'!$D$3)&gt;0),'Your Team'!$C$3="F" ),1,0)+IF( AND((COUNTIF(FA$2:FA$33,'Your Team'!$D$4)&gt;0),'Your Team'!$C$4="F" ),1,0)+IF( AND((COUNTIF(FA$2:FA$33,'Your Team'!$D$5)&gt;0),'Your Team'!$C$5="F" ),1,0)+IF( AND((COUNTIF(FA$2:FA$33,'Your Team'!$D$6)&gt;0),'Your Team'!$C$6="F" ),1,0)+IF( AND((COUNTIF(FA$2:FA$33,'Your Team'!$D$7)&gt;0),'Your Team'!$C$7="F" ),1,0)+IF( AND((COUNTIF(FA$2:FA$33,'Your Team'!$D$8)&gt;0),'Your Team'!$C$8="F" ),1,0)+IF( AND((COUNTIF(FA$2:FA$33,'Your Team'!$D$9)&gt;0),'Your Team'!$C$9="F" ),1,0)+IF( AND((COUNTIF(FA$2:FA$33,'Your Team'!$D$10)&gt;0),'Your Team'!$C$10="F" ),1,0)+IF( AND((COUNTIF(FA$2:FA$33,'Your Team'!$D$11)&gt;0),'Your Team'!$C$11="F" ),1,0)+IF( AND((COUNTIF(FA$2:FA$33,'Your Team'!$D$12)&gt;0),'Your Team'!$C$12="F" ),1,0)+IF( AND((COUNTIF(FA$2:FA$33,'Your Team'!$D$13)&gt;0),'Your Team'!$C$13="F" ),1,0)+IF( AND((COUNTIF(FA$2:FA$33,'Your Team'!$D$14)&gt;0),'Your Team'!$C$14="F" ),1,0)+IF( AND((COUNTIF(FA$2:FA$33,'Your Team'!$D$15)&gt;0),'Your Team'!$C$15="F" ),1,0)+IF( AND((COUNTIF(FA$2:FA$33,'Your Team'!$D$16)&gt;0),'Your Team'!$C$16="F" ),1,0)+IF( AND((COUNTIF(FA$2:FA$33,'Your Team'!$D$17)&gt;0),'Your Team'!$C$17="F" ),1,0)+IF( AND((COUNTIF(FA$2:FA$33,'Your Team'!$D$18)&gt;0),'Your Team'!$C$18="F" ),1,0)+IF( AND((COUNTIF(FA$2:FA$33,'Your Team'!$D$19)&gt;0),'Your Team'!$C$19="F" ),1,0)</f>
        <v>0</v>
      </c>
      <c r="FB38" s="9">
        <f>IF( AND((COUNTIF(FB$2:FB$33,'Your Team'!$D$3)&gt;0),'Your Team'!$C$3="F" ),1,0)+IF( AND((COUNTIF(FB$2:FB$33,'Your Team'!$D$4)&gt;0),'Your Team'!$C$4="F" ),1,0)+IF( AND((COUNTIF(FB$2:FB$33,'Your Team'!$D$5)&gt;0),'Your Team'!$C$5="F" ),1,0)+IF( AND((COUNTIF(FB$2:FB$33,'Your Team'!$D$6)&gt;0),'Your Team'!$C$6="F" ),1,0)+IF( AND((COUNTIF(FB$2:FB$33,'Your Team'!$D$7)&gt;0),'Your Team'!$C$7="F" ),1,0)+IF( AND((COUNTIF(FB$2:FB$33,'Your Team'!$D$8)&gt;0),'Your Team'!$C$8="F" ),1,0)+IF( AND((COUNTIF(FB$2:FB$33,'Your Team'!$D$9)&gt;0),'Your Team'!$C$9="F" ),1,0)+IF( AND((COUNTIF(FB$2:FB$33,'Your Team'!$D$10)&gt;0),'Your Team'!$C$10="F" ),1,0)+IF( AND((COUNTIF(FB$2:FB$33,'Your Team'!$D$11)&gt;0),'Your Team'!$C$11="F" ),1,0)+IF( AND((COUNTIF(FB$2:FB$33,'Your Team'!$D$12)&gt;0),'Your Team'!$C$12="F" ),1,0)+IF( AND((COUNTIF(FB$2:FB$33,'Your Team'!$D$13)&gt;0),'Your Team'!$C$13="F" ),1,0)+IF( AND((COUNTIF(FB$2:FB$33,'Your Team'!$D$14)&gt;0),'Your Team'!$C$14="F" ),1,0)+IF( AND((COUNTIF(FB$2:FB$33,'Your Team'!$D$15)&gt;0),'Your Team'!$C$15="F" ),1,0)+IF( AND((COUNTIF(FB$2:FB$33,'Your Team'!$D$16)&gt;0),'Your Team'!$C$16="F" ),1,0)+IF( AND((COUNTIF(FB$2:FB$33,'Your Team'!$D$17)&gt;0),'Your Team'!$C$17="F" ),1,0)+IF( AND((COUNTIF(FB$2:FB$33,'Your Team'!$D$18)&gt;0),'Your Team'!$C$18="F" ),1,0)+IF( AND((COUNTIF(FB$2:FB$33,'Your Team'!$D$19)&gt;0),'Your Team'!$C$19="F" ),1,0)</f>
        <v>0</v>
      </c>
      <c r="FC38" s="9">
        <f>IF( AND((COUNTIF(FC$2:FC$33,'Your Team'!$D$3)&gt;0),'Your Team'!$C$3="F" ),1,0)+IF( AND((COUNTIF(FC$2:FC$33,'Your Team'!$D$4)&gt;0),'Your Team'!$C$4="F" ),1,0)+IF( AND((COUNTIF(FC$2:FC$33,'Your Team'!$D$5)&gt;0),'Your Team'!$C$5="F" ),1,0)+IF( AND((COUNTIF(FC$2:FC$33,'Your Team'!$D$6)&gt;0),'Your Team'!$C$6="F" ),1,0)+IF( AND((COUNTIF(FC$2:FC$33,'Your Team'!$D$7)&gt;0),'Your Team'!$C$7="F" ),1,0)+IF( AND((COUNTIF(FC$2:FC$33,'Your Team'!$D$8)&gt;0),'Your Team'!$C$8="F" ),1,0)+IF( AND((COUNTIF(FC$2:FC$33,'Your Team'!$D$9)&gt;0),'Your Team'!$C$9="F" ),1,0)+IF( AND((COUNTIF(FC$2:FC$33,'Your Team'!$D$10)&gt;0),'Your Team'!$C$10="F" ),1,0)+IF( AND((COUNTIF(FC$2:FC$33,'Your Team'!$D$11)&gt;0),'Your Team'!$C$11="F" ),1,0)+IF( AND((COUNTIF(FC$2:FC$33,'Your Team'!$D$12)&gt;0),'Your Team'!$C$12="F" ),1,0)+IF( AND((COUNTIF(FC$2:FC$33,'Your Team'!$D$13)&gt;0),'Your Team'!$C$13="F" ),1,0)+IF( AND((COUNTIF(FC$2:FC$33,'Your Team'!$D$14)&gt;0),'Your Team'!$C$14="F" ),1,0)+IF( AND((COUNTIF(FC$2:FC$33,'Your Team'!$D$15)&gt;0),'Your Team'!$C$15="F" ),1,0)+IF( AND((COUNTIF(FC$2:FC$33,'Your Team'!$D$16)&gt;0),'Your Team'!$C$16="F" ),1,0)+IF( AND((COUNTIF(FC$2:FC$33,'Your Team'!$D$17)&gt;0),'Your Team'!$C$17="F" ),1,0)+IF( AND((COUNTIF(FC$2:FC$33,'Your Team'!$D$18)&gt;0),'Your Team'!$C$18="F" ),1,0)+IF( AND((COUNTIF(FC$2:FC$33,'Your Team'!$D$19)&gt;0),'Your Team'!$C$19="F" ),1,0)</f>
        <v>0</v>
      </c>
      <c r="FD38" s="9">
        <f>IF( AND((COUNTIF(FD$2:FD$33,'Your Team'!$D$3)&gt;0),'Your Team'!$C$3="F" ),1,0)+IF( AND((COUNTIF(FD$2:FD$33,'Your Team'!$D$4)&gt;0),'Your Team'!$C$4="F" ),1,0)+IF( AND((COUNTIF(FD$2:FD$33,'Your Team'!$D$5)&gt;0),'Your Team'!$C$5="F" ),1,0)+IF( AND((COUNTIF(FD$2:FD$33,'Your Team'!$D$6)&gt;0),'Your Team'!$C$6="F" ),1,0)+IF( AND((COUNTIF(FD$2:FD$33,'Your Team'!$D$7)&gt;0),'Your Team'!$C$7="F" ),1,0)+IF( AND((COUNTIF(FD$2:FD$33,'Your Team'!$D$8)&gt;0),'Your Team'!$C$8="F" ),1,0)+IF( AND((COUNTIF(FD$2:FD$33,'Your Team'!$D$9)&gt;0),'Your Team'!$C$9="F" ),1,0)+IF( AND((COUNTIF(FD$2:FD$33,'Your Team'!$D$10)&gt;0),'Your Team'!$C$10="F" ),1,0)+IF( AND((COUNTIF(FD$2:FD$33,'Your Team'!$D$11)&gt;0),'Your Team'!$C$11="F" ),1,0)+IF( AND((COUNTIF(FD$2:FD$33,'Your Team'!$D$12)&gt;0),'Your Team'!$C$12="F" ),1,0)+IF( AND((COUNTIF(FD$2:FD$33,'Your Team'!$D$13)&gt;0),'Your Team'!$C$13="F" ),1,0)+IF( AND((COUNTIF(FD$2:FD$33,'Your Team'!$D$14)&gt;0),'Your Team'!$C$14="F" ),1,0)+IF( AND((COUNTIF(FD$2:FD$33,'Your Team'!$D$15)&gt;0),'Your Team'!$C$15="F" ),1,0)+IF( AND((COUNTIF(FD$2:FD$33,'Your Team'!$D$16)&gt;0),'Your Team'!$C$16="F" ),1,0)+IF( AND((COUNTIF(FD$2:FD$33,'Your Team'!$D$17)&gt;0),'Your Team'!$C$17="F" ),1,0)+IF( AND((COUNTIF(FD$2:FD$33,'Your Team'!$D$18)&gt;0),'Your Team'!$C$18="F" ),1,0)+IF( AND((COUNTIF(FD$2:FD$33,'Your Team'!$D$19)&gt;0),'Your Team'!$C$19="F" ),1,0)</f>
        <v>0</v>
      </c>
      <c r="FE38" s="9">
        <f>IF( AND((COUNTIF(FE$2:FE$33,'Your Team'!$D$3)&gt;0),'Your Team'!$C$3="F" ),1,0)+IF( AND((COUNTIF(FE$2:FE$33,'Your Team'!$D$4)&gt;0),'Your Team'!$C$4="F" ),1,0)+IF( AND((COUNTIF(FE$2:FE$33,'Your Team'!$D$5)&gt;0),'Your Team'!$C$5="F" ),1,0)+IF( AND((COUNTIF(FE$2:FE$33,'Your Team'!$D$6)&gt;0),'Your Team'!$C$6="F" ),1,0)+IF( AND((COUNTIF(FE$2:FE$33,'Your Team'!$D$7)&gt;0),'Your Team'!$C$7="F" ),1,0)+IF( AND((COUNTIF(FE$2:FE$33,'Your Team'!$D$8)&gt;0),'Your Team'!$C$8="F" ),1,0)+IF( AND((COUNTIF(FE$2:FE$33,'Your Team'!$D$9)&gt;0),'Your Team'!$C$9="F" ),1,0)+IF( AND((COUNTIF(FE$2:FE$33,'Your Team'!$D$10)&gt;0),'Your Team'!$C$10="F" ),1,0)+IF( AND((COUNTIF(FE$2:FE$33,'Your Team'!$D$11)&gt;0),'Your Team'!$C$11="F" ),1,0)+IF( AND((COUNTIF(FE$2:FE$33,'Your Team'!$D$12)&gt;0),'Your Team'!$C$12="F" ),1,0)+IF( AND((COUNTIF(FE$2:FE$33,'Your Team'!$D$13)&gt;0),'Your Team'!$C$13="F" ),1,0)+IF( AND((COUNTIF(FE$2:FE$33,'Your Team'!$D$14)&gt;0),'Your Team'!$C$14="F" ),1,0)+IF( AND((COUNTIF(FE$2:FE$33,'Your Team'!$D$15)&gt;0),'Your Team'!$C$15="F" ),1,0)+IF( AND((COUNTIF(FE$2:FE$33,'Your Team'!$D$16)&gt;0),'Your Team'!$C$16="F" ),1,0)+IF( AND((COUNTIF(FE$2:FE$33,'Your Team'!$D$17)&gt;0),'Your Team'!$C$17="F" ),1,0)+IF( AND((COUNTIF(FE$2:FE$33,'Your Team'!$D$18)&gt;0),'Your Team'!$C$18="F" ),1,0)+IF( AND((COUNTIF(FE$2:FE$33,'Your Team'!$D$19)&gt;0),'Your Team'!$C$19="F" ),1,0)</f>
        <v>0</v>
      </c>
      <c r="FF38" s="9">
        <f>IF( AND((COUNTIF(FF$2:FF$33,'Your Team'!$D$3)&gt;0),'Your Team'!$C$3="F" ),1,0)+IF( AND((COUNTIF(FF$2:FF$33,'Your Team'!$D$4)&gt;0),'Your Team'!$C$4="F" ),1,0)+IF( AND((COUNTIF(FF$2:FF$33,'Your Team'!$D$5)&gt;0),'Your Team'!$C$5="F" ),1,0)+IF( AND((COUNTIF(FF$2:FF$33,'Your Team'!$D$6)&gt;0),'Your Team'!$C$6="F" ),1,0)+IF( AND((COUNTIF(FF$2:FF$33,'Your Team'!$D$7)&gt;0),'Your Team'!$C$7="F" ),1,0)+IF( AND((COUNTIF(FF$2:FF$33,'Your Team'!$D$8)&gt;0),'Your Team'!$C$8="F" ),1,0)+IF( AND((COUNTIF(FF$2:FF$33,'Your Team'!$D$9)&gt;0),'Your Team'!$C$9="F" ),1,0)+IF( AND((COUNTIF(FF$2:FF$33,'Your Team'!$D$10)&gt;0),'Your Team'!$C$10="F" ),1,0)+IF( AND((COUNTIF(FF$2:FF$33,'Your Team'!$D$11)&gt;0),'Your Team'!$C$11="F" ),1,0)+IF( AND((COUNTIF(FF$2:FF$33,'Your Team'!$D$12)&gt;0),'Your Team'!$C$12="F" ),1,0)+IF( AND((COUNTIF(FF$2:FF$33,'Your Team'!$D$13)&gt;0),'Your Team'!$C$13="F" ),1,0)+IF( AND((COUNTIF(FF$2:FF$33,'Your Team'!$D$14)&gt;0),'Your Team'!$C$14="F" ),1,0)+IF( AND((COUNTIF(FF$2:FF$33,'Your Team'!$D$15)&gt;0),'Your Team'!$C$15="F" ),1,0)+IF( AND((COUNTIF(FF$2:FF$33,'Your Team'!$D$16)&gt;0),'Your Team'!$C$16="F" ),1,0)+IF( AND((COUNTIF(FF$2:FF$33,'Your Team'!$D$17)&gt;0),'Your Team'!$C$17="F" ),1,0)+IF( AND((COUNTIF(FF$2:FF$33,'Your Team'!$D$18)&gt;0),'Your Team'!$C$18="F" ),1,0)+IF( AND((COUNTIF(FF$2:FF$33,'Your Team'!$D$19)&gt;0),'Your Team'!$C$19="F" ),1,0)</f>
        <v>0</v>
      </c>
      <c r="FG38" s="9">
        <f>IF( AND((COUNTIF(FG$2:FG$33,'Your Team'!$D$3)&gt;0),'Your Team'!$C$3="F" ),1,0)+IF( AND((COUNTIF(FG$2:FG$33,'Your Team'!$D$4)&gt;0),'Your Team'!$C$4="F" ),1,0)+IF( AND((COUNTIF(FG$2:FG$33,'Your Team'!$D$5)&gt;0),'Your Team'!$C$5="F" ),1,0)+IF( AND((COUNTIF(FG$2:FG$33,'Your Team'!$D$6)&gt;0),'Your Team'!$C$6="F" ),1,0)+IF( AND((COUNTIF(FG$2:FG$33,'Your Team'!$D$7)&gt;0),'Your Team'!$C$7="F" ),1,0)+IF( AND((COUNTIF(FG$2:FG$33,'Your Team'!$D$8)&gt;0),'Your Team'!$C$8="F" ),1,0)+IF( AND((COUNTIF(FG$2:FG$33,'Your Team'!$D$9)&gt;0),'Your Team'!$C$9="F" ),1,0)+IF( AND((COUNTIF(FG$2:FG$33,'Your Team'!$D$10)&gt;0),'Your Team'!$C$10="F" ),1,0)+IF( AND((COUNTIF(FG$2:FG$33,'Your Team'!$D$11)&gt;0),'Your Team'!$C$11="F" ),1,0)+IF( AND((COUNTIF(FG$2:FG$33,'Your Team'!$D$12)&gt;0),'Your Team'!$C$12="F" ),1,0)+IF( AND((COUNTIF(FG$2:FG$33,'Your Team'!$D$13)&gt;0),'Your Team'!$C$13="F" ),1,0)+IF( AND((COUNTIF(FG$2:FG$33,'Your Team'!$D$14)&gt;0),'Your Team'!$C$14="F" ),1,0)+IF( AND((COUNTIF(FG$2:FG$33,'Your Team'!$D$15)&gt;0),'Your Team'!$C$15="F" ),1,0)+IF( AND((COUNTIF(FG$2:FG$33,'Your Team'!$D$16)&gt;0),'Your Team'!$C$16="F" ),1,0)+IF( AND((COUNTIF(FG$2:FG$33,'Your Team'!$D$17)&gt;0),'Your Team'!$C$17="F" ),1,0)+IF( AND((COUNTIF(FG$2:FG$33,'Your Team'!$D$18)&gt;0),'Your Team'!$C$18="F" ),1,0)+IF( AND((COUNTIF(FG$2:FG$33,'Your Team'!$D$19)&gt;0),'Your Team'!$C$19="F" ),1,0)</f>
        <v>0</v>
      </c>
      <c r="FH38" s="9">
        <f>IF( AND((COUNTIF(FH$2:FH$33,'Your Team'!$D$3)&gt;0),'Your Team'!$C$3="F" ),1,0)+IF( AND((COUNTIF(FH$2:FH$33,'Your Team'!$D$4)&gt;0),'Your Team'!$C$4="F" ),1,0)+IF( AND((COUNTIF(FH$2:FH$33,'Your Team'!$D$5)&gt;0),'Your Team'!$C$5="F" ),1,0)+IF( AND((COUNTIF(FH$2:FH$33,'Your Team'!$D$6)&gt;0),'Your Team'!$C$6="F" ),1,0)+IF( AND((COUNTIF(FH$2:FH$33,'Your Team'!$D$7)&gt;0),'Your Team'!$C$7="F" ),1,0)+IF( AND((COUNTIF(FH$2:FH$33,'Your Team'!$D$8)&gt;0),'Your Team'!$C$8="F" ),1,0)+IF( AND((COUNTIF(FH$2:FH$33,'Your Team'!$D$9)&gt;0),'Your Team'!$C$9="F" ),1,0)+IF( AND((COUNTIF(FH$2:FH$33,'Your Team'!$D$10)&gt;0),'Your Team'!$C$10="F" ),1,0)+IF( AND((COUNTIF(FH$2:FH$33,'Your Team'!$D$11)&gt;0),'Your Team'!$C$11="F" ),1,0)+IF( AND((COUNTIF(FH$2:FH$33,'Your Team'!$D$12)&gt;0),'Your Team'!$C$12="F" ),1,0)+IF( AND((COUNTIF(FH$2:FH$33,'Your Team'!$D$13)&gt;0),'Your Team'!$C$13="F" ),1,0)+IF( AND((COUNTIF(FH$2:FH$33,'Your Team'!$D$14)&gt;0),'Your Team'!$C$14="F" ),1,0)+IF( AND((COUNTIF(FH$2:FH$33,'Your Team'!$D$15)&gt;0),'Your Team'!$C$15="F" ),1,0)+IF( AND((COUNTIF(FH$2:FH$33,'Your Team'!$D$16)&gt;0),'Your Team'!$C$16="F" ),1,0)+IF( AND((COUNTIF(FH$2:FH$33,'Your Team'!$D$17)&gt;0),'Your Team'!$C$17="F" ),1,0)+IF( AND((COUNTIF(FH$2:FH$33,'Your Team'!$D$18)&gt;0),'Your Team'!$C$18="F" ),1,0)+IF( AND((COUNTIF(FH$2:FH$33,'Your Team'!$D$19)&gt;0),'Your Team'!$C$19="F" ),1,0)</f>
        <v>0</v>
      </c>
      <c r="FI38" s="9">
        <f>IF( AND((COUNTIF(FI$2:FI$33,'Your Team'!$D$3)&gt;0),'Your Team'!$C$3="F" ),1,0)+IF( AND((COUNTIF(FI$2:FI$33,'Your Team'!$D$4)&gt;0),'Your Team'!$C$4="F" ),1,0)+IF( AND((COUNTIF(FI$2:FI$33,'Your Team'!$D$5)&gt;0),'Your Team'!$C$5="F" ),1,0)+IF( AND((COUNTIF(FI$2:FI$33,'Your Team'!$D$6)&gt;0),'Your Team'!$C$6="F" ),1,0)+IF( AND((COUNTIF(FI$2:FI$33,'Your Team'!$D$7)&gt;0),'Your Team'!$C$7="F" ),1,0)+IF( AND((COUNTIF(FI$2:FI$33,'Your Team'!$D$8)&gt;0),'Your Team'!$C$8="F" ),1,0)+IF( AND((COUNTIF(FI$2:FI$33,'Your Team'!$D$9)&gt;0),'Your Team'!$C$9="F" ),1,0)+IF( AND((COUNTIF(FI$2:FI$33,'Your Team'!$D$10)&gt;0),'Your Team'!$C$10="F" ),1,0)+IF( AND((COUNTIF(FI$2:FI$33,'Your Team'!$D$11)&gt;0),'Your Team'!$C$11="F" ),1,0)+IF( AND((COUNTIF(FI$2:FI$33,'Your Team'!$D$12)&gt;0),'Your Team'!$C$12="F" ),1,0)+IF( AND((COUNTIF(FI$2:FI$33,'Your Team'!$D$13)&gt;0),'Your Team'!$C$13="F" ),1,0)+IF( AND((COUNTIF(FI$2:FI$33,'Your Team'!$D$14)&gt;0),'Your Team'!$C$14="F" ),1,0)+IF( AND((COUNTIF(FI$2:FI$33,'Your Team'!$D$15)&gt;0),'Your Team'!$C$15="F" ),1,0)+IF( AND((COUNTIF(FI$2:FI$33,'Your Team'!$D$16)&gt;0),'Your Team'!$C$16="F" ),1,0)+IF( AND((COUNTIF(FI$2:FI$33,'Your Team'!$D$17)&gt;0),'Your Team'!$C$17="F" ),1,0)+IF( AND((COUNTIF(FI$2:FI$33,'Your Team'!$D$18)&gt;0),'Your Team'!$C$18="F" ),1,0)+IF( AND((COUNTIF(FI$2:FI$33,'Your Team'!$D$19)&gt;0),'Your Team'!$C$19="F" ),1,0)</f>
        <v>0</v>
      </c>
      <c r="FJ38" s="9">
        <f>IF( AND((COUNTIF(FJ$2:FJ$33,'Your Team'!$D$3)&gt;0),'Your Team'!$C$3="F" ),1,0)+IF( AND((COUNTIF(FJ$2:FJ$33,'Your Team'!$D$4)&gt;0),'Your Team'!$C$4="F" ),1,0)+IF( AND((COUNTIF(FJ$2:FJ$33,'Your Team'!$D$5)&gt;0),'Your Team'!$C$5="F" ),1,0)+IF( AND((COUNTIF(FJ$2:FJ$33,'Your Team'!$D$6)&gt;0),'Your Team'!$C$6="F" ),1,0)+IF( AND((COUNTIF(FJ$2:FJ$33,'Your Team'!$D$7)&gt;0),'Your Team'!$C$7="F" ),1,0)+IF( AND((COUNTIF(FJ$2:FJ$33,'Your Team'!$D$8)&gt;0),'Your Team'!$C$8="F" ),1,0)+IF( AND((COUNTIF(FJ$2:FJ$33,'Your Team'!$D$9)&gt;0),'Your Team'!$C$9="F" ),1,0)+IF( AND((COUNTIF(FJ$2:FJ$33,'Your Team'!$D$10)&gt;0),'Your Team'!$C$10="F" ),1,0)+IF( AND((COUNTIF(FJ$2:FJ$33,'Your Team'!$D$11)&gt;0),'Your Team'!$C$11="F" ),1,0)+IF( AND((COUNTIF(FJ$2:FJ$33,'Your Team'!$D$12)&gt;0),'Your Team'!$C$12="F" ),1,0)+IF( AND((COUNTIF(FJ$2:FJ$33,'Your Team'!$D$13)&gt;0),'Your Team'!$C$13="F" ),1,0)+IF( AND((COUNTIF(FJ$2:FJ$33,'Your Team'!$D$14)&gt;0),'Your Team'!$C$14="F" ),1,0)+IF( AND((COUNTIF(FJ$2:FJ$33,'Your Team'!$D$15)&gt;0),'Your Team'!$C$15="F" ),1,0)+IF( AND((COUNTIF(FJ$2:FJ$33,'Your Team'!$D$16)&gt;0),'Your Team'!$C$16="F" ),1,0)+IF( AND((COUNTIF(FJ$2:FJ$33,'Your Team'!$D$17)&gt;0),'Your Team'!$C$17="F" ),1,0)+IF( AND((COUNTIF(FJ$2:FJ$33,'Your Team'!$D$18)&gt;0),'Your Team'!$C$18="F" ),1,0)+IF( AND((COUNTIF(FJ$2:FJ$33,'Your Team'!$D$19)&gt;0),'Your Team'!$C$19="F" ),1,0)</f>
        <v>0</v>
      </c>
      <c r="FK38" s="9">
        <f>IF( AND((COUNTIF(FK$2:FK$33,'Your Team'!$D$3)&gt;0),'Your Team'!$C$3="F" ),1,0)+IF( AND((COUNTIF(FK$2:FK$33,'Your Team'!$D$4)&gt;0),'Your Team'!$C$4="F" ),1,0)+IF( AND((COUNTIF(FK$2:FK$33,'Your Team'!$D$5)&gt;0),'Your Team'!$C$5="F" ),1,0)+IF( AND((COUNTIF(FK$2:FK$33,'Your Team'!$D$6)&gt;0),'Your Team'!$C$6="F" ),1,0)+IF( AND((COUNTIF(FK$2:FK$33,'Your Team'!$D$7)&gt;0),'Your Team'!$C$7="F" ),1,0)+IF( AND((COUNTIF(FK$2:FK$33,'Your Team'!$D$8)&gt;0),'Your Team'!$C$8="F" ),1,0)+IF( AND((COUNTIF(FK$2:FK$33,'Your Team'!$D$9)&gt;0),'Your Team'!$C$9="F" ),1,0)+IF( AND((COUNTIF(FK$2:FK$33,'Your Team'!$D$10)&gt;0),'Your Team'!$C$10="F" ),1,0)+IF( AND((COUNTIF(FK$2:FK$33,'Your Team'!$D$11)&gt;0),'Your Team'!$C$11="F" ),1,0)+IF( AND((COUNTIF(FK$2:FK$33,'Your Team'!$D$12)&gt;0),'Your Team'!$C$12="F" ),1,0)+IF( AND((COUNTIF(FK$2:FK$33,'Your Team'!$D$13)&gt;0),'Your Team'!$C$13="F" ),1,0)+IF( AND((COUNTIF(FK$2:FK$33,'Your Team'!$D$14)&gt;0),'Your Team'!$C$14="F" ),1,0)+IF( AND((COUNTIF(FK$2:FK$33,'Your Team'!$D$15)&gt;0),'Your Team'!$C$15="F" ),1,0)+IF( AND((COUNTIF(FK$2:FK$33,'Your Team'!$D$16)&gt;0),'Your Team'!$C$16="F" ),1,0)+IF( AND((COUNTIF(FK$2:FK$33,'Your Team'!$D$17)&gt;0),'Your Team'!$C$17="F" ),1,0)+IF( AND((COUNTIF(FK$2:FK$33,'Your Team'!$D$18)&gt;0),'Your Team'!$C$18="F" ),1,0)+IF( AND((COUNTIF(FK$2:FK$33,'Your Team'!$D$19)&gt;0),'Your Team'!$C$19="F" ),1,0)</f>
        <v>0</v>
      </c>
      <c r="FL38" s="9">
        <f>IF( AND((COUNTIF(FL$2:FL$33,'Your Team'!$D$3)&gt;0),'Your Team'!$C$3="F" ),1,0)+IF( AND((COUNTIF(FL$2:FL$33,'Your Team'!$D$4)&gt;0),'Your Team'!$C$4="F" ),1,0)+IF( AND((COUNTIF(FL$2:FL$33,'Your Team'!$D$5)&gt;0),'Your Team'!$C$5="F" ),1,0)+IF( AND((COUNTIF(FL$2:FL$33,'Your Team'!$D$6)&gt;0),'Your Team'!$C$6="F" ),1,0)+IF( AND((COUNTIF(FL$2:FL$33,'Your Team'!$D$7)&gt;0),'Your Team'!$C$7="F" ),1,0)+IF( AND((COUNTIF(FL$2:FL$33,'Your Team'!$D$8)&gt;0),'Your Team'!$C$8="F" ),1,0)+IF( AND((COUNTIF(FL$2:FL$33,'Your Team'!$D$9)&gt;0),'Your Team'!$C$9="F" ),1,0)+IF( AND((COUNTIF(FL$2:FL$33,'Your Team'!$D$10)&gt;0),'Your Team'!$C$10="F" ),1,0)+IF( AND((COUNTIF(FL$2:FL$33,'Your Team'!$D$11)&gt;0),'Your Team'!$C$11="F" ),1,0)+IF( AND((COUNTIF(FL$2:FL$33,'Your Team'!$D$12)&gt;0),'Your Team'!$C$12="F" ),1,0)+IF( AND((COUNTIF(FL$2:FL$33,'Your Team'!$D$13)&gt;0),'Your Team'!$C$13="F" ),1,0)+IF( AND((COUNTIF(FL$2:FL$33,'Your Team'!$D$14)&gt;0),'Your Team'!$C$14="F" ),1,0)+IF( AND((COUNTIF(FL$2:FL$33,'Your Team'!$D$15)&gt;0),'Your Team'!$C$15="F" ),1,0)+IF( AND((COUNTIF(FL$2:FL$33,'Your Team'!$D$16)&gt;0),'Your Team'!$C$16="F" ),1,0)+IF( AND((COUNTIF(FL$2:FL$33,'Your Team'!$D$17)&gt;0),'Your Team'!$C$17="F" ),1,0)+IF( AND((COUNTIF(FL$2:FL$33,'Your Team'!$D$18)&gt;0),'Your Team'!$C$18="F" ),1,0)+IF( AND((COUNTIF(FL$2:FL$33,'Your Team'!$D$19)&gt;0),'Your Team'!$C$19="F" ),1,0)</f>
        <v>0</v>
      </c>
      <c r="FM38" s="9">
        <f>IF( AND((COUNTIF(FM$2:FM$33,'Your Team'!$D$3)&gt;0),'Your Team'!$C$3="F" ),1,0)+IF( AND((COUNTIF(FM$2:FM$33,'Your Team'!$D$4)&gt;0),'Your Team'!$C$4="F" ),1,0)+IF( AND((COUNTIF(FM$2:FM$33,'Your Team'!$D$5)&gt;0),'Your Team'!$C$5="F" ),1,0)+IF( AND((COUNTIF(FM$2:FM$33,'Your Team'!$D$6)&gt;0),'Your Team'!$C$6="F" ),1,0)+IF( AND((COUNTIF(FM$2:FM$33,'Your Team'!$D$7)&gt;0),'Your Team'!$C$7="F" ),1,0)+IF( AND((COUNTIF(FM$2:FM$33,'Your Team'!$D$8)&gt;0),'Your Team'!$C$8="F" ),1,0)+IF( AND((COUNTIF(FM$2:FM$33,'Your Team'!$D$9)&gt;0),'Your Team'!$C$9="F" ),1,0)+IF( AND((COUNTIF(FM$2:FM$33,'Your Team'!$D$10)&gt;0),'Your Team'!$C$10="F" ),1,0)+IF( AND((COUNTIF(FM$2:FM$33,'Your Team'!$D$11)&gt;0),'Your Team'!$C$11="F" ),1,0)+IF( AND((COUNTIF(FM$2:FM$33,'Your Team'!$D$12)&gt;0),'Your Team'!$C$12="F" ),1,0)+IF( AND((COUNTIF(FM$2:FM$33,'Your Team'!$D$13)&gt;0),'Your Team'!$C$13="F" ),1,0)+IF( AND((COUNTIF(FM$2:FM$33,'Your Team'!$D$14)&gt;0),'Your Team'!$C$14="F" ),1,0)+IF( AND((COUNTIF(FM$2:FM$33,'Your Team'!$D$15)&gt;0),'Your Team'!$C$15="F" ),1,0)+IF( AND((COUNTIF(FM$2:FM$33,'Your Team'!$D$16)&gt;0),'Your Team'!$C$16="F" ),1,0)+IF( AND((COUNTIF(FM$2:FM$33,'Your Team'!$D$17)&gt;0),'Your Team'!$C$17="F" ),1,0)+IF( AND((COUNTIF(FM$2:FM$33,'Your Team'!$D$18)&gt;0),'Your Team'!$C$18="F" ),1,0)+IF( AND((COUNTIF(FM$2:FM$33,'Your Team'!$D$19)&gt;0),'Your Team'!$C$19="F" ),1,0)</f>
        <v>0</v>
      </c>
      <c r="FN38" s="9">
        <f>IF( AND((COUNTIF(FN$2:FN$33,'Your Team'!$D$3)&gt;0),'Your Team'!$C$3="F" ),1,0)+IF( AND((COUNTIF(FN$2:FN$33,'Your Team'!$D$4)&gt;0),'Your Team'!$C$4="F" ),1,0)+IF( AND((COUNTIF(FN$2:FN$33,'Your Team'!$D$5)&gt;0),'Your Team'!$C$5="F" ),1,0)+IF( AND((COUNTIF(FN$2:FN$33,'Your Team'!$D$6)&gt;0),'Your Team'!$C$6="F" ),1,0)+IF( AND((COUNTIF(FN$2:FN$33,'Your Team'!$D$7)&gt;0),'Your Team'!$C$7="F" ),1,0)+IF( AND((COUNTIF(FN$2:FN$33,'Your Team'!$D$8)&gt;0),'Your Team'!$C$8="F" ),1,0)+IF( AND((COUNTIF(FN$2:FN$33,'Your Team'!$D$9)&gt;0),'Your Team'!$C$9="F" ),1,0)+IF( AND((COUNTIF(FN$2:FN$33,'Your Team'!$D$10)&gt;0),'Your Team'!$C$10="F" ),1,0)+IF( AND((COUNTIF(FN$2:FN$33,'Your Team'!$D$11)&gt;0),'Your Team'!$C$11="F" ),1,0)+IF( AND((COUNTIF(FN$2:FN$33,'Your Team'!$D$12)&gt;0),'Your Team'!$C$12="F" ),1,0)+IF( AND((COUNTIF(FN$2:FN$33,'Your Team'!$D$13)&gt;0),'Your Team'!$C$13="F" ),1,0)+IF( AND((COUNTIF(FN$2:FN$33,'Your Team'!$D$14)&gt;0),'Your Team'!$C$14="F" ),1,0)+IF( AND((COUNTIF(FN$2:FN$33,'Your Team'!$D$15)&gt;0),'Your Team'!$C$15="F" ),1,0)+IF( AND((COUNTIF(FN$2:FN$33,'Your Team'!$D$16)&gt;0),'Your Team'!$C$16="F" ),1,0)+IF( AND((COUNTIF(FN$2:FN$33,'Your Team'!$D$17)&gt;0),'Your Team'!$C$17="F" ),1,0)+IF( AND((COUNTIF(FN$2:FN$33,'Your Team'!$D$18)&gt;0),'Your Team'!$C$18="F" ),1,0)+IF( AND((COUNTIF(FN$2:FN$33,'Your Team'!$D$19)&gt;0),'Your Team'!$C$19="F" ),1,0)</f>
        <v>0</v>
      </c>
      <c r="FO38" s="9">
        <f>IF( AND((COUNTIF(FO$2:FO$33,'Your Team'!$D$3)&gt;0),'Your Team'!$C$3="F" ),1,0)+IF( AND((COUNTIF(FO$2:FO$33,'Your Team'!$D$4)&gt;0),'Your Team'!$C$4="F" ),1,0)+IF( AND((COUNTIF(FO$2:FO$33,'Your Team'!$D$5)&gt;0),'Your Team'!$C$5="F" ),1,0)+IF( AND((COUNTIF(FO$2:FO$33,'Your Team'!$D$6)&gt;0),'Your Team'!$C$6="F" ),1,0)+IF( AND((COUNTIF(FO$2:FO$33,'Your Team'!$D$7)&gt;0),'Your Team'!$C$7="F" ),1,0)+IF( AND((COUNTIF(FO$2:FO$33,'Your Team'!$D$8)&gt;0),'Your Team'!$C$8="F" ),1,0)+IF( AND((COUNTIF(FO$2:FO$33,'Your Team'!$D$9)&gt;0),'Your Team'!$C$9="F" ),1,0)+IF( AND((COUNTIF(FO$2:FO$33,'Your Team'!$D$10)&gt;0),'Your Team'!$C$10="F" ),1,0)+IF( AND((COUNTIF(FO$2:FO$33,'Your Team'!$D$11)&gt;0),'Your Team'!$C$11="F" ),1,0)+IF( AND((COUNTIF(FO$2:FO$33,'Your Team'!$D$12)&gt;0),'Your Team'!$C$12="F" ),1,0)+IF( AND((COUNTIF(FO$2:FO$33,'Your Team'!$D$13)&gt;0),'Your Team'!$C$13="F" ),1,0)+IF( AND((COUNTIF(FO$2:FO$33,'Your Team'!$D$14)&gt;0),'Your Team'!$C$14="F" ),1,0)+IF( AND((COUNTIF(FO$2:FO$33,'Your Team'!$D$15)&gt;0),'Your Team'!$C$15="F" ),1,0)+IF( AND((COUNTIF(FO$2:FO$33,'Your Team'!$D$16)&gt;0),'Your Team'!$C$16="F" ),1,0)+IF( AND((COUNTIF(FO$2:FO$33,'Your Team'!$D$17)&gt;0),'Your Team'!$C$17="F" ),1,0)+IF( AND((COUNTIF(FO$2:FO$33,'Your Team'!$D$18)&gt;0),'Your Team'!$C$18="F" ),1,0)+IF( AND((COUNTIF(FO$2:FO$33,'Your Team'!$D$19)&gt;0),'Your Team'!$C$19="F" ),1,0)</f>
        <v>0</v>
      </c>
      <c r="FP38" s="9">
        <f>IF( AND((COUNTIF(FP$2:FP$33,'Your Team'!$D$3)&gt;0),'Your Team'!$C$3="F" ),1,0)+IF( AND((COUNTIF(FP$2:FP$33,'Your Team'!$D$4)&gt;0),'Your Team'!$C$4="F" ),1,0)+IF( AND((COUNTIF(FP$2:FP$33,'Your Team'!$D$5)&gt;0),'Your Team'!$C$5="F" ),1,0)+IF( AND((COUNTIF(FP$2:FP$33,'Your Team'!$D$6)&gt;0),'Your Team'!$C$6="F" ),1,0)+IF( AND((COUNTIF(FP$2:FP$33,'Your Team'!$D$7)&gt;0),'Your Team'!$C$7="F" ),1,0)+IF( AND((COUNTIF(FP$2:FP$33,'Your Team'!$D$8)&gt;0),'Your Team'!$C$8="F" ),1,0)+IF( AND((COUNTIF(FP$2:FP$33,'Your Team'!$D$9)&gt;0),'Your Team'!$C$9="F" ),1,0)+IF( AND((COUNTIF(FP$2:FP$33,'Your Team'!$D$10)&gt;0),'Your Team'!$C$10="F" ),1,0)+IF( AND((COUNTIF(FP$2:FP$33,'Your Team'!$D$11)&gt;0),'Your Team'!$C$11="F" ),1,0)+IF( AND((COUNTIF(FP$2:FP$33,'Your Team'!$D$12)&gt;0),'Your Team'!$C$12="F" ),1,0)+IF( AND((COUNTIF(FP$2:FP$33,'Your Team'!$D$13)&gt;0),'Your Team'!$C$13="F" ),1,0)+IF( AND((COUNTIF(FP$2:FP$33,'Your Team'!$D$14)&gt;0),'Your Team'!$C$14="F" ),1,0)+IF( AND((COUNTIF(FP$2:FP$33,'Your Team'!$D$15)&gt;0),'Your Team'!$C$15="F" ),1,0)+IF( AND((COUNTIF(FP$2:FP$33,'Your Team'!$D$16)&gt;0),'Your Team'!$C$16="F" ),1,0)+IF( AND((COUNTIF(FP$2:FP$33,'Your Team'!$D$17)&gt;0),'Your Team'!$C$17="F" ),1,0)+IF( AND((COUNTIF(FP$2:FP$33,'Your Team'!$D$18)&gt;0),'Your Team'!$C$18="F" ),1,0)+IF( AND((COUNTIF(FP$2:FP$33,'Your Team'!$D$19)&gt;0),'Your Team'!$C$19="F" ),1,0)</f>
        <v>0</v>
      </c>
      <c r="FQ38" s="9">
        <f>IF( AND((COUNTIF(FQ$2:FQ$33,'Your Team'!$D$3)&gt;0),'Your Team'!$C$3="F" ),1,0)+IF( AND((COUNTIF(FQ$2:FQ$33,'Your Team'!$D$4)&gt;0),'Your Team'!$C$4="F" ),1,0)+IF( AND((COUNTIF(FQ$2:FQ$33,'Your Team'!$D$5)&gt;0),'Your Team'!$C$5="F" ),1,0)+IF( AND((COUNTIF(FQ$2:FQ$33,'Your Team'!$D$6)&gt;0),'Your Team'!$C$6="F" ),1,0)+IF( AND((COUNTIF(FQ$2:FQ$33,'Your Team'!$D$7)&gt;0),'Your Team'!$C$7="F" ),1,0)+IF( AND((COUNTIF(FQ$2:FQ$33,'Your Team'!$D$8)&gt;0),'Your Team'!$C$8="F" ),1,0)+IF( AND((COUNTIF(FQ$2:FQ$33,'Your Team'!$D$9)&gt;0),'Your Team'!$C$9="F" ),1,0)+IF( AND((COUNTIF(FQ$2:FQ$33,'Your Team'!$D$10)&gt;0),'Your Team'!$C$10="F" ),1,0)+IF( AND((COUNTIF(FQ$2:FQ$33,'Your Team'!$D$11)&gt;0),'Your Team'!$C$11="F" ),1,0)+IF( AND((COUNTIF(FQ$2:FQ$33,'Your Team'!$D$12)&gt;0),'Your Team'!$C$12="F" ),1,0)+IF( AND((COUNTIF(FQ$2:FQ$33,'Your Team'!$D$13)&gt;0),'Your Team'!$C$13="F" ),1,0)+IF( AND((COUNTIF(FQ$2:FQ$33,'Your Team'!$D$14)&gt;0),'Your Team'!$C$14="F" ),1,0)+IF( AND((COUNTIF(FQ$2:FQ$33,'Your Team'!$D$15)&gt;0),'Your Team'!$C$15="F" ),1,0)+IF( AND((COUNTIF(FQ$2:FQ$33,'Your Team'!$D$16)&gt;0),'Your Team'!$C$16="F" ),1,0)+IF( AND((COUNTIF(FQ$2:FQ$33,'Your Team'!$D$17)&gt;0),'Your Team'!$C$17="F" ),1,0)+IF( AND((COUNTIF(FQ$2:FQ$33,'Your Team'!$D$18)&gt;0),'Your Team'!$C$18="F" ),1,0)+IF( AND((COUNTIF(FQ$2:FQ$33,'Your Team'!$D$19)&gt;0),'Your Team'!$C$19="F" ),1,0)</f>
        <v>0</v>
      </c>
      <c r="FR38" s="9">
        <f>IF( AND((COUNTIF(FR$2:FR$33,'Your Team'!$D$3)&gt;0),'Your Team'!$C$3="F" ),1,0)+IF( AND((COUNTIF(FR$2:FR$33,'Your Team'!$D$4)&gt;0),'Your Team'!$C$4="F" ),1,0)+IF( AND((COUNTIF(FR$2:FR$33,'Your Team'!$D$5)&gt;0),'Your Team'!$C$5="F" ),1,0)+IF( AND((COUNTIF(FR$2:FR$33,'Your Team'!$D$6)&gt;0),'Your Team'!$C$6="F" ),1,0)+IF( AND((COUNTIF(FR$2:FR$33,'Your Team'!$D$7)&gt;0),'Your Team'!$C$7="F" ),1,0)+IF( AND((COUNTIF(FR$2:FR$33,'Your Team'!$D$8)&gt;0),'Your Team'!$C$8="F" ),1,0)+IF( AND((COUNTIF(FR$2:FR$33,'Your Team'!$D$9)&gt;0),'Your Team'!$C$9="F" ),1,0)+IF( AND((COUNTIF(FR$2:FR$33,'Your Team'!$D$10)&gt;0),'Your Team'!$C$10="F" ),1,0)+IF( AND((COUNTIF(FR$2:FR$33,'Your Team'!$D$11)&gt;0),'Your Team'!$C$11="F" ),1,0)+IF( AND((COUNTIF(FR$2:FR$33,'Your Team'!$D$12)&gt;0),'Your Team'!$C$12="F" ),1,0)+IF( AND((COUNTIF(FR$2:FR$33,'Your Team'!$D$13)&gt;0),'Your Team'!$C$13="F" ),1,0)+IF( AND((COUNTIF(FR$2:FR$33,'Your Team'!$D$14)&gt;0),'Your Team'!$C$14="F" ),1,0)+IF( AND((COUNTIF(FR$2:FR$33,'Your Team'!$D$15)&gt;0),'Your Team'!$C$15="F" ),1,0)+IF( AND((COUNTIF(FR$2:FR$33,'Your Team'!$D$16)&gt;0),'Your Team'!$C$16="F" ),1,0)+IF( AND((COUNTIF(FR$2:FR$33,'Your Team'!$D$17)&gt;0),'Your Team'!$C$17="F" ),1,0)+IF( AND((COUNTIF(FR$2:FR$33,'Your Team'!$D$18)&gt;0),'Your Team'!$C$18="F" ),1,0)+IF( AND((COUNTIF(FR$2:FR$33,'Your Team'!$D$19)&gt;0),'Your Team'!$C$19="F" ),1,0)</f>
        <v>0</v>
      </c>
      <c r="FS38" s="9">
        <f>IF( AND((COUNTIF(FS$2:FS$33,'Your Team'!$D$3)&gt;0),'Your Team'!$C$3="F" ),1,0)+IF( AND((COUNTIF(FS$2:FS$33,'Your Team'!$D$4)&gt;0),'Your Team'!$C$4="F" ),1,0)+IF( AND((COUNTIF(FS$2:FS$33,'Your Team'!$D$5)&gt;0),'Your Team'!$C$5="F" ),1,0)+IF( AND((COUNTIF(FS$2:FS$33,'Your Team'!$D$6)&gt;0),'Your Team'!$C$6="F" ),1,0)+IF( AND((COUNTIF(FS$2:FS$33,'Your Team'!$D$7)&gt;0),'Your Team'!$C$7="F" ),1,0)+IF( AND((COUNTIF(FS$2:FS$33,'Your Team'!$D$8)&gt;0),'Your Team'!$C$8="F" ),1,0)+IF( AND((COUNTIF(FS$2:FS$33,'Your Team'!$D$9)&gt;0),'Your Team'!$C$9="F" ),1,0)+IF( AND((COUNTIF(FS$2:FS$33,'Your Team'!$D$10)&gt;0),'Your Team'!$C$10="F" ),1,0)+IF( AND((COUNTIF(FS$2:FS$33,'Your Team'!$D$11)&gt;0),'Your Team'!$C$11="F" ),1,0)+IF( AND((COUNTIF(FS$2:FS$33,'Your Team'!$D$12)&gt;0),'Your Team'!$C$12="F" ),1,0)+IF( AND((COUNTIF(FS$2:FS$33,'Your Team'!$D$13)&gt;0),'Your Team'!$C$13="F" ),1,0)+IF( AND((COUNTIF(FS$2:FS$33,'Your Team'!$D$14)&gt;0),'Your Team'!$C$14="F" ),1,0)+IF( AND((COUNTIF(FS$2:FS$33,'Your Team'!$D$15)&gt;0),'Your Team'!$C$15="F" ),1,0)+IF( AND((COUNTIF(FS$2:FS$33,'Your Team'!$D$16)&gt;0),'Your Team'!$C$16="F" ),1,0)+IF( AND((COUNTIF(FS$2:FS$33,'Your Team'!$D$17)&gt;0),'Your Team'!$C$17="F" ),1,0)+IF( AND((COUNTIF(FS$2:FS$33,'Your Team'!$D$18)&gt;0),'Your Team'!$C$18="F" ),1,0)+IF( AND((COUNTIF(FS$2:FS$33,'Your Team'!$D$19)&gt;0),'Your Team'!$C$19="F" ),1,0)</f>
        <v>0</v>
      </c>
      <c r="FT38" s="9">
        <f>IF( AND((COUNTIF(FT$2:FT$33,'Your Team'!$D$3)&gt;0),'Your Team'!$C$3="F" ),1,0)+IF( AND((COUNTIF(FT$2:FT$33,'Your Team'!$D$4)&gt;0),'Your Team'!$C$4="F" ),1,0)+IF( AND((COUNTIF(FT$2:FT$33,'Your Team'!$D$5)&gt;0),'Your Team'!$C$5="F" ),1,0)+IF( AND((COUNTIF(FT$2:FT$33,'Your Team'!$D$6)&gt;0),'Your Team'!$C$6="F" ),1,0)+IF( AND((COUNTIF(FT$2:FT$33,'Your Team'!$D$7)&gt;0),'Your Team'!$C$7="F" ),1,0)+IF( AND((COUNTIF(FT$2:FT$33,'Your Team'!$D$8)&gt;0),'Your Team'!$C$8="F" ),1,0)+IF( AND((COUNTIF(FT$2:FT$33,'Your Team'!$D$9)&gt;0),'Your Team'!$C$9="F" ),1,0)+IF( AND((COUNTIF(FT$2:FT$33,'Your Team'!$D$10)&gt;0),'Your Team'!$C$10="F" ),1,0)+IF( AND((COUNTIF(FT$2:FT$33,'Your Team'!$D$11)&gt;0),'Your Team'!$C$11="F" ),1,0)+IF( AND((COUNTIF(FT$2:FT$33,'Your Team'!$D$12)&gt;0),'Your Team'!$C$12="F" ),1,0)+IF( AND((COUNTIF(FT$2:FT$33,'Your Team'!$D$13)&gt;0),'Your Team'!$C$13="F" ),1,0)+IF( AND((COUNTIF(FT$2:FT$33,'Your Team'!$D$14)&gt;0),'Your Team'!$C$14="F" ),1,0)+IF( AND((COUNTIF(FT$2:FT$33,'Your Team'!$D$15)&gt;0),'Your Team'!$C$15="F" ),1,0)+IF( AND((COUNTIF(FT$2:FT$33,'Your Team'!$D$16)&gt;0),'Your Team'!$C$16="F" ),1,0)+IF( AND((COUNTIF(FT$2:FT$33,'Your Team'!$D$17)&gt;0),'Your Team'!$C$17="F" ),1,0)+IF( AND((COUNTIF(FT$2:FT$33,'Your Team'!$D$18)&gt;0),'Your Team'!$C$18="F" ),1,0)+IF( AND((COUNTIF(FT$2:FT$33,'Your Team'!$D$19)&gt;0),'Your Team'!$C$19="F" ),1,0)</f>
        <v>0</v>
      </c>
      <c r="FU38" s="9">
        <f>IF( AND((COUNTIF(FU$2:FU$33,'Your Team'!$D$3)&gt;0),'Your Team'!$C$3="F" ),1,0)+IF( AND((COUNTIF(FU$2:FU$33,'Your Team'!$D$4)&gt;0),'Your Team'!$C$4="F" ),1,0)+IF( AND((COUNTIF(FU$2:FU$33,'Your Team'!$D$5)&gt;0),'Your Team'!$C$5="F" ),1,0)+IF( AND((COUNTIF(FU$2:FU$33,'Your Team'!$D$6)&gt;0),'Your Team'!$C$6="F" ),1,0)+IF( AND((COUNTIF(FU$2:FU$33,'Your Team'!$D$7)&gt;0),'Your Team'!$C$7="F" ),1,0)+IF( AND((COUNTIF(FU$2:FU$33,'Your Team'!$D$8)&gt;0),'Your Team'!$C$8="F" ),1,0)+IF( AND((COUNTIF(FU$2:FU$33,'Your Team'!$D$9)&gt;0),'Your Team'!$C$9="F" ),1,0)+IF( AND((COUNTIF(FU$2:FU$33,'Your Team'!$D$10)&gt;0),'Your Team'!$C$10="F" ),1,0)+IF( AND((COUNTIF(FU$2:FU$33,'Your Team'!$D$11)&gt;0),'Your Team'!$C$11="F" ),1,0)+IF( AND((COUNTIF(FU$2:FU$33,'Your Team'!$D$12)&gt;0),'Your Team'!$C$12="F" ),1,0)+IF( AND((COUNTIF(FU$2:FU$33,'Your Team'!$D$13)&gt;0),'Your Team'!$C$13="F" ),1,0)+IF( AND((COUNTIF(FU$2:FU$33,'Your Team'!$D$14)&gt;0),'Your Team'!$C$14="F" ),1,0)+IF( AND((COUNTIF(FU$2:FU$33,'Your Team'!$D$15)&gt;0),'Your Team'!$C$15="F" ),1,0)+IF( AND((COUNTIF(FU$2:FU$33,'Your Team'!$D$16)&gt;0),'Your Team'!$C$16="F" ),1,0)+IF( AND((COUNTIF(FU$2:FU$33,'Your Team'!$D$17)&gt;0),'Your Team'!$C$17="F" ),1,0)+IF( AND((COUNTIF(FU$2:FU$33,'Your Team'!$D$18)&gt;0),'Your Team'!$C$18="F" ),1,0)+IF( AND((COUNTIF(FU$2:FU$33,'Your Team'!$D$19)&gt;0),'Your Team'!$C$19="F" ),1,0)</f>
        <v>0</v>
      </c>
      <c r="FV38" s="9">
        <f>IF( AND((COUNTIF(FV$2:FV$33,'Your Team'!$D$3)&gt;0),'Your Team'!$C$3="F" ),1,0)+IF( AND((COUNTIF(FV$2:FV$33,'Your Team'!$D$4)&gt;0),'Your Team'!$C$4="F" ),1,0)+IF( AND((COUNTIF(FV$2:FV$33,'Your Team'!$D$5)&gt;0),'Your Team'!$C$5="F" ),1,0)+IF( AND((COUNTIF(FV$2:FV$33,'Your Team'!$D$6)&gt;0),'Your Team'!$C$6="F" ),1,0)+IF( AND((COUNTIF(FV$2:FV$33,'Your Team'!$D$7)&gt;0),'Your Team'!$C$7="F" ),1,0)+IF( AND((COUNTIF(FV$2:FV$33,'Your Team'!$D$8)&gt;0),'Your Team'!$C$8="F" ),1,0)+IF( AND((COUNTIF(FV$2:FV$33,'Your Team'!$D$9)&gt;0),'Your Team'!$C$9="F" ),1,0)+IF( AND((COUNTIF(FV$2:FV$33,'Your Team'!$D$10)&gt;0),'Your Team'!$C$10="F" ),1,0)+IF( AND((COUNTIF(FV$2:FV$33,'Your Team'!$D$11)&gt;0),'Your Team'!$C$11="F" ),1,0)+IF( AND((COUNTIF(FV$2:FV$33,'Your Team'!$D$12)&gt;0),'Your Team'!$C$12="F" ),1,0)+IF( AND((COUNTIF(FV$2:FV$33,'Your Team'!$D$13)&gt;0),'Your Team'!$C$13="F" ),1,0)+IF( AND((COUNTIF(FV$2:FV$33,'Your Team'!$D$14)&gt;0),'Your Team'!$C$14="F" ),1,0)+IF( AND((COUNTIF(FV$2:FV$33,'Your Team'!$D$15)&gt;0),'Your Team'!$C$15="F" ),1,0)+IF( AND((COUNTIF(FV$2:FV$33,'Your Team'!$D$16)&gt;0),'Your Team'!$C$16="F" ),1,0)+IF( AND((COUNTIF(FV$2:FV$33,'Your Team'!$D$17)&gt;0),'Your Team'!$C$17="F" ),1,0)+IF( AND((COUNTIF(FV$2:FV$33,'Your Team'!$D$18)&gt;0),'Your Team'!$C$18="F" ),1,0)+IF( AND((COUNTIF(FV$2:FV$33,'Your Team'!$D$19)&gt;0),'Your Team'!$C$19="F" ),1,0)</f>
        <v>0</v>
      </c>
      <c r="FW38" s="9">
        <f>IF( AND((COUNTIF(FW$2:FW$33,'Your Team'!$D$3)&gt;0),'Your Team'!$C$3="F" ),1,0)+IF( AND((COUNTIF(FW$2:FW$33,'Your Team'!$D$4)&gt;0),'Your Team'!$C$4="F" ),1,0)+IF( AND((COUNTIF(FW$2:FW$33,'Your Team'!$D$5)&gt;0),'Your Team'!$C$5="F" ),1,0)+IF( AND((COUNTIF(FW$2:FW$33,'Your Team'!$D$6)&gt;0),'Your Team'!$C$6="F" ),1,0)+IF( AND((COUNTIF(FW$2:FW$33,'Your Team'!$D$7)&gt;0),'Your Team'!$C$7="F" ),1,0)+IF( AND((COUNTIF(FW$2:FW$33,'Your Team'!$D$8)&gt;0),'Your Team'!$C$8="F" ),1,0)+IF( AND((COUNTIF(FW$2:FW$33,'Your Team'!$D$9)&gt;0),'Your Team'!$C$9="F" ),1,0)+IF( AND((COUNTIF(FW$2:FW$33,'Your Team'!$D$10)&gt;0),'Your Team'!$C$10="F" ),1,0)+IF( AND((COUNTIF(FW$2:FW$33,'Your Team'!$D$11)&gt;0),'Your Team'!$C$11="F" ),1,0)+IF( AND((COUNTIF(FW$2:FW$33,'Your Team'!$D$12)&gt;0),'Your Team'!$C$12="F" ),1,0)+IF( AND((COUNTIF(FW$2:FW$33,'Your Team'!$D$13)&gt;0),'Your Team'!$C$13="F" ),1,0)+IF( AND((COUNTIF(FW$2:FW$33,'Your Team'!$D$14)&gt;0),'Your Team'!$C$14="F" ),1,0)+IF( AND((COUNTIF(FW$2:FW$33,'Your Team'!$D$15)&gt;0),'Your Team'!$C$15="F" ),1,0)+IF( AND((COUNTIF(FW$2:FW$33,'Your Team'!$D$16)&gt;0),'Your Team'!$C$16="F" ),1,0)+IF( AND((COUNTIF(FW$2:FW$33,'Your Team'!$D$17)&gt;0),'Your Team'!$C$17="F" ),1,0)+IF( AND((COUNTIF(FW$2:FW$33,'Your Team'!$D$18)&gt;0),'Your Team'!$C$18="F" ),1,0)+IF( AND((COUNTIF(FW$2:FW$33,'Your Team'!$D$19)&gt;0),'Your Team'!$C$19="F" ),1,0)</f>
        <v>0</v>
      </c>
      <c r="FX38" s="9">
        <f>IF( AND((COUNTIF(FX$2:FX$33,'Your Team'!$D$3)&gt;0),'Your Team'!$C$3="F" ),1,0)+IF( AND((COUNTIF(FX$2:FX$33,'Your Team'!$D$4)&gt;0),'Your Team'!$C$4="F" ),1,0)+IF( AND((COUNTIF(FX$2:FX$33,'Your Team'!$D$5)&gt;0),'Your Team'!$C$5="F" ),1,0)+IF( AND((COUNTIF(FX$2:FX$33,'Your Team'!$D$6)&gt;0),'Your Team'!$C$6="F" ),1,0)+IF( AND((COUNTIF(FX$2:FX$33,'Your Team'!$D$7)&gt;0),'Your Team'!$C$7="F" ),1,0)+IF( AND((COUNTIF(FX$2:FX$33,'Your Team'!$D$8)&gt;0),'Your Team'!$C$8="F" ),1,0)+IF( AND((COUNTIF(FX$2:FX$33,'Your Team'!$D$9)&gt;0),'Your Team'!$C$9="F" ),1,0)+IF( AND((COUNTIF(FX$2:FX$33,'Your Team'!$D$10)&gt;0),'Your Team'!$C$10="F" ),1,0)+IF( AND((COUNTIF(FX$2:FX$33,'Your Team'!$D$11)&gt;0),'Your Team'!$C$11="F" ),1,0)+IF( AND((COUNTIF(FX$2:FX$33,'Your Team'!$D$12)&gt;0),'Your Team'!$C$12="F" ),1,0)+IF( AND((COUNTIF(FX$2:FX$33,'Your Team'!$D$13)&gt;0),'Your Team'!$C$13="F" ),1,0)+IF( AND((COUNTIF(FX$2:FX$33,'Your Team'!$D$14)&gt;0),'Your Team'!$C$14="F" ),1,0)+IF( AND((COUNTIF(FX$2:FX$33,'Your Team'!$D$15)&gt;0),'Your Team'!$C$15="F" ),1,0)+IF( AND((COUNTIF(FX$2:FX$33,'Your Team'!$D$16)&gt;0),'Your Team'!$C$16="F" ),1,0)+IF( AND((COUNTIF(FX$2:FX$33,'Your Team'!$D$17)&gt;0),'Your Team'!$C$17="F" ),1,0)+IF( AND((COUNTIF(FX$2:FX$33,'Your Team'!$D$18)&gt;0),'Your Team'!$C$18="F" ),1,0)+IF( AND((COUNTIF(FX$2:FX$33,'Your Team'!$D$19)&gt;0),'Your Team'!$C$19="F" ),1,0)</f>
        <v>0</v>
      </c>
      <c r="FY38" s="9">
        <f>IF( AND((COUNTIF(FY$2:FY$33,'Your Team'!$D$3)&gt;0),'Your Team'!$C$3="F" ),1,0)+IF( AND((COUNTIF(FY$2:FY$33,'Your Team'!$D$4)&gt;0),'Your Team'!$C$4="F" ),1,0)+IF( AND((COUNTIF(FY$2:FY$33,'Your Team'!$D$5)&gt;0),'Your Team'!$C$5="F" ),1,0)+IF( AND((COUNTIF(FY$2:FY$33,'Your Team'!$D$6)&gt;0),'Your Team'!$C$6="F" ),1,0)+IF( AND((COUNTIF(FY$2:FY$33,'Your Team'!$D$7)&gt;0),'Your Team'!$C$7="F" ),1,0)+IF( AND((COUNTIF(FY$2:FY$33,'Your Team'!$D$8)&gt;0),'Your Team'!$C$8="F" ),1,0)+IF( AND((COUNTIF(FY$2:FY$33,'Your Team'!$D$9)&gt;0),'Your Team'!$C$9="F" ),1,0)+IF( AND((COUNTIF(FY$2:FY$33,'Your Team'!$D$10)&gt;0),'Your Team'!$C$10="F" ),1,0)+IF( AND((COUNTIF(FY$2:FY$33,'Your Team'!$D$11)&gt;0),'Your Team'!$C$11="F" ),1,0)+IF( AND((COUNTIF(FY$2:FY$33,'Your Team'!$D$12)&gt;0),'Your Team'!$C$12="F" ),1,0)+IF( AND((COUNTIF(FY$2:FY$33,'Your Team'!$D$13)&gt;0),'Your Team'!$C$13="F" ),1,0)+IF( AND((COUNTIF(FY$2:FY$33,'Your Team'!$D$14)&gt;0),'Your Team'!$C$14="F" ),1,0)+IF( AND((COUNTIF(FY$2:FY$33,'Your Team'!$D$15)&gt;0),'Your Team'!$C$15="F" ),1,0)+IF( AND((COUNTIF(FY$2:FY$33,'Your Team'!$D$16)&gt;0),'Your Team'!$C$16="F" ),1,0)+IF( AND((COUNTIF(FY$2:FY$33,'Your Team'!$D$17)&gt;0),'Your Team'!$C$17="F" ),1,0)+IF( AND((COUNTIF(FY$2:FY$33,'Your Team'!$D$18)&gt;0),'Your Team'!$C$18="F" ),1,0)+IF( AND((COUNTIF(FY$2:FY$33,'Your Team'!$D$19)&gt;0),'Your Team'!$C$19="F" ),1,0)</f>
        <v>0</v>
      </c>
      <c r="FZ38" s="9">
        <f>IF( AND((COUNTIF(FZ$2:FZ$33,'Your Team'!$D$3)&gt;0),'Your Team'!$C$3="F" ),1,0)+IF( AND((COUNTIF(FZ$2:FZ$33,'Your Team'!$D$4)&gt;0),'Your Team'!$C$4="F" ),1,0)+IF( AND((COUNTIF(FZ$2:FZ$33,'Your Team'!$D$5)&gt;0),'Your Team'!$C$5="F" ),1,0)+IF( AND((COUNTIF(FZ$2:FZ$33,'Your Team'!$D$6)&gt;0),'Your Team'!$C$6="F" ),1,0)+IF( AND((COUNTIF(FZ$2:FZ$33,'Your Team'!$D$7)&gt;0),'Your Team'!$C$7="F" ),1,0)+IF( AND((COUNTIF(FZ$2:FZ$33,'Your Team'!$D$8)&gt;0),'Your Team'!$C$8="F" ),1,0)+IF( AND((COUNTIF(FZ$2:FZ$33,'Your Team'!$D$9)&gt;0),'Your Team'!$C$9="F" ),1,0)+IF( AND((COUNTIF(FZ$2:FZ$33,'Your Team'!$D$10)&gt;0),'Your Team'!$C$10="F" ),1,0)+IF( AND((COUNTIF(FZ$2:FZ$33,'Your Team'!$D$11)&gt;0),'Your Team'!$C$11="F" ),1,0)+IF( AND((COUNTIF(FZ$2:FZ$33,'Your Team'!$D$12)&gt;0),'Your Team'!$C$12="F" ),1,0)+IF( AND((COUNTIF(FZ$2:FZ$33,'Your Team'!$D$13)&gt;0),'Your Team'!$C$13="F" ),1,0)+IF( AND((COUNTIF(FZ$2:FZ$33,'Your Team'!$D$14)&gt;0),'Your Team'!$C$14="F" ),1,0)+IF( AND((COUNTIF(FZ$2:FZ$33,'Your Team'!$D$15)&gt;0),'Your Team'!$C$15="F" ),1,0)+IF( AND((COUNTIF(FZ$2:FZ$33,'Your Team'!$D$16)&gt;0),'Your Team'!$C$16="F" ),1,0)+IF( AND((COUNTIF(FZ$2:FZ$33,'Your Team'!$D$17)&gt;0),'Your Team'!$C$17="F" ),1,0)+IF( AND((COUNTIF(FZ$2:FZ$33,'Your Team'!$D$18)&gt;0),'Your Team'!$C$18="F" ),1,0)+IF( AND((COUNTIF(FZ$2:FZ$33,'Your Team'!$D$19)&gt;0),'Your Team'!$C$19="F" ),1,0)</f>
        <v>0</v>
      </c>
      <c r="GA38" s="9">
        <f>IF( AND((COUNTIF(GA$2:GA$33,'Your Team'!$D$3)&gt;0),'Your Team'!$C$3="F" ),1,0)+IF( AND((COUNTIF(GA$2:GA$33,'Your Team'!$D$4)&gt;0),'Your Team'!$C$4="F" ),1,0)+IF( AND((COUNTIF(GA$2:GA$33,'Your Team'!$D$5)&gt;0),'Your Team'!$C$5="F" ),1,0)+IF( AND((COUNTIF(GA$2:GA$33,'Your Team'!$D$6)&gt;0),'Your Team'!$C$6="F" ),1,0)+IF( AND((COUNTIF(GA$2:GA$33,'Your Team'!$D$7)&gt;0),'Your Team'!$C$7="F" ),1,0)+IF( AND((COUNTIF(GA$2:GA$33,'Your Team'!$D$8)&gt;0),'Your Team'!$C$8="F" ),1,0)+IF( AND((COUNTIF(GA$2:GA$33,'Your Team'!$D$9)&gt;0),'Your Team'!$C$9="F" ),1,0)+IF( AND((COUNTIF(GA$2:GA$33,'Your Team'!$D$10)&gt;0),'Your Team'!$C$10="F" ),1,0)+IF( AND((COUNTIF(GA$2:GA$33,'Your Team'!$D$11)&gt;0),'Your Team'!$C$11="F" ),1,0)+IF( AND((COUNTIF(GA$2:GA$33,'Your Team'!$D$12)&gt;0),'Your Team'!$C$12="F" ),1,0)+IF( AND((COUNTIF(GA$2:GA$33,'Your Team'!$D$13)&gt;0),'Your Team'!$C$13="F" ),1,0)+IF( AND((COUNTIF(GA$2:GA$33,'Your Team'!$D$14)&gt;0),'Your Team'!$C$14="F" ),1,0)+IF( AND((COUNTIF(GA$2:GA$33,'Your Team'!$D$15)&gt;0),'Your Team'!$C$15="F" ),1,0)+IF( AND((COUNTIF(GA$2:GA$33,'Your Team'!$D$16)&gt;0),'Your Team'!$C$16="F" ),1,0)+IF( AND((COUNTIF(GA$2:GA$33,'Your Team'!$D$17)&gt;0),'Your Team'!$C$17="F" ),1,0)+IF( AND((COUNTIF(GA$2:GA$33,'Your Team'!$D$18)&gt;0),'Your Team'!$C$18="F" ),1,0)+IF( AND((COUNTIF(GA$2:GA$33,'Your Team'!$D$19)&gt;0),'Your Team'!$C$19="F" ),1,0)</f>
        <v>0</v>
      </c>
      <c r="GB38" s="9">
        <f>IF( AND((COUNTIF(GB$2:GB$33,'Your Team'!$D$3)&gt;0),'Your Team'!$C$3="F" ),1,0)+IF( AND((COUNTIF(GB$2:GB$33,'Your Team'!$D$4)&gt;0),'Your Team'!$C$4="F" ),1,0)+IF( AND((COUNTIF(GB$2:GB$33,'Your Team'!$D$5)&gt;0),'Your Team'!$C$5="F" ),1,0)+IF( AND((COUNTIF(GB$2:GB$33,'Your Team'!$D$6)&gt;0),'Your Team'!$C$6="F" ),1,0)+IF( AND((COUNTIF(GB$2:GB$33,'Your Team'!$D$7)&gt;0),'Your Team'!$C$7="F" ),1,0)+IF( AND((COUNTIF(GB$2:GB$33,'Your Team'!$D$8)&gt;0),'Your Team'!$C$8="F" ),1,0)+IF( AND((COUNTIF(GB$2:GB$33,'Your Team'!$D$9)&gt;0),'Your Team'!$C$9="F" ),1,0)+IF( AND((COUNTIF(GB$2:GB$33,'Your Team'!$D$10)&gt;0),'Your Team'!$C$10="F" ),1,0)+IF( AND((COUNTIF(GB$2:GB$33,'Your Team'!$D$11)&gt;0),'Your Team'!$C$11="F" ),1,0)+IF( AND((COUNTIF(GB$2:GB$33,'Your Team'!$D$12)&gt;0),'Your Team'!$C$12="F" ),1,0)+IF( AND((COUNTIF(GB$2:GB$33,'Your Team'!$D$13)&gt;0),'Your Team'!$C$13="F" ),1,0)+IF( AND((COUNTIF(GB$2:GB$33,'Your Team'!$D$14)&gt;0),'Your Team'!$C$14="F" ),1,0)+IF( AND((COUNTIF(GB$2:GB$33,'Your Team'!$D$15)&gt;0),'Your Team'!$C$15="F" ),1,0)+IF( AND((COUNTIF(GB$2:GB$33,'Your Team'!$D$16)&gt;0),'Your Team'!$C$16="F" ),1,0)+IF( AND((COUNTIF(GB$2:GB$33,'Your Team'!$D$17)&gt;0),'Your Team'!$C$17="F" ),1,0)+IF( AND((COUNTIF(GB$2:GB$33,'Your Team'!$D$18)&gt;0),'Your Team'!$C$18="F" ),1,0)+IF( AND((COUNTIF(GB$2:GB$33,'Your Team'!$D$19)&gt;0),'Your Team'!$C$19="F" ),1,0)</f>
        <v>0</v>
      </c>
      <c r="GC38" s="9">
        <f>IF( AND((COUNTIF(GC$2:GC$33,'Your Team'!$D$3)&gt;0),'Your Team'!$C$3="F" ),1,0)+IF( AND((COUNTIF(GC$2:GC$33,'Your Team'!$D$4)&gt;0),'Your Team'!$C$4="F" ),1,0)+IF( AND((COUNTIF(GC$2:GC$33,'Your Team'!$D$5)&gt;0),'Your Team'!$C$5="F" ),1,0)+IF( AND((COUNTIF(GC$2:GC$33,'Your Team'!$D$6)&gt;0),'Your Team'!$C$6="F" ),1,0)+IF( AND((COUNTIF(GC$2:GC$33,'Your Team'!$D$7)&gt;0),'Your Team'!$C$7="F" ),1,0)+IF( AND((COUNTIF(GC$2:GC$33,'Your Team'!$D$8)&gt;0),'Your Team'!$C$8="F" ),1,0)+IF( AND((COUNTIF(GC$2:GC$33,'Your Team'!$D$9)&gt;0),'Your Team'!$C$9="F" ),1,0)+IF( AND((COUNTIF(GC$2:GC$33,'Your Team'!$D$10)&gt;0),'Your Team'!$C$10="F" ),1,0)+IF( AND((COUNTIF(GC$2:GC$33,'Your Team'!$D$11)&gt;0),'Your Team'!$C$11="F" ),1,0)+IF( AND((COUNTIF(GC$2:GC$33,'Your Team'!$D$12)&gt;0),'Your Team'!$C$12="F" ),1,0)+IF( AND((COUNTIF(GC$2:GC$33,'Your Team'!$D$13)&gt;0),'Your Team'!$C$13="F" ),1,0)+IF( AND((COUNTIF(GC$2:GC$33,'Your Team'!$D$14)&gt;0),'Your Team'!$C$14="F" ),1,0)+IF( AND((COUNTIF(GC$2:GC$33,'Your Team'!$D$15)&gt;0),'Your Team'!$C$15="F" ),1,0)+IF( AND((COUNTIF(GC$2:GC$33,'Your Team'!$D$16)&gt;0),'Your Team'!$C$16="F" ),1,0)+IF( AND((COUNTIF(GC$2:GC$33,'Your Team'!$D$17)&gt;0),'Your Team'!$C$17="F" ),1,0)+IF( AND((COUNTIF(GC$2:GC$33,'Your Team'!$D$18)&gt;0),'Your Team'!$C$18="F" ),1,0)+IF( AND((COUNTIF(GC$2:GC$33,'Your Team'!$D$19)&gt;0),'Your Team'!$C$19="F" ),1,0)</f>
        <v>0</v>
      </c>
      <c r="GD38" s="9">
        <f>IF( AND((COUNTIF(GD$2:GD$33,'Your Team'!$D$3)&gt;0),'Your Team'!$C$3="F" ),1,0)+IF( AND((COUNTIF(GD$2:GD$33,'Your Team'!$D$4)&gt;0),'Your Team'!$C$4="F" ),1,0)+IF( AND((COUNTIF(GD$2:GD$33,'Your Team'!$D$5)&gt;0),'Your Team'!$C$5="F" ),1,0)+IF( AND((COUNTIF(GD$2:GD$33,'Your Team'!$D$6)&gt;0),'Your Team'!$C$6="F" ),1,0)+IF( AND((COUNTIF(GD$2:GD$33,'Your Team'!$D$7)&gt;0),'Your Team'!$C$7="F" ),1,0)+IF( AND((COUNTIF(GD$2:GD$33,'Your Team'!$D$8)&gt;0),'Your Team'!$C$8="F" ),1,0)+IF( AND((COUNTIF(GD$2:GD$33,'Your Team'!$D$9)&gt;0),'Your Team'!$C$9="F" ),1,0)+IF( AND((COUNTIF(GD$2:GD$33,'Your Team'!$D$10)&gt;0),'Your Team'!$C$10="F" ),1,0)+IF( AND((COUNTIF(GD$2:GD$33,'Your Team'!$D$11)&gt;0),'Your Team'!$C$11="F" ),1,0)+IF( AND((COUNTIF(GD$2:GD$33,'Your Team'!$D$12)&gt;0),'Your Team'!$C$12="F" ),1,0)+IF( AND((COUNTIF(GD$2:GD$33,'Your Team'!$D$13)&gt;0),'Your Team'!$C$13="F" ),1,0)+IF( AND((COUNTIF(GD$2:GD$33,'Your Team'!$D$14)&gt;0),'Your Team'!$C$14="F" ),1,0)+IF( AND((COUNTIF(GD$2:GD$33,'Your Team'!$D$15)&gt;0),'Your Team'!$C$15="F" ),1,0)+IF( AND((COUNTIF(GD$2:GD$33,'Your Team'!$D$16)&gt;0),'Your Team'!$C$16="F" ),1,0)+IF( AND((COUNTIF(GD$2:GD$33,'Your Team'!$D$17)&gt;0),'Your Team'!$C$17="F" ),1,0)+IF( AND((COUNTIF(GD$2:GD$33,'Your Team'!$D$18)&gt;0),'Your Team'!$C$18="F" ),1,0)+IF( AND((COUNTIF(GD$2:GD$33,'Your Team'!$D$19)&gt;0),'Your Team'!$C$19="F" ),1,0)</f>
        <v>0</v>
      </c>
      <c r="GE38" s="9">
        <f>IF( AND((COUNTIF(GE$2:GE$33,'Your Team'!$D$3)&gt;0),'Your Team'!$C$3="F" ),1,0)+IF( AND((COUNTIF(GE$2:GE$33,'Your Team'!$D$4)&gt;0),'Your Team'!$C$4="F" ),1,0)+IF( AND((COUNTIF(GE$2:GE$33,'Your Team'!$D$5)&gt;0),'Your Team'!$C$5="F" ),1,0)+IF( AND((COUNTIF(GE$2:GE$33,'Your Team'!$D$6)&gt;0),'Your Team'!$C$6="F" ),1,0)+IF( AND((COUNTIF(GE$2:GE$33,'Your Team'!$D$7)&gt;0),'Your Team'!$C$7="F" ),1,0)+IF( AND((COUNTIF(GE$2:GE$33,'Your Team'!$D$8)&gt;0),'Your Team'!$C$8="F" ),1,0)+IF( AND((COUNTIF(GE$2:GE$33,'Your Team'!$D$9)&gt;0),'Your Team'!$C$9="F" ),1,0)+IF( AND((COUNTIF(GE$2:GE$33,'Your Team'!$D$10)&gt;0),'Your Team'!$C$10="F" ),1,0)+IF( AND((COUNTIF(GE$2:GE$33,'Your Team'!$D$11)&gt;0),'Your Team'!$C$11="F" ),1,0)+IF( AND((COUNTIF(GE$2:GE$33,'Your Team'!$D$12)&gt;0),'Your Team'!$C$12="F" ),1,0)+IF( AND((COUNTIF(GE$2:GE$33,'Your Team'!$D$13)&gt;0),'Your Team'!$C$13="F" ),1,0)+IF( AND((COUNTIF(GE$2:GE$33,'Your Team'!$D$14)&gt;0),'Your Team'!$C$14="F" ),1,0)+IF( AND((COUNTIF(GE$2:GE$33,'Your Team'!$D$15)&gt;0),'Your Team'!$C$15="F" ),1,0)+IF( AND((COUNTIF(GE$2:GE$33,'Your Team'!$D$16)&gt;0),'Your Team'!$C$16="F" ),1,0)+IF( AND((COUNTIF(GE$2:GE$33,'Your Team'!$D$17)&gt;0),'Your Team'!$C$17="F" ),1,0)+IF( AND((COUNTIF(GE$2:GE$33,'Your Team'!$D$18)&gt;0),'Your Team'!$C$18="F" ),1,0)+IF( AND((COUNTIF(GE$2:GE$33,'Your Team'!$D$19)&gt;0),'Your Team'!$C$19="F" ),1,0)</f>
        <v>0</v>
      </c>
      <c r="GF38" s="9">
        <f>IF( AND((COUNTIF(GF$2:GF$33,'Your Team'!$D$3)&gt;0),'Your Team'!$C$3="F" ),1,0)+IF( AND((COUNTIF(GF$2:GF$33,'Your Team'!$D$4)&gt;0),'Your Team'!$C$4="F" ),1,0)+IF( AND((COUNTIF(GF$2:GF$33,'Your Team'!$D$5)&gt;0),'Your Team'!$C$5="F" ),1,0)+IF( AND((COUNTIF(GF$2:GF$33,'Your Team'!$D$6)&gt;0),'Your Team'!$C$6="F" ),1,0)+IF( AND((COUNTIF(GF$2:GF$33,'Your Team'!$D$7)&gt;0),'Your Team'!$C$7="F" ),1,0)+IF( AND((COUNTIF(GF$2:GF$33,'Your Team'!$D$8)&gt;0),'Your Team'!$C$8="F" ),1,0)+IF( AND((COUNTIF(GF$2:GF$33,'Your Team'!$D$9)&gt;0),'Your Team'!$C$9="F" ),1,0)+IF( AND((COUNTIF(GF$2:GF$33,'Your Team'!$D$10)&gt;0),'Your Team'!$C$10="F" ),1,0)+IF( AND((COUNTIF(GF$2:GF$33,'Your Team'!$D$11)&gt;0),'Your Team'!$C$11="F" ),1,0)+IF( AND((COUNTIF(GF$2:GF$33,'Your Team'!$D$12)&gt;0),'Your Team'!$C$12="F" ),1,0)+IF( AND((COUNTIF(GF$2:GF$33,'Your Team'!$D$13)&gt;0),'Your Team'!$C$13="F" ),1,0)+IF( AND((COUNTIF(GF$2:GF$33,'Your Team'!$D$14)&gt;0),'Your Team'!$C$14="F" ),1,0)+IF( AND((COUNTIF(GF$2:GF$33,'Your Team'!$D$15)&gt;0),'Your Team'!$C$15="F" ),1,0)+IF( AND((COUNTIF(GF$2:GF$33,'Your Team'!$D$16)&gt;0),'Your Team'!$C$16="F" ),1,0)+IF( AND((COUNTIF(GF$2:GF$33,'Your Team'!$D$17)&gt;0),'Your Team'!$C$17="F" ),1,0)+IF( AND((COUNTIF(GF$2:GF$33,'Your Team'!$D$18)&gt;0),'Your Team'!$C$18="F" ),1,0)+IF( AND((COUNTIF(GF$2:GF$33,'Your Team'!$D$19)&gt;0),'Your Team'!$C$19="F" ),1,0)</f>
        <v>0</v>
      </c>
      <c r="GG38" s="9">
        <f>IF( AND((COUNTIF(GG$2:GG$33,'Your Team'!$D$3)&gt;0),'Your Team'!$C$3="F" ),1,0)+IF( AND((COUNTIF(GG$2:GG$33,'Your Team'!$D$4)&gt;0),'Your Team'!$C$4="F" ),1,0)+IF( AND((COUNTIF(GG$2:GG$33,'Your Team'!$D$5)&gt;0),'Your Team'!$C$5="F" ),1,0)+IF( AND((COUNTIF(GG$2:GG$33,'Your Team'!$D$6)&gt;0),'Your Team'!$C$6="F" ),1,0)+IF( AND((COUNTIF(GG$2:GG$33,'Your Team'!$D$7)&gt;0),'Your Team'!$C$7="F" ),1,0)+IF( AND((COUNTIF(GG$2:GG$33,'Your Team'!$D$8)&gt;0),'Your Team'!$C$8="F" ),1,0)+IF( AND((COUNTIF(GG$2:GG$33,'Your Team'!$D$9)&gt;0),'Your Team'!$C$9="F" ),1,0)+IF( AND((COUNTIF(GG$2:GG$33,'Your Team'!$D$10)&gt;0),'Your Team'!$C$10="F" ),1,0)+IF( AND((COUNTIF(GG$2:GG$33,'Your Team'!$D$11)&gt;0),'Your Team'!$C$11="F" ),1,0)+IF( AND((COUNTIF(GG$2:GG$33,'Your Team'!$D$12)&gt;0),'Your Team'!$C$12="F" ),1,0)+IF( AND((COUNTIF(GG$2:GG$33,'Your Team'!$D$13)&gt;0),'Your Team'!$C$13="F" ),1,0)+IF( AND((COUNTIF(GG$2:GG$33,'Your Team'!$D$14)&gt;0),'Your Team'!$C$14="F" ),1,0)+IF( AND((COUNTIF(GG$2:GG$33,'Your Team'!$D$15)&gt;0),'Your Team'!$C$15="F" ),1,0)+IF( AND((COUNTIF(GG$2:GG$33,'Your Team'!$D$16)&gt;0),'Your Team'!$C$16="F" ),1,0)+IF( AND((COUNTIF(GG$2:GG$33,'Your Team'!$D$17)&gt;0),'Your Team'!$C$17="F" ),1,0)+IF( AND((COUNTIF(GG$2:GG$33,'Your Team'!$D$18)&gt;0),'Your Team'!$C$18="F" ),1,0)+IF( AND((COUNTIF(GG$2:GG$33,'Your Team'!$D$19)&gt;0),'Your Team'!$C$19="F" ),1,0)</f>
        <v>0</v>
      </c>
      <c r="GH38" s="9">
        <f>IF( AND((COUNTIF(GH$2:GH$33,'Your Team'!$D$3)&gt;0),'Your Team'!$C$3="F" ),1,0)+IF( AND((COUNTIF(GH$2:GH$33,'Your Team'!$D$4)&gt;0),'Your Team'!$C$4="F" ),1,0)+IF( AND((COUNTIF(GH$2:GH$33,'Your Team'!$D$5)&gt;0),'Your Team'!$C$5="F" ),1,0)+IF( AND((COUNTIF(GH$2:GH$33,'Your Team'!$D$6)&gt;0),'Your Team'!$C$6="F" ),1,0)+IF( AND((COUNTIF(GH$2:GH$33,'Your Team'!$D$7)&gt;0),'Your Team'!$C$7="F" ),1,0)+IF( AND((COUNTIF(GH$2:GH$33,'Your Team'!$D$8)&gt;0),'Your Team'!$C$8="F" ),1,0)+IF( AND((COUNTIF(GH$2:GH$33,'Your Team'!$D$9)&gt;0),'Your Team'!$C$9="F" ),1,0)+IF( AND((COUNTIF(GH$2:GH$33,'Your Team'!$D$10)&gt;0),'Your Team'!$C$10="F" ),1,0)+IF( AND((COUNTIF(GH$2:GH$33,'Your Team'!$D$11)&gt;0),'Your Team'!$C$11="F" ),1,0)+IF( AND((COUNTIF(GH$2:GH$33,'Your Team'!$D$12)&gt;0),'Your Team'!$C$12="F" ),1,0)+IF( AND((COUNTIF(GH$2:GH$33,'Your Team'!$D$13)&gt;0),'Your Team'!$C$13="F" ),1,0)+IF( AND((COUNTIF(GH$2:GH$33,'Your Team'!$D$14)&gt;0),'Your Team'!$C$14="F" ),1,0)+IF( AND((COUNTIF(GH$2:GH$33,'Your Team'!$D$15)&gt;0),'Your Team'!$C$15="F" ),1,0)+IF( AND((COUNTIF(GH$2:GH$33,'Your Team'!$D$16)&gt;0),'Your Team'!$C$16="F" ),1,0)+IF( AND((COUNTIF(GH$2:GH$33,'Your Team'!$D$17)&gt;0),'Your Team'!$C$17="F" ),1,0)+IF( AND((COUNTIF(GH$2:GH$33,'Your Team'!$D$18)&gt;0),'Your Team'!$C$18="F" ),1,0)+IF( AND((COUNTIF(GH$2:GH$33,'Your Team'!$D$19)&gt;0),'Your Team'!$C$19="F" ),1,0)</f>
        <v>0</v>
      </c>
      <c r="GI38" s="9">
        <f>IF( AND((COUNTIF(GI$2:GI$33,'Your Team'!$D$3)&gt;0),'Your Team'!$C$3="F" ),1,0)+IF( AND((COUNTIF(GI$2:GI$33,'Your Team'!$D$4)&gt;0),'Your Team'!$C$4="F" ),1,0)+IF( AND((COUNTIF(GI$2:GI$33,'Your Team'!$D$5)&gt;0),'Your Team'!$C$5="F" ),1,0)+IF( AND((COUNTIF(GI$2:GI$33,'Your Team'!$D$6)&gt;0),'Your Team'!$C$6="F" ),1,0)+IF( AND((COUNTIF(GI$2:GI$33,'Your Team'!$D$7)&gt;0),'Your Team'!$C$7="F" ),1,0)+IF( AND((COUNTIF(GI$2:GI$33,'Your Team'!$D$8)&gt;0),'Your Team'!$C$8="F" ),1,0)+IF( AND((COUNTIF(GI$2:GI$33,'Your Team'!$D$9)&gt;0),'Your Team'!$C$9="F" ),1,0)+IF( AND((COUNTIF(GI$2:GI$33,'Your Team'!$D$10)&gt;0),'Your Team'!$C$10="F" ),1,0)+IF( AND((COUNTIF(GI$2:GI$33,'Your Team'!$D$11)&gt;0),'Your Team'!$C$11="F" ),1,0)+IF( AND((COUNTIF(GI$2:GI$33,'Your Team'!$D$12)&gt;0),'Your Team'!$C$12="F" ),1,0)+IF( AND((COUNTIF(GI$2:GI$33,'Your Team'!$D$13)&gt;0),'Your Team'!$C$13="F" ),1,0)+IF( AND((COUNTIF(GI$2:GI$33,'Your Team'!$D$14)&gt;0),'Your Team'!$C$14="F" ),1,0)+IF( AND((COUNTIF(GI$2:GI$33,'Your Team'!$D$15)&gt;0),'Your Team'!$C$15="F" ),1,0)+IF( AND((COUNTIF(GI$2:GI$33,'Your Team'!$D$16)&gt;0),'Your Team'!$C$16="F" ),1,0)+IF( AND((COUNTIF(GI$2:GI$33,'Your Team'!$D$17)&gt;0),'Your Team'!$C$17="F" ),1,0)+IF( AND((COUNTIF(GI$2:GI$33,'Your Team'!$D$18)&gt;0),'Your Team'!$C$18="F" ),1,0)+IF( AND((COUNTIF(GI$2:GI$33,'Your Team'!$D$19)&gt;0),'Your Team'!$C$19="F" ),1,0)</f>
        <v>0</v>
      </c>
      <c r="GJ38" s="9">
        <f>IF( AND((COUNTIF(GJ$2:GJ$33,'Your Team'!$D$3)&gt;0),'Your Team'!$C$3="F" ),1,0)+IF( AND((COUNTIF(GJ$2:GJ$33,'Your Team'!$D$4)&gt;0),'Your Team'!$C$4="F" ),1,0)+IF( AND((COUNTIF(GJ$2:GJ$33,'Your Team'!$D$5)&gt;0),'Your Team'!$C$5="F" ),1,0)+IF( AND((COUNTIF(GJ$2:GJ$33,'Your Team'!$D$6)&gt;0),'Your Team'!$C$6="F" ),1,0)+IF( AND((COUNTIF(GJ$2:GJ$33,'Your Team'!$D$7)&gt;0),'Your Team'!$C$7="F" ),1,0)+IF( AND((COUNTIF(GJ$2:GJ$33,'Your Team'!$D$8)&gt;0),'Your Team'!$C$8="F" ),1,0)+IF( AND((COUNTIF(GJ$2:GJ$33,'Your Team'!$D$9)&gt;0),'Your Team'!$C$9="F" ),1,0)+IF( AND((COUNTIF(GJ$2:GJ$33,'Your Team'!$D$10)&gt;0),'Your Team'!$C$10="F" ),1,0)+IF( AND((COUNTIF(GJ$2:GJ$33,'Your Team'!$D$11)&gt;0),'Your Team'!$C$11="F" ),1,0)+IF( AND((COUNTIF(GJ$2:GJ$33,'Your Team'!$D$12)&gt;0),'Your Team'!$C$12="F" ),1,0)+IF( AND((COUNTIF(GJ$2:GJ$33,'Your Team'!$D$13)&gt;0),'Your Team'!$C$13="F" ),1,0)+IF( AND((COUNTIF(GJ$2:GJ$33,'Your Team'!$D$14)&gt;0),'Your Team'!$C$14="F" ),1,0)+IF( AND((COUNTIF(GJ$2:GJ$33,'Your Team'!$D$15)&gt;0),'Your Team'!$C$15="F" ),1,0)+IF( AND((COUNTIF(GJ$2:GJ$33,'Your Team'!$D$16)&gt;0),'Your Team'!$C$16="F" ),1,0)+IF( AND((COUNTIF(GJ$2:GJ$33,'Your Team'!$D$17)&gt;0),'Your Team'!$C$17="F" ),1,0)+IF( AND((COUNTIF(GJ$2:GJ$33,'Your Team'!$D$18)&gt;0),'Your Team'!$C$18="F" ),1,0)+IF( AND((COUNTIF(GJ$2:GJ$33,'Your Team'!$D$19)&gt;0),'Your Team'!$C$19="F" ),1,0)</f>
        <v>0</v>
      </c>
      <c r="GK38" s="9">
        <f>IF( AND((COUNTIF(GK$2:GK$33,'Your Team'!$D$3)&gt;0),'Your Team'!$C$3="F" ),1,0)+IF( AND((COUNTIF(GK$2:GK$33,'Your Team'!$D$4)&gt;0),'Your Team'!$C$4="F" ),1,0)+IF( AND((COUNTIF(GK$2:GK$33,'Your Team'!$D$5)&gt;0),'Your Team'!$C$5="F" ),1,0)+IF( AND((COUNTIF(GK$2:GK$33,'Your Team'!$D$6)&gt;0),'Your Team'!$C$6="F" ),1,0)+IF( AND((COUNTIF(GK$2:GK$33,'Your Team'!$D$7)&gt;0),'Your Team'!$C$7="F" ),1,0)+IF( AND((COUNTIF(GK$2:GK$33,'Your Team'!$D$8)&gt;0),'Your Team'!$C$8="F" ),1,0)+IF( AND((COUNTIF(GK$2:GK$33,'Your Team'!$D$9)&gt;0),'Your Team'!$C$9="F" ),1,0)+IF( AND((COUNTIF(GK$2:GK$33,'Your Team'!$D$10)&gt;0),'Your Team'!$C$10="F" ),1,0)+IF( AND((COUNTIF(GK$2:GK$33,'Your Team'!$D$11)&gt;0),'Your Team'!$C$11="F" ),1,0)+IF( AND((COUNTIF(GK$2:GK$33,'Your Team'!$D$12)&gt;0),'Your Team'!$C$12="F" ),1,0)+IF( AND((COUNTIF(GK$2:GK$33,'Your Team'!$D$13)&gt;0),'Your Team'!$C$13="F" ),1,0)+IF( AND((COUNTIF(GK$2:GK$33,'Your Team'!$D$14)&gt;0),'Your Team'!$C$14="F" ),1,0)+IF( AND((COUNTIF(GK$2:GK$33,'Your Team'!$D$15)&gt;0),'Your Team'!$C$15="F" ),1,0)+IF( AND((COUNTIF(GK$2:GK$33,'Your Team'!$D$16)&gt;0),'Your Team'!$C$16="F" ),1,0)+IF( AND((COUNTIF(GK$2:GK$33,'Your Team'!$D$17)&gt;0),'Your Team'!$C$17="F" ),1,0)+IF( AND((COUNTIF(GK$2:GK$33,'Your Team'!$D$18)&gt;0),'Your Team'!$C$18="F" ),1,0)+IF( AND((COUNTIF(GK$2:GK$33,'Your Team'!$D$19)&gt;0),'Your Team'!$C$19="F" ),1,0)</f>
        <v>0</v>
      </c>
      <c r="GL38" s="9">
        <f>IF( AND((COUNTIF(GL$2:GL$33,'Your Team'!$D$3)&gt;0),'Your Team'!$C$3="F" ),1,0)+IF( AND((COUNTIF(GL$2:GL$33,'Your Team'!$D$4)&gt;0),'Your Team'!$C$4="F" ),1,0)+IF( AND((COUNTIF(GL$2:GL$33,'Your Team'!$D$5)&gt;0),'Your Team'!$C$5="F" ),1,0)+IF( AND((COUNTIF(GL$2:GL$33,'Your Team'!$D$6)&gt;0),'Your Team'!$C$6="F" ),1,0)+IF( AND((COUNTIF(GL$2:GL$33,'Your Team'!$D$7)&gt;0),'Your Team'!$C$7="F" ),1,0)+IF( AND((COUNTIF(GL$2:GL$33,'Your Team'!$D$8)&gt;0),'Your Team'!$C$8="F" ),1,0)+IF( AND((COUNTIF(GL$2:GL$33,'Your Team'!$D$9)&gt;0),'Your Team'!$C$9="F" ),1,0)+IF( AND((COUNTIF(GL$2:GL$33,'Your Team'!$D$10)&gt;0),'Your Team'!$C$10="F" ),1,0)+IF( AND((COUNTIF(GL$2:GL$33,'Your Team'!$D$11)&gt;0),'Your Team'!$C$11="F" ),1,0)+IF( AND((COUNTIF(GL$2:GL$33,'Your Team'!$D$12)&gt;0),'Your Team'!$C$12="F" ),1,0)+IF( AND((COUNTIF(GL$2:GL$33,'Your Team'!$D$13)&gt;0),'Your Team'!$C$13="F" ),1,0)+IF( AND((COUNTIF(GL$2:GL$33,'Your Team'!$D$14)&gt;0),'Your Team'!$C$14="F" ),1,0)+IF( AND((COUNTIF(GL$2:GL$33,'Your Team'!$D$15)&gt;0),'Your Team'!$C$15="F" ),1,0)+IF( AND((COUNTIF(GL$2:GL$33,'Your Team'!$D$16)&gt;0),'Your Team'!$C$16="F" ),1,0)+IF( AND((COUNTIF(GL$2:GL$33,'Your Team'!$D$17)&gt;0),'Your Team'!$C$17="F" ),1,0)+IF( AND((COUNTIF(GL$2:GL$33,'Your Team'!$D$18)&gt;0),'Your Team'!$C$18="F" ),1,0)+IF( AND((COUNTIF(GL$2:GL$33,'Your Team'!$D$19)&gt;0),'Your Team'!$C$19="F" ),1,0)</f>
        <v>0</v>
      </c>
      <c r="GM38" s="9">
        <f>IF( AND((COUNTIF(GM$2:GM$33,'Your Team'!$D$3)&gt;0),'Your Team'!$C$3="F" ),1,0)+IF( AND((COUNTIF(GM$2:GM$33,'Your Team'!$D$4)&gt;0),'Your Team'!$C$4="F" ),1,0)+IF( AND((COUNTIF(GM$2:GM$33,'Your Team'!$D$5)&gt;0),'Your Team'!$C$5="F" ),1,0)+IF( AND((COUNTIF(GM$2:GM$33,'Your Team'!$D$6)&gt;0),'Your Team'!$C$6="F" ),1,0)+IF( AND((COUNTIF(GM$2:GM$33,'Your Team'!$D$7)&gt;0),'Your Team'!$C$7="F" ),1,0)+IF( AND((COUNTIF(GM$2:GM$33,'Your Team'!$D$8)&gt;0),'Your Team'!$C$8="F" ),1,0)+IF( AND((COUNTIF(GM$2:GM$33,'Your Team'!$D$9)&gt;0),'Your Team'!$C$9="F" ),1,0)+IF( AND((COUNTIF(GM$2:GM$33,'Your Team'!$D$10)&gt;0),'Your Team'!$C$10="F" ),1,0)+IF( AND((COUNTIF(GM$2:GM$33,'Your Team'!$D$11)&gt;0),'Your Team'!$C$11="F" ),1,0)+IF( AND((COUNTIF(GM$2:GM$33,'Your Team'!$D$12)&gt;0),'Your Team'!$C$12="F" ),1,0)+IF( AND((COUNTIF(GM$2:GM$33,'Your Team'!$D$13)&gt;0),'Your Team'!$C$13="F" ),1,0)+IF( AND((COUNTIF(GM$2:GM$33,'Your Team'!$D$14)&gt;0),'Your Team'!$C$14="F" ),1,0)+IF( AND((COUNTIF(GM$2:GM$33,'Your Team'!$D$15)&gt;0),'Your Team'!$C$15="F" ),1,0)+IF( AND((COUNTIF(GM$2:GM$33,'Your Team'!$D$16)&gt;0),'Your Team'!$C$16="F" ),1,0)+IF( AND((COUNTIF(GM$2:GM$33,'Your Team'!$D$17)&gt;0),'Your Team'!$C$17="F" ),1,0)+IF( AND((COUNTIF(GM$2:GM$33,'Your Team'!$D$18)&gt;0),'Your Team'!$C$18="F" ),1,0)+IF( AND((COUNTIF(GM$2:GM$33,'Your Team'!$D$19)&gt;0),'Your Team'!$C$19="F" ),1,0)</f>
        <v>0</v>
      </c>
      <c r="GN38" s="9">
        <f>IF( AND((COUNTIF(GN$2:GN$33,'Your Team'!$D$3)&gt;0),'Your Team'!$C$3="F" ),1,0)+IF( AND((COUNTIF(GN$2:GN$33,'Your Team'!$D$4)&gt;0),'Your Team'!$C$4="F" ),1,0)+IF( AND((COUNTIF(GN$2:GN$33,'Your Team'!$D$5)&gt;0),'Your Team'!$C$5="F" ),1,0)+IF( AND((COUNTIF(GN$2:GN$33,'Your Team'!$D$6)&gt;0),'Your Team'!$C$6="F" ),1,0)+IF( AND((COUNTIF(GN$2:GN$33,'Your Team'!$D$7)&gt;0),'Your Team'!$C$7="F" ),1,0)+IF( AND((COUNTIF(GN$2:GN$33,'Your Team'!$D$8)&gt;0),'Your Team'!$C$8="F" ),1,0)+IF( AND((COUNTIF(GN$2:GN$33,'Your Team'!$D$9)&gt;0),'Your Team'!$C$9="F" ),1,0)+IF( AND((COUNTIF(GN$2:GN$33,'Your Team'!$D$10)&gt;0),'Your Team'!$C$10="F" ),1,0)+IF( AND((COUNTIF(GN$2:GN$33,'Your Team'!$D$11)&gt;0),'Your Team'!$C$11="F" ),1,0)+IF( AND((COUNTIF(GN$2:GN$33,'Your Team'!$D$12)&gt;0),'Your Team'!$C$12="F" ),1,0)+IF( AND((COUNTIF(GN$2:GN$33,'Your Team'!$D$13)&gt;0),'Your Team'!$C$13="F" ),1,0)+IF( AND((COUNTIF(GN$2:GN$33,'Your Team'!$D$14)&gt;0),'Your Team'!$C$14="F" ),1,0)+IF( AND((COUNTIF(GN$2:GN$33,'Your Team'!$D$15)&gt;0),'Your Team'!$C$15="F" ),1,0)+IF( AND((COUNTIF(GN$2:GN$33,'Your Team'!$D$16)&gt;0),'Your Team'!$C$16="F" ),1,0)+IF( AND((COUNTIF(GN$2:GN$33,'Your Team'!$D$17)&gt;0),'Your Team'!$C$17="F" ),1,0)+IF( AND((COUNTIF(GN$2:GN$33,'Your Team'!$D$18)&gt;0),'Your Team'!$C$18="F" ),1,0)+IF( AND((COUNTIF(GN$2:GN$33,'Your Team'!$D$19)&gt;0),'Your Team'!$C$19="F" ),1,0)</f>
        <v>0</v>
      </c>
    </row>
    <row r="39" spans="1:196" x14ac:dyDescent="0.3">
      <c r="A39" s="6" t="s">
        <v>93</v>
      </c>
      <c r="H39" s="9">
        <f>IF( AND((COUNTIF(H$2:H$33,'Your Team'!$D$3)&gt;0),'Your Team'!$C$3="D" ),1,0)+IF( AND((COUNTIF(H$2:H$33,'Your Team'!$D$4)&gt;0),'Your Team'!$C$4="D" ),1,0)+IF( AND((COUNTIF(H$2:H$33,'Your Team'!$D$5)&gt;0),'Your Team'!$C$5="D" ),1,0)+IF( AND((COUNTIF(H$2:H$33,'Your Team'!$D$6)&gt;0),'Your Team'!$C$6="D" ),1,0)+IF( AND((COUNTIF(H$2:H$33,'Your Team'!$D$7)&gt;0),'Your Team'!$C$7="D" ),1,0)+IF( AND((COUNTIF(H$2:H$33,'Your Team'!$D$8)&gt;0),'Your Team'!$C$8="D" ),1,0)+IF( AND((COUNTIF(H$2:H$33,'Your Team'!$D$9)&gt;0),'Your Team'!$C$9="D" ),1,0)+IF( AND((COUNTIF(H$2:H$33,'Your Team'!$D$10)&gt;0),'Your Team'!$C$10="D" ),1,0)+IF( AND((COUNTIF(H$2:H$33,'Your Team'!$D$11)&gt;0),'Your Team'!$C$11="D" ),1,0)+IF( AND((COUNTIF(H$2:H$33,'Your Team'!$D$12)&gt;0),'Your Team'!$C$12="D" ),1,0)+IF( AND((COUNTIF(H$2:H$33,'Your Team'!$D$13)&gt;0),'Your Team'!$C$13="D" ),1,0)+IF( AND((COUNTIF(H$2:H$33,'Your Team'!$D$14)&gt;0),'Your Team'!$C$14="D" ),1,0)+IF( AND((COUNTIF(H$2:H$33,'Your Team'!$D$15)&gt;0),'Your Team'!$C$15="D" ),1,0)+IF( AND((COUNTIF(H$2:H$33,'Your Team'!$D$16)&gt;0),'Your Team'!$C$16="D" ),1,0)+IF( AND((COUNTIF(H$2:H$33,'Your Team'!$D$17)&gt;0),'Your Team'!$C$17="D" ),1,0)+IF( AND((COUNTIF(H$2:H$33,'Your Team'!$D$18)&gt;0),'Your Team'!$C$18="D" ),1,0)+IF( AND((COUNTIF(H$2:H$33,'Your Team'!$D$19)&gt;0),'Your Team'!$C$19="D" ),1,0)</f>
        <v>0</v>
      </c>
      <c r="I39" s="9">
        <f>IF( AND((COUNTIF(I$2:I$33,'Your Team'!$D$3)&gt;0),'Your Team'!$C$3="D" ),1,0)+IF( AND((COUNTIF(I$2:I$33,'Your Team'!$D$4)&gt;0),'Your Team'!$C$4="D" ),1,0)+IF( AND((COUNTIF(I$2:I$33,'Your Team'!$D$5)&gt;0),'Your Team'!$C$5="D" ),1,0)+IF( AND((COUNTIF(I$2:I$33,'Your Team'!$D$6)&gt;0),'Your Team'!$C$6="D" ),1,0)+IF( AND((COUNTIF(I$2:I$33,'Your Team'!$D$7)&gt;0),'Your Team'!$C$7="D" ),1,0)+IF( AND((COUNTIF(I$2:I$33,'Your Team'!$D$8)&gt;0),'Your Team'!$C$8="D" ),1,0)+IF( AND((COUNTIF(I$2:I$33,'Your Team'!$D$9)&gt;0),'Your Team'!$C$9="D" ),1,0)+IF( AND((COUNTIF(I$2:I$33,'Your Team'!$D$10)&gt;0),'Your Team'!$C$10="D" ),1,0)+IF( AND((COUNTIF(I$2:I$33,'Your Team'!$D$11)&gt;0),'Your Team'!$C$11="D" ),1,0)+IF( AND((COUNTIF(I$2:I$33,'Your Team'!$D$12)&gt;0),'Your Team'!$C$12="D" ),1,0)+IF( AND((COUNTIF(I$2:I$33,'Your Team'!$D$13)&gt;0),'Your Team'!$C$13="D" ),1,0)+IF( AND((COUNTIF(I$2:I$33,'Your Team'!$D$14)&gt;0),'Your Team'!$C$14="D" ),1,0)+IF( AND((COUNTIF(I$2:I$33,'Your Team'!$D$15)&gt;0),'Your Team'!$C$15="D" ),1,0)+IF( AND((COUNTIF(I$2:I$33,'Your Team'!$D$16)&gt;0),'Your Team'!$C$16="D" ),1,0)+IF( AND((COUNTIF(I$2:I$33,'Your Team'!$D$17)&gt;0),'Your Team'!$C$17="D" ),1,0)+IF( AND((COUNTIF(I$2:I$33,'Your Team'!$D$18)&gt;0),'Your Team'!$C$18="D" ),1,0)+IF( AND((COUNTIF(I$2:I$33,'Your Team'!$D$19)&gt;0),'Your Team'!$C$19="D" ),1,0)</f>
        <v>0</v>
      </c>
      <c r="J39" s="9">
        <f>IF( AND((COUNTIF(J$2:J$33,'Your Team'!$D$3)&gt;0),'Your Team'!$C$3="D" ),1,0)+IF( AND((COUNTIF(J$2:J$33,'Your Team'!$D$4)&gt;0),'Your Team'!$C$4="D" ),1,0)+IF( AND((COUNTIF(J$2:J$33,'Your Team'!$D$5)&gt;0),'Your Team'!$C$5="D" ),1,0)+IF( AND((COUNTIF(J$2:J$33,'Your Team'!$D$6)&gt;0),'Your Team'!$C$6="D" ),1,0)+IF( AND((COUNTIF(J$2:J$33,'Your Team'!$D$7)&gt;0),'Your Team'!$C$7="D" ),1,0)+IF( AND((COUNTIF(J$2:J$33,'Your Team'!$D$8)&gt;0),'Your Team'!$C$8="D" ),1,0)+IF( AND((COUNTIF(J$2:J$33,'Your Team'!$D$9)&gt;0),'Your Team'!$C$9="D" ),1,0)+IF( AND((COUNTIF(J$2:J$33,'Your Team'!$D$10)&gt;0),'Your Team'!$C$10="D" ),1,0)+IF( AND((COUNTIF(J$2:J$33,'Your Team'!$D$11)&gt;0),'Your Team'!$C$11="D" ),1,0)+IF( AND((COUNTIF(J$2:J$33,'Your Team'!$D$12)&gt;0),'Your Team'!$C$12="D" ),1,0)+IF( AND((COUNTIF(J$2:J$33,'Your Team'!$D$13)&gt;0),'Your Team'!$C$13="D" ),1,0)+IF( AND((COUNTIF(J$2:J$33,'Your Team'!$D$14)&gt;0),'Your Team'!$C$14="D" ),1,0)+IF( AND((COUNTIF(J$2:J$33,'Your Team'!$D$15)&gt;0),'Your Team'!$C$15="D" ),1,0)+IF( AND((COUNTIF(J$2:J$33,'Your Team'!$D$16)&gt;0),'Your Team'!$C$16="D" ),1,0)+IF( AND((COUNTIF(J$2:J$33,'Your Team'!$D$17)&gt;0),'Your Team'!$C$17="D" ),1,0)+IF( AND((COUNTIF(J$2:J$33,'Your Team'!$D$18)&gt;0),'Your Team'!$C$18="D" ),1,0)+IF( AND((COUNTIF(J$2:J$33,'Your Team'!$D$19)&gt;0),'Your Team'!$C$19="D" ),1,0)</f>
        <v>0</v>
      </c>
      <c r="K39" s="9">
        <f>IF( AND((COUNTIF(K$2:K$33,'Your Team'!$D$3)&gt;0),'Your Team'!$C$3="D" ),1,0)+IF( AND((COUNTIF(K$2:K$33,'Your Team'!$D$4)&gt;0),'Your Team'!$C$4="D" ),1,0)+IF( AND((COUNTIF(K$2:K$33,'Your Team'!$D$5)&gt;0),'Your Team'!$C$5="D" ),1,0)+IF( AND((COUNTIF(K$2:K$33,'Your Team'!$D$6)&gt;0),'Your Team'!$C$6="D" ),1,0)+IF( AND((COUNTIF(K$2:K$33,'Your Team'!$D$7)&gt;0),'Your Team'!$C$7="D" ),1,0)+IF( AND((COUNTIF(K$2:K$33,'Your Team'!$D$8)&gt;0),'Your Team'!$C$8="D" ),1,0)+IF( AND((COUNTIF(K$2:K$33,'Your Team'!$D$9)&gt;0),'Your Team'!$C$9="D" ),1,0)+IF( AND((COUNTIF(K$2:K$33,'Your Team'!$D$10)&gt;0),'Your Team'!$C$10="D" ),1,0)+IF( AND((COUNTIF(K$2:K$33,'Your Team'!$D$11)&gt;0),'Your Team'!$C$11="D" ),1,0)+IF( AND((COUNTIF(K$2:K$33,'Your Team'!$D$12)&gt;0),'Your Team'!$C$12="D" ),1,0)+IF( AND((COUNTIF(K$2:K$33,'Your Team'!$D$13)&gt;0),'Your Team'!$C$13="D" ),1,0)+IF( AND((COUNTIF(K$2:K$33,'Your Team'!$D$14)&gt;0),'Your Team'!$C$14="D" ),1,0)+IF( AND((COUNTIF(K$2:K$33,'Your Team'!$D$15)&gt;0),'Your Team'!$C$15="D" ),1,0)+IF( AND((COUNTIF(K$2:K$33,'Your Team'!$D$16)&gt;0),'Your Team'!$C$16="D" ),1,0)+IF( AND((COUNTIF(K$2:K$33,'Your Team'!$D$17)&gt;0),'Your Team'!$C$17="D" ),1,0)+IF( AND((COUNTIF(K$2:K$33,'Your Team'!$D$18)&gt;0),'Your Team'!$C$18="D" ),1,0)+IF( AND((COUNTIF(K$2:K$33,'Your Team'!$D$19)&gt;0),'Your Team'!$C$19="D" ),1,0)</f>
        <v>0</v>
      </c>
      <c r="L39" s="9">
        <f>IF( AND((COUNTIF(L$2:L$33,'Your Team'!$D$3)&gt;0),'Your Team'!$C$3="D" ),1,0)+IF( AND((COUNTIF(L$2:L$33,'Your Team'!$D$4)&gt;0),'Your Team'!$C$4="D" ),1,0)+IF( AND((COUNTIF(L$2:L$33,'Your Team'!$D$5)&gt;0),'Your Team'!$C$5="D" ),1,0)+IF( AND((COUNTIF(L$2:L$33,'Your Team'!$D$6)&gt;0),'Your Team'!$C$6="D" ),1,0)+IF( AND((COUNTIF(L$2:L$33,'Your Team'!$D$7)&gt;0),'Your Team'!$C$7="D" ),1,0)+IF( AND((COUNTIF(L$2:L$33,'Your Team'!$D$8)&gt;0),'Your Team'!$C$8="D" ),1,0)+IF( AND((COUNTIF(L$2:L$33,'Your Team'!$D$9)&gt;0),'Your Team'!$C$9="D" ),1,0)+IF( AND((COUNTIF(L$2:L$33,'Your Team'!$D$10)&gt;0),'Your Team'!$C$10="D" ),1,0)+IF( AND((COUNTIF(L$2:L$33,'Your Team'!$D$11)&gt;0),'Your Team'!$C$11="D" ),1,0)+IF( AND((COUNTIF(L$2:L$33,'Your Team'!$D$12)&gt;0),'Your Team'!$C$12="D" ),1,0)+IF( AND((COUNTIF(L$2:L$33,'Your Team'!$D$13)&gt;0),'Your Team'!$C$13="D" ),1,0)+IF( AND((COUNTIF(L$2:L$33,'Your Team'!$D$14)&gt;0),'Your Team'!$C$14="D" ),1,0)+IF( AND((COUNTIF(L$2:L$33,'Your Team'!$D$15)&gt;0),'Your Team'!$C$15="D" ),1,0)+IF( AND((COUNTIF(L$2:L$33,'Your Team'!$D$16)&gt;0),'Your Team'!$C$16="D" ),1,0)+IF( AND((COUNTIF(L$2:L$33,'Your Team'!$D$17)&gt;0),'Your Team'!$C$17="D" ),1,0)+IF( AND((COUNTIF(L$2:L$33,'Your Team'!$D$18)&gt;0),'Your Team'!$C$18="D" ),1,0)+IF( AND((COUNTIF(L$2:L$33,'Your Team'!$D$19)&gt;0),'Your Team'!$C$19="D" ),1,0)</f>
        <v>0</v>
      </c>
      <c r="M39" s="9">
        <f>IF( AND((COUNTIF(M$2:M$33,'Your Team'!$D$3)&gt;0),'Your Team'!$C$3="D" ),1,0)+IF( AND((COUNTIF(M$2:M$33,'Your Team'!$D$4)&gt;0),'Your Team'!$C$4="D" ),1,0)+IF( AND((COUNTIF(M$2:M$33,'Your Team'!$D$5)&gt;0),'Your Team'!$C$5="D" ),1,0)+IF( AND((COUNTIF(M$2:M$33,'Your Team'!$D$6)&gt;0),'Your Team'!$C$6="D" ),1,0)+IF( AND((COUNTIF(M$2:M$33,'Your Team'!$D$7)&gt;0),'Your Team'!$C$7="D" ),1,0)+IF( AND((COUNTIF(M$2:M$33,'Your Team'!$D$8)&gt;0),'Your Team'!$C$8="D" ),1,0)+IF( AND((COUNTIF(M$2:M$33,'Your Team'!$D$9)&gt;0),'Your Team'!$C$9="D" ),1,0)+IF( AND((COUNTIF(M$2:M$33,'Your Team'!$D$10)&gt;0),'Your Team'!$C$10="D" ),1,0)+IF( AND((COUNTIF(M$2:M$33,'Your Team'!$D$11)&gt;0),'Your Team'!$C$11="D" ),1,0)+IF( AND((COUNTIF(M$2:M$33,'Your Team'!$D$12)&gt;0),'Your Team'!$C$12="D" ),1,0)+IF( AND((COUNTIF(M$2:M$33,'Your Team'!$D$13)&gt;0),'Your Team'!$C$13="D" ),1,0)+IF( AND((COUNTIF(M$2:M$33,'Your Team'!$D$14)&gt;0),'Your Team'!$C$14="D" ),1,0)+IF( AND((COUNTIF(M$2:M$33,'Your Team'!$D$15)&gt;0),'Your Team'!$C$15="D" ),1,0)+IF( AND((COUNTIF(M$2:M$33,'Your Team'!$D$16)&gt;0),'Your Team'!$C$16="D" ),1,0)+IF( AND((COUNTIF(M$2:M$33,'Your Team'!$D$17)&gt;0),'Your Team'!$C$17="D" ),1,0)+IF( AND((COUNTIF(M$2:M$33,'Your Team'!$D$18)&gt;0),'Your Team'!$C$18="D" ),1,0)+IF( AND((COUNTIF(M$2:M$33,'Your Team'!$D$19)&gt;0),'Your Team'!$C$19="D" ),1,0)</f>
        <v>0</v>
      </c>
      <c r="N39" s="9">
        <f>IF( AND((COUNTIF(N$2:N$33,'Your Team'!$D$3)&gt;0),'Your Team'!$C$3="D" ),1,0)+IF( AND((COUNTIF(N$2:N$33,'Your Team'!$D$4)&gt;0),'Your Team'!$C$4="D" ),1,0)+IF( AND((COUNTIF(N$2:N$33,'Your Team'!$D$5)&gt;0),'Your Team'!$C$5="D" ),1,0)+IF( AND((COUNTIF(N$2:N$33,'Your Team'!$D$6)&gt;0),'Your Team'!$C$6="D" ),1,0)+IF( AND((COUNTIF(N$2:N$33,'Your Team'!$D$7)&gt;0),'Your Team'!$C$7="D" ),1,0)+IF( AND((COUNTIF(N$2:N$33,'Your Team'!$D$8)&gt;0),'Your Team'!$C$8="D" ),1,0)+IF( AND((COUNTIF(N$2:N$33,'Your Team'!$D$9)&gt;0),'Your Team'!$C$9="D" ),1,0)+IF( AND((COUNTIF(N$2:N$33,'Your Team'!$D$10)&gt;0),'Your Team'!$C$10="D" ),1,0)+IF( AND((COUNTIF(N$2:N$33,'Your Team'!$D$11)&gt;0),'Your Team'!$C$11="D" ),1,0)+IF( AND((COUNTIF(N$2:N$33,'Your Team'!$D$12)&gt;0),'Your Team'!$C$12="D" ),1,0)+IF( AND((COUNTIF(N$2:N$33,'Your Team'!$D$13)&gt;0),'Your Team'!$C$13="D" ),1,0)+IF( AND((COUNTIF(N$2:N$33,'Your Team'!$D$14)&gt;0),'Your Team'!$C$14="D" ),1,0)+IF( AND((COUNTIF(N$2:N$33,'Your Team'!$D$15)&gt;0),'Your Team'!$C$15="D" ),1,0)+IF( AND((COUNTIF(N$2:N$33,'Your Team'!$D$16)&gt;0),'Your Team'!$C$16="D" ),1,0)+IF( AND((COUNTIF(N$2:N$33,'Your Team'!$D$17)&gt;0),'Your Team'!$C$17="D" ),1,0)+IF( AND((COUNTIF(N$2:N$33,'Your Team'!$D$18)&gt;0),'Your Team'!$C$18="D" ),1,0)+IF( AND((COUNTIF(N$2:N$33,'Your Team'!$D$19)&gt;0),'Your Team'!$C$19="D" ),1,0)</f>
        <v>0</v>
      </c>
      <c r="O39" s="9">
        <f>IF( AND((COUNTIF(O$2:O$33,'Your Team'!$D$3)&gt;0),'Your Team'!$C$3="D" ),1,0)+IF( AND((COUNTIF(O$2:O$33,'Your Team'!$D$4)&gt;0),'Your Team'!$C$4="D" ),1,0)+IF( AND((COUNTIF(O$2:O$33,'Your Team'!$D$5)&gt;0),'Your Team'!$C$5="D" ),1,0)+IF( AND((COUNTIF(O$2:O$33,'Your Team'!$D$6)&gt;0),'Your Team'!$C$6="D" ),1,0)+IF( AND((COUNTIF(O$2:O$33,'Your Team'!$D$7)&gt;0),'Your Team'!$C$7="D" ),1,0)+IF( AND((COUNTIF(O$2:O$33,'Your Team'!$D$8)&gt;0),'Your Team'!$C$8="D" ),1,0)+IF( AND((COUNTIF(O$2:O$33,'Your Team'!$D$9)&gt;0),'Your Team'!$C$9="D" ),1,0)+IF( AND((COUNTIF(O$2:O$33,'Your Team'!$D$10)&gt;0),'Your Team'!$C$10="D" ),1,0)+IF( AND((COUNTIF(O$2:O$33,'Your Team'!$D$11)&gt;0),'Your Team'!$C$11="D" ),1,0)+IF( AND((COUNTIF(O$2:O$33,'Your Team'!$D$12)&gt;0),'Your Team'!$C$12="D" ),1,0)+IF( AND((COUNTIF(O$2:O$33,'Your Team'!$D$13)&gt;0),'Your Team'!$C$13="D" ),1,0)+IF( AND((COUNTIF(O$2:O$33,'Your Team'!$D$14)&gt;0),'Your Team'!$C$14="D" ),1,0)+IF( AND((COUNTIF(O$2:O$33,'Your Team'!$D$15)&gt;0),'Your Team'!$C$15="D" ),1,0)+IF( AND((COUNTIF(O$2:O$33,'Your Team'!$D$16)&gt;0),'Your Team'!$C$16="D" ),1,0)+IF( AND((COUNTIF(O$2:O$33,'Your Team'!$D$17)&gt;0),'Your Team'!$C$17="D" ),1,0)+IF( AND((COUNTIF(O$2:O$33,'Your Team'!$D$18)&gt;0),'Your Team'!$C$18="D" ),1,0)+IF( AND((COUNTIF(O$2:O$33,'Your Team'!$D$19)&gt;0),'Your Team'!$C$19="D" ),1,0)</f>
        <v>0</v>
      </c>
      <c r="P39" s="9">
        <f>IF( AND((COUNTIF(P$2:P$33,'Your Team'!$D$3)&gt;0),'Your Team'!$C$3="D" ),1,0)+IF( AND((COUNTIF(P$2:P$33,'Your Team'!$D$4)&gt;0),'Your Team'!$C$4="D" ),1,0)+IF( AND((COUNTIF(P$2:P$33,'Your Team'!$D$5)&gt;0),'Your Team'!$C$5="D" ),1,0)+IF( AND((COUNTIF(P$2:P$33,'Your Team'!$D$6)&gt;0),'Your Team'!$C$6="D" ),1,0)+IF( AND((COUNTIF(P$2:P$33,'Your Team'!$D$7)&gt;0),'Your Team'!$C$7="D" ),1,0)+IF( AND((COUNTIF(P$2:P$33,'Your Team'!$D$8)&gt;0),'Your Team'!$C$8="D" ),1,0)+IF( AND((COUNTIF(P$2:P$33,'Your Team'!$D$9)&gt;0),'Your Team'!$C$9="D" ),1,0)+IF( AND((COUNTIF(P$2:P$33,'Your Team'!$D$10)&gt;0),'Your Team'!$C$10="D" ),1,0)+IF( AND((COUNTIF(P$2:P$33,'Your Team'!$D$11)&gt;0),'Your Team'!$C$11="D" ),1,0)+IF( AND((COUNTIF(P$2:P$33,'Your Team'!$D$12)&gt;0),'Your Team'!$C$12="D" ),1,0)+IF( AND((COUNTIF(P$2:P$33,'Your Team'!$D$13)&gt;0),'Your Team'!$C$13="D" ),1,0)+IF( AND((COUNTIF(P$2:P$33,'Your Team'!$D$14)&gt;0),'Your Team'!$C$14="D" ),1,0)+IF( AND((COUNTIF(P$2:P$33,'Your Team'!$D$15)&gt;0),'Your Team'!$C$15="D" ),1,0)+IF( AND((COUNTIF(P$2:P$33,'Your Team'!$D$16)&gt;0),'Your Team'!$C$16="D" ),1,0)+IF( AND((COUNTIF(P$2:P$33,'Your Team'!$D$17)&gt;0),'Your Team'!$C$17="D" ),1,0)+IF( AND((COUNTIF(P$2:P$33,'Your Team'!$D$18)&gt;0),'Your Team'!$C$18="D" ),1,0)+IF( AND((COUNTIF(P$2:P$33,'Your Team'!$D$19)&gt;0),'Your Team'!$C$19="D" ),1,0)</f>
        <v>0</v>
      </c>
      <c r="Q39" s="9">
        <f>IF( AND((COUNTIF(Q$2:Q$33,'Your Team'!$D$3)&gt;0),'Your Team'!$C$3="D" ),1,0)+IF( AND((COUNTIF(Q$2:Q$33,'Your Team'!$D$4)&gt;0),'Your Team'!$C$4="D" ),1,0)+IF( AND((COUNTIF(Q$2:Q$33,'Your Team'!$D$5)&gt;0),'Your Team'!$C$5="D" ),1,0)+IF( AND((COUNTIF(Q$2:Q$33,'Your Team'!$D$6)&gt;0),'Your Team'!$C$6="D" ),1,0)+IF( AND((COUNTIF(Q$2:Q$33,'Your Team'!$D$7)&gt;0),'Your Team'!$C$7="D" ),1,0)+IF( AND((COUNTIF(Q$2:Q$33,'Your Team'!$D$8)&gt;0),'Your Team'!$C$8="D" ),1,0)+IF( AND((COUNTIF(Q$2:Q$33,'Your Team'!$D$9)&gt;0),'Your Team'!$C$9="D" ),1,0)+IF( AND((COUNTIF(Q$2:Q$33,'Your Team'!$D$10)&gt;0),'Your Team'!$C$10="D" ),1,0)+IF( AND((COUNTIF(Q$2:Q$33,'Your Team'!$D$11)&gt;0),'Your Team'!$C$11="D" ),1,0)+IF( AND((COUNTIF(Q$2:Q$33,'Your Team'!$D$12)&gt;0),'Your Team'!$C$12="D" ),1,0)+IF( AND((COUNTIF(Q$2:Q$33,'Your Team'!$D$13)&gt;0),'Your Team'!$C$13="D" ),1,0)+IF( AND((COUNTIF(Q$2:Q$33,'Your Team'!$D$14)&gt;0),'Your Team'!$C$14="D" ),1,0)+IF( AND((COUNTIF(Q$2:Q$33,'Your Team'!$D$15)&gt;0),'Your Team'!$C$15="D" ),1,0)+IF( AND((COUNTIF(Q$2:Q$33,'Your Team'!$D$16)&gt;0),'Your Team'!$C$16="D" ),1,0)+IF( AND((COUNTIF(Q$2:Q$33,'Your Team'!$D$17)&gt;0),'Your Team'!$C$17="D" ),1,0)+IF( AND((COUNTIF(Q$2:Q$33,'Your Team'!$D$18)&gt;0),'Your Team'!$C$18="D" ),1,0)+IF( AND((COUNTIF(Q$2:Q$33,'Your Team'!$D$19)&gt;0),'Your Team'!$C$19="D" ),1,0)</f>
        <v>0</v>
      </c>
      <c r="R39" s="9">
        <f>IF( AND((COUNTIF(R$2:R$33,'Your Team'!$D$3)&gt;0),'Your Team'!$C$3="D" ),1,0)+IF( AND((COUNTIF(R$2:R$33,'Your Team'!$D$4)&gt;0),'Your Team'!$C$4="D" ),1,0)+IF( AND((COUNTIF(R$2:R$33,'Your Team'!$D$5)&gt;0),'Your Team'!$C$5="D" ),1,0)+IF( AND((COUNTIF(R$2:R$33,'Your Team'!$D$6)&gt;0),'Your Team'!$C$6="D" ),1,0)+IF( AND((COUNTIF(R$2:R$33,'Your Team'!$D$7)&gt;0),'Your Team'!$C$7="D" ),1,0)+IF( AND((COUNTIF(R$2:R$33,'Your Team'!$D$8)&gt;0),'Your Team'!$C$8="D" ),1,0)+IF( AND((COUNTIF(R$2:R$33,'Your Team'!$D$9)&gt;0),'Your Team'!$C$9="D" ),1,0)+IF( AND((COUNTIF(R$2:R$33,'Your Team'!$D$10)&gt;0),'Your Team'!$C$10="D" ),1,0)+IF( AND((COUNTIF(R$2:R$33,'Your Team'!$D$11)&gt;0),'Your Team'!$C$11="D" ),1,0)+IF( AND((COUNTIF(R$2:R$33,'Your Team'!$D$12)&gt;0),'Your Team'!$C$12="D" ),1,0)+IF( AND((COUNTIF(R$2:R$33,'Your Team'!$D$13)&gt;0),'Your Team'!$C$13="D" ),1,0)+IF( AND((COUNTIF(R$2:R$33,'Your Team'!$D$14)&gt;0),'Your Team'!$C$14="D" ),1,0)+IF( AND((COUNTIF(R$2:R$33,'Your Team'!$D$15)&gt;0),'Your Team'!$C$15="D" ),1,0)+IF( AND((COUNTIF(R$2:R$33,'Your Team'!$D$16)&gt;0),'Your Team'!$C$16="D" ),1,0)+IF( AND((COUNTIF(R$2:R$33,'Your Team'!$D$17)&gt;0),'Your Team'!$C$17="D" ),1,0)+IF( AND((COUNTIF(R$2:R$33,'Your Team'!$D$18)&gt;0),'Your Team'!$C$18="D" ),1,0)+IF( AND((COUNTIF(R$2:R$33,'Your Team'!$D$19)&gt;0),'Your Team'!$C$19="D" ),1,0)</f>
        <v>0</v>
      </c>
      <c r="S39" s="9">
        <f>IF( AND((COUNTIF(S$2:S$33,'Your Team'!$D$3)&gt;0),'Your Team'!$C$3="D" ),1,0)+IF( AND((COUNTIF(S$2:S$33,'Your Team'!$D$4)&gt;0),'Your Team'!$C$4="D" ),1,0)+IF( AND((COUNTIF(S$2:S$33,'Your Team'!$D$5)&gt;0),'Your Team'!$C$5="D" ),1,0)+IF( AND((COUNTIF(S$2:S$33,'Your Team'!$D$6)&gt;0),'Your Team'!$C$6="D" ),1,0)+IF( AND((COUNTIF(S$2:S$33,'Your Team'!$D$7)&gt;0),'Your Team'!$C$7="D" ),1,0)+IF( AND((COUNTIF(S$2:S$33,'Your Team'!$D$8)&gt;0),'Your Team'!$C$8="D" ),1,0)+IF( AND((COUNTIF(S$2:S$33,'Your Team'!$D$9)&gt;0),'Your Team'!$C$9="D" ),1,0)+IF( AND((COUNTIF(S$2:S$33,'Your Team'!$D$10)&gt;0),'Your Team'!$C$10="D" ),1,0)+IF( AND((COUNTIF(S$2:S$33,'Your Team'!$D$11)&gt;0),'Your Team'!$C$11="D" ),1,0)+IF( AND((COUNTIF(S$2:S$33,'Your Team'!$D$12)&gt;0),'Your Team'!$C$12="D" ),1,0)+IF( AND((COUNTIF(S$2:S$33,'Your Team'!$D$13)&gt;0),'Your Team'!$C$13="D" ),1,0)+IF( AND((COUNTIF(S$2:S$33,'Your Team'!$D$14)&gt;0),'Your Team'!$C$14="D" ),1,0)+IF( AND((COUNTIF(S$2:S$33,'Your Team'!$D$15)&gt;0),'Your Team'!$C$15="D" ),1,0)+IF( AND((COUNTIF(S$2:S$33,'Your Team'!$D$16)&gt;0),'Your Team'!$C$16="D" ),1,0)+IF( AND((COUNTIF(S$2:S$33,'Your Team'!$D$17)&gt;0),'Your Team'!$C$17="D" ),1,0)+IF( AND((COUNTIF(S$2:S$33,'Your Team'!$D$18)&gt;0),'Your Team'!$C$18="D" ),1,0)+IF( AND((COUNTIF(S$2:S$33,'Your Team'!$D$19)&gt;0),'Your Team'!$C$19="D" ),1,0)</f>
        <v>0</v>
      </c>
      <c r="T39" s="9">
        <f>IF( AND((COUNTIF(T$2:T$33,'Your Team'!$D$3)&gt;0),'Your Team'!$C$3="D" ),1,0)+IF( AND((COUNTIF(T$2:T$33,'Your Team'!$D$4)&gt;0),'Your Team'!$C$4="D" ),1,0)+IF( AND((COUNTIF(T$2:T$33,'Your Team'!$D$5)&gt;0),'Your Team'!$C$5="D" ),1,0)+IF( AND((COUNTIF(T$2:T$33,'Your Team'!$D$6)&gt;0),'Your Team'!$C$6="D" ),1,0)+IF( AND((COUNTIF(T$2:T$33,'Your Team'!$D$7)&gt;0),'Your Team'!$C$7="D" ),1,0)+IF( AND((COUNTIF(T$2:T$33,'Your Team'!$D$8)&gt;0),'Your Team'!$C$8="D" ),1,0)+IF( AND((COUNTIF(T$2:T$33,'Your Team'!$D$9)&gt;0),'Your Team'!$C$9="D" ),1,0)+IF( AND((COUNTIF(T$2:T$33,'Your Team'!$D$10)&gt;0),'Your Team'!$C$10="D" ),1,0)+IF( AND((COUNTIF(T$2:T$33,'Your Team'!$D$11)&gt;0),'Your Team'!$C$11="D" ),1,0)+IF( AND((COUNTIF(T$2:T$33,'Your Team'!$D$12)&gt;0),'Your Team'!$C$12="D" ),1,0)+IF( AND((COUNTIF(T$2:T$33,'Your Team'!$D$13)&gt;0),'Your Team'!$C$13="D" ),1,0)+IF( AND((COUNTIF(T$2:T$33,'Your Team'!$D$14)&gt;0),'Your Team'!$C$14="D" ),1,0)+IF( AND((COUNTIF(T$2:T$33,'Your Team'!$D$15)&gt;0),'Your Team'!$C$15="D" ),1,0)+IF( AND((COUNTIF(T$2:T$33,'Your Team'!$D$16)&gt;0),'Your Team'!$C$16="D" ),1,0)+IF( AND((COUNTIF(T$2:T$33,'Your Team'!$D$17)&gt;0),'Your Team'!$C$17="D" ),1,0)+IF( AND((COUNTIF(T$2:T$33,'Your Team'!$D$18)&gt;0),'Your Team'!$C$18="D" ),1,0)+IF( AND((COUNTIF(T$2:T$33,'Your Team'!$D$19)&gt;0),'Your Team'!$C$19="D" ),1,0)</f>
        <v>0</v>
      </c>
      <c r="U39" s="9">
        <f>IF( AND((COUNTIF(U$2:U$33,'Your Team'!$D$3)&gt;0),'Your Team'!$C$3="D" ),1,0)+IF( AND((COUNTIF(U$2:U$33,'Your Team'!$D$4)&gt;0),'Your Team'!$C$4="D" ),1,0)+IF( AND((COUNTIF(U$2:U$33,'Your Team'!$D$5)&gt;0),'Your Team'!$C$5="D" ),1,0)+IF( AND((COUNTIF(U$2:U$33,'Your Team'!$D$6)&gt;0),'Your Team'!$C$6="D" ),1,0)+IF( AND((COUNTIF(U$2:U$33,'Your Team'!$D$7)&gt;0),'Your Team'!$C$7="D" ),1,0)+IF( AND((COUNTIF(U$2:U$33,'Your Team'!$D$8)&gt;0),'Your Team'!$C$8="D" ),1,0)+IF( AND((COUNTIF(U$2:U$33,'Your Team'!$D$9)&gt;0),'Your Team'!$C$9="D" ),1,0)+IF( AND((COUNTIF(U$2:U$33,'Your Team'!$D$10)&gt;0),'Your Team'!$C$10="D" ),1,0)+IF( AND((COUNTIF(U$2:U$33,'Your Team'!$D$11)&gt;0),'Your Team'!$C$11="D" ),1,0)+IF( AND((COUNTIF(U$2:U$33,'Your Team'!$D$12)&gt;0),'Your Team'!$C$12="D" ),1,0)+IF( AND((COUNTIF(U$2:U$33,'Your Team'!$D$13)&gt;0),'Your Team'!$C$13="D" ),1,0)+IF( AND((COUNTIF(U$2:U$33,'Your Team'!$D$14)&gt;0),'Your Team'!$C$14="D" ),1,0)+IF( AND((COUNTIF(U$2:U$33,'Your Team'!$D$15)&gt;0),'Your Team'!$C$15="D" ),1,0)+IF( AND((COUNTIF(U$2:U$33,'Your Team'!$D$16)&gt;0),'Your Team'!$C$16="D" ),1,0)+IF( AND((COUNTIF(U$2:U$33,'Your Team'!$D$17)&gt;0),'Your Team'!$C$17="D" ),1,0)+IF( AND((COUNTIF(U$2:U$33,'Your Team'!$D$18)&gt;0),'Your Team'!$C$18="D" ),1,0)+IF( AND((COUNTIF(U$2:U$33,'Your Team'!$D$19)&gt;0),'Your Team'!$C$19="D" ),1,0)</f>
        <v>0</v>
      </c>
      <c r="V39" s="9">
        <f>IF( AND((COUNTIF(V$2:V$33,'Your Team'!$D$3)&gt;0),'Your Team'!$C$3="D" ),1,0)+IF( AND((COUNTIF(V$2:V$33,'Your Team'!$D$4)&gt;0),'Your Team'!$C$4="D" ),1,0)+IF( AND((COUNTIF(V$2:V$33,'Your Team'!$D$5)&gt;0),'Your Team'!$C$5="D" ),1,0)+IF( AND((COUNTIF(V$2:V$33,'Your Team'!$D$6)&gt;0),'Your Team'!$C$6="D" ),1,0)+IF( AND((COUNTIF(V$2:V$33,'Your Team'!$D$7)&gt;0),'Your Team'!$C$7="D" ),1,0)+IF( AND((COUNTIF(V$2:V$33,'Your Team'!$D$8)&gt;0),'Your Team'!$C$8="D" ),1,0)+IF( AND((COUNTIF(V$2:V$33,'Your Team'!$D$9)&gt;0),'Your Team'!$C$9="D" ),1,0)+IF( AND((COUNTIF(V$2:V$33,'Your Team'!$D$10)&gt;0),'Your Team'!$C$10="D" ),1,0)+IF( AND((COUNTIF(V$2:V$33,'Your Team'!$D$11)&gt;0),'Your Team'!$C$11="D" ),1,0)+IF( AND((COUNTIF(V$2:V$33,'Your Team'!$D$12)&gt;0),'Your Team'!$C$12="D" ),1,0)+IF( AND((COUNTIF(V$2:V$33,'Your Team'!$D$13)&gt;0),'Your Team'!$C$13="D" ),1,0)+IF( AND((COUNTIF(V$2:V$33,'Your Team'!$D$14)&gt;0),'Your Team'!$C$14="D" ),1,0)+IF( AND((COUNTIF(V$2:V$33,'Your Team'!$D$15)&gt;0),'Your Team'!$C$15="D" ),1,0)+IF( AND((COUNTIF(V$2:V$33,'Your Team'!$D$16)&gt;0),'Your Team'!$C$16="D" ),1,0)+IF( AND((COUNTIF(V$2:V$33,'Your Team'!$D$17)&gt;0),'Your Team'!$C$17="D" ),1,0)+IF( AND((COUNTIF(V$2:V$33,'Your Team'!$D$18)&gt;0),'Your Team'!$C$18="D" ),1,0)+IF( AND((COUNTIF(V$2:V$33,'Your Team'!$D$19)&gt;0),'Your Team'!$C$19="D" ),1,0)</f>
        <v>0</v>
      </c>
      <c r="W39" s="9">
        <f>IF( AND((COUNTIF(W$2:W$33,'Your Team'!$D$3)&gt;0),'Your Team'!$C$3="D" ),1,0)+IF( AND((COUNTIF(W$2:W$33,'Your Team'!$D$4)&gt;0),'Your Team'!$C$4="D" ),1,0)+IF( AND((COUNTIF(W$2:W$33,'Your Team'!$D$5)&gt;0),'Your Team'!$C$5="D" ),1,0)+IF( AND((COUNTIF(W$2:W$33,'Your Team'!$D$6)&gt;0),'Your Team'!$C$6="D" ),1,0)+IF( AND((COUNTIF(W$2:W$33,'Your Team'!$D$7)&gt;0),'Your Team'!$C$7="D" ),1,0)+IF( AND((COUNTIF(W$2:W$33,'Your Team'!$D$8)&gt;0),'Your Team'!$C$8="D" ),1,0)+IF( AND((COUNTIF(W$2:W$33,'Your Team'!$D$9)&gt;0),'Your Team'!$C$9="D" ),1,0)+IF( AND((COUNTIF(W$2:W$33,'Your Team'!$D$10)&gt;0),'Your Team'!$C$10="D" ),1,0)+IF( AND((COUNTIF(W$2:W$33,'Your Team'!$D$11)&gt;0),'Your Team'!$C$11="D" ),1,0)+IF( AND((COUNTIF(W$2:W$33,'Your Team'!$D$12)&gt;0),'Your Team'!$C$12="D" ),1,0)+IF( AND((COUNTIF(W$2:W$33,'Your Team'!$D$13)&gt;0),'Your Team'!$C$13="D" ),1,0)+IF( AND((COUNTIF(W$2:W$33,'Your Team'!$D$14)&gt;0),'Your Team'!$C$14="D" ),1,0)+IF( AND((COUNTIF(W$2:W$33,'Your Team'!$D$15)&gt;0),'Your Team'!$C$15="D" ),1,0)+IF( AND((COUNTIF(W$2:W$33,'Your Team'!$D$16)&gt;0),'Your Team'!$C$16="D" ),1,0)+IF( AND((COUNTIF(W$2:W$33,'Your Team'!$D$17)&gt;0),'Your Team'!$C$17="D" ),1,0)+IF( AND((COUNTIF(W$2:W$33,'Your Team'!$D$18)&gt;0),'Your Team'!$C$18="D" ),1,0)+IF( AND((COUNTIF(W$2:W$33,'Your Team'!$D$19)&gt;0),'Your Team'!$C$19="D" ),1,0)</f>
        <v>0</v>
      </c>
      <c r="X39" s="9">
        <f>IF( AND((COUNTIF(X$2:X$33,'Your Team'!$D$3)&gt;0),'Your Team'!$C$3="D" ),1,0)+IF( AND((COUNTIF(X$2:X$33,'Your Team'!$D$4)&gt;0),'Your Team'!$C$4="D" ),1,0)+IF( AND((COUNTIF(X$2:X$33,'Your Team'!$D$5)&gt;0),'Your Team'!$C$5="D" ),1,0)+IF( AND((COUNTIF(X$2:X$33,'Your Team'!$D$6)&gt;0),'Your Team'!$C$6="D" ),1,0)+IF( AND((COUNTIF(X$2:X$33,'Your Team'!$D$7)&gt;0),'Your Team'!$C$7="D" ),1,0)+IF( AND((COUNTIF(X$2:X$33,'Your Team'!$D$8)&gt;0),'Your Team'!$C$8="D" ),1,0)+IF( AND((COUNTIF(X$2:X$33,'Your Team'!$D$9)&gt;0),'Your Team'!$C$9="D" ),1,0)+IF( AND((COUNTIF(X$2:X$33,'Your Team'!$D$10)&gt;0),'Your Team'!$C$10="D" ),1,0)+IF( AND((COUNTIF(X$2:X$33,'Your Team'!$D$11)&gt;0),'Your Team'!$C$11="D" ),1,0)+IF( AND((COUNTIF(X$2:X$33,'Your Team'!$D$12)&gt;0),'Your Team'!$C$12="D" ),1,0)+IF( AND((COUNTIF(X$2:X$33,'Your Team'!$D$13)&gt;0),'Your Team'!$C$13="D" ),1,0)+IF( AND((COUNTIF(X$2:X$33,'Your Team'!$D$14)&gt;0),'Your Team'!$C$14="D" ),1,0)+IF( AND((COUNTIF(X$2:X$33,'Your Team'!$D$15)&gt;0),'Your Team'!$C$15="D" ),1,0)+IF( AND((COUNTIF(X$2:X$33,'Your Team'!$D$16)&gt;0),'Your Team'!$C$16="D" ),1,0)+IF( AND((COUNTIF(X$2:X$33,'Your Team'!$D$17)&gt;0),'Your Team'!$C$17="D" ),1,0)+IF( AND((COUNTIF(X$2:X$33,'Your Team'!$D$18)&gt;0),'Your Team'!$C$18="D" ),1,0)+IF( AND((COUNTIF(X$2:X$33,'Your Team'!$D$19)&gt;0),'Your Team'!$C$19="D" ),1,0)</f>
        <v>0</v>
      </c>
      <c r="Y39" s="9">
        <f>IF( AND((COUNTIF(Y$2:Y$33,'Your Team'!$D$3)&gt;0),'Your Team'!$C$3="D" ),1,0)+IF( AND((COUNTIF(Y$2:Y$33,'Your Team'!$D$4)&gt;0),'Your Team'!$C$4="D" ),1,0)+IF( AND((COUNTIF(Y$2:Y$33,'Your Team'!$D$5)&gt;0),'Your Team'!$C$5="D" ),1,0)+IF( AND((COUNTIF(Y$2:Y$33,'Your Team'!$D$6)&gt;0),'Your Team'!$C$6="D" ),1,0)+IF( AND((COUNTIF(Y$2:Y$33,'Your Team'!$D$7)&gt;0),'Your Team'!$C$7="D" ),1,0)+IF( AND((COUNTIF(Y$2:Y$33,'Your Team'!$D$8)&gt;0),'Your Team'!$C$8="D" ),1,0)+IF( AND((COUNTIF(Y$2:Y$33,'Your Team'!$D$9)&gt;0),'Your Team'!$C$9="D" ),1,0)+IF( AND((COUNTIF(Y$2:Y$33,'Your Team'!$D$10)&gt;0),'Your Team'!$C$10="D" ),1,0)+IF( AND((COUNTIF(Y$2:Y$33,'Your Team'!$D$11)&gt;0),'Your Team'!$C$11="D" ),1,0)+IF( AND((COUNTIF(Y$2:Y$33,'Your Team'!$D$12)&gt;0),'Your Team'!$C$12="D" ),1,0)+IF( AND((COUNTIF(Y$2:Y$33,'Your Team'!$D$13)&gt;0),'Your Team'!$C$13="D" ),1,0)+IF( AND((COUNTIF(Y$2:Y$33,'Your Team'!$D$14)&gt;0),'Your Team'!$C$14="D" ),1,0)+IF( AND((COUNTIF(Y$2:Y$33,'Your Team'!$D$15)&gt;0),'Your Team'!$C$15="D" ),1,0)+IF( AND((COUNTIF(Y$2:Y$33,'Your Team'!$D$16)&gt;0),'Your Team'!$C$16="D" ),1,0)+IF( AND((COUNTIF(Y$2:Y$33,'Your Team'!$D$17)&gt;0),'Your Team'!$C$17="D" ),1,0)+IF( AND((COUNTIF(Y$2:Y$33,'Your Team'!$D$18)&gt;0),'Your Team'!$C$18="D" ),1,0)+IF( AND((COUNTIF(Y$2:Y$33,'Your Team'!$D$19)&gt;0),'Your Team'!$C$19="D" ),1,0)</f>
        <v>0</v>
      </c>
      <c r="Z39" s="9">
        <f>IF( AND((COUNTIF(Z$2:Z$33,'Your Team'!$D$3)&gt;0),'Your Team'!$C$3="D" ),1,0)+IF( AND((COUNTIF(Z$2:Z$33,'Your Team'!$D$4)&gt;0),'Your Team'!$C$4="D" ),1,0)+IF( AND((COUNTIF(Z$2:Z$33,'Your Team'!$D$5)&gt;0),'Your Team'!$C$5="D" ),1,0)+IF( AND((COUNTIF(Z$2:Z$33,'Your Team'!$D$6)&gt;0),'Your Team'!$C$6="D" ),1,0)+IF( AND((COUNTIF(Z$2:Z$33,'Your Team'!$D$7)&gt;0),'Your Team'!$C$7="D" ),1,0)+IF( AND((COUNTIF(Z$2:Z$33,'Your Team'!$D$8)&gt;0),'Your Team'!$C$8="D" ),1,0)+IF( AND((COUNTIF(Z$2:Z$33,'Your Team'!$D$9)&gt;0),'Your Team'!$C$9="D" ),1,0)+IF( AND((COUNTIF(Z$2:Z$33,'Your Team'!$D$10)&gt;0),'Your Team'!$C$10="D" ),1,0)+IF( AND((COUNTIF(Z$2:Z$33,'Your Team'!$D$11)&gt;0),'Your Team'!$C$11="D" ),1,0)+IF( AND((COUNTIF(Z$2:Z$33,'Your Team'!$D$12)&gt;0),'Your Team'!$C$12="D" ),1,0)+IF( AND((COUNTIF(Z$2:Z$33,'Your Team'!$D$13)&gt;0),'Your Team'!$C$13="D" ),1,0)+IF( AND((COUNTIF(Z$2:Z$33,'Your Team'!$D$14)&gt;0),'Your Team'!$C$14="D" ),1,0)+IF( AND((COUNTIF(Z$2:Z$33,'Your Team'!$D$15)&gt;0),'Your Team'!$C$15="D" ),1,0)+IF( AND((COUNTIF(Z$2:Z$33,'Your Team'!$D$16)&gt;0),'Your Team'!$C$16="D" ),1,0)+IF( AND((COUNTIF(Z$2:Z$33,'Your Team'!$D$17)&gt;0),'Your Team'!$C$17="D" ),1,0)+IF( AND((COUNTIF(Z$2:Z$33,'Your Team'!$D$18)&gt;0),'Your Team'!$C$18="D" ),1,0)+IF( AND((COUNTIF(Z$2:Z$33,'Your Team'!$D$19)&gt;0),'Your Team'!$C$19="D" ),1,0)</f>
        <v>0</v>
      </c>
      <c r="AA39" s="9">
        <f>IF( AND((COUNTIF(AA$2:AA$33,'Your Team'!$D$3)&gt;0),'Your Team'!$C$3="D" ),1,0)+IF( AND((COUNTIF(AA$2:AA$33,'Your Team'!$D$4)&gt;0),'Your Team'!$C$4="D" ),1,0)+IF( AND((COUNTIF(AA$2:AA$33,'Your Team'!$D$5)&gt;0),'Your Team'!$C$5="D" ),1,0)+IF( AND((COUNTIF(AA$2:AA$33,'Your Team'!$D$6)&gt;0),'Your Team'!$C$6="D" ),1,0)+IF( AND((COUNTIF(AA$2:AA$33,'Your Team'!$D$7)&gt;0),'Your Team'!$C$7="D" ),1,0)+IF( AND((COUNTIF(AA$2:AA$33,'Your Team'!$D$8)&gt;0),'Your Team'!$C$8="D" ),1,0)+IF( AND((COUNTIF(AA$2:AA$33,'Your Team'!$D$9)&gt;0),'Your Team'!$C$9="D" ),1,0)+IF( AND((COUNTIF(AA$2:AA$33,'Your Team'!$D$10)&gt;0),'Your Team'!$C$10="D" ),1,0)+IF( AND((COUNTIF(AA$2:AA$33,'Your Team'!$D$11)&gt;0),'Your Team'!$C$11="D" ),1,0)+IF( AND((COUNTIF(AA$2:AA$33,'Your Team'!$D$12)&gt;0),'Your Team'!$C$12="D" ),1,0)+IF( AND((COUNTIF(AA$2:AA$33,'Your Team'!$D$13)&gt;0),'Your Team'!$C$13="D" ),1,0)+IF( AND((COUNTIF(AA$2:AA$33,'Your Team'!$D$14)&gt;0),'Your Team'!$C$14="D" ),1,0)+IF( AND((COUNTIF(AA$2:AA$33,'Your Team'!$D$15)&gt;0),'Your Team'!$C$15="D" ),1,0)+IF( AND((COUNTIF(AA$2:AA$33,'Your Team'!$D$16)&gt;0),'Your Team'!$C$16="D" ),1,0)+IF( AND((COUNTIF(AA$2:AA$33,'Your Team'!$D$17)&gt;0),'Your Team'!$C$17="D" ),1,0)+IF( AND((COUNTIF(AA$2:AA$33,'Your Team'!$D$18)&gt;0),'Your Team'!$C$18="D" ),1,0)+IF( AND((COUNTIF(AA$2:AA$33,'Your Team'!$D$19)&gt;0),'Your Team'!$C$19="D" ),1,0)</f>
        <v>0</v>
      </c>
      <c r="AB39" s="9">
        <f>IF( AND((COUNTIF(AB$2:AB$33,'Your Team'!$D$3)&gt;0),'Your Team'!$C$3="D" ),1,0)+IF( AND((COUNTIF(AB$2:AB$33,'Your Team'!$D$4)&gt;0),'Your Team'!$C$4="D" ),1,0)+IF( AND((COUNTIF(AB$2:AB$33,'Your Team'!$D$5)&gt;0),'Your Team'!$C$5="D" ),1,0)+IF( AND((COUNTIF(AB$2:AB$33,'Your Team'!$D$6)&gt;0),'Your Team'!$C$6="D" ),1,0)+IF( AND((COUNTIF(AB$2:AB$33,'Your Team'!$D$7)&gt;0),'Your Team'!$C$7="D" ),1,0)+IF( AND((COUNTIF(AB$2:AB$33,'Your Team'!$D$8)&gt;0),'Your Team'!$C$8="D" ),1,0)+IF( AND((COUNTIF(AB$2:AB$33,'Your Team'!$D$9)&gt;0),'Your Team'!$C$9="D" ),1,0)+IF( AND((COUNTIF(AB$2:AB$33,'Your Team'!$D$10)&gt;0),'Your Team'!$C$10="D" ),1,0)+IF( AND((COUNTIF(AB$2:AB$33,'Your Team'!$D$11)&gt;0),'Your Team'!$C$11="D" ),1,0)+IF( AND((COUNTIF(AB$2:AB$33,'Your Team'!$D$12)&gt;0),'Your Team'!$C$12="D" ),1,0)+IF( AND((COUNTIF(AB$2:AB$33,'Your Team'!$D$13)&gt;0),'Your Team'!$C$13="D" ),1,0)+IF( AND((COUNTIF(AB$2:AB$33,'Your Team'!$D$14)&gt;0),'Your Team'!$C$14="D" ),1,0)+IF( AND((COUNTIF(AB$2:AB$33,'Your Team'!$D$15)&gt;0),'Your Team'!$C$15="D" ),1,0)+IF( AND((COUNTIF(AB$2:AB$33,'Your Team'!$D$16)&gt;0),'Your Team'!$C$16="D" ),1,0)+IF( AND((COUNTIF(AB$2:AB$33,'Your Team'!$D$17)&gt;0),'Your Team'!$C$17="D" ),1,0)+IF( AND((COUNTIF(AB$2:AB$33,'Your Team'!$D$18)&gt;0),'Your Team'!$C$18="D" ),1,0)+IF( AND((COUNTIF(AB$2:AB$33,'Your Team'!$D$19)&gt;0),'Your Team'!$C$19="D" ),1,0)</f>
        <v>0</v>
      </c>
      <c r="AC39" s="9">
        <f>IF( AND((COUNTIF(AC$2:AC$33,'Your Team'!$D$3)&gt;0),'Your Team'!$C$3="D" ),1,0)+IF( AND((COUNTIF(AC$2:AC$33,'Your Team'!$D$4)&gt;0),'Your Team'!$C$4="D" ),1,0)+IF( AND((COUNTIF(AC$2:AC$33,'Your Team'!$D$5)&gt;0),'Your Team'!$C$5="D" ),1,0)+IF( AND((COUNTIF(AC$2:AC$33,'Your Team'!$D$6)&gt;0),'Your Team'!$C$6="D" ),1,0)+IF( AND((COUNTIF(AC$2:AC$33,'Your Team'!$D$7)&gt;0),'Your Team'!$C$7="D" ),1,0)+IF( AND((COUNTIF(AC$2:AC$33,'Your Team'!$D$8)&gt;0),'Your Team'!$C$8="D" ),1,0)+IF( AND((COUNTIF(AC$2:AC$33,'Your Team'!$D$9)&gt;0),'Your Team'!$C$9="D" ),1,0)+IF( AND((COUNTIF(AC$2:AC$33,'Your Team'!$D$10)&gt;0),'Your Team'!$C$10="D" ),1,0)+IF( AND((COUNTIF(AC$2:AC$33,'Your Team'!$D$11)&gt;0),'Your Team'!$C$11="D" ),1,0)+IF( AND((COUNTIF(AC$2:AC$33,'Your Team'!$D$12)&gt;0),'Your Team'!$C$12="D" ),1,0)+IF( AND((COUNTIF(AC$2:AC$33,'Your Team'!$D$13)&gt;0),'Your Team'!$C$13="D" ),1,0)+IF( AND((COUNTIF(AC$2:AC$33,'Your Team'!$D$14)&gt;0),'Your Team'!$C$14="D" ),1,0)+IF( AND((COUNTIF(AC$2:AC$33,'Your Team'!$D$15)&gt;0),'Your Team'!$C$15="D" ),1,0)+IF( AND((COUNTIF(AC$2:AC$33,'Your Team'!$D$16)&gt;0),'Your Team'!$C$16="D" ),1,0)+IF( AND((COUNTIF(AC$2:AC$33,'Your Team'!$D$17)&gt;0),'Your Team'!$C$17="D" ),1,0)+IF( AND((COUNTIF(AC$2:AC$33,'Your Team'!$D$18)&gt;0),'Your Team'!$C$18="D" ),1,0)+IF( AND((COUNTIF(AC$2:AC$33,'Your Team'!$D$19)&gt;0),'Your Team'!$C$19="D" ),1,0)</f>
        <v>0</v>
      </c>
      <c r="AD39" s="9">
        <f>IF( AND((COUNTIF(AD$2:AD$33,'Your Team'!$D$3)&gt;0),'Your Team'!$C$3="D" ),1,0)+IF( AND((COUNTIF(AD$2:AD$33,'Your Team'!$D$4)&gt;0),'Your Team'!$C$4="D" ),1,0)+IF( AND((COUNTIF(AD$2:AD$33,'Your Team'!$D$5)&gt;0),'Your Team'!$C$5="D" ),1,0)+IF( AND((COUNTIF(AD$2:AD$33,'Your Team'!$D$6)&gt;0),'Your Team'!$C$6="D" ),1,0)+IF( AND((COUNTIF(AD$2:AD$33,'Your Team'!$D$7)&gt;0),'Your Team'!$C$7="D" ),1,0)+IF( AND((COUNTIF(AD$2:AD$33,'Your Team'!$D$8)&gt;0),'Your Team'!$C$8="D" ),1,0)+IF( AND((COUNTIF(AD$2:AD$33,'Your Team'!$D$9)&gt;0),'Your Team'!$C$9="D" ),1,0)+IF( AND((COUNTIF(AD$2:AD$33,'Your Team'!$D$10)&gt;0),'Your Team'!$C$10="D" ),1,0)+IF( AND((COUNTIF(AD$2:AD$33,'Your Team'!$D$11)&gt;0),'Your Team'!$C$11="D" ),1,0)+IF( AND((COUNTIF(AD$2:AD$33,'Your Team'!$D$12)&gt;0),'Your Team'!$C$12="D" ),1,0)+IF( AND((COUNTIF(AD$2:AD$33,'Your Team'!$D$13)&gt;0),'Your Team'!$C$13="D" ),1,0)+IF( AND((COUNTIF(AD$2:AD$33,'Your Team'!$D$14)&gt;0),'Your Team'!$C$14="D" ),1,0)+IF( AND((COUNTIF(AD$2:AD$33,'Your Team'!$D$15)&gt;0),'Your Team'!$C$15="D" ),1,0)+IF( AND((COUNTIF(AD$2:AD$33,'Your Team'!$D$16)&gt;0),'Your Team'!$C$16="D" ),1,0)+IF( AND((COUNTIF(AD$2:AD$33,'Your Team'!$D$17)&gt;0),'Your Team'!$C$17="D" ),1,0)+IF( AND((COUNTIF(AD$2:AD$33,'Your Team'!$D$18)&gt;0),'Your Team'!$C$18="D" ),1,0)+IF( AND((COUNTIF(AD$2:AD$33,'Your Team'!$D$19)&gt;0),'Your Team'!$C$19="D" ),1,0)</f>
        <v>0</v>
      </c>
      <c r="AE39" s="9">
        <f>IF( AND((COUNTIF(AE$2:AE$33,'Your Team'!$D$3)&gt;0),'Your Team'!$C$3="D" ),1,0)+IF( AND((COUNTIF(AE$2:AE$33,'Your Team'!$D$4)&gt;0),'Your Team'!$C$4="D" ),1,0)+IF( AND((COUNTIF(AE$2:AE$33,'Your Team'!$D$5)&gt;0),'Your Team'!$C$5="D" ),1,0)+IF( AND((COUNTIF(AE$2:AE$33,'Your Team'!$D$6)&gt;0),'Your Team'!$C$6="D" ),1,0)+IF( AND((COUNTIF(AE$2:AE$33,'Your Team'!$D$7)&gt;0),'Your Team'!$C$7="D" ),1,0)+IF( AND((COUNTIF(AE$2:AE$33,'Your Team'!$D$8)&gt;0),'Your Team'!$C$8="D" ),1,0)+IF( AND((COUNTIF(AE$2:AE$33,'Your Team'!$D$9)&gt;0),'Your Team'!$C$9="D" ),1,0)+IF( AND((COUNTIF(AE$2:AE$33,'Your Team'!$D$10)&gt;0),'Your Team'!$C$10="D" ),1,0)+IF( AND((COUNTIF(AE$2:AE$33,'Your Team'!$D$11)&gt;0),'Your Team'!$C$11="D" ),1,0)+IF( AND((COUNTIF(AE$2:AE$33,'Your Team'!$D$12)&gt;0),'Your Team'!$C$12="D" ),1,0)+IF( AND((COUNTIF(AE$2:AE$33,'Your Team'!$D$13)&gt;0),'Your Team'!$C$13="D" ),1,0)+IF( AND((COUNTIF(AE$2:AE$33,'Your Team'!$D$14)&gt;0),'Your Team'!$C$14="D" ),1,0)+IF( AND((COUNTIF(AE$2:AE$33,'Your Team'!$D$15)&gt;0),'Your Team'!$C$15="D" ),1,0)+IF( AND((COUNTIF(AE$2:AE$33,'Your Team'!$D$16)&gt;0),'Your Team'!$C$16="D" ),1,0)+IF( AND((COUNTIF(AE$2:AE$33,'Your Team'!$D$17)&gt;0),'Your Team'!$C$17="D" ),1,0)+IF( AND((COUNTIF(AE$2:AE$33,'Your Team'!$D$18)&gt;0),'Your Team'!$C$18="D" ),1,0)+IF( AND((COUNTIF(AE$2:AE$33,'Your Team'!$D$19)&gt;0),'Your Team'!$C$19="D" ),1,0)</f>
        <v>0</v>
      </c>
      <c r="AF39" s="9">
        <f>IF( AND((COUNTIF(AF$2:AF$33,'Your Team'!$D$3)&gt;0),'Your Team'!$C$3="D" ),1,0)+IF( AND((COUNTIF(AF$2:AF$33,'Your Team'!$D$4)&gt;0),'Your Team'!$C$4="D" ),1,0)+IF( AND((COUNTIF(AF$2:AF$33,'Your Team'!$D$5)&gt;0),'Your Team'!$C$5="D" ),1,0)+IF( AND((COUNTIF(AF$2:AF$33,'Your Team'!$D$6)&gt;0),'Your Team'!$C$6="D" ),1,0)+IF( AND((COUNTIF(AF$2:AF$33,'Your Team'!$D$7)&gt;0),'Your Team'!$C$7="D" ),1,0)+IF( AND((COUNTIF(AF$2:AF$33,'Your Team'!$D$8)&gt;0),'Your Team'!$C$8="D" ),1,0)+IF( AND((COUNTIF(AF$2:AF$33,'Your Team'!$D$9)&gt;0),'Your Team'!$C$9="D" ),1,0)+IF( AND((COUNTIF(AF$2:AF$33,'Your Team'!$D$10)&gt;0),'Your Team'!$C$10="D" ),1,0)+IF( AND((COUNTIF(AF$2:AF$33,'Your Team'!$D$11)&gt;0),'Your Team'!$C$11="D" ),1,0)+IF( AND((COUNTIF(AF$2:AF$33,'Your Team'!$D$12)&gt;0),'Your Team'!$C$12="D" ),1,0)+IF( AND((COUNTIF(AF$2:AF$33,'Your Team'!$D$13)&gt;0),'Your Team'!$C$13="D" ),1,0)+IF( AND((COUNTIF(AF$2:AF$33,'Your Team'!$D$14)&gt;0),'Your Team'!$C$14="D" ),1,0)+IF( AND((COUNTIF(AF$2:AF$33,'Your Team'!$D$15)&gt;0),'Your Team'!$C$15="D" ),1,0)+IF( AND((COUNTIF(AF$2:AF$33,'Your Team'!$D$16)&gt;0),'Your Team'!$C$16="D" ),1,0)+IF( AND((COUNTIF(AF$2:AF$33,'Your Team'!$D$17)&gt;0),'Your Team'!$C$17="D" ),1,0)+IF( AND((COUNTIF(AF$2:AF$33,'Your Team'!$D$18)&gt;0),'Your Team'!$C$18="D" ),1,0)+IF( AND((COUNTIF(AF$2:AF$33,'Your Team'!$D$19)&gt;0),'Your Team'!$C$19="D" ),1,0)</f>
        <v>0</v>
      </c>
      <c r="AG39" s="9">
        <f>IF( AND((COUNTIF(AG$2:AG$33,'Your Team'!$D$3)&gt;0),'Your Team'!$C$3="D" ),1,0)+IF( AND((COUNTIF(AG$2:AG$33,'Your Team'!$D$4)&gt;0),'Your Team'!$C$4="D" ),1,0)+IF( AND((COUNTIF(AG$2:AG$33,'Your Team'!$D$5)&gt;0),'Your Team'!$C$5="D" ),1,0)+IF( AND((COUNTIF(AG$2:AG$33,'Your Team'!$D$6)&gt;0),'Your Team'!$C$6="D" ),1,0)+IF( AND((COUNTIF(AG$2:AG$33,'Your Team'!$D$7)&gt;0),'Your Team'!$C$7="D" ),1,0)+IF( AND((COUNTIF(AG$2:AG$33,'Your Team'!$D$8)&gt;0),'Your Team'!$C$8="D" ),1,0)+IF( AND((COUNTIF(AG$2:AG$33,'Your Team'!$D$9)&gt;0),'Your Team'!$C$9="D" ),1,0)+IF( AND((COUNTIF(AG$2:AG$33,'Your Team'!$D$10)&gt;0),'Your Team'!$C$10="D" ),1,0)+IF( AND((COUNTIF(AG$2:AG$33,'Your Team'!$D$11)&gt;0),'Your Team'!$C$11="D" ),1,0)+IF( AND((COUNTIF(AG$2:AG$33,'Your Team'!$D$12)&gt;0),'Your Team'!$C$12="D" ),1,0)+IF( AND((COUNTIF(AG$2:AG$33,'Your Team'!$D$13)&gt;0),'Your Team'!$C$13="D" ),1,0)+IF( AND((COUNTIF(AG$2:AG$33,'Your Team'!$D$14)&gt;0),'Your Team'!$C$14="D" ),1,0)+IF( AND((COUNTIF(AG$2:AG$33,'Your Team'!$D$15)&gt;0),'Your Team'!$C$15="D" ),1,0)+IF( AND((COUNTIF(AG$2:AG$33,'Your Team'!$D$16)&gt;0),'Your Team'!$C$16="D" ),1,0)+IF( AND((COUNTIF(AG$2:AG$33,'Your Team'!$D$17)&gt;0),'Your Team'!$C$17="D" ),1,0)+IF( AND((COUNTIF(AG$2:AG$33,'Your Team'!$D$18)&gt;0),'Your Team'!$C$18="D" ),1,0)+IF( AND((COUNTIF(AG$2:AG$33,'Your Team'!$D$19)&gt;0),'Your Team'!$C$19="D" ),1,0)</f>
        <v>0</v>
      </c>
      <c r="AH39" s="9">
        <f>IF( AND((COUNTIF(AH$2:AH$33,'Your Team'!$D$3)&gt;0),'Your Team'!$C$3="D" ),1,0)+IF( AND((COUNTIF(AH$2:AH$33,'Your Team'!$D$4)&gt;0),'Your Team'!$C$4="D" ),1,0)+IF( AND((COUNTIF(AH$2:AH$33,'Your Team'!$D$5)&gt;0),'Your Team'!$C$5="D" ),1,0)+IF( AND((COUNTIF(AH$2:AH$33,'Your Team'!$D$6)&gt;0),'Your Team'!$C$6="D" ),1,0)+IF( AND((COUNTIF(AH$2:AH$33,'Your Team'!$D$7)&gt;0),'Your Team'!$C$7="D" ),1,0)+IF( AND((COUNTIF(AH$2:AH$33,'Your Team'!$D$8)&gt;0),'Your Team'!$C$8="D" ),1,0)+IF( AND((COUNTIF(AH$2:AH$33,'Your Team'!$D$9)&gt;0),'Your Team'!$C$9="D" ),1,0)+IF( AND((COUNTIF(AH$2:AH$33,'Your Team'!$D$10)&gt;0),'Your Team'!$C$10="D" ),1,0)+IF( AND((COUNTIF(AH$2:AH$33,'Your Team'!$D$11)&gt;0),'Your Team'!$C$11="D" ),1,0)+IF( AND((COUNTIF(AH$2:AH$33,'Your Team'!$D$12)&gt;0),'Your Team'!$C$12="D" ),1,0)+IF( AND((COUNTIF(AH$2:AH$33,'Your Team'!$D$13)&gt;0),'Your Team'!$C$13="D" ),1,0)+IF( AND((COUNTIF(AH$2:AH$33,'Your Team'!$D$14)&gt;0),'Your Team'!$C$14="D" ),1,0)+IF( AND((COUNTIF(AH$2:AH$33,'Your Team'!$D$15)&gt;0),'Your Team'!$C$15="D" ),1,0)+IF( AND((COUNTIF(AH$2:AH$33,'Your Team'!$D$16)&gt;0),'Your Team'!$C$16="D" ),1,0)+IF( AND((COUNTIF(AH$2:AH$33,'Your Team'!$D$17)&gt;0),'Your Team'!$C$17="D" ),1,0)+IF( AND((COUNTIF(AH$2:AH$33,'Your Team'!$D$18)&gt;0),'Your Team'!$C$18="D" ),1,0)+IF( AND((COUNTIF(AH$2:AH$33,'Your Team'!$D$19)&gt;0),'Your Team'!$C$19="D" ),1,0)</f>
        <v>0</v>
      </c>
      <c r="AI39" s="9">
        <f>IF( AND((COUNTIF(AI$2:AI$33,'Your Team'!$D$3)&gt;0),'Your Team'!$C$3="D" ),1,0)+IF( AND((COUNTIF(AI$2:AI$33,'Your Team'!$D$4)&gt;0),'Your Team'!$C$4="D" ),1,0)+IF( AND((COUNTIF(AI$2:AI$33,'Your Team'!$D$5)&gt;0),'Your Team'!$C$5="D" ),1,0)+IF( AND((COUNTIF(AI$2:AI$33,'Your Team'!$D$6)&gt;0),'Your Team'!$C$6="D" ),1,0)+IF( AND((COUNTIF(AI$2:AI$33,'Your Team'!$D$7)&gt;0),'Your Team'!$C$7="D" ),1,0)+IF( AND((COUNTIF(AI$2:AI$33,'Your Team'!$D$8)&gt;0),'Your Team'!$C$8="D" ),1,0)+IF( AND((COUNTIF(AI$2:AI$33,'Your Team'!$D$9)&gt;0),'Your Team'!$C$9="D" ),1,0)+IF( AND((COUNTIF(AI$2:AI$33,'Your Team'!$D$10)&gt;0),'Your Team'!$C$10="D" ),1,0)+IF( AND((COUNTIF(AI$2:AI$33,'Your Team'!$D$11)&gt;0),'Your Team'!$C$11="D" ),1,0)+IF( AND((COUNTIF(AI$2:AI$33,'Your Team'!$D$12)&gt;0),'Your Team'!$C$12="D" ),1,0)+IF( AND((COUNTIF(AI$2:AI$33,'Your Team'!$D$13)&gt;0),'Your Team'!$C$13="D" ),1,0)+IF( AND((COUNTIF(AI$2:AI$33,'Your Team'!$D$14)&gt;0),'Your Team'!$C$14="D" ),1,0)+IF( AND((COUNTIF(AI$2:AI$33,'Your Team'!$D$15)&gt;0),'Your Team'!$C$15="D" ),1,0)+IF( AND((COUNTIF(AI$2:AI$33,'Your Team'!$D$16)&gt;0),'Your Team'!$C$16="D" ),1,0)+IF( AND((COUNTIF(AI$2:AI$33,'Your Team'!$D$17)&gt;0),'Your Team'!$C$17="D" ),1,0)+IF( AND((COUNTIF(AI$2:AI$33,'Your Team'!$D$18)&gt;0),'Your Team'!$C$18="D" ),1,0)+IF( AND((COUNTIF(AI$2:AI$33,'Your Team'!$D$19)&gt;0),'Your Team'!$C$19="D" ),1,0)</f>
        <v>0</v>
      </c>
      <c r="AJ39" s="9">
        <f>IF( AND((COUNTIF(AJ$2:AJ$33,'Your Team'!$D$3)&gt;0),'Your Team'!$C$3="D" ),1,0)+IF( AND((COUNTIF(AJ$2:AJ$33,'Your Team'!$D$4)&gt;0),'Your Team'!$C$4="D" ),1,0)+IF( AND((COUNTIF(AJ$2:AJ$33,'Your Team'!$D$5)&gt;0),'Your Team'!$C$5="D" ),1,0)+IF( AND((COUNTIF(AJ$2:AJ$33,'Your Team'!$D$6)&gt;0),'Your Team'!$C$6="D" ),1,0)+IF( AND((COUNTIF(AJ$2:AJ$33,'Your Team'!$D$7)&gt;0),'Your Team'!$C$7="D" ),1,0)+IF( AND((COUNTIF(AJ$2:AJ$33,'Your Team'!$D$8)&gt;0),'Your Team'!$C$8="D" ),1,0)+IF( AND((COUNTIF(AJ$2:AJ$33,'Your Team'!$D$9)&gt;0),'Your Team'!$C$9="D" ),1,0)+IF( AND((COUNTIF(AJ$2:AJ$33,'Your Team'!$D$10)&gt;0),'Your Team'!$C$10="D" ),1,0)+IF( AND((COUNTIF(AJ$2:AJ$33,'Your Team'!$D$11)&gt;0),'Your Team'!$C$11="D" ),1,0)+IF( AND((COUNTIF(AJ$2:AJ$33,'Your Team'!$D$12)&gt;0),'Your Team'!$C$12="D" ),1,0)+IF( AND((COUNTIF(AJ$2:AJ$33,'Your Team'!$D$13)&gt;0),'Your Team'!$C$13="D" ),1,0)+IF( AND((COUNTIF(AJ$2:AJ$33,'Your Team'!$D$14)&gt;0),'Your Team'!$C$14="D" ),1,0)+IF( AND((COUNTIF(AJ$2:AJ$33,'Your Team'!$D$15)&gt;0),'Your Team'!$C$15="D" ),1,0)+IF( AND((COUNTIF(AJ$2:AJ$33,'Your Team'!$D$16)&gt;0),'Your Team'!$C$16="D" ),1,0)+IF( AND((COUNTIF(AJ$2:AJ$33,'Your Team'!$D$17)&gt;0),'Your Team'!$C$17="D" ),1,0)+IF( AND((COUNTIF(AJ$2:AJ$33,'Your Team'!$D$18)&gt;0),'Your Team'!$C$18="D" ),1,0)+IF( AND((COUNTIF(AJ$2:AJ$33,'Your Team'!$D$19)&gt;0),'Your Team'!$C$19="D" ),1,0)</f>
        <v>0</v>
      </c>
      <c r="AK39" s="9">
        <f>IF( AND((COUNTIF(AK$2:AK$33,'Your Team'!$D$3)&gt;0),'Your Team'!$C$3="D" ),1,0)+IF( AND((COUNTIF(AK$2:AK$33,'Your Team'!$D$4)&gt;0),'Your Team'!$C$4="D" ),1,0)+IF( AND((COUNTIF(AK$2:AK$33,'Your Team'!$D$5)&gt;0),'Your Team'!$C$5="D" ),1,0)+IF( AND((COUNTIF(AK$2:AK$33,'Your Team'!$D$6)&gt;0),'Your Team'!$C$6="D" ),1,0)+IF( AND((COUNTIF(AK$2:AK$33,'Your Team'!$D$7)&gt;0),'Your Team'!$C$7="D" ),1,0)+IF( AND((COUNTIF(AK$2:AK$33,'Your Team'!$D$8)&gt;0),'Your Team'!$C$8="D" ),1,0)+IF( AND((COUNTIF(AK$2:AK$33,'Your Team'!$D$9)&gt;0),'Your Team'!$C$9="D" ),1,0)+IF( AND((COUNTIF(AK$2:AK$33,'Your Team'!$D$10)&gt;0),'Your Team'!$C$10="D" ),1,0)+IF( AND((COUNTIF(AK$2:AK$33,'Your Team'!$D$11)&gt;0),'Your Team'!$C$11="D" ),1,0)+IF( AND((COUNTIF(AK$2:AK$33,'Your Team'!$D$12)&gt;0),'Your Team'!$C$12="D" ),1,0)+IF( AND((COUNTIF(AK$2:AK$33,'Your Team'!$D$13)&gt;0),'Your Team'!$C$13="D" ),1,0)+IF( AND((COUNTIF(AK$2:AK$33,'Your Team'!$D$14)&gt;0),'Your Team'!$C$14="D" ),1,0)+IF( AND((COUNTIF(AK$2:AK$33,'Your Team'!$D$15)&gt;0),'Your Team'!$C$15="D" ),1,0)+IF( AND((COUNTIF(AK$2:AK$33,'Your Team'!$D$16)&gt;0),'Your Team'!$C$16="D" ),1,0)+IF( AND((COUNTIF(AK$2:AK$33,'Your Team'!$D$17)&gt;0),'Your Team'!$C$17="D" ),1,0)+IF( AND((COUNTIF(AK$2:AK$33,'Your Team'!$D$18)&gt;0),'Your Team'!$C$18="D" ),1,0)+IF( AND((COUNTIF(AK$2:AK$33,'Your Team'!$D$19)&gt;0),'Your Team'!$C$19="D" ),1,0)</f>
        <v>0</v>
      </c>
      <c r="AL39" s="9">
        <f>IF( AND((COUNTIF(AL$2:AL$33,'Your Team'!$D$3)&gt;0),'Your Team'!$C$3="D" ),1,0)+IF( AND((COUNTIF(AL$2:AL$33,'Your Team'!$D$4)&gt;0),'Your Team'!$C$4="D" ),1,0)+IF( AND((COUNTIF(AL$2:AL$33,'Your Team'!$D$5)&gt;0),'Your Team'!$C$5="D" ),1,0)+IF( AND((COUNTIF(AL$2:AL$33,'Your Team'!$D$6)&gt;0),'Your Team'!$C$6="D" ),1,0)+IF( AND((COUNTIF(AL$2:AL$33,'Your Team'!$D$7)&gt;0),'Your Team'!$C$7="D" ),1,0)+IF( AND((COUNTIF(AL$2:AL$33,'Your Team'!$D$8)&gt;0),'Your Team'!$C$8="D" ),1,0)+IF( AND((COUNTIF(AL$2:AL$33,'Your Team'!$D$9)&gt;0),'Your Team'!$C$9="D" ),1,0)+IF( AND((COUNTIF(AL$2:AL$33,'Your Team'!$D$10)&gt;0),'Your Team'!$C$10="D" ),1,0)+IF( AND((COUNTIF(AL$2:AL$33,'Your Team'!$D$11)&gt;0),'Your Team'!$C$11="D" ),1,0)+IF( AND((COUNTIF(AL$2:AL$33,'Your Team'!$D$12)&gt;0),'Your Team'!$C$12="D" ),1,0)+IF( AND((COUNTIF(AL$2:AL$33,'Your Team'!$D$13)&gt;0),'Your Team'!$C$13="D" ),1,0)+IF( AND((COUNTIF(AL$2:AL$33,'Your Team'!$D$14)&gt;0),'Your Team'!$C$14="D" ),1,0)+IF( AND((COUNTIF(AL$2:AL$33,'Your Team'!$D$15)&gt;0),'Your Team'!$C$15="D" ),1,0)+IF( AND((COUNTIF(AL$2:AL$33,'Your Team'!$D$16)&gt;0),'Your Team'!$C$16="D" ),1,0)+IF( AND((COUNTIF(AL$2:AL$33,'Your Team'!$D$17)&gt;0),'Your Team'!$C$17="D" ),1,0)+IF( AND((COUNTIF(AL$2:AL$33,'Your Team'!$D$18)&gt;0),'Your Team'!$C$18="D" ),1,0)+IF( AND((COUNTIF(AL$2:AL$33,'Your Team'!$D$19)&gt;0),'Your Team'!$C$19="D" ),1,0)</f>
        <v>0</v>
      </c>
      <c r="AM39" s="9">
        <f>IF( AND((COUNTIF(AM$2:AM$33,'Your Team'!$D$3)&gt;0),'Your Team'!$C$3="D" ),1,0)+IF( AND((COUNTIF(AM$2:AM$33,'Your Team'!$D$4)&gt;0),'Your Team'!$C$4="D" ),1,0)+IF( AND((COUNTIF(AM$2:AM$33,'Your Team'!$D$5)&gt;0),'Your Team'!$C$5="D" ),1,0)+IF( AND((COUNTIF(AM$2:AM$33,'Your Team'!$D$6)&gt;0),'Your Team'!$C$6="D" ),1,0)+IF( AND((COUNTIF(AM$2:AM$33,'Your Team'!$D$7)&gt;0),'Your Team'!$C$7="D" ),1,0)+IF( AND((COUNTIF(AM$2:AM$33,'Your Team'!$D$8)&gt;0),'Your Team'!$C$8="D" ),1,0)+IF( AND((COUNTIF(AM$2:AM$33,'Your Team'!$D$9)&gt;0),'Your Team'!$C$9="D" ),1,0)+IF( AND((COUNTIF(AM$2:AM$33,'Your Team'!$D$10)&gt;0),'Your Team'!$C$10="D" ),1,0)+IF( AND((COUNTIF(AM$2:AM$33,'Your Team'!$D$11)&gt;0),'Your Team'!$C$11="D" ),1,0)+IF( AND((COUNTIF(AM$2:AM$33,'Your Team'!$D$12)&gt;0),'Your Team'!$C$12="D" ),1,0)+IF( AND((COUNTIF(AM$2:AM$33,'Your Team'!$D$13)&gt;0),'Your Team'!$C$13="D" ),1,0)+IF( AND((COUNTIF(AM$2:AM$33,'Your Team'!$D$14)&gt;0),'Your Team'!$C$14="D" ),1,0)+IF( AND((COUNTIF(AM$2:AM$33,'Your Team'!$D$15)&gt;0),'Your Team'!$C$15="D" ),1,0)+IF( AND((COUNTIF(AM$2:AM$33,'Your Team'!$D$16)&gt;0),'Your Team'!$C$16="D" ),1,0)+IF( AND((COUNTIF(AM$2:AM$33,'Your Team'!$D$17)&gt;0),'Your Team'!$C$17="D" ),1,0)+IF( AND((COUNTIF(AM$2:AM$33,'Your Team'!$D$18)&gt;0),'Your Team'!$C$18="D" ),1,0)+IF( AND((COUNTIF(AM$2:AM$33,'Your Team'!$D$19)&gt;0),'Your Team'!$C$19="D" ),1,0)</f>
        <v>0</v>
      </c>
      <c r="AN39" s="9">
        <f>IF( AND((COUNTIF(AN$2:AN$33,'Your Team'!$D$3)&gt;0),'Your Team'!$C$3="D" ),1,0)+IF( AND((COUNTIF(AN$2:AN$33,'Your Team'!$D$4)&gt;0),'Your Team'!$C$4="D" ),1,0)+IF( AND((COUNTIF(AN$2:AN$33,'Your Team'!$D$5)&gt;0),'Your Team'!$C$5="D" ),1,0)+IF( AND((COUNTIF(AN$2:AN$33,'Your Team'!$D$6)&gt;0),'Your Team'!$C$6="D" ),1,0)+IF( AND((COUNTIF(AN$2:AN$33,'Your Team'!$D$7)&gt;0),'Your Team'!$C$7="D" ),1,0)+IF( AND((COUNTIF(AN$2:AN$33,'Your Team'!$D$8)&gt;0),'Your Team'!$C$8="D" ),1,0)+IF( AND((COUNTIF(AN$2:AN$33,'Your Team'!$D$9)&gt;0),'Your Team'!$C$9="D" ),1,0)+IF( AND((COUNTIF(AN$2:AN$33,'Your Team'!$D$10)&gt;0),'Your Team'!$C$10="D" ),1,0)+IF( AND((COUNTIF(AN$2:AN$33,'Your Team'!$D$11)&gt;0),'Your Team'!$C$11="D" ),1,0)+IF( AND((COUNTIF(AN$2:AN$33,'Your Team'!$D$12)&gt;0),'Your Team'!$C$12="D" ),1,0)+IF( AND((COUNTIF(AN$2:AN$33,'Your Team'!$D$13)&gt;0),'Your Team'!$C$13="D" ),1,0)+IF( AND((COUNTIF(AN$2:AN$33,'Your Team'!$D$14)&gt;0),'Your Team'!$C$14="D" ),1,0)+IF( AND((COUNTIF(AN$2:AN$33,'Your Team'!$D$15)&gt;0),'Your Team'!$C$15="D" ),1,0)+IF( AND((COUNTIF(AN$2:AN$33,'Your Team'!$D$16)&gt;0),'Your Team'!$C$16="D" ),1,0)+IF( AND((COUNTIF(AN$2:AN$33,'Your Team'!$D$17)&gt;0),'Your Team'!$C$17="D" ),1,0)+IF( AND((COUNTIF(AN$2:AN$33,'Your Team'!$D$18)&gt;0),'Your Team'!$C$18="D" ),1,0)+IF( AND((COUNTIF(AN$2:AN$33,'Your Team'!$D$19)&gt;0),'Your Team'!$C$19="D" ),1,0)</f>
        <v>0</v>
      </c>
      <c r="AO39" s="9">
        <f>IF( AND((COUNTIF(AO$2:AO$33,'Your Team'!$D$3)&gt;0),'Your Team'!$C$3="D" ),1,0)+IF( AND((COUNTIF(AO$2:AO$33,'Your Team'!$D$4)&gt;0),'Your Team'!$C$4="D" ),1,0)+IF( AND((COUNTIF(AO$2:AO$33,'Your Team'!$D$5)&gt;0),'Your Team'!$C$5="D" ),1,0)+IF( AND((COUNTIF(AO$2:AO$33,'Your Team'!$D$6)&gt;0),'Your Team'!$C$6="D" ),1,0)+IF( AND((COUNTIF(AO$2:AO$33,'Your Team'!$D$7)&gt;0),'Your Team'!$C$7="D" ),1,0)+IF( AND((COUNTIF(AO$2:AO$33,'Your Team'!$D$8)&gt;0),'Your Team'!$C$8="D" ),1,0)+IF( AND((COUNTIF(AO$2:AO$33,'Your Team'!$D$9)&gt;0),'Your Team'!$C$9="D" ),1,0)+IF( AND((COUNTIF(AO$2:AO$33,'Your Team'!$D$10)&gt;0),'Your Team'!$C$10="D" ),1,0)+IF( AND((COUNTIF(AO$2:AO$33,'Your Team'!$D$11)&gt;0),'Your Team'!$C$11="D" ),1,0)+IF( AND((COUNTIF(AO$2:AO$33,'Your Team'!$D$12)&gt;0),'Your Team'!$C$12="D" ),1,0)+IF( AND((COUNTIF(AO$2:AO$33,'Your Team'!$D$13)&gt;0),'Your Team'!$C$13="D" ),1,0)+IF( AND((COUNTIF(AO$2:AO$33,'Your Team'!$D$14)&gt;0),'Your Team'!$C$14="D" ),1,0)+IF( AND((COUNTIF(AO$2:AO$33,'Your Team'!$D$15)&gt;0),'Your Team'!$C$15="D" ),1,0)+IF( AND((COUNTIF(AO$2:AO$33,'Your Team'!$D$16)&gt;0),'Your Team'!$C$16="D" ),1,0)+IF( AND((COUNTIF(AO$2:AO$33,'Your Team'!$D$17)&gt;0),'Your Team'!$C$17="D" ),1,0)+IF( AND((COUNTIF(AO$2:AO$33,'Your Team'!$D$18)&gt;0),'Your Team'!$C$18="D" ),1,0)+IF( AND((COUNTIF(AO$2:AO$33,'Your Team'!$D$19)&gt;0),'Your Team'!$C$19="D" ),1,0)</f>
        <v>0</v>
      </c>
      <c r="AP39" s="9">
        <f>IF( AND((COUNTIF(AP$2:AP$33,'Your Team'!$D$3)&gt;0),'Your Team'!$C$3="D" ),1,0)+IF( AND((COUNTIF(AP$2:AP$33,'Your Team'!$D$4)&gt;0),'Your Team'!$C$4="D" ),1,0)+IF( AND((COUNTIF(AP$2:AP$33,'Your Team'!$D$5)&gt;0),'Your Team'!$C$5="D" ),1,0)+IF( AND((COUNTIF(AP$2:AP$33,'Your Team'!$D$6)&gt;0),'Your Team'!$C$6="D" ),1,0)+IF( AND((COUNTIF(AP$2:AP$33,'Your Team'!$D$7)&gt;0),'Your Team'!$C$7="D" ),1,0)+IF( AND((COUNTIF(AP$2:AP$33,'Your Team'!$D$8)&gt;0),'Your Team'!$C$8="D" ),1,0)+IF( AND((COUNTIF(AP$2:AP$33,'Your Team'!$D$9)&gt;0),'Your Team'!$C$9="D" ),1,0)+IF( AND((COUNTIF(AP$2:AP$33,'Your Team'!$D$10)&gt;0),'Your Team'!$C$10="D" ),1,0)+IF( AND((COUNTIF(AP$2:AP$33,'Your Team'!$D$11)&gt;0),'Your Team'!$C$11="D" ),1,0)+IF( AND((COUNTIF(AP$2:AP$33,'Your Team'!$D$12)&gt;0),'Your Team'!$C$12="D" ),1,0)+IF( AND((COUNTIF(AP$2:AP$33,'Your Team'!$D$13)&gt;0),'Your Team'!$C$13="D" ),1,0)+IF( AND((COUNTIF(AP$2:AP$33,'Your Team'!$D$14)&gt;0),'Your Team'!$C$14="D" ),1,0)+IF( AND((COUNTIF(AP$2:AP$33,'Your Team'!$D$15)&gt;0),'Your Team'!$C$15="D" ),1,0)+IF( AND((COUNTIF(AP$2:AP$33,'Your Team'!$D$16)&gt;0),'Your Team'!$C$16="D" ),1,0)+IF( AND((COUNTIF(AP$2:AP$33,'Your Team'!$D$17)&gt;0),'Your Team'!$C$17="D" ),1,0)+IF( AND((COUNTIF(AP$2:AP$33,'Your Team'!$D$18)&gt;0),'Your Team'!$C$18="D" ),1,0)+IF( AND((COUNTIF(AP$2:AP$33,'Your Team'!$D$19)&gt;0),'Your Team'!$C$19="D" ),1,0)</f>
        <v>0</v>
      </c>
      <c r="AQ39" s="9">
        <f>IF( AND((COUNTIF(AQ$2:AQ$33,'Your Team'!$D$3)&gt;0),'Your Team'!$C$3="D" ),1,0)+IF( AND((COUNTIF(AQ$2:AQ$33,'Your Team'!$D$4)&gt;0),'Your Team'!$C$4="D" ),1,0)+IF( AND((COUNTIF(AQ$2:AQ$33,'Your Team'!$D$5)&gt;0),'Your Team'!$C$5="D" ),1,0)+IF( AND((COUNTIF(AQ$2:AQ$33,'Your Team'!$D$6)&gt;0),'Your Team'!$C$6="D" ),1,0)+IF( AND((COUNTIF(AQ$2:AQ$33,'Your Team'!$D$7)&gt;0),'Your Team'!$C$7="D" ),1,0)+IF( AND((COUNTIF(AQ$2:AQ$33,'Your Team'!$D$8)&gt;0),'Your Team'!$C$8="D" ),1,0)+IF( AND((COUNTIF(AQ$2:AQ$33,'Your Team'!$D$9)&gt;0),'Your Team'!$C$9="D" ),1,0)+IF( AND((COUNTIF(AQ$2:AQ$33,'Your Team'!$D$10)&gt;0),'Your Team'!$C$10="D" ),1,0)+IF( AND((COUNTIF(AQ$2:AQ$33,'Your Team'!$D$11)&gt;0),'Your Team'!$C$11="D" ),1,0)+IF( AND((COUNTIF(AQ$2:AQ$33,'Your Team'!$D$12)&gt;0),'Your Team'!$C$12="D" ),1,0)+IF( AND((COUNTIF(AQ$2:AQ$33,'Your Team'!$D$13)&gt;0),'Your Team'!$C$13="D" ),1,0)+IF( AND((COUNTIF(AQ$2:AQ$33,'Your Team'!$D$14)&gt;0),'Your Team'!$C$14="D" ),1,0)+IF( AND((COUNTIF(AQ$2:AQ$33,'Your Team'!$D$15)&gt;0),'Your Team'!$C$15="D" ),1,0)+IF( AND((COUNTIF(AQ$2:AQ$33,'Your Team'!$D$16)&gt;0),'Your Team'!$C$16="D" ),1,0)+IF( AND((COUNTIF(AQ$2:AQ$33,'Your Team'!$D$17)&gt;0),'Your Team'!$C$17="D" ),1,0)+IF( AND((COUNTIF(AQ$2:AQ$33,'Your Team'!$D$18)&gt;0),'Your Team'!$C$18="D" ),1,0)+IF( AND((COUNTIF(AQ$2:AQ$33,'Your Team'!$D$19)&gt;0),'Your Team'!$C$19="D" ),1,0)</f>
        <v>0</v>
      </c>
      <c r="AR39" s="9">
        <f>IF( AND((COUNTIF(AR$2:AR$33,'Your Team'!$D$3)&gt;0),'Your Team'!$C$3="D" ),1,0)+IF( AND((COUNTIF(AR$2:AR$33,'Your Team'!$D$4)&gt;0),'Your Team'!$C$4="D" ),1,0)+IF( AND((COUNTIF(AR$2:AR$33,'Your Team'!$D$5)&gt;0),'Your Team'!$C$5="D" ),1,0)+IF( AND((COUNTIF(AR$2:AR$33,'Your Team'!$D$6)&gt;0),'Your Team'!$C$6="D" ),1,0)+IF( AND((COUNTIF(AR$2:AR$33,'Your Team'!$D$7)&gt;0),'Your Team'!$C$7="D" ),1,0)+IF( AND((COUNTIF(AR$2:AR$33,'Your Team'!$D$8)&gt;0),'Your Team'!$C$8="D" ),1,0)+IF( AND((COUNTIF(AR$2:AR$33,'Your Team'!$D$9)&gt;0),'Your Team'!$C$9="D" ),1,0)+IF( AND((COUNTIF(AR$2:AR$33,'Your Team'!$D$10)&gt;0),'Your Team'!$C$10="D" ),1,0)+IF( AND((COUNTIF(AR$2:AR$33,'Your Team'!$D$11)&gt;0),'Your Team'!$C$11="D" ),1,0)+IF( AND((COUNTIF(AR$2:AR$33,'Your Team'!$D$12)&gt;0),'Your Team'!$C$12="D" ),1,0)+IF( AND((COUNTIF(AR$2:AR$33,'Your Team'!$D$13)&gt;0),'Your Team'!$C$13="D" ),1,0)+IF( AND((COUNTIF(AR$2:AR$33,'Your Team'!$D$14)&gt;0),'Your Team'!$C$14="D" ),1,0)+IF( AND((COUNTIF(AR$2:AR$33,'Your Team'!$D$15)&gt;0),'Your Team'!$C$15="D" ),1,0)+IF( AND((COUNTIF(AR$2:AR$33,'Your Team'!$D$16)&gt;0),'Your Team'!$C$16="D" ),1,0)+IF( AND((COUNTIF(AR$2:AR$33,'Your Team'!$D$17)&gt;0),'Your Team'!$C$17="D" ),1,0)+IF( AND((COUNTIF(AR$2:AR$33,'Your Team'!$D$18)&gt;0),'Your Team'!$C$18="D" ),1,0)+IF( AND((COUNTIF(AR$2:AR$33,'Your Team'!$D$19)&gt;0),'Your Team'!$C$19="D" ),1,0)</f>
        <v>0</v>
      </c>
      <c r="AS39" s="9">
        <f>IF( AND((COUNTIF(AS$2:AS$33,'Your Team'!$D$3)&gt;0),'Your Team'!$C$3="D" ),1,0)+IF( AND((COUNTIF(AS$2:AS$33,'Your Team'!$D$4)&gt;0),'Your Team'!$C$4="D" ),1,0)+IF( AND((COUNTIF(AS$2:AS$33,'Your Team'!$D$5)&gt;0),'Your Team'!$C$5="D" ),1,0)+IF( AND((COUNTIF(AS$2:AS$33,'Your Team'!$D$6)&gt;0),'Your Team'!$C$6="D" ),1,0)+IF( AND((COUNTIF(AS$2:AS$33,'Your Team'!$D$7)&gt;0),'Your Team'!$C$7="D" ),1,0)+IF( AND((COUNTIF(AS$2:AS$33,'Your Team'!$D$8)&gt;0),'Your Team'!$C$8="D" ),1,0)+IF( AND((COUNTIF(AS$2:AS$33,'Your Team'!$D$9)&gt;0),'Your Team'!$C$9="D" ),1,0)+IF( AND((COUNTIF(AS$2:AS$33,'Your Team'!$D$10)&gt;0),'Your Team'!$C$10="D" ),1,0)+IF( AND((COUNTIF(AS$2:AS$33,'Your Team'!$D$11)&gt;0),'Your Team'!$C$11="D" ),1,0)+IF( AND((COUNTIF(AS$2:AS$33,'Your Team'!$D$12)&gt;0),'Your Team'!$C$12="D" ),1,0)+IF( AND((COUNTIF(AS$2:AS$33,'Your Team'!$D$13)&gt;0),'Your Team'!$C$13="D" ),1,0)+IF( AND((COUNTIF(AS$2:AS$33,'Your Team'!$D$14)&gt;0),'Your Team'!$C$14="D" ),1,0)+IF( AND((COUNTIF(AS$2:AS$33,'Your Team'!$D$15)&gt;0),'Your Team'!$C$15="D" ),1,0)+IF( AND((COUNTIF(AS$2:AS$33,'Your Team'!$D$16)&gt;0),'Your Team'!$C$16="D" ),1,0)+IF( AND((COUNTIF(AS$2:AS$33,'Your Team'!$D$17)&gt;0),'Your Team'!$C$17="D" ),1,0)+IF( AND((COUNTIF(AS$2:AS$33,'Your Team'!$D$18)&gt;0),'Your Team'!$C$18="D" ),1,0)+IF( AND((COUNTIF(AS$2:AS$33,'Your Team'!$D$19)&gt;0),'Your Team'!$C$19="D" ),1,0)</f>
        <v>0</v>
      </c>
      <c r="AT39" s="9">
        <f>IF( AND((COUNTIF(AT$2:AT$33,'Your Team'!$D$3)&gt;0),'Your Team'!$C$3="D" ),1,0)+IF( AND((COUNTIF(AT$2:AT$33,'Your Team'!$D$4)&gt;0),'Your Team'!$C$4="D" ),1,0)+IF( AND((COUNTIF(AT$2:AT$33,'Your Team'!$D$5)&gt;0),'Your Team'!$C$5="D" ),1,0)+IF( AND((COUNTIF(AT$2:AT$33,'Your Team'!$D$6)&gt;0),'Your Team'!$C$6="D" ),1,0)+IF( AND((COUNTIF(AT$2:AT$33,'Your Team'!$D$7)&gt;0),'Your Team'!$C$7="D" ),1,0)+IF( AND((COUNTIF(AT$2:AT$33,'Your Team'!$D$8)&gt;0),'Your Team'!$C$8="D" ),1,0)+IF( AND((COUNTIF(AT$2:AT$33,'Your Team'!$D$9)&gt;0),'Your Team'!$C$9="D" ),1,0)+IF( AND((COUNTIF(AT$2:AT$33,'Your Team'!$D$10)&gt;0),'Your Team'!$C$10="D" ),1,0)+IF( AND((COUNTIF(AT$2:AT$33,'Your Team'!$D$11)&gt;0),'Your Team'!$C$11="D" ),1,0)+IF( AND((COUNTIF(AT$2:AT$33,'Your Team'!$D$12)&gt;0),'Your Team'!$C$12="D" ),1,0)+IF( AND((COUNTIF(AT$2:AT$33,'Your Team'!$D$13)&gt;0),'Your Team'!$C$13="D" ),1,0)+IF( AND((COUNTIF(AT$2:AT$33,'Your Team'!$D$14)&gt;0),'Your Team'!$C$14="D" ),1,0)+IF( AND((COUNTIF(AT$2:AT$33,'Your Team'!$D$15)&gt;0),'Your Team'!$C$15="D" ),1,0)+IF( AND((COUNTIF(AT$2:AT$33,'Your Team'!$D$16)&gt;0),'Your Team'!$C$16="D" ),1,0)+IF( AND((COUNTIF(AT$2:AT$33,'Your Team'!$D$17)&gt;0),'Your Team'!$C$17="D" ),1,0)+IF( AND((COUNTIF(AT$2:AT$33,'Your Team'!$D$18)&gt;0),'Your Team'!$C$18="D" ),1,0)+IF( AND((COUNTIF(AT$2:AT$33,'Your Team'!$D$19)&gt;0),'Your Team'!$C$19="D" ),1,0)</f>
        <v>0</v>
      </c>
      <c r="AU39" s="9">
        <f>IF( AND((COUNTIF(AU$2:AU$33,'Your Team'!$D$3)&gt;0),'Your Team'!$C$3="D" ),1,0)+IF( AND((COUNTIF(AU$2:AU$33,'Your Team'!$D$4)&gt;0),'Your Team'!$C$4="D" ),1,0)+IF( AND((COUNTIF(AU$2:AU$33,'Your Team'!$D$5)&gt;0),'Your Team'!$C$5="D" ),1,0)+IF( AND((COUNTIF(AU$2:AU$33,'Your Team'!$D$6)&gt;0),'Your Team'!$C$6="D" ),1,0)+IF( AND((COUNTIF(AU$2:AU$33,'Your Team'!$D$7)&gt;0),'Your Team'!$C$7="D" ),1,0)+IF( AND((COUNTIF(AU$2:AU$33,'Your Team'!$D$8)&gt;0),'Your Team'!$C$8="D" ),1,0)+IF( AND((COUNTIF(AU$2:AU$33,'Your Team'!$D$9)&gt;0),'Your Team'!$C$9="D" ),1,0)+IF( AND((COUNTIF(AU$2:AU$33,'Your Team'!$D$10)&gt;0),'Your Team'!$C$10="D" ),1,0)+IF( AND((COUNTIF(AU$2:AU$33,'Your Team'!$D$11)&gt;0),'Your Team'!$C$11="D" ),1,0)+IF( AND((COUNTIF(AU$2:AU$33,'Your Team'!$D$12)&gt;0),'Your Team'!$C$12="D" ),1,0)+IF( AND((COUNTIF(AU$2:AU$33,'Your Team'!$D$13)&gt;0),'Your Team'!$C$13="D" ),1,0)+IF( AND((COUNTIF(AU$2:AU$33,'Your Team'!$D$14)&gt;0),'Your Team'!$C$14="D" ),1,0)+IF( AND((COUNTIF(AU$2:AU$33,'Your Team'!$D$15)&gt;0),'Your Team'!$C$15="D" ),1,0)+IF( AND((COUNTIF(AU$2:AU$33,'Your Team'!$D$16)&gt;0),'Your Team'!$C$16="D" ),1,0)+IF( AND((COUNTIF(AU$2:AU$33,'Your Team'!$D$17)&gt;0),'Your Team'!$C$17="D" ),1,0)+IF( AND((COUNTIF(AU$2:AU$33,'Your Team'!$D$18)&gt;0),'Your Team'!$C$18="D" ),1,0)+IF( AND((COUNTIF(AU$2:AU$33,'Your Team'!$D$19)&gt;0),'Your Team'!$C$19="D" ),1,0)</f>
        <v>0</v>
      </c>
      <c r="AV39" s="9">
        <f>IF( AND((COUNTIF(AV$2:AV$33,'Your Team'!$D$3)&gt;0),'Your Team'!$C$3="D" ),1,0)+IF( AND((COUNTIF(AV$2:AV$33,'Your Team'!$D$4)&gt;0),'Your Team'!$C$4="D" ),1,0)+IF( AND((COUNTIF(AV$2:AV$33,'Your Team'!$D$5)&gt;0),'Your Team'!$C$5="D" ),1,0)+IF( AND((COUNTIF(AV$2:AV$33,'Your Team'!$D$6)&gt;0),'Your Team'!$C$6="D" ),1,0)+IF( AND((COUNTIF(AV$2:AV$33,'Your Team'!$D$7)&gt;0),'Your Team'!$C$7="D" ),1,0)+IF( AND((COUNTIF(AV$2:AV$33,'Your Team'!$D$8)&gt;0),'Your Team'!$C$8="D" ),1,0)+IF( AND((COUNTIF(AV$2:AV$33,'Your Team'!$D$9)&gt;0),'Your Team'!$C$9="D" ),1,0)+IF( AND((COUNTIF(AV$2:AV$33,'Your Team'!$D$10)&gt;0),'Your Team'!$C$10="D" ),1,0)+IF( AND((COUNTIF(AV$2:AV$33,'Your Team'!$D$11)&gt;0),'Your Team'!$C$11="D" ),1,0)+IF( AND((COUNTIF(AV$2:AV$33,'Your Team'!$D$12)&gt;0),'Your Team'!$C$12="D" ),1,0)+IF( AND((COUNTIF(AV$2:AV$33,'Your Team'!$D$13)&gt;0),'Your Team'!$C$13="D" ),1,0)+IF( AND((COUNTIF(AV$2:AV$33,'Your Team'!$D$14)&gt;0),'Your Team'!$C$14="D" ),1,0)+IF( AND((COUNTIF(AV$2:AV$33,'Your Team'!$D$15)&gt;0),'Your Team'!$C$15="D" ),1,0)+IF( AND((COUNTIF(AV$2:AV$33,'Your Team'!$D$16)&gt;0),'Your Team'!$C$16="D" ),1,0)+IF( AND((COUNTIF(AV$2:AV$33,'Your Team'!$D$17)&gt;0),'Your Team'!$C$17="D" ),1,0)+IF( AND((COUNTIF(AV$2:AV$33,'Your Team'!$D$18)&gt;0),'Your Team'!$C$18="D" ),1,0)+IF( AND((COUNTIF(AV$2:AV$33,'Your Team'!$D$19)&gt;0),'Your Team'!$C$19="D" ),1,0)</f>
        <v>0</v>
      </c>
      <c r="AW39" s="9">
        <f>IF( AND((COUNTIF(AW$2:AW$33,'Your Team'!$D$3)&gt;0),'Your Team'!$C$3="D" ),1,0)+IF( AND((COUNTIF(AW$2:AW$33,'Your Team'!$D$4)&gt;0),'Your Team'!$C$4="D" ),1,0)+IF( AND((COUNTIF(AW$2:AW$33,'Your Team'!$D$5)&gt;0),'Your Team'!$C$5="D" ),1,0)+IF( AND((COUNTIF(AW$2:AW$33,'Your Team'!$D$6)&gt;0),'Your Team'!$C$6="D" ),1,0)+IF( AND((COUNTIF(AW$2:AW$33,'Your Team'!$D$7)&gt;0),'Your Team'!$C$7="D" ),1,0)+IF( AND((COUNTIF(AW$2:AW$33,'Your Team'!$D$8)&gt;0),'Your Team'!$C$8="D" ),1,0)+IF( AND((COUNTIF(AW$2:AW$33,'Your Team'!$D$9)&gt;0),'Your Team'!$C$9="D" ),1,0)+IF( AND((COUNTIF(AW$2:AW$33,'Your Team'!$D$10)&gt;0),'Your Team'!$C$10="D" ),1,0)+IF( AND((COUNTIF(AW$2:AW$33,'Your Team'!$D$11)&gt;0),'Your Team'!$C$11="D" ),1,0)+IF( AND((COUNTIF(AW$2:AW$33,'Your Team'!$D$12)&gt;0),'Your Team'!$C$12="D" ),1,0)+IF( AND((COUNTIF(AW$2:AW$33,'Your Team'!$D$13)&gt;0),'Your Team'!$C$13="D" ),1,0)+IF( AND((COUNTIF(AW$2:AW$33,'Your Team'!$D$14)&gt;0),'Your Team'!$C$14="D" ),1,0)+IF( AND((COUNTIF(AW$2:AW$33,'Your Team'!$D$15)&gt;0),'Your Team'!$C$15="D" ),1,0)+IF( AND((COUNTIF(AW$2:AW$33,'Your Team'!$D$16)&gt;0),'Your Team'!$C$16="D" ),1,0)+IF( AND((COUNTIF(AW$2:AW$33,'Your Team'!$D$17)&gt;0),'Your Team'!$C$17="D" ),1,0)+IF( AND((COUNTIF(AW$2:AW$33,'Your Team'!$D$18)&gt;0),'Your Team'!$C$18="D" ),1,0)+IF( AND((COUNTIF(AW$2:AW$33,'Your Team'!$D$19)&gt;0),'Your Team'!$C$19="D" ),1,0)</f>
        <v>0</v>
      </c>
      <c r="AX39" s="9">
        <f>IF( AND((COUNTIF(AX$2:AX$33,'Your Team'!$D$3)&gt;0),'Your Team'!$C$3="D" ),1,0)+IF( AND((COUNTIF(AX$2:AX$33,'Your Team'!$D$4)&gt;0),'Your Team'!$C$4="D" ),1,0)+IF( AND((COUNTIF(AX$2:AX$33,'Your Team'!$D$5)&gt;0),'Your Team'!$C$5="D" ),1,0)+IF( AND((COUNTIF(AX$2:AX$33,'Your Team'!$D$6)&gt;0),'Your Team'!$C$6="D" ),1,0)+IF( AND((COUNTIF(AX$2:AX$33,'Your Team'!$D$7)&gt;0),'Your Team'!$C$7="D" ),1,0)+IF( AND((COUNTIF(AX$2:AX$33,'Your Team'!$D$8)&gt;0),'Your Team'!$C$8="D" ),1,0)+IF( AND((COUNTIF(AX$2:AX$33,'Your Team'!$D$9)&gt;0),'Your Team'!$C$9="D" ),1,0)+IF( AND((COUNTIF(AX$2:AX$33,'Your Team'!$D$10)&gt;0),'Your Team'!$C$10="D" ),1,0)+IF( AND((COUNTIF(AX$2:AX$33,'Your Team'!$D$11)&gt;0),'Your Team'!$C$11="D" ),1,0)+IF( AND((COUNTIF(AX$2:AX$33,'Your Team'!$D$12)&gt;0),'Your Team'!$C$12="D" ),1,0)+IF( AND((COUNTIF(AX$2:AX$33,'Your Team'!$D$13)&gt;0),'Your Team'!$C$13="D" ),1,0)+IF( AND((COUNTIF(AX$2:AX$33,'Your Team'!$D$14)&gt;0),'Your Team'!$C$14="D" ),1,0)+IF( AND((COUNTIF(AX$2:AX$33,'Your Team'!$D$15)&gt;0),'Your Team'!$C$15="D" ),1,0)+IF( AND((COUNTIF(AX$2:AX$33,'Your Team'!$D$16)&gt;0),'Your Team'!$C$16="D" ),1,0)+IF( AND((COUNTIF(AX$2:AX$33,'Your Team'!$D$17)&gt;0),'Your Team'!$C$17="D" ),1,0)+IF( AND((COUNTIF(AX$2:AX$33,'Your Team'!$D$18)&gt;0),'Your Team'!$C$18="D" ),1,0)+IF( AND((COUNTIF(AX$2:AX$33,'Your Team'!$D$19)&gt;0),'Your Team'!$C$19="D" ),1,0)</f>
        <v>0</v>
      </c>
      <c r="AY39" s="9">
        <f>IF( AND((COUNTIF(AY$2:AY$33,'Your Team'!$D$3)&gt;0),'Your Team'!$C$3="D" ),1,0)+IF( AND((COUNTIF(AY$2:AY$33,'Your Team'!$D$4)&gt;0),'Your Team'!$C$4="D" ),1,0)+IF( AND((COUNTIF(AY$2:AY$33,'Your Team'!$D$5)&gt;0),'Your Team'!$C$5="D" ),1,0)+IF( AND((COUNTIF(AY$2:AY$33,'Your Team'!$D$6)&gt;0),'Your Team'!$C$6="D" ),1,0)+IF( AND((COUNTIF(AY$2:AY$33,'Your Team'!$D$7)&gt;0),'Your Team'!$C$7="D" ),1,0)+IF( AND((COUNTIF(AY$2:AY$33,'Your Team'!$D$8)&gt;0),'Your Team'!$C$8="D" ),1,0)+IF( AND((COUNTIF(AY$2:AY$33,'Your Team'!$D$9)&gt;0),'Your Team'!$C$9="D" ),1,0)+IF( AND((COUNTIF(AY$2:AY$33,'Your Team'!$D$10)&gt;0),'Your Team'!$C$10="D" ),1,0)+IF( AND((COUNTIF(AY$2:AY$33,'Your Team'!$D$11)&gt;0),'Your Team'!$C$11="D" ),1,0)+IF( AND((COUNTIF(AY$2:AY$33,'Your Team'!$D$12)&gt;0),'Your Team'!$C$12="D" ),1,0)+IF( AND((COUNTIF(AY$2:AY$33,'Your Team'!$D$13)&gt;0),'Your Team'!$C$13="D" ),1,0)+IF( AND((COUNTIF(AY$2:AY$33,'Your Team'!$D$14)&gt;0),'Your Team'!$C$14="D" ),1,0)+IF( AND((COUNTIF(AY$2:AY$33,'Your Team'!$D$15)&gt;0),'Your Team'!$C$15="D" ),1,0)+IF( AND((COUNTIF(AY$2:AY$33,'Your Team'!$D$16)&gt;0),'Your Team'!$C$16="D" ),1,0)+IF( AND((COUNTIF(AY$2:AY$33,'Your Team'!$D$17)&gt;0),'Your Team'!$C$17="D" ),1,0)+IF( AND((COUNTIF(AY$2:AY$33,'Your Team'!$D$18)&gt;0),'Your Team'!$C$18="D" ),1,0)+IF( AND((COUNTIF(AY$2:AY$33,'Your Team'!$D$19)&gt;0),'Your Team'!$C$19="D" ),1,0)</f>
        <v>0</v>
      </c>
      <c r="AZ39" s="9">
        <f>IF( AND((COUNTIF(AZ$2:AZ$33,'Your Team'!$D$3)&gt;0),'Your Team'!$C$3="D" ),1,0)+IF( AND((COUNTIF(AZ$2:AZ$33,'Your Team'!$D$4)&gt;0),'Your Team'!$C$4="D" ),1,0)+IF( AND((COUNTIF(AZ$2:AZ$33,'Your Team'!$D$5)&gt;0),'Your Team'!$C$5="D" ),1,0)+IF( AND((COUNTIF(AZ$2:AZ$33,'Your Team'!$D$6)&gt;0),'Your Team'!$C$6="D" ),1,0)+IF( AND((COUNTIF(AZ$2:AZ$33,'Your Team'!$D$7)&gt;0),'Your Team'!$C$7="D" ),1,0)+IF( AND((COUNTIF(AZ$2:AZ$33,'Your Team'!$D$8)&gt;0),'Your Team'!$C$8="D" ),1,0)+IF( AND((COUNTIF(AZ$2:AZ$33,'Your Team'!$D$9)&gt;0),'Your Team'!$C$9="D" ),1,0)+IF( AND((COUNTIF(AZ$2:AZ$33,'Your Team'!$D$10)&gt;0),'Your Team'!$C$10="D" ),1,0)+IF( AND((COUNTIF(AZ$2:AZ$33,'Your Team'!$D$11)&gt;0),'Your Team'!$C$11="D" ),1,0)+IF( AND((COUNTIF(AZ$2:AZ$33,'Your Team'!$D$12)&gt;0),'Your Team'!$C$12="D" ),1,0)+IF( AND((COUNTIF(AZ$2:AZ$33,'Your Team'!$D$13)&gt;0),'Your Team'!$C$13="D" ),1,0)+IF( AND((COUNTIF(AZ$2:AZ$33,'Your Team'!$D$14)&gt;0),'Your Team'!$C$14="D" ),1,0)+IF( AND((COUNTIF(AZ$2:AZ$33,'Your Team'!$D$15)&gt;0),'Your Team'!$C$15="D" ),1,0)+IF( AND((COUNTIF(AZ$2:AZ$33,'Your Team'!$D$16)&gt;0),'Your Team'!$C$16="D" ),1,0)+IF( AND((COUNTIF(AZ$2:AZ$33,'Your Team'!$D$17)&gt;0),'Your Team'!$C$17="D" ),1,0)+IF( AND((COUNTIF(AZ$2:AZ$33,'Your Team'!$D$18)&gt;0),'Your Team'!$C$18="D" ),1,0)+IF( AND((COUNTIF(AZ$2:AZ$33,'Your Team'!$D$19)&gt;0),'Your Team'!$C$19="D" ),1,0)</f>
        <v>0</v>
      </c>
      <c r="BA39" s="9">
        <f>IF( AND((COUNTIF(BA$2:BA$33,'Your Team'!$D$3)&gt;0),'Your Team'!$C$3="D" ),1,0)+IF( AND((COUNTIF(BA$2:BA$33,'Your Team'!$D$4)&gt;0),'Your Team'!$C$4="D" ),1,0)+IF( AND((COUNTIF(BA$2:BA$33,'Your Team'!$D$5)&gt;0),'Your Team'!$C$5="D" ),1,0)+IF( AND((COUNTIF(BA$2:BA$33,'Your Team'!$D$6)&gt;0),'Your Team'!$C$6="D" ),1,0)+IF( AND((COUNTIF(BA$2:BA$33,'Your Team'!$D$7)&gt;0),'Your Team'!$C$7="D" ),1,0)+IF( AND((COUNTIF(BA$2:BA$33,'Your Team'!$D$8)&gt;0),'Your Team'!$C$8="D" ),1,0)+IF( AND((COUNTIF(BA$2:BA$33,'Your Team'!$D$9)&gt;0),'Your Team'!$C$9="D" ),1,0)+IF( AND((COUNTIF(BA$2:BA$33,'Your Team'!$D$10)&gt;0),'Your Team'!$C$10="D" ),1,0)+IF( AND((COUNTIF(BA$2:BA$33,'Your Team'!$D$11)&gt;0),'Your Team'!$C$11="D" ),1,0)+IF( AND((COUNTIF(BA$2:BA$33,'Your Team'!$D$12)&gt;0),'Your Team'!$C$12="D" ),1,0)+IF( AND((COUNTIF(BA$2:BA$33,'Your Team'!$D$13)&gt;0),'Your Team'!$C$13="D" ),1,0)+IF( AND((COUNTIF(BA$2:BA$33,'Your Team'!$D$14)&gt;0),'Your Team'!$C$14="D" ),1,0)+IF( AND((COUNTIF(BA$2:BA$33,'Your Team'!$D$15)&gt;0),'Your Team'!$C$15="D" ),1,0)+IF( AND((COUNTIF(BA$2:BA$33,'Your Team'!$D$16)&gt;0),'Your Team'!$C$16="D" ),1,0)+IF( AND((COUNTIF(BA$2:BA$33,'Your Team'!$D$17)&gt;0),'Your Team'!$C$17="D" ),1,0)+IF( AND((COUNTIF(BA$2:BA$33,'Your Team'!$D$18)&gt;0),'Your Team'!$C$18="D" ),1,0)+IF( AND((COUNTIF(BA$2:BA$33,'Your Team'!$D$19)&gt;0),'Your Team'!$C$19="D" ),1,0)</f>
        <v>0</v>
      </c>
      <c r="BB39" s="9">
        <f>IF( AND((COUNTIF(BB$2:BB$33,'Your Team'!$D$3)&gt;0),'Your Team'!$C$3="D" ),1,0)+IF( AND((COUNTIF(BB$2:BB$33,'Your Team'!$D$4)&gt;0),'Your Team'!$C$4="D" ),1,0)+IF( AND((COUNTIF(BB$2:BB$33,'Your Team'!$D$5)&gt;0),'Your Team'!$C$5="D" ),1,0)+IF( AND((COUNTIF(BB$2:BB$33,'Your Team'!$D$6)&gt;0),'Your Team'!$C$6="D" ),1,0)+IF( AND((COUNTIF(BB$2:BB$33,'Your Team'!$D$7)&gt;0),'Your Team'!$C$7="D" ),1,0)+IF( AND((COUNTIF(BB$2:BB$33,'Your Team'!$D$8)&gt;0),'Your Team'!$C$8="D" ),1,0)+IF( AND((COUNTIF(BB$2:BB$33,'Your Team'!$D$9)&gt;0),'Your Team'!$C$9="D" ),1,0)+IF( AND((COUNTIF(BB$2:BB$33,'Your Team'!$D$10)&gt;0),'Your Team'!$C$10="D" ),1,0)+IF( AND((COUNTIF(BB$2:BB$33,'Your Team'!$D$11)&gt;0),'Your Team'!$C$11="D" ),1,0)+IF( AND((COUNTIF(BB$2:BB$33,'Your Team'!$D$12)&gt;0),'Your Team'!$C$12="D" ),1,0)+IF( AND((COUNTIF(BB$2:BB$33,'Your Team'!$D$13)&gt;0),'Your Team'!$C$13="D" ),1,0)+IF( AND((COUNTIF(BB$2:BB$33,'Your Team'!$D$14)&gt;0),'Your Team'!$C$14="D" ),1,0)+IF( AND((COUNTIF(BB$2:BB$33,'Your Team'!$D$15)&gt;0),'Your Team'!$C$15="D" ),1,0)+IF( AND((COUNTIF(BB$2:BB$33,'Your Team'!$D$16)&gt;0),'Your Team'!$C$16="D" ),1,0)+IF( AND((COUNTIF(BB$2:BB$33,'Your Team'!$D$17)&gt;0),'Your Team'!$C$17="D" ),1,0)+IF( AND((COUNTIF(BB$2:BB$33,'Your Team'!$D$18)&gt;0),'Your Team'!$C$18="D" ),1,0)+IF( AND((COUNTIF(BB$2:BB$33,'Your Team'!$D$19)&gt;0),'Your Team'!$C$19="D" ),1,0)</f>
        <v>0</v>
      </c>
      <c r="BC39" s="9">
        <f>IF( AND((COUNTIF(BC$2:BC$33,'Your Team'!$D$3)&gt;0),'Your Team'!$C$3="D" ),1,0)+IF( AND((COUNTIF(BC$2:BC$33,'Your Team'!$D$4)&gt;0),'Your Team'!$C$4="D" ),1,0)+IF( AND((COUNTIF(BC$2:BC$33,'Your Team'!$D$5)&gt;0),'Your Team'!$C$5="D" ),1,0)+IF( AND((COUNTIF(BC$2:BC$33,'Your Team'!$D$6)&gt;0),'Your Team'!$C$6="D" ),1,0)+IF( AND((COUNTIF(BC$2:BC$33,'Your Team'!$D$7)&gt;0),'Your Team'!$C$7="D" ),1,0)+IF( AND((COUNTIF(BC$2:BC$33,'Your Team'!$D$8)&gt;0),'Your Team'!$C$8="D" ),1,0)+IF( AND((COUNTIF(BC$2:BC$33,'Your Team'!$D$9)&gt;0),'Your Team'!$C$9="D" ),1,0)+IF( AND((COUNTIF(BC$2:BC$33,'Your Team'!$D$10)&gt;0),'Your Team'!$C$10="D" ),1,0)+IF( AND((COUNTIF(BC$2:BC$33,'Your Team'!$D$11)&gt;0),'Your Team'!$C$11="D" ),1,0)+IF( AND((COUNTIF(BC$2:BC$33,'Your Team'!$D$12)&gt;0),'Your Team'!$C$12="D" ),1,0)+IF( AND((COUNTIF(BC$2:BC$33,'Your Team'!$D$13)&gt;0),'Your Team'!$C$13="D" ),1,0)+IF( AND((COUNTIF(BC$2:BC$33,'Your Team'!$D$14)&gt;0),'Your Team'!$C$14="D" ),1,0)+IF( AND((COUNTIF(BC$2:BC$33,'Your Team'!$D$15)&gt;0),'Your Team'!$C$15="D" ),1,0)+IF( AND((COUNTIF(BC$2:BC$33,'Your Team'!$D$16)&gt;0),'Your Team'!$C$16="D" ),1,0)+IF( AND((COUNTIF(BC$2:BC$33,'Your Team'!$D$17)&gt;0),'Your Team'!$C$17="D" ),1,0)+IF( AND((COUNTIF(BC$2:BC$33,'Your Team'!$D$18)&gt;0),'Your Team'!$C$18="D" ),1,0)+IF( AND((COUNTIF(BC$2:BC$33,'Your Team'!$D$19)&gt;0),'Your Team'!$C$19="D" ),1,0)</f>
        <v>0</v>
      </c>
      <c r="BD39" s="9">
        <f>IF( AND((COUNTIF(BD$2:BD$33,'Your Team'!$D$3)&gt;0),'Your Team'!$C$3="D" ),1,0)+IF( AND((COUNTIF(BD$2:BD$33,'Your Team'!$D$4)&gt;0),'Your Team'!$C$4="D" ),1,0)+IF( AND((COUNTIF(BD$2:BD$33,'Your Team'!$D$5)&gt;0),'Your Team'!$C$5="D" ),1,0)+IF( AND((COUNTIF(BD$2:BD$33,'Your Team'!$D$6)&gt;0),'Your Team'!$C$6="D" ),1,0)+IF( AND((COUNTIF(BD$2:BD$33,'Your Team'!$D$7)&gt;0),'Your Team'!$C$7="D" ),1,0)+IF( AND((COUNTIF(BD$2:BD$33,'Your Team'!$D$8)&gt;0),'Your Team'!$C$8="D" ),1,0)+IF( AND((COUNTIF(BD$2:BD$33,'Your Team'!$D$9)&gt;0),'Your Team'!$C$9="D" ),1,0)+IF( AND((COUNTIF(BD$2:BD$33,'Your Team'!$D$10)&gt;0),'Your Team'!$C$10="D" ),1,0)+IF( AND((COUNTIF(BD$2:BD$33,'Your Team'!$D$11)&gt;0),'Your Team'!$C$11="D" ),1,0)+IF( AND((COUNTIF(BD$2:BD$33,'Your Team'!$D$12)&gt;0),'Your Team'!$C$12="D" ),1,0)+IF( AND((COUNTIF(BD$2:BD$33,'Your Team'!$D$13)&gt;0),'Your Team'!$C$13="D" ),1,0)+IF( AND((COUNTIF(BD$2:BD$33,'Your Team'!$D$14)&gt;0),'Your Team'!$C$14="D" ),1,0)+IF( AND((COUNTIF(BD$2:BD$33,'Your Team'!$D$15)&gt;0),'Your Team'!$C$15="D" ),1,0)+IF( AND((COUNTIF(BD$2:BD$33,'Your Team'!$D$16)&gt;0),'Your Team'!$C$16="D" ),1,0)+IF( AND((COUNTIF(BD$2:BD$33,'Your Team'!$D$17)&gt;0),'Your Team'!$C$17="D" ),1,0)+IF( AND((COUNTIF(BD$2:BD$33,'Your Team'!$D$18)&gt;0),'Your Team'!$C$18="D" ),1,0)+IF( AND((COUNTIF(BD$2:BD$33,'Your Team'!$D$19)&gt;0),'Your Team'!$C$19="D" ),1,0)</f>
        <v>0</v>
      </c>
      <c r="BE39" s="9">
        <f>IF( AND((COUNTIF(BE$2:BE$33,'Your Team'!$D$3)&gt;0),'Your Team'!$C$3="D" ),1,0)+IF( AND((COUNTIF(BE$2:BE$33,'Your Team'!$D$4)&gt;0),'Your Team'!$C$4="D" ),1,0)+IF( AND((COUNTIF(BE$2:BE$33,'Your Team'!$D$5)&gt;0),'Your Team'!$C$5="D" ),1,0)+IF( AND((COUNTIF(BE$2:BE$33,'Your Team'!$D$6)&gt;0),'Your Team'!$C$6="D" ),1,0)+IF( AND((COUNTIF(BE$2:BE$33,'Your Team'!$D$7)&gt;0),'Your Team'!$C$7="D" ),1,0)+IF( AND((COUNTIF(BE$2:BE$33,'Your Team'!$D$8)&gt;0),'Your Team'!$C$8="D" ),1,0)+IF( AND((COUNTIF(BE$2:BE$33,'Your Team'!$D$9)&gt;0),'Your Team'!$C$9="D" ),1,0)+IF( AND((COUNTIF(BE$2:BE$33,'Your Team'!$D$10)&gt;0),'Your Team'!$C$10="D" ),1,0)+IF( AND((COUNTIF(BE$2:BE$33,'Your Team'!$D$11)&gt;0),'Your Team'!$C$11="D" ),1,0)+IF( AND((COUNTIF(BE$2:BE$33,'Your Team'!$D$12)&gt;0),'Your Team'!$C$12="D" ),1,0)+IF( AND((COUNTIF(BE$2:BE$33,'Your Team'!$D$13)&gt;0),'Your Team'!$C$13="D" ),1,0)+IF( AND((COUNTIF(BE$2:BE$33,'Your Team'!$D$14)&gt;0),'Your Team'!$C$14="D" ),1,0)+IF( AND((COUNTIF(BE$2:BE$33,'Your Team'!$D$15)&gt;0),'Your Team'!$C$15="D" ),1,0)+IF( AND((COUNTIF(BE$2:BE$33,'Your Team'!$D$16)&gt;0),'Your Team'!$C$16="D" ),1,0)+IF( AND((COUNTIF(BE$2:BE$33,'Your Team'!$D$17)&gt;0),'Your Team'!$C$17="D" ),1,0)+IF( AND((COUNTIF(BE$2:BE$33,'Your Team'!$D$18)&gt;0),'Your Team'!$C$18="D" ),1,0)+IF( AND((COUNTIF(BE$2:BE$33,'Your Team'!$D$19)&gt;0),'Your Team'!$C$19="D" ),1,0)</f>
        <v>0</v>
      </c>
      <c r="BF39" s="9">
        <f>IF( AND((COUNTIF(BF$2:BF$33,'Your Team'!$D$3)&gt;0),'Your Team'!$C$3="D" ),1,0)+IF( AND((COUNTIF(BF$2:BF$33,'Your Team'!$D$4)&gt;0),'Your Team'!$C$4="D" ),1,0)+IF( AND((COUNTIF(BF$2:BF$33,'Your Team'!$D$5)&gt;0),'Your Team'!$C$5="D" ),1,0)+IF( AND((COUNTIF(BF$2:BF$33,'Your Team'!$D$6)&gt;0),'Your Team'!$C$6="D" ),1,0)+IF( AND((COUNTIF(BF$2:BF$33,'Your Team'!$D$7)&gt;0),'Your Team'!$C$7="D" ),1,0)+IF( AND((COUNTIF(BF$2:BF$33,'Your Team'!$D$8)&gt;0),'Your Team'!$C$8="D" ),1,0)+IF( AND((COUNTIF(BF$2:BF$33,'Your Team'!$D$9)&gt;0),'Your Team'!$C$9="D" ),1,0)+IF( AND((COUNTIF(BF$2:BF$33,'Your Team'!$D$10)&gt;0),'Your Team'!$C$10="D" ),1,0)+IF( AND((COUNTIF(BF$2:BF$33,'Your Team'!$D$11)&gt;0),'Your Team'!$C$11="D" ),1,0)+IF( AND((COUNTIF(BF$2:BF$33,'Your Team'!$D$12)&gt;0),'Your Team'!$C$12="D" ),1,0)+IF( AND((COUNTIF(BF$2:BF$33,'Your Team'!$D$13)&gt;0),'Your Team'!$C$13="D" ),1,0)+IF( AND((COUNTIF(BF$2:BF$33,'Your Team'!$D$14)&gt;0),'Your Team'!$C$14="D" ),1,0)+IF( AND((COUNTIF(BF$2:BF$33,'Your Team'!$D$15)&gt;0),'Your Team'!$C$15="D" ),1,0)+IF( AND((COUNTIF(BF$2:BF$33,'Your Team'!$D$16)&gt;0),'Your Team'!$C$16="D" ),1,0)+IF( AND((COUNTIF(BF$2:BF$33,'Your Team'!$D$17)&gt;0),'Your Team'!$C$17="D" ),1,0)+IF( AND((COUNTIF(BF$2:BF$33,'Your Team'!$D$18)&gt;0),'Your Team'!$C$18="D" ),1,0)+IF( AND((COUNTIF(BF$2:BF$33,'Your Team'!$D$19)&gt;0),'Your Team'!$C$19="D" ),1,0)</f>
        <v>0</v>
      </c>
      <c r="BG39" s="9">
        <f>IF( AND((COUNTIF(BG$2:BG$33,'Your Team'!$D$3)&gt;0),'Your Team'!$C$3="D" ),1,0)+IF( AND((COUNTIF(BG$2:BG$33,'Your Team'!$D$4)&gt;0),'Your Team'!$C$4="D" ),1,0)+IF( AND((COUNTIF(BG$2:BG$33,'Your Team'!$D$5)&gt;0),'Your Team'!$C$5="D" ),1,0)+IF( AND((COUNTIF(BG$2:BG$33,'Your Team'!$D$6)&gt;0),'Your Team'!$C$6="D" ),1,0)+IF( AND((COUNTIF(BG$2:BG$33,'Your Team'!$D$7)&gt;0),'Your Team'!$C$7="D" ),1,0)+IF( AND((COUNTIF(BG$2:BG$33,'Your Team'!$D$8)&gt;0),'Your Team'!$C$8="D" ),1,0)+IF( AND((COUNTIF(BG$2:BG$33,'Your Team'!$D$9)&gt;0),'Your Team'!$C$9="D" ),1,0)+IF( AND((COUNTIF(BG$2:BG$33,'Your Team'!$D$10)&gt;0),'Your Team'!$C$10="D" ),1,0)+IF( AND((COUNTIF(BG$2:BG$33,'Your Team'!$D$11)&gt;0),'Your Team'!$C$11="D" ),1,0)+IF( AND((COUNTIF(BG$2:BG$33,'Your Team'!$D$12)&gt;0),'Your Team'!$C$12="D" ),1,0)+IF( AND((COUNTIF(BG$2:BG$33,'Your Team'!$D$13)&gt;0),'Your Team'!$C$13="D" ),1,0)+IF( AND((COUNTIF(BG$2:BG$33,'Your Team'!$D$14)&gt;0),'Your Team'!$C$14="D" ),1,0)+IF( AND((COUNTIF(BG$2:BG$33,'Your Team'!$D$15)&gt;0),'Your Team'!$C$15="D" ),1,0)+IF( AND((COUNTIF(BG$2:BG$33,'Your Team'!$D$16)&gt;0),'Your Team'!$C$16="D" ),1,0)+IF( AND((COUNTIF(BG$2:BG$33,'Your Team'!$D$17)&gt;0),'Your Team'!$C$17="D" ),1,0)+IF( AND((COUNTIF(BG$2:BG$33,'Your Team'!$D$18)&gt;0),'Your Team'!$C$18="D" ),1,0)+IF( AND((COUNTIF(BG$2:BG$33,'Your Team'!$D$19)&gt;0),'Your Team'!$C$19="D" ),1,0)</f>
        <v>0</v>
      </c>
      <c r="BH39" s="9">
        <f>IF( AND((COUNTIF(BH$2:BH$33,'Your Team'!$D$3)&gt;0),'Your Team'!$C$3="D" ),1,0)+IF( AND((COUNTIF(BH$2:BH$33,'Your Team'!$D$4)&gt;0),'Your Team'!$C$4="D" ),1,0)+IF( AND((COUNTIF(BH$2:BH$33,'Your Team'!$D$5)&gt;0),'Your Team'!$C$5="D" ),1,0)+IF( AND((COUNTIF(BH$2:BH$33,'Your Team'!$D$6)&gt;0),'Your Team'!$C$6="D" ),1,0)+IF( AND((COUNTIF(BH$2:BH$33,'Your Team'!$D$7)&gt;0),'Your Team'!$C$7="D" ),1,0)+IF( AND((COUNTIF(BH$2:BH$33,'Your Team'!$D$8)&gt;0),'Your Team'!$C$8="D" ),1,0)+IF( AND((COUNTIF(BH$2:BH$33,'Your Team'!$D$9)&gt;0),'Your Team'!$C$9="D" ),1,0)+IF( AND((COUNTIF(BH$2:BH$33,'Your Team'!$D$10)&gt;0),'Your Team'!$C$10="D" ),1,0)+IF( AND((COUNTIF(BH$2:BH$33,'Your Team'!$D$11)&gt;0),'Your Team'!$C$11="D" ),1,0)+IF( AND((COUNTIF(BH$2:BH$33,'Your Team'!$D$12)&gt;0),'Your Team'!$C$12="D" ),1,0)+IF( AND((COUNTIF(BH$2:BH$33,'Your Team'!$D$13)&gt;0),'Your Team'!$C$13="D" ),1,0)+IF( AND((COUNTIF(BH$2:BH$33,'Your Team'!$D$14)&gt;0),'Your Team'!$C$14="D" ),1,0)+IF( AND((COUNTIF(BH$2:BH$33,'Your Team'!$D$15)&gt;0),'Your Team'!$C$15="D" ),1,0)+IF( AND((COUNTIF(BH$2:BH$33,'Your Team'!$D$16)&gt;0),'Your Team'!$C$16="D" ),1,0)+IF( AND((COUNTIF(BH$2:BH$33,'Your Team'!$D$17)&gt;0),'Your Team'!$C$17="D" ),1,0)+IF( AND((COUNTIF(BH$2:BH$33,'Your Team'!$D$18)&gt;0),'Your Team'!$C$18="D" ),1,0)+IF( AND((COUNTIF(BH$2:BH$33,'Your Team'!$D$19)&gt;0),'Your Team'!$C$19="D" ),1,0)</f>
        <v>0</v>
      </c>
      <c r="BI39" s="9">
        <f>IF( AND((COUNTIF(BI$2:BI$33,'Your Team'!$D$3)&gt;0),'Your Team'!$C$3="D" ),1,0)+IF( AND((COUNTIF(BI$2:BI$33,'Your Team'!$D$4)&gt;0),'Your Team'!$C$4="D" ),1,0)+IF( AND((COUNTIF(BI$2:BI$33,'Your Team'!$D$5)&gt;0),'Your Team'!$C$5="D" ),1,0)+IF( AND((COUNTIF(BI$2:BI$33,'Your Team'!$D$6)&gt;0),'Your Team'!$C$6="D" ),1,0)+IF( AND((COUNTIF(BI$2:BI$33,'Your Team'!$D$7)&gt;0),'Your Team'!$C$7="D" ),1,0)+IF( AND((COUNTIF(BI$2:BI$33,'Your Team'!$D$8)&gt;0),'Your Team'!$C$8="D" ),1,0)+IF( AND((COUNTIF(BI$2:BI$33,'Your Team'!$D$9)&gt;0),'Your Team'!$C$9="D" ),1,0)+IF( AND((COUNTIF(BI$2:BI$33,'Your Team'!$D$10)&gt;0),'Your Team'!$C$10="D" ),1,0)+IF( AND((COUNTIF(BI$2:BI$33,'Your Team'!$D$11)&gt;0),'Your Team'!$C$11="D" ),1,0)+IF( AND((COUNTIF(BI$2:BI$33,'Your Team'!$D$12)&gt;0),'Your Team'!$C$12="D" ),1,0)+IF( AND((COUNTIF(BI$2:BI$33,'Your Team'!$D$13)&gt;0),'Your Team'!$C$13="D" ),1,0)+IF( AND((COUNTIF(BI$2:BI$33,'Your Team'!$D$14)&gt;0),'Your Team'!$C$14="D" ),1,0)+IF( AND((COUNTIF(BI$2:BI$33,'Your Team'!$D$15)&gt;0),'Your Team'!$C$15="D" ),1,0)+IF( AND((COUNTIF(BI$2:BI$33,'Your Team'!$D$16)&gt;0),'Your Team'!$C$16="D" ),1,0)+IF( AND((COUNTIF(BI$2:BI$33,'Your Team'!$D$17)&gt;0),'Your Team'!$C$17="D" ),1,0)+IF( AND((COUNTIF(BI$2:BI$33,'Your Team'!$D$18)&gt;0),'Your Team'!$C$18="D" ),1,0)+IF( AND((COUNTIF(BI$2:BI$33,'Your Team'!$D$19)&gt;0),'Your Team'!$C$19="D" ),1,0)</f>
        <v>0</v>
      </c>
      <c r="BJ39" s="9">
        <f>IF( AND((COUNTIF(BJ$2:BJ$33,'Your Team'!$D$3)&gt;0),'Your Team'!$C$3="D" ),1,0)+IF( AND((COUNTIF(BJ$2:BJ$33,'Your Team'!$D$4)&gt;0),'Your Team'!$C$4="D" ),1,0)+IF( AND((COUNTIF(BJ$2:BJ$33,'Your Team'!$D$5)&gt;0),'Your Team'!$C$5="D" ),1,0)+IF( AND((COUNTIF(BJ$2:BJ$33,'Your Team'!$D$6)&gt;0),'Your Team'!$C$6="D" ),1,0)+IF( AND((COUNTIF(BJ$2:BJ$33,'Your Team'!$D$7)&gt;0),'Your Team'!$C$7="D" ),1,0)+IF( AND((COUNTIF(BJ$2:BJ$33,'Your Team'!$D$8)&gt;0),'Your Team'!$C$8="D" ),1,0)+IF( AND((COUNTIF(BJ$2:BJ$33,'Your Team'!$D$9)&gt;0),'Your Team'!$C$9="D" ),1,0)+IF( AND((COUNTIF(BJ$2:BJ$33,'Your Team'!$D$10)&gt;0),'Your Team'!$C$10="D" ),1,0)+IF( AND((COUNTIF(BJ$2:BJ$33,'Your Team'!$D$11)&gt;0),'Your Team'!$C$11="D" ),1,0)+IF( AND((COUNTIF(BJ$2:BJ$33,'Your Team'!$D$12)&gt;0),'Your Team'!$C$12="D" ),1,0)+IF( AND((COUNTIF(BJ$2:BJ$33,'Your Team'!$D$13)&gt;0),'Your Team'!$C$13="D" ),1,0)+IF( AND((COUNTIF(BJ$2:BJ$33,'Your Team'!$D$14)&gt;0),'Your Team'!$C$14="D" ),1,0)+IF( AND((COUNTIF(BJ$2:BJ$33,'Your Team'!$D$15)&gt;0),'Your Team'!$C$15="D" ),1,0)+IF( AND((COUNTIF(BJ$2:BJ$33,'Your Team'!$D$16)&gt;0),'Your Team'!$C$16="D" ),1,0)+IF( AND((COUNTIF(BJ$2:BJ$33,'Your Team'!$D$17)&gt;0),'Your Team'!$C$17="D" ),1,0)+IF( AND((COUNTIF(BJ$2:BJ$33,'Your Team'!$D$18)&gt;0),'Your Team'!$C$18="D" ),1,0)+IF( AND((COUNTIF(BJ$2:BJ$33,'Your Team'!$D$19)&gt;0),'Your Team'!$C$19="D" ),1,0)</f>
        <v>0</v>
      </c>
      <c r="BK39" s="9">
        <f>IF( AND((COUNTIF(BK$2:BK$33,'Your Team'!$D$3)&gt;0),'Your Team'!$C$3="D" ),1,0)+IF( AND((COUNTIF(BK$2:BK$33,'Your Team'!$D$4)&gt;0),'Your Team'!$C$4="D" ),1,0)+IF( AND((COUNTIF(BK$2:BK$33,'Your Team'!$D$5)&gt;0),'Your Team'!$C$5="D" ),1,0)+IF( AND((COUNTIF(BK$2:BK$33,'Your Team'!$D$6)&gt;0),'Your Team'!$C$6="D" ),1,0)+IF( AND((COUNTIF(BK$2:BK$33,'Your Team'!$D$7)&gt;0),'Your Team'!$C$7="D" ),1,0)+IF( AND((COUNTIF(BK$2:BK$33,'Your Team'!$D$8)&gt;0),'Your Team'!$C$8="D" ),1,0)+IF( AND((COUNTIF(BK$2:BK$33,'Your Team'!$D$9)&gt;0),'Your Team'!$C$9="D" ),1,0)+IF( AND((COUNTIF(BK$2:BK$33,'Your Team'!$D$10)&gt;0),'Your Team'!$C$10="D" ),1,0)+IF( AND((COUNTIF(BK$2:BK$33,'Your Team'!$D$11)&gt;0),'Your Team'!$C$11="D" ),1,0)+IF( AND((COUNTIF(BK$2:BK$33,'Your Team'!$D$12)&gt;0),'Your Team'!$C$12="D" ),1,0)+IF( AND((COUNTIF(BK$2:BK$33,'Your Team'!$D$13)&gt;0),'Your Team'!$C$13="D" ),1,0)+IF( AND((COUNTIF(BK$2:BK$33,'Your Team'!$D$14)&gt;0),'Your Team'!$C$14="D" ),1,0)+IF( AND((COUNTIF(BK$2:BK$33,'Your Team'!$D$15)&gt;0),'Your Team'!$C$15="D" ),1,0)+IF( AND((COUNTIF(BK$2:BK$33,'Your Team'!$D$16)&gt;0),'Your Team'!$C$16="D" ),1,0)+IF( AND((COUNTIF(BK$2:BK$33,'Your Team'!$D$17)&gt;0),'Your Team'!$C$17="D" ),1,0)+IF( AND((COUNTIF(BK$2:BK$33,'Your Team'!$D$18)&gt;0),'Your Team'!$C$18="D" ),1,0)+IF( AND((COUNTIF(BK$2:BK$33,'Your Team'!$D$19)&gt;0),'Your Team'!$C$19="D" ),1,0)</f>
        <v>0</v>
      </c>
      <c r="BL39" s="9">
        <f>IF( AND((COUNTIF(BL$2:BL$33,'Your Team'!$D$3)&gt;0),'Your Team'!$C$3="D" ),1,0)+IF( AND((COUNTIF(BL$2:BL$33,'Your Team'!$D$4)&gt;0),'Your Team'!$C$4="D" ),1,0)+IF( AND((COUNTIF(BL$2:BL$33,'Your Team'!$D$5)&gt;0),'Your Team'!$C$5="D" ),1,0)+IF( AND((COUNTIF(BL$2:BL$33,'Your Team'!$D$6)&gt;0),'Your Team'!$C$6="D" ),1,0)+IF( AND((COUNTIF(BL$2:BL$33,'Your Team'!$D$7)&gt;0),'Your Team'!$C$7="D" ),1,0)+IF( AND((COUNTIF(BL$2:BL$33,'Your Team'!$D$8)&gt;0),'Your Team'!$C$8="D" ),1,0)+IF( AND((COUNTIF(BL$2:BL$33,'Your Team'!$D$9)&gt;0),'Your Team'!$C$9="D" ),1,0)+IF( AND((COUNTIF(BL$2:BL$33,'Your Team'!$D$10)&gt;0),'Your Team'!$C$10="D" ),1,0)+IF( AND((COUNTIF(BL$2:BL$33,'Your Team'!$D$11)&gt;0),'Your Team'!$C$11="D" ),1,0)+IF( AND((COUNTIF(BL$2:BL$33,'Your Team'!$D$12)&gt;0),'Your Team'!$C$12="D" ),1,0)+IF( AND((COUNTIF(BL$2:BL$33,'Your Team'!$D$13)&gt;0),'Your Team'!$C$13="D" ),1,0)+IF( AND((COUNTIF(BL$2:BL$33,'Your Team'!$D$14)&gt;0),'Your Team'!$C$14="D" ),1,0)+IF( AND((COUNTIF(BL$2:BL$33,'Your Team'!$D$15)&gt;0),'Your Team'!$C$15="D" ),1,0)+IF( AND((COUNTIF(BL$2:BL$33,'Your Team'!$D$16)&gt;0),'Your Team'!$C$16="D" ),1,0)+IF( AND((COUNTIF(BL$2:BL$33,'Your Team'!$D$17)&gt;0),'Your Team'!$C$17="D" ),1,0)+IF( AND((COUNTIF(BL$2:BL$33,'Your Team'!$D$18)&gt;0),'Your Team'!$C$18="D" ),1,0)+IF( AND((COUNTIF(BL$2:BL$33,'Your Team'!$D$19)&gt;0),'Your Team'!$C$19="D" ),1,0)</f>
        <v>0</v>
      </c>
      <c r="BM39" s="9">
        <f>IF( AND((COUNTIF(BM$2:BM$33,'Your Team'!$D$3)&gt;0),'Your Team'!$C$3="D" ),1,0)+IF( AND((COUNTIF(BM$2:BM$33,'Your Team'!$D$4)&gt;0),'Your Team'!$C$4="D" ),1,0)+IF( AND((COUNTIF(BM$2:BM$33,'Your Team'!$D$5)&gt;0),'Your Team'!$C$5="D" ),1,0)+IF( AND((COUNTIF(BM$2:BM$33,'Your Team'!$D$6)&gt;0),'Your Team'!$C$6="D" ),1,0)+IF( AND((COUNTIF(BM$2:BM$33,'Your Team'!$D$7)&gt;0),'Your Team'!$C$7="D" ),1,0)+IF( AND((COUNTIF(BM$2:BM$33,'Your Team'!$D$8)&gt;0),'Your Team'!$C$8="D" ),1,0)+IF( AND((COUNTIF(BM$2:BM$33,'Your Team'!$D$9)&gt;0),'Your Team'!$C$9="D" ),1,0)+IF( AND((COUNTIF(BM$2:BM$33,'Your Team'!$D$10)&gt;0),'Your Team'!$C$10="D" ),1,0)+IF( AND((COUNTIF(BM$2:BM$33,'Your Team'!$D$11)&gt;0),'Your Team'!$C$11="D" ),1,0)+IF( AND((COUNTIF(BM$2:BM$33,'Your Team'!$D$12)&gt;0),'Your Team'!$C$12="D" ),1,0)+IF( AND((COUNTIF(BM$2:BM$33,'Your Team'!$D$13)&gt;0),'Your Team'!$C$13="D" ),1,0)+IF( AND((COUNTIF(BM$2:BM$33,'Your Team'!$D$14)&gt;0),'Your Team'!$C$14="D" ),1,0)+IF( AND((COUNTIF(BM$2:BM$33,'Your Team'!$D$15)&gt;0),'Your Team'!$C$15="D" ),1,0)+IF( AND((COUNTIF(BM$2:BM$33,'Your Team'!$D$16)&gt;0),'Your Team'!$C$16="D" ),1,0)+IF( AND((COUNTIF(BM$2:BM$33,'Your Team'!$D$17)&gt;0),'Your Team'!$C$17="D" ),1,0)+IF( AND((COUNTIF(BM$2:BM$33,'Your Team'!$D$18)&gt;0),'Your Team'!$C$18="D" ),1,0)+IF( AND((COUNTIF(BM$2:BM$33,'Your Team'!$D$19)&gt;0),'Your Team'!$C$19="D" ),1,0)</f>
        <v>0</v>
      </c>
      <c r="BN39" s="9">
        <f>IF( AND((COUNTIF(BN$2:BN$33,'Your Team'!$D$3)&gt;0),'Your Team'!$C$3="D" ),1,0)+IF( AND((COUNTIF(BN$2:BN$33,'Your Team'!$D$4)&gt;0),'Your Team'!$C$4="D" ),1,0)+IF( AND((COUNTIF(BN$2:BN$33,'Your Team'!$D$5)&gt;0),'Your Team'!$C$5="D" ),1,0)+IF( AND((COUNTIF(BN$2:BN$33,'Your Team'!$D$6)&gt;0),'Your Team'!$C$6="D" ),1,0)+IF( AND((COUNTIF(BN$2:BN$33,'Your Team'!$D$7)&gt;0),'Your Team'!$C$7="D" ),1,0)+IF( AND((COUNTIF(BN$2:BN$33,'Your Team'!$D$8)&gt;0),'Your Team'!$C$8="D" ),1,0)+IF( AND((COUNTIF(BN$2:BN$33,'Your Team'!$D$9)&gt;0),'Your Team'!$C$9="D" ),1,0)+IF( AND((COUNTIF(BN$2:BN$33,'Your Team'!$D$10)&gt;0),'Your Team'!$C$10="D" ),1,0)+IF( AND((COUNTIF(BN$2:BN$33,'Your Team'!$D$11)&gt;0),'Your Team'!$C$11="D" ),1,0)+IF( AND((COUNTIF(BN$2:BN$33,'Your Team'!$D$12)&gt;0),'Your Team'!$C$12="D" ),1,0)+IF( AND((COUNTIF(BN$2:BN$33,'Your Team'!$D$13)&gt;0),'Your Team'!$C$13="D" ),1,0)+IF( AND((COUNTIF(BN$2:BN$33,'Your Team'!$D$14)&gt;0),'Your Team'!$C$14="D" ),1,0)+IF( AND((COUNTIF(BN$2:BN$33,'Your Team'!$D$15)&gt;0),'Your Team'!$C$15="D" ),1,0)+IF( AND((COUNTIF(BN$2:BN$33,'Your Team'!$D$16)&gt;0),'Your Team'!$C$16="D" ),1,0)+IF( AND((COUNTIF(BN$2:BN$33,'Your Team'!$D$17)&gt;0),'Your Team'!$C$17="D" ),1,0)+IF( AND((COUNTIF(BN$2:BN$33,'Your Team'!$D$18)&gt;0),'Your Team'!$C$18="D" ),1,0)+IF( AND((COUNTIF(BN$2:BN$33,'Your Team'!$D$19)&gt;0),'Your Team'!$C$19="D" ),1,0)</f>
        <v>0</v>
      </c>
      <c r="BO39" s="9">
        <f>IF( AND((COUNTIF(BO$2:BO$33,'Your Team'!$D$3)&gt;0),'Your Team'!$C$3="D" ),1,0)+IF( AND((COUNTIF(BO$2:BO$33,'Your Team'!$D$4)&gt;0),'Your Team'!$C$4="D" ),1,0)+IF( AND((COUNTIF(BO$2:BO$33,'Your Team'!$D$5)&gt;0),'Your Team'!$C$5="D" ),1,0)+IF( AND((COUNTIF(BO$2:BO$33,'Your Team'!$D$6)&gt;0),'Your Team'!$C$6="D" ),1,0)+IF( AND((COUNTIF(BO$2:BO$33,'Your Team'!$D$7)&gt;0),'Your Team'!$C$7="D" ),1,0)+IF( AND((COUNTIF(BO$2:BO$33,'Your Team'!$D$8)&gt;0),'Your Team'!$C$8="D" ),1,0)+IF( AND((COUNTIF(BO$2:BO$33,'Your Team'!$D$9)&gt;0),'Your Team'!$C$9="D" ),1,0)+IF( AND((COUNTIF(BO$2:BO$33,'Your Team'!$D$10)&gt;0),'Your Team'!$C$10="D" ),1,0)+IF( AND((COUNTIF(BO$2:BO$33,'Your Team'!$D$11)&gt;0),'Your Team'!$C$11="D" ),1,0)+IF( AND((COUNTIF(BO$2:BO$33,'Your Team'!$D$12)&gt;0),'Your Team'!$C$12="D" ),1,0)+IF( AND((COUNTIF(BO$2:BO$33,'Your Team'!$D$13)&gt;0),'Your Team'!$C$13="D" ),1,0)+IF( AND((COUNTIF(BO$2:BO$33,'Your Team'!$D$14)&gt;0),'Your Team'!$C$14="D" ),1,0)+IF( AND((COUNTIF(BO$2:BO$33,'Your Team'!$D$15)&gt;0),'Your Team'!$C$15="D" ),1,0)+IF( AND((COUNTIF(BO$2:BO$33,'Your Team'!$D$16)&gt;0),'Your Team'!$C$16="D" ),1,0)+IF( AND((COUNTIF(BO$2:BO$33,'Your Team'!$D$17)&gt;0),'Your Team'!$C$17="D" ),1,0)+IF( AND((COUNTIF(BO$2:BO$33,'Your Team'!$D$18)&gt;0),'Your Team'!$C$18="D" ),1,0)+IF( AND((COUNTIF(BO$2:BO$33,'Your Team'!$D$19)&gt;0),'Your Team'!$C$19="D" ),1,0)</f>
        <v>0</v>
      </c>
      <c r="BP39" s="9">
        <f>IF( AND((COUNTIF(BP$2:BP$33,'Your Team'!$D$3)&gt;0),'Your Team'!$C$3="D" ),1,0)+IF( AND((COUNTIF(BP$2:BP$33,'Your Team'!$D$4)&gt;0),'Your Team'!$C$4="D" ),1,0)+IF( AND((COUNTIF(BP$2:BP$33,'Your Team'!$D$5)&gt;0),'Your Team'!$C$5="D" ),1,0)+IF( AND((COUNTIF(BP$2:BP$33,'Your Team'!$D$6)&gt;0),'Your Team'!$C$6="D" ),1,0)+IF( AND((COUNTIF(BP$2:BP$33,'Your Team'!$D$7)&gt;0),'Your Team'!$C$7="D" ),1,0)+IF( AND((COUNTIF(BP$2:BP$33,'Your Team'!$D$8)&gt;0),'Your Team'!$C$8="D" ),1,0)+IF( AND((COUNTIF(BP$2:BP$33,'Your Team'!$D$9)&gt;0),'Your Team'!$C$9="D" ),1,0)+IF( AND((COUNTIF(BP$2:BP$33,'Your Team'!$D$10)&gt;0),'Your Team'!$C$10="D" ),1,0)+IF( AND((COUNTIF(BP$2:BP$33,'Your Team'!$D$11)&gt;0),'Your Team'!$C$11="D" ),1,0)+IF( AND((COUNTIF(BP$2:BP$33,'Your Team'!$D$12)&gt;0),'Your Team'!$C$12="D" ),1,0)+IF( AND((COUNTIF(BP$2:BP$33,'Your Team'!$D$13)&gt;0),'Your Team'!$C$13="D" ),1,0)+IF( AND((COUNTIF(BP$2:BP$33,'Your Team'!$D$14)&gt;0),'Your Team'!$C$14="D" ),1,0)+IF( AND((COUNTIF(BP$2:BP$33,'Your Team'!$D$15)&gt;0),'Your Team'!$C$15="D" ),1,0)+IF( AND((COUNTIF(BP$2:BP$33,'Your Team'!$D$16)&gt;0),'Your Team'!$C$16="D" ),1,0)+IF( AND((COUNTIF(BP$2:BP$33,'Your Team'!$D$17)&gt;0),'Your Team'!$C$17="D" ),1,0)+IF( AND((COUNTIF(BP$2:BP$33,'Your Team'!$D$18)&gt;0),'Your Team'!$C$18="D" ),1,0)+IF( AND((COUNTIF(BP$2:BP$33,'Your Team'!$D$19)&gt;0),'Your Team'!$C$19="D" ),1,0)</f>
        <v>0</v>
      </c>
      <c r="BQ39" s="9">
        <f>IF( AND((COUNTIF(BQ$2:BQ$33,'Your Team'!$D$3)&gt;0),'Your Team'!$C$3="D" ),1,0)+IF( AND((COUNTIF(BQ$2:BQ$33,'Your Team'!$D$4)&gt;0),'Your Team'!$C$4="D" ),1,0)+IF( AND((COUNTIF(BQ$2:BQ$33,'Your Team'!$D$5)&gt;0),'Your Team'!$C$5="D" ),1,0)+IF( AND((COUNTIF(BQ$2:BQ$33,'Your Team'!$D$6)&gt;0),'Your Team'!$C$6="D" ),1,0)+IF( AND((COUNTIF(BQ$2:BQ$33,'Your Team'!$D$7)&gt;0),'Your Team'!$C$7="D" ),1,0)+IF( AND((COUNTIF(BQ$2:BQ$33,'Your Team'!$D$8)&gt;0),'Your Team'!$C$8="D" ),1,0)+IF( AND((COUNTIF(BQ$2:BQ$33,'Your Team'!$D$9)&gt;0),'Your Team'!$C$9="D" ),1,0)+IF( AND((COUNTIF(BQ$2:BQ$33,'Your Team'!$D$10)&gt;0),'Your Team'!$C$10="D" ),1,0)+IF( AND((COUNTIF(BQ$2:BQ$33,'Your Team'!$D$11)&gt;0),'Your Team'!$C$11="D" ),1,0)+IF( AND((COUNTIF(BQ$2:BQ$33,'Your Team'!$D$12)&gt;0),'Your Team'!$C$12="D" ),1,0)+IF( AND((COUNTIF(BQ$2:BQ$33,'Your Team'!$D$13)&gt;0),'Your Team'!$C$13="D" ),1,0)+IF( AND((COUNTIF(BQ$2:BQ$33,'Your Team'!$D$14)&gt;0),'Your Team'!$C$14="D" ),1,0)+IF( AND((COUNTIF(BQ$2:BQ$33,'Your Team'!$D$15)&gt;0),'Your Team'!$C$15="D" ),1,0)+IF( AND((COUNTIF(BQ$2:BQ$33,'Your Team'!$D$16)&gt;0),'Your Team'!$C$16="D" ),1,0)+IF( AND((COUNTIF(BQ$2:BQ$33,'Your Team'!$D$17)&gt;0),'Your Team'!$C$17="D" ),1,0)+IF( AND((COUNTIF(BQ$2:BQ$33,'Your Team'!$D$18)&gt;0),'Your Team'!$C$18="D" ),1,0)+IF( AND((COUNTIF(BQ$2:BQ$33,'Your Team'!$D$19)&gt;0),'Your Team'!$C$19="D" ),1,0)</f>
        <v>0</v>
      </c>
      <c r="BR39" s="9">
        <f>IF( AND((COUNTIF(BR$2:BR$33,'Your Team'!$D$3)&gt;0),'Your Team'!$C$3="D" ),1,0)+IF( AND((COUNTIF(BR$2:BR$33,'Your Team'!$D$4)&gt;0),'Your Team'!$C$4="D" ),1,0)+IF( AND((COUNTIF(BR$2:BR$33,'Your Team'!$D$5)&gt;0),'Your Team'!$C$5="D" ),1,0)+IF( AND((COUNTIF(BR$2:BR$33,'Your Team'!$D$6)&gt;0),'Your Team'!$C$6="D" ),1,0)+IF( AND((COUNTIF(BR$2:BR$33,'Your Team'!$D$7)&gt;0),'Your Team'!$C$7="D" ),1,0)+IF( AND((COUNTIF(BR$2:BR$33,'Your Team'!$D$8)&gt;0),'Your Team'!$C$8="D" ),1,0)+IF( AND((COUNTIF(BR$2:BR$33,'Your Team'!$D$9)&gt;0),'Your Team'!$C$9="D" ),1,0)+IF( AND((COUNTIF(BR$2:BR$33,'Your Team'!$D$10)&gt;0),'Your Team'!$C$10="D" ),1,0)+IF( AND((COUNTIF(BR$2:BR$33,'Your Team'!$D$11)&gt;0),'Your Team'!$C$11="D" ),1,0)+IF( AND((COUNTIF(BR$2:BR$33,'Your Team'!$D$12)&gt;0),'Your Team'!$C$12="D" ),1,0)+IF( AND((COUNTIF(BR$2:BR$33,'Your Team'!$D$13)&gt;0),'Your Team'!$C$13="D" ),1,0)+IF( AND((COUNTIF(BR$2:BR$33,'Your Team'!$D$14)&gt;0),'Your Team'!$C$14="D" ),1,0)+IF( AND((COUNTIF(BR$2:BR$33,'Your Team'!$D$15)&gt;0),'Your Team'!$C$15="D" ),1,0)+IF( AND((COUNTIF(BR$2:BR$33,'Your Team'!$D$16)&gt;0),'Your Team'!$C$16="D" ),1,0)+IF( AND((COUNTIF(BR$2:BR$33,'Your Team'!$D$17)&gt;0),'Your Team'!$C$17="D" ),1,0)+IF( AND((COUNTIF(BR$2:BR$33,'Your Team'!$D$18)&gt;0),'Your Team'!$C$18="D" ),1,0)+IF( AND((COUNTIF(BR$2:BR$33,'Your Team'!$D$19)&gt;0),'Your Team'!$C$19="D" ),1,0)</f>
        <v>0</v>
      </c>
      <c r="BS39" s="9">
        <f>IF( AND((COUNTIF(BS$2:BS$33,'Your Team'!$D$3)&gt;0),'Your Team'!$C$3="D" ),1,0)+IF( AND((COUNTIF(BS$2:BS$33,'Your Team'!$D$4)&gt;0),'Your Team'!$C$4="D" ),1,0)+IF( AND((COUNTIF(BS$2:BS$33,'Your Team'!$D$5)&gt;0),'Your Team'!$C$5="D" ),1,0)+IF( AND((COUNTIF(BS$2:BS$33,'Your Team'!$D$6)&gt;0),'Your Team'!$C$6="D" ),1,0)+IF( AND((COUNTIF(BS$2:BS$33,'Your Team'!$D$7)&gt;0),'Your Team'!$C$7="D" ),1,0)+IF( AND((COUNTIF(BS$2:BS$33,'Your Team'!$D$8)&gt;0),'Your Team'!$C$8="D" ),1,0)+IF( AND((COUNTIF(BS$2:BS$33,'Your Team'!$D$9)&gt;0),'Your Team'!$C$9="D" ),1,0)+IF( AND((COUNTIF(BS$2:BS$33,'Your Team'!$D$10)&gt;0),'Your Team'!$C$10="D" ),1,0)+IF( AND((COUNTIF(BS$2:BS$33,'Your Team'!$D$11)&gt;0),'Your Team'!$C$11="D" ),1,0)+IF( AND((COUNTIF(BS$2:BS$33,'Your Team'!$D$12)&gt;0),'Your Team'!$C$12="D" ),1,0)+IF( AND((COUNTIF(BS$2:BS$33,'Your Team'!$D$13)&gt;0),'Your Team'!$C$13="D" ),1,0)+IF( AND((COUNTIF(BS$2:BS$33,'Your Team'!$D$14)&gt;0),'Your Team'!$C$14="D" ),1,0)+IF( AND((COUNTIF(BS$2:BS$33,'Your Team'!$D$15)&gt;0),'Your Team'!$C$15="D" ),1,0)+IF( AND((COUNTIF(BS$2:BS$33,'Your Team'!$D$16)&gt;0),'Your Team'!$C$16="D" ),1,0)+IF( AND((COUNTIF(BS$2:BS$33,'Your Team'!$D$17)&gt;0),'Your Team'!$C$17="D" ),1,0)+IF( AND((COUNTIF(BS$2:BS$33,'Your Team'!$D$18)&gt;0),'Your Team'!$C$18="D" ),1,0)+IF( AND((COUNTIF(BS$2:BS$33,'Your Team'!$D$19)&gt;0),'Your Team'!$C$19="D" ),1,0)</f>
        <v>0</v>
      </c>
      <c r="BT39" s="9">
        <f>IF( AND((COUNTIF(BT$2:BT$33,'Your Team'!$D$3)&gt;0),'Your Team'!$C$3="D" ),1,0)+IF( AND((COUNTIF(BT$2:BT$33,'Your Team'!$D$4)&gt;0),'Your Team'!$C$4="D" ),1,0)+IF( AND((COUNTIF(BT$2:BT$33,'Your Team'!$D$5)&gt;0),'Your Team'!$C$5="D" ),1,0)+IF( AND((COUNTIF(BT$2:BT$33,'Your Team'!$D$6)&gt;0),'Your Team'!$C$6="D" ),1,0)+IF( AND((COUNTIF(BT$2:BT$33,'Your Team'!$D$7)&gt;0),'Your Team'!$C$7="D" ),1,0)+IF( AND((COUNTIF(BT$2:BT$33,'Your Team'!$D$8)&gt;0),'Your Team'!$C$8="D" ),1,0)+IF( AND((COUNTIF(BT$2:BT$33,'Your Team'!$D$9)&gt;0),'Your Team'!$C$9="D" ),1,0)+IF( AND((COUNTIF(BT$2:BT$33,'Your Team'!$D$10)&gt;0),'Your Team'!$C$10="D" ),1,0)+IF( AND((COUNTIF(BT$2:BT$33,'Your Team'!$D$11)&gt;0),'Your Team'!$C$11="D" ),1,0)+IF( AND((COUNTIF(BT$2:BT$33,'Your Team'!$D$12)&gt;0),'Your Team'!$C$12="D" ),1,0)+IF( AND((COUNTIF(BT$2:BT$33,'Your Team'!$D$13)&gt;0),'Your Team'!$C$13="D" ),1,0)+IF( AND((COUNTIF(BT$2:BT$33,'Your Team'!$D$14)&gt;0),'Your Team'!$C$14="D" ),1,0)+IF( AND((COUNTIF(BT$2:BT$33,'Your Team'!$D$15)&gt;0),'Your Team'!$C$15="D" ),1,0)+IF( AND((COUNTIF(BT$2:BT$33,'Your Team'!$D$16)&gt;0),'Your Team'!$C$16="D" ),1,0)+IF( AND((COUNTIF(BT$2:BT$33,'Your Team'!$D$17)&gt;0),'Your Team'!$C$17="D" ),1,0)+IF( AND((COUNTIF(BT$2:BT$33,'Your Team'!$D$18)&gt;0),'Your Team'!$C$18="D" ),1,0)+IF( AND((COUNTIF(BT$2:BT$33,'Your Team'!$D$19)&gt;0),'Your Team'!$C$19="D" ),1,0)</f>
        <v>0</v>
      </c>
      <c r="BU39" s="9">
        <f>IF( AND((COUNTIF(BU$2:BU$33,'Your Team'!$D$3)&gt;0),'Your Team'!$C$3="D" ),1,0)+IF( AND((COUNTIF(BU$2:BU$33,'Your Team'!$D$4)&gt;0),'Your Team'!$C$4="D" ),1,0)+IF( AND((COUNTIF(BU$2:BU$33,'Your Team'!$D$5)&gt;0),'Your Team'!$C$5="D" ),1,0)+IF( AND((COUNTIF(BU$2:BU$33,'Your Team'!$D$6)&gt;0),'Your Team'!$C$6="D" ),1,0)+IF( AND((COUNTIF(BU$2:BU$33,'Your Team'!$D$7)&gt;0),'Your Team'!$C$7="D" ),1,0)+IF( AND((COUNTIF(BU$2:BU$33,'Your Team'!$D$8)&gt;0),'Your Team'!$C$8="D" ),1,0)+IF( AND((COUNTIF(BU$2:BU$33,'Your Team'!$D$9)&gt;0),'Your Team'!$C$9="D" ),1,0)+IF( AND((COUNTIF(BU$2:BU$33,'Your Team'!$D$10)&gt;0),'Your Team'!$C$10="D" ),1,0)+IF( AND((COUNTIF(BU$2:BU$33,'Your Team'!$D$11)&gt;0),'Your Team'!$C$11="D" ),1,0)+IF( AND((COUNTIF(BU$2:BU$33,'Your Team'!$D$12)&gt;0),'Your Team'!$C$12="D" ),1,0)+IF( AND((COUNTIF(BU$2:BU$33,'Your Team'!$D$13)&gt;0),'Your Team'!$C$13="D" ),1,0)+IF( AND((COUNTIF(BU$2:BU$33,'Your Team'!$D$14)&gt;0),'Your Team'!$C$14="D" ),1,0)+IF( AND((COUNTIF(BU$2:BU$33,'Your Team'!$D$15)&gt;0),'Your Team'!$C$15="D" ),1,0)+IF( AND((COUNTIF(BU$2:BU$33,'Your Team'!$D$16)&gt;0),'Your Team'!$C$16="D" ),1,0)+IF( AND((COUNTIF(BU$2:BU$33,'Your Team'!$D$17)&gt;0),'Your Team'!$C$17="D" ),1,0)+IF( AND((COUNTIF(BU$2:BU$33,'Your Team'!$D$18)&gt;0),'Your Team'!$C$18="D" ),1,0)+IF( AND((COUNTIF(BU$2:BU$33,'Your Team'!$D$19)&gt;0),'Your Team'!$C$19="D" ),1,0)</f>
        <v>0</v>
      </c>
      <c r="BV39" s="9">
        <f>IF( AND((COUNTIF(BV$2:BV$33,'Your Team'!$D$3)&gt;0),'Your Team'!$C$3="D" ),1,0)+IF( AND((COUNTIF(BV$2:BV$33,'Your Team'!$D$4)&gt;0),'Your Team'!$C$4="D" ),1,0)+IF( AND((COUNTIF(BV$2:BV$33,'Your Team'!$D$5)&gt;0),'Your Team'!$C$5="D" ),1,0)+IF( AND((COUNTIF(BV$2:BV$33,'Your Team'!$D$6)&gt;0),'Your Team'!$C$6="D" ),1,0)+IF( AND((COUNTIF(BV$2:BV$33,'Your Team'!$D$7)&gt;0),'Your Team'!$C$7="D" ),1,0)+IF( AND((COUNTIF(BV$2:BV$33,'Your Team'!$D$8)&gt;0),'Your Team'!$C$8="D" ),1,0)+IF( AND((COUNTIF(BV$2:BV$33,'Your Team'!$D$9)&gt;0),'Your Team'!$C$9="D" ),1,0)+IF( AND((COUNTIF(BV$2:BV$33,'Your Team'!$D$10)&gt;0),'Your Team'!$C$10="D" ),1,0)+IF( AND((COUNTIF(BV$2:BV$33,'Your Team'!$D$11)&gt;0),'Your Team'!$C$11="D" ),1,0)+IF( AND((COUNTIF(BV$2:BV$33,'Your Team'!$D$12)&gt;0),'Your Team'!$C$12="D" ),1,0)+IF( AND((COUNTIF(BV$2:BV$33,'Your Team'!$D$13)&gt;0),'Your Team'!$C$13="D" ),1,0)+IF( AND((COUNTIF(BV$2:BV$33,'Your Team'!$D$14)&gt;0),'Your Team'!$C$14="D" ),1,0)+IF( AND((COUNTIF(BV$2:BV$33,'Your Team'!$D$15)&gt;0),'Your Team'!$C$15="D" ),1,0)+IF( AND((COUNTIF(BV$2:BV$33,'Your Team'!$D$16)&gt;0),'Your Team'!$C$16="D" ),1,0)+IF( AND((COUNTIF(BV$2:BV$33,'Your Team'!$D$17)&gt;0),'Your Team'!$C$17="D" ),1,0)+IF( AND((COUNTIF(BV$2:BV$33,'Your Team'!$D$18)&gt;0),'Your Team'!$C$18="D" ),1,0)+IF( AND((COUNTIF(BV$2:BV$33,'Your Team'!$D$19)&gt;0),'Your Team'!$C$19="D" ),1,0)</f>
        <v>0</v>
      </c>
      <c r="BW39" s="9">
        <f>IF( AND((COUNTIF(BW$2:BW$33,'Your Team'!$D$3)&gt;0),'Your Team'!$C$3="D" ),1,0)+IF( AND((COUNTIF(BW$2:BW$33,'Your Team'!$D$4)&gt;0),'Your Team'!$C$4="D" ),1,0)+IF( AND((COUNTIF(BW$2:BW$33,'Your Team'!$D$5)&gt;0),'Your Team'!$C$5="D" ),1,0)+IF( AND((COUNTIF(BW$2:BW$33,'Your Team'!$D$6)&gt;0),'Your Team'!$C$6="D" ),1,0)+IF( AND((COUNTIF(BW$2:BW$33,'Your Team'!$D$7)&gt;0),'Your Team'!$C$7="D" ),1,0)+IF( AND((COUNTIF(BW$2:BW$33,'Your Team'!$D$8)&gt;0),'Your Team'!$C$8="D" ),1,0)+IF( AND((COUNTIF(BW$2:BW$33,'Your Team'!$D$9)&gt;0),'Your Team'!$C$9="D" ),1,0)+IF( AND((COUNTIF(BW$2:BW$33,'Your Team'!$D$10)&gt;0),'Your Team'!$C$10="D" ),1,0)+IF( AND((COUNTIF(BW$2:BW$33,'Your Team'!$D$11)&gt;0),'Your Team'!$C$11="D" ),1,0)+IF( AND((COUNTIF(BW$2:BW$33,'Your Team'!$D$12)&gt;0),'Your Team'!$C$12="D" ),1,0)+IF( AND((COUNTIF(BW$2:BW$33,'Your Team'!$D$13)&gt;0),'Your Team'!$C$13="D" ),1,0)+IF( AND((COUNTIF(BW$2:BW$33,'Your Team'!$D$14)&gt;0),'Your Team'!$C$14="D" ),1,0)+IF( AND((COUNTIF(BW$2:BW$33,'Your Team'!$D$15)&gt;0),'Your Team'!$C$15="D" ),1,0)+IF( AND((COUNTIF(BW$2:BW$33,'Your Team'!$D$16)&gt;0),'Your Team'!$C$16="D" ),1,0)+IF( AND((COUNTIF(BW$2:BW$33,'Your Team'!$D$17)&gt;0),'Your Team'!$C$17="D" ),1,0)+IF( AND((COUNTIF(BW$2:BW$33,'Your Team'!$D$18)&gt;0),'Your Team'!$C$18="D" ),1,0)+IF( AND((COUNTIF(BW$2:BW$33,'Your Team'!$D$19)&gt;0),'Your Team'!$C$19="D" ),1,0)</f>
        <v>0</v>
      </c>
      <c r="BX39" s="9">
        <f>IF( AND((COUNTIF(BX$2:BX$33,'Your Team'!$D$3)&gt;0),'Your Team'!$C$3="D" ),1,0)+IF( AND((COUNTIF(BX$2:BX$33,'Your Team'!$D$4)&gt;0),'Your Team'!$C$4="D" ),1,0)+IF( AND((COUNTIF(BX$2:BX$33,'Your Team'!$D$5)&gt;0),'Your Team'!$C$5="D" ),1,0)+IF( AND((COUNTIF(BX$2:BX$33,'Your Team'!$D$6)&gt;0),'Your Team'!$C$6="D" ),1,0)+IF( AND((COUNTIF(BX$2:BX$33,'Your Team'!$D$7)&gt;0),'Your Team'!$C$7="D" ),1,0)+IF( AND((COUNTIF(BX$2:BX$33,'Your Team'!$D$8)&gt;0),'Your Team'!$C$8="D" ),1,0)+IF( AND((COUNTIF(BX$2:BX$33,'Your Team'!$D$9)&gt;0),'Your Team'!$C$9="D" ),1,0)+IF( AND((COUNTIF(BX$2:BX$33,'Your Team'!$D$10)&gt;0),'Your Team'!$C$10="D" ),1,0)+IF( AND((COUNTIF(BX$2:BX$33,'Your Team'!$D$11)&gt;0),'Your Team'!$C$11="D" ),1,0)+IF( AND((COUNTIF(BX$2:BX$33,'Your Team'!$D$12)&gt;0),'Your Team'!$C$12="D" ),1,0)+IF( AND((COUNTIF(BX$2:BX$33,'Your Team'!$D$13)&gt;0),'Your Team'!$C$13="D" ),1,0)+IF( AND((COUNTIF(BX$2:BX$33,'Your Team'!$D$14)&gt;0),'Your Team'!$C$14="D" ),1,0)+IF( AND((COUNTIF(BX$2:BX$33,'Your Team'!$D$15)&gt;0),'Your Team'!$C$15="D" ),1,0)+IF( AND((COUNTIF(BX$2:BX$33,'Your Team'!$D$16)&gt;0),'Your Team'!$C$16="D" ),1,0)+IF( AND((COUNTIF(BX$2:BX$33,'Your Team'!$D$17)&gt;0),'Your Team'!$C$17="D" ),1,0)+IF( AND((COUNTIF(BX$2:BX$33,'Your Team'!$D$18)&gt;0),'Your Team'!$C$18="D" ),1,0)+IF( AND((COUNTIF(BX$2:BX$33,'Your Team'!$D$19)&gt;0),'Your Team'!$C$19="D" ),1,0)</f>
        <v>0</v>
      </c>
      <c r="BY39" s="9">
        <f>IF( AND((COUNTIF(BY$2:BY$33,'Your Team'!$D$3)&gt;0),'Your Team'!$C$3="D" ),1,0)+IF( AND((COUNTIF(BY$2:BY$33,'Your Team'!$D$4)&gt;0),'Your Team'!$C$4="D" ),1,0)+IF( AND((COUNTIF(BY$2:BY$33,'Your Team'!$D$5)&gt;0),'Your Team'!$C$5="D" ),1,0)+IF( AND((COUNTIF(BY$2:BY$33,'Your Team'!$D$6)&gt;0),'Your Team'!$C$6="D" ),1,0)+IF( AND((COUNTIF(BY$2:BY$33,'Your Team'!$D$7)&gt;0),'Your Team'!$C$7="D" ),1,0)+IF( AND((COUNTIF(BY$2:BY$33,'Your Team'!$D$8)&gt;0),'Your Team'!$C$8="D" ),1,0)+IF( AND((COUNTIF(BY$2:BY$33,'Your Team'!$D$9)&gt;0),'Your Team'!$C$9="D" ),1,0)+IF( AND((COUNTIF(BY$2:BY$33,'Your Team'!$D$10)&gt;0),'Your Team'!$C$10="D" ),1,0)+IF( AND((COUNTIF(BY$2:BY$33,'Your Team'!$D$11)&gt;0),'Your Team'!$C$11="D" ),1,0)+IF( AND((COUNTIF(BY$2:BY$33,'Your Team'!$D$12)&gt;0),'Your Team'!$C$12="D" ),1,0)+IF( AND((COUNTIF(BY$2:BY$33,'Your Team'!$D$13)&gt;0),'Your Team'!$C$13="D" ),1,0)+IF( AND((COUNTIF(BY$2:BY$33,'Your Team'!$D$14)&gt;0),'Your Team'!$C$14="D" ),1,0)+IF( AND((COUNTIF(BY$2:BY$33,'Your Team'!$D$15)&gt;0),'Your Team'!$C$15="D" ),1,0)+IF( AND((COUNTIF(BY$2:BY$33,'Your Team'!$D$16)&gt;0),'Your Team'!$C$16="D" ),1,0)+IF( AND((COUNTIF(BY$2:BY$33,'Your Team'!$D$17)&gt;0),'Your Team'!$C$17="D" ),1,0)+IF( AND((COUNTIF(BY$2:BY$33,'Your Team'!$D$18)&gt;0),'Your Team'!$C$18="D" ),1,0)+IF( AND((COUNTIF(BY$2:BY$33,'Your Team'!$D$19)&gt;0),'Your Team'!$C$19="D" ),1,0)</f>
        <v>0</v>
      </c>
      <c r="BZ39" s="9">
        <f>IF( AND((COUNTIF(BZ$2:BZ$33,'Your Team'!$D$3)&gt;0),'Your Team'!$C$3="D" ),1,0)+IF( AND((COUNTIF(BZ$2:BZ$33,'Your Team'!$D$4)&gt;0),'Your Team'!$C$4="D" ),1,0)+IF( AND((COUNTIF(BZ$2:BZ$33,'Your Team'!$D$5)&gt;0),'Your Team'!$C$5="D" ),1,0)+IF( AND((COUNTIF(BZ$2:BZ$33,'Your Team'!$D$6)&gt;0),'Your Team'!$C$6="D" ),1,0)+IF( AND((COUNTIF(BZ$2:BZ$33,'Your Team'!$D$7)&gt;0),'Your Team'!$C$7="D" ),1,0)+IF( AND((COUNTIF(BZ$2:BZ$33,'Your Team'!$D$8)&gt;0),'Your Team'!$C$8="D" ),1,0)+IF( AND((COUNTIF(BZ$2:BZ$33,'Your Team'!$D$9)&gt;0),'Your Team'!$C$9="D" ),1,0)+IF( AND((COUNTIF(BZ$2:BZ$33,'Your Team'!$D$10)&gt;0),'Your Team'!$C$10="D" ),1,0)+IF( AND((COUNTIF(BZ$2:BZ$33,'Your Team'!$D$11)&gt;0),'Your Team'!$C$11="D" ),1,0)+IF( AND((COUNTIF(BZ$2:BZ$33,'Your Team'!$D$12)&gt;0),'Your Team'!$C$12="D" ),1,0)+IF( AND((COUNTIF(BZ$2:BZ$33,'Your Team'!$D$13)&gt;0),'Your Team'!$C$13="D" ),1,0)+IF( AND((COUNTIF(BZ$2:BZ$33,'Your Team'!$D$14)&gt;0),'Your Team'!$C$14="D" ),1,0)+IF( AND((COUNTIF(BZ$2:BZ$33,'Your Team'!$D$15)&gt;0),'Your Team'!$C$15="D" ),1,0)+IF( AND((COUNTIF(BZ$2:BZ$33,'Your Team'!$D$16)&gt;0),'Your Team'!$C$16="D" ),1,0)+IF( AND((COUNTIF(BZ$2:BZ$33,'Your Team'!$D$17)&gt;0),'Your Team'!$C$17="D" ),1,0)+IF( AND((COUNTIF(BZ$2:BZ$33,'Your Team'!$D$18)&gt;0),'Your Team'!$C$18="D" ),1,0)+IF( AND((COUNTIF(BZ$2:BZ$33,'Your Team'!$D$19)&gt;0),'Your Team'!$C$19="D" ),1,0)</f>
        <v>0</v>
      </c>
      <c r="CA39" s="9">
        <f>IF( AND((COUNTIF(CA$2:CA$33,'Your Team'!$D$3)&gt;0),'Your Team'!$C$3="D" ),1,0)+IF( AND((COUNTIF(CA$2:CA$33,'Your Team'!$D$4)&gt;0),'Your Team'!$C$4="D" ),1,0)+IF( AND((COUNTIF(CA$2:CA$33,'Your Team'!$D$5)&gt;0),'Your Team'!$C$5="D" ),1,0)+IF( AND((COUNTIF(CA$2:CA$33,'Your Team'!$D$6)&gt;0),'Your Team'!$C$6="D" ),1,0)+IF( AND((COUNTIF(CA$2:CA$33,'Your Team'!$D$7)&gt;0),'Your Team'!$C$7="D" ),1,0)+IF( AND((COUNTIF(CA$2:CA$33,'Your Team'!$D$8)&gt;0),'Your Team'!$C$8="D" ),1,0)+IF( AND((COUNTIF(CA$2:CA$33,'Your Team'!$D$9)&gt;0),'Your Team'!$C$9="D" ),1,0)+IF( AND((COUNTIF(CA$2:CA$33,'Your Team'!$D$10)&gt;0),'Your Team'!$C$10="D" ),1,0)+IF( AND((COUNTIF(CA$2:CA$33,'Your Team'!$D$11)&gt;0),'Your Team'!$C$11="D" ),1,0)+IF( AND((COUNTIF(CA$2:CA$33,'Your Team'!$D$12)&gt;0),'Your Team'!$C$12="D" ),1,0)+IF( AND((COUNTIF(CA$2:CA$33,'Your Team'!$D$13)&gt;0),'Your Team'!$C$13="D" ),1,0)+IF( AND((COUNTIF(CA$2:CA$33,'Your Team'!$D$14)&gt;0),'Your Team'!$C$14="D" ),1,0)+IF( AND((COUNTIF(CA$2:CA$33,'Your Team'!$D$15)&gt;0),'Your Team'!$C$15="D" ),1,0)+IF( AND((COUNTIF(CA$2:CA$33,'Your Team'!$D$16)&gt;0),'Your Team'!$C$16="D" ),1,0)+IF( AND((COUNTIF(CA$2:CA$33,'Your Team'!$D$17)&gt;0),'Your Team'!$C$17="D" ),1,0)+IF( AND((COUNTIF(CA$2:CA$33,'Your Team'!$D$18)&gt;0),'Your Team'!$C$18="D" ),1,0)+IF( AND((COUNTIF(CA$2:CA$33,'Your Team'!$D$19)&gt;0),'Your Team'!$C$19="D" ),1,0)</f>
        <v>0</v>
      </c>
      <c r="CB39" s="9">
        <f>IF( AND((COUNTIF(CB$2:CB$33,'Your Team'!$D$3)&gt;0),'Your Team'!$C$3="D" ),1,0)+IF( AND((COUNTIF(CB$2:CB$33,'Your Team'!$D$4)&gt;0),'Your Team'!$C$4="D" ),1,0)+IF( AND((COUNTIF(CB$2:CB$33,'Your Team'!$D$5)&gt;0),'Your Team'!$C$5="D" ),1,0)+IF( AND((COUNTIF(CB$2:CB$33,'Your Team'!$D$6)&gt;0),'Your Team'!$C$6="D" ),1,0)+IF( AND((COUNTIF(CB$2:CB$33,'Your Team'!$D$7)&gt;0),'Your Team'!$C$7="D" ),1,0)+IF( AND((COUNTIF(CB$2:CB$33,'Your Team'!$D$8)&gt;0),'Your Team'!$C$8="D" ),1,0)+IF( AND((COUNTIF(CB$2:CB$33,'Your Team'!$D$9)&gt;0),'Your Team'!$C$9="D" ),1,0)+IF( AND((COUNTIF(CB$2:CB$33,'Your Team'!$D$10)&gt;0),'Your Team'!$C$10="D" ),1,0)+IF( AND((COUNTIF(CB$2:CB$33,'Your Team'!$D$11)&gt;0),'Your Team'!$C$11="D" ),1,0)+IF( AND((COUNTIF(CB$2:CB$33,'Your Team'!$D$12)&gt;0),'Your Team'!$C$12="D" ),1,0)+IF( AND((COUNTIF(CB$2:CB$33,'Your Team'!$D$13)&gt;0),'Your Team'!$C$13="D" ),1,0)+IF( AND((COUNTIF(CB$2:CB$33,'Your Team'!$D$14)&gt;0),'Your Team'!$C$14="D" ),1,0)+IF( AND((COUNTIF(CB$2:CB$33,'Your Team'!$D$15)&gt;0),'Your Team'!$C$15="D" ),1,0)+IF( AND((COUNTIF(CB$2:CB$33,'Your Team'!$D$16)&gt;0),'Your Team'!$C$16="D" ),1,0)+IF( AND((COUNTIF(CB$2:CB$33,'Your Team'!$D$17)&gt;0),'Your Team'!$C$17="D" ),1,0)+IF( AND((COUNTIF(CB$2:CB$33,'Your Team'!$D$18)&gt;0),'Your Team'!$C$18="D" ),1,0)+IF( AND((COUNTIF(CB$2:CB$33,'Your Team'!$D$19)&gt;0),'Your Team'!$C$19="D" ),1,0)</f>
        <v>0</v>
      </c>
      <c r="CC39" s="9">
        <f>IF( AND((COUNTIF(CC$2:CC$33,'Your Team'!$D$3)&gt;0),'Your Team'!$C$3="D" ),1,0)+IF( AND((COUNTIF(CC$2:CC$33,'Your Team'!$D$4)&gt;0),'Your Team'!$C$4="D" ),1,0)+IF( AND((COUNTIF(CC$2:CC$33,'Your Team'!$D$5)&gt;0),'Your Team'!$C$5="D" ),1,0)+IF( AND((COUNTIF(CC$2:CC$33,'Your Team'!$D$6)&gt;0),'Your Team'!$C$6="D" ),1,0)+IF( AND((COUNTIF(CC$2:CC$33,'Your Team'!$D$7)&gt;0),'Your Team'!$C$7="D" ),1,0)+IF( AND((COUNTIF(CC$2:CC$33,'Your Team'!$D$8)&gt;0),'Your Team'!$C$8="D" ),1,0)+IF( AND((COUNTIF(CC$2:CC$33,'Your Team'!$D$9)&gt;0),'Your Team'!$C$9="D" ),1,0)+IF( AND((COUNTIF(CC$2:CC$33,'Your Team'!$D$10)&gt;0),'Your Team'!$C$10="D" ),1,0)+IF( AND((COUNTIF(CC$2:CC$33,'Your Team'!$D$11)&gt;0),'Your Team'!$C$11="D" ),1,0)+IF( AND((COUNTIF(CC$2:CC$33,'Your Team'!$D$12)&gt;0),'Your Team'!$C$12="D" ),1,0)+IF( AND((COUNTIF(CC$2:CC$33,'Your Team'!$D$13)&gt;0),'Your Team'!$C$13="D" ),1,0)+IF( AND((COUNTIF(CC$2:CC$33,'Your Team'!$D$14)&gt;0),'Your Team'!$C$14="D" ),1,0)+IF( AND((COUNTIF(CC$2:CC$33,'Your Team'!$D$15)&gt;0),'Your Team'!$C$15="D" ),1,0)+IF( AND((COUNTIF(CC$2:CC$33,'Your Team'!$D$16)&gt;0),'Your Team'!$C$16="D" ),1,0)+IF( AND((COUNTIF(CC$2:CC$33,'Your Team'!$D$17)&gt;0),'Your Team'!$C$17="D" ),1,0)+IF( AND((COUNTIF(CC$2:CC$33,'Your Team'!$D$18)&gt;0),'Your Team'!$C$18="D" ),1,0)+IF( AND((COUNTIF(CC$2:CC$33,'Your Team'!$D$19)&gt;0),'Your Team'!$C$19="D" ),1,0)</f>
        <v>0</v>
      </c>
      <c r="CD39" s="9">
        <f>IF( AND((COUNTIF(CD$2:CD$33,'Your Team'!$D$3)&gt;0),'Your Team'!$C$3="D" ),1,0)+IF( AND((COUNTIF(CD$2:CD$33,'Your Team'!$D$4)&gt;0),'Your Team'!$C$4="D" ),1,0)+IF( AND((COUNTIF(CD$2:CD$33,'Your Team'!$D$5)&gt;0),'Your Team'!$C$5="D" ),1,0)+IF( AND((COUNTIF(CD$2:CD$33,'Your Team'!$D$6)&gt;0),'Your Team'!$C$6="D" ),1,0)+IF( AND((COUNTIF(CD$2:CD$33,'Your Team'!$D$7)&gt;0),'Your Team'!$C$7="D" ),1,0)+IF( AND((COUNTIF(CD$2:CD$33,'Your Team'!$D$8)&gt;0),'Your Team'!$C$8="D" ),1,0)+IF( AND((COUNTIF(CD$2:CD$33,'Your Team'!$D$9)&gt;0),'Your Team'!$C$9="D" ),1,0)+IF( AND((COUNTIF(CD$2:CD$33,'Your Team'!$D$10)&gt;0),'Your Team'!$C$10="D" ),1,0)+IF( AND((COUNTIF(CD$2:CD$33,'Your Team'!$D$11)&gt;0),'Your Team'!$C$11="D" ),1,0)+IF( AND((COUNTIF(CD$2:CD$33,'Your Team'!$D$12)&gt;0),'Your Team'!$C$12="D" ),1,0)+IF( AND((COUNTIF(CD$2:CD$33,'Your Team'!$D$13)&gt;0),'Your Team'!$C$13="D" ),1,0)+IF( AND((COUNTIF(CD$2:CD$33,'Your Team'!$D$14)&gt;0),'Your Team'!$C$14="D" ),1,0)+IF( AND((COUNTIF(CD$2:CD$33,'Your Team'!$D$15)&gt;0),'Your Team'!$C$15="D" ),1,0)+IF( AND((COUNTIF(CD$2:CD$33,'Your Team'!$D$16)&gt;0),'Your Team'!$C$16="D" ),1,0)+IF( AND((COUNTIF(CD$2:CD$33,'Your Team'!$D$17)&gt;0),'Your Team'!$C$17="D" ),1,0)+IF( AND((COUNTIF(CD$2:CD$33,'Your Team'!$D$18)&gt;0),'Your Team'!$C$18="D" ),1,0)+IF( AND((COUNTIF(CD$2:CD$33,'Your Team'!$D$19)&gt;0),'Your Team'!$C$19="D" ),1,0)</f>
        <v>0</v>
      </c>
      <c r="CE39" s="9">
        <f>IF( AND((COUNTIF(CE$2:CE$33,'Your Team'!$D$3)&gt;0),'Your Team'!$C$3="D" ),1,0)+IF( AND((COUNTIF(CE$2:CE$33,'Your Team'!$D$4)&gt;0),'Your Team'!$C$4="D" ),1,0)+IF( AND((COUNTIF(CE$2:CE$33,'Your Team'!$D$5)&gt;0),'Your Team'!$C$5="D" ),1,0)+IF( AND((COUNTIF(CE$2:CE$33,'Your Team'!$D$6)&gt;0),'Your Team'!$C$6="D" ),1,0)+IF( AND((COUNTIF(CE$2:CE$33,'Your Team'!$D$7)&gt;0),'Your Team'!$C$7="D" ),1,0)+IF( AND((COUNTIF(CE$2:CE$33,'Your Team'!$D$8)&gt;0),'Your Team'!$C$8="D" ),1,0)+IF( AND((COUNTIF(CE$2:CE$33,'Your Team'!$D$9)&gt;0),'Your Team'!$C$9="D" ),1,0)+IF( AND((COUNTIF(CE$2:CE$33,'Your Team'!$D$10)&gt;0),'Your Team'!$C$10="D" ),1,0)+IF( AND((COUNTIF(CE$2:CE$33,'Your Team'!$D$11)&gt;0),'Your Team'!$C$11="D" ),1,0)+IF( AND((COUNTIF(CE$2:CE$33,'Your Team'!$D$12)&gt;0),'Your Team'!$C$12="D" ),1,0)+IF( AND((COUNTIF(CE$2:CE$33,'Your Team'!$D$13)&gt;0),'Your Team'!$C$13="D" ),1,0)+IF( AND((COUNTIF(CE$2:CE$33,'Your Team'!$D$14)&gt;0),'Your Team'!$C$14="D" ),1,0)+IF( AND((COUNTIF(CE$2:CE$33,'Your Team'!$D$15)&gt;0),'Your Team'!$C$15="D" ),1,0)+IF( AND((COUNTIF(CE$2:CE$33,'Your Team'!$D$16)&gt;0),'Your Team'!$C$16="D" ),1,0)+IF( AND((COUNTIF(CE$2:CE$33,'Your Team'!$D$17)&gt;0),'Your Team'!$C$17="D" ),1,0)+IF( AND((COUNTIF(CE$2:CE$33,'Your Team'!$D$18)&gt;0),'Your Team'!$C$18="D" ),1,0)+IF( AND((COUNTIF(CE$2:CE$33,'Your Team'!$D$19)&gt;0),'Your Team'!$C$19="D" ),1,0)</f>
        <v>0</v>
      </c>
      <c r="CF39" s="9">
        <f>IF( AND((COUNTIF(CF$2:CF$33,'Your Team'!$D$3)&gt;0),'Your Team'!$C$3="D" ),1,0)+IF( AND((COUNTIF(CF$2:CF$33,'Your Team'!$D$4)&gt;0),'Your Team'!$C$4="D" ),1,0)+IF( AND((COUNTIF(CF$2:CF$33,'Your Team'!$D$5)&gt;0),'Your Team'!$C$5="D" ),1,0)+IF( AND((COUNTIF(CF$2:CF$33,'Your Team'!$D$6)&gt;0),'Your Team'!$C$6="D" ),1,0)+IF( AND((COUNTIF(CF$2:CF$33,'Your Team'!$D$7)&gt;0),'Your Team'!$C$7="D" ),1,0)+IF( AND((COUNTIF(CF$2:CF$33,'Your Team'!$D$8)&gt;0),'Your Team'!$C$8="D" ),1,0)+IF( AND((COUNTIF(CF$2:CF$33,'Your Team'!$D$9)&gt;0),'Your Team'!$C$9="D" ),1,0)+IF( AND((COUNTIF(CF$2:CF$33,'Your Team'!$D$10)&gt;0),'Your Team'!$C$10="D" ),1,0)+IF( AND((COUNTIF(CF$2:CF$33,'Your Team'!$D$11)&gt;0),'Your Team'!$C$11="D" ),1,0)+IF( AND((COUNTIF(CF$2:CF$33,'Your Team'!$D$12)&gt;0),'Your Team'!$C$12="D" ),1,0)+IF( AND((COUNTIF(CF$2:CF$33,'Your Team'!$D$13)&gt;0),'Your Team'!$C$13="D" ),1,0)+IF( AND((COUNTIF(CF$2:CF$33,'Your Team'!$D$14)&gt;0),'Your Team'!$C$14="D" ),1,0)+IF( AND((COUNTIF(CF$2:CF$33,'Your Team'!$D$15)&gt;0),'Your Team'!$C$15="D" ),1,0)+IF( AND((COUNTIF(CF$2:CF$33,'Your Team'!$D$16)&gt;0),'Your Team'!$C$16="D" ),1,0)+IF( AND((COUNTIF(CF$2:CF$33,'Your Team'!$D$17)&gt;0),'Your Team'!$C$17="D" ),1,0)+IF( AND((COUNTIF(CF$2:CF$33,'Your Team'!$D$18)&gt;0),'Your Team'!$C$18="D" ),1,0)+IF( AND((COUNTIF(CF$2:CF$33,'Your Team'!$D$19)&gt;0),'Your Team'!$C$19="D" ),1,0)</f>
        <v>0</v>
      </c>
      <c r="CG39" s="9">
        <f>IF( AND((COUNTIF(CG$2:CG$33,'Your Team'!$D$3)&gt;0),'Your Team'!$C$3="D" ),1,0)+IF( AND((COUNTIF(CG$2:CG$33,'Your Team'!$D$4)&gt;0),'Your Team'!$C$4="D" ),1,0)+IF( AND((COUNTIF(CG$2:CG$33,'Your Team'!$D$5)&gt;0),'Your Team'!$C$5="D" ),1,0)+IF( AND((COUNTIF(CG$2:CG$33,'Your Team'!$D$6)&gt;0),'Your Team'!$C$6="D" ),1,0)+IF( AND((COUNTIF(CG$2:CG$33,'Your Team'!$D$7)&gt;0),'Your Team'!$C$7="D" ),1,0)+IF( AND((COUNTIF(CG$2:CG$33,'Your Team'!$D$8)&gt;0),'Your Team'!$C$8="D" ),1,0)+IF( AND((COUNTIF(CG$2:CG$33,'Your Team'!$D$9)&gt;0),'Your Team'!$C$9="D" ),1,0)+IF( AND((COUNTIF(CG$2:CG$33,'Your Team'!$D$10)&gt;0),'Your Team'!$C$10="D" ),1,0)+IF( AND((COUNTIF(CG$2:CG$33,'Your Team'!$D$11)&gt;0),'Your Team'!$C$11="D" ),1,0)+IF( AND((COUNTIF(CG$2:CG$33,'Your Team'!$D$12)&gt;0),'Your Team'!$C$12="D" ),1,0)+IF( AND((COUNTIF(CG$2:CG$33,'Your Team'!$D$13)&gt;0),'Your Team'!$C$13="D" ),1,0)+IF( AND((COUNTIF(CG$2:CG$33,'Your Team'!$D$14)&gt;0),'Your Team'!$C$14="D" ),1,0)+IF( AND((COUNTIF(CG$2:CG$33,'Your Team'!$D$15)&gt;0),'Your Team'!$C$15="D" ),1,0)+IF( AND((COUNTIF(CG$2:CG$33,'Your Team'!$D$16)&gt;0),'Your Team'!$C$16="D" ),1,0)+IF( AND((COUNTIF(CG$2:CG$33,'Your Team'!$D$17)&gt;0),'Your Team'!$C$17="D" ),1,0)+IF( AND((COUNTIF(CG$2:CG$33,'Your Team'!$D$18)&gt;0),'Your Team'!$C$18="D" ),1,0)+IF( AND((COUNTIF(CG$2:CG$33,'Your Team'!$D$19)&gt;0),'Your Team'!$C$19="D" ),1,0)</f>
        <v>0</v>
      </c>
      <c r="CH39" s="9">
        <f>IF( AND((COUNTIF(CH$2:CH$33,'Your Team'!$D$3)&gt;0),'Your Team'!$C$3="D" ),1,0)+IF( AND((COUNTIF(CH$2:CH$33,'Your Team'!$D$4)&gt;0),'Your Team'!$C$4="D" ),1,0)+IF( AND((COUNTIF(CH$2:CH$33,'Your Team'!$D$5)&gt;0),'Your Team'!$C$5="D" ),1,0)+IF( AND((COUNTIF(CH$2:CH$33,'Your Team'!$D$6)&gt;0),'Your Team'!$C$6="D" ),1,0)+IF( AND((COUNTIF(CH$2:CH$33,'Your Team'!$D$7)&gt;0),'Your Team'!$C$7="D" ),1,0)+IF( AND((COUNTIF(CH$2:CH$33,'Your Team'!$D$8)&gt;0),'Your Team'!$C$8="D" ),1,0)+IF( AND((COUNTIF(CH$2:CH$33,'Your Team'!$D$9)&gt;0),'Your Team'!$C$9="D" ),1,0)+IF( AND((COUNTIF(CH$2:CH$33,'Your Team'!$D$10)&gt;0),'Your Team'!$C$10="D" ),1,0)+IF( AND((COUNTIF(CH$2:CH$33,'Your Team'!$D$11)&gt;0),'Your Team'!$C$11="D" ),1,0)+IF( AND((COUNTIF(CH$2:CH$33,'Your Team'!$D$12)&gt;0),'Your Team'!$C$12="D" ),1,0)+IF( AND((COUNTIF(CH$2:CH$33,'Your Team'!$D$13)&gt;0),'Your Team'!$C$13="D" ),1,0)+IF( AND((COUNTIF(CH$2:CH$33,'Your Team'!$D$14)&gt;0),'Your Team'!$C$14="D" ),1,0)+IF( AND((COUNTIF(CH$2:CH$33,'Your Team'!$D$15)&gt;0),'Your Team'!$C$15="D" ),1,0)+IF( AND((COUNTIF(CH$2:CH$33,'Your Team'!$D$16)&gt;0),'Your Team'!$C$16="D" ),1,0)+IF( AND((COUNTIF(CH$2:CH$33,'Your Team'!$D$17)&gt;0),'Your Team'!$C$17="D" ),1,0)+IF( AND((COUNTIF(CH$2:CH$33,'Your Team'!$D$18)&gt;0),'Your Team'!$C$18="D" ),1,0)+IF( AND((COUNTIF(CH$2:CH$33,'Your Team'!$D$19)&gt;0),'Your Team'!$C$19="D" ),1,0)</f>
        <v>0</v>
      </c>
      <c r="CI39" s="9">
        <f>IF( AND((COUNTIF(CI$2:CI$33,'Your Team'!$D$3)&gt;0),'Your Team'!$C$3="D" ),1,0)+IF( AND((COUNTIF(CI$2:CI$33,'Your Team'!$D$4)&gt;0),'Your Team'!$C$4="D" ),1,0)+IF( AND((COUNTIF(CI$2:CI$33,'Your Team'!$D$5)&gt;0),'Your Team'!$C$5="D" ),1,0)+IF( AND((COUNTIF(CI$2:CI$33,'Your Team'!$D$6)&gt;0),'Your Team'!$C$6="D" ),1,0)+IF( AND((COUNTIF(CI$2:CI$33,'Your Team'!$D$7)&gt;0),'Your Team'!$C$7="D" ),1,0)+IF( AND((COUNTIF(CI$2:CI$33,'Your Team'!$D$8)&gt;0),'Your Team'!$C$8="D" ),1,0)+IF( AND((COUNTIF(CI$2:CI$33,'Your Team'!$D$9)&gt;0),'Your Team'!$C$9="D" ),1,0)+IF( AND((COUNTIF(CI$2:CI$33,'Your Team'!$D$10)&gt;0),'Your Team'!$C$10="D" ),1,0)+IF( AND((COUNTIF(CI$2:CI$33,'Your Team'!$D$11)&gt;0),'Your Team'!$C$11="D" ),1,0)+IF( AND((COUNTIF(CI$2:CI$33,'Your Team'!$D$12)&gt;0),'Your Team'!$C$12="D" ),1,0)+IF( AND((COUNTIF(CI$2:CI$33,'Your Team'!$D$13)&gt;0),'Your Team'!$C$13="D" ),1,0)+IF( AND((COUNTIF(CI$2:CI$33,'Your Team'!$D$14)&gt;0),'Your Team'!$C$14="D" ),1,0)+IF( AND((COUNTIF(CI$2:CI$33,'Your Team'!$D$15)&gt;0),'Your Team'!$C$15="D" ),1,0)+IF( AND((COUNTIF(CI$2:CI$33,'Your Team'!$D$16)&gt;0),'Your Team'!$C$16="D" ),1,0)+IF( AND((COUNTIF(CI$2:CI$33,'Your Team'!$D$17)&gt;0),'Your Team'!$C$17="D" ),1,0)+IF( AND((COUNTIF(CI$2:CI$33,'Your Team'!$D$18)&gt;0),'Your Team'!$C$18="D" ),1,0)+IF( AND((COUNTIF(CI$2:CI$33,'Your Team'!$D$19)&gt;0),'Your Team'!$C$19="D" ),1,0)</f>
        <v>0</v>
      </c>
      <c r="CJ39" s="9">
        <f>IF( AND((COUNTIF(CJ$2:CJ$33,'Your Team'!$D$3)&gt;0),'Your Team'!$C$3="D" ),1,0)+IF( AND((COUNTIF(CJ$2:CJ$33,'Your Team'!$D$4)&gt;0),'Your Team'!$C$4="D" ),1,0)+IF( AND((COUNTIF(CJ$2:CJ$33,'Your Team'!$D$5)&gt;0),'Your Team'!$C$5="D" ),1,0)+IF( AND((COUNTIF(CJ$2:CJ$33,'Your Team'!$D$6)&gt;0),'Your Team'!$C$6="D" ),1,0)+IF( AND((COUNTIF(CJ$2:CJ$33,'Your Team'!$D$7)&gt;0),'Your Team'!$C$7="D" ),1,0)+IF( AND((COUNTIF(CJ$2:CJ$33,'Your Team'!$D$8)&gt;0),'Your Team'!$C$8="D" ),1,0)+IF( AND((COUNTIF(CJ$2:CJ$33,'Your Team'!$D$9)&gt;0),'Your Team'!$C$9="D" ),1,0)+IF( AND((COUNTIF(CJ$2:CJ$33,'Your Team'!$D$10)&gt;0),'Your Team'!$C$10="D" ),1,0)+IF( AND((COUNTIF(CJ$2:CJ$33,'Your Team'!$D$11)&gt;0),'Your Team'!$C$11="D" ),1,0)+IF( AND((COUNTIF(CJ$2:CJ$33,'Your Team'!$D$12)&gt;0),'Your Team'!$C$12="D" ),1,0)+IF( AND((COUNTIF(CJ$2:CJ$33,'Your Team'!$D$13)&gt;0),'Your Team'!$C$13="D" ),1,0)+IF( AND((COUNTIF(CJ$2:CJ$33,'Your Team'!$D$14)&gt;0),'Your Team'!$C$14="D" ),1,0)+IF( AND((COUNTIF(CJ$2:CJ$33,'Your Team'!$D$15)&gt;0),'Your Team'!$C$15="D" ),1,0)+IF( AND((COUNTIF(CJ$2:CJ$33,'Your Team'!$D$16)&gt;0),'Your Team'!$C$16="D" ),1,0)+IF( AND((COUNTIF(CJ$2:CJ$33,'Your Team'!$D$17)&gt;0),'Your Team'!$C$17="D" ),1,0)+IF( AND((COUNTIF(CJ$2:CJ$33,'Your Team'!$D$18)&gt;0),'Your Team'!$C$18="D" ),1,0)+IF( AND((COUNTIF(CJ$2:CJ$33,'Your Team'!$D$19)&gt;0),'Your Team'!$C$19="D" ),1,0)</f>
        <v>0</v>
      </c>
      <c r="CK39" s="9">
        <f>IF( AND((COUNTIF(CK$2:CK$33,'Your Team'!$D$3)&gt;0),'Your Team'!$C$3="D" ),1,0)+IF( AND((COUNTIF(CK$2:CK$33,'Your Team'!$D$4)&gt;0),'Your Team'!$C$4="D" ),1,0)+IF( AND((COUNTIF(CK$2:CK$33,'Your Team'!$D$5)&gt;0),'Your Team'!$C$5="D" ),1,0)+IF( AND((COUNTIF(CK$2:CK$33,'Your Team'!$D$6)&gt;0),'Your Team'!$C$6="D" ),1,0)+IF( AND((COUNTIF(CK$2:CK$33,'Your Team'!$D$7)&gt;0),'Your Team'!$C$7="D" ),1,0)+IF( AND((COUNTIF(CK$2:CK$33,'Your Team'!$D$8)&gt;0),'Your Team'!$C$8="D" ),1,0)+IF( AND((COUNTIF(CK$2:CK$33,'Your Team'!$D$9)&gt;0),'Your Team'!$C$9="D" ),1,0)+IF( AND((COUNTIF(CK$2:CK$33,'Your Team'!$D$10)&gt;0),'Your Team'!$C$10="D" ),1,0)+IF( AND((COUNTIF(CK$2:CK$33,'Your Team'!$D$11)&gt;0),'Your Team'!$C$11="D" ),1,0)+IF( AND((COUNTIF(CK$2:CK$33,'Your Team'!$D$12)&gt;0),'Your Team'!$C$12="D" ),1,0)+IF( AND((COUNTIF(CK$2:CK$33,'Your Team'!$D$13)&gt;0),'Your Team'!$C$13="D" ),1,0)+IF( AND((COUNTIF(CK$2:CK$33,'Your Team'!$D$14)&gt;0),'Your Team'!$C$14="D" ),1,0)+IF( AND((COUNTIF(CK$2:CK$33,'Your Team'!$D$15)&gt;0),'Your Team'!$C$15="D" ),1,0)+IF( AND((COUNTIF(CK$2:CK$33,'Your Team'!$D$16)&gt;0),'Your Team'!$C$16="D" ),1,0)+IF( AND((COUNTIF(CK$2:CK$33,'Your Team'!$D$17)&gt;0),'Your Team'!$C$17="D" ),1,0)+IF( AND((COUNTIF(CK$2:CK$33,'Your Team'!$D$18)&gt;0),'Your Team'!$C$18="D" ),1,0)+IF( AND((COUNTIF(CK$2:CK$33,'Your Team'!$D$19)&gt;0),'Your Team'!$C$19="D" ),1,0)</f>
        <v>0</v>
      </c>
      <c r="CL39" s="9">
        <f>IF( AND((COUNTIF(CL$2:CL$33,'Your Team'!$D$3)&gt;0),'Your Team'!$C$3="D" ),1,0)+IF( AND((COUNTIF(CL$2:CL$33,'Your Team'!$D$4)&gt;0),'Your Team'!$C$4="D" ),1,0)+IF( AND((COUNTIF(CL$2:CL$33,'Your Team'!$D$5)&gt;0),'Your Team'!$C$5="D" ),1,0)+IF( AND((COUNTIF(CL$2:CL$33,'Your Team'!$D$6)&gt;0),'Your Team'!$C$6="D" ),1,0)+IF( AND((COUNTIF(CL$2:CL$33,'Your Team'!$D$7)&gt;0),'Your Team'!$C$7="D" ),1,0)+IF( AND((COUNTIF(CL$2:CL$33,'Your Team'!$D$8)&gt;0),'Your Team'!$C$8="D" ),1,0)+IF( AND((COUNTIF(CL$2:CL$33,'Your Team'!$D$9)&gt;0),'Your Team'!$C$9="D" ),1,0)+IF( AND((COUNTIF(CL$2:CL$33,'Your Team'!$D$10)&gt;0),'Your Team'!$C$10="D" ),1,0)+IF( AND((COUNTIF(CL$2:CL$33,'Your Team'!$D$11)&gt;0),'Your Team'!$C$11="D" ),1,0)+IF( AND((COUNTIF(CL$2:CL$33,'Your Team'!$D$12)&gt;0),'Your Team'!$C$12="D" ),1,0)+IF( AND((COUNTIF(CL$2:CL$33,'Your Team'!$D$13)&gt;0),'Your Team'!$C$13="D" ),1,0)+IF( AND((COUNTIF(CL$2:CL$33,'Your Team'!$D$14)&gt;0),'Your Team'!$C$14="D" ),1,0)+IF( AND((COUNTIF(CL$2:CL$33,'Your Team'!$D$15)&gt;0),'Your Team'!$C$15="D" ),1,0)+IF( AND((COUNTIF(CL$2:CL$33,'Your Team'!$D$16)&gt;0),'Your Team'!$C$16="D" ),1,0)+IF( AND((COUNTIF(CL$2:CL$33,'Your Team'!$D$17)&gt;0),'Your Team'!$C$17="D" ),1,0)+IF( AND((COUNTIF(CL$2:CL$33,'Your Team'!$D$18)&gt;0),'Your Team'!$C$18="D" ),1,0)+IF( AND((COUNTIF(CL$2:CL$33,'Your Team'!$D$19)&gt;0),'Your Team'!$C$19="D" ),1,0)</f>
        <v>0</v>
      </c>
      <c r="CM39" s="9">
        <f>IF( AND((COUNTIF(CM$2:CM$33,'Your Team'!$D$3)&gt;0),'Your Team'!$C$3="D" ),1,0)+IF( AND((COUNTIF(CM$2:CM$33,'Your Team'!$D$4)&gt;0),'Your Team'!$C$4="D" ),1,0)+IF( AND((COUNTIF(CM$2:CM$33,'Your Team'!$D$5)&gt;0),'Your Team'!$C$5="D" ),1,0)+IF( AND((COUNTIF(CM$2:CM$33,'Your Team'!$D$6)&gt;0),'Your Team'!$C$6="D" ),1,0)+IF( AND((COUNTIF(CM$2:CM$33,'Your Team'!$D$7)&gt;0),'Your Team'!$C$7="D" ),1,0)+IF( AND((COUNTIF(CM$2:CM$33,'Your Team'!$D$8)&gt;0),'Your Team'!$C$8="D" ),1,0)+IF( AND((COUNTIF(CM$2:CM$33,'Your Team'!$D$9)&gt;0),'Your Team'!$C$9="D" ),1,0)+IF( AND((COUNTIF(CM$2:CM$33,'Your Team'!$D$10)&gt;0),'Your Team'!$C$10="D" ),1,0)+IF( AND((COUNTIF(CM$2:CM$33,'Your Team'!$D$11)&gt;0),'Your Team'!$C$11="D" ),1,0)+IF( AND((COUNTIF(CM$2:CM$33,'Your Team'!$D$12)&gt;0),'Your Team'!$C$12="D" ),1,0)+IF( AND((COUNTIF(CM$2:CM$33,'Your Team'!$D$13)&gt;0),'Your Team'!$C$13="D" ),1,0)+IF( AND((COUNTIF(CM$2:CM$33,'Your Team'!$D$14)&gt;0),'Your Team'!$C$14="D" ),1,0)+IF( AND((COUNTIF(CM$2:CM$33,'Your Team'!$D$15)&gt;0),'Your Team'!$C$15="D" ),1,0)+IF( AND((COUNTIF(CM$2:CM$33,'Your Team'!$D$16)&gt;0),'Your Team'!$C$16="D" ),1,0)+IF( AND((COUNTIF(CM$2:CM$33,'Your Team'!$D$17)&gt;0),'Your Team'!$C$17="D" ),1,0)+IF( AND((COUNTIF(CM$2:CM$33,'Your Team'!$D$18)&gt;0),'Your Team'!$C$18="D" ),1,0)+IF( AND((COUNTIF(CM$2:CM$33,'Your Team'!$D$19)&gt;0),'Your Team'!$C$19="D" ),1,0)</f>
        <v>0</v>
      </c>
      <c r="CN39" s="9">
        <f>IF( AND((COUNTIF(CN$2:CN$33,'Your Team'!$D$3)&gt;0),'Your Team'!$C$3="D" ),1,0)+IF( AND((COUNTIF(CN$2:CN$33,'Your Team'!$D$4)&gt;0),'Your Team'!$C$4="D" ),1,0)+IF( AND((COUNTIF(CN$2:CN$33,'Your Team'!$D$5)&gt;0),'Your Team'!$C$5="D" ),1,0)+IF( AND((COUNTIF(CN$2:CN$33,'Your Team'!$D$6)&gt;0),'Your Team'!$C$6="D" ),1,0)+IF( AND((COUNTIF(CN$2:CN$33,'Your Team'!$D$7)&gt;0),'Your Team'!$C$7="D" ),1,0)+IF( AND((COUNTIF(CN$2:CN$33,'Your Team'!$D$8)&gt;0),'Your Team'!$C$8="D" ),1,0)+IF( AND((COUNTIF(CN$2:CN$33,'Your Team'!$D$9)&gt;0),'Your Team'!$C$9="D" ),1,0)+IF( AND((COUNTIF(CN$2:CN$33,'Your Team'!$D$10)&gt;0),'Your Team'!$C$10="D" ),1,0)+IF( AND((COUNTIF(CN$2:CN$33,'Your Team'!$D$11)&gt;0),'Your Team'!$C$11="D" ),1,0)+IF( AND((COUNTIF(CN$2:CN$33,'Your Team'!$D$12)&gt;0),'Your Team'!$C$12="D" ),1,0)+IF( AND((COUNTIF(CN$2:CN$33,'Your Team'!$D$13)&gt;0),'Your Team'!$C$13="D" ),1,0)+IF( AND((COUNTIF(CN$2:CN$33,'Your Team'!$D$14)&gt;0),'Your Team'!$C$14="D" ),1,0)+IF( AND((COUNTIF(CN$2:CN$33,'Your Team'!$D$15)&gt;0),'Your Team'!$C$15="D" ),1,0)+IF( AND((COUNTIF(CN$2:CN$33,'Your Team'!$D$16)&gt;0),'Your Team'!$C$16="D" ),1,0)+IF( AND((COUNTIF(CN$2:CN$33,'Your Team'!$D$17)&gt;0),'Your Team'!$C$17="D" ),1,0)+IF( AND((COUNTIF(CN$2:CN$33,'Your Team'!$D$18)&gt;0),'Your Team'!$C$18="D" ),1,0)+IF( AND((COUNTIF(CN$2:CN$33,'Your Team'!$D$19)&gt;0),'Your Team'!$C$19="D" ),1,0)</f>
        <v>0</v>
      </c>
      <c r="CO39" s="9">
        <f>IF( AND((COUNTIF(CO$2:CO$33,'Your Team'!$D$3)&gt;0),'Your Team'!$C$3="D" ),1,0)+IF( AND((COUNTIF(CO$2:CO$33,'Your Team'!$D$4)&gt;0),'Your Team'!$C$4="D" ),1,0)+IF( AND((COUNTIF(CO$2:CO$33,'Your Team'!$D$5)&gt;0),'Your Team'!$C$5="D" ),1,0)+IF( AND((COUNTIF(CO$2:CO$33,'Your Team'!$D$6)&gt;0),'Your Team'!$C$6="D" ),1,0)+IF( AND((COUNTIF(CO$2:CO$33,'Your Team'!$D$7)&gt;0),'Your Team'!$C$7="D" ),1,0)+IF( AND((COUNTIF(CO$2:CO$33,'Your Team'!$D$8)&gt;0),'Your Team'!$C$8="D" ),1,0)+IF( AND((COUNTIF(CO$2:CO$33,'Your Team'!$D$9)&gt;0),'Your Team'!$C$9="D" ),1,0)+IF( AND((COUNTIF(CO$2:CO$33,'Your Team'!$D$10)&gt;0),'Your Team'!$C$10="D" ),1,0)+IF( AND((COUNTIF(CO$2:CO$33,'Your Team'!$D$11)&gt;0),'Your Team'!$C$11="D" ),1,0)+IF( AND((COUNTIF(CO$2:CO$33,'Your Team'!$D$12)&gt;0),'Your Team'!$C$12="D" ),1,0)+IF( AND((COUNTIF(CO$2:CO$33,'Your Team'!$D$13)&gt;0),'Your Team'!$C$13="D" ),1,0)+IF( AND((COUNTIF(CO$2:CO$33,'Your Team'!$D$14)&gt;0),'Your Team'!$C$14="D" ),1,0)+IF( AND((COUNTIF(CO$2:CO$33,'Your Team'!$D$15)&gt;0),'Your Team'!$C$15="D" ),1,0)+IF( AND((COUNTIF(CO$2:CO$33,'Your Team'!$D$16)&gt;0),'Your Team'!$C$16="D" ),1,0)+IF( AND((COUNTIF(CO$2:CO$33,'Your Team'!$D$17)&gt;0),'Your Team'!$C$17="D" ),1,0)+IF( AND((COUNTIF(CO$2:CO$33,'Your Team'!$D$18)&gt;0),'Your Team'!$C$18="D" ),1,0)+IF( AND((COUNTIF(CO$2:CO$33,'Your Team'!$D$19)&gt;0),'Your Team'!$C$19="D" ),1,0)</f>
        <v>0</v>
      </c>
      <c r="CP39" s="9">
        <f>IF( AND((COUNTIF(CP$2:CP$33,'Your Team'!$D$3)&gt;0),'Your Team'!$C$3="D" ),1,0)+IF( AND((COUNTIF(CP$2:CP$33,'Your Team'!$D$4)&gt;0),'Your Team'!$C$4="D" ),1,0)+IF( AND((COUNTIF(CP$2:CP$33,'Your Team'!$D$5)&gt;0),'Your Team'!$C$5="D" ),1,0)+IF( AND((COUNTIF(CP$2:CP$33,'Your Team'!$D$6)&gt;0),'Your Team'!$C$6="D" ),1,0)+IF( AND((COUNTIF(CP$2:CP$33,'Your Team'!$D$7)&gt;0),'Your Team'!$C$7="D" ),1,0)+IF( AND((COUNTIF(CP$2:CP$33,'Your Team'!$D$8)&gt;0),'Your Team'!$C$8="D" ),1,0)+IF( AND((COUNTIF(CP$2:CP$33,'Your Team'!$D$9)&gt;0),'Your Team'!$C$9="D" ),1,0)+IF( AND((COUNTIF(CP$2:CP$33,'Your Team'!$D$10)&gt;0),'Your Team'!$C$10="D" ),1,0)+IF( AND((COUNTIF(CP$2:CP$33,'Your Team'!$D$11)&gt;0),'Your Team'!$C$11="D" ),1,0)+IF( AND((COUNTIF(CP$2:CP$33,'Your Team'!$D$12)&gt;0),'Your Team'!$C$12="D" ),1,0)+IF( AND((COUNTIF(CP$2:CP$33,'Your Team'!$D$13)&gt;0),'Your Team'!$C$13="D" ),1,0)+IF( AND((COUNTIF(CP$2:CP$33,'Your Team'!$D$14)&gt;0),'Your Team'!$C$14="D" ),1,0)+IF( AND((COUNTIF(CP$2:CP$33,'Your Team'!$D$15)&gt;0),'Your Team'!$C$15="D" ),1,0)+IF( AND((COUNTIF(CP$2:CP$33,'Your Team'!$D$16)&gt;0),'Your Team'!$C$16="D" ),1,0)+IF( AND((COUNTIF(CP$2:CP$33,'Your Team'!$D$17)&gt;0),'Your Team'!$C$17="D" ),1,0)+IF( AND((COUNTIF(CP$2:CP$33,'Your Team'!$D$18)&gt;0),'Your Team'!$C$18="D" ),1,0)+IF( AND((COUNTIF(CP$2:CP$33,'Your Team'!$D$19)&gt;0),'Your Team'!$C$19="D" ),1,0)</f>
        <v>0</v>
      </c>
      <c r="CQ39" s="9">
        <f>IF( AND((COUNTIF(CQ$2:CQ$33,'Your Team'!$D$3)&gt;0),'Your Team'!$C$3="D" ),1,0)+IF( AND((COUNTIF(CQ$2:CQ$33,'Your Team'!$D$4)&gt;0),'Your Team'!$C$4="D" ),1,0)+IF( AND((COUNTIF(CQ$2:CQ$33,'Your Team'!$D$5)&gt;0),'Your Team'!$C$5="D" ),1,0)+IF( AND((COUNTIF(CQ$2:CQ$33,'Your Team'!$D$6)&gt;0),'Your Team'!$C$6="D" ),1,0)+IF( AND((COUNTIF(CQ$2:CQ$33,'Your Team'!$D$7)&gt;0),'Your Team'!$C$7="D" ),1,0)+IF( AND((COUNTIF(CQ$2:CQ$33,'Your Team'!$D$8)&gt;0),'Your Team'!$C$8="D" ),1,0)+IF( AND((COUNTIF(CQ$2:CQ$33,'Your Team'!$D$9)&gt;0),'Your Team'!$C$9="D" ),1,0)+IF( AND((COUNTIF(CQ$2:CQ$33,'Your Team'!$D$10)&gt;0),'Your Team'!$C$10="D" ),1,0)+IF( AND((COUNTIF(CQ$2:CQ$33,'Your Team'!$D$11)&gt;0),'Your Team'!$C$11="D" ),1,0)+IF( AND((COUNTIF(CQ$2:CQ$33,'Your Team'!$D$12)&gt;0),'Your Team'!$C$12="D" ),1,0)+IF( AND((COUNTIF(CQ$2:CQ$33,'Your Team'!$D$13)&gt;0),'Your Team'!$C$13="D" ),1,0)+IF( AND((COUNTIF(CQ$2:CQ$33,'Your Team'!$D$14)&gt;0),'Your Team'!$C$14="D" ),1,0)+IF( AND((COUNTIF(CQ$2:CQ$33,'Your Team'!$D$15)&gt;0),'Your Team'!$C$15="D" ),1,0)+IF( AND((COUNTIF(CQ$2:CQ$33,'Your Team'!$D$16)&gt;0),'Your Team'!$C$16="D" ),1,0)+IF( AND((COUNTIF(CQ$2:CQ$33,'Your Team'!$D$17)&gt;0),'Your Team'!$C$17="D" ),1,0)+IF( AND((COUNTIF(CQ$2:CQ$33,'Your Team'!$D$18)&gt;0),'Your Team'!$C$18="D" ),1,0)+IF( AND((COUNTIF(CQ$2:CQ$33,'Your Team'!$D$19)&gt;0),'Your Team'!$C$19="D" ),1,0)</f>
        <v>0</v>
      </c>
      <c r="CR39" s="9">
        <f>IF( AND((COUNTIF(CR$2:CR$33,'Your Team'!$D$3)&gt;0),'Your Team'!$C$3="D" ),1,0)+IF( AND((COUNTIF(CR$2:CR$33,'Your Team'!$D$4)&gt;0),'Your Team'!$C$4="D" ),1,0)+IF( AND((COUNTIF(CR$2:CR$33,'Your Team'!$D$5)&gt;0),'Your Team'!$C$5="D" ),1,0)+IF( AND((COUNTIF(CR$2:CR$33,'Your Team'!$D$6)&gt;0),'Your Team'!$C$6="D" ),1,0)+IF( AND((COUNTIF(CR$2:CR$33,'Your Team'!$D$7)&gt;0),'Your Team'!$C$7="D" ),1,0)+IF( AND((COUNTIF(CR$2:CR$33,'Your Team'!$D$8)&gt;0),'Your Team'!$C$8="D" ),1,0)+IF( AND((COUNTIF(CR$2:CR$33,'Your Team'!$D$9)&gt;0),'Your Team'!$C$9="D" ),1,0)+IF( AND((COUNTIF(CR$2:CR$33,'Your Team'!$D$10)&gt;0),'Your Team'!$C$10="D" ),1,0)+IF( AND((COUNTIF(CR$2:CR$33,'Your Team'!$D$11)&gt;0),'Your Team'!$C$11="D" ),1,0)+IF( AND((COUNTIF(CR$2:CR$33,'Your Team'!$D$12)&gt;0),'Your Team'!$C$12="D" ),1,0)+IF( AND((COUNTIF(CR$2:CR$33,'Your Team'!$D$13)&gt;0),'Your Team'!$C$13="D" ),1,0)+IF( AND((COUNTIF(CR$2:CR$33,'Your Team'!$D$14)&gt;0),'Your Team'!$C$14="D" ),1,0)+IF( AND((COUNTIF(CR$2:CR$33,'Your Team'!$D$15)&gt;0),'Your Team'!$C$15="D" ),1,0)+IF( AND((COUNTIF(CR$2:CR$33,'Your Team'!$D$16)&gt;0),'Your Team'!$C$16="D" ),1,0)+IF( AND((COUNTIF(CR$2:CR$33,'Your Team'!$D$17)&gt;0),'Your Team'!$C$17="D" ),1,0)+IF( AND((COUNTIF(CR$2:CR$33,'Your Team'!$D$18)&gt;0),'Your Team'!$C$18="D" ),1,0)+IF( AND((COUNTIF(CR$2:CR$33,'Your Team'!$D$19)&gt;0),'Your Team'!$C$19="D" ),1,0)</f>
        <v>0</v>
      </c>
      <c r="CS39" s="9">
        <f>IF( AND((COUNTIF(CS$2:CS$33,'Your Team'!$D$3)&gt;0),'Your Team'!$C$3="D" ),1,0)+IF( AND((COUNTIF(CS$2:CS$33,'Your Team'!$D$4)&gt;0),'Your Team'!$C$4="D" ),1,0)+IF( AND((COUNTIF(CS$2:CS$33,'Your Team'!$D$5)&gt;0),'Your Team'!$C$5="D" ),1,0)+IF( AND((COUNTIF(CS$2:CS$33,'Your Team'!$D$6)&gt;0),'Your Team'!$C$6="D" ),1,0)+IF( AND((COUNTIF(CS$2:CS$33,'Your Team'!$D$7)&gt;0),'Your Team'!$C$7="D" ),1,0)+IF( AND((COUNTIF(CS$2:CS$33,'Your Team'!$D$8)&gt;0),'Your Team'!$C$8="D" ),1,0)+IF( AND((COUNTIF(CS$2:CS$33,'Your Team'!$D$9)&gt;0),'Your Team'!$C$9="D" ),1,0)+IF( AND((COUNTIF(CS$2:CS$33,'Your Team'!$D$10)&gt;0),'Your Team'!$C$10="D" ),1,0)+IF( AND((COUNTIF(CS$2:CS$33,'Your Team'!$D$11)&gt;0),'Your Team'!$C$11="D" ),1,0)+IF( AND((COUNTIF(CS$2:CS$33,'Your Team'!$D$12)&gt;0),'Your Team'!$C$12="D" ),1,0)+IF( AND((COUNTIF(CS$2:CS$33,'Your Team'!$D$13)&gt;0),'Your Team'!$C$13="D" ),1,0)+IF( AND((COUNTIF(CS$2:CS$33,'Your Team'!$D$14)&gt;0),'Your Team'!$C$14="D" ),1,0)+IF( AND((COUNTIF(CS$2:CS$33,'Your Team'!$D$15)&gt;0),'Your Team'!$C$15="D" ),1,0)+IF( AND((COUNTIF(CS$2:CS$33,'Your Team'!$D$16)&gt;0),'Your Team'!$C$16="D" ),1,0)+IF( AND((COUNTIF(CS$2:CS$33,'Your Team'!$D$17)&gt;0),'Your Team'!$C$17="D" ),1,0)+IF( AND((COUNTIF(CS$2:CS$33,'Your Team'!$D$18)&gt;0),'Your Team'!$C$18="D" ),1,0)+IF( AND((COUNTIF(CS$2:CS$33,'Your Team'!$D$19)&gt;0),'Your Team'!$C$19="D" ),1,0)</f>
        <v>0</v>
      </c>
      <c r="CT39" s="9">
        <f>IF( AND((COUNTIF(CT$2:CT$33,'Your Team'!$D$3)&gt;0),'Your Team'!$C$3="D" ),1,0)+IF( AND((COUNTIF(CT$2:CT$33,'Your Team'!$D$4)&gt;0),'Your Team'!$C$4="D" ),1,0)+IF( AND((COUNTIF(CT$2:CT$33,'Your Team'!$D$5)&gt;0),'Your Team'!$C$5="D" ),1,0)+IF( AND((COUNTIF(CT$2:CT$33,'Your Team'!$D$6)&gt;0),'Your Team'!$C$6="D" ),1,0)+IF( AND((COUNTIF(CT$2:CT$33,'Your Team'!$D$7)&gt;0),'Your Team'!$C$7="D" ),1,0)+IF( AND((COUNTIF(CT$2:CT$33,'Your Team'!$D$8)&gt;0),'Your Team'!$C$8="D" ),1,0)+IF( AND((COUNTIF(CT$2:CT$33,'Your Team'!$D$9)&gt;0),'Your Team'!$C$9="D" ),1,0)+IF( AND((COUNTIF(CT$2:CT$33,'Your Team'!$D$10)&gt;0),'Your Team'!$C$10="D" ),1,0)+IF( AND((COUNTIF(CT$2:CT$33,'Your Team'!$D$11)&gt;0),'Your Team'!$C$11="D" ),1,0)+IF( AND((COUNTIF(CT$2:CT$33,'Your Team'!$D$12)&gt;0),'Your Team'!$C$12="D" ),1,0)+IF( AND((COUNTIF(CT$2:CT$33,'Your Team'!$D$13)&gt;0),'Your Team'!$C$13="D" ),1,0)+IF( AND((COUNTIF(CT$2:CT$33,'Your Team'!$D$14)&gt;0),'Your Team'!$C$14="D" ),1,0)+IF( AND((COUNTIF(CT$2:CT$33,'Your Team'!$D$15)&gt;0),'Your Team'!$C$15="D" ),1,0)+IF( AND((COUNTIF(CT$2:CT$33,'Your Team'!$D$16)&gt;0),'Your Team'!$C$16="D" ),1,0)+IF( AND((COUNTIF(CT$2:CT$33,'Your Team'!$D$17)&gt;0),'Your Team'!$C$17="D" ),1,0)+IF( AND((COUNTIF(CT$2:CT$33,'Your Team'!$D$18)&gt;0),'Your Team'!$C$18="D" ),1,0)+IF( AND((COUNTIF(CT$2:CT$33,'Your Team'!$D$19)&gt;0),'Your Team'!$C$19="D" ),1,0)</f>
        <v>0</v>
      </c>
      <c r="CU39" s="9">
        <f>IF( AND((COUNTIF(CU$2:CU$33,'Your Team'!$D$3)&gt;0),'Your Team'!$C$3="D" ),1,0)+IF( AND((COUNTIF(CU$2:CU$33,'Your Team'!$D$4)&gt;0),'Your Team'!$C$4="D" ),1,0)+IF( AND((COUNTIF(CU$2:CU$33,'Your Team'!$D$5)&gt;0),'Your Team'!$C$5="D" ),1,0)+IF( AND((COUNTIF(CU$2:CU$33,'Your Team'!$D$6)&gt;0),'Your Team'!$C$6="D" ),1,0)+IF( AND((COUNTIF(CU$2:CU$33,'Your Team'!$D$7)&gt;0),'Your Team'!$C$7="D" ),1,0)+IF( AND((COUNTIF(CU$2:CU$33,'Your Team'!$D$8)&gt;0),'Your Team'!$C$8="D" ),1,0)+IF( AND((COUNTIF(CU$2:CU$33,'Your Team'!$D$9)&gt;0),'Your Team'!$C$9="D" ),1,0)+IF( AND((COUNTIF(CU$2:CU$33,'Your Team'!$D$10)&gt;0),'Your Team'!$C$10="D" ),1,0)+IF( AND((COUNTIF(CU$2:CU$33,'Your Team'!$D$11)&gt;0),'Your Team'!$C$11="D" ),1,0)+IF( AND((COUNTIF(CU$2:CU$33,'Your Team'!$D$12)&gt;0),'Your Team'!$C$12="D" ),1,0)+IF( AND((COUNTIF(CU$2:CU$33,'Your Team'!$D$13)&gt;0),'Your Team'!$C$13="D" ),1,0)+IF( AND((COUNTIF(CU$2:CU$33,'Your Team'!$D$14)&gt;0),'Your Team'!$C$14="D" ),1,0)+IF( AND((COUNTIF(CU$2:CU$33,'Your Team'!$D$15)&gt;0),'Your Team'!$C$15="D" ),1,0)+IF( AND((COUNTIF(CU$2:CU$33,'Your Team'!$D$16)&gt;0),'Your Team'!$C$16="D" ),1,0)+IF( AND((COUNTIF(CU$2:CU$33,'Your Team'!$D$17)&gt;0),'Your Team'!$C$17="D" ),1,0)+IF( AND((COUNTIF(CU$2:CU$33,'Your Team'!$D$18)&gt;0),'Your Team'!$C$18="D" ),1,0)+IF( AND((COUNTIF(CU$2:CU$33,'Your Team'!$D$19)&gt;0),'Your Team'!$C$19="D" ),1,0)</f>
        <v>0</v>
      </c>
      <c r="CV39" s="9">
        <f>IF( AND((COUNTIF(CV$2:CV$33,'Your Team'!$D$3)&gt;0),'Your Team'!$C$3="D" ),1,0)+IF( AND((COUNTIF(CV$2:CV$33,'Your Team'!$D$4)&gt;0),'Your Team'!$C$4="D" ),1,0)+IF( AND((COUNTIF(CV$2:CV$33,'Your Team'!$D$5)&gt;0),'Your Team'!$C$5="D" ),1,0)+IF( AND((COUNTIF(CV$2:CV$33,'Your Team'!$D$6)&gt;0),'Your Team'!$C$6="D" ),1,0)+IF( AND((COUNTIF(CV$2:CV$33,'Your Team'!$D$7)&gt;0),'Your Team'!$C$7="D" ),1,0)+IF( AND((COUNTIF(CV$2:CV$33,'Your Team'!$D$8)&gt;0),'Your Team'!$C$8="D" ),1,0)+IF( AND((COUNTIF(CV$2:CV$33,'Your Team'!$D$9)&gt;0),'Your Team'!$C$9="D" ),1,0)+IF( AND((COUNTIF(CV$2:CV$33,'Your Team'!$D$10)&gt;0),'Your Team'!$C$10="D" ),1,0)+IF( AND((COUNTIF(CV$2:CV$33,'Your Team'!$D$11)&gt;0),'Your Team'!$C$11="D" ),1,0)+IF( AND((COUNTIF(CV$2:CV$33,'Your Team'!$D$12)&gt;0),'Your Team'!$C$12="D" ),1,0)+IF( AND((COUNTIF(CV$2:CV$33,'Your Team'!$D$13)&gt;0),'Your Team'!$C$13="D" ),1,0)+IF( AND((COUNTIF(CV$2:CV$33,'Your Team'!$D$14)&gt;0),'Your Team'!$C$14="D" ),1,0)+IF( AND((COUNTIF(CV$2:CV$33,'Your Team'!$D$15)&gt;0),'Your Team'!$C$15="D" ),1,0)+IF( AND((COUNTIF(CV$2:CV$33,'Your Team'!$D$16)&gt;0),'Your Team'!$C$16="D" ),1,0)+IF( AND((COUNTIF(CV$2:CV$33,'Your Team'!$D$17)&gt;0),'Your Team'!$C$17="D" ),1,0)+IF( AND((COUNTIF(CV$2:CV$33,'Your Team'!$D$18)&gt;0),'Your Team'!$C$18="D" ),1,0)+IF( AND((COUNTIF(CV$2:CV$33,'Your Team'!$D$19)&gt;0),'Your Team'!$C$19="D" ),1,0)</f>
        <v>0</v>
      </c>
      <c r="CW39" s="9">
        <f>IF( AND((COUNTIF(CW$2:CW$33,'Your Team'!$D$3)&gt;0),'Your Team'!$C$3="D" ),1,0)+IF( AND((COUNTIF(CW$2:CW$33,'Your Team'!$D$4)&gt;0),'Your Team'!$C$4="D" ),1,0)+IF( AND((COUNTIF(CW$2:CW$33,'Your Team'!$D$5)&gt;0),'Your Team'!$C$5="D" ),1,0)+IF( AND((COUNTIF(CW$2:CW$33,'Your Team'!$D$6)&gt;0),'Your Team'!$C$6="D" ),1,0)+IF( AND((COUNTIF(CW$2:CW$33,'Your Team'!$D$7)&gt;0),'Your Team'!$C$7="D" ),1,0)+IF( AND((COUNTIF(CW$2:CW$33,'Your Team'!$D$8)&gt;0),'Your Team'!$C$8="D" ),1,0)+IF( AND((COUNTIF(CW$2:CW$33,'Your Team'!$D$9)&gt;0),'Your Team'!$C$9="D" ),1,0)+IF( AND((COUNTIF(CW$2:CW$33,'Your Team'!$D$10)&gt;0),'Your Team'!$C$10="D" ),1,0)+IF( AND((COUNTIF(CW$2:CW$33,'Your Team'!$D$11)&gt;0),'Your Team'!$C$11="D" ),1,0)+IF( AND((COUNTIF(CW$2:CW$33,'Your Team'!$D$12)&gt;0),'Your Team'!$C$12="D" ),1,0)+IF( AND((COUNTIF(CW$2:CW$33,'Your Team'!$D$13)&gt;0),'Your Team'!$C$13="D" ),1,0)+IF( AND((COUNTIF(CW$2:CW$33,'Your Team'!$D$14)&gt;0),'Your Team'!$C$14="D" ),1,0)+IF( AND((COUNTIF(CW$2:CW$33,'Your Team'!$D$15)&gt;0),'Your Team'!$C$15="D" ),1,0)+IF( AND((COUNTIF(CW$2:CW$33,'Your Team'!$D$16)&gt;0),'Your Team'!$C$16="D" ),1,0)+IF( AND((COUNTIF(CW$2:CW$33,'Your Team'!$D$17)&gt;0),'Your Team'!$C$17="D" ),1,0)+IF( AND((COUNTIF(CW$2:CW$33,'Your Team'!$D$18)&gt;0),'Your Team'!$C$18="D" ),1,0)+IF( AND((COUNTIF(CW$2:CW$33,'Your Team'!$D$19)&gt;0),'Your Team'!$C$19="D" ),1,0)</f>
        <v>0</v>
      </c>
      <c r="CX39" s="9">
        <f>IF( AND((COUNTIF(CX$2:CX$33,'Your Team'!$D$3)&gt;0),'Your Team'!$C$3="D" ),1,0)+IF( AND((COUNTIF(CX$2:CX$33,'Your Team'!$D$4)&gt;0),'Your Team'!$C$4="D" ),1,0)+IF( AND((COUNTIF(CX$2:CX$33,'Your Team'!$D$5)&gt;0),'Your Team'!$C$5="D" ),1,0)+IF( AND((COUNTIF(CX$2:CX$33,'Your Team'!$D$6)&gt;0),'Your Team'!$C$6="D" ),1,0)+IF( AND((COUNTIF(CX$2:CX$33,'Your Team'!$D$7)&gt;0),'Your Team'!$C$7="D" ),1,0)+IF( AND((COUNTIF(CX$2:CX$33,'Your Team'!$D$8)&gt;0),'Your Team'!$C$8="D" ),1,0)+IF( AND((COUNTIF(CX$2:CX$33,'Your Team'!$D$9)&gt;0),'Your Team'!$C$9="D" ),1,0)+IF( AND((COUNTIF(CX$2:CX$33,'Your Team'!$D$10)&gt;0),'Your Team'!$C$10="D" ),1,0)+IF( AND((COUNTIF(CX$2:CX$33,'Your Team'!$D$11)&gt;0),'Your Team'!$C$11="D" ),1,0)+IF( AND((COUNTIF(CX$2:CX$33,'Your Team'!$D$12)&gt;0),'Your Team'!$C$12="D" ),1,0)+IF( AND((COUNTIF(CX$2:CX$33,'Your Team'!$D$13)&gt;0),'Your Team'!$C$13="D" ),1,0)+IF( AND((COUNTIF(CX$2:CX$33,'Your Team'!$D$14)&gt;0),'Your Team'!$C$14="D" ),1,0)+IF( AND((COUNTIF(CX$2:CX$33,'Your Team'!$D$15)&gt;0),'Your Team'!$C$15="D" ),1,0)+IF( AND((COUNTIF(CX$2:CX$33,'Your Team'!$D$16)&gt;0),'Your Team'!$C$16="D" ),1,0)+IF( AND((COUNTIF(CX$2:CX$33,'Your Team'!$D$17)&gt;0),'Your Team'!$C$17="D" ),1,0)+IF( AND((COUNTIF(CX$2:CX$33,'Your Team'!$D$18)&gt;0),'Your Team'!$C$18="D" ),1,0)+IF( AND((COUNTIF(CX$2:CX$33,'Your Team'!$D$19)&gt;0),'Your Team'!$C$19="D" ),1,0)</f>
        <v>0</v>
      </c>
      <c r="CY39" s="9">
        <f>IF( AND((COUNTIF(CY$2:CY$33,'Your Team'!$D$3)&gt;0),'Your Team'!$C$3="D" ),1,0)+IF( AND((COUNTIF(CY$2:CY$33,'Your Team'!$D$4)&gt;0),'Your Team'!$C$4="D" ),1,0)+IF( AND((COUNTIF(CY$2:CY$33,'Your Team'!$D$5)&gt;0),'Your Team'!$C$5="D" ),1,0)+IF( AND((COUNTIF(CY$2:CY$33,'Your Team'!$D$6)&gt;0),'Your Team'!$C$6="D" ),1,0)+IF( AND((COUNTIF(CY$2:CY$33,'Your Team'!$D$7)&gt;0),'Your Team'!$C$7="D" ),1,0)+IF( AND((COUNTIF(CY$2:CY$33,'Your Team'!$D$8)&gt;0),'Your Team'!$C$8="D" ),1,0)+IF( AND((COUNTIF(CY$2:CY$33,'Your Team'!$D$9)&gt;0),'Your Team'!$C$9="D" ),1,0)+IF( AND((COUNTIF(CY$2:CY$33,'Your Team'!$D$10)&gt;0),'Your Team'!$C$10="D" ),1,0)+IF( AND((COUNTIF(CY$2:CY$33,'Your Team'!$D$11)&gt;0),'Your Team'!$C$11="D" ),1,0)+IF( AND((COUNTIF(CY$2:CY$33,'Your Team'!$D$12)&gt;0),'Your Team'!$C$12="D" ),1,0)+IF( AND((COUNTIF(CY$2:CY$33,'Your Team'!$D$13)&gt;0),'Your Team'!$C$13="D" ),1,0)+IF( AND((COUNTIF(CY$2:CY$33,'Your Team'!$D$14)&gt;0),'Your Team'!$C$14="D" ),1,0)+IF( AND((COUNTIF(CY$2:CY$33,'Your Team'!$D$15)&gt;0),'Your Team'!$C$15="D" ),1,0)+IF( AND((COUNTIF(CY$2:CY$33,'Your Team'!$D$16)&gt;0),'Your Team'!$C$16="D" ),1,0)+IF( AND((COUNTIF(CY$2:CY$33,'Your Team'!$D$17)&gt;0),'Your Team'!$C$17="D" ),1,0)+IF( AND((COUNTIF(CY$2:CY$33,'Your Team'!$D$18)&gt;0),'Your Team'!$C$18="D" ),1,0)+IF( AND((COUNTIF(CY$2:CY$33,'Your Team'!$D$19)&gt;0),'Your Team'!$C$19="D" ),1,0)</f>
        <v>0</v>
      </c>
      <c r="CZ39" s="9">
        <f>IF( AND((COUNTIF(CZ$2:CZ$33,'Your Team'!$D$3)&gt;0),'Your Team'!$C$3="D" ),1,0)+IF( AND((COUNTIF(CZ$2:CZ$33,'Your Team'!$D$4)&gt;0),'Your Team'!$C$4="D" ),1,0)+IF( AND((COUNTIF(CZ$2:CZ$33,'Your Team'!$D$5)&gt;0),'Your Team'!$C$5="D" ),1,0)+IF( AND((COUNTIF(CZ$2:CZ$33,'Your Team'!$D$6)&gt;0),'Your Team'!$C$6="D" ),1,0)+IF( AND((COUNTIF(CZ$2:CZ$33,'Your Team'!$D$7)&gt;0),'Your Team'!$C$7="D" ),1,0)+IF( AND((COUNTIF(CZ$2:CZ$33,'Your Team'!$D$8)&gt;0),'Your Team'!$C$8="D" ),1,0)+IF( AND((COUNTIF(CZ$2:CZ$33,'Your Team'!$D$9)&gt;0),'Your Team'!$C$9="D" ),1,0)+IF( AND((COUNTIF(CZ$2:CZ$33,'Your Team'!$D$10)&gt;0),'Your Team'!$C$10="D" ),1,0)+IF( AND((COUNTIF(CZ$2:CZ$33,'Your Team'!$D$11)&gt;0),'Your Team'!$C$11="D" ),1,0)+IF( AND((COUNTIF(CZ$2:CZ$33,'Your Team'!$D$12)&gt;0),'Your Team'!$C$12="D" ),1,0)+IF( AND((COUNTIF(CZ$2:CZ$33,'Your Team'!$D$13)&gt;0),'Your Team'!$C$13="D" ),1,0)+IF( AND((COUNTIF(CZ$2:CZ$33,'Your Team'!$D$14)&gt;0),'Your Team'!$C$14="D" ),1,0)+IF( AND((COUNTIF(CZ$2:CZ$33,'Your Team'!$D$15)&gt;0),'Your Team'!$C$15="D" ),1,0)+IF( AND((COUNTIF(CZ$2:CZ$33,'Your Team'!$D$16)&gt;0),'Your Team'!$C$16="D" ),1,0)+IF( AND((COUNTIF(CZ$2:CZ$33,'Your Team'!$D$17)&gt;0),'Your Team'!$C$17="D" ),1,0)+IF( AND((COUNTIF(CZ$2:CZ$33,'Your Team'!$D$18)&gt;0),'Your Team'!$C$18="D" ),1,0)+IF( AND((COUNTIF(CZ$2:CZ$33,'Your Team'!$D$19)&gt;0),'Your Team'!$C$19="D" ),1,0)</f>
        <v>0</v>
      </c>
      <c r="DA39" s="9">
        <f>IF( AND((COUNTIF(DA$2:DA$33,'Your Team'!$D$3)&gt;0),'Your Team'!$C$3="D" ),1,0)+IF( AND((COUNTIF(DA$2:DA$33,'Your Team'!$D$4)&gt;0),'Your Team'!$C$4="D" ),1,0)+IF( AND((COUNTIF(DA$2:DA$33,'Your Team'!$D$5)&gt;0),'Your Team'!$C$5="D" ),1,0)+IF( AND((COUNTIF(DA$2:DA$33,'Your Team'!$D$6)&gt;0),'Your Team'!$C$6="D" ),1,0)+IF( AND((COUNTIF(DA$2:DA$33,'Your Team'!$D$7)&gt;0),'Your Team'!$C$7="D" ),1,0)+IF( AND((COUNTIF(DA$2:DA$33,'Your Team'!$D$8)&gt;0),'Your Team'!$C$8="D" ),1,0)+IF( AND((COUNTIF(DA$2:DA$33,'Your Team'!$D$9)&gt;0),'Your Team'!$C$9="D" ),1,0)+IF( AND((COUNTIF(DA$2:DA$33,'Your Team'!$D$10)&gt;0),'Your Team'!$C$10="D" ),1,0)+IF( AND((COUNTIF(DA$2:DA$33,'Your Team'!$D$11)&gt;0),'Your Team'!$C$11="D" ),1,0)+IF( AND((COUNTIF(DA$2:DA$33,'Your Team'!$D$12)&gt;0),'Your Team'!$C$12="D" ),1,0)+IF( AND((COUNTIF(DA$2:DA$33,'Your Team'!$D$13)&gt;0),'Your Team'!$C$13="D" ),1,0)+IF( AND((COUNTIF(DA$2:DA$33,'Your Team'!$D$14)&gt;0),'Your Team'!$C$14="D" ),1,0)+IF( AND((COUNTIF(DA$2:DA$33,'Your Team'!$D$15)&gt;0),'Your Team'!$C$15="D" ),1,0)+IF( AND((COUNTIF(DA$2:DA$33,'Your Team'!$D$16)&gt;0),'Your Team'!$C$16="D" ),1,0)+IF( AND((COUNTIF(DA$2:DA$33,'Your Team'!$D$17)&gt;0),'Your Team'!$C$17="D" ),1,0)+IF( AND((COUNTIF(DA$2:DA$33,'Your Team'!$D$18)&gt;0),'Your Team'!$C$18="D" ),1,0)+IF( AND((COUNTIF(DA$2:DA$33,'Your Team'!$D$19)&gt;0),'Your Team'!$C$19="D" ),1,0)</f>
        <v>0</v>
      </c>
      <c r="DB39" s="9">
        <f>IF( AND((COUNTIF(DB$2:DB$33,'Your Team'!$D$3)&gt;0),'Your Team'!$C$3="D" ),1,0)+IF( AND((COUNTIF(DB$2:DB$33,'Your Team'!$D$4)&gt;0),'Your Team'!$C$4="D" ),1,0)+IF( AND((COUNTIF(DB$2:DB$33,'Your Team'!$D$5)&gt;0),'Your Team'!$C$5="D" ),1,0)+IF( AND((COUNTIF(DB$2:DB$33,'Your Team'!$D$6)&gt;0),'Your Team'!$C$6="D" ),1,0)+IF( AND((COUNTIF(DB$2:DB$33,'Your Team'!$D$7)&gt;0),'Your Team'!$C$7="D" ),1,0)+IF( AND((COUNTIF(DB$2:DB$33,'Your Team'!$D$8)&gt;0),'Your Team'!$C$8="D" ),1,0)+IF( AND((COUNTIF(DB$2:DB$33,'Your Team'!$D$9)&gt;0),'Your Team'!$C$9="D" ),1,0)+IF( AND((COUNTIF(DB$2:DB$33,'Your Team'!$D$10)&gt;0),'Your Team'!$C$10="D" ),1,0)+IF( AND((COUNTIF(DB$2:DB$33,'Your Team'!$D$11)&gt;0),'Your Team'!$C$11="D" ),1,0)+IF( AND((COUNTIF(DB$2:DB$33,'Your Team'!$D$12)&gt;0),'Your Team'!$C$12="D" ),1,0)+IF( AND((COUNTIF(DB$2:DB$33,'Your Team'!$D$13)&gt;0),'Your Team'!$C$13="D" ),1,0)+IF( AND((COUNTIF(DB$2:DB$33,'Your Team'!$D$14)&gt;0),'Your Team'!$C$14="D" ),1,0)+IF( AND((COUNTIF(DB$2:DB$33,'Your Team'!$D$15)&gt;0),'Your Team'!$C$15="D" ),1,0)+IF( AND((COUNTIF(DB$2:DB$33,'Your Team'!$D$16)&gt;0),'Your Team'!$C$16="D" ),1,0)+IF( AND((COUNTIF(DB$2:DB$33,'Your Team'!$D$17)&gt;0),'Your Team'!$C$17="D" ),1,0)+IF( AND((COUNTIF(DB$2:DB$33,'Your Team'!$D$18)&gt;0),'Your Team'!$C$18="D" ),1,0)+IF( AND((COUNTIF(DB$2:DB$33,'Your Team'!$D$19)&gt;0),'Your Team'!$C$19="D" ),1,0)</f>
        <v>0</v>
      </c>
      <c r="DC39" s="9">
        <f>IF( AND((COUNTIF(DC$2:DC$33,'Your Team'!$D$3)&gt;0),'Your Team'!$C$3="D" ),1,0)+IF( AND((COUNTIF(DC$2:DC$33,'Your Team'!$D$4)&gt;0),'Your Team'!$C$4="D" ),1,0)+IF( AND((COUNTIF(DC$2:DC$33,'Your Team'!$D$5)&gt;0),'Your Team'!$C$5="D" ),1,0)+IF( AND((COUNTIF(DC$2:DC$33,'Your Team'!$D$6)&gt;0),'Your Team'!$C$6="D" ),1,0)+IF( AND((COUNTIF(DC$2:DC$33,'Your Team'!$D$7)&gt;0),'Your Team'!$C$7="D" ),1,0)+IF( AND((COUNTIF(DC$2:DC$33,'Your Team'!$D$8)&gt;0),'Your Team'!$C$8="D" ),1,0)+IF( AND((COUNTIF(DC$2:DC$33,'Your Team'!$D$9)&gt;0),'Your Team'!$C$9="D" ),1,0)+IF( AND((COUNTIF(DC$2:DC$33,'Your Team'!$D$10)&gt;0),'Your Team'!$C$10="D" ),1,0)+IF( AND((COUNTIF(DC$2:DC$33,'Your Team'!$D$11)&gt;0),'Your Team'!$C$11="D" ),1,0)+IF( AND((COUNTIF(DC$2:DC$33,'Your Team'!$D$12)&gt;0),'Your Team'!$C$12="D" ),1,0)+IF( AND((COUNTIF(DC$2:DC$33,'Your Team'!$D$13)&gt;0),'Your Team'!$C$13="D" ),1,0)+IF( AND((COUNTIF(DC$2:DC$33,'Your Team'!$D$14)&gt;0),'Your Team'!$C$14="D" ),1,0)+IF( AND((COUNTIF(DC$2:DC$33,'Your Team'!$D$15)&gt;0),'Your Team'!$C$15="D" ),1,0)+IF( AND((COUNTIF(DC$2:DC$33,'Your Team'!$D$16)&gt;0),'Your Team'!$C$16="D" ),1,0)+IF( AND((COUNTIF(DC$2:DC$33,'Your Team'!$D$17)&gt;0),'Your Team'!$C$17="D" ),1,0)+IF( AND((COUNTIF(DC$2:DC$33,'Your Team'!$D$18)&gt;0),'Your Team'!$C$18="D" ),1,0)+IF( AND((COUNTIF(DC$2:DC$33,'Your Team'!$D$19)&gt;0),'Your Team'!$C$19="D" ),1,0)</f>
        <v>0</v>
      </c>
      <c r="DD39" s="9">
        <f>IF( AND((COUNTIF(DD$2:DD$33,'Your Team'!$D$3)&gt;0),'Your Team'!$C$3="D" ),1,0)+IF( AND((COUNTIF(DD$2:DD$33,'Your Team'!$D$4)&gt;0),'Your Team'!$C$4="D" ),1,0)+IF( AND((COUNTIF(DD$2:DD$33,'Your Team'!$D$5)&gt;0),'Your Team'!$C$5="D" ),1,0)+IF( AND((COUNTIF(DD$2:DD$33,'Your Team'!$D$6)&gt;0),'Your Team'!$C$6="D" ),1,0)+IF( AND((COUNTIF(DD$2:DD$33,'Your Team'!$D$7)&gt;0),'Your Team'!$C$7="D" ),1,0)+IF( AND((COUNTIF(DD$2:DD$33,'Your Team'!$D$8)&gt;0),'Your Team'!$C$8="D" ),1,0)+IF( AND((COUNTIF(DD$2:DD$33,'Your Team'!$D$9)&gt;0),'Your Team'!$C$9="D" ),1,0)+IF( AND((COUNTIF(DD$2:DD$33,'Your Team'!$D$10)&gt;0),'Your Team'!$C$10="D" ),1,0)+IF( AND((COUNTIF(DD$2:DD$33,'Your Team'!$D$11)&gt;0),'Your Team'!$C$11="D" ),1,0)+IF( AND((COUNTIF(DD$2:DD$33,'Your Team'!$D$12)&gt;0),'Your Team'!$C$12="D" ),1,0)+IF( AND((COUNTIF(DD$2:DD$33,'Your Team'!$D$13)&gt;0),'Your Team'!$C$13="D" ),1,0)+IF( AND((COUNTIF(DD$2:DD$33,'Your Team'!$D$14)&gt;0),'Your Team'!$C$14="D" ),1,0)+IF( AND((COUNTIF(DD$2:DD$33,'Your Team'!$D$15)&gt;0),'Your Team'!$C$15="D" ),1,0)+IF( AND((COUNTIF(DD$2:DD$33,'Your Team'!$D$16)&gt;0),'Your Team'!$C$16="D" ),1,0)+IF( AND((COUNTIF(DD$2:DD$33,'Your Team'!$D$17)&gt;0),'Your Team'!$C$17="D" ),1,0)+IF( AND((COUNTIF(DD$2:DD$33,'Your Team'!$D$18)&gt;0),'Your Team'!$C$18="D" ),1,0)+IF( AND((COUNTIF(DD$2:DD$33,'Your Team'!$D$19)&gt;0),'Your Team'!$C$19="D" ),1,0)</f>
        <v>0</v>
      </c>
      <c r="DE39" s="9">
        <f>IF( AND((COUNTIF(DE$2:DE$33,'Your Team'!$D$3)&gt;0),'Your Team'!$C$3="D" ),1,0)+IF( AND((COUNTIF(DE$2:DE$33,'Your Team'!$D$4)&gt;0),'Your Team'!$C$4="D" ),1,0)+IF( AND((COUNTIF(DE$2:DE$33,'Your Team'!$D$5)&gt;0),'Your Team'!$C$5="D" ),1,0)+IF( AND((COUNTIF(DE$2:DE$33,'Your Team'!$D$6)&gt;0),'Your Team'!$C$6="D" ),1,0)+IF( AND((COUNTIF(DE$2:DE$33,'Your Team'!$D$7)&gt;0),'Your Team'!$C$7="D" ),1,0)+IF( AND((COUNTIF(DE$2:DE$33,'Your Team'!$D$8)&gt;0),'Your Team'!$C$8="D" ),1,0)+IF( AND((COUNTIF(DE$2:DE$33,'Your Team'!$D$9)&gt;0),'Your Team'!$C$9="D" ),1,0)+IF( AND((COUNTIF(DE$2:DE$33,'Your Team'!$D$10)&gt;0),'Your Team'!$C$10="D" ),1,0)+IF( AND((COUNTIF(DE$2:DE$33,'Your Team'!$D$11)&gt;0),'Your Team'!$C$11="D" ),1,0)+IF( AND((COUNTIF(DE$2:DE$33,'Your Team'!$D$12)&gt;0),'Your Team'!$C$12="D" ),1,0)+IF( AND((COUNTIF(DE$2:DE$33,'Your Team'!$D$13)&gt;0),'Your Team'!$C$13="D" ),1,0)+IF( AND((COUNTIF(DE$2:DE$33,'Your Team'!$D$14)&gt;0),'Your Team'!$C$14="D" ),1,0)+IF( AND((COUNTIF(DE$2:DE$33,'Your Team'!$D$15)&gt;0),'Your Team'!$C$15="D" ),1,0)+IF( AND((COUNTIF(DE$2:DE$33,'Your Team'!$D$16)&gt;0),'Your Team'!$C$16="D" ),1,0)+IF( AND((COUNTIF(DE$2:DE$33,'Your Team'!$D$17)&gt;0),'Your Team'!$C$17="D" ),1,0)+IF( AND((COUNTIF(DE$2:DE$33,'Your Team'!$D$18)&gt;0),'Your Team'!$C$18="D" ),1,0)+IF( AND((COUNTIF(DE$2:DE$33,'Your Team'!$D$19)&gt;0),'Your Team'!$C$19="D" ),1,0)</f>
        <v>0</v>
      </c>
      <c r="DF39" s="9">
        <f>IF( AND((COUNTIF(DF$2:DF$33,'Your Team'!$D$3)&gt;0),'Your Team'!$C$3="D" ),1,0)+IF( AND((COUNTIF(DF$2:DF$33,'Your Team'!$D$4)&gt;0),'Your Team'!$C$4="D" ),1,0)+IF( AND((COUNTIF(DF$2:DF$33,'Your Team'!$D$5)&gt;0),'Your Team'!$C$5="D" ),1,0)+IF( AND((COUNTIF(DF$2:DF$33,'Your Team'!$D$6)&gt;0),'Your Team'!$C$6="D" ),1,0)+IF( AND((COUNTIF(DF$2:DF$33,'Your Team'!$D$7)&gt;0),'Your Team'!$C$7="D" ),1,0)+IF( AND((COUNTIF(DF$2:DF$33,'Your Team'!$D$8)&gt;0),'Your Team'!$C$8="D" ),1,0)+IF( AND((COUNTIF(DF$2:DF$33,'Your Team'!$D$9)&gt;0),'Your Team'!$C$9="D" ),1,0)+IF( AND((COUNTIF(DF$2:DF$33,'Your Team'!$D$10)&gt;0),'Your Team'!$C$10="D" ),1,0)+IF( AND((COUNTIF(DF$2:DF$33,'Your Team'!$D$11)&gt;0),'Your Team'!$C$11="D" ),1,0)+IF( AND((COUNTIF(DF$2:DF$33,'Your Team'!$D$12)&gt;0),'Your Team'!$C$12="D" ),1,0)+IF( AND((COUNTIF(DF$2:DF$33,'Your Team'!$D$13)&gt;0),'Your Team'!$C$13="D" ),1,0)+IF( AND((COUNTIF(DF$2:DF$33,'Your Team'!$D$14)&gt;0),'Your Team'!$C$14="D" ),1,0)+IF( AND((COUNTIF(DF$2:DF$33,'Your Team'!$D$15)&gt;0),'Your Team'!$C$15="D" ),1,0)+IF( AND((COUNTIF(DF$2:DF$33,'Your Team'!$D$16)&gt;0),'Your Team'!$C$16="D" ),1,0)+IF( AND((COUNTIF(DF$2:DF$33,'Your Team'!$D$17)&gt;0),'Your Team'!$C$17="D" ),1,0)+IF( AND((COUNTIF(DF$2:DF$33,'Your Team'!$D$18)&gt;0),'Your Team'!$C$18="D" ),1,0)+IF( AND((COUNTIF(DF$2:DF$33,'Your Team'!$D$19)&gt;0),'Your Team'!$C$19="D" ),1,0)</f>
        <v>0</v>
      </c>
      <c r="DG39" s="9">
        <f>IF( AND((COUNTIF(DG$2:DG$33,'Your Team'!$D$3)&gt;0),'Your Team'!$C$3="D" ),1,0)+IF( AND((COUNTIF(DG$2:DG$33,'Your Team'!$D$4)&gt;0),'Your Team'!$C$4="D" ),1,0)+IF( AND((COUNTIF(DG$2:DG$33,'Your Team'!$D$5)&gt;0),'Your Team'!$C$5="D" ),1,0)+IF( AND((COUNTIF(DG$2:DG$33,'Your Team'!$D$6)&gt;0),'Your Team'!$C$6="D" ),1,0)+IF( AND((COUNTIF(DG$2:DG$33,'Your Team'!$D$7)&gt;0),'Your Team'!$C$7="D" ),1,0)+IF( AND((COUNTIF(DG$2:DG$33,'Your Team'!$D$8)&gt;0),'Your Team'!$C$8="D" ),1,0)+IF( AND((COUNTIF(DG$2:DG$33,'Your Team'!$D$9)&gt;0),'Your Team'!$C$9="D" ),1,0)+IF( AND((COUNTIF(DG$2:DG$33,'Your Team'!$D$10)&gt;0),'Your Team'!$C$10="D" ),1,0)+IF( AND((COUNTIF(DG$2:DG$33,'Your Team'!$D$11)&gt;0),'Your Team'!$C$11="D" ),1,0)+IF( AND((COUNTIF(DG$2:DG$33,'Your Team'!$D$12)&gt;0),'Your Team'!$C$12="D" ),1,0)+IF( AND((COUNTIF(DG$2:DG$33,'Your Team'!$D$13)&gt;0),'Your Team'!$C$13="D" ),1,0)+IF( AND((COUNTIF(DG$2:DG$33,'Your Team'!$D$14)&gt;0),'Your Team'!$C$14="D" ),1,0)+IF( AND((COUNTIF(DG$2:DG$33,'Your Team'!$D$15)&gt;0),'Your Team'!$C$15="D" ),1,0)+IF( AND((COUNTIF(DG$2:DG$33,'Your Team'!$D$16)&gt;0),'Your Team'!$C$16="D" ),1,0)+IF( AND((COUNTIF(DG$2:DG$33,'Your Team'!$D$17)&gt;0),'Your Team'!$C$17="D" ),1,0)+IF( AND((COUNTIF(DG$2:DG$33,'Your Team'!$D$18)&gt;0),'Your Team'!$C$18="D" ),1,0)+IF( AND((COUNTIF(DG$2:DG$33,'Your Team'!$D$19)&gt;0),'Your Team'!$C$19="D" ),1,0)</f>
        <v>0</v>
      </c>
      <c r="DH39" s="9">
        <f>IF( AND((COUNTIF(DH$2:DH$33,'Your Team'!$D$3)&gt;0),'Your Team'!$C$3="D" ),1,0)+IF( AND((COUNTIF(DH$2:DH$33,'Your Team'!$D$4)&gt;0),'Your Team'!$C$4="D" ),1,0)+IF( AND((COUNTIF(DH$2:DH$33,'Your Team'!$D$5)&gt;0),'Your Team'!$C$5="D" ),1,0)+IF( AND((COUNTIF(DH$2:DH$33,'Your Team'!$D$6)&gt;0),'Your Team'!$C$6="D" ),1,0)+IF( AND((COUNTIF(DH$2:DH$33,'Your Team'!$D$7)&gt;0),'Your Team'!$C$7="D" ),1,0)+IF( AND((COUNTIF(DH$2:DH$33,'Your Team'!$D$8)&gt;0),'Your Team'!$C$8="D" ),1,0)+IF( AND((COUNTIF(DH$2:DH$33,'Your Team'!$D$9)&gt;0),'Your Team'!$C$9="D" ),1,0)+IF( AND((COUNTIF(DH$2:DH$33,'Your Team'!$D$10)&gt;0),'Your Team'!$C$10="D" ),1,0)+IF( AND((COUNTIF(DH$2:DH$33,'Your Team'!$D$11)&gt;0),'Your Team'!$C$11="D" ),1,0)+IF( AND((COUNTIF(DH$2:DH$33,'Your Team'!$D$12)&gt;0),'Your Team'!$C$12="D" ),1,0)+IF( AND((COUNTIF(DH$2:DH$33,'Your Team'!$D$13)&gt;0),'Your Team'!$C$13="D" ),1,0)+IF( AND((COUNTIF(DH$2:DH$33,'Your Team'!$D$14)&gt;0),'Your Team'!$C$14="D" ),1,0)+IF( AND((COUNTIF(DH$2:DH$33,'Your Team'!$D$15)&gt;0),'Your Team'!$C$15="D" ),1,0)+IF( AND((COUNTIF(DH$2:DH$33,'Your Team'!$D$16)&gt;0),'Your Team'!$C$16="D" ),1,0)+IF( AND((COUNTIF(DH$2:DH$33,'Your Team'!$D$17)&gt;0),'Your Team'!$C$17="D" ),1,0)+IF( AND((COUNTIF(DH$2:DH$33,'Your Team'!$D$18)&gt;0),'Your Team'!$C$18="D" ),1,0)+IF( AND((COUNTIF(DH$2:DH$33,'Your Team'!$D$19)&gt;0),'Your Team'!$C$19="D" ),1,0)</f>
        <v>0</v>
      </c>
      <c r="DI39" s="9">
        <f>IF( AND((COUNTIF(DI$2:DI$33,'Your Team'!$D$3)&gt;0),'Your Team'!$C$3="D" ),1,0)+IF( AND((COUNTIF(DI$2:DI$33,'Your Team'!$D$4)&gt;0),'Your Team'!$C$4="D" ),1,0)+IF( AND((COUNTIF(DI$2:DI$33,'Your Team'!$D$5)&gt;0),'Your Team'!$C$5="D" ),1,0)+IF( AND((COUNTIF(DI$2:DI$33,'Your Team'!$D$6)&gt;0),'Your Team'!$C$6="D" ),1,0)+IF( AND((COUNTIF(DI$2:DI$33,'Your Team'!$D$7)&gt;0),'Your Team'!$C$7="D" ),1,0)+IF( AND((COUNTIF(DI$2:DI$33,'Your Team'!$D$8)&gt;0),'Your Team'!$C$8="D" ),1,0)+IF( AND((COUNTIF(DI$2:DI$33,'Your Team'!$D$9)&gt;0),'Your Team'!$C$9="D" ),1,0)+IF( AND((COUNTIF(DI$2:DI$33,'Your Team'!$D$10)&gt;0),'Your Team'!$C$10="D" ),1,0)+IF( AND((COUNTIF(DI$2:DI$33,'Your Team'!$D$11)&gt;0),'Your Team'!$C$11="D" ),1,0)+IF( AND((COUNTIF(DI$2:DI$33,'Your Team'!$D$12)&gt;0),'Your Team'!$C$12="D" ),1,0)+IF( AND((COUNTIF(DI$2:DI$33,'Your Team'!$D$13)&gt;0),'Your Team'!$C$13="D" ),1,0)+IF( AND((COUNTIF(DI$2:DI$33,'Your Team'!$D$14)&gt;0),'Your Team'!$C$14="D" ),1,0)+IF( AND((COUNTIF(DI$2:DI$33,'Your Team'!$D$15)&gt;0),'Your Team'!$C$15="D" ),1,0)+IF( AND((COUNTIF(DI$2:DI$33,'Your Team'!$D$16)&gt;0),'Your Team'!$C$16="D" ),1,0)+IF( AND((COUNTIF(DI$2:DI$33,'Your Team'!$D$17)&gt;0),'Your Team'!$C$17="D" ),1,0)+IF( AND((COUNTIF(DI$2:DI$33,'Your Team'!$D$18)&gt;0),'Your Team'!$C$18="D" ),1,0)+IF( AND((COUNTIF(DI$2:DI$33,'Your Team'!$D$19)&gt;0),'Your Team'!$C$19="D" ),1,0)</f>
        <v>0</v>
      </c>
      <c r="DJ39" s="9">
        <f>IF( AND((COUNTIF(DJ$2:DJ$33,'Your Team'!$D$3)&gt;0),'Your Team'!$C$3="D" ),1,0)+IF( AND((COUNTIF(DJ$2:DJ$33,'Your Team'!$D$4)&gt;0),'Your Team'!$C$4="D" ),1,0)+IF( AND((COUNTIF(DJ$2:DJ$33,'Your Team'!$D$5)&gt;0),'Your Team'!$C$5="D" ),1,0)+IF( AND((COUNTIF(DJ$2:DJ$33,'Your Team'!$D$6)&gt;0),'Your Team'!$C$6="D" ),1,0)+IF( AND((COUNTIF(DJ$2:DJ$33,'Your Team'!$D$7)&gt;0),'Your Team'!$C$7="D" ),1,0)+IF( AND((COUNTIF(DJ$2:DJ$33,'Your Team'!$D$8)&gt;0),'Your Team'!$C$8="D" ),1,0)+IF( AND((COUNTIF(DJ$2:DJ$33,'Your Team'!$D$9)&gt;0),'Your Team'!$C$9="D" ),1,0)+IF( AND((COUNTIF(DJ$2:DJ$33,'Your Team'!$D$10)&gt;0),'Your Team'!$C$10="D" ),1,0)+IF( AND((COUNTIF(DJ$2:DJ$33,'Your Team'!$D$11)&gt;0),'Your Team'!$C$11="D" ),1,0)+IF( AND((COUNTIF(DJ$2:DJ$33,'Your Team'!$D$12)&gt;0),'Your Team'!$C$12="D" ),1,0)+IF( AND((COUNTIF(DJ$2:DJ$33,'Your Team'!$D$13)&gt;0),'Your Team'!$C$13="D" ),1,0)+IF( AND((COUNTIF(DJ$2:DJ$33,'Your Team'!$D$14)&gt;0),'Your Team'!$C$14="D" ),1,0)+IF( AND((COUNTIF(DJ$2:DJ$33,'Your Team'!$D$15)&gt;0),'Your Team'!$C$15="D" ),1,0)+IF( AND((COUNTIF(DJ$2:DJ$33,'Your Team'!$D$16)&gt;0),'Your Team'!$C$16="D" ),1,0)+IF( AND((COUNTIF(DJ$2:DJ$33,'Your Team'!$D$17)&gt;0),'Your Team'!$C$17="D" ),1,0)+IF( AND((COUNTIF(DJ$2:DJ$33,'Your Team'!$D$18)&gt;0),'Your Team'!$C$18="D" ),1,0)+IF( AND((COUNTIF(DJ$2:DJ$33,'Your Team'!$D$19)&gt;0),'Your Team'!$C$19="D" ),1,0)</f>
        <v>0</v>
      </c>
      <c r="DK39" s="9">
        <f>IF( AND((COUNTIF(DK$2:DK$33,'Your Team'!$D$3)&gt;0),'Your Team'!$C$3="D" ),1,0)+IF( AND((COUNTIF(DK$2:DK$33,'Your Team'!$D$4)&gt;0),'Your Team'!$C$4="D" ),1,0)+IF( AND((COUNTIF(DK$2:DK$33,'Your Team'!$D$5)&gt;0),'Your Team'!$C$5="D" ),1,0)+IF( AND((COUNTIF(DK$2:DK$33,'Your Team'!$D$6)&gt;0),'Your Team'!$C$6="D" ),1,0)+IF( AND((COUNTIF(DK$2:DK$33,'Your Team'!$D$7)&gt;0),'Your Team'!$C$7="D" ),1,0)+IF( AND((COUNTIF(DK$2:DK$33,'Your Team'!$D$8)&gt;0),'Your Team'!$C$8="D" ),1,0)+IF( AND((COUNTIF(DK$2:DK$33,'Your Team'!$D$9)&gt;0),'Your Team'!$C$9="D" ),1,0)+IF( AND((COUNTIF(DK$2:DK$33,'Your Team'!$D$10)&gt;0),'Your Team'!$C$10="D" ),1,0)+IF( AND((COUNTIF(DK$2:DK$33,'Your Team'!$D$11)&gt;0),'Your Team'!$C$11="D" ),1,0)+IF( AND((COUNTIF(DK$2:DK$33,'Your Team'!$D$12)&gt;0),'Your Team'!$C$12="D" ),1,0)+IF( AND((COUNTIF(DK$2:DK$33,'Your Team'!$D$13)&gt;0),'Your Team'!$C$13="D" ),1,0)+IF( AND((COUNTIF(DK$2:DK$33,'Your Team'!$D$14)&gt;0),'Your Team'!$C$14="D" ),1,0)+IF( AND((COUNTIF(DK$2:DK$33,'Your Team'!$D$15)&gt;0),'Your Team'!$C$15="D" ),1,0)+IF( AND((COUNTIF(DK$2:DK$33,'Your Team'!$D$16)&gt;0),'Your Team'!$C$16="D" ),1,0)+IF( AND((COUNTIF(DK$2:DK$33,'Your Team'!$D$17)&gt;0),'Your Team'!$C$17="D" ),1,0)+IF( AND((COUNTIF(DK$2:DK$33,'Your Team'!$D$18)&gt;0),'Your Team'!$C$18="D" ),1,0)+IF( AND((COUNTIF(DK$2:DK$33,'Your Team'!$D$19)&gt;0),'Your Team'!$C$19="D" ),1,0)</f>
        <v>0</v>
      </c>
      <c r="DL39" s="9">
        <f>IF( AND((COUNTIF(DL$2:DL$33,'Your Team'!$D$3)&gt;0),'Your Team'!$C$3="D" ),1,0)+IF( AND((COUNTIF(DL$2:DL$33,'Your Team'!$D$4)&gt;0),'Your Team'!$C$4="D" ),1,0)+IF( AND((COUNTIF(DL$2:DL$33,'Your Team'!$D$5)&gt;0),'Your Team'!$C$5="D" ),1,0)+IF( AND((COUNTIF(DL$2:DL$33,'Your Team'!$D$6)&gt;0),'Your Team'!$C$6="D" ),1,0)+IF( AND((COUNTIF(DL$2:DL$33,'Your Team'!$D$7)&gt;0),'Your Team'!$C$7="D" ),1,0)+IF( AND((COUNTIF(DL$2:DL$33,'Your Team'!$D$8)&gt;0),'Your Team'!$C$8="D" ),1,0)+IF( AND((COUNTIF(DL$2:DL$33,'Your Team'!$D$9)&gt;0),'Your Team'!$C$9="D" ),1,0)+IF( AND((COUNTIF(DL$2:DL$33,'Your Team'!$D$10)&gt;0),'Your Team'!$C$10="D" ),1,0)+IF( AND((COUNTIF(DL$2:DL$33,'Your Team'!$D$11)&gt;0),'Your Team'!$C$11="D" ),1,0)+IF( AND((COUNTIF(DL$2:DL$33,'Your Team'!$D$12)&gt;0),'Your Team'!$C$12="D" ),1,0)+IF( AND((COUNTIF(DL$2:DL$33,'Your Team'!$D$13)&gt;0),'Your Team'!$C$13="D" ),1,0)+IF( AND((COUNTIF(DL$2:DL$33,'Your Team'!$D$14)&gt;0),'Your Team'!$C$14="D" ),1,0)+IF( AND((COUNTIF(DL$2:DL$33,'Your Team'!$D$15)&gt;0),'Your Team'!$C$15="D" ),1,0)+IF( AND((COUNTIF(DL$2:DL$33,'Your Team'!$D$16)&gt;0),'Your Team'!$C$16="D" ),1,0)+IF( AND((COUNTIF(DL$2:DL$33,'Your Team'!$D$17)&gt;0),'Your Team'!$C$17="D" ),1,0)+IF( AND((COUNTIF(DL$2:DL$33,'Your Team'!$D$18)&gt;0),'Your Team'!$C$18="D" ),1,0)+IF( AND((COUNTIF(DL$2:DL$33,'Your Team'!$D$19)&gt;0),'Your Team'!$C$19="D" ),1,0)</f>
        <v>0</v>
      </c>
      <c r="DM39" s="9">
        <f>IF( AND((COUNTIF(DM$2:DM$33,'Your Team'!$D$3)&gt;0),'Your Team'!$C$3="D" ),1,0)+IF( AND((COUNTIF(DM$2:DM$33,'Your Team'!$D$4)&gt;0),'Your Team'!$C$4="D" ),1,0)+IF( AND((COUNTIF(DM$2:DM$33,'Your Team'!$D$5)&gt;0),'Your Team'!$C$5="D" ),1,0)+IF( AND((COUNTIF(DM$2:DM$33,'Your Team'!$D$6)&gt;0),'Your Team'!$C$6="D" ),1,0)+IF( AND((COUNTIF(DM$2:DM$33,'Your Team'!$D$7)&gt;0),'Your Team'!$C$7="D" ),1,0)+IF( AND((COUNTIF(DM$2:DM$33,'Your Team'!$D$8)&gt;0),'Your Team'!$C$8="D" ),1,0)+IF( AND((COUNTIF(DM$2:DM$33,'Your Team'!$D$9)&gt;0),'Your Team'!$C$9="D" ),1,0)+IF( AND((COUNTIF(DM$2:DM$33,'Your Team'!$D$10)&gt;0),'Your Team'!$C$10="D" ),1,0)+IF( AND((COUNTIF(DM$2:DM$33,'Your Team'!$D$11)&gt;0),'Your Team'!$C$11="D" ),1,0)+IF( AND((COUNTIF(DM$2:DM$33,'Your Team'!$D$12)&gt;0),'Your Team'!$C$12="D" ),1,0)+IF( AND((COUNTIF(DM$2:DM$33,'Your Team'!$D$13)&gt;0),'Your Team'!$C$13="D" ),1,0)+IF( AND((COUNTIF(DM$2:DM$33,'Your Team'!$D$14)&gt;0),'Your Team'!$C$14="D" ),1,0)+IF( AND((COUNTIF(DM$2:DM$33,'Your Team'!$D$15)&gt;0),'Your Team'!$C$15="D" ),1,0)+IF( AND((COUNTIF(DM$2:DM$33,'Your Team'!$D$16)&gt;0),'Your Team'!$C$16="D" ),1,0)+IF( AND((COUNTIF(DM$2:DM$33,'Your Team'!$D$17)&gt;0),'Your Team'!$C$17="D" ),1,0)+IF( AND((COUNTIF(DM$2:DM$33,'Your Team'!$D$18)&gt;0),'Your Team'!$C$18="D" ),1,0)+IF( AND((COUNTIF(DM$2:DM$33,'Your Team'!$D$19)&gt;0),'Your Team'!$C$19="D" ),1,0)</f>
        <v>0</v>
      </c>
      <c r="DN39" s="9">
        <f>IF( AND((COUNTIF(DN$2:DN$33,'Your Team'!$D$3)&gt;0),'Your Team'!$C$3="D" ),1,0)+IF( AND((COUNTIF(DN$2:DN$33,'Your Team'!$D$4)&gt;0),'Your Team'!$C$4="D" ),1,0)+IF( AND((COUNTIF(DN$2:DN$33,'Your Team'!$D$5)&gt;0),'Your Team'!$C$5="D" ),1,0)+IF( AND((COUNTIF(DN$2:DN$33,'Your Team'!$D$6)&gt;0),'Your Team'!$C$6="D" ),1,0)+IF( AND((COUNTIF(DN$2:DN$33,'Your Team'!$D$7)&gt;0),'Your Team'!$C$7="D" ),1,0)+IF( AND((COUNTIF(DN$2:DN$33,'Your Team'!$D$8)&gt;0),'Your Team'!$C$8="D" ),1,0)+IF( AND((COUNTIF(DN$2:DN$33,'Your Team'!$D$9)&gt;0),'Your Team'!$C$9="D" ),1,0)+IF( AND((COUNTIF(DN$2:DN$33,'Your Team'!$D$10)&gt;0),'Your Team'!$C$10="D" ),1,0)+IF( AND((COUNTIF(DN$2:DN$33,'Your Team'!$D$11)&gt;0),'Your Team'!$C$11="D" ),1,0)+IF( AND((COUNTIF(DN$2:DN$33,'Your Team'!$D$12)&gt;0),'Your Team'!$C$12="D" ),1,0)+IF( AND((COUNTIF(DN$2:DN$33,'Your Team'!$D$13)&gt;0),'Your Team'!$C$13="D" ),1,0)+IF( AND((COUNTIF(DN$2:DN$33,'Your Team'!$D$14)&gt;0),'Your Team'!$C$14="D" ),1,0)+IF( AND((COUNTIF(DN$2:DN$33,'Your Team'!$D$15)&gt;0),'Your Team'!$C$15="D" ),1,0)+IF( AND((COUNTIF(DN$2:DN$33,'Your Team'!$D$16)&gt;0),'Your Team'!$C$16="D" ),1,0)+IF( AND((COUNTIF(DN$2:DN$33,'Your Team'!$D$17)&gt;0),'Your Team'!$C$17="D" ),1,0)+IF( AND((COUNTIF(DN$2:DN$33,'Your Team'!$D$18)&gt;0),'Your Team'!$C$18="D" ),1,0)+IF( AND((COUNTIF(DN$2:DN$33,'Your Team'!$D$19)&gt;0),'Your Team'!$C$19="D" ),1,0)</f>
        <v>0</v>
      </c>
      <c r="DO39" s="9">
        <f>IF( AND((COUNTIF(DO$2:DO$33,'Your Team'!$D$3)&gt;0),'Your Team'!$C$3="D" ),1,0)+IF( AND((COUNTIF(DO$2:DO$33,'Your Team'!$D$4)&gt;0),'Your Team'!$C$4="D" ),1,0)+IF( AND((COUNTIF(DO$2:DO$33,'Your Team'!$D$5)&gt;0),'Your Team'!$C$5="D" ),1,0)+IF( AND((COUNTIF(DO$2:DO$33,'Your Team'!$D$6)&gt;0),'Your Team'!$C$6="D" ),1,0)+IF( AND((COUNTIF(DO$2:DO$33,'Your Team'!$D$7)&gt;0),'Your Team'!$C$7="D" ),1,0)+IF( AND((COUNTIF(DO$2:DO$33,'Your Team'!$D$8)&gt;0),'Your Team'!$C$8="D" ),1,0)+IF( AND((COUNTIF(DO$2:DO$33,'Your Team'!$D$9)&gt;0),'Your Team'!$C$9="D" ),1,0)+IF( AND((COUNTIF(DO$2:DO$33,'Your Team'!$D$10)&gt;0),'Your Team'!$C$10="D" ),1,0)+IF( AND((COUNTIF(DO$2:DO$33,'Your Team'!$D$11)&gt;0),'Your Team'!$C$11="D" ),1,0)+IF( AND((COUNTIF(DO$2:DO$33,'Your Team'!$D$12)&gt;0),'Your Team'!$C$12="D" ),1,0)+IF( AND((COUNTIF(DO$2:DO$33,'Your Team'!$D$13)&gt;0),'Your Team'!$C$13="D" ),1,0)+IF( AND((COUNTIF(DO$2:DO$33,'Your Team'!$D$14)&gt;0),'Your Team'!$C$14="D" ),1,0)+IF( AND((COUNTIF(DO$2:DO$33,'Your Team'!$D$15)&gt;0),'Your Team'!$C$15="D" ),1,0)+IF( AND((COUNTIF(DO$2:DO$33,'Your Team'!$D$16)&gt;0),'Your Team'!$C$16="D" ),1,0)+IF( AND((COUNTIF(DO$2:DO$33,'Your Team'!$D$17)&gt;0),'Your Team'!$C$17="D" ),1,0)+IF( AND((COUNTIF(DO$2:DO$33,'Your Team'!$D$18)&gt;0),'Your Team'!$C$18="D" ),1,0)+IF( AND((COUNTIF(DO$2:DO$33,'Your Team'!$D$19)&gt;0),'Your Team'!$C$19="D" ),1,0)</f>
        <v>0</v>
      </c>
      <c r="DP39" s="9">
        <f>IF( AND((COUNTIF(DP$2:DP$33,'Your Team'!$D$3)&gt;0),'Your Team'!$C$3="D" ),1,0)+IF( AND((COUNTIF(DP$2:DP$33,'Your Team'!$D$4)&gt;0),'Your Team'!$C$4="D" ),1,0)+IF( AND((COUNTIF(DP$2:DP$33,'Your Team'!$D$5)&gt;0),'Your Team'!$C$5="D" ),1,0)+IF( AND((COUNTIF(DP$2:DP$33,'Your Team'!$D$6)&gt;0),'Your Team'!$C$6="D" ),1,0)+IF( AND((COUNTIF(DP$2:DP$33,'Your Team'!$D$7)&gt;0),'Your Team'!$C$7="D" ),1,0)+IF( AND((COUNTIF(DP$2:DP$33,'Your Team'!$D$8)&gt;0),'Your Team'!$C$8="D" ),1,0)+IF( AND((COUNTIF(DP$2:DP$33,'Your Team'!$D$9)&gt;0),'Your Team'!$C$9="D" ),1,0)+IF( AND((COUNTIF(DP$2:DP$33,'Your Team'!$D$10)&gt;0),'Your Team'!$C$10="D" ),1,0)+IF( AND((COUNTIF(DP$2:DP$33,'Your Team'!$D$11)&gt;0),'Your Team'!$C$11="D" ),1,0)+IF( AND((COUNTIF(DP$2:DP$33,'Your Team'!$D$12)&gt;0),'Your Team'!$C$12="D" ),1,0)+IF( AND((COUNTIF(DP$2:DP$33,'Your Team'!$D$13)&gt;0),'Your Team'!$C$13="D" ),1,0)+IF( AND((COUNTIF(DP$2:DP$33,'Your Team'!$D$14)&gt;0),'Your Team'!$C$14="D" ),1,0)+IF( AND((COUNTIF(DP$2:DP$33,'Your Team'!$D$15)&gt;0),'Your Team'!$C$15="D" ),1,0)+IF( AND((COUNTIF(DP$2:DP$33,'Your Team'!$D$16)&gt;0),'Your Team'!$C$16="D" ),1,0)+IF( AND((COUNTIF(DP$2:DP$33,'Your Team'!$D$17)&gt;0),'Your Team'!$C$17="D" ),1,0)+IF( AND((COUNTIF(DP$2:DP$33,'Your Team'!$D$18)&gt;0),'Your Team'!$C$18="D" ),1,0)+IF( AND((COUNTIF(DP$2:DP$33,'Your Team'!$D$19)&gt;0),'Your Team'!$C$19="D" ),1,0)</f>
        <v>0</v>
      </c>
      <c r="DQ39" s="9">
        <f>IF( AND((COUNTIF(DQ$2:DQ$33,'Your Team'!$D$3)&gt;0),'Your Team'!$C$3="D" ),1,0)+IF( AND((COUNTIF(DQ$2:DQ$33,'Your Team'!$D$4)&gt;0),'Your Team'!$C$4="D" ),1,0)+IF( AND((COUNTIF(DQ$2:DQ$33,'Your Team'!$D$5)&gt;0),'Your Team'!$C$5="D" ),1,0)+IF( AND((COUNTIF(DQ$2:DQ$33,'Your Team'!$D$6)&gt;0),'Your Team'!$C$6="D" ),1,0)+IF( AND((COUNTIF(DQ$2:DQ$33,'Your Team'!$D$7)&gt;0),'Your Team'!$C$7="D" ),1,0)+IF( AND((COUNTIF(DQ$2:DQ$33,'Your Team'!$D$8)&gt;0),'Your Team'!$C$8="D" ),1,0)+IF( AND((COUNTIF(DQ$2:DQ$33,'Your Team'!$D$9)&gt;0),'Your Team'!$C$9="D" ),1,0)+IF( AND((COUNTIF(DQ$2:DQ$33,'Your Team'!$D$10)&gt;0),'Your Team'!$C$10="D" ),1,0)+IF( AND((COUNTIF(DQ$2:DQ$33,'Your Team'!$D$11)&gt;0),'Your Team'!$C$11="D" ),1,0)+IF( AND((COUNTIF(DQ$2:DQ$33,'Your Team'!$D$12)&gt;0),'Your Team'!$C$12="D" ),1,0)+IF( AND((COUNTIF(DQ$2:DQ$33,'Your Team'!$D$13)&gt;0),'Your Team'!$C$13="D" ),1,0)+IF( AND((COUNTIF(DQ$2:DQ$33,'Your Team'!$D$14)&gt;0),'Your Team'!$C$14="D" ),1,0)+IF( AND((COUNTIF(DQ$2:DQ$33,'Your Team'!$D$15)&gt;0),'Your Team'!$C$15="D" ),1,0)+IF( AND((COUNTIF(DQ$2:DQ$33,'Your Team'!$D$16)&gt;0),'Your Team'!$C$16="D" ),1,0)+IF( AND((COUNTIF(DQ$2:DQ$33,'Your Team'!$D$17)&gt;0),'Your Team'!$C$17="D" ),1,0)+IF( AND((COUNTIF(DQ$2:DQ$33,'Your Team'!$D$18)&gt;0),'Your Team'!$C$18="D" ),1,0)+IF( AND((COUNTIF(DQ$2:DQ$33,'Your Team'!$D$19)&gt;0),'Your Team'!$C$19="D" ),1,0)</f>
        <v>0</v>
      </c>
      <c r="DR39" s="9">
        <f>IF( AND((COUNTIF(DR$2:DR$33,'Your Team'!$D$3)&gt;0),'Your Team'!$C$3="D" ),1,0)+IF( AND((COUNTIF(DR$2:DR$33,'Your Team'!$D$4)&gt;0),'Your Team'!$C$4="D" ),1,0)+IF( AND((COUNTIF(DR$2:DR$33,'Your Team'!$D$5)&gt;0),'Your Team'!$C$5="D" ),1,0)+IF( AND((COUNTIF(DR$2:DR$33,'Your Team'!$D$6)&gt;0),'Your Team'!$C$6="D" ),1,0)+IF( AND((COUNTIF(DR$2:DR$33,'Your Team'!$D$7)&gt;0),'Your Team'!$C$7="D" ),1,0)+IF( AND((COUNTIF(DR$2:DR$33,'Your Team'!$D$8)&gt;0),'Your Team'!$C$8="D" ),1,0)+IF( AND((COUNTIF(DR$2:DR$33,'Your Team'!$D$9)&gt;0),'Your Team'!$C$9="D" ),1,0)+IF( AND((COUNTIF(DR$2:DR$33,'Your Team'!$D$10)&gt;0),'Your Team'!$C$10="D" ),1,0)+IF( AND((COUNTIF(DR$2:DR$33,'Your Team'!$D$11)&gt;0),'Your Team'!$C$11="D" ),1,0)+IF( AND((COUNTIF(DR$2:DR$33,'Your Team'!$D$12)&gt;0),'Your Team'!$C$12="D" ),1,0)+IF( AND((COUNTIF(DR$2:DR$33,'Your Team'!$D$13)&gt;0),'Your Team'!$C$13="D" ),1,0)+IF( AND((COUNTIF(DR$2:DR$33,'Your Team'!$D$14)&gt;0),'Your Team'!$C$14="D" ),1,0)+IF( AND((COUNTIF(DR$2:DR$33,'Your Team'!$D$15)&gt;0),'Your Team'!$C$15="D" ),1,0)+IF( AND((COUNTIF(DR$2:DR$33,'Your Team'!$D$16)&gt;0),'Your Team'!$C$16="D" ),1,0)+IF( AND((COUNTIF(DR$2:DR$33,'Your Team'!$D$17)&gt;0),'Your Team'!$C$17="D" ),1,0)+IF( AND((COUNTIF(DR$2:DR$33,'Your Team'!$D$18)&gt;0),'Your Team'!$C$18="D" ),1,0)+IF( AND((COUNTIF(DR$2:DR$33,'Your Team'!$D$19)&gt;0),'Your Team'!$C$19="D" ),1,0)</f>
        <v>0</v>
      </c>
      <c r="DS39" s="9">
        <f>IF( AND((COUNTIF(DS$2:DS$33,'Your Team'!$D$3)&gt;0),'Your Team'!$C$3="D" ),1,0)+IF( AND((COUNTIF(DS$2:DS$33,'Your Team'!$D$4)&gt;0),'Your Team'!$C$4="D" ),1,0)+IF( AND((COUNTIF(DS$2:DS$33,'Your Team'!$D$5)&gt;0),'Your Team'!$C$5="D" ),1,0)+IF( AND((COUNTIF(DS$2:DS$33,'Your Team'!$D$6)&gt;0),'Your Team'!$C$6="D" ),1,0)+IF( AND((COUNTIF(DS$2:DS$33,'Your Team'!$D$7)&gt;0),'Your Team'!$C$7="D" ),1,0)+IF( AND((COUNTIF(DS$2:DS$33,'Your Team'!$D$8)&gt;0),'Your Team'!$C$8="D" ),1,0)+IF( AND((COUNTIF(DS$2:DS$33,'Your Team'!$D$9)&gt;0),'Your Team'!$C$9="D" ),1,0)+IF( AND((COUNTIF(DS$2:DS$33,'Your Team'!$D$10)&gt;0),'Your Team'!$C$10="D" ),1,0)+IF( AND((COUNTIF(DS$2:DS$33,'Your Team'!$D$11)&gt;0),'Your Team'!$C$11="D" ),1,0)+IF( AND((COUNTIF(DS$2:DS$33,'Your Team'!$D$12)&gt;0),'Your Team'!$C$12="D" ),1,0)+IF( AND((COUNTIF(DS$2:DS$33,'Your Team'!$D$13)&gt;0),'Your Team'!$C$13="D" ),1,0)+IF( AND((COUNTIF(DS$2:DS$33,'Your Team'!$D$14)&gt;0),'Your Team'!$C$14="D" ),1,0)+IF( AND((COUNTIF(DS$2:DS$33,'Your Team'!$D$15)&gt;0),'Your Team'!$C$15="D" ),1,0)+IF( AND((COUNTIF(DS$2:DS$33,'Your Team'!$D$16)&gt;0),'Your Team'!$C$16="D" ),1,0)+IF( AND((COUNTIF(DS$2:DS$33,'Your Team'!$D$17)&gt;0),'Your Team'!$C$17="D" ),1,0)+IF( AND((COUNTIF(DS$2:DS$33,'Your Team'!$D$18)&gt;0),'Your Team'!$C$18="D" ),1,0)+IF( AND((COUNTIF(DS$2:DS$33,'Your Team'!$D$19)&gt;0),'Your Team'!$C$19="D" ),1,0)</f>
        <v>0</v>
      </c>
      <c r="DT39" s="9">
        <f>IF( AND((COUNTIF(DT$2:DT$33,'Your Team'!$D$3)&gt;0),'Your Team'!$C$3="D" ),1,0)+IF( AND((COUNTIF(DT$2:DT$33,'Your Team'!$D$4)&gt;0),'Your Team'!$C$4="D" ),1,0)+IF( AND((COUNTIF(DT$2:DT$33,'Your Team'!$D$5)&gt;0),'Your Team'!$C$5="D" ),1,0)+IF( AND((COUNTIF(DT$2:DT$33,'Your Team'!$D$6)&gt;0),'Your Team'!$C$6="D" ),1,0)+IF( AND((COUNTIF(DT$2:DT$33,'Your Team'!$D$7)&gt;0),'Your Team'!$C$7="D" ),1,0)+IF( AND((COUNTIF(DT$2:DT$33,'Your Team'!$D$8)&gt;0),'Your Team'!$C$8="D" ),1,0)+IF( AND((COUNTIF(DT$2:DT$33,'Your Team'!$D$9)&gt;0),'Your Team'!$C$9="D" ),1,0)+IF( AND((COUNTIF(DT$2:DT$33,'Your Team'!$D$10)&gt;0),'Your Team'!$C$10="D" ),1,0)+IF( AND((COUNTIF(DT$2:DT$33,'Your Team'!$D$11)&gt;0),'Your Team'!$C$11="D" ),1,0)+IF( AND((COUNTIF(DT$2:DT$33,'Your Team'!$D$12)&gt;0),'Your Team'!$C$12="D" ),1,0)+IF( AND((COUNTIF(DT$2:DT$33,'Your Team'!$D$13)&gt;0),'Your Team'!$C$13="D" ),1,0)+IF( AND((COUNTIF(DT$2:DT$33,'Your Team'!$D$14)&gt;0),'Your Team'!$C$14="D" ),1,0)+IF( AND((COUNTIF(DT$2:DT$33,'Your Team'!$D$15)&gt;0),'Your Team'!$C$15="D" ),1,0)+IF( AND((COUNTIF(DT$2:DT$33,'Your Team'!$D$16)&gt;0),'Your Team'!$C$16="D" ),1,0)+IF( AND((COUNTIF(DT$2:DT$33,'Your Team'!$D$17)&gt;0),'Your Team'!$C$17="D" ),1,0)+IF( AND((COUNTIF(DT$2:DT$33,'Your Team'!$D$18)&gt;0),'Your Team'!$C$18="D" ),1,0)+IF( AND((COUNTIF(DT$2:DT$33,'Your Team'!$D$19)&gt;0),'Your Team'!$C$19="D" ),1,0)</f>
        <v>0</v>
      </c>
      <c r="DU39" s="9">
        <f>IF( AND((COUNTIF(DU$2:DU$33,'Your Team'!$D$3)&gt;0),'Your Team'!$C$3="D" ),1,0)+IF( AND((COUNTIF(DU$2:DU$33,'Your Team'!$D$4)&gt;0),'Your Team'!$C$4="D" ),1,0)+IF( AND((COUNTIF(DU$2:DU$33,'Your Team'!$D$5)&gt;0),'Your Team'!$C$5="D" ),1,0)+IF( AND((COUNTIF(DU$2:DU$33,'Your Team'!$D$6)&gt;0),'Your Team'!$C$6="D" ),1,0)+IF( AND((COUNTIF(DU$2:DU$33,'Your Team'!$D$7)&gt;0),'Your Team'!$C$7="D" ),1,0)+IF( AND((COUNTIF(DU$2:DU$33,'Your Team'!$D$8)&gt;0),'Your Team'!$C$8="D" ),1,0)+IF( AND((COUNTIF(DU$2:DU$33,'Your Team'!$D$9)&gt;0),'Your Team'!$C$9="D" ),1,0)+IF( AND((COUNTIF(DU$2:DU$33,'Your Team'!$D$10)&gt;0),'Your Team'!$C$10="D" ),1,0)+IF( AND((COUNTIF(DU$2:DU$33,'Your Team'!$D$11)&gt;0),'Your Team'!$C$11="D" ),1,0)+IF( AND((COUNTIF(DU$2:DU$33,'Your Team'!$D$12)&gt;0),'Your Team'!$C$12="D" ),1,0)+IF( AND((COUNTIF(DU$2:DU$33,'Your Team'!$D$13)&gt;0),'Your Team'!$C$13="D" ),1,0)+IF( AND((COUNTIF(DU$2:DU$33,'Your Team'!$D$14)&gt;0),'Your Team'!$C$14="D" ),1,0)+IF( AND((COUNTIF(DU$2:DU$33,'Your Team'!$D$15)&gt;0),'Your Team'!$C$15="D" ),1,0)+IF( AND((COUNTIF(DU$2:DU$33,'Your Team'!$D$16)&gt;0),'Your Team'!$C$16="D" ),1,0)+IF( AND((COUNTIF(DU$2:DU$33,'Your Team'!$D$17)&gt;0),'Your Team'!$C$17="D" ),1,0)+IF( AND((COUNTIF(DU$2:DU$33,'Your Team'!$D$18)&gt;0),'Your Team'!$C$18="D" ),1,0)+IF( AND((COUNTIF(DU$2:DU$33,'Your Team'!$D$19)&gt;0),'Your Team'!$C$19="D" ),1,0)</f>
        <v>0</v>
      </c>
      <c r="DV39" s="9">
        <f>IF( AND((COUNTIF(DV$2:DV$33,'Your Team'!$D$3)&gt;0),'Your Team'!$C$3="D" ),1,0)+IF( AND((COUNTIF(DV$2:DV$33,'Your Team'!$D$4)&gt;0),'Your Team'!$C$4="D" ),1,0)+IF( AND((COUNTIF(DV$2:DV$33,'Your Team'!$D$5)&gt;0),'Your Team'!$C$5="D" ),1,0)+IF( AND((COUNTIF(DV$2:DV$33,'Your Team'!$D$6)&gt;0),'Your Team'!$C$6="D" ),1,0)+IF( AND((COUNTIF(DV$2:DV$33,'Your Team'!$D$7)&gt;0),'Your Team'!$C$7="D" ),1,0)+IF( AND((COUNTIF(DV$2:DV$33,'Your Team'!$D$8)&gt;0),'Your Team'!$C$8="D" ),1,0)+IF( AND((COUNTIF(DV$2:DV$33,'Your Team'!$D$9)&gt;0),'Your Team'!$C$9="D" ),1,0)+IF( AND((COUNTIF(DV$2:DV$33,'Your Team'!$D$10)&gt;0),'Your Team'!$C$10="D" ),1,0)+IF( AND((COUNTIF(DV$2:DV$33,'Your Team'!$D$11)&gt;0),'Your Team'!$C$11="D" ),1,0)+IF( AND((COUNTIF(DV$2:DV$33,'Your Team'!$D$12)&gt;0),'Your Team'!$C$12="D" ),1,0)+IF( AND((COUNTIF(DV$2:DV$33,'Your Team'!$D$13)&gt;0),'Your Team'!$C$13="D" ),1,0)+IF( AND((COUNTIF(DV$2:DV$33,'Your Team'!$D$14)&gt;0),'Your Team'!$C$14="D" ),1,0)+IF( AND((COUNTIF(DV$2:DV$33,'Your Team'!$D$15)&gt;0),'Your Team'!$C$15="D" ),1,0)+IF( AND((COUNTIF(DV$2:DV$33,'Your Team'!$D$16)&gt;0),'Your Team'!$C$16="D" ),1,0)+IF( AND((COUNTIF(DV$2:DV$33,'Your Team'!$D$17)&gt;0),'Your Team'!$C$17="D" ),1,0)+IF( AND((COUNTIF(DV$2:DV$33,'Your Team'!$D$18)&gt;0),'Your Team'!$C$18="D" ),1,0)+IF( AND((COUNTIF(DV$2:DV$33,'Your Team'!$D$19)&gt;0),'Your Team'!$C$19="D" ),1,0)</f>
        <v>0</v>
      </c>
      <c r="DW39" s="9">
        <f>IF( AND((COUNTIF(DW$2:DW$33,'Your Team'!$D$3)&gt;0),'Your Team'!$C$3="D" ),1,0)+IF( AND((COUNTIF(DW$2:DW$33,'Your Team'!$D$4)&gt;0),'Your Team'!$C$4="D" ),1,0)+IF( AND((COUNTIF(DW$2:DW$33,'Your Team'!$D$5)&gt;0),'Your Team'!$C$5="D" ),1,0)+IF( AND((COUNTIF(DW$2:DW$33,'Your Team'!$D$6)&gt;0),'Your Team'!$C$6="D" ),1,0)+IF( AND((COUNTIF(DW$2:DW$33,'Your Team'!$D$7)&gt;0),'Your Team'!$C$7="D" ),1,0)+IF( AND((COUNTIF(DW$2:DW$33,'Your Team'!$D$8)&gt;0),'Your Team'!$C$8="D" ),1,0)+IF( AND((COUNTIF(DW$2:DW$33,'Your Team'!$D$9)&gt;0),'Your Team'!$C$9="D" ),1,0)+IF( AND((COUNTIF(DW$2:DW$33,'Your Team'!$D$10)&gt;0),'Your Team'!$C$10="D" ),1,0)+IF( AND((COUNTIF(DW$2:DW$33,'Your Team'!$D$11)&gt;0),'Your Team'!$C$11="D" ),1,0)+IF( AND((COUNTIF(DW$2:DW$33,'Your Team'!$D$12)&gt;0),'Your Team'!$C$12="D" ),1,0)+IF( AND((COUNTIF(DW$2:DW$33,'Your Team'!$D$13)&gt;0),'Your Team'!$C$13="D" ),1,0)+IF( AND((COUNTIF(DW$2:DW$33,'Your Team'!$D$14)&gt;0),'Your Team'!$C$14="D" ),1,0)+IF( AND((COUNTIF(DW$2:DW$33,'Your Team'!$D$15)&gt;0),'Your Team'!$C$15="D" ),1,0)+IF( AND((COUNTIF(DW$2:DW$33,'Your Team'!$D$16)&gt;0),'Your Team'!$C$16="D" ),1,0)+IF( AND((COUNTIF(DW$2:DW$33,'Your Team'!$D$17)&gt;0),'Your Team'!$C$17="D" ),1,0)+IF( AND((COUNTIF(DW$2:DW$33,'Your Team'!$D$18)&gt;0),'Your Team'!$C$18="D" ),1,0)+IF( AND((COUNTIF(DW$2:DW$33,'Your Team'!$D$19)&gt;0),'Your Team'!$C$19="D" ),1,0)</f>
        <v>0</v>
      </c>
      <c r="DX39" s="9">
        <f>IF( AND((COUNTIF(DX$2:DX$33,'Your Team'!$D$3)&gt;0),'Your Team'!$C$3="D" ),1,0)+IF( AND((COUNTIF(DX$2:DX$33,'Your Team'!$D$4)&gt;0),'Your Team'!$C$4="D" ),1,0)+IF( AND((COUNTIF(DX$2:DX$33,'Your Team'!$D$5)&gt;0),'Your Team'!$C$5="D" ),1,0)+IF( AND((COUNTIF(DX$2:DX$33,'Your Team'!$D$6)&gt;0),'Your Team'!$C$6="D" ),1,0)+IF( AND((COUNTIF(DX$2:DX$33,'Your Team'!$D$7)&gt;0),'Your Team'!$C$7="D" ),1,0)+IF( AND((COUNTIF(DX$2:DX$33,'Your Team'!$D$8)&gt;0),'Your Team'!$C$8="D" ),1,0)+IF( AND((COUNTIF(DX$2:DX$33,'Your Team'!$D$9)&gt;0),'Your Team'!$C$9="D" ),1,0)+IF( AND((COUNTIF(DX$2:DX$33,'Your Team'!$D$10)&gt;0),'Your Team'!$C$10="D" ),1,0)+IF( AND((COUNTIF(DX$2:DX$33,'Your Team'!$D$11)&gt;0),'Your Team'!$C$11="D" ),1,0)+IF( AND((COUNTIF(DX$2:DX$33,'Your Team'!$D$12)&gt;0),'Your Team'!$C$12="D" ),1,0)+IF( AND((COUNTIF(DX$2:DX$33,'Your Team'!$D$13)&gt;0),'Your Team'!$C$13="D" ),1,0)+IF( AND((COUNTIF(DX$2:DX$33,'Your Team'!$D$14)&gt;0),'Your Team'!$C$14="D" ),1,0)+IF( AND((COUNTIF(DX$2:DX$33,'Your Team'!$D$15)&gt;0),'Your Team'!$C$15="D" ),1,0)+IF( AND((COUNTIF(DX$2:DX$33,'Your Team'!$D$16)&gt;0),'Your Team'!$C$16="D" ),1,0)+IF( AND((COUNTIF(DX$2:DX$33,'Your Team'!$D$17)&gt;0),'Your Team'!$C$17="D" ),1,0)+IF( AND((COUNTIF(DX$2:DX$33,'Your Team'!$D$18)&gt;0),'Your Team'!$C$18="D" ),1,0)+IF( AND((COUNTIF(DX$2:DX$33,'Your Team'!$D$19)&gt;0),'Your Team'!$C$19="D" ),1,0)</f>
        <v>0</v>
      </c>
      <c r="DY39" s="9">
        <f>IF( AND((COUNTIF(DY$2:DY$33,'Your Team'!$D$3)&gt;0),'Your Team'!$C$3="D" ),1,0)+IF( AND((COUNTIF(DY$2:DY$33,'Your Team'!$D$4)&gt;0),'Your Team'!$C$4="D" ),1,0)+IF( AND((COUNTIF(DY$2:DY$33,'Your Team'!$D$5)&gt;0),'Your Team'!$C$5="D" ),1,0)+IF( AND((COUNTIF(DY$2:DY$33,'Your Team'!$D$6)&gt;0),'Your Team'!$C$6="D" ),1,0)+IF( AND((COUNTIF(DY$2:DY$33,'Your Team'!$D$7)&gt;0),'Your Team'!$C$7="D" ),1,0)+IF( AND((COUNTIF(DY$2:DY$33,'Your Team'!$D$8)&gt;0),'Your Team'!$C$8="D" ),1,0)+IF( AND((COUNTIF(DY$2:DY$33,'Your Team'!$D$9)&gt;0),'Your Team'!$C$9="D" ),1,0)+IF( AND((COUNTIF(DY$2:DY$33,'Your Team'!$D$10)&gt;0),'Your Team'!$C$10="D" ),1,0)+IF( AND((COUNTIF(DY$2:DY$33,'Your Team'!$D$11)&gt;0),'Your Team'!$C$11="D" ),1,0)+IF( AND((COUNTIF(DY$2:DY$33,'Your Team'!$D$12)&gt;0),'Your Team'!$C$12="D" ),1,0)+IF( AND((COUNTIF(DY$2:DY$33,'Your Team'!$D$13)&gt;0),'Your Team'!$C$13="D" ),1,0)+IF( AND((COUNTIF(DY$2:DY$33,'Your Team'!$D$14)&gt;0),'Your Team'!$C$14="D" ),1,0)+IF( AND((COUNTIF(DY$2:DY$33,'Your Team'!$D$15)&gt;0),'Your Team'!$C$15="D" ),1,0)+IF( AND((COUNTIF(DY$2:DY$33,'Your Team'!$D$16)&gt;0),'Your Team'!$C$16="D" ),1,0)+IF( AND((COUNTIF(DY$2:DY$33,'Your Team'!$D$17)&gt;0),'Your Team'!$C$17="D" ),1,0)+IF( AND((COUNTIF(DY$2:DY$33,'Your Team'!$D$18)&gt;0),'Your Team'!$C$18="D" ),1,0)+IF( AND((COUNTIF(DY$2:DY$33,'Your Team'!$D$19)&gt;0),'Your Team'!$C$19="D" ),1,0)</f>
        <v>0</v>
      </c>
      <c r="DZ39" s="9">
        <f>IF( AND((COUNTIF(DZ$2:DZ$33,'Your Team'!$D$3)&gt;0),'Your Team'!$C$3="D" ),1,0)+IF( AND((COUNTIF(DZ$2:DZ$33,'Your Team'!$D$4)&gt;0),'Your Team'!$C$4="D" ),1,0)+IF( AND((COUNTIF(DZ$2:DZ$33,'Your Team'!$D$5)&gt;0),'Your Team'!$C$5="D" ),1,0)+IF( AND((COUNTIF(DZ$2:DZ$33,'Your Team'!$D$6)&gt;0),'Your Team'!$C$6="D" ),1,0)+IF( AND((COUNTIF(DZ$2:DZ$33,'Your Team'!$D$7)&gt;0),'Your Team'!$C$7="D" ),1,0)+IF( AND((COUNTIF(DZ$2:DZ$33,'Your Team'!$D$8)&gt;0),'Your Team'!$C$8="D" ),1,0)+IF( AND((COUNTIF(DZ$2:DZ$33,'Your Team'!$D$9)&gt;0),'Your Team'!$C$9="D" ),1,0)+IF( AND((COUNTIF(DZ$2:DZ$33,'Your Team'!$D$10)&gt;0),'Your Team'!$C$10="D" ),1,0)+IF( AND((COUNTIF(DZ$2:DZ$33,'Your Team'!$D$11)&gt;0),'Your Team'!$C$11="D" ),1,0)+IF( AND((COUNTIF(DZ$2:DZ$33,'Your Team'!$D$12)&gt;0),'Your Team'!$C$12="D" ),1,0)+IF( AND((COUNTIF(DZ$2:DZ$33,'Your Team'!$D$13)&gt;0),'Your Team'!$C$13="D" ),1,0)+IF( AND((COUNTIF(DZ$2:DZ$33,'Your Team'!$D$14)&gt;0),'Your Team'!$C$14="D" ),1,0)+IF( AND((COUNTIF(DZ$2:DZ$33,'Your Team'!$D$15)&gt;0),'Your Team'!$C$15="D" ),1,0)+IF( AND((COUNTIF(DZ$2:DZ$33,'Your Team'!$D$16)&gt;0),'Your Team'!$C$16="D" ),1,0)+IF( AND((COUNTIF(DZ$2:DZ$33,'Your Team'!$D$17)&gt;0),'Your Team'!$C$17="D" ),1,0)+IF( AND((COUNTIF(DZ$2:DZ$33,'Your Team'!$D$18)&gt;0),'Your Team'!$C$18="D" ),1,0)+IF( AND((COUNTIF(DZ$2:DZ$33,'Your Team'!$D$19)&gt;0),'Your Team'!$C$19="D" ),1,0)</f>
        <v>0</v>
      </c>
      <c r="EA39" s="9">
        <f>IF( AND((COUNTIF(EA$2:EA$33,'Your Team'!$D$3)&gt;0),'Your Team'!$C$3="D" ),1,0)+IF( AND((COUNTIF(EA$2:EA$33,'Your Team'!$D$4)&gt;0),'Your Team'!$C$4="D" ),1,0)+IF( AND((COUNTIF(EA$2:EA$33,'Your Team'!$D$5)&gt;0),'Your Team'!$C$5="D" ),1,0)+IF( AND((COUNTIF(EA$2:EA$33,'Your Team'!$D$6)&gt;0),'Your Team'!$C$6="D" ),1,0)+IF( AND((COUNTIF(EA$2:EA$33,'Your Team'!$D$7)&gt;0),'Your Team'!$C$7="D" ),1,0)+IF( AND((COUNTIF(EA$2:EA$33,'Your Team'!$D$8)&gt;0),'Your Team'!$C$8="D" ),1,0)+IF( AND((COUNTIF(EA$2:EA$33,'Your Team'!$D$9)&gt;0),'Your Team'!$C$9="D" ),1,0)+IF( AND((COUNTIF(EA$2:EA$33,'Your Team'!$D$10)&gt;0),'Your Team'!$C$10="D" ),1,0)+IF( AND((COUNTIF(EA$2:EA$33,'Your Team'!$D$11)&gt;0),'Your Team'!$C$11="D" ),1,0)+IF( AND((COUNTIF(EA$2:EA$33,'Your Team'!$D$12)&gt;0),'Your Team'!$C$12="D" ),1,0)+IF( AND((COUNTIF(EA$2:EA$33,'Your Team'!$D$13)&gt;0),'Your Team'!$C$13="D" ),1,0)+IF( AND((COUNTIF(EA$2:EA$33,'Your Team'!$D$14)&gt;0),'Your Team'!$C$14="D" ),1,0)+IF( AND((COUNTIF(EA$2:EA$33,'Your Team'!$D$15)&gt;0),'Your Team'!$C$15="D" ),1,0)+IF( AND((COUNTIF(EA$2:EA$33,'Your Team'!$D$16)&gt;0),'Your Team'!$C$16="D" ),1,0)+IF( AND((COUNTIF(EA$2:EA$33,'Your Team'!$D$17)&gt;0),'Your Team'!$C$17="D" ),1,0)+IF( AND((COUNTIF(EA$2:EA$33,'Your Team'!$D$18)&gt;0),'Your Team'!$C$18="D" ),1,0)+IF( AND((COUNTIF(EA$2:EA$33,'Your Team'!$D$19)&gt;0),'Your Team'!$C$19="D" ),1,0)</f>
        <v>0</v>
      </c>
      <c r="EB39" s="9">
        <f>IF( AND((COUNTIF(EB$2:EB$33,'Your Team'!$D$3)&gt;0),'Your Team'!$C$3="D" ),1,0)+IF( AND((COUNTIF(EB$2:EB$33,'Your Team'!$D$4)&gt;0),'Your Team'!$C$4="D" ),1,0)+IF( AND((COUNTIF(EB$2:EB$33,'Your Team'!$D$5)&gt;0),'Your Team'!$C$5="D" ),1,0)+IF( AND((COUNTIF(EB$2:EB$33,'Your Team'!$D$6)&gt;0),'Your Team'!$C$6="D" ),1,0)+IF( AND((COUNTIF(EB$2:EB$33,'Your Team'!$D$7)&gt;0),'Your Team'!$C$7="D" ),1,0)+IF( AND((COUNTIF(EB$2:EB$33,'Your Team'!$D$8)&gt;0),'Your Team'!$C$8="D" ),1,0)+IF( AND((COUNTIF(EB$2:EB$33,'Your Team'!$D$9)&gt;0),'Your Team'!$C$9="D" ),1,0)+IF( AND((COUNTIF(EB$2:EB$33,'Your Team'!$D$10)&gt;0),'Your Team'!$C$10="D" ),1,0)+IF( AND((COUNTIF(EB$2:EB$33,'Your Team'!$D$11)&gt;0),'Your Team'!$C$11="D" ),1,0)+IF( AND((COUNTIF(EB$2:EB$33,'Your Team'!$D$12)&gt;0),'Your Team'!$C$12="D" ),1,0)+IF( AND((COUNTIF(EB$2:EB$33,'Your Team'!$D$13)&gt;0),'Your Team'!$C$13="D" ),1,0)+IF( AND((COUNTIF(EB$2:EB$33,'Your Team'!$D$14)&gt;0),'Your Team'!$C$14="D" ),1,0)+IF( AND((COUNTIF(EB$2:EB$33,'Your Team'!$D$15)&gt;0),'Your Team'!$C$15="D" ),1,0)+IF( AND((COUNTIF(EB$2:EB$33,'Your Team'!$D$16)&gt;0),'Your Team'!$C$16="D" ),1,0)+IF( AND((COUNTIF(EB$2:EB$33,'Your Team'!$D$17)&gt;0),'Your Team'!$C$17="D" ),1,0)+IF( AND((COUNTIF(EB$2:EB$33,'Your Team'!$D$18)&gt;0),'Your Team'!$C$18="D" ),1,0)+IF( AND((COUNTIF(EB$2:EB$33,'Your Team'!$D$19)&gt;0),'Your Team'!$C$19="D" ),1,0)</f>
        <v>0</v>
      </c>
      <c r="EC39" s="9">
        <f>IF( AND((COUNTIF(EC$2:EC$33,'Your Team'!$D$3)&gt;0),'Your Team'!$C$3="D" ),1,0)+IF( AND((COUNTIF(EC$2:EC$33,'Your Team'!$D$4)&gt;0),'Your Team'!$C$4="D" ),1,0)+IF( AND((COUNTIF(EC$2:EC$33,'Your Team'!$D$5)&gt;0),'Your Team'!$C$5="D" ),1,0)+IF( AND((COUNTIF(EC$2:EC$33,'Your Team'!$D$6)&gt;0),'Your Team'!$C$6="D" ),1,0)+IF( AND((COUNTIF(EC$2:EC$33,'Your Team'!$D$7)&gt;0),'Your Team'!$C$7="D" ),1,0)+IF( AND((COUNTIF(EC$2:EC$33,'Your Team'!$D$8)&gt;0),'Your Team'!$C$8="D" ),1,0)+IF( AND((COUNTIF(EC$2:EC$33,'Your Team'!$D$9)&gt;0),'Your Team'!$C$9="D" ),1,0)+IF( AND((COUNTIF(EC$2:EC$33,'Your Team'!$D$10)&gt;0),'Your Team'!$C$10="D" ),1,0)+IF( AND((COUNTIF(EC$2:EC$33,'Your Team'!$D$11)&gt;0),'Your Team'!$C$11="D" ),1,0)+IF( AND((COUNTIF(EC$2:EC$33,'Your Team'!$D$12)&gt;0),'Your Team'!$C$12="D" ),1,0)+IF( AND((COUNTIF(EC$2:EC$33,'Your Team'!$D$13)&gt;0),'Your Team'!$C$13="D" ),1,0)+IF( AND((COUNTIF(EC$2:EC$33,'Your Team'!$D$14)&gt;0),'Your Team'!$C$14="D" ),1,0)+IF( AND((COUNTIF(EC$2:EC$33,'Your Team'!$D$15)&gt;0),'Your Team'!$C$15="D" ),1,0)+IF( AND((COUNTIF(EC$2:EC$33,'Your Team'!$D$16)&gt;0),'Your Team'!$C$16="D" ),1,0)+IF( AND((COUNTIF(EC$2:EC$33,'Your Team'!$D$17)&gt;0),'Your Team'!$C$17="D" ),1,0)+IF( AND((COUNTIF(EC$2:EC$33,'Your Team'!$D$18)&gt;0),'Your Team'!$C$18="D" ),1,0)+IF( AND((COUNTIF(EC$2:EC$33,'Your Team'!$D$19)&gt;0),'Your Team'!$C$19="D" ),1,0)</f>
        <v>0</v>
      </c>
      <c r="ED39" s="9">
        <f>IF( AND((COUNTIF(ED$2:ED$33,'Your Team'!$D$3)&gt;0),'Your Team'!$C$3="D" ),1,0)+IF( AND((COUNTIF(ED$2:ED$33,'Your Team'!$D$4)&gt;0),'Your Team'!$C$4="D" ),1,0)+IF( AND((COUNTIF(ED$2:ED$33,'Your Team'!$D$5)&gt;0),'Your Team'!$C$5="D" ),1,0)+IF( AND((COUNTIF(ED$2:ED$33,'Your Team'!$D$6)&gt;0),'Your Team'!$C$6="D" ),1,0)+IF( AND((COUNTIF(ED$2:ED$33,'Your Team'!$D$7)&gt;0),'Your Team'!$C$7="D" ),1,0)+IF( AND((COUNTIF(ED$2:ED$33,'Your Team'!$D$8)&gt;0),'Your Team'!$C$8="D" ),1,0)+IF( AND((COUNTIF(ED$2:ED$33,'Your Team'!$D$9)&gt;0),'Your Team'!$C$9="D" ),1,0)+IF( AND((COUNTIF(ED$2:ED$33,'Your Team'!$D$10)&gt;0),'Your Team'!$C$10="D" ),1,0)+IF( AND((COUNTIF(ED$2:ED$33,'Your Team'!$D$11)&gt;0),'Your Team'!$C$11="D" ),1,0)+IF( AND((COUNTIF(ED$2:ED$33,'Your Team'!$D$12)&gt;0),'Your Team'!$C$12="D" ),1,0)+IF( AND((COUNTIF(ED$2:ED$33,'Your Team'!$D$13)&gt;0),'Your Team'!$C$13="D" ),1,0)+IF( AND((COUNTIF(ED$2:ED$33,'Your Team'!$D$14)&gt;0),'Your Team'!$C$14="D" ),1,0)+IF( AND((COUNTIF(ED$2:ED$33,'Your Team'!$D$15)&gt;0),'Your Team'!$C$15="D" ),1,0)+IF( AND((COUNTIF(ED$2:ED$33,'Your Team'!$D$16)&gt;0),'Your Team'!$C$16="D" ),1,0)+IF( AND((COUNTIF(ED$2:ED$33,'Your Team'!$D$17)&gt;0),'Your Team'!$C$17="D" ),1,0)+IF( AND((COUNTIF(ED$2:ED$33,'Your Team'!$D$18)&gt;0),'Your Team'!$C$18="D" ),1,0)+IF( AND((COUNTIF(ED$2:ED$33,'Your Team'!$D$19)&gt;0),'Your Team'!$C$19="D" ),1,0)</f>
        <v>0</v>
      </c>
      <c r="EE39" s="9">
        <f>IF( AND((COUNTIF(EE$2:EE$33,'Your Team'!$D$3)&gt;0),'Your Team'!$C$3="D" ),1,0)+IF( AND((COUNTIF(EE$2:EE$33,'Your Team'!$D$4)&gt;0),'Your Team'!$C$4="D" ),1,0)+IF( AND((COUNTIF(EE$2:EE$33,'Your Team'!$D$5)&gt;0),'Your Team'!$C$5="D" ),1,0)+IF( AND((COUNTIF(EE$2:EE$33,'Your Team'!$D$6)&gt;0),'Your Team'!$C$6="D" ),1,0)+IF( AND((COUNTIF(EE$2:EE$33,'Your Team'!$D$7)&gt;0),'Your Team'!$C$7="D" ),1,0)+IF( AND((COUNTIF(EE$2:EE$33,'Your Team'!$D$8)&gt;0),'Your Team'!$C$8="D" ),1,0)+IF( AND((COUNTIF(EE$2:EE$33,'Your Team'!$D$9)&gt;0),'Your Team'!$C$9="D" ),1,0)+IF( AND((COUNTIF(EE$2:EE$33,'Your Team'!$D$10)&gt;0),'Your Team'!$C$10="D" ),1,0)+IF( AND((COUNTIF(EE$2:EE$33,'Your Team'!$D$11)&gt;0),'Your Team'!$C$11="D" ),1,0)+IF( AND((COUNTIF(EE$2:EE$33,'Your Team'!$D$12)&gt;0),'Your Team'!$C$12="D" ),1,0)+IF( AND((COUNTIF(EE$2:EE$33,'Your Team'!$D$13)&gt;0),'Your Team'!$C$13="D" ),1,0)+IF( AND((COUNTIF(EE$2:EE$33,'Your Team'!$D$14)&gt;0),'Your Team'!$C$14="D" ),1,0)+IF( AND((COUNTIF(EE$2:EE$33,'Your Team'!$D$15)&gt;0),'Your Team'!$C$15="D" ),1,0)+IF( AND((COUNTIF(EE$2:EE$33,'Your Team'!$D$16)&gt;0),'Your Team'!$C$16="D" ),1,0)+IF( AND((COUNTIF(EE$2:EE$33,'Your Team'!$D$17)&gt;0),'Your Team'!$C$17="D" ),1,0)+IF( AND((COUNTIF(EE$2:EE$33,'Your Team'!$D$18)&gt;0),'Your Team'!$C$18="D" ),1,0)+IF( AND((COUNTIF(EE$2:EE$33,'Your Team'!$D$19)&gt;0),'Your Team'!$C$19="D" ),1,0)</f>
        <v>0</v>
      </c>
      <c r="EF39" s="9">
        <f>IF( AND((COUNTIF(EF$2:EF$33,'Your Team'!$D$3)&gt;0),'Your Team'!$C$3="D" ),1,0)+IF( AND((COUNTIF(EF$2:EF$33,'Your Team'!$D$4)&gt;0),'Your Team'!$C$4="D" ),1,0)+IF( AND((COUNTIF(EF$2:EF$33,'Your Team'!$D$5)&gt;0),'Your Team'!$C$5="D" ),1,0)+IF( AND((COUNTIF(EF$2:EF$33,'Your Team'!$D$6)&gt;0),'Your Team'!$C$6="D" ),1,0)+IF( AND((COUNTIF(EF$2:EF$33,'Your Team'!$D$7)&gt;0),'Your Team'!$C$7="D" ),1,0)+IF( AND((COUNTIF(EF$2:EF$33,'Your Team'!$D$8)&gt;0),'Your Team'!$C$8="D" ),1,0)+IF( AND((COUNTIF(EF$2:EF$33,'Your Team'!$D$9)&gt;0),'Your Team'!$C$9="D" ),1,0)+IF( AND((COUNTIF(EF$2:EF$33,'Your Team'!$D$10)&gt;0),'Your Team'!$C$10="D" ),1,0)+IF( AND((COUNTIF(EF$2:EF$33,'Your Team'!$D$11)&gt;0),'Your Team'!$C$11="D" ),1,0)+IF( AND((COUNTIF(EF$2:EF$33,'Your Team'!$D$12)&gt;0),'Your Team'!$C$12="D" ),1,0)+IF( AND((COUNTIF(EF$2:EF$33,'Your Team'!$D$13)&gt;0),'Your Team'!$C$13="D" ),1,0)+IF( AND((COUNTIF(EF$2:EF$33,'Your Team'!$D$14)&gt;0),'Your Team'!$C$14="D" ),1,0)+IF( AND((COUNTIF(EF$2:EF$33,'Your Team'!$D$15)&gt;0),'Your Team'!$C$15="D" ),1,0)+IF( AND((COUNTIF(EF$2:EF$33,'Your Team'!$D$16)&gt;0),'Your Team'!$C$16="D" ),1,0)+IF( AND((COUNTIF(EF$2:EF$33,'Your Team'!$D$17)&gt;0),'Your Team'!$C$17="D" ),1,0)+IF( AND((COUNTIF(EF$2:EF$33,'Your Team'!$D$18)&gt;0),'Your Team'!$C$18="D" ),1,0)+IF( AND((COUNTIF(EF$2:EF$33,'Your Team'!$D$19)&gt;0),'Your Team'!$C$19="D" ),1,0)</f>
        <v>0</v>
      </c>
      <c r="EG39" s="9">
        <f>IF( AND((COUNTIF(EG$2:EG$33,'Your Team'!$D$3)&gt;0),'Your Team'!$C$3="D" ),1,0)+IF( AND((COUNTIF(EG$2:EG$33,'Your Team'!$D$4)&gt;0),'Your Team'!$C$4="D" ),1,0)+IF( AND((COUNTIF(EG$2:EG$33,'Your Team'!$D$5)&gt;0),'Your Team'!$C$5="D" ),1,0)+IF( AND((COUNTIF(EG$2:EG$33,'Your Team'!$D$6)&gt;0),'Your Team'!$C$6="D" ),1,0)+IF( AND((COUNTIF(EG$2:EG$33,'Your Team'!$D$7)&gt;0),'Your Team'!$C$7="D" ),1,0)+IF( AND((COUNTIF(EG$2:EG$33,'Your Team'!$D$8)&gt;0),'Your Team'!$C$8="D" ),1,0)+IF( AND((COUNTIF(EG$2:EG$33,'Your Team'!$D$9)&gt;0),'Your Team'!$C$9="D" ),1,0)+IF( AND((COUNTIF(EG$2:EG$33,'Your Team'!$D$10)&gt;0),'Your Team'!$C$10="D" ),1,0)+IF( AND((COUNTIF(EG$2:EG$33,'Your Team'!$D$11)&gt;0),'Your Team'!$C$11="D" ),1,0)+IF( AND((COUNTIF(EG$2:EG$33,'Your Team'!$D$12)&gt;0),'Your Team'!$C$12="D" ),1,0)+IF( AND((COUNTIF(EG$2:EG$33,'Your Team'!$D$13)&gt;0),'Your Team'!$C$13="D" ),1,0)+IF( AND((COUNTIF(EG$2:EG$33,'Your Team'!$D$14)&gt;0),'Your Team'!$C$14="D" ),1,0)+IF( AND((COUNTIF(EG$2:EG$33,'Your Team'!$D$15)&gt;0),'Your Team'!$C$15="D" ),1,0)+IF( AND((COUNTIF(EG$2:EG$33,'Your Team'!$D$16)&gt;0),'Your Team'!$C$16="D" ),1,0)+IF( AND((COUNTIF(EG$2:EG$33,'Your Team'!$D$17)&gt;0),'Your Team'!$C$17="D" ),1,0)+IF( AND((COUNTIF(EG$2:EG$33,'Your Team'!$D$18)&gt;0),'Your Team'!$C$18="D" ),1,0)+IF( AND((COUNTIF(EG$2:EG$33,'Your Team'!$D$19)&gt;0),'Your Team'!$C$19="D" ),1,0)</f>
        <v>0</v>
      </c>
      <c r="EH39" s="9">
        <f>IF( AND((COUNTIF(EH$2:EH$33,'Your Team'!$D$3)&gt;0),'Your Team'!$C$3="D" ),1,0)+IF( AND((COUNTIF(EH$2:EH$33,'Your Team'!$D$4)&gt;0),'Your Team'!$C$4="D" ),1,0)+IF( AND((COUNTIF(EH$2:EH$33,'Your Team'!$D$5)&gt;0),'Your Team'!$C$5="D" ),1,0)+IF( AND((COUNTIF(EH$2:EH$33,'Your Team'!$D$6)&gt;0),'Your Team'!$C$6="D" ),1,0)+IF( AND((COUNTIF(EH$2:EH$33,'Your Team'!$D$7)&gt;0),'Your Team'!$C$7="D" ),1,0)+IF( AND((COUNTIF(EH$2:EH$33,'Your Team'!$D$8)&gt;0),'Your Team'!$C$8="D" ),1,0)+IF( AND((COUNTIF(EH$2:EH$33,'Your Team'!$D$9)&gt;0),'Your Team'!$C$9="D" ),1,0)+IF( AND((COUNTIF(EH$2:EH$33,'Your Team'!$D$10)&gt;0),'Your Team'!$C$10="D" ),1,0)+IF( AND((COUNTIF(EH$2:EH$33,'Your Team'!$D$11)&gt;0),'Your Team'!$C$11="D" ),1,0)+IF( AND((COUNTIF(EH$2:EH$33,'Your Team'!$D$12)&gt;0),'Your Team'!$C$12="D" ),1,0)+IF( AND((COUNTIF(EH$2:EH$33,'Your Team'!$D$13)&gt;0),'Your Team'!$C$13="D" ),1,0)+IF( AND((COUNTIF(EH$2:EH$33,'Your Team'!$D$14)&gt;0),'Your Team'!$C$14="D" ),1,0)+IF( AND((COUNTIF(EH$2:EH$33,'Your Team'!$D$15)&gt;0),'Your Team'!$C$15="D" ),1,0)+IF( AND((COUNTIF(EH$2:EH$33,'Your Team'!$D$16)&gt;0),'Your Team'!$C$16="D" ),1,0)+IF( AND((COUNTIF(EH$2:EH$33,'Your Team'!$D$17)&gt;0),'Your Team'!$C$17="D" ),1,0)+IF( AND((COUNTIF(EH$2:EH$33,'Your Team'!$D$18)&gt;0),'Your Team'!$C$18="D" ),1,0)+IF( AND((COUNTIF(EH$2:EH$33,'Your Team'!$D$19)&gt;0),'Your Team'!$C$19="D" ),1,0)</f>
        <v>0</v>
      </c>
      <c r="EI39" s="9">
        <f>IF( AND((COUNTIF(EI$2:EI$33,'Your Team'!$D$3)&gt;0),'Your Team'!$C$3="D" ),1,0)+IF( AND((COUNTIF(EI$2:EI$33,'Your Team'!$D$4)&gt;0),'Your Team'!$C$4="D" ),1,0)+IF( AND((COUNTIF(EI$2:EI$33,'Your Team'!$D$5)&gt;0),'Your Team'!$C$5="D" ),1,0)+IF( AND((COUNTIF(EI$2:EI$33,'Your Team'!$D$6)&gt;0),'Your Team'!$C$6="D" ),1,0)+IF( AND((COUNTIF(EI$2:EI$33,'Your Team'!$D$7)&gt;0),'Your Team'!$C$7="D" ),1,0)+IF( AND((COUNTIF(EI$2:EI$33,'Your Team'!$D$8)&gt;0),'Your Team'!$C$8="D" ),1,0)+IF( AND((COUNTIF(EI$2:EI$33,'Your Team'!$D$9)&gt;0),'Your Team'!$C$9="D" ),1,0)+IF( AND((COUNTIF(EI$2:EI$33,'Your Team'!$D$10)&gt;0),'Your Team'!$C$10="D" ),1,0)+IF( AND((COUNTIF(EI$2:EI$33,'Your Team'!$D$11)&gt;0),'Your Team'!$C$11="D" ),1,0)+IF( AND((COUNTIF(EI$2:EI$33,'Your Team'!$D$12)&gt;0),'Your Team'!$C$12="D" ),1,0)+IF( AND((COUNTIF(EI$2:EI$33,'Your Team'!$D$13)&gt;0),'Your Team'!$C$13="D" ),1,0)+IF( AND((COUNTIF(EI$2:EI$33,'Your Team'!$D$14)&gt;0),'Your Team'!$C$14="D" ),1,0)+IF( AND((COUNTIF(EI$2:EI$33,'Your Team'!$D$15)&gt;0),'Your Team'!$C$15="D" ),1,0)+IF( AND((COUNTIF(EI$2:EI$33,'Your Team'!$D$16)&gt;0),'Your Team'!$C$16="D" ),1,0)+IF( AND((COUNTIF(EI$2:EI$33,'Your Team'!$D$17)&gt;0),'Your Team'!$C$17="D" ),1,0)+IF( AND((COUNTIF(EI$2:EI$33,'Your Team'!$D$18)&gt;0),'Your Team'!$C$18="D" ),1,0)+IF( AND((COUNTIF(EI$2:EI$33,'Your Team'!$D$19)&gt;0),'Your Team'!$C$19="D" ),1,0)</f>
        <v>0</v>
      </c>
      <c r="EJ39" s="9">
        <f>IF( AND((COUNTIF(EJ$2:EJ$33,'Your Team'!$D$3)&gt;0),'Your Team'!$C$3="D" ),1,0)+IF( AND((COUNTIF(EJ$2:EJ$33,'Your Team'!$D$4)&gt;0),'Your Team'!$C$4="D" ),1,0)+IF( AND((COUNTIF(EJ$2:EJ$33,'Your Team'!$D$5)&gt;0),'Your Team'!$C$5="D" ),1,0)+IF( AND((COUNTIF(EJ$2:EJ$33,'Your Team'!$D$6)&gt;0),'Your Team'!$C$6="D" ),1,0)+IF( AND((COUNTIF(EJ$2:EJ$33,'Your Team'!$D$7)&gt;0),'Your Team'!$C$7="D" ),1,0)+IF( AND((COUNTIF(EJ$2:EJ$33,'Your Team'!$D$8)&gt;0),'Your Team'!$C$8="D" ),1,0)+IF( AND((COUNTIF(EJ$2:EJ$33,'Your Team'!$D$9)&gt;0),'Your Team'!$C$9="D" ),1,0)+IF( AND((COUNTIF(EJ$2:EJ$33,'Your Team'!$D$10)&gt;0),'Your Team'!$C$10="D" ),1,0)+IF( AND((COUNTIF(EJ$2:EJ$33,'Your Team'!$D$11)&gt;0),'Your Team'!$C$11="D" ),1,0)+IF( AND((COUNTIF(EJ$2:EJ$33,'Your Team'!$D$12)&gt;0),'Your Team'!$C$12="D" ),1,0)+IF( AND((COUNTIF(EJ$2:EJ$33,'Your Team'!$D$13)&gt;0),'Your Team'!$C$13="D" ),1,0)+IF( AND((COUNTIF(EJ$2:EJ$33,'Your Team'!$D$14)&gt;0),'Your Team'!$C$14="D" ),1,0)+IF( AND((COUNTIF(EJ$2:EJ$33,'Your Team'!$D$15)&gt;0),'Your Team'!$C$15="D" ),1,0)+IF( AND((COUNTIF(EJ$2:EJ$33,'Your Team'!$D$16)&gt;0),'Your Team'!$C$16="D" ),1,0)+IF( AND((COUNTIF(EJ$2:EJ$33,'Your Team'!$D$17)&gt;0),'Your Team'!$C$17="D" ),1,0)+IF( AND((COUNTIF(EJ$2:EJ$33,'Your Team'!$D$18)&gt;0),'Your Team'!$C$18="D" ),1,0)+IF( AND((COUNTIF(EJ$2:EJ$33,'Your Team'!$D$19)&gt;0),'Your Team'!$C$19="D" ),1,0)</f>
        <v>0</v>
      </c>
      <c r="EK39" s="9">
        <f>IF( AND((COUNTIF(EK$2:EK$33,'Your Team'!$D$3)&gt;0),'Your Team'!$C$3="D" ),1,0)+IF( AND((COUNTIF(EK$2:EK$33,'Your Team'!$D$4)&gt;0),'Your Team'!$C$4="D" ),1,0)+IF( AND((COUNTIF(EK$2:EK$33,'Your Team'!$D$5)&gt;0),'Your Team'!$C$5="D" ),1,0)+IF( AND((COUNTIF(EK$2:EK$33,'Your Team'!$D$6)&gt;0),'Your Team'!$C$6="D" ),1,0)+IF( AND((COUNTIF(EK$2:EK$33,'Your Team'!$D$7)&gt;0),'Your Team'!$C$7="D" ),1,0)+IF( AND((COUNTIF(EK$2:EK$33,'Your Team'!$D$8)&gt;0),'Your Team'!$C$8="D" ),1,0)+IF( AND((COUNTIF(EK$2:EK$33,'Your Team'!$D$9)&gt;0),'Your Team'!$C$9="D" ),1,0)+IF( AND((COUNTIF(EK$2:EK$33,'Your Team'!$D$10)&gt;0),'Your Team'!$C$10="D" ),1,0)+IF( AND((COUNTIF(EK$2:EK$33,'Your Team'!$D$11)&gt;0),'Your Team'!$C$11="D" ),1,0)+IF( AND((COUNTIF(EK$2:EK$33,'Your Team'!$D$12)&gt;0),'Your Team'!$C$12="D" ),1,0)+IF( AND((COUNTIF(EK$2:EK$33,'Your Team'!$D$13)&gt;0),'Your Team'!$C$13="D" ),1,0)+IF( AND((COUNTIF(EK$2:EK$33,'Your Team'!$D$14)&gt;0),'Your Team'!$C$14="D" ),1,0)+IF( AND((COUNTIF(EK$2:EK$33,'Your Team'!$D$15)&gt;0),'Your Team'!$C$15="D" ),1,0)+IF( AND((COUNTIF(EK$2:EK$33,'Your Team'!$D$16)&gt;0),'Your Team'!$C$16="D" ),1,0)+IF( AND((COUNTIF(EK$2:EK$33,'Your Team'!$D$17)&gt;0),'Your Team'!$C$17="D" ),1,0)+IF( AND((COUNTIF(EK$2:EK$33,'Your Team'!$D$18)&gt;0),'Your Team'!$C$18="D" ),1,0)+IF( AND((COUNTIF(EK$2:EK$33,'Your Team'!$D$19)&gt;0),'Your Team'!$C$19="D" ),1,0)</f>
        <v>0</v>
      </c>
      <c r="EL39" s="9">
        <f>IF( AND((COUNTIF(EL$2:EL$33,'Your Team'!$D$3)&gt;0),'Your Team'!$C$3="D" ),1,0)+IF( AND((COUNTIF(EL$2:EL$33,'Your Team'!$D$4)&gt;0),'Your Team'!$C$4="D" ),1,0)+IF( AND((COUNTIF(EL$2:EL$33,'Your Team'!$D$5)&gt;0),'Your Team'!$C$5="D" ),1,0)+IF( AND((COUNTIF(EL$2:EL$33,'Your Team'!$D$6)&gt;0),'Your Team'!$C$6="D" ),1,0)+IF( AND((COUNTIF(EL$2:EL$33,'Your Team'!$D$7)&gt;0),'Your Team'!$C$7="D" ),1,0)+IF( AND((COUNTIF(EL$2:EL$33,'Your Team'!$D$8)&gt;0),'Your Team'!$C$8="D" ),1,0)+IF( AND((COUNTIF(EL$2:EL$33,'Your Team'!$D$9)&gt;0),'Your Team'!$C$9="D" ),1,0)+IF( AND((COUNTIF(EL$2:EL$33,'Your Team'!$D$10)&gt;0),'Your Team'!$C$10="D" ),1,0)+IF( AND((COUNTIF(EL$2:EL$33,'Your Team'!$D$11)&gt;0),'Your Team'!$C$11="D" ),1,0)+IF( AND((COUNTIF(EL$2:EL$33,'Your Team'!$D$12)&gt;0),'Your Team'!$C$12="D" ),1,0)+IF( AND((COUNTIF(EL$2:EL$33,'Your Team'!$D$13)&gt;0),'Your Team'!$C$13="D" ),1,0)+IF( AND((COUNTIF(EL$2:EL$33,'Your Team'!$D$14)&gt;0),'Your Team'!$C$14="D" ),1,0)+IF( AND((COUNTIF(EL$2:EL$33,'Your Team'!$D$15)&gt;0),'Your Team'!$C$15="D" ),1,0)+IF( AND((COUNTIF(EL$2:EL$33,'Your Team'!$D$16)&gt;0),'Your Team'!$C$16="D" ),1,0)+IF( AND((COUNTIF(EL$2:EL$33,'Your Team'!$D$17)&gt;0),'Your Team'!$C$17="D" ),1,0)+IF( AND((COUNTIF(EL$2:EL$33,'Your Team'!$D$18)&gt;0),'Your Team'!$C$18="D" ),1,0)+IF( AND((COUNTIF(EL$2:EL$33,'Your Team'!$D$19)&gt;0),'Your Team'!$C$19="D" ),1,0)</f>
        <v>0</v>
      </c>
      <c r="EM39" s="9">
        <f>IF( AND((COUNTIF(EM$2:EM$33,'Your Team'!$D$3)&gt;0),'Your Team'!$C$3="D" ),1,0)+IF( AND((COUNTIF(EM$2:EM$33,'Your Team'!$D$4)&gt;0),'Your Team'!$C$4="D" ),1,0)+IF( AND((COUNTIF(EM$2:EM$33,'Your Team'!$D$5)&gt;0),'Your Team'!$C$5="D" ),1,0)+IF( AND((COUNTIF(EM$2:EM$33,'Your Team'!$D$6)&gt;0),'Your Team'!$C$6="D" ),1,0)+IF( AND((COUNTIF(EM$2:EM$33,'Your Team'!$D$7)&gt;0),'Your Team'!$C$7="D" ),1,0)+IF( AND((COUNTIF(EM$2:EM$33,'Your Team'!$D$8)&gt;0),'Your Team'!$C$8="D" ),1,0)+IF( AND((COUNTIF(EM$2:EM$33,'Your Team'!$D$9)&gt;0),'Your Team'!$C$9="D" ),1,0)+IF( AND((COUNTIF(EM$2:EM$33,'Your Team'!$D$10)&gt;0),'Your Team'!$C$10="D" ),1,0)+IF( AND((COUNTIF(EM$2:EM$33,'Your Team'!$D$11)&gt;0),'Your Team'!$C$11="D" ),1,0)+IF( AND((COUNTIF(EM$2:EM$33,'Your Team'!$D$12)&gt;0),'Your Team'!$C$12="D" ),1,0)+IF( AND((COUNTIF(EM$2:EM$33,'Your Team'!$D$13)&gt;0),'Your Team'!$C$13="D" ),1,0)+IF( AND((COUNTIF(EM$2:EM$33,'Your Team'!$D$14)&gt;0),'Your Team'!$C$14="D" ),1,0)+IF( AND((COUNTIF(EM$2:EM$33,'Your Team'!$D$15)&gt;0),'Your Team'!$C$15="D" ),1,0)+IF( AND((COUNTIF(EM$2:EM$33,'Your Team'!$D$16)&gt;0),'Your Team'!$C$16="D" ),1,0)+IF( AND((COUNTIF(EM$2:EM$33,'Your Team'!$D$17)&gt;0),'Your Team'!$C$17="D" ),1,0)+IF( AND((COUNTIF(EM$2:EM$33,'Your Team'!$D$18)&gt;0),'Your Team'!$C$18="D" ),1,0)+IF( AND((COUNTIF(EM$2:EM$33,'Your Team'!$D$19)&gt;0),'Your Team'!$C$19="D" ),1,0)</f>
        <v>0</v>
      </c>
      <c r="EN39" s="9">
        <f>IF( AND((COUNTIF(EN$2:EN$33,'Your Team'!$D$3)&gt;0),'Your Team'!$C$3="D" ),1,0)+IF( AND((COUNTIF(EN$2:EN$33,'Your Team'!$D$4)&gt;0),'Your Team'!$C$4="D" ),1,0)+IF( AND((COUNTIF(EN$2:EN$33,'Your Team'!$D$5)&gt;0),'Your Team'!$C$5="D" ),1,0)+IF( AND((COUNTIF(EN$2:EN$33,'Your Team'!$D$6)&gt;0),'Your Team'!$C$6="D" ),1,0)+IF( AND((COUNTIF(EN$2:EN$33,'Your Team'!$D$7)&gt;0),'Your Team'!$C$7="D" ),1,0)+IF( AND((COUNTIF(EN$2:EN$33,'Your Team'!$D$8)&gt;0),'Your Team'!$C$8="D" ),1,0)+IF( AND((COUNTIF(EN$2:EN$33,'Your Team'!$D$9)&gt;0),'Your Team'!$C$9="D" ),1,0)+IF( AND((COUNTIF(EN$2:EN$33,'Your Team'!$D$10)&gt;0),'Your Team'!$C$10="D" ),1,0)+IF( AND((COUNTIF(EN$2:EN$33,'Your Team'!$D$11)&gt;0),'Your Team'!$C$11="D" ),1,0)+IF( AND((COUNTIF(EN$2:EN$33,'Your Team'!$D$12)&gt;0),'Your Team'!$C$12="D" ),1,0)+IF( AND((COUNTIF(EN$2:EN$33,'Your Team'!$D$13)&gt;0),'Your Team'!$C$13="D" ),1,0)+IF( AND((COUNTIF(EN$2:EN$33,'Your Team'!$D$14)&gt;0),'Your Team'!$C$14="D" ),1,0)+IF( AND((COUNTIF(EN$2:EN$33,'Your Team'!$D$15)&gt;0),'Your Team'!$C$15="D" ),1,0)+IF( AND((COUNTIF(EN$2:EN$33,'Your Team'!$D$16)&gt;0),'Your Team'!$C$16="D" ),1,0)+IF( AND((COUNTIF(EN$2:EN$33,'Your Team'!$D$17)&gt;0),'Your Team'!$C$17="D" ),1,0)+IF( AND((COUNTIF(EN$2:EN$33,'Your Team'!$D$18)&gt;0),'Your Team'!$C$18="D" ),1,0)+IF( AND((COUNTIF(EN$2:EN$33,'Your Team'!$D$19)&gt;0),'Your Team'!$C$19="D" ),1,0)</f>
        <v>0</v>
      </c>
      <c r="EO39" s="9">
        <f>IF( AND((COUNTIF(EO$2:EO$33,'Your Team'!$D$3)&gt;0),'Your Team'!$C$3="D" ),1,0)+IF( AND((COUNTIF(EO$2:EO$33,'Your Team'!$D$4)&gt;0),'Your Team'!$C$4="D" ),1,0)+IF( AND((COUNTIF(EO$2:EO$33,'Your Team'!$D$5)&gt;0),'Your Team'!$C$5="D" ),1,0)+IF( AND((COUNTIF(EO$2:EO$33,'Your Team'!$D$6)&gt;0),'Your Team'!$C$6="D" ),1,0)+IF( AND((COUNTIF(EO$2:EO$33,'Your Team'!$D$7)&gt;0),'Your Team'!$C$7="D" ),1,0)+IF( AND((COUNTIF(EO$2:EO$33,'Your Team'!$D$8)&gt;0),'Your Team'!$C$8="D" ),1,0)+IF( AND((COUNTIF(EO$2:EO$33,'Your Team'!$D$9)&gt;0),'Your Team'!$C$9="D" ),1,0)+IF( AND((COUNTIF(EO$2:EO$33,'Your Team'!$D$10)&gt;0),'Your Team'!$C$10="D" ),1,0)+IF( AND((COUNTIF(EO$2:EO$33,'Your Team'!$D$11)&gt;0),'Your Team'!$C$11="D" ),1,0)+IF( AND((COUNTIF(EO$2:EO$33,'Your Team'!$D$12)&gt;0),'Your Team'!$C$12="D" ),1,0)+IF( AND((COUNTIF(EO$2:EO$33,'Your Team'!$D$13)&gt;0),'Your Team'!$C$13="D" ),1,0)+IF( AND((COUNTIF(EO$2:EO$33,'Your Team'!$D$14)&gt;0),'Your Team'!$C$14="D" ),1,0)+IF( AND((COUNTIF(EO$2:EO$33,'Your Team'!$D$15)&gt;0),'Your Team'!$C$15="D" ),1,0)+IF( AND((COUNTIF(EO$2:EO$33,'Your Team'!$D$16)&gt;0),'Your Team'!$C$16="D" ),1,0)+IF( AND((COUNTIF(EO$2:EO$33,'Your Team'!$D$17)&gt;0),'Your Team'!$C$17="D" ),1,0)+IF( AND((COUNTIF(EO$2:EO$33,'Your Team'!$D$18)&gt;0),'Your Team'!$C$18="D" ),1,0)+IF( AND((COUNTIF(EO$2:EO$33,'Your Team'!$D$19)&gt;0),'Your Team'!$C$19="D" ),1,0)</f>
        <v>0</v>
      </c>
      <c r="EP39" s="9">
        <f>IF( AND((COUNTIF(EP$2:EP$33,'Your Team'!$D$3)&gt;0),'Your Team'!$C$3="D" ),1,0)+IF( AND((COUNTIF(EP$2:EP$33,'Your Team'!$D$4)&gt;0),'Your Team'!$C$4="D" ),1,0)+IF( AND((COUNTIF(EP$2:EP$33,'Your Team'!$D$5)&gt;0),'Your Team'!$C$5="D" ),1,0)+IF( AND((COUNTIF(EP$2:EP$33,'Your Team'!$D$6)&gt;0),'Your Team'!$C$6="D" ),1,0)+IF( AND((COUNTIF(EP$2:EP$33,'Your Team'!$D$7)&gt;0),'Your Team'!$C$7="D" ),1,0)+IF( AND((COUNTIF(EP$2:EP$33,'Your Team'!$D$8)&gt;0),'Your Team'!$C$8="D" ),1,0)+IF( AND((COUNTIF(EP$2:EP$33,'Your Team'!$D$9)&gt;0),'Your Team'!$C$9="D" ),1,0)+IF( AND((COUNTIF(EP$2:EP$33,'Your Team'!$D$10)&gt;0),'Your Team'!$C$10="D" ),1,0)+IF( AND((COUNTIF(EP$2:EP$33,'Your Team'!$D$11)&gt;0),'Your Team'!$C$11="D" ),1,0)+IF( AND((COUNTIF(EP$2:EP$33,'Your Team'!$D$12)&gt;0),'Your Team'!$C$12="D" ),1,0)+IF( AND((COUNTIF(EP$2:EP$33,'Your Team'!$D$13)&gt;0),'Your Team'!$C$13="D" ),1,0)+IF( AND((COUNTIF(EP$2:EP$33,'Your Team'!$D$14)&gt;0),'Your Team'!$C$14="D" ),1,0)+IF( AND((COUNTIF(EP$2:EP$33,'Your Team'!$D$15)&gt;0),'Your Team'!$C$15="D" ),1,0)+IF( AND((COUNTIF(EP$2:EP$33,'Your Team'!$D$16)&gt;0),'Your Team'!$C$16="D" ),1,0)+IF( AND((COUNTIF(EP$2:EP$33,'Your Team'!$D$17)&gt;0),'Your Team'!$C$17="D" ),1,0)+IF( AND((COUNTIF(EP$2:EP$33,'Your Team'!$D$18)&gt;0),'Your Team'!$C$18="D" ),1,0)+IF( AND((COUNTIF(EP$2:EP$33,'Your Team'!$D$19)&gt;0),'Your Team'!$C$19="D" ),1,0)</f>
        <v>0</v>
      </c>
      <c r="EQ39" s="9">
        <f>IF( AND((COUNTIF(EQ$2:EQ$33,'Your Team'!$D$3)&gt;0),'Your Team'!$C$3="D" ),1,0)+IF( AND((COUNTIF(EQ$2:EQ$33,'Your Team'!$D$4)&gt;0),'Your Team'!$C$4="D" ),1,0)+IF( AND((COUNTIF(EQ$2:EQ$33,'Your Team'!$D$5)&gt;0),'Your Team'!$C$5="D" ),1,0)+IF( AND((COUNTIF(EQ$2:EQ$33,'Your Team'!$D$6)&gt;0),'Your Team'!$C$6="D" ),1,0)+IF( AND((COUNTIF(EQ$2:EQ$33,'Your Team'!$D$7)&gt;0),'Your Team'!$C$7="D" ),1,0)+IF( AND((COUNTIF(EQ$2:EQ$33,'Your Team'!$D$8)&gt;0),'Your Team'!$C$8="D" ),1,0)+IF( AND((COUNTIF(EQ$2:EQ$33,'Your Team'!$D$9)&gt;0),'Your Team'!$C$9="D" ),1,0)+IF( AND((COUNTIF(EQ$2:EQ$33,'Your Team'!$D$10)&gt;0),'Your Team'!$C$10="D" ),1,0)+IF( AND((COUNTIF(EQ$2:EQ$33,'Your Team'!$D$11)&gt;0),'Your Team'!$C$11="D" ),1,0)+IF( AND((COUNTIF(EQ$2:EQ$33,'Your Team'!$D$12)&gt;0),'Your Team'!$C$12="D" ),1,0)+IF( AND((COUNTIF(EQ$2:EQ$33,'Your Team'!$D$13)&gt;0),'Your Team'!$C$13="D" ),1,0)+IF( AND((COUNTIF(EQ$2:EQ$33,'Your Team'!$D$14)&gt;0),'Your Team'!$C$14="D" ),1,0)+IF( AND((COUNTIF(EQ$2:EQ$33,'Your Team'!$D$15)&gt;0),'Your Team'!$C$15="D" ),1,0)+IF( AND((COUNTIF(EQ$2:EQ$33,'Your Team'!$D$16)&gt;0),'Your Team'!$C$16="D" ),1,0)+IF( AND((COUNTIF(EQ$2:EQ$33,'Your Team'!$D$17)&gt;0),'Your Team'!$C$17="D" ),1,0)+IF( AND((COUNTIF(EQ$2:EQ$33,'Your Team'!$D$18)&gt;0),'Your Team'!$C$18="D" ),1,0)+IF( AND((COUNTIF(EQ$2:EQ$33,'Your Team'!$D$19)&gt;0),'Your Team'!$C$19="D" ),1,0)</f>
        <v>0</v>
      </c>
      <c r="ER39" s="9">
        <f>IF( AND((COUNTIF(ER$2:ER$33,'Your Team'!$D$3)&gt;0),'Your Team'!$C$3="D" ),1,0)+IF( AND((COUNTIF(ER$2:ER$33,'Your Team'!$D$4)&gt;0),'Your Team'!$C$4="D" ),1,0)+IF( AND((COUNTIF(ER$2:ER$33,'Your Team'!$D$5)&gt;0),'Your Team'!$C$5="D" ),1,0)+IF( AND((COUNTIF(ER$2:ER$33,'Your Team'!$D$6)&gt;0),'Your Team'!$C$6="D" ),1,0)+IF( AND((COUNTIF(ER$2:ER$33,'Your Team'!$D$7)&gt;0),'Your Team'!$C$7="D" ),1,0)+IF( AND((COUNTIF(ER$2:ER$33,'Your Team'!$D$8)&gt;0),'Your Team'!$C$8="D" ),1,0)+IF( AND((COUNTIF(ER$2:ER$33,'Your Team'!$D$9)&gt;0),'Your Team'!$C$9="D" ),1,0)+IF( AND((COUNTIF(ER$2:ER$33,'Your Team'!$D$10)&gt;0),'Your Team'!$C$10="D" ),1,0)+IF( AND((COUNTIF(ER$2:ER$33,'Your Team'!$D$11)&gt;0),'Your Team'!$C$11="D" ),1,0)+IF( AND((COUNTIF(ER$2:ER$33,'Your Team'!$D$12)&gt;0),'Your Team'!$C$12="D" ),1,0)+IF( AND((COUNTIF(ER$2:ER$33,'Your Team'!$D$13)&gt;0),'Your Team'!$C$13="D" ),1,0)+IF( AND((COUNTIF(ER$2:ER$33,'Your Team'!$D$14)&gt;0),'Your Team'!$C$14="D" ),1,0)+IF( AND((COUNTIF(ER$2:ER$33,'Your Team'!$D$15)&gt;0),'Your Team'!$C$15="D" ),1,0)+IF( AND((COUNTIF(ER$2:ER$33,'Your Team'!$D$16)&gt;0),'Your Team'!$C$16="D" ),1,0)+IF( AND((COUNTIF(ER$2:ER$33,'Your Team'!$D$17)&gt;0),'Your Team'!$C$17="D" ),1,0)+IF( AND((COUNTIF(ER$2:ER$33,'Your Team'!$D$18)&gt;0),'Your Team'!$C$18="D" ),1,0)+IF( AND((COUNTIF(ER$2:ER$33,'Your Team'!$D$19)&gt;0),'Your Team'!$C$19="D" ),1,0)</f>
        <v>0</v>
      </c>
      <c r="ES39" s="9">
        <f>IF( AND((COUNTIF(ES$2:ES$33,'Your Team'!$D$3)&gt;0),'Your Team'!$C$3="D" ),1,0)+IF( AND((COUNTIF(ES$2:ES$33,'Your Team'!$D$4)&gt;0),'Your Team'!$C$4="D" ),1,0)+IF( AND((COUNTIF(ES$2:ES$33,'Your Team'!$D$5)&gt;0),'Your Team'!$C$5="D" ),1,0)+IF( AND((COUNTIF(ES$2:ES$33,'Your Team'!$D$6)&gt;0),'Your Team'!$C$6="D" ),1,0)+IF( AND((COUNTIF(ES$2:ES$33,'Your Team'!$D$7)&gt;0),'Your Team'!$C$7="D" ),1,0)+IF( AND((COUNTIF(ES$2:ES$33,'Your Team'!$D$8)&gt;0),'Your Team'!$C$8="D" ),1,0)+IF( AND((COUNTIF(ES$2:ES$33,'Your Team'!$D$9)&gt;0),'Your Team'!$C$9="D" ),1,0)+IF( AND((COUNTIF(ES$2:ES$33,'Your Team'!$D$10)&gt;0),'Your Team'!$C$10="D" ),1,0)+IF( AND((COUNTIF(ES$2:ES$33,'Your Team'!$D$11)&gt;0),'Your Team'!$C$11="D" ),1,0)+IF( AND((COUNTIF(ES$2:ES$33,'Your Team'!$D$12)&gt;0),'Your Team'!$C$12="D" ),1,0)+IF( AND((COUNTIF(ES$2:ES$33,'Your Team'!$D$13)&gt;0),'Your Team'!$C$13="D" ),1,0)+IF( AND((COUNTIF(ES$2:ES$33,'Your Team'!$D$14)&gt;0),'Your Team'!$C$14="D" ),1,0)+IF( AND((COUNTIF(ES$2:ES$33,'Your Team'!$D$15)&gt;0),'Your Team'!$C$15="D" ),1,0)+IF( AND((COUNTIF(ES$2:ES$33,'Your Team'!$D$16)&gt;0),'Your Team'!$C$16="D" ),1,0)+IF( AND((COUNTIF(ES$2:ES$33,'Your Team'!$D$17)&gt;0),'Your Team'!$C$17="D" ),1,0)+IF( AND((COUNTIF(ES$2:ES$33,'Your Team'!$D$18)&gt;0),'Your Team'!$C$18="D" ),1,0)+IF( AND((COUNTIF(ES$2:ES$33,'Your Team'!$D$19)&gt;0),'Your Team'!$C$19="D" ),1,0)</f>
        <v>0</v>
      </c>
      <c r="ET39" s="9">
        <f>IF( AND((COUNTIF(ET$2:ET$33,'Your Team'!$D$3)&gt;0),'Your Team'!$C$3="D" ),1,0)+IF( AND((COUNTIF(ET$2:ET$33,'Your Team'!$D$4)&gt;0),'Your Team'!$C$4="D" ),1,0)+IF( AND((COUNTIF(ET$2:ET$33,'Your Team'!$D$5)&gt;0),'Your Team'!$C$5="D" ),1,0)+IF( AND((COUNTIF(ET$2:ET$33,'Your Team'!$D$6)&gt;0),'Your Team'!$C$6="D" ),1,0)+IF( AND((COUNTIF(ET$2:ET$33,'Your Team'!$D$7)&gt;0),'Your Team'!$C$7="D" ),1,0)+IF( AND((COUNTIF(ET$2:ET$33,'Your Team'!$D$8)&gt;0),'Your Team'!$C$8="D" ),1,0)+IF( AND((COUNTIF(ET$2:ET$33,'Your Team'!$D$9)&gt;0),'Your Team'!$C$9="D" ),1,0)+IF( AND((COUNTIF(ET$2:ET$33,'Your Team'!$D$10)&gt;0),'Your Team'!$C$10="D" ),1,0)+IF( AND((COUNTIF(ET$2:ET$33,'Your Team'!$D$11)&gt;0),'Your Team'!$C$11="D" ),1,0)+IF( AND((COUNTIF(ET$2:ET$33,'Your Team'!$D$12)&gt;0),'Your Team'!$C$12="D" ),1,0)+IF( AND((COUNTIF(ET$2:ET$33,'Your Team'!$D$13)&gt;0),'Your Team'!$C$13="D" ),1,0)+IF( AND((COUNTIF(ET$2:ET$33,'Your Team'!$D$14)&gt;0),'Your Team'!$C$14="D" ),1,0)+IF( AND((COUNTIF(ET$2:ET$33,'Your Team'!$D$15)&gt;0),'Your Team'!$C$15="D" ),1,0)+IF( AND((COUNTIF(ET$2:ET$33,'Your Team'!$D$16)&gt;0),'Your Team'!$C$16="D" ),1,0)+IF( AND((COUNTIF(ET$2:ET$33,'Your Team'!$D$17)&gt;0),'Your Team'!$C$17="D" ),1,0)+IF( AND((COUNTIF(ET$2:ET$33,'Your Team'!$D$18)&gt;0),'Your Team'!$C$18="D" ),1,0)+IF( AND((COUNTIF(ET$2:ET$33,'Your Team'!$D$19)&gt;0),'Your Team'!$C$19="D" ),1,0)</f>
        <v>0</v>
      </c>
      <c r="EU39" s="9">
        <f>IF( AND((COUNTIF(EU$2:EU$33,'Your Team'!$D$3)&gt;0),'Your Team'!$C$3="D" ),1,0)+IF( AND((COUNTIF(EU$2:EU$33,'Your Team'!$D$4)&gt;0),'Your Team'!$C$4="D" ),1,0)+IF( AND((COUNTIF(EU$2:EU$33,'Your Team'!$D$5)&gt;0),'Your Team'!$C$5="D" ),1,0)+IF( AND((COUNTIF(EU$2:EU$33,'Your Team'!$D$6)&gt;0),'Your Team'!$C$6="D" ),1,0)+IF( AND((COUNTIF(EU$2:EU$33,'Your Team'!$D$7)&gt;0),'Your Team'!$C$7="D" ),1,0)+IF( AND((COUNTIF(EU$2:EU$33,'Your Team'!$D$8)&gt;0),'Your Team'!$C$8="D" ),1,0)+IF( AND((COUNTIF(EU$2:EU$33,'Your Team'!$D$9)&gt;0),'Your Team'!$C$9="D" ),1,0)+IF( AND((COUNTIF(EU$2:EU$33,'Your Team'!$D$10)&gt;0),'Your Team'!$C$10="D" ),1,0)+IF( AND((COUNTIF(EU$2:EU$33,'Your Team'!$D$11)&gt;0),'Your Team'!$C$11="D" ),1,0)+IF( AND((COUNTIF(EU$2:EU$33,'Your Team'!$D$12)&gt;0),'Your Team'!$C$12="D" ),1,0)+IF( AND((COUNTIF(EU$2:EU$33,'Your Team'!$D$13)&gt;0),'Your Team'!$C$13="D" ),1,0)+IF( AND((COUNTIF(EU$2:EU$33,'Your Team'!$D$14)&gt;0),'Your Team'!$C$14="D" ),1,0)+IF( AND((COUNTIF(EU$2:EU$33,'Your Team'!$D$15)&gt;0),'Your Team'!$C$15="D" ),1,0)+IF( AND((COUNTIF(EU$2:EU$33,'Your Team'!$D$16)&gt;0),'Your Team'!$C$16="D" ),1,0)+IF( AND((COUNTIF(EU$2:EU$33,'Your Team'!$D$17)&gt;0),'Your Team'!$C$17="D" ),1,0)+IF( AND((COUNTIF(EU$2:EU$33,'Your Team'!$D$18)&gt;0),'Your Team'!$C$18="D" ),1,0)+IF( AND((COUNTIF(EU$2:EU$33,'Your Team'!$D$19)&gt;0),'Your Team'!$C$19="D" ),1,0)</f>
        <v>0</v>
      </c>
      <c r="EV39" s="9">
        <f>IF( AND((COUNTIF(EV$2:EV$33,'Your Team'!$D$3)&gt;0),'Your Team'!$C$3="D" ),1,0)+IF( AND((COUNTIF(EV$2:EV$33,'Your Team'!$D$4)&gt;0),'Your Team'!$C$4="D" ),1,0)+IF( AND((COUNTIF(EV$2:EV$33,'Your Team'!$D$5)&gt;0),'Your Team'!$C$5="D" ),1,0)+IF( AND((COUNTIF(EV$2:EV$33,'Your Team'!$D$6)&gt;0),'Your Team'!$C$6="D" ),1,0)+IF( AND((COUNTIF(EV$2:EV$33,'Your Team'!$D$7)&gt;0),'Your Team'!$C$7="D" ),1,0)+IF( AND((COUNTIF(EV$2:EV$33,'Your Team'!$D$8)&gt;0),'Your Team'!$C$8="D" ),1,0)+IF( AND((COUNTIF(EV$2:EV$33,'Your Team'!$D$9)&gt;0),'Your Team'!$C$9="D" ),1,0)+IF( AND((COUNTIF(EV$2:EV$33,'Your Team'!$D$10)&gt;0),'Your Team'!$C$10="D" ),1,0)+IF( AND((COUNTIF(EV$2:EV$33,'Your Team'!$D$11)&gt;0),'Your Team'!$C$11="D" ),1,0)+IF( AND((COUNTIF(EV$2:EV$33,'Your Team'!$D$12)&gt;0),'Your Team'!$C$12="D" ),1,0)+IF( AND((COUNTIF(EV$2:EV$33,'Your Team'!$D$13)&gt;0),'Your Team'!$C$13="D" ),1,0)+IF( AND((COUNTIF(EV$2:EV$33,'Your Team'!$D$14)&gt;0),'Your Team'!$C$14="D" ),1,0)+IF( AND((COUNTIF(EV$2:EV$33,'Your Team'!$D$15)&gt;0),'Your Team'!$C$15="D" ),1,0)+IF( AND((COUNTIF(EV$2:EV$33,'Your Team'!$D$16)&gt;0),'Your Team'!$C$16="D" ),1,0)+IF( AND((COUNTIF(EV$2:EV$33,'Your Team'!$D$17)&gt;0),'Your Team'!$C$17="D" ),1,0)+IF( AND((COUNTIF(EV$2:EV$33,'Your Team'!$D$18)&gt;0),'Your Team'!$C$18="D" ),1,0)+IF( AND((COUNTIF(EV$2:EV$33,'Your Team'!$D$19)&gt;0),'Your Team'!$C$19="D" ),1,0)</f>
        <v>0</v>
      </c>
      <c r="EW39" s="9">
        <f>IF( AND((COUNTIF(EW$2:EW$33,'Your Team'!$D$3)&gt;0),'Your Team'!$C$3="D" ),1,0)+IF( AND((COUNTIF(EW$2:EW$33,'Your Team'!$D$4)&gt;0),'Your Team'!$C$4="D" ),1,0)+IF( AND((COUNTIF(EW$2:EW$33,'Your Team'!$D$5)&gt;0),'Your Team'!$C$5="D" ),1,0)+IF( AND((COUNTIF(EW$2:EW$33,'Your Team'!$D$6)&gt;0),'Your Team'!$C$6="D" ),1,0)+IF( AND((COUNTIF(EW$2:EW$33,'Your Team'!$D$7)&gt;0),'Your Team'!$C$7="D" ),1,0)+IF( AND((COUNTIF(EW$2:EW$33,'Your Team'!$D$8)&gt;0),'Your Team'!$C$8="D" ),1,0)+IF( AND((COUNTIF(EW$2:EW$33,'Your Team'!$D$9)&gt;0),'Your Team'!$C$9="D" ),1,0)+IF( AND((COUNTIF(EW$2:EW$33,'Your Team'!$D$10)&gt;0),'Your Team'!$C$10="D" ),1,0)+IF( AND((COUNTIF(EW$2:EW$33,'Your Team'!$D$11)&gt;0),'Your Team'!$C$11="D" ),1,0)+IF( AND((COUNTIF(EW$2:EW$33,'Your Team'!$D$12)&gt;0),'Your Team'!$C$12="D" ),1,0)+IF( AND((COUNTIF(EW$2:EW$33,'Your Team'!$D$13)&gt;0),'Your Team'!$C$13="D" ),1,0)+IF( AND((COUNTIF(EW$2:EW$33,'Your Team'!$D$14)&gt;0),'Your Team'!$C$14="D" ),1,0)+IF( AND((COUNTIF(EW$2:EW$33,'Your Team'!$D$15)&gt;0),'Your Team'!$C$15="D" ),1,0)+IF( AND((COUNTIF(EW$2:EW$33,'Your Team'!$D$16)&gt;0),'Your Team'!$C$16="D" ),1,0)+IF( AND((COUNTIF(EW$2:EW$33,'Your Team'!$D$17)&gt;0),'Your Team'!$C$17="D" ),1,0)+IF( AND((COUNTIF(EW$2:EW$33,'Your Team'!$D$18)&gt;0),'Your Team'!$C$18="D" ),1,0)+IF( AND((COUNTIF(EW$2:EW$33,'Your Team'!$D$19)&gt;0),'Your Team'!$C$19="D" ),1,0)</f>
        <v>0</v>
      </c>
      <c r="EX39" s="9">
        <f>IF( AND((COUNTIF(EX$2:EX$33,'Your Team'!$D$3)&gt;0),'Your Team'!$C$3="D" ),1,0)+IF( AND((COUNTIF(EX$2:EX$33,'Your Team'!$D$4)&gt;0),'Your Team'!$C$4="D" ),1,0)+IF( AND((COUNTIF(EX$2:EX$33,'Your Team'!$D$5)&gt;0),'Your Team'!$C$5="D" ),1,0)+IF( AND((COUNTIF(EX$2:EX$33,'Your Team'!$D$6)&gt;0),'Your Team'!$C$6="D" ),1,0)+IF( AND((COUNTIF(EX$2:EX$33,'Your Team'!$D$7)&gt;0),'Your Team'!$C$7="D" ),1,0)+IF( AND((COUNTIF(EX$2:EX$33,'Your Team'!$D$8)&gt;0),'Your Team'!$C$8="D" ),1,0)+IF( AND((COUNTIF(EX$2:EX$33,'Your Team'!$D$9)&gt;0),'Your Team'!$C$9="D" ),1,0)+IF( AND((COUNTIF(EX$2:EX$33,'Your Team'!$D$10)&gt;0),'Your Team'!$C$10="D" ),1,0)+IF( AND((COUNTIF(EX$2:EX$33,'Your Team'!$D$11)&gt;0),'Your Team'!$C$11="D" ),1,0)+IF( AND((COUNTIF(EX$2:EX$33,'Your Team'!$D$12)&gt;0),'Your Team'!$C$12="D" ),1,0)+IF( AND((COUNTIF(EX$2:EX$33,'Your Team'!$D$13)&gt;0),'Your Team'!$C$13="D" ),1,0)+IF( AND((COUNTIF(EX$2:EX$33,'Your Team'!$D$14)&gt;0),'Your Team'!$C$14="D" ),1,0)+IF( AND((COUNTIF(EX$2:EX$33,'Your Team'!$D$15)&gt;0),'Your Team'!$C$15="D" ),1,0)+IF( AND((COUNTIF(EX$2:EX$33,'Your Team'!$D$16)&gt;0),'Your Team'!$C$16="D" ),1,0)+IF( AND((COUNTIF(EX$2:EX$33,'Your Team'!$D$17)&gt;0),'Your Team'!$C$17="D" ),1,0)+IF( AND((COUNTIF(EX$2:EX$33,'Your Team'!$D$18)&gt;0),'Your Team'!$C$18="D" ),1,0)+IF( AND((COUNTIF(EX$2:EX$33,'Your Team'!$D$19)&gt;0),'Your Team'!$C$19="D" ),1,0)</f>
        <v>0</v>
      </c>
      <c r="EY39" s="9">
        <f>IF( AND((COUNTIF(EY$2:EY$33,'Your Team'!$D$3)&gt;0),'Your Team'!$C$3="D" ),1,0)+IF( AND((COUNTIF(EY$2:EY$33,'Your Team'!$D$4)&gt;0),'Your Team'!$C$4="D" ),1,0)+IF( AND((COUNTIF(EY$2:EY$33,'Your Team'!$D$5)&gt;0),'Your Team'!$C$5="D" ),1,0)+IF( AND((COUNTIF(EY$2:EY$33,'Your Team'!$D$6)&gt;0),'Your Team'!$C$6="D" ),1,0)+IF( AND((COUNTIF(EY$2:EY$33,'Your Team'!$D$7)&gt;0),'Your Team'!$C$7="D" ),1,0)+IF( AND((COUNTIF(EY$2:EY$33,'Your Team'!$D$8)&gt;0),'Your Team'!$C$8="D" ),1,0)+IF( AND((COUNTIF(EY$2:EY$33,'Your Team'!$D$9)&gt;0),'Your Team'!$C$9="D" ),1,0)+IF( AND((COUNTIF(EY$2:EY$33,'Your Team'!$D$10)&gt;0),'Your Team'!$C$10="D" ),1,0)+IF( AND((COUNTIF(EY$2:EY$33,'Your Team'!$D$11)&gt;0),'Your Team'!$C$11="D" ),1,0)+IF( AND((COUNTIF(EY$2:EY$33,'Your Team'!$D$12)&gt;0),'Your Team'!$C$12="D" ),1,0)+IF( AND((COUNTIF(EY$2:EY$33,'Your Team'!$D$13)&gt;0),'Your Team'!$C$13="D" ),1,0)+IF( AND((COUNTIF(EY$2:EY$33,'Your Team'!$D$14)&gt;0),'Your Team'!$C$14="D" ),1,0)+IF( AND((COUNTIF(EY$2:EY$33,'Your Team'!$D$15)&gt;0),'Your Team'!$C$15="D" ),1,0)+IF( AND((COUNTIF(EY$2:EY$33,'Your Team'!$D$16)&gt;0),'Your Team'!$C$16="D" ),1,0)+IF( AND((COUNTIF(EY$2:EY$33,'Your Team'!$D$17)&gt;0),'Your Team'!$C$17="D" ),1,0)+IF( AND((COUNTIF(EY$2:EY$33,'Your Team'!$D$18)&gt;0),'Your Team'!$C$18="D" ),1,0)+IF( AND((COUNTIF(EY$2:EY$33,'Your Team'!$D$19)&gt;0),'Your Team'!$C$19="D" ),1,0)</f>
        <v>0</v>
      </c>
      <c r="EZ39" s="9">
        <f>IF( AND((COUNTIF(EZ$2:EZ$33,'Your Team'!$D$3)&gt;0),'Your Team'!$C$3="D" ),1,0)+IF( AND((COUNTIF(EZ$2:EZ$33,'Your Team'!$D$4)&gt;0),'Your Team'!$C$4="D" ),1,0)+IF( AND((COUNTIF(EZ$2:EZ$33,'Your Team'!$D$5)&gt;0),'Your Team'!$C$5="D" ),1,0)+IF( AND((COUNTIF(EZ$2:EZ$33,'Your Team'!$D$6)&gt;0),'Your Team'!$C$6="D" ),1,0)+IF( AND((COUNTIF(EZ$2:EZ$33,'Your Team'!$D$7)&gt;0),'Your Team'!$C$7="D" ),1,0)+IF( AND((COUNTIF(EZ$2:EZ$33,'Your Team'!$D$8)&gt;0),'Your Team'!$C$8="D" ),1,0)+IF( AND((COUNTIF(EZ$2:EZ$33,'Your Team'!$D$9)&gt;0),'Your Team'!$C$9="D" ),1,0)+IF( AND((COUNTIF(EZ$2:EZ$33,'Your Team'!$D$10)&gt;0),'Your Team'!$C$10="D" ),1,0)+IF( AND((COUNTIF(EZ$2:EZ$33,'Your Team'!$D$11)&gt;0),'Your Team'!$C$11="D" ),1,0)+IF( AND((COUNTIF(EZ$2:EZ$33,'Your Team'!$D$12)&gt;0),'Your Team'!$C$12="D" ),1,0)+IF( AND((COUNTIF(EZ$2:EZ$33,'Your Team'!$D$13)&gt;0),'Your Team'!$C$13="D" ),1,0)+IF( AND((COUNTIF(EZ$2:EZ$33,'Your Team'!$D$14)&gt;0),'Your Team'!$C$14="D" ),1,0)+IF( AND((COUNTIF(EZ$2:EZ$33,'Your Team'!$D$15)&gt;0),'Your Team'!$C$15="D" ),1,0)+IF( AND((COUNTIF(EZ$2:EZ$33,'Your Team'!$D$16)&gt;0),'Your Team'!$C$16="D" ),1,0)+IF( AND((COUNTIF(EZ$2:EZ$33,'Your Team'!$D$17)&gt;0),'Your Team'!$C$17="D" ),1,0)+IF( AND((COUNTIF(EZ$2:EZ$33,'Your Team'!$D$18)&gt;0),'Your Team'!$C$18="D" ),1,0)+IF( AND((COUNTIF(EZ$2:EZ$33,'Your Team'!$D$19)&gt;0),'Your Team'!$C$19="D" ),1,0)</f>
        <v>0</v>
      </c>
      <c r="FA39" s="9">
        <f>IF( AND((COUNTIF(FA$2:FA$33,'Your Team'!$D$3)&gt;0),'Your Team'!$C$3="D" ),1,0)+IF( AND((COUNTIF(FA$2:FA$33,'Your Team'!$D$4)&gt;0),'Your Team'!$C$4="D" ),1,0)+IF( AND((COUNTIF(FA$2:FA$33,'Your Team'!$D$5)&gt;0),'Your Team'!$C$5="D" ),1,0)+IF( AND((COUNTIF(FA$2:FA$33,'Your Team'!$D$6)&gt;0),'Your Team'!$C$6="D" ),1,0)+IF( AND((COUNTIF(FA$2:FA$33,'Your Team'!$D$7)&gt;0),'Your Team'!$C$7="D" ),1,0)+IF( AND((COUNTIF(FA$2:FA$33,'Your Team'!$D$8)&gt;0),'Your Team'!$C$8="D" ),1,0)+IF( AND((COUNTIF(FA$2:FA$33,'Your Team'!$D$9)&gt;0),'Your Team'!$C$9="D" ),1,0)+IF( AND((COUNTIF(FA$2:FA$33,'Your Team'!$D$10)&gt;0),'Your Team'!$C$10="D" ),1,0)+IF( AND((COUNTIF(FA$2:FA$33,'Your Team'!$D$11)&gt;0),'Your Team'!$C$11="D" ),1,0)+IF( AND((COUNTIF(FA$2:FA$33,'Your Team'!$D$12)&gt;0),'Your Team'!$C$12="D" ),1,0)+IF( AND((COUNTIF(FA$2:FA$33,'Your Team'!$D$13)&gt;0),'Your Team'!$C$13="D" ),1,0)+IF( AND((COUNTIF(FA$2:FA$33,'Your Team'!$D$14)&gt;0),'Your Team'!$C$14="D" ),1,0)+IF( AND((COUNTIF(FA$2:FA$33,'Your Team'!$D$15)&gt;0),'Your Team'!$C$15="D" ),1,0)+IF( AND((COUNTIF(FA$2:FA$33,'Your Team'!$D$16)&gt;0),'Your Team'!$C$16="D" ),1,0)+IF( AND((COUNTIF(FA$2:FA$33,'Your Team'!$D$17)&gt;0),'Your Team'!$C$17="D" ),1,0)+IF( AND((COUNTIF(FA$2:FA$33,'Your Team'!$D$18)&gt;0),'Your Team'!$C$18="D" ),1,0)+IF( AND((COUNTIF(FA$2:FA$33,'Your Team'!$D$19)&gt;0),'Your Team'!$C$19="D" ),1,0)</f>
        <v>0</v>
      </c>
      <c r="FB39" s="9">
        <f>IF( AND((COUNTIF(FB$2:FB$33,'Your Team'!$D$3)&gt;0),'Your Team'!$C$3="D" ),1,0)+IF( AND((COUNTIF(FB$2:FB$33,'Your Team'!$D$4)&gt;0),'Your Team'!$C$4="D" ),1,0)+IF( AND((COUNTIF(FB$2:FB$33,'Your Team'!$D$5)&gt;0),'Your Team'!$C$5="D" ),1,0)+IF( AND((COUNTIF(FB$2:FB$33,'Your Team'!$D$6)&gt;0),'Your Team'!$C$6="D" ),1,0)+IF( AND((COUNTIF(FB$2:FB$33,'Your Team'!$D$7)&gt;0),'Your Team'!$C$7="D" ),1,0)+IF( AND((COUNTIF(FB$2:FB$33,'Your Team'!$D$8)&gt;0),'Your Team'!$C$8="D" ),1,0)+IF( AND((COUNTIF(FB$2:FB$33,'Your Team'!$D$9)&gt;0),'Your Team'!$C$9="D" ),1,0)+IF( AND((COUNTIF(FB$2:FB$33,'Your Team'!$D$10)&gt;0),'Your Team'!$C$10="D" ),1,0)+IF( AND((COUNTIF(FB$2:FB$33,'Your Team'!$D$11)&gt;0),'Your Team'!$C$11="D" ),1,0)+IF( AND((COUNTIF(FB$2:FB$33,'Your Team'!$D$12)&gt;0),'Your Team'!$C$12="D" ),1,0)+IF( AND((COUNTIF(FB$2:FB$33,'Your Team'!$D$13)&gt;0),'Your Team'!$C$13="D" ),1,0)+IF( AND((COUNTIF(FB$2:FB$33,'Your Team'!$D$14)&gt;0),'Your Team'!$C$14="D" ),1,0)+IF( AND((COUNTIF(FB$2:FB$33,'Your Team'!$D$15)&gt;0),'Your Team'!$C$15="D" ),1,0)+IF( AND((COUNTIF(FB$2:FB$33,'Your Team'!$D$16)&gt;0),'Your Team'!$C$16="D" ),1,0)+IF( AND((COUNTIF(FB$2:FB$33,'Your Team'!$D$17)&gt;0),'Your Team'!$C$17="D" ),1,0)+IF( AND((COUNTIF(FB$2:FB$33,'Your Team'!$D$18)&gt;0),'Your Team'!$C$18="D" ),1,0)+IF( AND((COUNTIF(FB$2:FB$33,'Your Team'!$D$19)&gt;0),'Your Team'!$C$19="D" ),1,0)</f>
        <v>0</v>
      </c>
      <c r="FC39" s="9">
        <f>IF( AND((COUNTIF(FC$2:FC$33,'Your Team'!$D$3)&gt;0),'Your Team'!$C$3="D" ),1,0)+IF( AND((COUNTIF(FC$2:FC$33,'Your Team'!$D$4)&gt;0),'Your Team'!$C$4="D" ),1,0)+IF( AND((COUNTIF(FC$2:FC$33,'Your Team'!$D$5)&gt;0),'Your Team'!$C$5="D" ),1,0)+IF( AND((COUNTIF(FC$2:FC$33,'Your Team'!$D$6)&gt;0),'Your Team'!$C$6="D" ),1,0)+IF( AND((COUNTIF(FC$2:FC$33,'Your Team'!$D$7)&gt;0),'Your Team'!$C$7="D" ),1,0)+IF( AND((COUNTIF(FC$2:FC$33,'Your Team'!$D$8)&gt;0),'Your Team'!$C$8="D" ),1,0)+IF( AND((COUNTIF(FC$2:FC$33,'Your Team'!$D$9)&gt;0),'Your Team'!$C$9="D" ),1,0)+IF( AND((COUNTIF(FC$2:FC$33,'Your Team'!$D$10)&gt;0),'Your Team'!$C$10="D" ),1,0)+IF( AND((COUNTIF(FC$2:FC$33,'Your Team'!$D$11)&gt;0),'Your Team'!$C$11="D" ),1,0)+IF( AND((COUNTIF(FC$2:FC$33,'Your Team'!$D$12)&gt;0),'Your Team'!$C$12="D" ),1,0)+IF( AND((COUNTIF(FC$2:FC$33,'Your Team'!$D$13)&gt;0),'Your Team'!$C$13="D" ),1,0)+IF( AND((COUNTIF(FC$2:FC$33,'Your Team'!$D$14)&gt;0),'Your Team'!$C$14="D" ),1,0)+IF( AND((COUNTIF(FC$2:FC$33,'Your Team'!$D$15)&gt;0),'Your Team'!$C$15="D" ),1,0)+IF( AND((COUNTIF(FC$2:FC$33,'Your Team'!$D$16)&gt;0),'Your Team'!$C$16="D" ),1,0)+IF( AND((COUNTIF(FC$2:FC$33,'Your Team'!$D$17)&gt;0),'Your Team'!$C$17="D" ),1,0)+IF( AND((COUNTIF(FC$2:FC$33,'Your Team'!$D$18)&gt;0),'Your Team'!$C$18="D" ),1,0)+IF( AND((COUNTIF(FC$2:FC$33,'Your Team'!$D$19)&gt;0),'Your Team'!$C$19="D" ),1,0)</f>
        <v>0</v>
      </c>
      <c r="FD39" s="9">
        <f>IF( AND((COUNTIF(FD$2:FD$33,'Your Team'!$D$3)&gt;0),'Your Team'!$C$3="D" ),1,0)+IF( AND((COUNTIF(FD$2:FD$33,'Your Team'!$D$4)&gt;0),'Your Team'!$C$4="D" ),1,0)+IF( AND((COUNTIF(FD$2:FD$33,'Your Team'!$D$5)&gt;0),'Your Team'!$C$5="D" ),1,0)+IF( AND((COUNTIF(FD$2:FD$33,'Your Team'!$D$6)&gt;0),'Your Team'!$C$6="D" ),1,0)+IF( AND((COUNTIF(FD$2:FD$33,'Your Team'!$D$7)&gt;0),'Your Team'!$C$7="D" ),1,0)+IF( AND((COUNTIF(FD$2:FD$33,'Your Team'!$D$8)&gt;0),'Your Team'!$C$8="D" ),1,0)+IF( AND((COUNTIF(FD$2:FD$33,'Your Team'!$D$9)&gt;0),'Your Team'!$C$9="D" ),1,0)+IF( AND((COUNTIF(FD$2:FD$33,'Your Team'!$D$10)&gt;0),'Your Team'!$C$10="D" ),1,0)+IF( AND((COUNTIF(FD$2:FD$33,'Your Team'!$D$11)&gt;0),'Your Team'!$C$11="D" ),1,0)+IF( AND((COUNTIF(FD$2:FD$33,'Your Team'!$D$12)&gt;0),'Your Team'!$C$12="D" ),1,0)+IF( AND((COUNTIF(FD$2:FD$33,'Your Team'!$D$13)&gt;0),'Your Team'!$C$13="D" ),1,0)+IF( AND((COUNTIF(FD$2:FD$33,'Your Team'!$D$14)&gt;0),'Your Team'!$C$14="D" ),1,0)+IF( AND((COUNTIF(FD$2:FD$33,'Your Team'!$D$15)&gt;0),'Your Team'!$C$15="D" ),1,0)+IF( AND((COUNTIF(FD$2:FD$33,'Your Team'!$D$16)&gt;0),'Your Team'!$C$16="D" ),1,0)+IF( AND((COUNTIF(FD$2:FD$33,'Your Team'!$D$17)&gt;0),'Your Team'!$C$17="D" ),1,0)+IF( AND((COUNTIF(FD$2:FD$33,'Your Team'!$D$18)&gt;0),'Your Team'!$C$18="D" ),1,0)+IF( AND((COUNTIF(FD$2:FD$33,'Your Team'!$D$19)&gt;0),'Your Team'!$C$19="D" ),1,0)</f>
        <v>0</v>
      </c>
      <c r="FE39" s="9">
        <f>IF( AND((COUNTIF(FE$2:FE$33,'Your Team'!$D$3)&gt;0),'Your Team'!$C$3="D" ),1,0)+IF( AND((COUNTIF(FE$2:FE$33,'Your Team'!$D$4)&gt;0),'Your Team'!$C$4="D" ),1,0)+IF( AND((COUNTIF(FE$2:FE$33,'Your Team'!$D$5)&gt;0),'Your Team'!$C$5="D" ),1,0)+IF( AND((COUNTIF(FE$2:FE$33,'Your Team'!$D$6)&gt;0),'Your Team'!$C$6="D" ),1,0)+IF( AND((COUNTIF(FE$2:FE$33,'Your Team'!$D$7)&gt;0),'Your Team'!$C$7="D" ),1,0)+IF( AND((COUNTIF(FE$2:FE$33,'Your Team'!$D$8)&gt;0),'Your Team'!$C$8="D" ),1,0)+IF( AND((COUNTIF(FE$2:FE$33,'Your Team'!$D$9)&gt;0),'Your Team'!$C$9="D" ),1,0)+IF( AND((COUNTIF(FE$2:FE$33,'Your Team'!$D$10)&gt;0),'Your Team'!$C$10="D" ),1,0)+IF( AND((COUNTIF(FE$2:FE$33,'Your Team'!$D$11)&gt;0),'Your Team'!$C$11="D" ),1,0)+IF( AND((COUNTIF(FE$2:FE$33,'Your Team'!$D$12)&gt;0),'Your Team'!$C$12="D" ),1,0)+IF( AND((COUNTIF(FE$2:FE$33,'Your Team'!$D$13)&gt;0),'Your Team'!$C$13="D" ),1,0)+IF( AND((COUNTIF(FE$2:FE$33,'Your Team'!$D$14)&gt;0),'Your Team'!$C$14="D" ),1,0)+IF( AND((COUNTIF(FE$2:FE$33,'Your Team'!$D$15)&gt;0),'Your Team'!$C$15="D" ),1,0)+IF( AND((COUNTIF(FE$2:FE$33,'Your Team'!$D$16)&gt;0),'Your Team'!$C$16="D" ),1,0)+IF( AND((COUNTIF(FE$2:FE$33,'Your Team'!$D$17)&gt;0),'Your Team'!$C$17="D" ),1,0)+IF( AND((COUNTIF(FE$2:FE$33,'Your Team'!$D$18)&gt;0),'Your Team'!$C$18="D" ),1,0)+IF( AND((COUNTIF(FE$2:FE$33,'Your Team'!$D$19)&gt;0),'Your Team'!$C$19="D" ),1,0)</f>
        <v>0</v>
      </c>
      <c r="FF39" s="9">
        <f>IF( AND((COUNTIF(FF$2:FF$33,'Your Team'!$D$3)&gt;0),'Your Team'!$C$3="D" ),1,0)+IF( AND((COUNTIF(FF$2:FF$33,'Your Team'!$D$4)&gt;0),'Your Team'!$C$4="D" ),1,0)+IF( AND((COUNTIF(FF$2:FF$33,'Your Team'!$D$5)&gt;0),'Your Team'!$C$5="D" ),1,0)+IF( AND((COUNTIF(FF$2:FF$33,'Your Team'!$D$6)&gt;0),'Your Team'!$C$6="D" ),1,0)+IF( AND((COUNTIF(FF$2:FF$33,'Your Team'!$D$7)&gt;0),'Your Team'!$C$7="D" ),1,0)+IF( AND((COUNTIF(FF$2:FF$33,'Your Team'!$D$8)&gt;0),'Your Team'!$C$8="D" ),1,0)+IF( AND((COUNTIF(FF$2:FF$33,'Your Team'!$D$9)&gt;0),'Your Team'!$C$9="D" ),1,0)+IF( AND((COUNTIF(FF$2:FF$33,'Your Team'!$D$10)&gt;0),'Your Team'!$C$10="D" ),1,0)+IF( AND((COUNTIF(FF$2:FF$33,'Your Team'!$D$11)&gt;0),'Your Team'!$C$11="D" ),1,0)+IF( AND((COUNTIF(FF$2:FF$33,'Your Team'!$D$12)&gt;0),'Your Team'!$C$12="D" ),1,0)+IF( AND((COUNTIF(FF$2:FF$33,'Your Team'!$D$13)&gt;0),'Your Team'!$C$13="D" ),1,0)+IF( AND((COUNTIF(FF$2:FF$33,'Your Team'!$D$14)&gt;0),'Your Team'!$C$14="D" ),1,0)+IF( AND((COUNTIF(FF$2:FF$33,'Your Team'!$D$15)&gt;0),'Your Team'!$C$15="D" ),1,0)+IF( AND((COUNTIF(FF$2:FF$33,'Your Team'!$D$16)&gt;0),'Your Team'!$C$16="D" ),1,0)+IF( AND((COUNTIF(FF$2:FF$33,'Your Team'!$D$17)&gt;0),'Your Team'!$C$17="D" ),1,0)+IF( AND((COUNTIF(FF$2:FF$33,'Your Team'!$D$18)&gt;0),'Your Team'!$C$18="D" ),1,0)+IF( AND((COUNTIF(FF$2:FF$33,'Your Team'!$D$19)&gt;0),'Your Team'!$C$19="D" ),1,0)</f>
        <v>0</v>
      </c>
      <c r="FG39" s="9">
        <f>IF( AND((COUNTIF(FG$2:FG$33,'Your Team'!$D$3)&gt;0),'Your Team'!$C$3="D" ),1,0)+IF( AND((COUNTIF(FG$2:FG$33,'Your Team'!$D$4)&gt;0),'Your Team'!$C$4="D" ),1,0)+IF( AND((COUNTIF(FG$2:FG$33,'Your Team'!$D$5)&gt;0),'Your Team'!$C$5="D" ),1,0)+IF( AND((COUNTIF(FG$2:FG$33,'Your Team'!$D$6)&gt;0),'Your Team'!$C$6="D" ),1,0)+IF( AND((COUNTIF(FG$2:FG$33,'Your Team'!$D$7)&gt;0),'Your Team'!$C$7="D" ),1,0)+IF( AND((COUNTIF(FG$2:FG$33,'Your Team'!$D$8)&gt;0),'Your Team'!$C$8="D" ),1,0)+IF( AND((COUNTIF(FG$2:FG$33,'Your Team'!$D$9)&gt;0),'Your Team'!$C$9="D" ),1,0)+IF( AND((COUNTIF(FG$2:FG$33,'Your Team'!$D$10)&gt;0),'Your Team'!$C$10="D" ),1,0)+IF( AND((COUNTIF(FG$2:FG$33,'Your Team'!$D$11)&gt;0),'Your Team'!$C$11="D" ),1,0)+IF( AND((COUNTIF(FG$2:FG$33,'Your Team'!$D$12)&gt;0),'Your Team'!$C$12="D" ),1,0)+IF( AND((COUNTIF(FG$2:FG$33,'Your Team'!$D$13)&gt;0),'Your Team'!$C$13="D" ),1,0)+IF( AND((COUNTIF(FG$2:FG$33,'Your Team'!$D$14)&gt;0),'Your Team'!$C$14="D" ),1,0)+IF( AND((COUNTIF(FG$2:FG$33,'Your Team'!$D$15)&gt;0),'Your Team'!$C$15="D" ),1,0)+IF( AND((COUNTIF(FG$2:FG$33,'Your Team'!$D$16)&gt;0),'Your Team'!$C$16="D" ),1,0)+IF( AND((COUNTIF(FG$2:FG$33,'Your Team'!$D$17)&gt;0),'Your Team'!$C$17="D" ),1,0)+IF( AND((COUNTIF(FG$2:FG$33,'Your Team'!$D$18)&gt;0),'Your Team'!$C$18="D" ),1,0)+IF( AND((COUNTIF(FG$2:FG$33,'Your Team'!$D$19)&gt;0),'Your Team'!$C$19="D" ),1,0)</f>
        <v>0</v>
      </c>
      <c r="FH39" s="9">
        <f>IF( AND((COUNTIF(FH$2:FH$33,'Your Team'!$D$3)&gt;0),'Your Team'!$C$3="D" ),1,0)+IF( AND((COUNTIF(FH$2:FH$33,'Your Team'!$D$4)&gt;0),'Your Team'!$C$4="D" ),1,0)+IF( AND((COUNTIF(FH$2:FH$33,'Your Team'!$D$5)&gt;0),'Your Team'!$C$5="D" ),1,0)+IF( AND((COUNTIF(FH$2:FH$33,'Your Team'!$D$6)&gt;0),'Your Team'!$C$6="D" ),1,0)+IF( AND((COUNTIF(FH$2:FH$33,'Your Team'!$D$7)&gt;0),'Your Team'!$C$7="D" ),1,0)+IF( AND((COUNTIF(FH$2:FH$33,'Your Team'!$D$8)&gt;0),'Your Team'!$C$8="D" ),1,0)+IF( AND((COUNTIF(FH$2:FH$33,'Your Team'!$D$9)&gt;0),'Your Team'!$C$9="D" ),1,0)+IF( AND((COUNTIF(FH$2:FH$33,'Your Team'!$D$10)&gt;0),'Your Team'!$C$10="D" ),1,0)+IF( AND((COUNTIF(FH$2:FH$33,'Your Team'!$D$11)&gt;0),'Your Team'!$C$11="D" ),1,0)+IF( AND((COUNTIF(FH$2:FH$33,'Your Team'!$D$12)&gt;0),'Your Team'!$C$12="D" ),1,0)+IF( AND((COUNTIF(FH$2:FH$33,'Your Team'!$D$13)&gt;0),'Your Team'!$C$13="D" ),1,0)+IF( AND((COUNTIF(FH$2:FH$33,'Your Team'!$D$14)&gt;0),'Your Team'!$C$14="D" ),1,0)+IF( AND((COUNTIF(FH$2:FH$33,'Your Team'!$D$15)&gt;0),'Your Team'!$C$15="D" ),1,0)+IF( AND((COUNTIF(FH$2:FH$33,'Your Team'!$D$16)&gt;0),'Your Team'!$C$16="D" ),1,0)+IF( AND((COUNTIF(FH$2:FH$33,'Your Team'!$D$17)&gt;0),'Your Team'!$C$17="D" ),1,0)+IF( AND((COUNTIF(FH$2:FH$33,'Your Team'!$D$18)&gt;0),'Your Team'!$C$18="D" ),1,0)+IF( AND((COUNTIF(FH$2:FH$33,'Your Team'!$D$19)&gt;0),'Your Team'!$C$19="D" ),1,0)</f>
        <v>0</v>
      </c>
      <c r="FI39" s="9">
        <f>IF( AND((COUNTIF(FI$2:FI$33,'Your Team'!$D$3)&gt;0),'Your Team'!$C$3="D" ),1,0)+IF( AND((COUNTIF(FI$2:FI$33,'Your Team'!$D$4)&gt;0),'Your Team'!$C$4="D" ),1,0)+IF( AND((COUNTIF(FI$2:FI$33,'Your Team'!$D$5)&gt;0),'Your Team'!$C$5="D" ),1,0)+IF( AND((COUNTIF(FI$2:FI$33,'Your Team'!$D$6)&gt;0),'Your Team'!$C$6="D" ),1,0)+IF( AND((COUNTIF(FI$2:FI$33,'Your Team'!$D$7)&gt;0),'Your Team'!$C$7="D" ),1,0)+IF( AND((COUNTIF(FI$2:FI$33,'Your Team'!$D$8)&gt;0),'Your Team'!$C$8="D" ),1,0)+IF( AND((COUNTIF(FI$2:FI$33,'Your Team'!$D$9)&gt;0),'Your Team'!$C$9="D" ),1,0)+IF( AND((COUNTIF(FI$2:FI$33,'Your Team'!$D$10)&gt;0),'Your Team'!$C$10="D" ),1,0)+IF( AND((COUNTIF(FI$2:FI$33,'Your Team'!$D$11)&gt;0),'Your Team'!$C$11="D" ),1,0)+IF( AND((COUNTIF(FI$2:FI$33,'Your Team'!$D$12)&gt;0),'Your Team'!$C$12="D" ),1,0)+IF( AND((COUNTIF(FI$2:FI$33,'Your Team'!$D$13)&gt;0),'Your Team'!$C$13="D" ),1,0)+IF( AND((COUNTIF(FI$2:FI$33,'Your Team'!$D$14)&gt;0),'Your Team'!$C$14="D" ),1,0)+IF( AND((COUNTIF(FI$2:FI$33,'Your Team'!$D$15)&gt;0),'Your Team'!$C$15="D" ),1,0)+IF( AND((COUNTIF(FI$2:FI$33,'Your Team'!$D$16)&gt;0),'Your Team'!$C$16="D" ),1,0)+IF( AND((COUNTIF(FI$2:FI$33,'Your Team'!$D$17)&gt;0),'Your Team'!$C$17="D" ),1,0)+IF( AND((COUNTIF(FI$2:FI$33,'Your Team'!$D$18)&gt;0),'Your Team'!$C$18="D" ),1,0)+IF( AND((COUNTIF(FI$2:FI$33,'Your Team'!$D$19)&gt;0),'Your Team'!$C$19="D" ),1,0)</f>
        <v>0</v>
      </c>
      <c r="FJ39" s="9">
        <f>IF( AND((COUNTIF(FJ$2:FJ$33,'Your Team'!$D$3)&gt;0),'Your Team'!$C$3="D" ),1,0)+IF( AND((COUNTIF(FJ$2:FJ$33,'Your Team'!$D$4)&gt;0),'Your Team'!$C$4="D" ),1,0)+IF( AND((COUNTIF(FJ$2:FJ$33,'Your Team'!$D$5)&gt;0),'Your Team'!$C$5="D" ),1,0)+IF( AND((COUNTIF(FJ$2:FJ$33,'Your Team'!$D$6)&gt;0),'Your Team'!$C$6="D" ),1,0)+IF( AND((COUNTIF(FJ$2:FJ$33,'Your Team'!$D$7)&gt;0),'Your Team'!$C$7="D" ),1,0)+IF( AND((COUNTIF(FJ$2:FJ$33,'Your Team'!$D$8)&gt;0),'Your Team'!$C$8="D" ),1,0)+IF( AND((COUNTIF(FJ$2:FJ$33,'Your Team'!$D$9)&gt;0),'Your Team'!$C$9="D" ),1,0)+IF( AND((COUNTIF(FJ$2:FJ$33,'Your Team'!$D$10)&gt;0),'Your Team'!$C$10="D" ),1,0)+IF( AND((COUNTIF(FJ$2:FJ$33,'Your Team'!$D$11)&gt;0),'Your Team'!$C$11="D" ),1,0)+IF( AND((COUNTIF(FJ$2:FJ$33,'Your Team'!$D$12)&gt;0),'Your Team'!$C$12="D" ),1,0)+IF( AND((COUNTIF(FJ$2:FJ$33,'Your Team'!$D$13)&gt;0),'Your Team'!$C$13="D" ),1,0)+IF( AND((COUNTIF(FJ$2:FJ$33,'Your Team'!$D$14)&gt;0),'Your Team'!$C$14="D" ),1,0)+IF( AND((COUNTIF(FJ$2:FJ$33,'Your Team'!$D$15)&gt;0),'Your Team'!$C$15="D" ),1,0)+IF( AND((COUNTIF(FJ$2:FJ$33,'Your Team'!$D$16)&gt;0),'Your Team'!$C$16="D" ),1,0)+IF( AND((COUNTIF(FJ$2:FJ$33,'Your Team'!$D$17)&gt;0),'Your Team'!$C$17="D" ),1,0)+IF( AND((COUNTIF(FJ$2:FJ$33,'Your Team'!$D$18)&gt;0),'Your Team'!$C$18="D" ),1,0)+IF( AND((COUNTIF(FJ$2:FJ$33,'Your Team'!$D$19)&gt;0),'Your Team'!$C$19="D" ),1,0)</f>
        <v>0</v>
      </c>
      <c r="FK39" s="9">
        <f>IF( AND((COUNTIF(FK$2:FK$33,'Your Team'!$D$3)&gt;0),'Your Team'!$C$3="D" ),1,0)+IF( AND((COUNTIF(FK$2:FK$33,'Your Team'!$D$4)&gt;0),'Your Team'!$C$4="D" ),1,0)+IF( AND((COUNTIF(FK$2:FK$33,'Your Team'!$D$5)&gt;0),'Your Team'!$C$5="D" ),1,0)+IF( AND((COUNTIF(FK$2:FK$33,'Your Team'!$D$6)&gt;0),'Your Team'!$C$6="D" ),1,0)+IF( AND((COUNTIF(FK$2:FK$33,'Your Team'!$D$7)&gt;0),'Your Team'!$C$7="D" ),1,0)+IF( AND((COUNTIF(FK$2:FK$33,'Your Team'!$D$8)&gt;0),'Your Team'!$C$8="D" ),1,0)+IF( AND((COUNTIF(FK$2:FK$33,'Your Team'!$D$9)&gt;0),'Your Team'!$C$9="D" ),1,0)+IF( AND((COUNTIF(FK$2:FK$33,'Your Team'!$D$10)&gt;0),'Your Team'!$C$10="D" ),1,0)+IF( AND((COUNTIF(FK$2:FK$33,'Your Team'!$D$11)&gt;0),'Your Team'!$C$11="D" ),1,0)+IF( AND((COUNTIF(FK$2:FK$33,'Your Team'!$D$12)&gt;0),'Your Team'!$C$12="D" ),1,0)+IF( AND((COUNTIF(FK$2:FK$33,'Your Team'!$D$13)&gt;0),'Your Team'!$C$13="D" ),1,0)+IF( AND((COUNTIF(FK$2:FK$33,'Your Team'!$D$14)&gt;0),'Your Team'!$C$14="D" ),1,0)+IF( AND((COUNTIF(FK$2:FK$33,'Your Team'!$D$15)&gt;0),'Your Team'!$C$15="D" ),1,0)+IF( AND((COUNTIF(FK$2:FK$33,'Your Team'!$D$16)&gt;0),'Your Team'!$C$16="D" ),1,0)+IF( AND((COUNTIF(FK$2:FK$33,'Your Team'!$D$17)&gt;0),'Your Team'!$C$17="D" ),1,0)+IF( AND((COUNTIF(FK$2:FK$33,'Your Team'!$D$18)&gt;0),'Your Team'!$C$18="D" ),1,0)+IF( AND((COUNTIF(FK$2:FK$33,'Your Team'!$D$19)&gt;0),'Your Team'!$C$19="D" ),1,0)</f>
        <v>0</v>
      </c>
      <c r="FL39" s="9">
        <f>IF( AND((COUNTIF(FL$2:FL$33,'Your Team'!$D$3)&gt;0),'Your Team'!$C$3="D" ),1,0)+IF( AND((COUNTIF(FL$2:FL$33,'Your Team'!$D$4)&gt;0),'Your Team'!$C$4="D" ),1,0)+IF( AND((COUNTIF(FL$2:FL$33,'Your Team'!$D$5)&gt;0),'Your Team'!$C$5="D" ),1,0)+IF( AND((COUNTIF(FL$2:FL$33,'Your Team'!$D$6)&gt;0),'Your Team'!$C$6="D" ),1,0)+IF( AND((COUNTIF(FL$2:FL$33,'Your Team'!$D$7)&gt;0),'Your Team'!$C$7="D" ),1,0)+IF( AND((COUNTIF(FL$2:FL$33,'Your Team'!$D$8)&gt;0),'Your Team'!$C$8="D" ),1,0)+IF( AND((COUNTIF(FL$2:FL$33,'Your Team'!$D$9)&gt;0),'Your Team'!$C$9="D" ),1,0)+IF( AND((COUNTIF(FL$2:FL$33,'Your Team'!$D$10)&gt;0),'Your Team'!$C$10="D" ),1,0)+IF( AND((COUNTIF(FL$2:FL$33,'Your Team'!$D$11)&gt;0),'Your Team'!$C$11="D" ),1,0)+IF( AND((COUNTIF(FL$2:FL$33,'Your Team'!$D$12)&gt;0),'Your Team'!$C$12="D" ),1,0)+IF( AND((COUNTIF(FL$2:FL$33,'Your Team'!$D$13)&gt;0),'Your Team'!$C$13="D" ),1,0)+IF( AND((COUNTIF(FL$2:FL$33,'Your Team'!$D$14)&gt;0),'Your Team'!$C$14="D" ),1,0)+IF( AND((COUNTIF(FL$2:FL$33,'Your Team'!$D$15)&gt;0),'Your Team'!$C$15="D" ),1,0)+IF( AND((COUNTIF(FL$2:FL$33,'Your Team'!$D$16)&gt;0),'Your Team'!$C$16="D" ),1,0)+IF( AND((COUNTIF(FL$2:FL$33,'Your Team'!$D$17)&gt;0),'Your Team'!$C$17="D" ),1,0)+IF( AND((COUNTIF(FL$2:FL$33,'Your Team'!$D$18)&gt;0),'Your Team'!$C$18="D" ),1,0)+IF( AND((COUNTIF(FL$2:FL$33,'Your Team'!$D$19)&gt;0),'Your Team'!$C$19="D" ),1,0)</f>
        <v>0</v>
      </c>
      <c r="FM39" s="9">
        <f>IF( AND((COUNTIF(FM$2:FM$33,'Your Team'!$D$3)&gt;0),'Your Team'!$C$3="D" ),1,0)+IF( AND((COUNTIF(FM$2:FM$33,'Your Team'!$D$4)&gt;0),'Your Team'!$C$4="D" ),1,0)+IF( AND((COUNTIF(FM$2:FM$33,'Your Team'!$D$5)&gt;0),'Your Team'!$C$5="D" ),1,0)+IF( AND((COUNTIF(FM$2:FM$33,'Your Team'!$D$6)&gt;0),'Your Team'!$C$6="D" ),1,0)+IF( AND((COUNTIF(FM$2:FM$33,'Your Team'!$D$7)&gt;0),'Your Team'!$C$7="D" ),1,0)+IF( AND((COUNTIF(FM$2:FM$33,'Your Team'!$D$8)&gt;0),'Your Team'!$C$8="D" ),1,0)+IF( AND((COUNTIF(FM$2:FM$33,'Your Team'!$D$9)&gt;0),'Your Team'!$C$9="D" ),1,0)+IF( AND((COUNTIF(FM$2:FM$33,'Your Team'!$D$10)&gt;0),'Your Team'!$C$10="D" ),1,0)+IF( AND((COUNTIF(FM$2:FM$33,'Your Team'!$D$11)&gt;0),'Your Team'!$C$11="D" ),1,0)+IF( AND((COUNTIF(FM$2:FM$33,'Your Team'!$D$12)&gt;0),'Your Team'!$C$12="D" ),1,0)+IF( AND((COUNTIF(FM$2:FM$33,'Your Team'!$D$13)&gt;0),'Your Team'!$C$13="D" ),1,0)+IF( AND((COUNTIF(FM$2:FM$33,'Your Team'!$D$14)&gt;0),'Your Team'!$C$14="D" ),1,0)+IF( AND((COUNTIF(FM$2:FM$33,'Your Team'!$D$15)&gt;0),'Your Team'!$C$15="D" ),1,0)+IF( AND((COUNTIF(FM$2:FM$33,'Your Team'!$D$16)&gt;0),'Your Team'!$C$16="D" ),1,0)+IF( AND((COUNTIF(FM$2:FM$33,'Your Team'!$D$17)&gt;0),'Your Team'!$C$17="D" ),1,0)+IF( AND((COUNTIF(FM$2:FM$33,'Your Team'!$D$18)&gt;0),'Your Team'!$C$18="D" ),1,0)+IF( AND((COUNTIF(FM$2:FM$33,'Your Team'!$D$19)&gt;0),'Your Team'!$C$19="D" ),1,0)</f>
        <v>0</v>
      </c>
      <c r="FN39" s="9">
        <f>IF( AND((COUNTIF(FN$2:FN$33,'Your Team'!$D$3)&gt;0),'Your Team'!$C$3="D" ),1,0)+IF( AND((COUNTIF(FN$2:FN$33,'Your Team'!$D$4)&gt;0),'Your Team'!$C$4="D" ),1,0)+IF( AND((COUNTIF(FN$2:FN$33,'Your Team'!$D$5)&gt;0),'Your Team'!$C$5="D" ),1,0)+IF( AND((COUNTIF(FN$2:FN$33,'Your Team'!$D$6)&gt;0),'Your Team'!$C$6="D" ),1,0)+IF( AND((COUNTIF(FN$2:FN$33,'Your Team'!$D$7)&gt;0),'Your Team'!$C$7="D" ),1,0)+IF( AND((COUNTIF(FN$2:FN$33,'Your Team'!$D$8)&gt;0),'Your Team'!$C$8="D" ),1,0)+IF( AND((COUNTIF(FN$2:FN$33,'Your Team'!$D$9)&gt;0),'Your Team'!$C$9="D" ),1,0)+IF( AND((COUNTIF(FN$2:FN$33,'Your Team'!$D$10)&gt;0),'Your Team'!$C$10="D" ),1,0)+IF( AND((COUNTIF(FN$2:FN$33,'Your Team'!$D$11)&gt;0),'Your Team'!$C$11="D" ),1,0)+IF( AND((COUNTIF(FN$2:FN$33,'Your Team'!$D$12)&gt;0),'Your Team'!$C$12="D" ),1,0)+IF( AND((COUNTIF(FN$2:FN$33,'Your Team'!$D$13)&gt;0),'Your Team'!$C$13="D" ),1,0)+IF( AND((COUNTIF(FN$2:FN$33,'Your Team'!$D$14)&gt;0),'Your Team'!$C$14="D" ),1,0)+IF( AND((COUNTIF(FN$2:FN$33,'Your Team'!$D$15)&gt;0),'Your Team'!$C$15="D" ),1,0)+IF( AND((COUNTIF(FN$2:FN$33,'Your Team'!$D$16)&gt;0),'Your Team'!$C$16="D" ),1,0)+IF( AND((COUNTIF(FN$2:FN$33,'Your Team'!$D$17)&gt;0),'Your Team'!$C$17="D" ),1,0)+IF( AND((COUNTIF(FN$2:FN$33,'Your Team'!$D$18)&gt;0),'Your Team'!$C$18="D" ),1,0)+IF( AND((COUNTIF(FN$2:FN$33,'Your Team'!$D$19)&gt;0),'Your Team'!$C$19="D" ),1,0)</f>
        <v>0</v>
      </c>
      <c r="FO39" s="9">
        <f>IF( AND((COUNTIF(FO$2:FO$33,'Your Team'!$D$3)&gt;0),'Your Team'!$C$3="D" ),1,0)+IF( AND((COUNTIF(FO$2:FO$33,'Your Team'!$D$4)&gt;0),'Your Team'!$C$4="D" ),1,0)+IF( AND((COUNTIF(FO$2:FO$33,'Your Team'!$D$5)&gt;0),'Your Team'!$C$5="D" ),1,0)+IF( AND((COUNTIF(FO$2:FO$33,'Your Team'!$D$6)&gt;0),'Your Team'!$C$6="D" ),1,0)+IF( AND((COUNTIF(FO$2:FO$33,'Your Team'!$D$7)&gt;0),'Your Team'!$C$7="D" ),1,0)+IF( AND((COUNTIF(FO$2:FO$33,'Your Team'!$D$8)&gt;0),'Your Team'!$C$8="D" ),1,0)+IF( AND((COUNTIF(FO$2:FO$33,'Your Team'!$D$9)&gt;0),'Your Team'!$C$9="D" ),1,0)+IF( AND((COUNTIF(FO$2:FO$33,'Your Team'!$D$10)&gt;0),'Your Team'!$C$10="D" ),1,0)+IF( AND((COUNTIF(FO$2:FO$33,'Your Team'!$D$11)&gt;0),'Your Team'!$C$11="D" ),1,0)+IF( AND((COUNTIF(FO$2:FO$33,'Your Team'!$D$12)&gt;0),'Your Team'!$C$12="D" ),1,0)+IF( AND((COUNTIF(FO$2:FO$33,'Your Team'!$D$13)&gt;0),'Your Team'!$C$13="D" ),1,0)+IF( AND((COUNTIF(FO$2:FO$33,'Your Team'!$D$14)&gt;0),'Your Team'!$C$14="D" ),1,0)+IF( AND((COUNTIF(FO$2:FO$33,'Your Team'!$D$15)&gt;0),'Your Team'!$C$15="D" ),1,0)+IF( AND((COUNTIF(FO$2:FO$33,'Your Team'!$D$16)&gt;0),'Your Team'!$C$16="D" ),1,0)+IF( AND((COUNTIF(FO$2:FO$33,'Your Team'!$D$17)&gt;0),'Your Team'!$C$17="D" ),1,0)+IF( AND((COUNTIF(FO$2:FO$33,'Your Team'!$D$18)&gt;0),'Your Team'!$C$18="D" ),1,0)+IF( AND((COUNTIF(FO$2:FO$33,'Your Team'!$D$19)&gt;0),'Your Team'!$C$19="D" ),1,0)</f>
        <v>0</v>
      </c>
      <c r="FP39" s="9">
        <f>IF( AND((COUNTIF(FP$2:FP$33,'Your Team'!$D$3)&gt;0),'Your Team'!$C$3="D" ),1,0)+IF( AND((COUNTIF(FP$2:FP$33,'Your Team'!$D$4)&gt;0),'Your Team'!$C$4="D" ),1,0)+IF( AND((COUNTIF(FP$2:FP$33,'Your Team'!$D$5)&gt;0),'Your Team'!$C$5="D" ),1,0)+IF( AND((COUNTIF(FP$2:FP$33,'Your Team'!$D$6)&gt;0),'Your Team'!$C$6="D" ),1,0)+IF( AND((COUNTIF(FP$2:FP$33,'Your Team'!$D$7)&gt;0),'Your Team'!$C$7="D" ),1,0)+IF( AND((COUNTIF(FP$2:FP$33,'Your Team'!$D$8)&gt;0),'Your Team'!$C$8="D" ),1,0)+IF( AND((COUNTIF(FP$2:FP$33,'Your Team'!$D$9)&gt;0),'Your Team'!$C$9="D" ),1,0)+IF( AND((COUNTIF(FP$2:FP$33,'Your Team'!$D$10)&gt;0),'Your Team'!$C$10="D" ),1,0)+IF( AND((COUNTIF(FP$2:FP$33,'Your Team'!$D$11)&gt;0),'Your Team'!$C$11="D" ),1,0)+IF( AND((COUNTIF(FP$2:FP$33,'Your Team'!$D$12)&gt;0),'Your Team'!$C$12="D" ),1,0)+IF( AND((COUNTIF(FP$2:FP$33,'Your Team'!$D$13)&gt;0),'Your Team'!$C$13="D" ),1,0)+IF( AND((COUNTIF(FP$2:FP$33,'Your Team'!$D$14)&gt;0),'Your Team'!$C$14="D" ),1,0)+IF( AND((COUNTIF(FP$2:FP$33,'Your Team'!$D$15)&gt;0),'Your Team'!$C$15="D" ),1,0)+IF( AND((COUNTIF(FP$2:FP$33,'Your Team'!$D$16)&gt;0),'Your Team'!$C$16="D" ),1,0)+IF( AND((COUNTIF(FP$2:FP$33,'Your Team'!$D$17)&gt;0),'Your Team'!$C$17="D" ),1,0)+IF( AND((COUNTIF(FP$2:FP$33,'Your Team'!$D$18)&gt;0),'Your Team'!$C$18="D" ),1,0)+IF( AND((COUNTIF(FP$2:FP$33,'Your Team'!$D$19)&gt;0),'Your Team'!$C$19="D" ),1,0)</f>
        <v>0</v>
      </c>
      <c r="FQ39" s="9">
        <f>IF( AND((COUNTIF(FQ$2:FQ$33,'Your Team'!$D$3)&gt;0),'Your Team'!$C$3="D" ),1,0)+IF( AND((COUNTIF(FQ$2:FQ$33,'Your Team'!$D$4)&gt;0),'Your Team'!$C$4="D" ),1,0)+IF( AND((COUNTIF(FQ$2:FQ$33,'Your Team'!$D$5)&gt;0),'Your Team'!$C$5="D" ),1,0)+IF( AND((COUNTIF(FQ$2:FQ$33,'Your Team'!$D$6)&gt;0),'Your Team'!$C$6="D" ),1,0)+IF( AND((COUNTIF(FQ$2:FQ$33,'Your Team'!$D$7)&gt;0),'Your Team'!$C$7="D" ),1,0)+IF( AND((COUNTIF(FQ$2:FQ$33,'Your Team'!$D$8)&gt;0),'Your Team'!$C$8="D" ),1,0)+IF( AND((COUNTIF(FQ$2:FQ$33,'Your Team'!$D$9)&gt;0),'Your Team'!$C$9="D" ),1,0)+IF( AND((COUNTIF(FQ$2:FQ$33,'Your Team'!$D$10)&gt;0),'Your Team'!$C$10="D" ),1,0)+IF( AND((COUNTIF(FQ$2:FQ$33,'Your Team'!$D$11)&gt;0),'Your Team'!$C$11="D" ),1,0)+IF( AND((COUNTIF(FQ$2:FQ$33,'Your Team'!$D$12)&gt;0),'Your Team'!$C$12="D" ),1,0)+IF( AND((COUNTIF(FQ$2:FQ$33,'Your Team'!$D$13)&gt;0),'Your Team'!$C$13="D" ),1,0)+IF( AND((COUNTIF(FQ$2:FQ$33,'Your Team'!$D$14)&gt;0),'Your Team'!$C$14="D" ),1,0)+IF( AND((COUNTIF(FQ$2:FQ$33,'Your Team'!$D$15)&gt;0),'Your Team'!$C$15="D" ),1,0)+IF( AND((COUNTIF(FQ$2:FQ$33,'Your Team'!$D$16)&gt;0),'Your Team'!$C$16="D" ),1,0)+IF( AND((COUNTIF(FQ$2:FQ$33,'Your Team'!$D$17)&gt;0),'Your Team'!$C$17="D" ),1,0)+IF( AND((COUNTIF(FQ$2:FQ$33,'Your Team'!$D$18)&gt;0),'Your Team'!$C$18="D" ),1,0)+IF( AND((COUNTIF(FQ$2:FQ$33,'Your Team'!$D$19)&gt;0),'Your Team'!$C$19="D" ),1,0)</f>
        <v>0</v>
      </c>
      <c r="FR39" s="9">
        <f>IF( AND((COUNTIF(FR$2:FR$33,'Your Team'!$D$3)&gt;0),'Your Team'!$C$3="D" ),1,0)+IF( AND((COUNTIF(FR$2:FR$33,'Your Team'!$D$4)&gt;0),'Your Team'!$C$4="D" ),1,0)+IF( AND((COUNTIF(FR$2:FR$33,'Your Team'!$D$5)&gt;0),'Your Team'!$C$5="D" ),1,0)+IF( AND((COUNTIF(FR$2:FR$33,'Your Team'!$D$6)&gt;0),'Your Team'!$C$6="D" ),1,0)+IF( AND((COUNTIF(FR$2:FR$33,'Your Team'!$D$7)&gt;0),'Your Team'!$C$7="D" ),1,0)+IF( AND((COUNTIF(FR$2:FR$33,'Your Team'!$D$8)&gt;0),'Your Team'!$C$8="D" ),1,0)+IF( AND((COUNTIF(FR$2:FR$33,'Your Team'!$D$9)&gt;0),'Your Team'!$C$9="D" ),1,0)+IF( AND((COUNTIF(FR$2:FR$33,'Your Team'!$D$10)&gt;0),'Your Team'!$C$10="D" ),1,0)+IF( AND((COUNTIF(FR$2:FR$33,'Your Team'!$D$11)&gt;0),'Your Team'!$C$11="D" ),1,0)+IF( AND((COUNTIF(FR$2:FR$33,'Your Team'!$D$12)&gt;0),'Your Team'!$C$12="D" ),1,0)+IF( AND((COUNTIF(FR$2:FR$33,'Your Team'!$D$13)&gt;0),'Your Team'!$C$13="D" ),1,0)+IF( AND((COUNTIF(FR$2:FR$33,'Your Team'!$D$14)&gt;0),'Your Team'!$C$14="D" ),1,0)+IF( AND((COUNTIF(FR$2:FR$33,'Your Team'!$D$15)&gt;0),'Your Team'!$C$15="D" ),1,0)+IF( AND((COUNTIF(FR$2:FR$33,'Your Team'!$D$16)&gt;0),'Your Team'!$C$16="D" ),1,0)+IF( AND((COUNTIF(FR$2:FR$33,'Your Team'!$D$17)&gt;0),'Your Team'!$C$17="D" ),1,0)+IF( AND((COUNTIF(FR$2:FR$33,'Your Team'!$D$18)&gt;0),'Your Team'!$C$18="D" ),1,0)+IF( AND((COUNTIF(FR$2:FR$33,'Your Team'!$D$19)&gt;0),'Your Team'!$C$19="D" ),1,0)</f>
        <v>0</v>
      </c>
      <c r="FS39" s="9">
        <f>IF( AND((COUNTIF(FS$2:FS$33,'Your Team'!$D$3)&gt;0),'Your Team'!$C$3="D" ),1,0)+IF( AND((COUNTIF(FS$2:FS$33,'Your Team'!$D$4)&gt;0),'Your Team'!$C$4="D" ),1,0)+IF( AND((COUNTIF(FS$2:FS$33,'Your Team'!$D$5)&gt;0),'Your Team'!$C$5="D" ),1,0)+IF( AND((COUNTIF(FS$2:FS$33,'Your Team'!$D$6)&gt;0),'Your Team'!$C$6="D" ),1,0)+IF( AND((COUNTIF(FS$2:FS$33,'Your Team'!$D$7)&gt;0),'Your Team'!$C$7="D" ),1,0)+IF( AND((COUNTIF(FS$2:FS$33,'Your Team'!$D$8)&gt;0),'Your Team'!$C$8="D" ),1,0)+IF( AND((COUNTIF(FS$2:FS$33,'Your Team'!$D$9)&gt;0),'Your Team'!$C$9="D" ),1,0)+IF( AND((COUNTIF(FS$2:FS$33,'Your Team'!$D$10)&gt;0),'Your Team'!$C$10="D" ),1,0)+IF( AND((COUNTIF(FS$2:FS$33,'Your Team'!$D$11)&gt;0),'Your Team'!$C$11="D" ),1,0)+IF( AND((COUNTIF(FS$2:FS$33,'Your Team'!$D$12)&gt;0),'Your Team'!$C$12="D" ),1,0)+IF( AND((COUNTIF(FS$2:FS$33,'Your Team'!$D$13)&gt;0),'Your Team'!$C$13="D" ),1,0)+IF( AND((COUNTIF(FS$2:FS$33,'Your Team'!$D$14)&gt;0),'Your Team'!$C$14="D" ),1,0)+IF( AND((COUNTIF(FS$2:FS$33,'Your Team'!$D$15)&gt;0),'Your Team'!$C$15="D" ),1,0)+IF( AND((COUNTIF(FS$2:FS$33,'Your Team'!$D$16)&gt;0),'Your Team'!$C$16="D" ),1,0)+IF( AND((COUNTIF(FS$2:FS$33,'Your Team'!$D$17)&gt;0),'Your Team'!$C$17="D" ),1,0)+IF( AND((COUNTIF(FS$2:FS$33,'Your Team'!$D$18)&gt;0),'Your Team'!$C$18="D" ),1,0)+IF( AND((COUNTIF(FS$2:FS$33,'Your Team'!$D$19)&gt;0),'Your Team'!$C$19="D" ),1,0)</f>
        <v>0</v>
      </c>
      <c r="FT39" s="9">
        <f>IF( AND((COUNTIF(FT$2:FT$33,'Your Team'!$D$3)&gt;0),'Your Team'!$C$3="D" ),1,0)+IF( AND((COUNTIF(FT$2:FT$33,'Your Team'!$D$4)&gt;0),'Your Team'!$C$4="D" ),1,0)+IF( AND((COUNTIF(FT$2:FT$33,'Your Team'!$D$5)&gt;0),'Your Team'!$C$5="D" ),1,0)+IF( AND((COUNTIF(FT$2:FT$33,'Your Team'!$D$6)&gt;0),'Your Team'!$C$6="D" ),1,0)+IF( AND((COUNTIF(FT$2:FT$33,'Your Team'!$D$7)&gt;0),'Your Team'!$C$7="D" ),1,0)+IF( AND((COUNTIF(FT$2:FT$33,'Your Team'!$D$8)&gt;0),'Your Team'!$C$8="D" ),1,0)+IF( AND((COUNTIF(FT$2:FT$33,'Your Team'!$D$9)&gt;0),'Your Team'!$C$9="D" ),1,0)+IF( AND((COUNTIF(FT$2:FT$33,'Your Team'!$D$10)&gt;0),'Your Team'!$C$10="D" ),1,0)+IF( AND((COUNTIF(FT$2:FT$33,'Your Team'!$D$11)&gt;0),'Your Team'!$C$11="D" ),1,0)+IF( AND((COUNTIF(FT$2:FT$33,'Your Team'!$D$12)&gt;0),'Your Team'!$C$12="D" ),1,0)+IF( AND((COUNTIF(FT$2:FT$33,'Your Team'!$D$13)&gt;0),'Your Team'!$C$13="D" ),1,0)+IF( AND((COUNTIF(FT$2:FT$33,'Your Team'!$D$14)&gt;0),'Your Team'!$C$14="D" ),1,0)+IF( AND((COUNTIF(FT$2:FT$33,'Your Team'!$D$15)&gt;0),'Your Team'!$C$15="D" ),1,0)+IF( AND((COUNTIF(FT$2:FT$33,'Your Team'!$D$16)&gt;0),'Your Team'!$C$16="D" ),1,0)+IF( AND((COUNTIF(FT$2:FT$33,'Your Team'!$D$17)&gt;0),'Your Team'!$C$17="D" ),1,0)+IF( AND((COUNTIF(FT$2:FT$33,'Your Team'!$D$18)&gt;0),'Your Team'!$C$18="D" ),1,0)+IF( AND((COUNTIF(FT$2:FT$33,'Your Team'!$D$19)&gt;0),'Your Team'!$C$19="D" ),1,0)</f>
        <v>0</v>
      </c>
      <c r="FU39" s="9">
        <f>IF( AND((COUNTIF(FU$2:FU$33,'Your Team'!$D$3)&gt;0),'Your Team'!$C$3="D" ),1,0)+IF( AND((COUNTIF(FU$2:FU$33,'Your Team'!$D$4)&gt;0),'Your Team'!$C$4="D" ),1,0)+IF( AND((COUNTIF(FU$2:FU$33,'Your Team'!$D$5)&gt;0),'Your Team'!$C$5="D" ),1,0)+IF( AND((COUNTIF(FU$2:FU$33,'Your Team'!$D$6)&gt;0),'Your Team'!$C$6="D" ),1,0)+IF( AND((COUNTIF(FU$2:FU$33,'Your Team'!$D$7)&gt;0),'Your Team'!$C$7="D" ),1,0)+IF( AND((COUNTIF(FU$2:FU$33,'Your Team'!$D$8)&gt;0),'Your Team'!$C$8="D" ),1,0)+IF( AND((COUNTIF(FU$2:FU$33,'Your Team'!$D$9)&gt;0),'Your Team'!$C$9="D" ),1,0)+IF( AND((COUNTIF(FU$2:FU$33,'Your Team'!$D$10)&gt;0),'Your Team'!$C$10="D" ),1,0)+IF( AND((COUNTIF(FU$2:FU$33,'Your Team'!$D$11)&gt;0),'Your Team'!$C$11="D" ),1,0)+IF( AND((COUNTIF(FU$2:FU$33,'Your Team'!$D$12)&gt;0),'Your Team'!$C$12="D" ),1,0)+IF( AND((COUNTIF(FU$2:FU$33,'Your Team'!$D$13)&gt;0),'Your Team'!$C$13="D" ),1,0)+IF( AND((COUNTIF(FU$2:FU$33,'Your Team'!$D$14)&gt;0),'Your Team'!$C$14="D" ),1,0)+IF( AND((COUNTIF(FU$2:FU$33,'Your Team'!$D$15)&gt;0),'Your Team'!$C$15="D" ),1,0)+IF( AND((COUNTIF(FU$2:FU$33,'Your Team'!$D$16)&gt;0),'Your Team'!$C$16="D" ),1,0)+IF( AND((COUNTIF(FU$2:FU$33,'Your Team'!$D$17)&gt;0),'Your Team'!$C$17="D" ),1,0)+IF( AND((COUNTIF(FU$2:FU$33,'Your Team'!$D$18)&gt;0),'Your Team'!$C$18="D" ),1,0)+IF( AND((COUNTIF(FU$2:FU$33,'Your Team'!$D$19)&gt;0),'Your Team'!$C$19="D" ),1,0)</f>
        <v>0</v>
      </c>
      <c r="FV39" s="9">
        <f>IF( AND((COUNTIF(FV$2:FV$33,'Your Team'!$D$3)&gt;0),'Your Team'!$C$3="D" ),1,0)+IF( AND((COUNTIF(FV$2:FV$33,'Your Team'!$D$4)&gt;0),'Your Team'!$C$4="D" ),1,0)+IF( AND((COUNTIF(FV$2:FV$33,'Your Team'!$D$5)&gt;0),'Your Team'!$C$5="D" ),1,0)+IF( AND((COUNTIF(FV$2:FV$33,'Your Team'!$D$6)&gt;0),'Your Team'!$C$6="D" ),1,0)+IF( AND((COUNTIF(FV$2:FV$33,'Your Team'!$D$7)&gt;0),'Your Team'!$C$7="D" ),1,0)+IF( AND((COUNTIF(FV$2:FV$33,'Your Team'!$D$8)&gt;0),'Your Team'!$C$8="D" ),1,0)+IF( AND((COUNTIF(FV$2:FV$33,'Your Team'!$D$9)&gt;0),'Your Team'!$C$9="D" ),1,0)+IF( AND((COUNTIF(FV$2:FV$33,'Your Team'!$D$10)&gt;0),'Your Team'!$C$10="D" ),1,0)+IF( AND((COUNTIF(FV$2:FV$33,'Your Team'!$D$11)&gt;0),'Your Team'!$C$11="D" ),1,0)+IF( AND((COUNTIF(FV$2:FV$33,'Your Team'!$D$12)&gt;0),'Your Team'!$C$12="D" ),1,0)+IF( AND((COUNTIF(FV$2:FV$33,'Your Team'!$D$13)&gt;0),'Your Team'!$C$13="D" ),1,0)+IF( AND((COUNTIF(FV$2:FV$33,'Your Team'!$D$14)&gt;0),'Your Team'!$C$14="D" ),1,0)+IF( AND((COUNTIF(FV$2:FV$33,'Your Team'!$D$15)&gt;0),'Your Team'!$C$15="D" ),1,0)+IF( AND((COUNTIF(FV$2:FV$33,'Your Team'!$D$16)&gt;0),'Your Team'!$C$16="D" ),1,0)+IF( AND((COUNTIF(FV$2:FV$33,'Your Team'!$D$17)&gt;0),'Your Team'!$C$17="D" ),1,0)+IF( AND((COUNTIF(FV$2:FV$33,'Your Team'!$D$18)&gt;0),'Your Team'!$C$18="D" ),1,0)+IF( AND((COUNTIF(FV$2:FV$33,'Your Team'!$D$19)&gt;0),'Your Team'!$C$19="D" ),1,0)</f>
        <v>0</v>
      </c>
      <c r="FW39" s="9">
        <f>IF( AND((COUNTIF(FW$2:FW$33,'Your Team'!$D$3)&gt;0),'Your Team'!$C$3="D" ),1,0)+IF( AND((COUNTIF(FW$2:FW$33,'Your Team'!$D$4)&gt;0),'Your Team'!$C$4="D" ),1,0)+IF( AND((COUNTIF(FW$2:FW$33,'Your Team'!$D$5)&gt;0),'Your Team'!$C$5="D" ),1,0)+IF( AND((COUNTIF(FW$2:FW$33,'Your Team'!$D$6)&gt;0),'Your Team'!$C$6="D" ),1,0)+IF( AND((COUNTIF(FW$2:FW$33,'Your Team'!$D$7)&gt;0),'Your Team'!$C$7="D" ),1,0)+IF( AND((COUNTIF(FW$2:FW$33,'Your Team'!$D$8)&gt;0),'Your Team'!$C$8="D" ),1,0)+IF( AND((COUNTIF(FW$2:FW$33,'Your Team'!$D$9)&gt;0),'Your Team'!$C$9="D" ),1,0)+IF( AND((COUNTIF(FW$2:FW$33,'Your Team'!$D$10)&gt;0),'Your Team'!$C$10="D" ),1,0)+IF( AND((COUNTIF(FW$2:FW$33,'Your Team'!$D$11)&gt;0),'Your Team'!$C$11="D" ),1,0)+IF( AND((COUNTIF(FW$2:FW$33,'Your Team'!$D$12)&gt;0),'Your Team'!$C$12="D" ),1,0)+IF( AND((COUNTIF(FW$2:FW$33,'Your Team'!$D$13)&gt;0),'Your Team'!$C$13="D" ),1,0)+IF( AND((COUNTIF(FW$2:FW$33,'Your Team'!$D$14)&gt;0),'Your Team'!$C$14="D" ),1,0)+IF( AND((COUNTIF(FW$2:FW$33,'Your Team'!$D$15)&gt;0),'Your Team'!$C$15="D" ),1,0)+IF( AND((COUNTIF(FW$2:FW$33,'Your Team'!$D$16)&gt;0),'Your Team'!$C$16="D" ),1,0)+IF( AND((COUNTIF(FW$2:FW$33,'Your Team'!$D$17)&gt;0),'Your Team'!$C$17="D" ),1,0)+IF( AND((COUNTIF(FW$2:FW$33,'Your Team'!$D$18)&gt;0),'Your Team'!$C$18="D" ),1,0)+IF( AND((COUNTIF(FW$2:FW$33,'Your Team'!$D$19)&gt;0),'Your Team'!$C$19="D" ),1,0)</f>
        <v>0</v>
      </c>
      <c r="FX39" s="9">
        <f>IF( AND((COUNTIF(FX$2:FX$33,'Your Team'!$D$3)&gt;0),'Your Team'!$C$3="D" ),1,0)+IF( AND((COUNTIF(FX$2:FX$33,'Your Team'!$D$4)&gt;0),'Your Team'!$C$4="D" ),1,0)+IF( AND((COUNTIF(FX$2:FX$33,'Your Team'!$D$5)&gt;0),'Your Team'!$C$5="D" ),1,0)+IF( AND((COUNTIF(FX$2:FX$33,'Your Team'!$D$6)&gt;0),'Your Team'!$C$6="D" ),1,0)+IF( AND((COUNTIF(FX$2:FX$33,'Your Team'!$D$7)&gt;0),'Your Team'!$C$7="D" ),1,0)+IF( AND((COUNTIF(FX$2:FX$33,'Your Team'!$D$8)&gt;0),'Your Team'!$C$8="D" ),1,0)+IF( AND((COUNTIF(FX$2:FX$33,'Your Team'!$D$9)&gt;0),'Your Team'!$C$9="D" ),1,0)+IF( AND((COUNTIF(FX$2:FX$33,'Your Team'!$D$10)&gt;0),'Your Team'!$C$10="D" ),1,0)+IF( AND((COUNTIF(FX$2:FX$33,'Your Team'!$D$11)&gt;0),'Your Team'!$C$11="D" ),1,0)+IF( AND((COUNTIF(FX$2:FX$33,'Your Team'!$D$12)&gt;0),'Your Team'!$C$12="D" ),1,0)+IF( AND((COUNTIF(FX$2:FX$33,'Your Team'!$D$13)&gt;0),'Your Team'!$C$13="D" ),1,0)+IF( AND((COUNTIF(FX$2:FX$33,'Your Team'!$D$14)&gt;0),'Your Team'!$C$14="D" ),1,0)+IF( AND((COUNTIF(FX$2:FX$33,'Your Team'!$D$15)&gt;0),'Your Team'!$C$15="D" ),1,0)+IF( AND((COUNTIF(FX$2:FX$33,'Your Team'!$D$16)&gt;0),'Your Team'!$C$16="D" ),1,0)+IF( AND((COUNTIF(FX$2:FX$33,'Your Team'!$D$17)&gt;0),'Your Team'!$C$17="D" ),1,0)+IF( AND((COUNTIF(FX$2:FX$33,'Your Team'!$D$18)&gt;0),'Your Team'!$C$18="D" ),1,0)+IF( AND((COUNTIF(FX$2:FX$33,'Your Team'!$D$19)&gt;0),'Your Team'!$C$19="D" ),1,0)</f>
        <v>0</v>
      </c>
      <c r="FY39" s="9">
        <f>IF( AND((COUNTIF(FY$2:FY$33,'Your Team'!$D$3)&gt;0),'Your Team'!$C$3="D" ),1,0)+IF( AND((COUNTIF(FY$2:FY$33,'Your Team'!$D$4)&gt;0),'Your Team'!$C$4="D" ),1,0)+IF( AND((COUNTIF(FY$2:FY$33,'Your Team'!$D$5)&gt;0),'Your Team'!$C$5="D" ),1,0)+IF( AND((COUNTIF(FY$2:FY$33,'Your Team'!$D$6)&gt;0),'Your Team'!$C$6="D" ),1,0)+IF( AND((COUNTIF(FY$2:FY$33,'Your Team'!$D$7)&gt;0),'Your Team'!$C$7="D" ),1,0)+IF( AND((COUNTIF(FY$2:FY$33,'Your Team'!$D$8)&gt;0),'Your Team'!$C$8="D" ),1,0)+IF( AND((COUNTIF(FY$2:FY$33,'Your Team'!$D$9)&gt;0),'Your Team'!$C$9="D" ),1,0)+IF( AND((COUNTIF(FY$2:FY$33,'Your Team'!$D$10)&gt;0),'Your Team'!$C$10="D" ),1,0)+IF( AND((COUNTIF(FY$2:FY$33,'Your Team'!$D$11)&gt;0),'Your Team'!$C$11="D" ),1,0)+IF( AND((COUNTIF(FY$2:FY$33,'Your Team'!$D$12)&gt;0),'Your Team'!$C$12="D" ),1,0)+IF( AND((COUNTIF(FY$2:FY$33,'Your Team'!$D$13)&gt;0),'Your Team'!$C$13="D" ),1,0)+IF( AND((COUNTIF(FY$2:FY$33,'Your Team'!$D$14)&gt;0),'Your Team'!$C$14="D" ),1,0)+IF( AND((COUNTIF(FY$2:FY$33,'Your Team'!$D$15)&gt;0),'Your Team'!$C$15="D" ),1,0)+IF( AND((COUNTIF(FY$2:FY$33,'Your Team'!$D$16)&gt;0),'Your Team'!$C$16="D" ),1,0)+IF( AND((COUNTIF(FY$2:FY$33,'Your Team'!$D$17)&gt;0),'Your Team'!$C$17="D" ),1,0)+IF( AND((COUNTIF(FY$2:FY$33,'Your Team'!$D$18)&gt;0),'Your Team'!$C$18="D" ),1,0)+IF( AND((COUNTIF(FY$2:FY$33,'Your Team'!$D$19)&gt;0),'Your Team'!$C$19="D" ),1,0)</f>
        <v>0</v>
      </c>
      <c r="FZ39" s="9">
        <f>IF( AND((COUNTIF(FZ$2:FZ$33,'Your Team'!$D$3)&gt;0),'Your Team'!$C$3="D" ),1,0)+IF( AND((COUNTIF(FZ$2:FZ$33,'Your Team'!$D$4)&gt;0),'Your Team'!$C$4="D" ),1,0)+IF( AND((COUNTIF(FZ$2:FZ$33,'Your Team'!$D$5)&gt;0),'Your Team'!$C$5="D" ),1,0)+IF( AND((COUNTIF(FZ$2:FZ$33,'Your Team'!$D$6)&gt;0),'Your Team'!$C$6="D" ),1,0)+IF( AND((COUNTIF(FZ$2:FZ$33,'Your Team'!$D$7)&gt;0),'Your Team'!$C$7="D" ),1,0)+IF( AND((COUNTIF(FZ$2:FZ$33,'Your Team'!$D$8)&gt;0),'Your Team'!$C$8="D" ),1,0)+IF( AND((COUNTIF(FZ$2:FZ$33,'Your Team'!$D$9)&gt;0),'Your Team'!$C$9="D" ),1,0)+IF( AND((COUNTIF(FZ$2:FZ$33,'Your Team'!$D$10)&gt;0),'Your Team'!$C$10="D" ),1,0)+IF( AND((COUNTIF(FZ$2:FZ$33,'Your Team'!$D$11)&gt;0),'Your Team'!$C$11="D" ),1,0)+IF( AND((COUNTIF(FZ$2:FZ$33,'Your Team'!$D$12)&gt;0),'Your Team'!$C$12="D" ),1,0)+IF( AND((COUNTIF(FZ$2:FZ$33,'Your Team'!$D$13)&gt;0),'Your Team'!$C$13="D" ),1,0)+IF( AND((COUNTIF(FZ$2:FZ$33,'Your Team'!$D$14)&gt;0),'Your Team'!$C$14="D" ),1,0)+IF( AND((COUNTIF(FZ$2:FZ$33,'Your Team'!$D$15)&gt;0),'Your Team'!$C$15="D" ),1,0)+IF( AND((COUNTIF(FZ$2:FZ$33,'Your Team'!$D$16)&gt;0),'Your Team'!$C$16="D" ),1,0)+IF( AND((COUNTIF(FZ$2:FZ$33,'Your Team'!$D$17)&gt;0),'Your Team'!$C$17="D" ),1,0)+IF( AND((COUNTIF(FZ$2:FZ$33,'Your Team'!$D$18)&gt;0),'Your Team'!$C$18="D" ),1,0)+IF( AND((COUNTIF(FZ$2:FZ$33,'Your Team'!$D$19)&gt;0),'Your Team'!$C$19="D" ),1,0)</f>
        <v>0</v>
      </c>
      <c r="GA39" s="9">
        <f>IF( AND((COUNTIF(GA$2:GA$33,'Your Team'!$D$3)&gt;0),'Your Team'!$C$3="D" ),1,0)+IF( AND((COUNTIF(GA$2:GA$33,'Your Team'!$D$4)&gt;0),'Your Team'!$C$4="D" ),1,0)+IF( AND((COUNTIF(GA$2:GA$33,'Your Team'!$D$5)&gt;0),'Your Team'!$C$5="D" ),1,0)+IF( AND((COUNTIF(GA$2:GA$33,'Your Team'!$D$6)&gt;0),'Your Team'!$C$6="D" ),1,0)+IF( AND((COUNTIF(GA$2:GA$33,'Your Team'!$D$7)&gt;0),'Your Team'!$C$7="D" ),1,0)+IF( AND((COUNTIF(GA$2:GA$33,'Your Team'!$D$8)&gt;0),'Your Team'!$C$8="D" ),1,0)+IF( AND((COUNTIF(GA$2:GA$33,'Your Team'!$D$9)&gt;0),'Your Team'!$C$9="D" ),1,0)+IF( AND((COUNTIF(GA$2:GA$33,'Your Team'!$D$10)&gt;0),'Your Team'!$C$10="D" ),1,0)+IF( AND((COUNTIF(GA$2:GA$33,'Your Team'!$D$11)&gt;0),'Your Team'!$C$11="D" ),1,0)+IF( AND((COUNTIF(GA$2:GA$33,'Your Team'!$D$12)&gt;0),'Your Team'!$C$12="D" ),1,0)+IF( AND((COUNTIF(GA$2:GA$33,'Your Team'!$D$13)&gt;0),'Your Team'!$C$13="D" ),1,0)+IF( AND((COUNTIF(GA$2:GA$33,'Your Team'!$D$14)&gt;0),'Your Team'!$C$14="D" ),1,0)+IF( AND((COUNTIF(GA$2:GA$33,'Your Team'!$D$15)&gt;0),'Your Team'!$C$15="D" ),1,0)+IF( AND((COUNTIF(GA$2:GA$33,'Your Team'!$D$16)&gt;0),'Your Team'!$C$16="D" ),1,0)+IF( AND((COUNTIF(GA$2:GA$33,'Your Team'!$D$17)&gt;0),'Your Team'!$C$17="D" ),1,0)+IF( AND((COUNTIF(GA$2:GA$33,'Your Team'!$D$18)&gt;0),'Your Team'!$C$18="D" ),1,0)+IF( AND((COUNTIF(GA$2:GA$33,'Your Team'!$D$19)&gt;0),'Your Team'!$C$19="D" ),1,0)</f>
        <v>0</v>
      </c>
      <c r="GB39" s="9">
        <f>IF( AND((COUNTIF(GB$2:GB$33,'Your Team'!$D$3)&gt;0),'Your Team'!$C$3="D" ),1,0)+IF( AND((COUNTIF(GB$2:GB$33,'Your Team'!$D$4)&gt;0),'Your Team'!$C$4="D" ),1,0)+IF( AND((COUNTIF(GB$2:GB$33,'Your Team'!$D$5)&gt;0),'Your Team'!$C$5="D" ),1,0)+IF( AND((COUNTIF(GB$2:GB$33,'Your Team'!$D$6)&gt;0),'Your Team'!$C$6="D" ),1,0)+IF( AND((COUNTIF(GB$2:GB$33,'Your Team'!$D$7)&gt;0),'Your Team'!$C$7="D" ),1,0)+IF( AND((COUNTIF(GB$2:GB$33,'Your Team'!$D$8)&gt;0),'Your Team'!$C$8="D" ),1,0)+IF( AND((COUNTIF(GB$2:GB$33,'Your Team'!$D$9)&gt;0),'Your Team'!$C$9="D" ),1,0)+IF( AND((COUNTIF(GB$2:GB$33,'Your Team'!$D$10)&gt;0),'Your Team'!$C$10="D" ),1,0)+IF( AND((COUNTIF(GB$2:GB$33,'Your Team'!$D$11)&gt;0),'Your Team'!$C$11="D" ),1,0)+IF( AND((COUNTIF(GB$2:GB$33,'Your Team'!$D$12)&gt;0),'Your Team'!$C$12="D" ),1,0)+IF( AND((COUNTIF(GB$2:GB$33,'Your Team'!$D$13)&gt;0),'Your Team'!$C$13="D" ),1,0)+IF( AND((COUNTIF(GB$2:GB$33,'Your Team'!$D$14)&gt;0),'Your Team'!$C$14="D" ),1,0)+IF( AND((COUNTIF(GB$2:GB$33,'Your Team'!$D$15)&gt;0),'Your Team'!$C$15="D" ),1,0)+IF( AND((COUNTIF(GB$2:GB$33,'Your Team'!$D$16)&gt;0),'Your Team'!$C$16="D" ),1,0)+IF( AND((COUNTIF(GB$2:GB$33,'Your Team'!$D$17)&gt;0),'Your Team'!$C$17="D" ),1,0)+IF( AND((COUNTIF(GB$2:GB$33,'Your Team'!$D$18)&gt;0),'Your Team'!$C$18="D" ),1,0)+IF( AND((COUNTIF(GB$2:GB$33,'Your Team'!$D$19)&gt;0),'Your Team'!$C$19="D" ),1,0)</f>
        <v>0</v>
      </c>
      <c r="GC39" s="9">
        <f>IF( AND((COUNTIF(GC$2:GC$33,'Your Team'!$D$3)&gt;0),'Your Team'!$C$3="D" ),1,0)+IF( AND((COUNTIF(GC$2:GC$33,'Your Team'!$D$4)&gt;0),'Your Team'!$C$4="D" ),1,0)+IF( AND((COUNTIF(GC$2:GC$33,'Your Team'!$D$5)&gt;0),'Your Team'!$C$5="D" ),1,0)+IF( AND((COUNTIF(GC$2:GC$33,'Your Team'!$D$6)&gt;0),'Your Team'!$C$6="D" ),1,0)+IF( AND((COUNTIF(GC$2:GC$33,'Your Team'!$D$7)&gt;0),'Your Team'!$C$7="D" ),1,0)+IF( AND((COUNTIF(GC$2:GC$33,'Your Team'!$D$8)&gt;0),'Your Team'!$C$8="D" ),1,0)+IF( AND((COUNTIF(GC$2:GC$33,'Your Team'!$D$9)&gt;0),'Your Team'!$C$9="D" ),1,0)+IF( AND((COUNTIF(GC$2:GC$33,'Your Team'!$D$10)&gt;0),'Your Team'!$C$10="D" ),1,0)+IF( AND((COUNTIF(GC$2:GC$33,'Your Team'!$D$11)&gt;0),'Your Team'!$C$11="D" ),1,0)+IF( AND((COUNTIF(GC$2:GC$33,'Your Team'!$D$12)&gt;0),'Your Team'!$C$12="D" ),1,0)+IF( AND((COUNTIF(GC$2:GC$33,'Your Team'!$D$13)&gt;0),'Your Team'!$C$13="D" ),1,0)+IF( AND((COUNTIF(GC$2:GC$33,'Your Team'!$D$14)&gt;0),'Your Team'!$C$14="D" ),1,0)+IF( AND((COUNTIF(GC$2:GC$33,'Your Team'!$D$15)&gt;0),'Your Team'!$C$15="D" ),1,0)+IF( AND((COUNTIF(GC$2:GC$33,'Your Team'!$D$16)&gt;0),'Your Team'!$C$16="D" ),1,0)+IF( AND((COUNTIF(GC$2:GC$33,'Your Team'!$D$17)&gt;0),'Your Team'!$C$17="D" ),1,0)+IF( AND((COUNTIF(GC$2:GC$33,'Your Team'!$D$18)&gt;0),'Your Team'!$C$18="D" ),1,0)+IF( AND((COUNTIF(GC$2:GC$33,'Your Team'!$D$19)&gt;0),'Your Team'!$C$19="D" ),1,0)</f>
        <v>0</v>
      </c>
      <c r="GD39" s="9">
        <f>IF( AND((COUNTIF(GD$2:GD$33,'Your Team'!$D$3)&gt;0),'Your Team'!$C$3="D" ),1,0)+IF( AND((COUNTIF(GD$2:GD$33,'Your Team'!$D$4)&gt;0),'Your Team'!$C$4="D" ),1,0)+IF( AND((COUNTIF(GD$2:GD$33,'Your Team'!$D$5)&gt;0),'Your Team'!$C$5="D" ),1,0)+IF( AND((COUNTIF(GD$2:GD$33,'Your Team'!$D$6)&gt;0),'Your Team'!$C$6="D" ),1,0)+IF( AND((COUNTIF(GD$2:GD$33,'Your Team'!$D$7)&gt;0),'Your Team'!$C$7="D" ),1,0)+IF( AND((COUNTIF(GD$2:GD$33,'Your Team'!$D$8)&gt;0),'Your Team'!$C$8="D" ),1,0)+IF( AND((COUNTIF(GD$2:GD$33,'Your Team'!$D$9)&gt;0),'Your Team'!$C$9="D" ),1,0)+IF( AND((COUNTIF(GD$2:GD$33,'Your Team'!$D$10)&gt;0),'Your Team'!$C$10="D" ),1,0)+IF( AND((COUNTIF(GD$2:GD$33,'Your Team'!$D$11)&gt;0),'Your Team'!$C$11="D" ),1,0)+IF( AND((COUNTIF(GD$2:GD$33,'Your Team'!$D$12)&gt;0),'Your Team'!$C$12="D" ),1,0)+IF( AND((COUNTIF(GD$2:GD$33,'Your Team'!$D$13)&gt;0),'Your Team'!$C$13="D" ),1,0)+IF( AND((COUNTIF(GD$2:GD$33,'Your Team'!$D$14)&gt;0),'Your Team'!$C$14="D" ),1,0)+IF( AND((COUNTIF(GD$2:GD$33,'Your Team'!$D$15)&gt;0),'Your Team'!$C$15="D" ),1,0)+IF( AND((COUNTIF(GD$2:GD$33,'Your Team'!$D$16)&gt;0),'Your Team'!$C$16="D" ),1,0)+IF( AND((COUNTIF(GD$2:GD$33,'Your Team'!$D$17)&gt;0),'Your Team'!$C$17="D" ),1,0)+IF( AND((COUNTIF(GD$2:GD$33,'Your Team'!$D$18)&gt;0),'Your Team'!$C$18="D" ),1,0)+IF( AND((COUNTIF(GD$2:GD$33,'Your Team'!$D$19)&gt;0),'Your Team'!$C$19="D" ),1,0)</f>
        <v>0</v>
      </c>
      <c r="GE39" s="9">
        <f>IF( AND((COUNTIF(GE$2:GE$33,'Your Team'!$D$3)&gt;0),'Your Team'!$C$3="D" ),1,0)+IF( AND((COUNTIF(GE$2:GE$33,'Your Team'!$D$4)&gt;0),'Your Team'!$C$4="D" ),1,0)+IF( AND((COUNTIF(GE$2:GE$33,'Your Team'!$D$5)&gt;0),'Your Team'!$C$5="D" ),1,0)+IF( AND((COUNTIF(GE$2:GE$33,'Your Team'!$D$6)&gt;0),'Your Team'!$C$6="D" ),1,0)+IF( AND((COUNTIF(GE$2:GE$33,'Your Team'!$D$7)&gt;0),'Your Team'!$C$7="D" ),1,0)+IF( AND((COUNTIF(GE$2:GE$33,'Your Team'!$D$8)&gt;0),'Your Team'!$C$8="D" ),1,0)+IF( AND((COUNTIF(GE$2:GE$33,'Your Team'!$D$9)&gt;0),'Your Team'!$C$9="D" ),1,0)+IF( AND((COUNTIF(GE$2:GE$33,'Your Team'!$D$10)&gt;0),'Your Team'!$C$10="D" ),1,0)+IF( AND((COUNTIF(GE$2:GE$33,'Your Team'!$D$11)&gt;0),'Your Team'!$C$11="D" ),1,0)+IF( AND((COUNTIF(GE$2:GE$33,'Your Team'!$D$12)&gt;0),'Your Team'!$C$12="D" ),1,0)+IF( AND((COUNTIF(GE$2:GE$33,'Your Team'!$D$13)&gt;0),'Your Team'!$C$13="D" ),1,0)+IF( AND((COUNTIF(GE$2:GE$33,'Your Team'!$D$14)&gt;0),'Your Team'!$C$14="D" ),1,0)+IF( AND((COUNTIF(GE$2:GE$33,'Your Team'!$D$15)&gt;0),'Your Team'!$C$15="D" ),1,0)+IF( AND((COUNTIF(GE$2:GE$33,'Your Team'!$D$16)&gt;0),'Your Team'!$C$16="D" ),1,0)+IF( AND((COUNTIF(GE$2:GE$33,'Your Team'!$D$17)&gt;0),'Your Team'!$C$17="D" ),1,0)+IF( AND((COUNTIF(GE$2:GE$33,'Your Team'!$D$18)&gt;0),'Your Team'!$C$18="D" ),1,0)+IF( AND((COUNTIF(GE$2:GE$33,'Your Team'!$D$19)&gt;0),'Your Team'!$C$19="D" ),1,0)</f>
        <v>0</v>
      </c>
      <c r="GF39" s="9">
        <f>IF( AND((COUNTIF(GF$2:GF$33,'Your Team'!$D$3)&gt;0),'Your Team'!$C$3="D" ),1,0)+IF( AND((COUNTIF(GF$2:GF$33,'Your Team'!$D$4)&gt;0),'Your Team'!$C$4="D" ),1,0)+IF( AND((COUNTIF(GF$2:GF$33,'Your Team'!$D$5)&gt;0),'Your Team'!$C$5="D" ),1,0)+IF( AND((COUNTIF(GF$2:GF$33,'Your Team'!$D$6)&gt;0),'Your Team'!$C$6="D" ),1,0)+IF( AND((COUNTIF(GF$2:GF$33,'Your Team'!$D$7)&gt;0),'Your Team'!$C$7="D" ),1,0)+IF( AND((COUNTIF(GF$2:GF$33,'Your Team'!$D$8)&gt;0),'Your Team'!$C$8="D" ),1,0)+IF( AND((COUNTIF(GF$2:GF$33,'Your Team'!$D$9)&gt;0),'Your Team'!$C$9="D" ),1,0)+IF( AND((COUNTIF(GF$2:GF$33,'Your Team'!$D$10)&gt;0),'Your Team'!$C$10="D" ),1,0)+IF( AND((COUNTIF(GF$2:GF$33,'Your Team'!$D$11)&gt;0),'Your Team'!$C$11="D" ),1,0)+IF( AND((COUNTIF(GF$2:GF$33,'Your Team'!$D$12)&gt;0),'Your Team'!$C$12="D" ),1,0)+IF( AND((COUNTIF(GF$2:GF$33,'Your Team'!$D$13)&gt;0),'Your Team'!$C$13="D" ),1,0)+IF( AND((COUNTIF(GF$2:GF$33,'Your Team'!$D$14)&gt;0),'Your Team'!$C$14="D" ),1,0)+IF( AND((COUNTIF(GF$2:GF$33,'Your Team'!$D$15)&gt;0),'Your Team'!$C$15="D" ),1,0)+IF( AND((COUNTIF(GF$2:GF$33,'Your Team'!$D$16)&gt;0),'Your Team'!$C$16="D" ),1,0)+IF( AND((COUNTIF(GF$2:GF$33,'Your Team'!$D$17)&gt;0),'Your Team'!$C$17="D" ),1,0)+IF( AND((COUNTIF(GF$2:GF$33,'Your Team'!$D$18)&gt;0),'Your Team'!$C$18="D" ),1,0)+IF( AND((COUNTIF(GF$2:GF$33,'Your Team'!$D$19)&gt;0),'Your Team'!$C$19="D" ),1,0)</f>
        <v>0</v>
      </c>
      <c r="GG39" s="9">
        <f>IF( AND((COUNTIF(GG$2:GG$33,'Your Team'!$D$3)&gt;0),'Your Team'!$C$3="D" ),1,0)+IF( AND((COUNTIF(GG$2:GG$33,'Your Team'!$D$4)&gt;0),'Your Team'!$C$4="D" ),1,0)+IF( AND((COUNTIF(GG$2:GG$33,'Your Team'!$D$5)&gt;0),'Your Team'!$C$5="D" ),1,0)+IF( AND((COUNTIF(GG$2:GG$33,'Your Team'!$D$6)&gt;0),'Your Team'!$C$6="D" ),1,0)+IF( AND((COUNTIF(GG$2:GG$33,'Your Team'!$D$7)&gt;0),'Your Team'!$C$7="D" ),1,0)+IF( AND((COUNTIF(GG$2:GG$33,'Your Team'!$D$8)&gt;0),'Your Team'!$C$8="D" ),1,0)+IF( AND((COUNTIF(GG$2:GG$33,'Your Team'!$D$9)&gt;0),'Your Team'!$C$9="D" ),1,0)+IF( AND((COUNTIF(GG$2:GG$33,'Your Team'!$D$10)&gt;0),'Your Team'!$C$10="D" ),1,0)+IF( AND((COUNTIF(GG$2:GG$33,'Your Team'!$D$11)&gt;0),'Your Team'!$C$11="D" ),1,0)+IF( AND((COUNTIF(GG$2:GG$33,'Your Team'!$D$12)&gt;0),'Your Team'!$C$12="D" ),1,0)+IF( AND((COUNTIF(GG$2:GG$33,'Your Team'!$D$13)&gt;0),'Your Team'!$C$13="D" ),1,0)+IF( AND((COUNTIF(GG$2:GG$33,'Your Team'!$D$14)&gt;0),'Your Team'!$C$14="D" ),1,0)+IF( AND((COUNTIF(GG$2:GG$33,'Your Team'!$D$15)&gt;0),'Your Team'!$C$15="D" ),1,0)+IF( AND((COUNTIF(GG$2:GG$33,'Your Team'!$D$16)&gt;0),'Your Team'!$C$16="D" ),1,0)+IF( AND((COUNTIF(GG$2:GG$33,'Your Team'!$D$17)&gt;0),'Your Team'!$C$17="D" ),1,0)+IF( AND((COUNTIF(GG$2:GG$33,'Your Team'!$D$18)&gt;0),'Your Team'!$C$18="D" ),1,0)+IF( AND((COUNTIF(GG$2:GG$33,'Your Team'!$D$19)&gt;0),'Your Team'!$C$19="D" ),1,0)</f>
        <v>0</v>
      </c>
      <c r="GH39" s="9">
        <f>IF( AND((COUNTIF(GH$2:GH$33,'Your Team'!$D$3)&gt;0),'Your Team'!$C$3="D" ),1,0)+IF( AND((COUNTIF(GH$2:GH$33,'Your Team'!$D$4)&gt;0),'Your Team'!$C$4="D" ),1,0)+IF( AND((COUNTIF(GH$2:GH$33,'Your Team'!$D$5)&gt;0),'Your Team'!$C$5="D" ),1,0)+IF( AND((COUNTIF(GH$2:GH$33,'Your Team'!$D$6)&gt;0),'Your Team'!$C$6="D" ),1,0)+IF( AND((COUNTIF(GH$2:GH$33,'Your Team'!$D$7)&gt;0),'Your Team'!$C$7="D" ),1,0)+IF( AND((COUNTIF(GH$2:GH$33,'Your Team'!$D$8)&gt;0),'Your Team'!$C$8="D" ),1,0)+IF( AND((COUNTIF(GH$2:GH$33,'Your Team'!$D$9)&gt;0),'Your Team'!$C$9="D" ),1,0)+IF( AND((COUNTIF(GH$2:GH$33,'Your Team'!$D$10)&gt;0),'Your Team'!$C$10="D" ),1,0)+IF( AND((COUNTIF(GH$2:GH$33,'Your Team'!$D$11)&gt;0),'Your Team'!$C$11="D" ),1,0)+IF( AND((COUNTIF(GH$2:GH$33,'Your Team'!$D$12)&gt;0),'Your Team'!$C$12="D" ),1,0)+IF( AND((COUNTIF(GH$2:GH$33,'Your Team'!$D$13)&gt;0),'Your Team'!$C$13="D" ),1,0)+IF( AND((COUNTIF(GH$2:GH$33,'Your Team'!$D$14)&gt;0),'Your Team'!$C$14="D" ),1,0)+IF( AND((COUNTIF(GH$2:GH$33,'Your Team'!$D$15)&gt;0),'Your Team'!$C$15="D" ),1,0)+IF( AND((COUNTIF(GH$2:GH$33,'Your Team'!$D$16)&gt;0),'Your Team'!$C$16="D" ),1,0)+IF( AND((COUNTIF(GH$2:GH$33,'Your Team'!$D$17)&gt;0),'Your Team'!$C$17="D" ),1,0)+IF( AND((COUNTIF(GH$2:GH$33,'Your Team'!$D$18)&gt;0),'Your Team'!$C$18="D" ),1,0)+IF( AND((COUNTIF(GH$2:GH$33,'Your Team'!$D$19)&gt;0),'Your Team'!$C$19="D" ),1,0)</f>
        <v>0</v>
      </c>
      <c r="GI39" s="9">
        <f>IF( AND((COUNTIF(GI$2:GI$33,'Your Team'!$D$3)&gt;0),'Your Team'!$C$3="D" ),1,0)+IF( AND((COUNTIF(GI$2:GI$33,'Your Team'!$D$4)&gt;0),'Your Team'!$C$4="D" ),1,0)+IF( AND((COUNTIF(GI$2:GI$33,'Your Team'!$D$5)&gt;0),'Your Team'!$C$5="D" ),1,0)+IF( AND((COUNTIF(GI$2:GI$33,'Your Team'!$D$6)&gt;0),'Your Team'!$C$6="D" ),1,0)+IF( AND((COUNTIF(GI$2:GI$33,'Your Team'!$D$7)&gt;0),'Your Team'!$C$7="D" ),1,0)+IF( AND((COUNTIF(GI$2:GI$33,'Your Team'!$D$8)&gt;0),'Your Team'!$C$8="D" ),1,0)+IF( AND((COUNTIF(GI$2:GI$33,'Your Team'!$D$9)&gt;0),'Your Team'!$C$9="D" ),1,0)+IF( AND((COUNTIF(GI$2:GI$33,'Your Team'!$D$10)&gt;0),'Your Team'!$C$10="D" ),1,0)+IF( AND((COUNTIF(GI$2:GI$33,'Your Team'!$D$11)&gt;0),'Your Team'!$C$11="D" ),1,0)+IF( AND((COUNTIF(GI$2:GI$33,'Your Team'!$D$12)&gt;0),'Your Team'!$C$12="D" ),1,0)+IF( AND((COUNTIF(GI$2:GI$33,'Your Team'!$D$13)&gt;0),'Your Team'!$C$13="D" ),1,0)+IF( AND((COUNTIF(GI$2:GI$33,'Your Team'!$D$14)&gt;0),'Your Team'!$C$14="D" ),1,0)+IF( AND((COUNTIF(GI$2:GI$33,'Your Team'!$D$15)&gt;0),'Your Team'!$C$15="D" ),1,0)+IF( AND((COUNTIF(GI$2:GI$33,'Your Team'!$D$16)&gt;0),'Your Team'!$C$16="D" ),1,0)+IF( AND((COUNTIF(GI$2:GI$33,'Your Team'!$D$17)&gt;0),'Your Team'!$C$17="D" ),1,0)+IF( AND((COUNTIF(GI$2:GI$33,'Your Team'!$D$18)&gt;0),'Your Team'!$C$18="D" ),1,0)+IF( AND((COUNTIF(GI$2:GI$33,'Your Team'!$D$19)&gt;0),'Your Team'!$C$19="D" ),1,0)</f>
        <v>0</v>
      </c>
      <c r="GJ39" s="9">
        <f>IF( AND((COUNTIF(GJ$2:GJ$33,'Your Team'!$D$3)&gt;0),'Your Team'!$C$3="D" ),1,0)+IF( AND((COUNTIF(GJ$2:GJ$33,'Your Team'!$D$4)&gt;0),'Your Team'!$C$4="D" ),1,0)+IF( AND((COUNTIF(GJ$2:GJ$33,'Your Team'!$D$5)&gt;0),'Your Team'!$C$5="D" ),1,0)+IF( AND((COUNTIF(GJ$2:GJ$33,'Your Team'!$D$6)&gt;0),'Your Team'!$C$6="D" ),1,0)+IF( AND((COUNTIF(GJ$2:GJ$33,'Your Team'!$D$7)&gt;0),'Your Team'!$C$7="D" ),1,0)+IF( AND((COUNTIF(GJ$2:GJ$33,'Your Team'!$D$8)&gt;0),'Your Team'!$C$8="D" ),1,0)+IF( AND((COUNTIF(GJ$2:GJ$33,'Your Team'!$D$9)&gt;0),'Your Team'!$C$9="D" ),1,0)+IF( AND((COUNTIF(GJ$2:GJ$33,'Your Team'!$D$10)&gt;0),'Your Team'!$C$10="D" ),1,0)+IF( AND((COUNTIF(GJ$2:GJ$33,'Your Team'!$D$11)&gt;0),'Your Team'!$C$11="D" ),1,0)+IF( AND((COUNTIF(GJ$2:GJ$33,'Your Team'!$D$12)&gt;0),'Your Team'!$C$12="D" ),1,0)+IF( AND((COUNTIF(GJ$2:GJ$33,'Your Team'!$D$13)&gt;0),'Your Team'!$C$13="D" ),1,0)+IF( AND((COUNTIF(GJ$2:GJ$33,'Your Team'!$D$14)&gt;0),'Your Team'!$C$14="D" ),1,0)+IF( AND((COUNTIF(GJ$2:GJ$33,'Your Team'!$D$15)&gt;0),'Your Team'!$C$15="D" ),1,0)+IF( AND((COUNTIF(GJ$2:GJ$33,'Your Team'!$D$16)&gt;0),'Your Team'!$C$16="D" ),1,0)+IF( AND((COUNTIF(GJ$2:GJ$33,'Your Team'!$D$17)&gt;0),'Your Team'!$C$17="D" ),1,0)+IF( AND((COUNTIF(GJ$2:GJ$33,'Your Team'!$D$18)&gt;0),'Your Team'!$C$18="D" ),1,0)+IF( AND((COUNTIF(GJ$2:GJ$33,'Your Team'!$D$19)&gt;0),'Your Team'!$C$19="D" ),1,0)</f>
        <v>0</v>
      </c>
      <c r="GK39" s="9">
        <f>IF( AND((COUNTIF(GK$2:GK$33,'Your Team'!$D$3)&gt;0),'Your Team'!$C$3="D" ),1,0)+IF( AND((COUNTIF(GK$2:GK$33,'Your Team'!$D$4)&gt;0),'Your Team'!$C$4="D" ),1,0)+IF( AND((COUNTIF(GK$2:GK$33,'Your Team'!$D$5)&gt;0),'Your Team'!$C$5="D" ),1,0)+IF( AND((COUNTIF(GK$2:GK$33,'Your Team'!$D$6)&gt;0),'Your Team'!$C$6="D" ),1,0)+IF( AND((COUNTIF(GK$2:GK$33,'Your Team'!$D$7)&gt;0),'Your Team'!$C$7="D" ),1,0)+IF( AND((COUNTIF(GK$2:GK$33,'Your Team'!$D$8)&gt;0),'Your Team'!$C$8="D" ),1,0)+IF( AND((COUNTIF(GK$2:GK$33,'Your Team'!$D$9)&gt;0),'Your Team'!$C$9="D" ),1,0)+IF( AND((COUNTIF(GK$2:GK$33,'Your Team'!$D$10)&gt;0),'Your Team'!$C$10="D" ),1,0)+IF( AND((COUNTIF(GK$2:GK$33,'Your Team'!$D$11)&gt;0),'Your Team'!$C$11="D" ),1,0)+IF( AND((COUNTIF(GK$2:GK$33,'Your Team'!$D$12)&gt;0),'Your Team'!$C$12="D" ),1,0)+IF( AND((COUNTIF(GK$2:GK$33,'Your Team'!$D$13)&gt;0),'Your Team'!$C$13="D" ),1,0)+IF( AND((COUNTIF(GK$2:GK$33,'Your Team'!$D$14)&gt;0),'Your Team'!$C$14="D" ),1,0)+IF( AND((COUNTIF(GK$2:GK$33,'Your Team'!$D$15)&gt;0),'Your Team'!$C$15="D" ),1,0)+IF( AND((COUNTIF(GK$2:GK$33,'Your Team'!$D$16)&gt;0),'Your Team'!$C$16="D" ),1,0)+IF( AND((COUNTIF(GK$2:GK$33,'Your Team'!$D$17)&gt;0),'Your Team'!$C$17="D" ),1,0)+IF( AND((COUNTIF(GK$2:GK$33,'Your Team'!$D$18)&gt;0),'Your Team'!$C$18="D" ),1,0)+IF( AND((COUNTIF(GK$2:GK$33,'Your Team'!$D$19)&gt;0),'Your Team'!$C$19="D" ),1,0)</f>
        <v>0</v>
      </c>
      <c r="GL39" s="9">
        <f>IF( AND((COUNTIF(GL$2:GL$33,'Your Team'!$D$3)&gt;0),'Your Team'!$C$3="D" ),1,0)+IF( AND((COUNTIF(GL$2:GL$33,'Your Team'!$D$4)&gt;0),'Your Team'!$C$4="D" ),1,0)+IF( AND((COUNTIF(GL$2:GL$33,'Your Team'!$D$5)&gt;0),'Your Team'!$C$5="D" ),1,0)+IF( AND((COUNTIF(GL$2:GL$33,'Your Team'!$D$6)&gt;0),'Your Team'!$C$6="D" ),1,0)+IF( AND((COUNTIF(GL$2:GL$33,'Your Team'!$D$7)&gt;0),'Your Team'!$C$7="D" ),1,0)+IF( AND((COUNTIF(GL$2:GL$33,'Your Team'!$D$8)&gt;0),'Your Team'!$C$8="D" ),1,0)+IF( AND((COUNTIF(GL$2:GL$33,'Your Team'!$D$9)&gt;0),'Your Team'!$C$9="D" ),1,0)+IF( AND((COUNTIF(GL$2:GL$33,'Your Team'!$D$10)&gt;0),'Your Team'!$C$10="D" ),1,0)+IF( AND((COUNTIF(GL$2:GL$33,'Your Team'!$D$11)&gt;0),'Your Team'!$C$11="D" ),1,0)+IF( AND((COUNTIF(GL$2:GL$33,'Your Team'!$D$12)&gt;0),'Your Team'!$C$12="D" ),1,0)+IF( AND((COUNTIF(GL$2:GL$33,'Your Team'!$D$13)&gt;0),'Your Team'!$C$13="D" ),1,0)+IF( AND((COUNTIF(GL$2:GL$33,'Your Team'!$D$14)&gt;0),'Your Team'!$C$14="D" ),1,0)+IF( AND((COUNTIF(GL$2:GL$33,'Your Team'!$D$15)&gt;0),'Your Team'!$C$15="D" ),1,0)+IF( AND((COUNTIF(GL$2:GL$33,'Your Team'!$D$16)&gt;0),'Your Team'!$C$16="D" ),1,0)+IF( AND((COUNTIF(GL$2:GL$33,'Your Team'!$D$17)&gt;0),'Your Team'!$C$17="D" ),1,0)+IF( AND((COUNTIF(GL$2:GL$33,'Your Team'!$D$18)&gt;0),'Your Team'!$C$18="D" ),1,0)+IF( AND((COUNTIF(GL$2:GL$33,'Your Team'!$D$19)&gt;0),'Your Team'!$C$19="D" ),1,0)</f>
        <v>0</v>
      </c>
      <c r="GM39" s="9">
        <f>IF( AND((COUNTIF(GM$2:GM$33,'Your Team'!$D$3)&gt;0),'Your Team'!$C$3="D" ),1,0)+IF( AND((COUNTIF(GM$2:GM$33,'Your Team'!$D$4)&gt;0),'Your Team'!$C$4="D" ),1,0)+IF( AND((COUNTIF(GM$2:GM$33,'Your Team'!$D$5)&gt;0),'Your Team'!$C$5="D" ),1,0)+IF( AND((COUNTIF(GM$2:GM$33,'Your Team'!$D$6)&gt;0),'Your Team'!$C$6="D" ),1,0)+IF( AND((COUNTIF(GM$2:GM$33,'Your Team'!$D$7)&gt;0),'Your Team'!$C$7="D" ),1,0)+IF( AND((COUNTIF(GM$2:GM$33,'Your Team'!$D$8)&gt;0),'Your Team'!$C$8="D" ),1,0)+IF( AND((COUNTIF(GM$2:GM$33,'Your Team'!$D$9)&gt;0),'Your Team'!$C$9="D" ),1,0)+IF( AND((COUNTIF(GM$2:GM$33,'Your Team'!$D$10)&gt;0),'Your Team'!$C$10="D" ),1,0)+IF( AND((COUNTIF(GM$2:GM$33,'Your Team'!$D$11)&gt;0),'Your Team'!$C$11="D" ),1,0)+IF( AND((COUNTIF(GM$2:GM$33,'Your Team'!$D$12)&gt;0),'Your Team'!$C$12="D" ),1,0)+IF( AND((COUNTIF(GM$2:GM$33,'Your Team'!$D$13)&gt;0),'Your Team'!$C$13="D" ),1,0)+IF( AND((COUNTIF(GM$2:GM$33,'Your Team'!$D$14)&gt;0),'Your Team'!$C$14="D" ),1,0)+IF( AND((COUNTIF(GM$2:GM$33,'Your Team'!$D$15)&gt;0),'Your Team'!$C$15="D" ),1,0)+IF( AND((COUNTIF(GM$2:GM$33,'Your Team'!$D$16)&gt;0),'Your Team'!$C$16="D" ),1,0)+IF( AND((COUNTIF(GM$2:GM$33,'Your Team'!$D$17)&gt;0),'Your Team'!$C$17="D" ),1,0)+IF( AND((COUNTIF(GM$2:GM$33,'Your Team'!$D$18)&gt;0),'Your Team'!$C$18="D" ),1,0)+IF( AND((COUNTIF(GM$2:GM$33,'Your Team'!$D$19)&gt;0),'Your Team'!$C$19="D" ),1,0)</f>
        <v>0</v>
      </c>
      <c r="GN39" s="9">
        <f>IF( AND((COUNTIF(GN$2:GN$33,'Your Team'!$D$3)&gt;0),'Your Team'!$C$3="D" ),1,0)+IF( AND((COUNTIF(GN$2:GN$33,'Your Team'!$D$4)&gt;0),'Your Team'!$C$4="D" ),1,0)+IF( AND((COUNTIF(GN$2:GN$33,'Your Team'!$D$5)&gt;0),'Your Team'!$C$5="D" ),1,0)+IF( AND((COUNTIF(GN$2:GN$33,'Your Team'!$D$6)&gt;0),'Your Team'!$C$6="D" ),1,0)+IF( AND((COUNTIF(GN$2:GN$33,'Your Team'!$D$7)&gt;0),'Your Team'!$C$7="D" ),1,0)+IF( AND((COUNTIF(GN$2:GN$33,'Your Team'!$D$8)&gt;0),'Your Team'!$C$8="D" ),1,0)+IF( AND((COUNTIF(GN$2:GN$33,'Your Team'!$D$9)&gt;0),'Your Team'!$C$9="D" ),1,0)+IF( AND((COUNTIF(GN$2:GN$33,'Your Team'!$D$10)&gt;0),'Your Team'!$C$10="D" ),1,0)+IF( AND((COUNTIF(GN$2:GN$33,'Your Team'!$D$11)&gt;0),'Your Team'!$C$11="D" ),1,0)+IF( AND((COUNTIF(GN$2:GN$33,'Your Team'!$D$12)&gt;0),'Your Team'!$C$12="D" ),1,0)+IF( AND((COUNTIF(GN$2:GN$33,'Your Team'!$D$13)&gt;0),'Your Team'!$C$13="D" ),1,0)+IF( AND((COUNTIF(GN$2:GN$33,'Your Team'!$D$14)&gt;0),'Your Team'!$C$14="D" ),1,0)+IF( AND((COUNTIF(GN$2:GN$33,'Your Team'!$D$15)&gt;0),'Your Team'!$C$15="D" ),1,0)+IF( AND((COUNTIF(GN$2:GN$33,'Your Team'!$D$16)&gt;0),'Your Team'!$C$16="D" ),1,0)+IF( AND((COUNTIF(GN$2:GN$33,'Your Team'!$D$17)&gt;0),'Your Team'!$C$17="D" ),1,0)+IF( AND((COUNTIF(GN$2:GN$33,'Your Team'!$D$18)&gt;0),'Your Team'!$C$18="D" ),1,0)+IF( AND((COUNTIF(GN$2:GN$33,'Your Team'!$D$19)&gt;0),'Your Team'!$C$19="D" ),1,0)</f>
        <v>0</v>
      </c>
    </row>
    <row r="40" spans="1:196" hidden="1" x14ac:dyDescent="0.3">
      <c r="A40" s="6" t="s">
        <v>1000</v>
      </c>
      <c r="H40" s="9">
        <f>IF( AND((COUNTIF(H$2:H$33,'Your Team'!$D$3)&gt;0),'Your Team'!$C$3="F" ),1,0)+IF( AND((COUNTIF(H$2:H$33,'Your Team'!$D$4)&gt;0),'Your Team'!$C$4="F" ),1,0)+IF( AND((COUNTIF(H$2:H$33,'Your Team'!$D$5)&gt;0),'Your Team'!$C$5="F" ),1,0)+IF( AND((COUNTIF(H$2:H$33,'Your Team'!$D$6)&gt;0),'Your Team'!$C$6="F" ),1,0)+IF( AND((COUNTIF(H$2:H$33,'Your Team'!$D$7)&gt;0),'Your Team'!$C$7="F" ),1,0)+IF( AND((COUNTIF(H$2:H$33,'Your Team'!$D$8)&gt;0),'Your Team'!$C$8="F" ),1,0)+IF( AND((COUNTIF(H$2:H$33,'Your Team'!$D$9)&gt;0),'Your Team'!$C$9="F" ),1,0)+IF( AND((COUNTIF(H$2:H$33,'Your Team'!$D$10)&gt;0),'Your Team'!$C$10="F" ),1,0)+IF( AND((COUNTIF(H$2:H$33,'Your Team'!$D$11)&gt;0),'Your Team'!$C$11="F" ),1,0)+IF( AND((COUNTIF(H$2:H$33,'Your Team'!$D$12)&gt;0),'Your Team'!$C$12="F" ),1,0)+IF( AND((COUNTIF(H$2:H$33,'Your Team'!$D$13)&gt;0),'Your Team'!$C$13="F" ),1,0)+IF( AND((COUNTIF(H$2:H$33,'Your Team'!$D$14)&gt;0),'Your Team'!$C$14="F" ),1,0)+IF( AND((COUNTIF(H$2:H$33,'Your Team'!$D$15)&gt;0),'Your Team'!$C$15="F" ),1,0)+IF( AND((COUNTIF(H$2:H$33,'Your Team'!$D$16)&gt;0),'Your Team'!$C$16="F" ),1,0)+IF( AND((COUNTIF(H$2:H$33,'Your Team'!$D$17)&gt;0),'Your Team'!$C$17="F" ),1,0)+IF( AND((COUNTIF(H$2:H$33,'Your Team'!$D$18)&gt;0),'Your Team'!$C$18="F" ),1,0)+IF( AND((COUNTIF(H$2:H$33,'Your Team'!$D$19)&gt;0),'Your Team'!$C$19="F" ),1,0)</f>
        <v>0</v>
      </c>
      <c r="I40" s="9">
        <f>IF( AND((COUNTIF(I$2:I$33,'Your Team'!$D$3)&gt;0),'Your Team'!$C$3="F" ),1,0)+IF( AND((COUNTIF(I$2:I$33,'Your Team'!$D$4)&gt;0),'Your Team'!$C$4="F" ),1,0)+IF( AND((COUNTIF(I$2:I$33,'Your Team'!$D$5)&gt;0),'Your Team'!$C$5="F" ),1,0)+IF( AND((COUNTIF(I$2:I$33,'Your Team'!$D$6)&gt;0),'Your Team'!$C$6="F" ),1,0)+IF( AND((COUNTIF(I$2:I$33,'Your Team'!$D$7)&gt;0),'Your Team'!$C$7="F" ),1,0)+IF( AND((COUNTIF(I$2:I$33,'Your Team'!$D$8)&gt;0),'Your Team'!$C$8="F" ),1,0)+IF( AND((COUNTIF(I$2:I$33,'Your Team'!$D$9)&gt;0),'Your Team'!$C$9="F" ),1,0)+IF( AND((COUNTIF(I$2:I$33,'Your Team'!$D$10)&gt;0),'Your Team'!$C$10="F" ),1,0)+IF( AND((COUNTIF(I$2:I$33,'Your Team'!$D$11)&gt;0),'Your Team'!$C$11="F" ),1,0)+IF( AND((COUNTIF(I$2:I$33,'Your Team'!$D$12)&gt;0),'Your Team'!$C$12="F" ),1,0)+IF( AND((COUNTIF(I$2:I$33,'Your Team'!$D$13)&gt;0),'Your Team'!$C$13="F" ),1,0)+IF( AND((COUNTIF(I$2:I$33,'Your Team'!$D$14)&gt;0),'Your Team'!$C$14="F" ),1,0)+IF( AND((COUNTIF(I$2:I$33,'Your Team'!$D$15)&gt;0),'Your Team'!$C$15="F" ),1,0)+IF( AND((COUNTIF(I$2:I$33,'Your Team'!$D$16)&gt;0),'Your Team'!$C$16="F" ),1,0)+IF( AND((COUNTIF(I$2:I$33,'Your Team'!$D$17)&gt;0),'Your Team'!$C$17="F" ),1,0)+IF( AND((COUNTIF(I$2:I$33,'Your Team'!$D$18)&gt;0),'Your Team'!$C$18="F" ),1,0)+IF( AND((COUNTIF(I$2:I$33,'Your Team'!$D$19)&gt;0),'Your Team'!$C$19="F" ),1,0)</f>
        <v>0</v>
      </c>
      <c r="J40" s="9">
        <f>IF( AND((COUNTIF(J$2:J$33,'Your Team'!$D$3)&gt;0),'Your Team'!$C$3="F" ),1,0)+IF( AND((COUNTIF(J$2:J$33,'Your Team'!$D$4)&gt;0),'Your Team'!$C$4="F" ),1,0)+IF( AND((COUNTIF(J$2:J$33,'Your Team'!$D$5)&gt;0),'Your Team'!$C$5="F" ),1,0)+IF( AND((COUNTIF(J$2:J$33,'Your Team'!$D$6)&gt;0),'Your Team'!$C$6="F" ),1,0)+IF( AND((COUNTIF(J$2:J$33,'Your Team'!$D$7)&gt;0),'Your Team'!$C$7="F" ),1,0)+IF( AND((COUNTIF(J$2:J$33,'Your Team'!$D$8)&gt;0),'Your Team'!$C$8="F" ),1,0)+IF( AND((COUNTIF(J$2:J$33,'Your Team'!$D$9)&gt;0),'Your Team'!$C$9="F" ),1,0)+IF( AND((COUNTIF(J$2:J$33,'Your Team'!$D$10)&gt;0),'Your Team'!$C$10="F" ),1,0)+IF( AND((COUNTIF(J$2:J$33,'Your Team'!$D$11)&gt;0),'Your Team'!$C$11="F" ),1,0)+IF( AND((COUNTIF(J$2:J$33,'Your Team'!$D$12)&gt;0),'Your Team'!$C$12="F" ),1,0)+IF( AND((COUNTIF(J$2:J$33,'Your Team'!$D$13)&gt;0),'Your Team'!$C$13="F" ),1,0)+IF( AND((COUNTIF(J$2:J$33,'Your Team'!$D$14)&gt;0),'Your Team'!$C$14="F" ),1,0)+IF( AND((COUNTIF(J$2:J$33,'Your Team'!$D$15)&gt;0),'Your Team'!$C$15="F" ),1,0)+IF( AND((COUNTIF(J$2:J$33,'Your Team'!$D$16)&gt;0),'Your Team'!$C$16="F" ),1,0)+IF( AND((COUNTIF(J$2:J$33,'Your Team'!$D$17)&gt;0),'Your Team'!$C$17="F" ),1,0)+IF( AND((COUNTIF(J$2:J$33,'Your Team'!$D$18)&gt;0),'Your Team'!$C$18="F" ),1,0)+IF( AND((COUNTIF(J$2:J$33,'Your Team'!$D$19)&gt;0),'Your Team'!$C$19="F" ),1,0)</f>
        <v>0</v>
      </c>
      <c r="K40" s="9">
        <f>IF( AND((COUNTIF(K$2:K$33,'Your Team'!$D$3)&gt;0),'Your Team'!$C$3="F" ),1,0)+IF( AND((COUNTIF(K$2:K$33,'Your Team'!$D$4)&gt;0),'Your Team'!$C$4="F" ),1,0)+IF( AND((COUNTIF(K$2:K$33,'Your Team'!$D$5)&gt;0),'Your Team'!$C$5="F" ),1,0)+IF( AND((COUNTIF(K$2:K$33,'Your Team'!$D$6)&gt;0),'Your Team'!$C$6="F" ),1,0)+IF( AND((COUNTIF(K$2:K$33,'Your Team'!$D$7)&gt;0),'Your Team'!$C$7="F" ),1,0)+IF( AND((COUNTIF(K$2:K$33,'Your Team'!$D$8)&gt;0),'Your Team'!$C$8="F" ),1,0)+IF( AND((COUNTIF(K$2:K$33,'Your Team'!$D$9)&gt;0),'Your Team'!$C$9="F" ),1,0)+IF( AND((COUNTIF(K$2:K$33,'Your Team'!$D$10)&gt;0),'Your Team'!$C$10="F" ),1,0)+IF( AND((COUNTIF(K$2:K$33,'Your Team'!$D$11)&gt;0),'Your Team'!$C$11="F" ),1,0)+IF( AND((COUNTIF(K$2:K$33,'Your Team'!$D$12)&gt;0),'Your Team'!$C$12="F" ),1,0)+IF( AND((COUNTIF(K$2:K$33,'Your Team'!$D$13)&gt;0),'Your Team'!$C$13="F" ),1,0)+IF( AND((COUNTIF(K$2:K$33,'Your Team'!$D$14)&gt;0),'Your Team'!$C$14="F" ),1,0)+IF( AND((COUNTIF(K$2:K$33,'Your Team'!$D$15)&gt;0),'Your Team'!$C$15="F" ),1,0)+IF( AND((COUNTIF(K$2:K$33,'Your Team'!$D$16)&gt;0),'Your Team'!$C$16="F" ),1,0)+IF( AND((COUNTIF(K$2:K$33,'Your Team'!$D$17)&gt;0),'Your Team'!$C$17="F" ),1,0)+IF( AND((COUNTIF(K$2:K$33,'Your Team'!$D$18)&gt;0),'Your Team'!$C$18="F" ),1,0)+IF( AND((COUNTIF(K$2:K$33,'Your Team'!$D$19)&gt;0),'Your Team'!$C$19="F" ),1,0)</f>
        <v>0</v>
      </c>
      <c r="L40" s="9">
        <f>IF( AND((COUNTIF(L$2:L$33,'Your Team'!$D$3)&gt;0),'Your Team'!$C$3="F" ),1,0)+IF( AND((COUNTIF(L$2:L$33,'Your Team'!$D$4)&gt;0),'Your Team'!$C$4="F" ),1,0)+IF( AND((COUNTIF(L$2:L$33,'Your Team'!$D$5)&gt;0),'Your Team'!$C$5="F" ),1,0)+IF( AND((COUNTIF(L$2:L$33,'Your Team'!$D$6)&gt;0),'Your Team'!$C$6="F" ),1,0)+IF( AND((COUNTIF(L$2:L$33,'Your Team'!$D$7)&gt;0),'Your Team'!$C$7="F" ),1,0)+IF( AND((COUNTIF(L$2:L$33,'Your Team'!$D$8)&gt;0),'Your Team'!$C$8="F" ),1,0)+IF( AND((COUNTIF(L$2:L$33,'Your Team'!$D$9)&gt;0),'Your Team'!$C$9="F" ),1,0)+IF( AND((COUNTIF(L$2:L$33,'Your Team'!$D$10)&gt;0),'Your Team'!$C$10="F" ),1,0)+IF( AND((COUNTIF(L$2:L$33,'Your Team'!$D$11)&gt;0),'Your Team'!$C$11="F" ),1,0)+IF( AND((COUNTIF(L$2:L$33,'Your Team'!$D$12)&gt;0),'Your Team'!$C$12="F" ),1,0)+IF( AND((COUNTIF(L$2:L$33,'Your Team'!$D$13)&gt;0),'Your Team'!$C$13="F" ),1,0)+IF( AND((COUNTIF(L$2:L$33,'Your Team'!$D$14)&gt;0),'Your Team'!$C$14="F" ),1,0)+IF( AND((COUNTIF(L$2:L$33,'Your Team'!$D$15)&gt;0),'Your Team'!$C$15="F" ),1,0)+IF( AND((COUNTIF(L$2:L$33,'Your Team'!$D$16)&gt;0),'Your Team'!$C$16="F" ),1,0)+IF( AND((COUNTIF(L$2:L$33,'Your Team'!$D$17)&gt;0),'Your Team'!$C$17="F" ),1,0)+IF( AND((COUNTIF(L$2:L$33,'Your Team'!$D$18)&gt;0),'Your Team'!$C$18="F" ),1,0)+IF( AND((COUNTIF(L$2:L$33,'Your Team'!$D$19)&gt;0),'Your Team'!$C$19="F" ),1,0)</f>
        <v>0</v>
      </c>
      <c r="M40" s="9">
        <f>IF( AND((COUNTIF(M$2:M$33,'Your Team'!$D$3)&gt;0),'Your Team'!$C$3="F" ),1,0)+IF( AND((COUNTIF(M$2:M$33,'Your Team'!$D$4)&gt;0),'Your Team'!$C$4="F" ),1,0)+IF( AND((COUNTIF(M$2:M$33,'Your Team'!$D$5)&gt;0),'Your Team'!$C$5="F" ),1,0)+IF( AND((COUNTIF(M$2:M$33,'Your Team'!$D$6)&gt;0),'Your Team'!$C$6="F" ),1,0)+IF( AND((COUNTIF(M$2:M$33,'Your Team'!$D$7)&gt;0),'Your Team'!$C$7="F" ),1,0)+IF( AND((COUNTIF(M$2:M$33,'Your Team'!$D$8)&gt;0),'Your Team'!$C$8="F" ),1,0)+IF( AND((COUNTIF(M$2:M$33,'Your Team'!$D$9)&gt;0),'Your Team'!$C$9="F" ),1,0)+IF( AND((COUNTIF(M$2:M$33,'Your Team'!$D$10)&gt;0),'Your Team'!$C$10="F" ),1,0)+IF( AND((COUNTIF(M$2:M$33,'Your Team'!$D$11)&gt;0),'Your Team'!$C$11="F" ),1,0)+IF( AND((COUNTIF(M$2:M$33,'Your Team'!$D$12)&gt;0),'Your Team'!$C$12="F" ),1,0)+IF( AND((COUNTIF(M$2:M$33,'Your Team'!$D$13)&gt;0),'Your Team'!$C$13="F" ),1,0)+IF( AND((COUNTIF(M$2:M$33,'Your Team'!$D$14)&gt;0),'Your Team'!$C$14="F" ),1,0)+IF( AND((COUNTIF(M$2:M$33,'Your Team'!$D$15)&gt;0),'Your Team'!$C$15="F" ),1,0)+IF( AND((COUNTIF(M$2:M$33,'Your Team'!$D$16)&gt;0),'Your Team'!$C$16="F" ),1,0)+IF( AND((COUNTIF(M$2:M$33,'Your Team'!$D$17)&gt;0),'Your Team'!$C$17="F" ),1,0)+IF( AND((COUNTIF(M$2:M$33,'Your Team'!$D$18)&gt;0),'Your Team'!$C$18="F" ),1,0)+IF( AND((COUNTIF(M$2:M$33,'Your Team'!$D$19)&gt;0),'Your Team'!$C$19="F" ),1,0)</f>
        <v>0</v>
      </c>
      <c r="N40" s="9">
        <f>IF( AND((COUNTIF(N$2:N$33,'Your Team'!$D$3)&gt;0),'Your Team'!$C$3="F" ),1,0)+IF( AND((COUNTIF(N$2:N$33,'Your Team'!$D$4)&gt;0),'Your Team'!$C$4="F" ),1,0)+IF( AND((COUNTIF(N$2:N$33,'Your Team'!$D$5)&gt;0),'Your Team'!$C$5="F" ),1,0)+IF( AND((COUNTIF(N$2:N$33,'Your Team'!$D$6)&gt;0),'Your Team'!$C$6="F" ),1,0)+IF( AND((COUNTIF(N$2:N$33,'Your Team'!$D$7)&gt;0),'Your Team'!$C$7="F" ),1,0)+IF( AND((COUNTIF(N$2:N$33,'Your Team'!$D$8)&gt;0),'Your Team'!$C$8="F" ),1,0)+IF( AND((COUNTIF(N$2:N$33,'Your Team'!$D$9)&gt;0),'Your Team'!$C$9="F" ),1,0)+IF( AND((COUNTIF(N$2:N$33,'Your Team'!$D$10)&gt;0),'Your Team'!$C$10="F" ),1,0)+IF( AND((COUNTIF(N$2:N$33,'Your Team'!$D$11)&gt;0),'Your Team'!$C$11="F" ),1,0)+IF( AND((COUNTIF(N$2:N$33,'Your Team'!$D$12)&gt;0),'Your Team'!$C$12="F" ),1,0)+IF( AND((COUNTIF(N$2:N$33,'Your Team'!$D$13)&gt;0),'Your Team'!$C$13="F" ),1,0)+IF( AND((COUNTIF(N$2:N$33,'Your Team'!$D$14)&gt;0),'Your Team'!$C$14="F" ),1,0)+IF( AND((COUNTIF(N$2:N$33,'Your Team'!$D$15)&gt;0),'Your Team'!$C$15="F" ),1,0)+IF( AND((COUNTIF(N$2:N$33,'Your Team'!$D$16)&gt;0),'Your Team'!$C$16="F" ),1,0)+IF( AND((COUNTIF(N$2:N$33,'Your Team'!$D$17)&gt;0),'Your Team'!$C$17="F" ),1,0)+IF( AND((COUNTIF(N$2:N$33,'Your Team'!$D$18)&gt;0),'Your Team'!$C$18="F" ),1,0)+IF( AND((COUNTIF(N$2:N$33,'Your Team'!$D$19)&gt;0),'Your Team'!$C$19="F" ),1,0)</f>
        <v>0</v>
      </c>
      <c r="O40" s="9">
        <f>IF( AND((COUNTIF(O$2:O$33,'Your Team'!$D$3)&gt;0),'Your Team'!$C$3="F" ),1,0)+IF( AND((COUNTIF(O$2:O$33,'Your Team'!$D$4)&gt;0),'Your Team'!$C$4="F" ),1,0)+IF( AND((COUNTIF(O$2:O$33,'Your Team'!$D$5)&gt;0),'Your Team'!$C$5="F" ),1,0)+IF( AND((COUNTIF(O$2:O$33,'Your Team'!$D$6)&gt;0),'Your Team'!$C$6="F" ),1,0)+IF( AND((COUNTIF(O$2:O$33,'Your Team'!$D$7)&gt;0),'Your Team'!$C$7="F" ),1,0)+IF( AND((COUNTIF(O$2:O$33,'Your Team'!$D$8)&gt;0),'Your Team'!$C$8="F" ),1,0)+IF( AND((COUNTIF(O$2:O$33,'Your Team'!$D$9)&gt;0),'Your Team'!$C$9="F" ),1,0)+IF( AND((COUNTIF(O$2:O$33,'Your Team'!$D$10)&gt;0),'Your Team'!$C$10="F" ),1,0)+IF( AND((COUNTIF(O$2:O$33,'Your Team'!$D$11)&gt;0),'Your Team'!$C$11="F" ),1,0)+IF( AND((COUNTIF(O$2:O$33,'Your Team'!$D$12)&gt;0),'Your Team'!$C$12="F" ),1,0)+IF( AND((COUNTIF(O$2:O$33,'Your Team'!$D$13)&gt;0),'Your Team'!$C$13="F" ),1,0)+IF( AND((COUNTIF(O$2:O$33,'Your Team'!$D$14)&gt;0),'Your Team'!$C$14="F" ),1,0)+IF( AND((COUNTIF(O$2:O$33,'Your Team'!$D$15)&gt;0),'Your Team'!$C$15="F" ),1,0)+IF( AND((COUNTIF(O$2:O$33,'Your Team'!$D$16)&gt;0),'Your Team'!$C$16="F" ),1,0)+IF( AND((COUNTIF(O$2:O$33,'Your Team'!$D$17)&gt;0),'Your Team'!$C$17="F" ),1,0)+IF( AND((COUNTIF(O$2:O$33,'Your Team'!$D$18)&gt;0),'Your Team'!$C$18="F" ),1,0)+IF( AND((COUNTIF(O$2:O$33,'Your Team'!$D$19)&gt;0),'Your Team'!$C$19="F" ),1,0)</f>
        <v>0</v>
      </c>
      <c r="P40" s="9">
        <f>IF( AND((COUNTIF(P$2:P$33,'Your Team'!$D$3)&gt;0),'Your Team'!$C$3="F" ),1,0)+IF( AND((COUNTIF(P$2:P$33,'Your Team'!$D$4)&gt;0),'Your Team'!$C$4="F" ),1,0)+IF( AND((COUNTIF(P$2:P$33,'Your Team'!$D$5)&gt;0),'Your Team'!$C$5="F" ),1,0)+IF( AND((COUNTIF(P$2:P$33,'Your Team'!$D$6)&gt;0),'Your Team'!$C$6="F" ),1,0)+IF( AND((COUNTIF(P$2:P$33,'Your Team'!$D$7)&gt;0),'Your Team'!$C$7="F" ),1,0)+IF( AND((COUNTIF(P$2:P$33,'Your Team'!$D$8)&gt;0),'Your Team'!$C$8="F" ),1,0)+IF( AND((COUNTIF(P$2:P$33,'Your Team'!$D$9)&gt;0),'Your Team'!$C$9="F" ),1,0)+IF( AND((COUNTIF(P$2:P$33,'Your Team'!$D$10)&gt;0),'Your Team'!$C$10="F" ),1,0)+IF( AND((COUNTIF(P$2:P$33,'Your Team'!$D$11)&gt;0),'Your Team'!$C$11="F" ),1,0)+IF( AND((COUNTIF(P$2:P$33,'Your Team'!$D$12)&gt;0),'Your Team'!$C$12="F" ),1,0)+IF( AND((COUNTIF(P$2:P$33,'Your Team'!$D$13)&gt;0),'Your Team'!$C$13="F" ),1,0)+IF( AND((COUNTIF(P$2:P$33,'Your Team'!$D$14)&gt;0),'Your Team'!$C$14="F" ),1,0)+IF( AND((COUNTIF(P$2:P$33,'Your Team'!$D$15)&gt;0),'Your Team'!$C$15="F" ),1,0)+IF( AND((COUNTIF(P$2:P$33,'Your Team'!$D$16)&gt;0),'Your Team'!$C$16="F" ),1,0)+IF( AND((COUNTIF(P$2:P$33,'Your Team'!$D$17)&gt;0),'Your Team'!$C$17="F" ),1,0)+IF( AND((COUNTIF(P$2:P$33,'Your Team'!$D$18)&gt;0),'Your Team'!$C$18="F" ),1,0)+IF( AND((COUNTIF(P$2:P$33,'Your Team'!$D$19)&gt;0),'Your Team'!$C$19="F" ),1,0)</f>
        <v>0</v>
      </c>
      <c r="Q40" s="9">
        <f>IF( AND((COUNTIF(Q$2:Q$33,'Your Team'!$D$3)&gt;0),'Your Team'!$C$3="F" ),1,0)+IF( AND((COUNTIF(Q$2:Q$33,'Your Team'!$D$4)&gt;0),'Your Team'!$C$4="F" ),1,0)+IF( AND((COUNTIF(Q$2:Q$33,'Your Team'!$D$5)&gt;0),'Your Team'!$C$5="F" ),1,0)+IF( AND((COUNTIF(Q$2:Q$33,'Your Team'!$D$6)&gt;0),'Your Team'!$C$6="F" ),1,0)+IF( AND((COUNTIF(Q$2:Q$33,'Your Team'!$D$7)&gt;0),'Your Team'!$C$7="F" ),1,0)+IF( AND((COUNTIF(Q$2:Q$33,'Your Team'!$D$8)&gt;0),'Your Team'!$C$8="F" ),1,0)+IF( AND((COUNTIF(Q$2:Q$33,'Your Team'!$D$9)&gt;0),'Your Team'!$C$9="F" ),1,0)+IF( AND((COUNTIF(Q$2:Q$33,'Your Team'!$D$10)&gt;0),'Your Team'!$C$10="F" ),1,0)+IF( AND((COUNTIF(Q$2:Q$33,'Your Team'!$D$11)&gt;0),'Your Team'!$C$11="F" ),1,0)+IF( AND((COUNTIF(Q$2:Q$33,'Your Team'!$D$12)&gt;0),'Your Team'!$C$12="F" ),1,0)+IF( AND((COUNTIF(Q$2:Q$33,'Your Team'!$D$13)&gt;0),'Your Team'!$C$13="F" ),1,0)+IF( AND((COUNTIF(Q$2:Q$33,'Your Team'!$D$14)&gt;0),'Your Team'!$C$14="F" ),1,0)+IF( AND((COUNTIF(Q$2:Q$33,'Your Team'!$D$15)&gt;0),'Your Team'!$C$15="F" ),1,0)+IF( AND((COUNTIF(Q$2:Q$33,'Your Team'!$D$16)&gt;0),'Your Team'!$C$16="F" ),1,0)+IF( AND((COUNTIF(Q$2:Q$33,'Your Team'!$D$17)&gt;0),'Your Team'!$C$17="F" ),1,0)+IF( AND((COUNTIF(Q$2:Q$33,'Your Team'!$D$18)&gt;0),'Your Team'!$C$18="F" ),1,0)+IF( AND((COUNTIF(Q$2:Q$33,'Your Team'!$D$19)&gt;0),'Your Team'!$C$19="F" ),1,0)</f>
        <v>0</v>
      </c>
      <c r="R40" s="9">
        <f>IF( AND((COUNTIF(R$2:R$33,'Your Team'!$D$3)&gt;0),'Your Team'!$C$3="F" ),1,0)+IF( AND((COUNTIF(R$2:R$33,'Your Team'!$D$4)&gt;0),'Your Team'!$C$4="F" ),1,0)+IF( AND((COUNTIF(R$2:R$33,'Your Team'!$D$5)&gt;0),'Your Team'!$C$5="F" ),1,0)+IF( AND((COUNTIF(R$2:R$33,'Your Team'!$D$6)&gt;0),'Your Team'!$C$6="F" ),1,0)+IF( AND((COUNTIF(R$2:R$33,'Your Team'!$D$7)&gt;0),'Your Team'!$C$7="F" ),1,0)+IF( AND((COUNTIF(R$2:R$33,'Your Team'!$D$8)&gt;0),'Your Team'!$C$8="F" ),1,0)+IF( AND((COUNTIF(R$2:R$33,'Your Team'!$D$9)&gt;0),'Your Team'!$C$9="F" ),1,0)+IF( AND((COUNTIF(R$2:R$33,'Your Team'!$D$10)&gt;0),'Your Team'!$C$10="F" ),1,0)+IF( AND((COUNTIF(R$2:R$33,'Your Team'!$D$11)&gt;0),'Your Team'!$C$11="F" ),1,0)+IF( AND((COUNTIF(R$2:R$33,'Your Team'!$D$12)&gt;0),'Your Team'!$C$12="F" ),1,0)+IF( AND((COUNTIF(R$2:R$33,'Your Team'!$D$13)&gt;0),'Your Team'!$C$13="F" ),1,0)+IF( AND((COUNTIF(R$2:R$33,'Your Team'!$D$14)&gt;0),'Your Team'!$C$14="F" ),1,0)+IF( AND((COUNTIF(R$2:R$33,'Your Team'!$D$15)&gt;0),'Your Team'!$C$15="F" ),1,0)+IF( AND((COUNTIF(R$2:R$33,'Your Team'!$D$16)&gt;0),'Your Team'!$C$16="F" ),1,0)+IF( AND((COUNTIF(R$2:R$33,'Your Team'!$D$17)&gt;0),'Your Team'!$C$17="F" ),1,0)+IF( AND((COUNTIF(R$2:R$33,'Your Team'!$D$18)&gt;0),'Your Team'!$C$18="F" ),1,0)+IF( AND((COUNTIF(R$2:R$33,'Your Team'!$D$19)&gt;0),'Your Team'!$C$19="F" ),1,0)</f>
        <v>0</v>
      </c>
      <c r="S40" s="9">
        <f>IF( AND((COUNTIF(S$2:S$33,'Your Team'!$D$3)&gt;0),'Your Team'!$C$3="F" ),1,0)+IF( AND((COUNTIF(S$2:S$33,'Your Team'!$D$4)&gt;0),'Your Team'!$C$4="F" ),1,0)+IF( AND((COUNTIF(S$2:S$33,'Your Team'!$D$5)&gt;0),'Your Team'!$C$5="F" ),1,0)+IF( AND((COUNTIF(S$2:S$33,'Your Team'!$D$6)&gt;0),'Your Team'!$C$6="F" ),1,0)+IF( AND((COUNTIF(S$2:S$33,'Your Team'!$D$7)&gt;0),'Your Team'!$C$7="F" ),1,0)+IF( AND((COUNTIF(S$2:S$33,'Your Team'!$D$8)&gt;0),'Your Team'!$C$8="F" ),1,0)+IF( AND((COUNTIF(S$2:S$33,'Your Team'!$D$9)&gt;0),'Your Team'!$C$9="F" ),1,0)+IF( AND((COUNTIF(S$2:S$33,'Your Team'!$D$10)&gt;0),'Your Team'!$C$10="F" ),1,0)+IF( AND((COUNTIF(S$2:S$33,'Your Team'!$D$11)&gt;0),'Your Team'!$C$11="F" ),1,0)+IF( AND((COUNTIF(S$2:S$33,'Your Team'!$D$12)&gt;0),'Your Team'!$C$12="F" ),1,0)+IF( AND((COUNTIF(S$2:S$33,'Your Team'!$D$13)&gt;0),'Your Team'!$C$13="F" ),1,0)+IF( AND((COUNTIF(S$2:S$33,'Your Team'!$D$14)&gt;0),'Your Team'!$C$14="F" ),1,0)+IF( AND((COUNTIF(S$2:S$33,'Your Team'!$D$15)&gt;0),'Your Team'!$C$15="F" ),1,0)+IF( AND((COUNTIF(S$2:S$33,'Your Team'!$D$16)&gt;0),'Your Team'!$C$16="F" ),1,0)+IF( AND((COUNTIF(S$2:S$33,'Your Team'!$D$17)&gt;0),'Your Team'!$C$17="F" ),1,0)+IF( AND((COUNTIF(S$2:S$33,'Your Team'!$D$18)&gt;0),'Your Team'!$C$18="F" ),1,0)+IF( AND((COUNTIF(S$2:S$33,'Your Team'!$D$19)&gt;0),'Your Team'!$C$19="F" ),1,0)</f>
        <v>0</v>
      </c>
      <c r="T40" s="9">
        <f>IF( AND((COUNTIF(T$2:T$33,'Your Team'!$D$3)&gt;0),'Your Team'!$C$3="F" ),1,0)+IF( AND((COUNTIF(T$2:T$33,'Your Team'!$D$4)&gt;0),'Your Team'!$C$4="F" ),1,0)+IF( AND((COUNTIF(T$2:T$33,'Your Team'!$D$5)&gt;0),'Your Team'!$C$5="F" ),1,0)+IF( AND((COUNTIF(T$2:T$33,'Your Team'!$D$6)&gt;0),'Your Team'!$C$6="F" ),1,0)+IF( AND((COUNTIF(T$2:T$33,'Your Team'!$D$7)&gt;0),'Your Team'!$C$7="F" ),1,0)+IF( AND((COUNTIF(T$2:T$33,'Your Team'!$D$8)&gt;0),'Your Team'!$C$8="F" ),1,0)+IF( AND((COUNTIF(T$2:T$33,'Your Team'!$D$9)&gt;0),'Your Team'!$C$9="F" ),1,0)+IF( AND((COUNTIF(T$2:T$33,'Your Team'!$D$10)&gt;0),'Your Team'!$C$10="F" ),1,0)+IF( AND((COUNTIF(T$2:T$33,'Your Team'!$D$11)&gt;0),'Your Team'!$C$11="F" ),1,0)+IF( AND((COUNTIF(T$2:T$33,'Your Team'!$D$12)&gt;0),'Your Team'!$C$12="F" ),1,0)+IF( AND((COUNTIF(T$2:T$33,'Your Team'!$D$13)&gt;0),'Your Team'!$C$13="F" ),1,0)+IF( AND((COUNTIF(T$2:T$33,'Your Team'!$D$14)&gt;0),'Your Team'!$C$14="F" ),1,0)+IF( AND((COUNTIF(T$2:T$33,'Your Team'!$D$15)&gt;0),'Your Team'!$C$15="F" ),1,0)+IF( AND((COUNTIF(T$2:T$33,'Your Team'!$D$16)&gt;0),'Your Team'!$C$16="F" ),1,0)+IF( AND((COUNTIF(T$2:T$33,'Your Team'!$D$17)&gt;0),'Your Team'!$C$17="F" ),1,0)+IF( AND((COUNTIF(T$2:T$33,'Your Team'!$D$18)&gt;0),'Your Team'!$C$18="F" ),1,0)+IF( AND((COUNTIF(T$2:T$33,'Your Team'!$D$19)&gt;0),'Your Team'!$C$19="F" ),1,0)</f>
        <v>0</v>
      </c>
      <c r="U40" s="9">
        <f>IF( AND((COUNTIF(U$2:U$33,'Your Team'!$D$3)&gt;0),'Your Team'!$C$3="F" ),1,0)+IF( AND((COUNTIF(U$2:U$33,'Your Team'!$D$4)&gt;0),'Your Team'!$C$4="F" ),1,0)+IF( AND((COUNTIF(U$2:U$33,'Your Team'!$D$5)&gt;0),'Your Team'!$C$5="F" ),1,0)+IF( AND((COUNTIF(U$2:U$33,'Your Team'!$D$6)&gt;0),'Your Team'!$C$6="F" ),1,0)+IF( AND((COUNTIF(U$2:U$33,'Your Team'!$D$7)&gt;0),'Your Team'!$C$7="F" ),1,0)+IF( AND((COUNTIF(U$2:U$33,'Your Team'!$D$8)&gt;0),'Your Team'!$C$8="F" ),1,0)+IF( AND((COUNTIF(U$2:U$33,'Your Team'!$D$9)&gt;0),'Your Team'!$C$9="F" ),1,0)+IF( AND((COUNTIF(U$2:U$33,'Your Team'!$D$10)&gt;0),'Your Team'!$C$10="F" ),1,0)+IF( AND((COUNTIF(U$2:U$33,'Your Team'!$D$11)&gt;0),'Your Team'!$C$11="F" ),1,0)+IF( AND((COUNTIF(U$2:U$33,'Your Team'!$D$12)&gt;0),'Your Team'!$C$12="F" ),1,0)+IF( AND((COUNTIF(U$2:U$33,'Your Team'!$D$13)&gt;0),'Your Team'!$C$13="F" ),1,0)+IF( AND((COUNTIF(U$2:U$33,'Your Team'!$D$14)&gt;0),'Your Team'!$C$14="F" ),1,0)+IF( AND((COUNTIF(U$2:U$33,'Your Team'!$D$15)&gt;0),'Your Team'!$C$15="F" ),1,0)+IF( AND((COUNTIF(U$2:U$33,'Your Team'!$D$16)&gt;0),'Your Team'!$C$16="F" ),1,0)+IF( AND((COUNTIF(U$2:U$33,'Your Team'!$D$17)&gt;0),'Your Team'!$C$17="F" ),1,0)+IF( AND((COUNTIF(U$2:U$33,'Your Team'!$D$18)&gt;0),'Your Team'!$C$18="F" ),1,0)+IF( AND((COUNTIF(U$2:U$33,'Your Team'!$D$19)&gt;0),'Your Team'!$C$19="F" ),1,0)</f>
        <v>0</v>
      </c>
      <c r="V40" s="9">
        <f>IF( AND((COUNTIF(V$2:V$33,'Your Team'!$D$3)&gt;0),'Your Team'!$C$3="F" ),1,0)+IF( AND((COUNTIF(V$2:V$33,'Your Team'!$D$4)&gt;0),'Your Team'!$C$4="F" ),1,0)+IF( AND((COUNTIF(V$2:V$33,'Your Team'!$D$5)&gt;0),'Your Team'!$C$5="F" ),1,0)+IF( AND((COUNTIF(V$2:V$33,'Your Team'!$D$6)&gt;0),'Your Team'!$C$6="F" ),1,0)+IF( AND((COUNTIF(V$2:V$33,'Your Team'!$D$7)&gt;0),'Your Team'!$C$7="F" ),1,0)+IF( AND((COUNTIF(V$2:V$33,'Your Team'!$D$8)&gt;0),'Your Team'!$C$8="F" ),1,0)+IF( AND((COUNTIF(V$2:V$33,'Your Team'!$D$9)&gt;0),'Your Team'!$C$9="F" ),1,0)+IF( AND((COUNTIF(V$2:V$33,'Your Team'!$D$10)&gt;0),'Your Team'!$C$10="F" ),1,0)+IF( AND((COUNTIF(V$2:V$33,'Your Team'!$D$11)&gt;0),'Your Team'!$C$11="F" ),1,0)+IF( AND((COUNTIF(V$2:V$33,'Your Team'!$D$12)&gt;0),'Your Team'!$C$12="F" ),1,0)+IF( AND((COUNTIF(V$2:V$33,'Your Team'!$D$13)&gt;0),'Your Team'!$C$13="F" ),1,0)+IF( AND((COUNTIF(V$2:V$33,'Your Team'!$D$14)&gt;0),'Your Team'!$C$14="F" ),1,0)+IF( AND((COUNTIF(V$2:V$33,'Your Team'!$D$15)&gt;0),'Your Team'!$C$15="F" ),1,0)+IF( AND((COUNTIF(V$2:V$33,'Your Team'!$D$16)&gt;0),'Your Team'!$C$16="F" ),1,0)+IF( AND((COUNTIF(V$2:V$33,'Your Team'!$D$17)&gt;0),'Your Team'!$C$17="F" ),1,0)+IF( AND((COUNTIF(V$2:V$33,'Your Team'!$D$18)&gt;0),'Your Team'!$C$18="F" ),1,0)+IF( AND((COUNTIF(V$2:V$33,'Your Team'!$D$19)&gt;0),'Your Team'!$C$19="F" ),1,0)</f>
        <v>0</v>
      </c>
      <c r="W40" s="9">
        <f>IF( AND((COUNTIF(W$2:W$33,'Your Team'!$D$3)&gt;0),'Your Team'!$C$3="F" ),1,0)+IF( AND((COUNTIF(W$2:W$33,'Your Team'!$D$4)&gt;0),'Your Team'!$C$4="F" ),1,0)+IF( AND((COUNTIF(W$2:W$33,'Your Team'!$D$5)&gt;0),'Your Team'!$C$5="F" ),1,0)+IF( AND((COUNTIF(W$2:W$33,'Your Team'!$D$6)&gt;0),'Your Team'!$C$6="F" ),1,0)+IF( AND((COUNTIF(W$2:W$33,'Your Team'!$D$7)&gt;0),'Your Team'!$C$7="F" ),1,0)+IF( AND((COUNTIF(W$2:W$33,'Your Team'!$D$8)&gt;0),'Your Team'!$C$8="F" ),1,0)+IF( AND((COUNTIF(W$2:W$33,'Your Team'!$D$9)&gt;0),'Your Team'!$C$9="F" ),1,0)+IF( AND((COUNTIF(W$2:W$33,'Your Team'!$D$10)&gt;0),'Your Team'!$C$10="F" ),1,0)+IF( AND((COUNTIF(W$2:W$33,'Your Team'!$D$11)&gt;0),'Your Team'!$C$11="F" ),1,0)+IF( AND((COUNTIF(W$2:W$33,'Your Team'!$D$12)&gt;0),'Your Team'!$C$12="F" ),1,0)+IF( AND((COUNTIF(W$2:W$33,'Your Team'!$D$13)&gt;0),'Your Team'!$C$13="F" ),1,0)+IF( AND((COUNTIF(W$2:W$33,'Your Team'!$D$14)&gt;0),'Your Team'!$C$14="F" ),1,0)+IF( AND((COUNTIF(W$2:W$33,'Your Team'!$D$15)&gt;0),'Your Team'!$C$15="F" ),1,0)+IF( AND((COUNTIF(W$2:W$33,'Your Team'!$D$16)&gt;0),'Your Team'!$C$16="F" ),1,0)+IF( AND((COUNTIF(W$2:W$33,'Your Team'!$D$17)&gt;0),'Your Team'!$C$17="F" ),1,0)+IF( AND((COUNTIF(W$2:W$33,'Your Team'!$D$18)&gt;0),'Your Team'!$C$18="F" ),1,0)+IF( AND((COUNTIF(W$2:W$33,'Your Team'!$D$19)&gt;0),'Your Team'!$C$19="F" ),1,0)</f>
        <v>0</v>
      </c>
      <c r="X40" s="9">
        <f>IF( AND((COUNTIF(X$2:X$33,'Your Team'!$D$3)&gt;0),'Your Team'!$C$3="F" ),1,0)+IF( AND((COUNTIF(X$2:X$33,'Your Team'!$D$4)&gt;0),'Your Team'!$C$4="F" ),1,0)+IF( AND((COUNTIF(X$2:X$33,'Your Team'!$D$5)&gt;0),'Your Team'!$C$5="F" ),1,0)+IF( AND((COUNTIF(X$2:X$33,'Your Team'!$D$6)&gt;0),'Your Team'!$C$6="F" ),1,0)+IF( AND((COUNTIF(X$2:X$33,'Your Team'!$D$7)&gt;0),'Your Team'!$C$7="F" ),1,0)+IF( AND((COUNTIF(X$2:X$33,'Your Team'!$D$8)&gt;0),'Your Team'!$C$8="F" ),1,0)+IF( AND((COUNTIF(X$2:X$33,'Your Team'!$D$9)&gt;0),'Your Team'!$C$9="F" ),1,0)+IF( AND((COUNTIF(X$2:X$33,'Your Team'!$D$10)&gt;0),'Your Team'!$C$10="F" ),1,0)+IF( AND((COUNTIF(X$2:X$33,'Your Team'!$D$11)&gt;0),'Your Team'!$C$11="F" ),1,0)+IF( AND((COUNTIF(X$2:X$33,'Your Team'!$D$12)&gt;0),'Your Team'!$C$12="F" ),1,0)+IF( AND((COUNTIF(X$2:X$33,'Your Team'!$D$13)&gt;0),'Your Team'!$C$13="F" ),1,0)+IF( AND((COUNTIF(X$2:X$33,'Your Team'!$D$14)&gt;0),'Your Team'!$C$14="F" ),1,0)+IF( AND((COUNTIF(X$2:X$33,'Your Team'!$D$15)&gt;0),'Your Team'!$C$15="F" ),1,0)+IF( AND((COUNTIF(X$2:X$33,'Your Team'!$D$16)&gt;0),'Your Team'!$C$16="F" ),1,0)+IF( AND((COUNTIF(X$2:X$33,'Your Team'!$D$17)&gt;0),'Your Team'!$C$17="F" ),1,0)+IF( AND((COUNTIF(X$2:X$33,'Your Team'!$D$18)&gt;0),'Your Team'!$C$18="F" ),1,0)+IF( AND((COUNTIF(X$2:X$33,'Your Team'!$D$19)&gt;0),'Your Team'!$C$19="F" ),1,0)</f>
        <v>0</v>
      </c>
      <c r="Y40" s="9">
        <f>IF( AND((COUNTIF(Y$2:Y$33,'Your Team'!$D$3)&gt;0),'Your Team'!$C$3="F" ),1,0)+IF( AND((COUNTIF(Y$2:Y$33,'Your Team'!$D$4)&gt;0),'Your Team'!$C$4="F" ),1,0)+IF( AND((COUNTIF(Y$2:Y$33,'Your Team'!$D$5)&gt;0),'Your Team'!$C$5="F" ),1,0)+IF( AND((COUNTIF(Y$2:Y$33,'Your Team'!$D$6)&gt;0),'Your Team'!$C$6="F" ),1,0)+IF( AND((COUNTIF(Y$2:Y$33,'Your Team'!$D$7)&gt;0),'Your Team'!$C$7="F" ),1,0)+IF( AND((COUNTIF(Y$2:Y$33,'Your Team'!$D$8)&gt;0),'Your Team'!$C$8="F" ),1,0)+IF( AND((COUNTIF(Y$2:Y$33,'Your Team'!$D$9)&gt;0),'Your Team'!$C$9="F" ),1,0)+IF( AND((COUNTIF(Y$2:Y$33,'Your Team'!$D$10)&gt;0),'Your Team'!$C$10="F" ),1,0)+IF( AND((COUNTIF(Y$2:Y$33,'Your Team'!$D$11)&gt;0),'Your Team'!$C$11="F" ),1,0)+IF( AND((COUNTIF(Y$2:Y$33,'Your Team'!$D$12)&gt;0),'Your Team'!$C$12="F" ),1,0)+IF( AND((COUNTIF(Y$2:Y$33,'Your Team'!$D$13)&gt;0),'Your Team'!$C$13="F" ),1,0)+IF( AND((COUNTIF(Y$2:Y$33,'Your Team'!$D$14)&gt;0),'Your Team'!$C$14="F" ),1,0)+IF( AND((COUNTIF(Y$2:Y$33,'Your Team'!$D$15)&gt;0),'Your Team'!$C$15="F" ),1,0)+IF( AND((COUNTIF(Y$2:Y$33,'Your Team'!$D$16)&gt;0),'Your Team'!$C$16="F" ),1,0)+IF( AND((COUNTIF(Y$2:Y$33,'Your Team'!$D$17)&gt;0),'Your Team'!$C$17="F" ),1,0)+IF( AND((COUNTIF(Y$2:Y$33,'Your Team'!$D$18)&gt;0),'Your Team'!$C$18="F" ),1,0)+IF( AND((COUNTIF(Y$2:Y$33,'Your Team'!$D$19)&gt;0),'Your Team'!$C$19="F" ),1,0)</f>
        <v>0</v>
      </c>
      <c r="Z40" s="9">
        <f>IF( AND((COUNTIF(Z$2:Z$33,'Your Team'!$D$3)&gt;0),'Your Team'!$C$3="F" ),1,0)+IF( AND((COUNTIF(Z$2:Z$33,'Your Team'!$D$4)&gt;0),'Your Team'!$C$4="F" ),1,0)+IF( AND((COUNTIF(Z$2:Z$33,'Your Team'!$D$5)&gt;0),'Your Team'!$C$5="F" ),1,0)+IF( AND((COUNTIF(Z$2:Z$33,'Your Team'!$D$6)&gt;0),'Your Team'!$C$6="F" ),1,0)+IF( AND((COUNTIF(Z$2:Z$33,'Your Team'!$D$7)&gt;0),'Your Team'!$C$7="F" ),1,0)+IF( AND((COUNTIF(Z$2:Z$33,'Your Team'!$D$8)&gt;0),'Your Team'!$C$8="F" ),1,0)+IF( AND((COUNTIF(Z$2:Z$33,'Your Team'!$D$9)&gt;0),'Your Team'!$C$9="F" ),1,0)+IF( AND((COUNTIF(Z$2:Z$33,'Your Team'!$D$10)&gt;0),'Your Team'!$C$10="F" ),1,0)+IF( AND((COUNTIF(Z$2:Z$33,'Your Team'!$D$11)&gt;0),'Your Team'!$C$11="F" ),1,0)+IF( AND((COUNTIF(Z$2:Z$33,'Your Team'!$D$12)&gt;0),'Your Team'!$C$12="F" ),1,0)+IF( AND((COUNTIF(Z$2:Z$33,'Your Team'!$D$13)&gt;0),'Your Team'!$C$13="F" ),1,0)+IF( AND((COUNTIF(Z$2:Z$33,'Your Team'!$D$14)&gt;0),'Your Team'!$C$14="F" ),1,0)+IF( AND((COUNTIF(Z$2:Z$33,'Your Team'!$D$15)&gt;0),'Your Team'!$C$15="F" ),1,0)+IF( AND((COUNTIF(Z$2:Z$33,'Your Team'!$D$16)&gt;0),'Your Team'!$C$16="F" ),1,0)+IF( AND((COUNTIF(Z$2:Z$33,'Your Team'!$D$17)&gt;0),'Your Team'!$C$17="F" ),1,0)+IF( AND((COUNTIF(Z$2:Z$33,'Your Team'!$D$18)&gt;0),'Your Team'!$C$18="F" ),1,0)+IF( AND((COUNTIF(Z$2:Z$33,'Your Team'!$D$19)&gt;0),'Your Team'!$C$19="F" ),1,0)</f>
        <v>0</v>
      </c>
      <c r="AA40" s="9">
        <f>IF( AND((COUNTIF(AA$2:AA$33,'Your Team'!$D$3)&gt;0),'Your Team'!$C$3="F" ),1,0)+IF( AND((COUNTIF(AA$2:AA$33,'Your Team'!$D$4)&gt;0),'Your Team'!$C$4="F" ),1,0)+IF( AND((COUNTIF(AA$2:AA$33,'Your Team'!$D$5)&gt;0),'Your Team'!$C$5="F" ),1,0)+IF( AND((COUNTIF(AA$2:AA$33,'Your Team'!$D$6)&gt;0),'Your Team'!$C$6="F" ),1,0)+IF( AND((COUNTIF(AA$2:AA$33,'Your Team'!$D$7)&gt;0),'Your Team'!$C$7="F" ),1,0)+IF( AND((COUNTIF(AA$2:AA$33,'Your Team'!$D$8)&gt;0),'Your Team'!$C$8="F" ),1,0)+IF( AND((COUNTIF(AA$2:AA$33,'Your Team'!$D$9)&gt;0),'Your Team'!$C$9="F" ),1,0)+IF( AND((COUNTIF(AA$2:AA$33,'Your Team'!$D$10)&gt;0),'Your Team'!$C$10="F" ),1,0)+IF( AND((COUNTIF(AA$2:AA$33,'Your Team'!$D$11)&gt;0),'Your Team'!$C$11="F" ),1,0)+IF( AND((COUNTIF(AA$2:AA$33,'Your Team'!$D$12)&gt;0),'Your Team'!$C$12="F" ),1,0)+IF( AND((COUNTIF(AA$2:AA$33,'Your Team'!$D$13)&gt;0),'Your Team'!$C$13="F" ),1,0)+IF( AND((COUNTIF(AA$2:AA$33,'Your Team'!$D$14)&gt;0),'Your Team'!$C$14="F" ),1,0)+IF( AND((COUNTIF(AA$2:AA$33,'Your Team'!$D$15)&gt;0),'Your Team'!$C$15="F" ),1,0)+IF( AND((COUNTIF(AA$2:AA$33,'Your Team'!$D$16)&gt;0),'Your Team'!$C$16="F" ),1,0)+IF( AND((COUNTIF(AA$2:AA$33,'Your Team'!$D$17)&gt;0),'Your Team'!$C$17="F" ),1,0)+IF( AND((COUNTIF(AA$2:AA$33,'Your Team'!$D$18)&gt;0),'Your Team'!$C$18="F" ),1,0)+IF( AND((COUNTIF(AA$2:AA$33,'Your Team'!$D$19)&gt;0),'Your Team'!$C$19="F" ),1,0)</f>
        <v>0</v>
      </c>
      <c r="AB40" s="9">
        <f>IF( AND((COUNTIF(AB$2:AB$33,'Your Team'!$D$3)&gt;0),'Your Team'!$C$3="F" ),1,0)+IF( AND((COUNTIF(AB$2:AB$33,'Your Team'!$D$4)&gt;0),'Your Team'!$C$4="F" ),1,0)+IF( AND((COUNTIF(AB$2:AB$33,'Your Team'!$D$5)&gt;0),'Your Team'!$C$5="F" ),1,0)+IF( AND((COUNTIF(AB$2:AB$33,'Your Team'!$D$6)&gt;0),'Your Team'!$C$6="F" ),1,0)+IF( AND((COUNTIF(AB$2:AB$33,'Your Team'!$D$7)&gt;0),'Your Team'!$C$7="F" ),1,0)+IF( AND((COUNTIF(AB$2:AB$33,'Your Team'!$D$8)&gt;0),'Your Team'!$C$8="F" ),1,0)+IF( AND((COUNTIF(AB$2:AB$33,'Your Team'!$D$9)&gt;0),'Your Team'!$C$9="F" ),1,0)+IF( AND((COUNTIF(AB$2:AB$33,'Your Team'!$D$10)&gt;0),'Your Team'!$C$10="F" ),1,0)+IF( AND((COUNTIF(AB$2:AB$33,'Your Team'!$D$11)&gt;0),'Your Team'!$C$11="F" ),1,0)+IF( AND((COUNTIF(AB$2:AB$33,'Your Team'!$D$12)&gt;0),'Your Team'!$C$12="F" ),1,0)+IF( AND((COUNTIF(AB$2:AB$33,'Your Team'!$D$13)&gt;0),'Your Team'!$C$13="F" ),1,0)+IF( AND((COUNTIF(AB$2:AB$33,'Your Team'!$D$14)&gt;0),'Your Team'!$C$14="F" ),1,0)+IF( AND((COUNTIF(AB$2:AB$33,'Your Team'!$D$15)&gt;0),'Your Team'!$C$15="F" ),1,0)+IF( AND((COUNTIF(AB$2:AB$33,'Your Team'!$D$16)&gt;0),'Your Team'!$C$16="F" ),1,0)+IF( AND((COUNTIF(AB$2:AB$33,'Your Team'!$D$17)&gt;0),'Your Team'!$C$17="F" ),1,0)+IF( AND((COUNTIF(AB$2:AB$33,'Your Team'!$D$18)&gt;0),'Your Team'!$C$18="F" ),1,0)+IF( AND((COUNTIF(AB$2:AB$33,'Your Team'!$D$19)&gt;0),'Your Team'!$C$19="F" ),1,0)</f>
        <v>0</v>
      </c>
      <c r="AC40" s="9">
        <f>IF( AND((COUNTIF(AC$2:AC$33,'Your Team'!$D$3)&gt;0),'Your Team'!$C$3="F" ),1,0)+IF( AND((COUNTIF(AC$2:AC$33,'Your Team'!$D$4)&gt;0),'Your Team'!$C$4="F" ),1,0)+IF( AND((COUNTIF(AC$2:AC$33,'Your Team'!$D$5)&gt;0),'Your Team'!$C$5="F" ),1,0)+IF( AND((COUNTIF(AC$2:AC$33,'Your Team'!$D$6)&gt;0),'Your Team'!$C$6="F" ),1,0)+IF( AND((COUNTIF(AC$2:AC$33,'Your Team'!$D$7)&gt;0),'Your Team'!$C$7="F" ),1,0)+IF( AND((COUNTIF(AC$2:AC$33,'Your Team'!$D$8)&gt;0),'Your Team'!$C$8="F" ),1,0)+IF( AND((COUNTIF(AC$2:AC$33,'Your Team'!$D$9)&gt;0),'Your Team'!$C$9="F" ),1,0)+IF( AND((COUNTIF(AC$2:AC$33,'Your Team'!$D$10)&gt;0),'Your Team'!$C$10="F" ),1,0)+IF( AND((COUNTIF(AC$2:AC$33,'Your Team'!$D$11)&gt;0),'Your Team'!$C$11="F" ),1,0)+IF( AND((COUNTIF(AC$2:AC$33,'Your Team'!$D$12)&gt;0),'Your Team'!$C$12="F" ),1,0)+IF( AND((COUNTIF(AC$2:AC$33,'Your Team'!$D$13)&gt;0),'Your Team'!$C$13="F" ),1,0)+IF( AND((COUNTIF(AC$2:AC$33,'Your Team'!$D$14)&gt;0),'Your Team'!$C$14="F" ),1,0)+IF( AND((COUNTIF(AC$2:AC$33,'Your Team'!$D$15)&gt;0),'Your Team'!$C$15="F" ),1,0)+IF( AND((COUNTIF(AC$2:AC$33,'Your Team'!$D$16)&gt;0),'Your Team'!$C$16="F" ),1,0)+IF( AND((COUNTIF(AC$2:AC$33,'Your Team'!$D$17)&gt;0),'Your Team'!$C$17="F" ),1,0)+IF( AND((COUNTIF(AC$2:AC$33,'Your Team'!$D$18)&gt;0),'Your Team'!$C$18="F" ),1,0)+IF( AND((COUNTIF(AC$2:AC$33,'Your Team'!$D$19)&gt;0),'Your Team'!$C$19="F" ),1,0)</f>
        <v>0</v>
      </c>
      <c r="AD40" s="9">
        <f>IF( AND((COUNTIF(AD$2:AD$33,'Your Team'!$D$3)&gt;0),'Your Team'!$C$3="F" ),1,0)+IF( AND((COUNTIF(AD$2:AD$33,'Your Team'!$D$4)&gt;0),'Your Team'!$C$4="F" ),1,0)+IF( AND((COUNTIF(AD$2:AD$33,'Your Team'!$D$5)&gt;0),'Your Team'!$C$5="F" ),1,0)+IF( AND((COUNTIF(AD$2:AD$33,'Your Team'!$D$6)&gt;0),'Your Team'!$C$6="F" ),1,0)+IF( AND((COUNTIF(AD$2:AD$33,'Your Team'!$D$7)&gt;0),'Your Team'!$C$7="F" ),1,0)+IF( AND((COUNTIF(AD$2:AD$33,'Your Team'!$D$8)&gt;0),'Your Team'!$C$8="F" ),1,0)+IF( AND((COUNTIF(AD$2:AD$33,'Your Team'!$D$9)&gt;0),'Your Team'!$C$9="F" ),1,0)+IF( AND((COUNTIF(AD$2:AD$33,'Your Team'!$D$10)&gt;0),'Your Team'!$C$10="F" ),1,0)+IF( AND((COUNTIF(AD$2:AD$33,'Your Team'!$D$11)&gt;0),'Your Team'!$C$11="F" ),1,0)+IF( AND((COUNTIF(AD$2:AD$33,'Your Team'!$D$12)&gt;0),'Your Team'!$C$12="F" ),1,0)+IF( AND((COUNTIF(AD$2:AD$33,'Your Team'!$D$13)&gt;0),'Your Team'!$C$13="F" ),1,0)+IF( AND((COUNTIF(AD$2:AD$33,'Your Team'!$D$14)&gt;0),'Your Team'!$C$14="F" ),1,0)+IF( AND((COUNTIF(AD$2:AD$33,'Your Team'!$D$15)&gt;0),'Your Team'!$C$15="F" ),1,0)+IF( AND((COUNTIF(AD$2:AD$33,'Your Team'!$D$16)&gt;0),'Your Team'!$C$16="F" ),1,0)+IF( AND((COUNTIF(AD$2:AD$33,'Your Team'!$D$17)&gt;0),'Your Team'!$C$17="F" ),1,0)+IF( AND((COUNTIF(AD$2:AD$33,'Your Team'!$D$18)&gt;0),'Your Team'!$C$18="F" ),1,0)+IF( AND((COUNTIF(AD$2:AD$33,'Your Team'!$D$19)&gt;0),'Your Team'!$C$19="F" ),1,0)</f>
        <v>0</v>
      </c>
      <c r="AE40" s="9">
        <f>IF( AND((COUNTIF(AE$2:AE$33,'Your Team'!$D$3)&gt;0),'Your Team'!$C$3="F" ),1,0)+IF( AND((COUNTIF(AE$2:AE$33,'Your Team'!$D$4)&gt;0),'Your Team'!$C$4="F" ),1,0)+IF( AND((COUNTIF(AE$2:AE$33,'Your Team'!$D$5)&gt;0),'Your Team'!$C$5="F" ),1,0)+IF( AND((COUNTIF(AE$2:AE$33,'Your Team'!$D$6)&gt;0),'Your Team'!$C$6="F" ),1,0)+IF( AND((COUNTIF(AE$2:AE$33,'Your Team'!$D$7)&gt;0),'Your Team'!$C$7="F" ),1,0)+IF( AND((COUNTIF(AE$2:AE$33,'Your Team'!$D$8)&gt;0),'Your Team'!$C$8="F" ),1,0)+IF( AND((COUNTIF(AE$2:AE$33,'Your Team'!$D$9)&gt;0),'Your Team'!$C$9="F" ),1,0)+IF( AND((COUNTIF(AE$2:AE$33,'Your Team'!$D$10)&gt;0),'Your Team'!$C$10="F" ),1,0)+IF( AND((COUNTIF(AE$2:AE$33,'Your Team'!$D$11)&gt;0),'Your Team'!$C$11="F" ),1,0)+IF( AND((COUNTIF(AE$2:AE$33,'Your Team'!$D$12)&gt;0),'Your Team'!$C$12="F" ),1,0)+IF( AND((COUNTIF(AE$2:AE$33,'Your Team'!$D$13)&gt;0),'Your Team'!$C$13="F" ),1,0)+IF( AND((COUNTIF(AE$2:AE$33,'Your Team'!$D$14)&gt;0),'Your Team'!$C$14="F" ),1,0)+IF( AND((COUNTIF(AE$2:AE$33,'Your Team'!$D$15)&gt;0),'Your Team'!$C$15="F" ),1,0)+IF( AND((COUNTIF(AE$2:AE$33,'Your Team'!$D$16)&gt;0),'Your Team'!$C$16="F" ),1,0)+IF( AND((COUNTIF(AE$2:AE$33,'Your Team'!$D$17)&gt;0),'Your Team'!$C$17="F" ),1,0)+IF( AND((COUNTIF(AE$2:AE$33,'Your Team'!$D$18)&gt;0),'Your Team'!$C$18="F" ),1,0)+IF( AND((COUNTIF(AE$2:AE$33,'Your Team'!$D$19)&gt;0),'Your Team'!$C$19="F" ),1,0)</f>
        <v>0</v>
      </c>
      <c r="AF40" s="9">
        <f>IF( AND((COUNTIF(AF$2:AF$33,'Your Team'!$D$3)&gt;0),'Your Team'!$C$3="F" ),1,0)+IF( AND((COUNTIF(AF$2:AF$33,'Your Team'!$D$4)&gt;0),'Your Team'!$C$4="F" ),1,0)+IF( AND((COUNTIF(AF$2:AF$33,'Your Team'!$D$5)&gt;0),'Your Team'!$C$5="F" ),1,0)+IF( AND((COUNTIF(AF$2:AF$33,'Your Team'!$D$6)&gt;0),'Your Team'!$C$6="F" ),1,0)+IF( AND((COUNTIF(AF$2:AF$33,'Your Team'!$D$7)&gt;0),'Your Team'!$C$7="F" ),1,0)+IF( AND((COUNTIF(AF$2:AF$33,'Your Team'!$D$8)&gt;0),'Your Team'!$C$8="F" ),1,0)+IF( AND((COUNTIF(AF$2:AF$33,'Your Team'!$D$9)&gt;0),'Your Team'!$C$9="F" ),1,0)+IF( AND((COUNTIF(AF$2:AF$33,'Your Team'!$D$10)&gt;0),'Your Team'!$C$10="F" ),1,0)+IF( AND((COUNTIF(AF$2:AF$33,'Your Team'!$D$11)&gt;0),'Your Team'!$C$11="F" ),1,0)+IF( AND((COUNTIF(AF$2:AF$33,'Your Team'!$D$12)&gt;0),'Your Team'!$C$12="F" ),1,0)+IF( AND((COUNTIF(AF$2:AF$33,'Your Team'!$D$13)&gt;0),'Your Team'!$C$13="F" ),1,0)+IF( AND((COUNTIF(AF$2:AF$33,'Your Team'!$D$14)&gt;0),'Your Team'!$C$14="F" ),1,0)+IF( AND((COUNTIF(AF$2:AF$33,'Your Team'!$D$15)&gt;0),'Your Team'!$C$15="F" ),1,0)+IF( AND((COUNTIF(AF$2:AF$33,'Your Team'!$D$16)&gt;0),'Your Team'!$C$16="F" ),1,0)+IF( AND((COUNTIF(AF$2:AF$33,'Your Team'!$D$17)&gt;0),'Your Team'!$C$17="F" ),1,0)+IF( AND((COUNTIF(AF$2:AF$33,'Your Team'!$D$18)&gt;0),'Your Team'!$C$18="F" ),1,0)+IF( AND((COUNTIF(AF$2:AF$33,'Your Team'!$D$19)&gt;0),'Your Team'!$C$19="F" ),1,0)</f>
        <v>0</v>
      </c>
      <c r="AG40" s="9">
        <f>IF( AND((COUNTIF(AG$2:AG$33,'Your Team'!$D$3)&gt;0),'Your Team'!$C$3="F" ),1,0)+IF( AND((COUNTIF(AG$2:AG$33,'Your Team'!$D$4)&gt;0),'Your Team'!$C$4="F" ),1,0)+IF( AND((COUNTIF(AG$2:AG$33,'Your Team'!$D$5)&gt;0),'Your Team'!$C$5="F" ),1,0)+IF( AND((COUNTIF(AG$2:AG$33,'Your Team'!$D$6)&gt;0),'Your Team'!$C$6="F" ),1,0)+IF( AND((COUNTIF(AG$2:AG$33,'Your Team'!$D$7)&gt;0),'Your Team'!$C$7="F" ),1,0)+IF( AND((COUNTIF(AG$2:AG$33,'Your Team'!$D$8)&gt;0),'Your Team'!$C$8="F" ),1,0)+IF( AND((COUNTIF(AG$2:AG$33,'Your Team'!$D$9)&gt;0),'Your Team'!$C$9="F" ),1,0)+IF( AND((COUNTIF(AG$2:AG$33,'Your Team'!$D$10)&gt;0),'Your Team'!$C$10="F" ),1,0)+IF( AND((COUNTIF(AG$2:AG$33,'Your Team'!$D$11)&gt;0),'Your Team'!$C$11="F" ),1,0)+IF( AND((COUNTIF(AG$2:AG$33,'Your Team'!$D$12)&gt;0),'Your Team'!$C$12="F" ),1,0)+IF( AND((COUNTIF(AG$2:AG$33,'Your Team'!$D$13)&gt;0),'Your Team'!$C$13="F" ),1,0)+IF( AND((COUNTIF(AG$2:AG$33,'Your Team'!$D$14)&gt;0),'Your Team'!$C$14="F" ),1,0)+IF( AND((COUNTIF(AG$2:AG$33,'Your Team'!$D$15)&gt;0),'Your Team'!$C$15="F" ),1,0)+IF( AND((COUNTIF(AG$2:AG$33,'Your Team'!$D$16)&gt;0),'Your Team'!$C$16="F" ),1,0)+IF( AND((COUNTIF(AG$2:AG$33,'Your Team'!$D$17)&gt;0),'Your Team'!$C$17="F" ),1,0)+IF( AND((COUNTIF(AG$2:AG$33,'Your Team'!$D$18)&gt;0),'Your Team'!$C$18="F" ),1,0)+IF( AND((COUNTIF(AG$2:AG$33,'Your Team'!$D$19)&gt;0),'Your Team'!$C$19="F" ),1,0)</f>
        <v>0</v>
      </c>
      <c r="AH40" s="9">
        <f>IF( AND((COUNTIF(AH$2:AH$33,'Your Team'!$D$3)&gt;0),'Your Team'!$C$3="F" ),1,0)+IF( AND((COUNTIF(AH$2:AH$33,'Your Team'!$D$4)&gt;0),'Your Team'!$C$4="F" ),1,0)+IF( AND((COUNTIF(AH$2:AH$33,'Your Team'!$D$5)&gt;0),'Your Team'!$C$5="F" ),1,0)+IF( AND((COUNTIF(AH$2:AH$33,'Your Team'!$D$6)&gt;0),'Your Team'!$C$6="F" ),1,0)+IF( AND((COUNTIF(AH$2:AH$33,'Your Team'!$D$7)&gt;0),'Your Team'!$C$7="F" ),1,0)+IF( AND((COUNTIF(AH$2:AH$33,'Your Team'!$D$8)&gt;0),'Your Team'!$C$8="F" ),1,0)+IF( AND((COUNTIF(AH$2:AH$33,'Your Team'!$D$9)&gt;0),'Your Team'!$C$9="F" ),1,0)+IF( AND((COUNTIF(AH$2:AH$33,'Your Team'!$D$10)&gt;0),'Your Team'!$C$10="F" ),1,0)+IF( AND((COUNTIF(AH$2:AH$33,'Your Team'!$D$11)&gt;0),'Your Team'!$C$11="F" ),1,0)+IF( AND((COUNTIF(AH$2:AH$33,'Your Team'!$D$12)&gt;0),'Your Team'!$C$12="F" ),1,0)+IF( AND((COUNTIF(AH$2:AH$33,'Your Team'!$D$13)&gt;0),'Your Team'!$C$13="F" ),1,0)+IF( AND((COUNTIF(AH$2:AH$33,'Your Team'!$D$14)&gt;0),'Your Team'!$C$14="F" ),1,0)+IF( AND((COUNTIF(AH$2:AH$33,'Your Team'!$D$15)&gt;0),'Your Team'!$C$15="F" ),1,0)+IF( AND((COUNTIF(AH$2:AH$33,'Your Team'!$D$16)&gt;0),'Your Team'!$C$16="F" ),1,0)+IF( AND((COUNTIF(AH$2:AH$33,'Your Team'!$D$17)&gt;0),'Your Team'!$C$17="F" ),1,0)+IF( AND((COUNTIF(AH$2:AH$33,'Your Team'!$D$18)&gt;0),'Your Team'!$C$18="F" ),1,0)+IF( AND((COUNTIF(AH$2:AH$33,'Your Team'!$D$19)&gt;0),'Your Team'!$C$19="F" ),1,0)</f>
        <v>0</v>
      </c>
      <c r="AI40" s="9">
        <f>IF( AND((COUNTIF(AI$2:AI$33,'Your Team'!$D$3)&gt;0),'Your Team'!$C$3="F" ),1,0)+IF( AND((COUNTIF(AI$2:AI$33,'Your Team'!$D$4)&gt;0),'Your Team'!$C$4="F" ),1,0)+IF( AND((COUNTIF(AI$2:AI$33,'Your Team'!$D$5)&gt;0),'Your Team'!$C$5="F" ),1,0)+IF( AND((COUNTIF(AI$2:AI$33,'Your Team'!$D$6)&gt;0),'Your Team'!$C$6="F" ),1,0)+IF( AND((COUNTIF(AI$2:AI$33,'Your Team'!$D$7)&gt;0),'Your Team'!$C$7="F" ),1,0)+IF( AND((COUNTIF(AI$2:AI$33,'Your Team'!$D$8)&gt;0),'Your Team'!$C$8="F" ),1,0)+IF( AND((COUNTIF(AI$2:AI$33,'Your Team'!$D$9)&gt;0),'Your Team'!$C$9="F" ),1,0)+IF( AND((COUNTIF(AI$2:AI$33,'Your Team'!$D$10)&gt;0),'Your Team'!$C$10="F" ),1,0)+IF( AND((COUNTIF(AI$2:AI$33,'Your Team'!$D$11)&gt;0),'Your Team'!$C$11="F" ),1,0)+IF( AND((COUNTIF(AI$2:AI$33,'Your Team'!$D$12)&gt;0),'Your Team'!$C$12="F" ),1,0)+IF( AND((COUNTIF(AI$2:AI$33,'Your Team'!$D$13)&gt;0),'Your Team'!$C$13="F" ),1,0)+IF( AND((COUNTIF(AI$2:AI$33,'Your Team'!$D$14)&gt;0),'Your Team'!$C$14="F" ),1,0)+IF( AND((COUNTIF(AI$2:AI$33,'Your Team'!$D$15)&gt;0),'Your Team'!$C$15="F" ),1,0)+IF( AND((COUNTIF(AI$2:AI$33,'Your Team'!$D$16)&gt;0),'Your Team'!$C$16="F" ),1,0)+IF( AND((COUNTIF(AI$2:AI$33,'Your Team'!$D$17)&gt;0),'Your Team'!$C$17="F" ),1,0)+IF( AND((COUNTIF(AI$2:AI$33,'Your Team'!$D$18)&gt;0),'Your Team'!$C$18="F" ),1,0)+IF( AND((COUNTIF(AI$2:AI$33,'Your Team'!$D$19)&gt;0),'Your Team'!$C$19="F" ),1,0)</f>
        <v>0</v>
      </c>
      <c r="AJ40" s="9">
        <f>IF( AND((COUNTIF(AJ$2:AJ$33,'Your Team'!$D$3)&gt;0),'Your Team'!$C$3="F" ),1,0)+IF( AND((COUNTIF(AJ$2:AJ$33,'Your Team'!$D$4)&gt;0),'Your Team'!$C$4="F" ),1,0)+IF( AND((COUNTIF(AJ$2:AJ$33,'Your Team'!$D$5)&gt;0),'Your Team'!$C$5="F" ),1,0)+IF( AND((COUNTIF(AJ$2:AJ$33,'Your Team'!$D$6)&gt;0),'Your Team'!$C$6="F" ),1,0)+IF( AND((COUNTIF(AJ$2:AJ$33,'Your Team'!$D$7)&gt;0),'Your Team'!$C$7="F" ),1,0)+IF( AND((COUNTIF(AJ$2:AJ$33,'Your Team'!$D$8)&gt;0),'Your Team'!$C$8="F" ),1,0)+IF( AND((COUNTIF(AJ$2:AJ$33,'Your Team'!$D$9)&gt;0),'Your Team'!$C$9="F" ),1,0)+IF( AND((COUNTIF(AJ$2:AJ$33,'Your Team'!$D$10)&gt;0),'Your Team'!$C$10="F" ),1,0)+IF( AND((COUNTIF(AJ$2:AJ$33,'Your Team'!$D$11)&gt;0),'Your Team'!$C$11="F" ),1,0)+IF( AND((COUNTIF(AJ$2:AJ$33,'Your Team'!$D$12)&gt;0),'Your Team'!$C$12="F" ),1,0)+IF( AND((COUNTIF(AJ$2:AJ$33,'Your Team'!$D$13)&gt;0),'Your Team'!$C$13="F" ),1,0)+IF( AND((COUNTIF(AJ$2:AJ$33,'Your Team'!$D$14)&gt;0),'Your Team'!$C$14="F" ),1,0)+IF( AND((COUNTIF(AJ$2:AJ$33,'Your Team'!$D$15)&gt;0),'Your Team'!$C$15="F" ),1,0)+IF( AND((COUNTIF(AJ$2:AJ$33,'Your Team'!$D$16)&gt;0),'Your Team'!$C$16="F" ),1,0)+IF( AND((COUNTIF(AJ$2:AJ$33,'Your Team'!$D$17)&gt;0),'Your Team'!$C$17="F" ),1,0)+IF( AND((COUNTIF(AJ$2:AJ$33,'Your Team'!$D$18)&gt;0),'Your Team'!$C$18="F" ),1,0)+IF( AND((COUNTIF(AJ$2:AJ$33,'Your Team'!$D$19)&gt;0),'Your Team'!$C$19="F" ),1,0)</f>
        <v>0</v>
      </c>
      <c r="AK40" s="9">
        <f>IF( AND((COUNTIF(AK$2:AK$33,'Your Team'!$D$3)&gt;0),'Your Team'!$C$3="F" ),1,0)+IF( AND((COUNTIF(AK$2:AK$33,'Your Team'!$D$4)&gt;0),'Your Team'!$C$4="F" ),1,0)+IF( AND((COUNTIF(AK$2:AK$33,'Your Team'!$D$5)&gt;0),'Your Team'!$C$5="F" ),1,0)+IF( AND((COUNTIF(AK$2:AK$33,'Your Team'!$D$6)&gt;0),'Your Team'!$C$6="F" ),1,0)+IF( AND((COUNTIF(AK$2:AK$33,'Your Team'!$D$7)&gt;0),'Your Team'!$C$7="F" ),1,0)+IF( AND((COUNTIF(AK$2:AK$33,'Your Team'!$D$8)&gt;0),'Your Team'!$C$8="F" ),1,0)+IF( AND((COUNTIF(AK$2:AK$33,'Your Team'!$D$9)&gt;0),'Your Team'!$C$9="F" ),1,0)+IF( AND((COUNTIF(AK$2:AK$33,'Your Team'!$D$10)&gt;0),'Your Team'!$C$10="F" ),1,0)+IF( AND((COUNTIF(AK$2:AK$33,'Your Team'!$D$11)&gt;0),'Your Team'!$C$11="F" ),1,0)+IF( AND((COUNTIF(AK$2:AK$33,'Your Team'!$D$12)&gt;0),'Your Team'!$C$12="F" ),1,0)+IF( AND((COUNTIF(AK$2:AK$33,'Your Team'!$D$13)&gt;0),'Your Team'!$C$13="F" ),1,0)+IF( AND((COUNTIF(AK$2:AK$33,'Your Team'!$D$14)&gt;0),'Your Team'!$C$14="F" ),1,0)+IF( AND((COUNTIF(AK$2:AK$33,'Your Team'!$D$15)&gt;0),'Your Team'!$C$15="F" ),1,0)+IF( AND((COUNTIF(AK$2:AK$33,'Your Team'!$D$16)&gt;0),'Your Team'!$C$16="F" ),1,0)+IF( AND((COUNTIF(AK$2:AK$33,'Your Team'!$D$17)&gt;0),'Your Team'!$C$17="F" ),1,0)+IF( AND((COUNTIF(AK$2:AK$33,'Your Team'!$D$18)&gt;0),'Your Team'!$C$18="F" ),1,0)+IF( AND((COUNTIF(AK$2:AK$33,'Your Team'!$D$19)&gt;0),'Your Team'!$C$19="F" ),1,0)</f>
        <v>0</v>
      </c>
      <c r="AL40" s="9">
        <f>IF( AND((COUNTIF(AL$2:AL$33,'Your Team'!$D$3)&gt;0),'Your Team'!$C$3="F" ),1,0)+IF( AND((COUNTIF(AL$2:AL$33,'Your Team'!$D$4)&gt;0),'Your Team'!$C$4="F" ),1,0)+IF( AND((COUNTIF(AL$2:AL$33,'Your Team'!$D$5)&gt;0),'Your Team'!$C$5="F" ),1,0)+IF( AND((COUNTIF(AL$2:AL$33,'Your Team'!$D$6)&gt;0),'Your Team'!$C$6="F" ),1,0)+IF( AND((COUNTIF(AL$2:AL$33,'Your Team'!$D$7)&gt;0),'Your Team'!$C$7="F" ),1,0)+IF( AND((COUNTIF(AL$2:AL$33,'Your Team'!$D$8)&gt;0),'Your Team'!$C$8="F" ),1,0)+IF( AND((COUNTIF(AL$2:AL$33,'Your Team'!$D$9)&gt;0),'Your Team'!$C$9="F" ),1,0)+IF( AND((COUNTIF(AL$2:AL$33,'Your Team'!$D$10)&gt;0),'Your Team'!$C$10="F" ),1,0)+IF( AND((COUNTIF(AL$2:AL$33,'Your Team'!$D$11)&gt;0),'Your Team'!$C$11="F" ),1,0)+IF( AND((COUNTIF(AL$2:AL$33,'Your Team'!$D$12)&gt;0),'Your Team'!$C$12="F" ),1,0)+IF( AND((COUNTIF(AL$2:AL$33,'Your Team'!$D$13)&gt;0),'Your Team'!$C$13="F" ),1,0)+IF( AND((COUNTIF(AL$2:AL$33,'Your Team'!$D$14)&gt;0),'Your Team'!$C$14="F" ),1,0)+IF( AND((COUNTIF(AL$2:AL$33,'Your Team'!$D$15)&gt;0),'Your Team'!$C$15="F" ),1,0)+IF( AND((COUNTIF(AL$2:AL$33,'Your Team'!$D$16)&gt;0),'Your Team'!$C$16="F" ),1,0)+IF( AND((COUNTIF(AL$2:AL$33,'Your Team'!$D$17)&gt;0),'Your Team'!$C$17="F" ),1,0)+IF( AND((COUNTIF(AL$2:AL$33,'Your Team'!$D$18)&gt;0),'Your Team'!$C$18="F" ),1,0)+IF( AND((COUNTIF(AL$2:AL$33,'Your Team'!$D$19)&gt;0),'Your Team'!$C$19="F" ),1,0)</f>
        <v>0</v>
      </c>
      <c r="AM40" s="9">
        <f>IF( AND((COUNTIF(AM$2:AM$33,'Your Team'!$D$3)&gt;0),'Your Team'!$C$3="F" ),1,0)+IF( AND((COUNTIF(AM$2:AM$33,'Your Team'!$D$4)&gt;0),'Your Team'!$C$4="F" ),1,0)+IF( AND((COUNTIF(AM$2:AM$33,'Your Team'!$D$5)&gt;0),'Your Team'!$C$5="F" ),1,0)+IF( AND((COUNTIF(AM$2:AM$33,'Your Team'!$D$6)&gt;0),'Your Team'!$C$6="F" ),1,0)+IF( AND((COUNTIF(AM$2:AM$33,'Your Team'!$D$7)&gt;0),'Your Team'!$C$7="F" ),1,0)+IF( AND((COUNTIF(AM$2:AM$33,'Your Team'!$D$8)&gt;0),'Your Team'!$C$8="F" ),1,0)+IF( AND((COUNTIF(AM$2:AM$33,'Your Team'!$D$9)&gt;0),'Your Team'!$C$9="F" ),1,0)+IF( AND((COUNTIF(AM$2:AM$33,'Your Team'!$D$10)&gt;0),'Your Team'!$C$10="F" ),1,0)+IF( AND((COUNTIF(AM$2:AM$33,'Your Team'!$D$11)&gt;0),'Your Team'!$C$11="F" ),1,0)+IF( AND((COUNTIF(AM$2:AM$33,'Your Team'!$D$12)&gt;0),'Your Team'!$C$12="F" ),1,0)+IF( AND((COUNTIF(AM$2:AM$33,'Your Team'!$D$13)&gt;0),'Your Team'!$C$13="F" ),1,0)+IF( AND((COUNTIF(AM$2:AM$33,'Your Team'!$D$14)&gt;0),'Your Team'!$C$14="F" ),1,0)+IF( AND((COUNTIF(AM$2:AM$33,'Your Team'!$D$15)&gt;0),'Your Team'!$C$15="F" ),1,0)+IF( AND((COUNTIF(AM$2:AM$33,'Your Team'!$D$16)&gt;0),'Your Team'!$C$16="F" ),1,0)+IF( AND((COUNTIF(AM$2:AM$33,'Your Team'!$D$17)&gt;0),'Your Team'!$C$17="F" ),1,0)+IF( AND((COUNTIF(AM$2:AM$33,'Your Team'!$D$18)&gt;0),'Your Team'!$C$18="F" ),1,0)+IF( AND((COUNTIF(AM$2:AM$33,'Your Team'!$D$19)&gt;0),'Your Team'!$C$19="F" ),1,0)</f>
        <v>0</v>
      </c>
      <c r="AN40" s="9">
        <f>IF( AND((COUNTIF(AN$2:AN$33,'Your Team'!$D$3)&gt;0),'Your Team'!$C$3="F" ),1,0)+IF( AND((COUNTIF(AN$2:AN$33,'Your Team'!$D$4)&gt;0),'Your Team'!$C$4="F" ),1,0)+IF( AND((COUNTIF(AN$2:AN$33,'Your Team'!$D$5)&gt;0),'Your Team'!$C$5="F" ),1,0)+IF( AND((COUNTIF(AN$2:AN$33,'Your Team'!$D$6)&gt;0),'Your Team'!$C$6="F" ),1,0)+IF( AND((COUNTIF(AN$2:AN$33,'Your Team'!$D$7)&gt;0),'Your Team'!$C$7="F" ),1,0)+IF( AND((COUNTIF(AN$2:AN$33,'Your Team'!$D$8)&gt;0),'Your Team'!$C$8="F" ),1,0)+IF( AND((COUNTIF(AN$2:AN$33,'Your Team'!$D$9)&gt;0),'Your Team'!$C$9="F" ),1,0)+IF( AND((COUNTIF(AN$2:AN$33,'Your Team'!$D$10)&gt;0),'Your Team'!$C$10="F" ),1,0)+IF( AND((COUNTIF(AN$2:AN$33,'Your Team'!$D$11)&gt;0),'Your Team'!$C$11="F" ),1,0)+IF( AND((COUNTIF(AN$2:AN$33,'Your Team'!$D$12)&gt;0),'Your Team'!$C$12="F" ),1,0)+IF( AND((COUNTIF(AN$2:AN$33,'Your Team'!$D$13)&gt;0),'Your Team'!$C$13="F" ),1,0)+IF( AND((COUNTIF(AN$2:AN$33,'Your Team'!$D$14)&gt;0),'Your Team'!$C$14="F" ),1,0)+IF( AND((COUNTIF(AN$2:AN$33,'Your Team'!$D$15)&gt;0),'Your Team'!$C$15="F" ),1,0)+IF( AND((COUNTIF(AN$2:AN$33,'Your Team'!$D$16)&gt;0),'Your Team'!$C$16="F" ),1,0)+IF( AND((COUNTIF(AN$2:AN$33,'Your Team'!$D$17)&gt;0),'Your Team'!$C$17="F" ),1,0)+IF( AND((COUNTIF(AN$2:AN$33,'Your Team'!$D$18)&gt;0),'Your Team'!$C$18="F" ),1,0)+IF( AND((COUNTIF(AN$2:AN$33,'Your Team'!$D$19)&gt;0),'Your Team'!$C$19="F" ),1,0)</f>
        <v>0</v>
      </c>
      <c r="AO40" s="9">
        <f>IF( AND((COUNTIF(AO$2:AO$33,'Your Team'!$D$3)&gt;0),'Your Team'!$C$3="F" ),1,0)+IF( AND((COUNTIF(AO$2:AO$33,'Your Team'!$D$4)&gt;0),'Your Team'!$C$4="F" ),1,0)+IF( AND((COUNTIF(AO$2:AO$33,'Your Team'!$D$5)&gt;0),'Your Team'!$C$5="F" ),1,0)+IF( AND((COUNTIF(AO$2:AO$33,'Your Team'!$D$6)&gt;0),'Your Team'!$C$6="F" ),1,0)+IF( AND((COUNTIF(AO$2:AO$33,'Your Team'!$D$7)&gt;0),'Your Team'!$C$7="F" ),1,0)+IF( AND((COUNTIF(AO$2:AO$33,'Your Team'!$D$8)&gt;0),'Your Team'!$C$8="F" ),1,0)+IF( AND((COUNTIF(AO$2:AO$33,'Your Team'!$D$9)&gt;0),'Your Team'!$C$9="F" ),1,0)+IF( AND((COUNTIF(AO$2:AO$33,'Your Team'!$D$10)&gt;0),'Your Team'!$C$10="F" ),1,0)+IF( AND((COUNTIF(AO$2:AO$33,'Your Team'!$D$11)&gt;0),'Your Team'!$C$11="F" ),1,0)+IF( AND((COUNTIF(AO$2:AO$33,'Your Team'!$D$12)&gt;0),'Your Team'!$C$12="F" ),1,0)+IF( AND((COUNTIF(AO$2:AO$33,'Your Team'!$D$13)&gt;0),'Your Team'!$C$13="F" ),1,0)+IF( AND((COUNTIF(AO$2:AO$33,'Your Team'!$D$14)&gt;0),'Your Team'!$C$14="F" ),1,0)+IF( AND((COUNTIF(AO$2:AO$33,'Your Team'!$D$15)&gt;0),'Your Team'!$C$15="F" ),1,0)+IF( AND((COUNTIF(AO$2:AO$33,'Your Team'!$D$16)&gt;0),'Your Team'!$C$16="F" ),1,0)+IF( AND((COUNTIF(AO$2:AO$33,'Your Team'!$D$17)&gt;0),'Your Team'!$C$17="F" ),1,0)+IF( AND((COUNTIF(AO$2:AO$33,'Your Team'!$D$18)&gt;0),'Your Team'!$C$18="F" ),1,0)+IF( AND((COUNTIF(AO$2:AO$33,'Your Team'!$D$19)&gt;0),'Your Team'!$C$19="F" ),1,0)</f>
        <v>0</v>
      </c>
      <c r="AP40" s="9">
        <f>IF( AND((COUNTIF(AP$2:AP$33,'Your Team'!$D$3)&gt;0),'Your Team'!$C$3="F" ),1,0)+IF( AND((COUNTIF(AP$2:AP$33,'Your Team'!$D$4)&gt;0),'Your Team'!$C$4="F" ),1,0)+IF( AND((COUNTIF(AP$2:AP$33,'Your Team'!$D$5)&gt;0),'Your Team'!$C$5="F" ),1,0)+IF( AND((COUNTIF(AP$2:AP$33,'Your Team'!$D$6)&gt;0),'Your Team'!$C$6="F" ),1,0)+IF( AND((COUNTIF(AP$2:AP$33,'Your Team'!$D$7)&gt;0),'Your Team'!$C$7="F" ),1,0)+IF( AND((COUNTIF(AP$2:AP$33,'Your Team'!$D$8)&gt;0),'Your Team'!$C$8="F" ),1,0)+IF( AND((COUNTIF(AP$2:AP$33,'Your Team'!$D$9)&gt;0),'Your Team'!$C$9="F" ),1,0)+IF( AND((COUNTIF(AP$2:AP$33,'Your Team'!$D$10)&gt;0),'Your Team'!$C$10="F" ),1,0)+IF( AND((COUNTIF(AP$2:AP$33,'Your Team'!$D$11)&gt;0),'Your Team'!$C$11="F" ),1,0)+IF( AND((COUNTIF(AP$2:AP$33,'Your Team'!$D$12)&gt;0),'Your Team'!$C$12="F" ),1,0)+IF( AND((COUNTIF(AP$2:AP$33,'Your Team'!$D$13)&gt;0),'Your Team'!$C$13="F" ),1,0)+IF( AND((COUNTIF(AP$2:AP$33,'Your Team'!$D$14)&gt;0),'Your Team'!$C$14="F" ),1,0)+IF( AND((COUNTIF(AP$2:AP$33,'Your Team'!$D$15)&gt;0),'Your Team'!$C$15="F" ),1,0)+IF( AND((COUNTIF(AP$2:AP$33,'Your Team'!$D$16)&gt;0),'Your Team'!$C$16="F" ),1,0)+IF( AND((COUNTIF(AP$2:AP$33,'Your Team'!$D$17)&gt;0),'Your Team'!$C$17="F" ),1,0)+IF( AND((COUNTIF(AP$2:AP$33,'Your Team'!$D$18)&gt;0),'Your Team'!$C$18="F" ),1,0)+IF( AND((COUNTIF(AP$2:AP$33,'Your Team'!$D$19)&gt;0),'Your Team'!$C$19="F" ),1,0)</f>
        <v>0</v>
      </c>
      <c r="AQ40" s="9">
        <f>IF( AND((COUNTIF(AQ$2:AQ$33,'Your Team'!$D$3)&gt;0),'Your Team'!$C$3="F" ),1,0)+IF( AND((COUNTIF(AQ$2:AQ$33,'Your Team'!$D$4)&gt;0),'Your Team'!$C$4="F" ),1,0)+IF( AND((COUNTIF(AQ$2:AQ$33,'Your Team'!$D$5)&gt;0),'Your Team'!$C$5="F" ),1,0)+IF( AND((COUNTIF(AQ$2:AQ$33,'Your Team'!$D$6)&gt;0),'Your Team'!$C$6="F" ),1,0)+IF( AND((COUNTIF(AQ$2:AQ$33,'Your Team'!$D$7)&gt;0),'Your Team'!$C$7="F" ),1,0)+IF( AND((COUNTIF(AQ$2:AQ$33,'Your Team'!$D$8)&gt;0),'Your Team'!$C$8="F" ),1,0)+IF( AND((COUNTIF(AQ$2:AQ$33,'Your Team'!$D$9)&gt;0),'Your Team'!$C$9="F" ),1,0)+IF( AND((COUNTIF(AQ$2:AQ$33,'Your Team'!$D$10)&gt;0),'Your Team'!$C$10="F" ),1,0)+IF( AND((COUNTIF(AQ$2:AQ$33,'Your Team'!$D$11)&gt;0),'Your Team'!$C$11="F" ),1,0)+IF( AND((COUNTIF(AQ$2:AQ$33,'Your Team'!$D$12)&gt;0),'Your Team'!$C$12="F" ),1,0)+IF( AND((COUNTIF(AQ$2:AQ$33,'Your Team'!$D$13)&gt;0),'Your Team'!$C$13="F" ),1,0)+IF( AND((COUNTIF(AQ$2:AQ$33,'Your Team'!$D$14)&gt;0),'Your Team'!$C$14="F" ),1,0)+IF( AND((COUNTIF(AQ$2:AQ$33,'Your Team'!$D$15)&gt;0),'Your Team'!$C$15="F" ),1,0)+IF( AND((COUNTIF(AQ$2:AQ$33,'Your Team'!$D$16)&gt;0),'Your Team'!$C$16="F" ),1,0)+IF( AND((COUNTIF(AQ$2:AQ$33,'Your Team'!$D$17)&gt;0),'Your Team'!$C$17="F" ),1,0)+IF( AND((COUNTIF(AQ$2:AQ$33,'Your Team'!$D$18)&gt;0),'Your Team'!$C$18="F" ),1,0)+IF( AND((COUNTIF(AQ$2:AQ$33,'Your Team'!$D$19)&gt;0),'Your Team'!$C$19="F" ),1,0)</f>
        <v>0</v>
      </c>
      <c r="AR40" s="9">
        <f>IF( AND((COUNTIF(AR$2:AR$33,'Your Team'!$D$3)&gt;0),'Your Team'!$C$3="F" ),1,0)+IF( AND((COUNTIF(AR$2:AR$33,'Your Team'!$D$4)&gt;0),'Your Team'!$C$4="F" ),1,0)+IF( AND((COUNTIF(AR$2:AR$33,'Your Team'!$D$5)&gt;0),'Your Team'!$C$5="F" ),1,0)+IF( AND((COUNTIF(AR$2:AR$33,'Your Team'!$D$6)&gt;0),'Your Team'!$C$6="F" ),1,0)+IF( AND((COUNTIF(AR$2:AR$33,'Your Team'!$D$7)&gt;0),'Your Team'!$C$7="F" ),1,0)+IF( AND((COUNTIF(AR$2:AR$33,'Your Team'!$D$8)&gt;0),'Your Team'!$C$8="F" ),1,0)+IF( AND((COUNTIF(AR$2:AR$33,'Your Team'!$D$9)&gt;0),'Your Team'!$C$9="F" ),1,0)+IF( AND((COUNTIF(AR$2:AR$33,'Your Team'!$D$10)&gt;0),'Your Team'!$C$10="F" ),1,0)+IF( AND((COUNTIF(AR$2:AR$33,'Your Team'!$D$11)&gt;0),'Your Team'!$C$11="F" ),1,0)+IF( AND((COUNTIF(AR$2:AR$33,'Your Team'!$D$12)&gt;0),'Your Team'!$C$12="F" ),1,0)+IF( AND((COUNTIF(AR$2:AR$33,'Your Team'!$D$13)&gt;0),'Your Team'!$C$13="F" ),1,0)+IF( AND((COUNTIF(AR$2:AR$33,'Your Team'!$D$14)&gt;0),'Your Team'!$C$14="F" ),1,0)+IF( AND((COUNTIF(AR$2:AR$33,'Your Team'!$D$15)&gt;0),'Your Team'!$C$15="F" ),1,0)+IF( AND((COUNTIF(AR$2:AR$33,'Your Team'!$D$16)&gt;0),'Your Team'!$C$16="F" ),1,0)+IF( AND((COUNTIF(AR$2:AR$33,'Your Team'!$D$17)&gt;0),'Your Team'!$C$17="F" ),1,0)+IF( AND((COUNTIF(AR$2:AR$33,'Your Team'!$D$18)&gt;0),'Your Team'!$C$18="F" ),1,0)+IF( AND((COUNTIF(AR$2:AR$33,'Your Team'!$D$19)&gt;0),'Your Team'!$C$19="F" ),1,0)</f>
        <v>0</v>
      </c>
      <c r="AS40" s="9">
        <f>IF( AND((COUNTIF(AS$2:AS$33,'Your Team'!$D$3)&gt;0),'Your Team'!$C$3="F" ),1,0)+IF( AND((COUNTIF(AS$2:AS$33,'Your Team'!$D$4)&gt;0),'Your Team'!$C$4="F" ),1,0)+IF( AND((COUNTIF(AS$2:AS$33,'Your Team'!$D$5)&gt;0),'Your Team'!$C$5="F" ),1,0)+IF( AND((COUNTIF(AS$2:AS$33,'Your Team'!$D$6)&gt;0),'Your Team'!$C$6="F" ),1,0)+IF( AND((COUNTIF(AS$2:AS$33,'Your Team'!$D$7)&gt;0),'Your Team'!$C$7="F" ),1,0)+IF( AND((COUNTIF(AS$2:AS$33,'Your Team'!$D$8)&gt;0),'Your Team'!$C$8="F" ),1,0)+IF( AND((COUNTIF(AS$2:AS$33,'Your Team'!$D$9)&gt;0),'Your Team'!$C$9="F" ),1,0)+IF( AND((COUNTIF(AS$2:AS$33,'Your Team'!$D$10)&gt;0),'Your Team'!$C$10="F" ),1,0)+IF( AND((COUNTIF(AS$2:AS$33,'Your Team'!$D$11)&gt;0),'Your Team'!$C$11="F" ),1,0)+IF( AND((COUNTIF(AS$2:AS$33,'Your Team'!$D$12)&gt;0),'Your Team'!$C$12="F" ),1,0)+IF( AND((COUNTIF(AS$2:AS$33,'Your Team'!$D$13)&gt;0),'Your Team'!$C$13="F" ),1,0)+IF( AND((COUNTIF(AS$2:AS$33,'Your Team'!$D$14)&gt;0),'Your Team'!$C$14="F" ),1,0)+IF( AND((COUNTIF(AS$2:AS$33,'Your Team'!$D$15)&gt;0),'Your Team'!$C$15="F" ),1,0)+IF( AND((COUNTIF(AS$2:AS$33,'Your Team'!$D$16)&gt;0),'Your Team'!$C$16="F" ),1,0)+IF( AND((COUNTIF(AS$2:AS$33,'Your Team'!$D$17)&gt;0),'Your Team'!$C$17="F" ),1,0)+IF( AND((COUNTIF(AS$2:AS$33,'Your Team'!$D$18)&gt;0),'Your Team'!$C$18="F" ),1,0)+IF( AND((COUNTIF(AS$2:AS$33,'Your Team'!$D$19)&gt;0),'Your Team'!$C$19="F" ),1,0)</f>
        <v>0</v>
      </c>
      <c r="AT40" s="9">
        <f>IF( AND((COUNTIF(AT$2:AT$33,'Your Team'!$D$3)&gt;0),'Your Team'!$C$3="F" ),1,0)+IF( AND((COUNTIF(AT$2:AT$33,'Your Team'!$D$4)&gt;0),'Your Team'!$C$4="F" ),1,0)+IF( AND((COUNTIF(AT$2:AT$33,'Your Team'!$D$5)&gt;0),'Your Team'!$C$5="F" ),1,0)+IF( AND((COUNTIF(AT$2:AT$33,'Your Team'!$D$6)&gt;0),'Your Team'!$C$6="F" ),1,0)+IF( AND((COUNTIF(AT$2:AT$33,'Your Team'!$D$7)&gt;0),'Your Team'!$C$7="F" ),1,0)+IF( AND((COUNTIF(AT$2:AT$33,'Your Team'!$D$8)&gt;0),'Your Team'!$C$8="F" ),1,0)+IF( AND((COUNTIF(AT$2:AT$33,'Your Team'!$D$9)&gt;0),'Your Team'!$C$9="F" ),1,0)+IF( AND((COUNTIF(AT$2:AT$33,'Your Team'!$D$10)&gt;0),'Your Team'!$C$10="F" ),1,0)+IF( AND((COUNTIF(AT$2:AT$33,'Your Team'!$D$11)&gt;0),'Your Team'!$C$11="F" ),1,0)+IF( AND((COUNTIF(AT$2:AT$33,'Your Team'!$D$12)&gt;0),'Your Team'!$C$12="F" ),1,0)+IF( AND((COUNTIF(AT$2:AT$33,'Your Team'!$D$13)&gt;0),'Your Team'!$C$13="F" ),1,0)+IF( AND((COUNTIF(AT$2:AT$33,'Your Team'!$D$14)&gt;0),'Your Team'!$C$14="F" ),1,0)+IF( AND((COUNTIF(AT$2:AT$33,'Your Team'!$D$15)&gt;0),'Your Team'!$C$15="F" ),1,0)+IF( AND((COUNTIF(AT$2:AT$33,'Your Team'!$D$16)&gt;0),'Your Team'!$C$16="F" ),1,0)+IF( AND((COUNTIF(AT$2:AT$33,'Your Team'!$D$17)&gt;0),'Your Team'!$C$17="F" ),1,0)+IF( AND((COUNTIF(AT$2:AT$33,'Your Team'!$D$18)&gt;0),'Your Team'!$C$18="F" ),1,0)+IF( AND((COUNTIF(AT$2:AT$33,'Your Team'!$D$19)&gt;0),'Your Team'!$C$19="F" ),1,0)</f>
        <v>0</v>
      </c>
      <c r="AU40" s="9">
        <f>IF( AND((COUNTIF(AU$2:AU$33,'Your Team'!$D$3)&gt;0),'Your Team'!$C$3="F" ),1,0)+IF( AND((COUNTIF(AU$2:AU$33,'Your Team'!$D$4)&gt;0),'Your Team'!$C$4="F" ),1,0)+IF( AND((COUNTIF(AU$2:AU$33,'Your Team'!$D$5)&gt;0),'Your Team'!$C$5="F" ),1,0)+IF( AND((COUNTIF(AU$2:AU$33,'Your Team'!$D$6)&gt;0),'Your Team'!$C$6="F" ),1,0)+IF( AND((COUNTIF(AU$2:AU$33,'Your Team'!$D$7)&gt;0),'Your Team'!$C$7="F" ),1,0)+IF( AND((COUNTIF(AU$2:AU$33,'Your Team'!$D$8)&gt;0),'Your Team'!$C$8="F" ),1,0)+IF( AND((COUNTIF(AU$2:AU$33,'Your Team'!$D$9)&gt;0),'Your Team'!$C$9="F" ),1,0)+IF( AND((COUNTIF(AU$2:AU$33,'Your Team'!$D$10)&gt;0),'Your Team'!$C$10="F" ),1,0)+IF( AND((COUNTIF(AU$2:AU$33,'Your Team'!$D$11)&gt;0),'Your Team'!$C$11="F" ),1,0)+IF( AND((COUNTIF(AU$2:AU$33,'Your Team'!$D$12)&gt;0),'Your Team'!$C$12="F" ),1,0)+IF( AND((COUNTIF(AU$2:AU$33,'Your Team'!$D$13)&gt;0),'Your Team'!$C$13="F" ),1,0)+IF( AND((COUNTIF(AU$2:AU$33,'Your Team'!$D$14)&gt;0),'Your Team'!$C$14="F" ),1,0)+IF( AND((COUNTIF(AU$2:AU$33,'Your Team'!$D$15)&gt;0),'Your Team'!$C$15="F" ),1,0)+IF( AND((COUNTIF(AU$2:AU$33,'Your Team'!$D$16)&gt;0),'Your Team'!$C$16="F" ),1,0)+IF( AND((COUNTIF(AU$2:AU$33,'Your Team'!$D$17)&gt;0),'Your Team'!$C$17="F" ),1,0)+IF( AND((COUNTIF(AU$2:AU$33,'Your Team'!$D$18)&gt;0),'Your Team'!$C$18="F" ),1,0)+IF( AND((COUNTIF(AU$2:AU$33,'Your Team'!$D$19)&gt;0),'Your Team'!$C$19="F" ),1,0)</f>
        <v>0</v>
      </c>
      <c r="AV40" s="9">
        <f>IF( AND((COUNTIF(AV$2:AV$33,'Your Team'!$D$3)&gt;0),'Your Team'!$C$3="F" ),1,0)+IF( AND((COUNTIF(AV$2:AV$33,'Your Team'!$D$4)&gt;0),'Your Team'!$C$4="F" ),1,0)+IF( AND((COUNTIF(AV$2:AV$33,'Your Team'!$D$5)&gt;0),'Your Team'!$C$5="F" ),1,0)+IF( AND((COUNTIF(AV$2:AV$33,'Your Team'!$D$6)&gt;0),'Your Team'!$C$6="F" ),1,0)+IF( AND((COUNTIF(AV$2:AV$33,'Your Team'!$D$7)&gt;0),'Your Team'!$C$7="F" ),1,0)+IF( AND((COUNTIF(AV$2:AV$33,'Your Team'!$D$8)&gt;0),'Your Team'!$C$8="F" ),1,0)+IF( AND((COUNTIF(AV$2:AV$33,'Your Team'!$D$9)&gt;0),'Your Team'!$C$9="F" ),1,0)+IF( AND((COUNTIF(AV$2:AV$33,'Your Team'!$D$10)&gt;0),'Your Team'!$C$10="F" ),1,0)+IF( AND((COUNTIF(AV$2:AV$33,'Your Team'!$D$11)&gt;0),'Your Team'!$C$11="F" ),1,0)+IF( AND((COUNTIF(AV$2:AV$33,'Your Team'!$D$12)&gt;0),'Your Team'!$C$12="F" ),1,0)+IF( AND((COUNTIF(AV$2:AV$33,'Your Team'!$D$13)&gt;0),'Your Team'!$C$13="F" ),1,0)+IF( AND((COUNTIF(AV$2:AV$33,'Your Team'!$D$14)&gt;0),'Your Team'!$C$14="F" ),1,0)+IF( AND((COUNTIF(AV$2:AV$33,'Your Team'!$D$15)&gt;0),'Your Team'!$C$15="F" ),1,0)+IF( AND((COUNTIF(AV$2:AV$33,'Your Team'!$D$16)&gt;0),'Your Team'!$C$16="F" ),1,0)+IF( AND((COUNTIF(AV$2:AV$33,'Your Team'!$D$17)&gt;0),'Your Team'!$C$17="F" ),1,0)+IF( AND((COUNTIF(AV$2:AV$33,'Your Team'!$D$18)&gt;0),'Your Team'!$C$18="F" ),1,0)+IF( AND((COUNTIF(AV$2:AV$33,'Your Team'!$D$19)&gt;0),'Your Team'!$C$19="F" ),1,0)</f>
        <v>0</v>
      </c>
      <c r="AW40" s="9">
        <f>IF( AND((COUNTIF(AW$2:AW$33,'Your Team'!$D$3)&gt;0),'Your Team'!$C$3="F" ),1,0)+IF( AND((COUNTIF(AW$2:AW$33,'Your Team'!$D$4)&gt;0),'Your Team'!$C$4="F" ),1,0)+IF( AND((COUNTIF(AW$2:AW$33,'Your Team'!$D$5)&gt;0),'Your Team'!$C$5="F" ),1,0)+IF( AND((COUNTIF(AW$2:AW$33,'Your Team'!$D$6)&gt;0),'Your Team'!$C$6="F" ),1,0)+IF( AND((COUNTIF(AW$2:AW$33,'Your Team'!$D$7)&gt;0),'Your Team'!$C$7="F" ),1,0)+IF( AND((COUNTIF(AW$2:AW$33,'Your Team'!$D$8)&gt;0),'Your Team'!$C$8="F" ),1,0)+IF( AND((COUNTIF(AW$2:AW$33,'Your Team'!$D$9)&gt;0),'Your Team'!$C$9="F" ),1,0)+IF( AND((COUNTIF(AW$2:AW$33,'Your Team'!$D$10)&gt;0),'Your Team'!$C$10="F" ),1,0)+IF( AND((COUNTIF(AW$2:AW$33,'Your Team'!$D$11)&gt;0),'Your Team'!$C$11="F" ),1,0)+IF( AND((COUNTIF(AW$2:AW$33,'Your Team'!$D$12)&gt;0),'Your Team'!$C$12="F" ),1,0)+IF( AND((COUNTIF(AW$2:AW$33,'Your Team'!$D$13)&gt;0),'Your Team'!$C$13="F" ),1,0)+IF( AND((COUNTIF(AW$2:AW$33,'Your Team'!$D$14)&gt;0),'Your Team'!$C$14="F" ),1,0)+IF( AND((COUNTIF(AW$2:AW$33,'Your Team'!$D$15)&gt;0),'Your Team'!$C$15="F" ),1,0)+IF( AND((COUNTIF(AW$2:AW$33,'Your Team'!$D$16)&gt;0),'Your Team'!$C$16="F" ),1,0)+IF( AND((COUNTIF(AW$2:AW$33,'Your Team'!$D$17)&gt;0),'Your Team'!$C$17="F" ),1,0)+IF( AND((COUNTIF(AW$2:AW$33,'Your Team'!$D$18)&gt;0),'Your Team'!$C$18="F" ),1,0)+IF( AND((COUNTIF(AW$2:AW$33,'Your Team'!$D$19)&gt;0),'Your Team'!$C$19="F" ),1,0)</f>
        <v>0</v>
      </c>
      <c r="AX40" s="9">
        <f>IF( AND((COUNTIF(AX$2:AX$33,'Your Team'!$D$3)&gt;0),'Your Team'!$C$3="F" ),1,0)+IF( AND((COUNTIF(AX$2:AX$33,'Your Team'!$D$4)&gt;0),'Your Team'!$C$4="F" ),1,0)+IF( AND((COUNTIF(AX$2:AX$33,'Your Team'!$D$5)&gt;0),'Your Team'!$C$5="F" ),1,0)+IF( AND((COUNTIF(AX$2:AX$33,'Your Team'!$D$6)&gt;0),'Your Team'!$C$6="F" ),1,0)+IF( AND((COUNTIF(AX$2:AX$33,'Your Team'!$D$7)&gt;0),'Your Team'!$C$7="F" ),1,0)+IF( AND((COUNTIF(AX$2:AX$33,'Your Team'!$D$8)&gt;0),'Your Team'!$C$8="F" ),1,0)+IF( AND((COUNTIF(AX$2:AX$33,'Your Team'!$D$9)&gt;0),'Your Team'!$C$9="F" ),1,0)+IF( AND((COUNTIF(AX$2:AX$33,'Your Team'!$D$10)&gt;0),'Your Team'!$C$10="F" ),1,0)+IF( AND((COUNTIF(AX$2:AX$33,'Your Team'!$D$11)&gt;0),'Your Team'!$C$11="F" ),1,0)+IF( AND((COUNTIF(AX$2:AX$33,'Your Team'!$D$12)&gt;0),'Your Team'!$C$12="F" ),1,0)+IF( AND((COUNTIF(AX$2:AX$33,'Your Team'!$D$13)&gt;0),'Your Team'!$C$13="F" ),1,0)+IF( AND((COUNTIF(AX$2:AX$33,'Your Team'!$D$14)&gt;0),'Your Team'!$C$14="F" ),1,0)+IF( AND((COUNTIF(AX$2:AX$33,'Your Team'!$D$15)&gt;0),'Your Team'!$C$15="F" ),1,0)+IF( AND((COUNTIF(AX$2:AX$33,'Your Team'!$D$16)&gt;0),'Your Team'!$C$16="F" ),1,0)+IF( AND((COUNTIF(AX$2:AX$33,'Your Team'!$D$17)&gt;0),'Your Team'!$C$17="F" ),1,0)+IF( AND((COUNTIF(AX$2:AX$33,'Your Team'!$D$18)&gt;0),'Your Team'!$C$18="F" ),1,0)+IF( AND((COUNTIF(AX$2:AX$33,'Your Team'!$D$19)&gt;0),'Your Team'!$C$19="F" ),1,0)</f>
        <v>0</v>
      </c>
      <c r="AY40" s="9">
        <f>IF( AND((COUNTIF(AY$2:AY$33,'Your Team'!$D$3)&gt;0),'Your Team'!$C$3="F" ),1,0)+IF( AND((COUNTIF(AY$2:AY$33,'Your Team'!$D$4)&gt;0),'Your Team'!$C$4="F" ),1,0)+IF( AND((COUNTIF(AY$2:AY$33,'Your Team'!$D$5)&gt;0),'Your Team'!$C$5="F" ),1,0)+IF( AND((COUNTIF(AY$2:AY$33,'Your Team'!$D$6)&gt;0),'Your Team'!$C$6="F" ),1,0)+IF( AND((COUNTIF(AY$2:AY$33,'Your Team'!$D$7)&gt;0),'Your Team'!$C$7="F" ),1,0)+IF( AND((COUNTIF(AY$2:AY$33,'Your Team'!$D$8)&gt;0),'Your Team'!$C$8="F" ),1,0)+IF( AND((COUNTIF(AY$2:AY$33,'Your Team'!$D$9)&gt;0),'Your Team'!$C$9="F" ),1,0)+IF( AND((COUNTIF(AY$2:AY$33,'Your Team'!$D$10)&gt;0),'Your Team'!$C$10="F" ),1,0)+IF( AND((COUNTIF(AY$2:AY$33,'Your Team'!$D$11)&gt;0),'Your Team'!$C$11="F" ),1,0)+IF( AND((COUNTIF(AY$2:AY$33,'Your Team'!$D$12)&gt;0),'Your Team'!$C$12="F" ),1,0)+IF( AND((COUNTIF(AY$2:AY$33,'Your Team'!$D$13)&gt;0),'Your Team'!$C$13="F" ),1,0)+IF( AND((COUNTIF(AY$2:AY$33,'Your Team'!$D$14)&gt;0),'Your Team'!$C$14="F" ),1,0)+IF( AND((COUNTIF(AY$2:AY$33,'Your Team'!$D$15)&gt;0),'Your Team'!$C$15="F" ),1,0)+IF( AND((COUNTIF(AY$2:AY$33,'Your Team'!$D$16)&gt;0),'Your Team'!$C$16="F" ),1,0)+IF( AND((COUNTIF(AY$2:AY$33,'Your Team'!$D$17)&gt;0),'Your Team'!$C$17="F" ),1,0)+IF( AND((COUNTIF(AY$2:AY$33,'Your Team'!$D$18)&gt;0),'Your Team'!$C$18="F" ),1,0)+IF( AND((COUNTIF(AY$2:AY$33,'Your Team'!$D$19)&gt;0),'Your Team'!$C$19="F" ),1,0)</f>
        <v>0</v>
      </c>
      <c r="AZ40" s="9">
        <f>IF( AND((COUNTIF(AZ$2:AZ$33,'Your Team'!$D$3)&gt;0),'Your Team'!$C$3="F" ),1,0)+IF( AND((COUNTIF(AZ$2:AZ$33,'Your Team'!$D$4)&gt;0),'Your Team'!$C$4="F" ),1,0)+IF( AND((COUNTIF(AZ$2:AZ$33,'Your Team'!$D$5)&gt;0),'Your Team'!$C$5="F" ),1,0)+IF( AND((COUNTIF(AZ$2:AZ$33,'Your Team'!$D$6)&gt;0),'Your Team'!$C$6="F" ),1,0)+IF( AND((COUNTIF(AZ$2:AZ$33,'Your Team'!$D$7)&gt;0),'Your Team'!$C$7="F" ),1,0)+IF( AND((COUNTIF(AZ$2:AZ$33,'Your Team'!$D$8)&gt;0),'Your Team'!$C$8="F" ),1,0)+IF( AND((COUNTIF(AZ$2:AZ$33,'Your Team'!$D$9)&gt;0),'Your Team'!$C$9="F" ),1,0)+IF( AND((COUNTIF(AZ$2:AZ$33,'Your Team'!$D$10)&gt;0),'Your Team'!$C$10="F" ),1,0)+IF( AND((COUNTIF(AZ$2:AZ$33,'Your Team'!$D$11)&gt;0),'Your Team'!$C$11="F" ),1,0)+IF( AND((COUNTIF(AZ$2:AZ$33,'Your Team'!$D$12)&gt;0),'Your Team'!$C$12="F" ),1,0)+IF( AND((COUNTIF(AZ$2:AZ$33,'Your Team'!$D$13)&gt;0),'Your Team'!$C$13="F" ),1,0)+IF( AND((COUNTIF(AZ$2:AZ$33,'Your Team'!$D$14)&gt;0),'Your Team'!$C$14="F" ),1,0)+IF( AND((COUNTIF(AZ$2:AZ$33,'Your Team'!$D$15)&gt;0),'Your Team'!$C$15="F" ),1,0)+IF( AND((COUNTIF(AZ$2:AZ$33,'Your Team'!$D$16)&gt;0),'Your Team'!$C$16="F" ),1,0)+IF( AND((COUNTIF(AZ$2:AZ$33,'Your Team'!$D$17)&gt;0),'Your Team'!$C$17="F" ),1,0)+IF( AND((COUNTIF(AZ$2:AZ$33,'Your Team'!$D$18)&gt;0),'Your Team'!$C$18="F" ),1,0)+IF( AND((COUNTIF(AZ$2:AZ$33,'Your Team'!$D$19)&gt;0),'Your Team'!$C$19="F" ),1,0)</f>
        <v>0</v>
      </c>
      <c r="BA40" s="9">
        <f>IF( AND((COUNTIF(BA$2:BA$33,'Your Team'!$D$3)&gt;0),'Your Team'!$C$3="F" ),1,0)+IF( AND((COUNTIF(BA$2:BA$33,'Your Team'!$D$4)&gt;0),'Your Team'!$C$4="F" ),1,0)+IF( AND((COUNTIF(BA$2:BA$33,'Your Team'!$D$5)&gt;0),'Your Team'!$C$5="F" ),1,0)+IF( AND((COUNTIF(BA$2:BA$33,'Your Team'!$D$6)&gt;0),'Your Team'!$C$6="F" ),1,0)+IF( AND((COUNTIF(BA$2:BA$33,'Your Team'!$D$7)&gt;0),'Your Team'!$C$7="F" ),1,0)+IF( AND((COUNTIF(BA$2:BA$33,'Your Team'!$D$8)&gt;0),'Your Team'!$C$8="F" ),1,0)+IF( AND((COUNTIF(BA$2:BA$33,'Your Team'!$D$9)&gt;0),'Your Team'!$C$9="F" ),1,0)+IF( AND((COUNTIF(BA$2:BA$33,'Your Team'!$D$10)&gt;0),'Your Team'!$C$10="F" ),1,0)+IF( AND((COUNTIF(BA$2:BA$33,'Your Team'!$D$11)&gt;0),'Your Team'!$C$11="F" ),1,0)+IF( AND((COUNTIF(BA$2:BA$33,'Your Team'!$D$12)&gt;0),'Your Team'!$C$12="F" ),1,0)+IF( AND((COUNTIF(BA$2:BA$33,'Your Team'!$D$13)&gt;0),'Your Team'!$C$13="F" ),1,0)+IF( AND((COUNTIF(BA$2:BA$33,'Your Team'!$D$14)&gt;0),'Your Team'!$C$14="F" ),1,0)+IF( AND((COUNTIF(BA$2:BA$33,'Your Team'!$D$15)&gt;0),'Your Team'!$C$15="F" ),1,0)+IF( AND((COUNTIF(BA$2:BA$33,'Your Team'!$D$16)&gt;0),'Your Team'!$C$16="F" ),1,0)+IF( AND((COUNTIF(BA$2:BA$33,'Your Team'!$D$17)&gt;0),'Your Team'!$C$17="F" ),1,0)+IF( AND((COUNTIF(BA$2:BA$33,'Your Team'!$D$18)&gt;0),'Your Team'!$C$18="F" ),1,0)+IF( AND((COUNTIF(BA$2:BA$33,'Your Team'!$D$19)&gt;0),'Your Team'!$C$19="F" ),1,0)</f>
        <v>0</v>
      </c>
      <c r="BB40" s="9">
        <f>IF( AND((COUNTIF(BB$2:BB$33,'Your Team'!$D$3)&gt;0),'Your Team'!$C$3="F" ),1,0)+IF( AND((COUNTIF(BB$2:BB$33,'Your Team'!$D$4)&gt;0),'Your Team'!$C$4="F" ),1,0)+IF( AND((COUNTIF(BB$2:BB$33,'Your Team'!$D$5)&gt;0),'Your Team'!$C$5="F" ),1,0)+IF( AND((COUNTIF(BB$2:BB$33,'Your Team'!$D$6)&gt;0),'Your Team'!$C$6="F" ),1,0)+IF( AND((COUNTIF(BB$2:BB$33,'Your Team'!$D$7)&gt;0),'Your Team'!$C$7="F" ),1,0)+IF( AND((COUNTIF(BB$2:BB$33,'Your Team'!$D$8)&gt;0),'Your Team'!$C$8="F" ),1,0)+IF( AND((COUNTIF(BB$2:BB$33,'Your Team'!$D$9)&gt;0),'Your Team'!$C$9="F" ),1,0)+IF( AND((COUNTIF(BB$2:BB$33,'Your Team'!$D$10)&gt;0),'Your Team'!$C$10="F" ),1,0)+IF( AND((COUNTIF(BB$2:BB$33,'Your Team'!$D$11)&gt;0),'Your Team'!$C$11="F" ),1,0)+IF( AND((COUNTIF(BB$2:BB$33,'Your Team'!$D$12)&gt;0),'Your Team'!$C$12="F" ),1,0)+IF( AND((COUNTIF(BB$2:BB$33,'Your Team'!$D$13)&gt;0),'Your Team'!$C$13="F" ),1,0)+IF( AND((COUNTIF(BB$2:BB$33,'Your Team'!$D$14)&gt;0),'Your Team'!$C$14="F" ),1,0)+IF( AND((COUNTIF(BB$2:BB$33,'Your Team'!$D$15)&gt;0),'Your Team'!$C$15="F" ),1,0)+IF( AND((COUNTIF(BB$2:BB$33,'Your Team'!$D$16)&gt;0),'Your Team'!$C$16="F" ),1,0)+IF( AND((COUNTIF(BB$2:BB$33,'Your Team'!$D$17)&gt;0),'Your Team'!$C$17="F" ),1,0)+IF( AND((COUNTIF(BB$2:BB$33,'Your Team'!$D$18)&gt;0),'Your Team'!$C$18="F" ),1,0)+IF( AND((COUNTIF(BB$2:BB$33,'Your Team'!$D$19)&gt;0),'Your Team'!$C$19="F" ),1,0)</f>
        <v>0</v>
      </c>
      <c r="BC40" s="9">
        <f>IF( AND((COUNTIF(BC$2:BC$33,'Your Team'!$D$3)&gt;0),'Your Team'!$C$3="F" ),1,0)+IF( AND((COUNTIF(BC$2:BC$33,'Your Team'!$D$4)&gt;0),'Your Team'!$C$4="F" ),1,0)+IF( AND((COUNTIF(BC$2:BC$33,'Your Team'!$D$5)&gt;0),'Your Team'!$C$5="F" ),1,0)+IF( AND((COUNTIF(BC$2:BC$33,'Your Team'!$D$6)&gt;0),'Your Team'!$C$6="F" ),1,0)+IF( AND((COUNTIF(BC$2:BC$33,'Your Team'!$D$7)&gt;0),'Your Team'!$C$7="F" ),1,0)+IF( AND((COUNTIF(BC$2:BC$33,'Your Team'!$D$8)&gt;0),'Your Team'!$C$8="F" ),1,0)+IF( AND((COUNTIF(BC$2:BC$33,'Your Team'!$D$9)&gt;0),'Your Team'!$C$9="F" ),1,0)+IF( AND((COUNTIF(BC$2:BC$33,'Your Team'!$D$10)&gt;0),'Your Team'!$C$10="F" ),1,0)+IF( AND((COUNTIF(BC$2:BC$33,'Your Team'!$D$11)&gt;0),'Your Team'!$C$11="F" ),1,0)+IF( AND((COUNTIF(BC$2:BC$33,'Your Team'!$D$12)&gt;0),'Your Team'!$C$12="F" ),1,0)+IF( AND((COUNTIF(BC$2:BC$33,'Your Team'!$D$13)&gt;0),'Your Team'!$C$13="F" ),1,0)+IF( AND((COUNTIF(BC$2:BC$33,'Your Team'!$D$14)&gt;0),'Your Team'!$C$14="F" ),1,0)+IF( AND((COUNTIF(BC$2:BC$33,'Your Team'!$D$15)&gt;0),'Your Team'!$C$15="F" ),1,0)+IF( AND((COUNTIF(BC$2:BC$33,'Your Team'!$D$16)&gt;0),'Your Team'!$C$16="F" ),1,0)+IF( AND((COUNTIF(BC$2:BC$33,'Your Team'!$D$17)&gt;0),'Your Team'!$C$17="F" ),1,0)+IF( AND((COUNTIF(BC$2:BC$33,'Your Team'!$D$18)&gt;0),'Your Team'!$C$18="F" ),1,0)+IF( AND((COUNTIF(BC$2:BC$33,'Your Team'!$D$19)&gt;0),'Your Team'!$C$19="F" ),1,0)</f>
        <v>0</v>
      </c>
      <c r="BD40" s="9">
        <f>IF( AND((COUNTIF(BD$2:BD$33,'Your Team'!$D$3)&gt;0),'Your Team'!$C$3="F" ),1,0)+IF( AND((COUNTIF(BD$2:BD$33,'Your Team'!$D$4)&gt;0),'Your Team'!$C$4="F" ),1,0)+IF( AND((COUNTIF(BD$2:BD$33,'Your Team'!$D$5)&gt;0),'Your Team'!$C$5="F" ),1,0)+IF( AND((COUNTIF(BD$2:BD$33,'Your Team'!$D$6)&gt;0),'Your Team'!$C$6="F" ),1,0)+IF( AND((COUNTIF(BD$2:BD$33,'Your Team'!$D$7)&gt;0),'Your Team'!$C$7="F" ),1,0)+IF( AND((COUNTIF(BD$2:BD$33,'Your Team'!$D$8)&gt;0),'Your Team'!$C$8="F" ),1,0)+IF( AND((COUNTIF(BD$2:BD$33,'Your Team'!$D$9)&gt;0),'Your Team'!$C$9="F" ),1,0)+IF( AND((COUNTIF(BD$2:BD$33,'Your Team'!$D$10)&gt;0),'Your Team'!$C$10="F" ),1,0)+IF( AND((COUNTIF(BD$2:BD$33,'Your Team'!$D$11)&gt;0),'Your Team'!$C$11="F" ),1,0)+IF( AND((COUNTIF(BD$2:BD$33,'Your Team'!$D$12)&gt;0),'Your Team'!$C$12="F" ),1,0)+IF( AND((COUNTIF(BD$2:BD$33,'Your Team'!$D$13)&gt;0),'Your Team'!$C$13="F" ),1,0)+IF( AND((COUNTIF(BD$2:BD$33,'Your Team'!$D$14)&gt;0),'Your Team'!$C$14="F" ),1,0)+IF( AND((COUNTIF(BD$2:BD$33,'Your Team'!$D$15)&gt;0),'Your Team'!$C$15="F" ),1,0)+IF( AND((COUNTIF(BD$2:BD$33,'Your Team'!$D$16)&gt;0),'Your Team'!$C$16="F" ),1,0)+IF( AND((COUNTIF(BD$2:BD$33,'Your Team'!$D$17)&gt;0),'Your Team'!$C$17="F" ),1,0)+IF( AND((COUNTIF(BD$2:BD$33,'Your Team'!$D$18)&gt;0),'Your Team'!$C$18="F" ),1,0)+IF( AND((COUNTIF(BD$2:BD$33,'Your Team'!$D$19)&gt;0),'Your Team'!$C$19="F" ),1,0)</f>
        <v>0</v>
      </c>
      <c r="BE40" s="9">
        <f>IF( AND((COUNTIF(BE$2:BE$33,'Your Team'!$D$3)&gt;0),'Your Team'!$C$3="F" ),1,0)+IF( AND((COUNTIF(BE$2:BE$33,'Your Team'!$D$4)&gt;0),'Your Team'!$C$4="F" ),1,0)+IF( AND((COUNTIF(BE$2:BE$33,'Your Team'!$D$5)&gt;0),'Your Team'!$C$5="F" ),1,0)+IF( AND((COUNTIF(BE$2:BE$33,'Your Team'!$D$6)&gt;0),'Your Team'!$C$6="F" ),1,0)+IF( AND((COUNTIF(BE$2:BE$33,'Your Team'!$D$7)&gt;0),'Your Team'!$C$7="F" ),1,0)+IF( AND((COUNTIF(BE$2:BE$33,'Your Team'!$D$8)&gt;0),'Your Team'!$C$8="F" ),1,0)+IF( AND((COUNTIF(BE$2:BE$33,'Your Team'!$D$9)&gt;0),'Your Team'!$C$9="F" ),1,0)+IF( AND((COUNTIF(BE$2:BE$33,'Your Team'!$D$10)&gt;0),'Your Team'!$C$10="F" ),1,0)+IF( AND((COUNTIF(BE$2:BE$33,'Your Team'!$D$11)&gt;0),'Your Team'!$C$11="F" ),1,0)+IF( AND((COUNTIF(BE$2:BE$33,'Your Team'!$D$12)&gt;0),'Your Team'!$C$12="F" ),1,0)+IF( AND((COUNTIF(BE$2:BE$33,'Your Team'!$D$13)&gt;0),'Your Team'!$C$13="F" ),1,0)+IF( AND((COUNTIF(BE$2:BE$33,'Your Team'!$D$14)&gt;0),'Your Team'!$C$14="F" ),1,0)+IF( AND((COUNTIF(BE$2:BE$33,'Your Team'!$D$15)&gt;0),'Your Team'!$C$15="F" ),1,0)+IF( AND((COUNTIF(BE$2:BE$33,'Your Team'!$D$16)&gt;0),'Your Team'!$C$16="F" ),1,0)+IF( AND((COUNTIF(BE$2:BE$33,'Your Team'!$D$17)&gt;0),'Your Team'!$C$17="F" ),1,0)+IF( AND((COUNTIF(BE$2:BE$33,'Your Team'!$D$18)&gt;0),'Your Team'!$C$18="F" ),1,0)+IF( AND((COUNTIF(BE$2:BE$33,'Your Team'!$D$19)&gt;0),'Your Team'!$C$19="F" ),1,0)</f>
        <v>0</v>
      </c>
      <c r="BF40" s="9">
        <f>IF( AND((COUNTIF(BF$2:BF$33,'Your Team'!$D$3)&gt;0),'Your Team'!$C$3="F" ),1,0)+IF( AND((COUNTIF(BF$2:BF$33,'Your Team'!$D$4)&gt;0),'Your Team'!$C$4="F" ),1,0)+IF( AND((COUNTIF(BF$2:BF$33,'Your Team'!$D$5)&gt;0),'Your Team'!$C$5="F" ),1,0)+IF( AND((COUNTIF(BF$2:BF$33,'Your Team'!$D$6)&gt;0),'Your Team'!$C$6="F" ),1,0)+IF( AND((COUNTIF(BF$2:BF$33,'Your Team'!$D$7)&gt;0),'Your Team'!$C$7="F" ),1,0)+IF( AND((COUNTIF(BF$2:BF$33,'Your Team'!$D$8)&gt;0),'Your Team'!$C$8="F" ),1,0)+IF( AND((COUNTIF(BF$2:BF$33,'Your Team'!$D$9)&gt;0),'Your Team'!$C$9="F" ),1,0)+IF( AND((COUNTIF(BF$2:BF$33,'Your Team'!$D$10)&gt;0),'Your Team'!$C$10="F" ),1,0)+IF( AND((COUNTIF(BF$2:BF$33,'Your Team'!$D$11)&gt;0),'Your Team'!$C$11="F" ),1,0)+IF( AND((COUNTIF(BF$2:BF$33,'Your Team'!$D$12)&gt;0),'Your Team'!$C$12="F" ),1,0)+IF( AND((COUNTIF(BF$2:BF$33,'Your Team'!$D$13)&gt;0),'Your Team'!$C$13="F" ),1,0)+IF( AND((COUNTIF(BF$2:BF$33,'Your Team'!$D$14)&gt;0),'Your Team'!$C$14="F" ),1,0)+IF( AND((COUNTIF(BF$2:BF$33,'Your Team'!$D$15)&gt;0),'Your Team'!$C$15="F" ),1,0)+IF( AND((COUNTIF(BF$2:BF$33,'Your Team'!$D$16)&gt;0),'Your Team'!$C$16="F" ),1,0)+IF( AND((COUNTIF(BF$2:BF$33,'Your Team'!$D$17)&gt;0),'Your Team'!$C$17="F" ),1,0)+IF( AND((COUNTIF(BF$2:BF$33,'Your Team'!$D$18)&gt;0),'Your Team'!$C$18="F" ),1,0)+IF( AND((COUNTIF(BF$2:BF$33,'Your Team'!$D$19)&gt;0),'Your Team'!$C$19="F" ),1,0)</f>
        <v>0</v>
      </c>
      <c r="BG40" s="9">
        <f>IF( AND((COUNTIF(BG$2:BG$33,'Your Team'!$D$3)&gt;0),'Your Team'!$C$3="F" ),1,0)+IF( AND((COUNTIF(BG$2:BG$33,'Your Team'!$D$4)&gt;0),'Your Team'!$C$4="F" ),1,0)+IF( AND((COUNTIF(BG$2:BG$33,'Your Team'!$D$5)&gt;0),'Your Team'!$C$5="F" ),1,0)+IF( AND((COUNTIF(BG$2:BG$33,'Your Team'!$D$6)&gt;0),'Your Team'!$C$6="F" ),1,0)+IF( AND((COUNTIF(BG$2:BG$33,'Your Team'!$D$7)&gt;0),'Your Team'!$C$7="F" ),1,0)+IF( AND((COUNTIF(BG$2:BG$33,'Your Team'!$D$8)&gt;0),'Your Team'!$C$8="F" ),1,0)+IF( AND((COUNTIF(BG$2:BG$33,'Your Team'!$D$9)&gt;0),'Your Team'!$C$9="F" ),1,0)+IF( AND((COUNTIF(BG$2:BG$33,'Your Team'!$D$10)&gt;0),'Your Team'!$C$10="F" ),1,0)+IF( AND((COUNTIF(BG$2:BG$33,'Your Team'!$D$11)&gt;0),'Your Team'!$C$11="F" ),1,0)+IF( AND((COUNTIF(BG$2:BG$33,'Your Team'!$D$12)&gt;0),'Your Team'!$C$12="F" ),1,0)+IF( AND((COUNTIF(BG$2:BG$33,'Your Team'!$D$13)&gt;0),'Your Team'!$C$13="F" ),1,0)+IF( AND((COUNTIF(BG$2:BG$33,'Your Team'!$D$14)&gt;0),'Your Team'!$C$14="F" ),1,0)+IF( AND((COUNTIF(BG$2:BG$33,'Your Team'!$D$15)&gt;0),'Your Team'!$C$15="F" ),1,0)+IF( AND((COUNTIF(BG$2:BG$33,'Your Team'!$D$16)&gt;0),'Your Team'!$C$16="F" ),1,0)+IF( AND((COUNTIF(BG$2:BG$33,'Your Team'!$D$17)&gt;0),'Your Team'!$C$17="F" ),1,0)+IF( AND((COUNTIF(BG$2:BG$33,'Your Team'!$D$18)&gt;0),'Your Team'!$C$18="F" ),1,0)+IF( AND((COUNTIF(BG$2:BG$33,'Your Team'!$D$19)&gt;0),'Your Team'!$C$19="F" ),1,0)</f>
        <v>0</v>
      </c>
      <c r="BH40" s="9">
        <f>IF( AND((COUNTIF(BH$2:BH$33,'Your Team'!$D$3)&gt;0),'Your Team'!$C$3="F" ),1,0)+IF( AND((COUNTIF(BH$2:BH$33,'Your Team'!$D$4)&gt;0),'Your Team'!$C$4="F" ),1,0)+IF( AND((COUNTIF(BH$2:BH$33,'Your Team'!$D$5)&gt;0),'Your Team'!$C$5="F" ),1,0)+IF( AND((COUNTIF(BH$2:BH$33,'Your Team'!$D$6)&gt;0),'Your Team'!$C$6="F" ),1,0)+IF( AND((COUNTIF(BH$2:BH$33,'Your Team'!$D$7)&gt;0),'Your Team'!$C$7="F" ),1,0)+IF( AND((COUNTIF(BH$2:BH$33,'Your Team'!$D$8)&gt;0),'Your Team'!$C$8="F" ),1,0)+IF( AND((COUNTIF(BH$2:BH$33,'Your Team'!$D$9)&gt;0),'Your Team'!$C$9="F" ),1,0)+IF( AND((COUNTIF(BH$2:BH$33,'Your Team'!$D$10)&gt;0),'Your Team'!$C$10="F" ),1,0)+IF( AND((COUNTIF(BH$2:BH$33,'Your Team'!$D$11)&gt;0),'Your Team'!$C$11="F" ),1,0)+IF( AND((COUNTIF(BH$2:BH$33,'Your Team'!$D$12)&gt;0),'Your Team'!$C$12="F" ),1,0)+IF( AND((COUNTIF(BH$2:BH$33,'Your Team'!$D$13)&gt;0),'Your Team'!$C$13="F" ),1,0)+IF( AND((COUNTIF(BH$2:BH$33,'Your Team'!$D$14)&gt;0),'Your Team'!$C$14="F" ),1,0)+IF( AND((COUNTIF(BH$2:BH$33,'Your Team'!$D$15)&gt;0),'Your Team'!$C$15="F" ),1,0)+IF( AND((COUNTIF(BH$2:BH$33,'Your Team'!$D$16)&gt;0),'Your Team'!$C$16="F" ),1,0)+IF( AND((COUNTIF(BH$2:BH$33,'Your Team'!$D$17)&gt;0),'Your Team'!$C$17="F" ),1,0)+IF( AND((COUNTIF(BH$2:BH$33,'Your Team'!$D$18)&gt;0),'Your Team'!$C$18="F" ),1,0)+IF( AND((COUNTIF(BH$2:BH$33,'Your Team'!$D$19)&gt;0),'Your Team'!$C$19="F" ),1,0)</f>
        <v>0</v>
      </c>
      <c r="BI40" s="9">
        <f>IF( AND((COUNTIF(BI$2:BI$33,'Your Team'!$D$3)&gt;0),'Your Team'!$C$3="F" ),1,0)+IF( AND((COUNTIF(BI$2:BI$33,'Your Team'!$D$4)&gt;0),'Your Team'!$C$4="F" ),1,0)+IF( AND((COUNTIF(BI$2:BI$33,'Your Team'!$D$5)&gt;0),'Your Team'!$C$5="F" ),1,0)+IF( AND((COUNTIF(BI$2:BI$33,'Your Team'!$D$6)&gt;0),'Your Team'!$C$6="F" ),1,0)+IF( AND((COUNTIF(BI$2:BI$33,'Your Team'!$D$7)&gt;0),'Your Team'!$C$7="F" ),1,0)+IF( AND((COUNTIF(BI$2:BI$33,'Your Team'!$D$8)&gt;0),'Your Team'!$C$8="F" ),1,0)+IF( AND((COUNTIF(BI$2:BI$33,'Your Team'!$D$9)&gt;0),'Your Team'!$C$9="F" ),1,0)+IF( AND((COUNTIF(BI$2:BI$33,'Your Team'!$D$10)&gt;0),'Your Team'!$C$10="F" ),1,0)+IF( AND((COUNTIF(BI$2:BI$33,'Your Team'!$D$11)&gt;0),'Your Team'!$C$11="F" ),1,0)+IF( AND((COUNTIF(BI$2:BI$33,'Your Team'!$D$12)&gt;0),'Your Team'!$C$12="F" ),1,0)+IF( AND((COUNTIF(BI$2:BI$33,'Your Team'!$D$13)&gt;0),'Your Team'!$C$13="F" ),1,0)+IF( AND((COUNTIF(BI$2:BI$33,'Your Team'!$D$14)&gt;0),'Your Team'!$C$14="F" ),1,0)+IF( AND((COUNTIF(BI$2:BI$33,'Your Team'!$D$15)&gt;0),'Your Team'!$C$15="F" ),1,0)+IF( AND((COUNTIF(BI$2:BI$33,'Your Team'!$D$16)&gt;0),'Your Team'!$C$16="F" ),1,0)+IF( AND((COUNTIF(BI$2:BI$33,'Your Team'!$D$17)&gt;0),'Your Team'!$C$17="F" ),1,0)+IF( AND((COUNTIF(BI$2:BI$33,'Your Team'!$D$18)&gt;0),'Your Team'!$C$18="F" ),1,0)+IF( AND((COUNTIF(BI$2:BI$33,'Your Team'!$D$19)&gt;0),'Your Team'!$C$19="F" ),1,0)</f>
        <v>0</v>
      </c>
      <c r="BJ40" s="9">
        <f>IF( AND((COUNTIF(BJ$2:BJ$33,'Your Team'!$D$3)&gt;0),'Your Team'!$C$3="F" ),1,0)+IF( AND((COUNTIF(BJ$2:BJ$33,'Your Team'!$D$4)&gt;0),'Your Team'!$C$4="F" ),1,0)+IF( AND((COUNTIF(BJ$2:BJ$33,'Your Team'!$D$5)&gt;0),'Your Team'!$C$5="F" ),1,0)+IF( AND((COUNTIF(BJ$2:BJ$33,'Your Team'!$D$6)&gt;0),'Your Team'!$C$6="F" ),1,0)+IF( AND((COUNTIF(BJ$2:BJ$33,'Your Team'!$D$7)&gt;0),'Your Team'!$C$7="F" ),1,0)+IF( AND((COUNTIF(BJ$2:BJ$33,'Your Team'!$D$8)&gt;0),'Your Team'!$C$8="F" ),1,0)+IF( AND((COUNTIF(BJ$2:BJ$33,'Your Team'!$D$9)&gt;0),'Your Team'!$C$9="F" ),1,0)+IF( AND((COUNTIF(BJ$2:BJ$33,'Your Team'!$D$10)&gt;0),'Your Team'!$C$10="F" ),1,0)+IF( AND((COUNTIF(BJ$2:BJ$33,'Your Team'!$D$11)&gt;0),'Your Team'!$C$11="F" ),1,0)+IF( AND((COUNTIF(BJ$2:BJ$33,'Your Team'!$D$12)&gt;0),'Your Team'!$C$12="F" ),1,0)+IF( AND((COUNTIF(BJ$2:BJ$33,'Your Team'!$D$13)&gt;0),'Your Team'!$C$13="F" ),1,0)+IF( AND((COUNTIF(BJ$2:BJ$33,'Your Team'!$D$14)&gt;0),'Your Team'!$C$14="F" ),1,0)+IF( AND((COUNTIF(BJ$2:BJ$33,'Your Team'!$D$15)&gt;0),'Your Team'!$C$15="F" ),1,0)+IF( AND((COUNTIF(BJ$2:BJ$33,'Your Team'!$D$16)&gt;0),'Your Team'!$C$16="F" ),1,0)+IF( AND((COUNTIF(BJ$2:BJ$33,'Your Team'!$D$17)&gt;0),'Your Team'!$C$17="F" ),1,0)+IF( AND((COUNTIF(BJ$2:BJ$33,'Your Team'!$D$18)&gt;0),'Your Team'!$C$18="F" ),1,0)+IF( AND((COUNTIF(BJ$2:BJ$33,'Your Team'!$D$19)&gt;0),'Your Team'!$C$19="F" ),1,0)</f>
        <v>0</v>
      </c>
      <c r="BK40" s="9">
        <f>IF( AND((COUNTIF(BK$2:BK$33,'Your Team'!$D$3)&gt;0),'Your Team'!$C$3="F" ),1,0)+IF( AND((COUNTIF(BK$2:BK$33,'Your Team'!$D$4)&gt;0),'Your Team'!$C$4="F" ),1,0)+IF( AND((COUNTIF(BK$2:BK$33,'Your Team'!$D$5)&gt;0),'Your Team'!$C$5="F" ),1,0)+IF( AND((COUNTIF(BK$2:BK$33,'Your Team'!$D$6)&gt;0),'Your Team'!$C$6="F" ),1,0)+IF( AND((COUNTIF(BK$2:BK$33,'Your Team'!$D$7)&gt;0),'Your Team'!$C$7="F" ),1,0)+IF( AND((COUNTIF(BK$2:BK$33,'Your Team'!$D$8)&gt;0),'Your Team'!$C$8="F" ),1,0)+IF( AND((COUNTIF(BK$2:BK$33,'Your Team'!$D$9)&gt;0),'Your Team'!$C$9="F" ),1,0)+IF( AND((COUNTIF(BK$2:BK$33,'Your Team'!$D$10)&gt;0),'Your Team'!$C$10="F" ),1,0)+IF( AND((COUNTIF(BK$2:BK$33,'Your Team'!$D$11)&gt;0),'Your Team'!$C$11="F" ),1,0)+IF( AND((COUNTIF(BK$2:BK$33,'Your Team'!$D$12)&gt;0),'Your Team'!$C$12="F" ),1,0)+IF( AND((COUNTIF(BK$2:BK$33,'Your Team'!$D$13)&gt;0),'Your Team'!$C$13="F" ),1,0)+IF( AND((COUNTIF(BK$2:BK$33,'Your Team'!$D$14)&gt;0),'Your Team'!$C$14="F" ),1,0)+IF( AND((COUNTIF(BK$2:BK$33,'Your Team'!$D$15)&gt;0),'Your Team'!$C$15="F" ),1,0)+IF( AND((COUNTIF(BK$2:BK$33,'Your Team'!$D$16)&gt;0),'Your Team'!$C$16="F" ),1,0)+IF( AND((COUNTIF(BK$2:BK$33,'Your Team'!$D$17)&gt;0),'Your Team'!$C$17="F" ),1,0)+IF( AND((COUNTIF(BK$2:BK$33,'Your Team'!$D$18)&gt;0),'Your Team'!$C$18="F" ),1,0)+IF( AND((COUNTIF(BK$2:BK$33,'Your Team'!$D$19)&gt;0),'Your Team'!$C$19="F" ),1,0)</f>
        <v>0</v>
      </c>
      <c r="BL40" s="9">
        <f>IF( AND((COUNTIF(BL$2:BL$33,'Your Team'!$D$3)&gt;0),'Your Team'!$C$3="F" ),1,0)+IF( AND((COUNTIF(BL$2:BL$33,'Your Team'!$D$4)&gt;0),'Your Team'!$C$4="F" ),1,0)+IF( AND((COUNTIF(BL$2:BL$33,'Your Team'!$D$5)&gt;0),'Your Team'!$C$5="F" ),1,0)+IF( AND((COUNTIF(BL$2:BL$33,'Your Team'!$D$6)&gt;0),'Your Team'!$C$6="F" ),1,0)+IF( AND((COUNTIF(BL$2:BL$33,'Your Team'!$D$7)&gt;0),'Your Team'!$C$7="F" ),1,0)+IF( AND((COUNTIF(BL$2:BL$33,'Your Team'!$D$8)&gt;0),'Your Team'!$C$8="F" ),1,0)+IF( AND((COUNTIF(BL$2:BL$33,'Your Team'!$D$9)&gt;0),'Your Team'!$C$9="F" ),1,0)+IF( AND((COUNTIF(BL$2:BL$33,'Your Team'!$D$10)&gt;0),'Your Team'!$C$10="F" ),1,0)+IF( AND((COUNTIF(BL$2:BL$33,'Your Team'!$D$11)&gt;0),'Your Team'!$C$11="F" ),1,0)+IF( AND((COUNTIF(BL$2:BL$33,'Your Team'!$D$12)&gt;0),'Your Team'!$C$12="F" ),1,0)+IF( AND((COUNTIF(BL$2:BL$33,'Your Team'!$D$13)&gt;0),'Your Team'!$C$13="F" ),1,0)+IF( AND((COUNTIF(BL$2:BL$33,'Your Team'!$D$14)&gt;0),'Your Team'!$C$14="F" ),1,0)+IF( AND((COUNTIF(BL$2:BL$33,'Your Team'!$D$15)&gt;0),'Your Team'!$C$15="F" ),1,0)+IF( AND((COUNTIF(BL$2:BL$33,'Your Team'!$D$16)&gt;0),'Your Team'!$C$16="F" ),1,0)+IF( AND((COUNTIF(BL$2:BL$33,'Your Team'!$D$17)&gt;0),'Your Team'!$C$17="F" ),1,0)+IF( AND((COUNTIF(BL$2:BL$33,'Your Team'!$D$18)&gt;0),'Your Team'!$C$18="F" ),1,0)+IF( AND((COUNTIF(BL$2:BL$33,'Your Team'!$D$19)&gt;0),'Your Team'!$C$19="F" ),1,0)</f>
        <v>0</v>
      </c>
      <c r="BM40" s="9">
        <f>IF( AND((COUNTIF(BM$2:BM$33,'Your Team'!$D$3)&gt;0),'Your Team'!$C$3="F" ),1,0)+IF( AND((COUNTIF(BM$2:BM$33,'Your Team'!$D$4)&gt;0),'Your Team'!$C$4="F" ),1,0)+IF( AND((COUNTIF(BM$2:BM$33,'Your Team'!$D$5)&gt;0),'Your Team'!$C$5="F" ),1,0)+IF( AND((COUNTIF(BM$2:BM$33,'Your Team'!$D$6)&gt;0),'Your Team'!$C$6="F" ),1,0)+IF( AND((COUNTIF(BM$2:BM$33,'Your Team'!$D$7)&gt;0),'Your Team'!$C$7="F" ),1,0)+IF( AND((COUNTIF(BM$2:BM$33,'Your Team'!$D$8)&gt;0),'Your Team'!$C$8="F" ),1,0)+IF( AND((COUNTIF(BM$2:BM$33,'Your Team'!$D$9)&gt;0),'Your Team'!$C$9="F" ),1,0)+IF( AND((COUNTIF(BM$2:BM$33,'Your Team'!$D$10)&gt;0),'Your Team'!$C$10="F" ),1,0)+IF( AND((COUNTIF(BM$2:BM$33,'Your Team'!$D$11)&gt;0),'Your Team'!$C$11="F" ),1,0)+IF( AND((COUNTIF(BM$2:BM$33,'Your Team'!$D$12)&gt;0),'Your Team'!$C$12="F" ),1,0)+IF( AND((COUNTIF(BM$2:BM$33,'Your Team'!$D$13)&gt;0),'Your Team'!$C$13="F" ),1,0)+IF( AND((COUNTIF(BM$2:BM$33,'Your Team'!$D$14)&gt;0),'Your Team'!$C$14="F" ),1,0)+IF( AND((COUNTIF(BM$2:BM$33,'Your Team'!$D$15)&gt;0),'Your Team'!$C$15="F" ),1,0)+IF( AND((COUNTIF(BM$2:BM$33,'Your Team'!$D$16)&gt;0),'Your Team'!$C$16="F" ),1,0)+IF( AND((COUNTIF(BM$2:BM$33,'Your Team'!$D$17)&gt;0),'Your Team'!$C$17="F" ),1,0)+IF( AND((COUNTIF(BM$2:BM$33,'Your Team'!$D$18)&gt;0),'Your Team'!$C$18="F" ),1,0)+IF( AND((COUNTIF(BM$2:BM$33,'Your Team'!$D$19)&gt;0),'Your Team'!$C$19="F" ),1,0)</f>
        <v>0</v>
      </c>
      <c r="BN40" s="9">
        <f>IF( AND((COUNTIF(BN$2:BN$33,'Your Team'!$D$3)&gt;0),'Your Team'!$C$3="F" ),1,0)+IF( AND((COUNTIF(BN$2:BN$33,'Your Team'!$D$4)&gt;0),'Your Team'!$C$4="F" ),1,0)+IF( AND((COUNTIF(BN$2:BN$33,'Your Team'!$D$5)&gt;0),'Your Team'!$C$5="F" ),1,0)+IF( AND((COUNTIF(BN$2:BN$33,'Your Team'!$D$6)&gt;0),'Your Team'!$C$6="F" ),1,0)+IF( AND((COUNTIF(BN$2:BN$33,'Your Team'!$D$7)&gt;0),'Your Team'!$C$7="F" ),1,0)+IF( AND((COUNTIF(BN$2:BN$33,'Your Team'!$D$8)&gt;0),'Your Team'!$C$8="F" ),1,0)+IF( AND((COUNTIF(BN$2:BN$33,'Your Team'!$D$9)&gt;0),'Your Team'!$C$9="F" ),1,0)+IF( AND((COUNTIF(BN$2:BN$33,'Your Team'!$D$10)&gt;0),'Your Team'!$C$10="F" ),1,0)+IF( AND((COUNTIF(BN$2:BN$33,'Your Team'!$D$11)&gt;0),'Your Team'!$C$11="F" ),1,0)+IF( AND((COUNTIF(BN$2:BN$33,'Your Team'!$D$12)&gt;0),'Your Team'!$C$12="F" ),1,0)+IF( AND((COUNTIF(BN$2:BN$33,'Your Team'!$D$13)&gt;0),'Your Team'!$C$13="F" ),1,0)+IF( AND((COUNTIF(BN$2:BN$33,'Your Team'!$D$14)&gt;0),'Your Team'!$C$14="F" ),1,0)+IF( AND((COUNTIF(BN$2:BN$33,'Your Team'!$D$15)&gt;0),'Your Team'!$C$15="F" ),1,0)+IF( AND((COUNTIF(BN$2:BN$33,'Your Team'!$D$16)&gt;0),'Your Team'!$C$16="F" ),1,0)+IF( AND((COUNTIF(BN$2:BN$33,'Your Team'!$D$17)&gt;0),'Your Team'!$C$17="F" ),1,0)+IF( AND((COUNTIF(BN$2:BN$33,'Your Team'!$D$18)&gt;0),'Your Team'!$C$18="F" ),1,0)+IF( AND((COUNTIF(BN$2:BN$33,'Your Team'!$D$19)&gt;0),'Your Team'!$C$19="F" ),1,0)</f>
        <v>0</v>
      </c>
      <c r="BO40" s="9">
        <f>IF( AND((COUNTIF(BO$2:BO$33,'Your Team'!$D$3)&gt;0),'Your Team'!$C$3="F" ),1,0)+IF( AND((COUNTIF(BO$2:BO$33,'Your Team'!$D$4)&gt;0),'Your Team'!$C$4="F" ),1,0)+IF( AND((COUNTIF(BO$2:BO$33,'Your Team'!$D$5)&gt;0),'Your Team'!$C$5="F" ),1,0)+IF( AND((COUNTIF(BO$2:BO$33,'Your Team'!$D$6)&gt;0),'Your Team'!$C$6="F" ),1,0)+IF( AND((COUNTIF(BO$2:BO$33,'Your Team'!$D$7)&gt;0),'Your Team'!$C$7="F" ),1,0)+IF( AND((COUNTIF(BO$2:BO$33,'Your Team'!$D$8)&gt;0),'Your Team'!$C$8="F" ),1,0)+IF( AND((COUNTIF(BO$2:BO$33,'Your Team'!$D$9)&gt;0),'Your Team'!$C$9="F" ),1,0)+IF( AND((COUNTIF(BO$2:BO$33,'Your Team'!$D$10)&gt;0),'Your Team'!$C$10="F" ),1,0)+IF( AND((COUNTIF(BO$2:BO$33,'Your Team'!$D$11)&gt;0),'Your Team'!$C$11="F" ),1,0)+IF( AND((COUNTIF(BO$2:BO$33,'Your Team'!$D$12)&gt;0),'Your Team'!$C$12="F" ),1,0)+IF( AND((COUNTIF(BO$2:BO$33,'Your Team'!$D$13)&gt;0),'Your Team'!$C$13="F" ),1,0)+IF( AND((COUNTIF(BO$2:BO$33,'Your Team'!$D$14)&gt;0),'Your Team'!$C$14="F" ),1,0)+IF( AND((COUNTIF(BO$2:BO$33,'Your Team'!$D$15)&gt;0),'Your Team'!$C$15="F" ),1,0)+IF( AND((COUNTIF(BO$2:BO$33,'Your Team'!$D$16)&gt;0),'Your Team'!$C$16="F" ),1,0)+IF( AND((COUNTIF(BO$2:BO$33,'Your Team'!$D$17)&gt;0),'Your Team'!$C$17="F" ),1,0)+IF( AND((COUNTIF(BO$2:BO$33,'Your Team'!$D$18)&gt;0),'Your Team'!$C$18="F" ),1,0)+IF( AND((COUNTIF(BO$2:BO$33,'Your Team'!$D$19)&gt;0),'Your Team'!$C$19="F" ),1,0)</f>
        <v>0</v>
      </c>
      <c r="BP40" s="9">
        <f>IF( AND((COUNTIF(BP$2:BP$33,'Your Team'!$D$3)&gt;0),'Your Team'!$C$3="F" ),1,0)+IF( AND((COUNTIF(BP$2:BP$33,'Your Team'!$D$4)&gt;0),'Your Team'!$C$4="F" ),1,0)+IF( AND((COUNTIF(BP$2:BP$33,'Your Team'!$D$5)&gt;0),'Your Team'!$C$5="F" ),1,0)+IF( AND((COUNTIF(BP$2:BP$33,'Your Team'!$D$6)&gt;0),'Your Team'!$C$6="F" ),1,0)+IF( AND((COUNTIF(BP$2:BP$33,'Your Team'!$D$7)&gt;0),'Your Team'!$C$7="F" ),1,0)+IF( AND((COUNTIF(BP$2:BP$33,'Your Team'!$D$8)&gt;0),'Your Team'!$C$8="F" ),1,0)+IF( AND((COUNTIF(BP$2:BP$33,'Your Team'!$D$9)&gt;0),'Your Team'!$C$9="F" ),1,0)+IF( AND((COUNTIF(BP$2:BP$33,'Your Team'!$D$10)&gt;0),'Your Team'!$C$10="F" ),1,0)+IF( AND((COUNTIF(BP$2:BP$33,'Your Team'!$D$11)&gt;0),'Your Team'!$C$11="F" ),1,0)+IF( AND((COUNTIF(BP$2:BP$33,'Your Team'!$D$12)&gt;0),'Your Team'!$C$12="F" ),1,0)+IF( AND((COUNTIF(BP$2:BP$33,'Your Team'!$D$13)&gt;0),'Your Team'!$C$13="F" ),1,0)+IF( AND((COUNTIF(BP$2:BP$33,'Your Team'!$D$14)&gt;0),'Your Team'!$C$14="F" ),1,0)+IF( AND((COUNTIF(BP$2:BP$33,'Your Team'!$D$15)&gt;0),'Your Team'!$C$15="F" ),1,0)+IF( AND((COUNTIF(BP$2:BP$33,'Your Team'!$D$16)&gt;0),'Your Team'!$C$16="F" ),1,0)+IF( AND((COUNTIF(BP$2:BP$33,'Your Team'!$D$17)&gt;0),'Your Team'!$C$17="F" ),1,0)+IF( AND((COUNTIF(BP$2:BP$33,'Your Team'!$D$18)&gt;0),'Your Team'!$C$18="F" ),1,0)+IF( AND((COUNTIF(BP$2:BP$33,'Your Team'!$D$19)&gt;0),'Your Team'!$C$19="F" ),1,0)</f>
        <v>0</v>
      </c>
      <c r="BQ40" s="9">
        <f>IF( AND((COUNTIF(BQ$2:BQ$33,'Your Team'!$D$3)&gt;0),'Your Team'!$C$3="F" ),1,0)+IF( AND((COUNTIF(BQ$2:BQ$33,'Your Team'!$D$4)&gt;0),'Your Team'!$C$4="F" ),1,0)+IF( AND((COUNTIF(BQ$2:BQ$33,'Your Team'!$D$5)&gt;0),'Your Team'!$C$5="F" ),1,0)+IF( AND((COUNTIF(BQ$2:BQ$33,'Your Team'!$D$6)&gt;0),'Your Team'!$C$6="F" ),1,0)+IF( AND((COUNTIF(BQ$2:BQ$33,'Your Team'!$D$7)&gt;0),'Your Team'!$C$7="F" ),1,0)+IF( AND((COUNTIF(BQ$2:BQ$33,'Your Team'!$D$8)&gt;0),'Your Team'!$C$8="F" ),1,0)+IF( AND((COUNTIF(BQ$2:BQ$33,'Your Team'!$D$9)&gt;0),'Your Team'!$C$9="F" ),1,0)+IF( AND((COUNTIF(BQ$2:BQ$33,'Your Team'!$D$10)&gt;0),'Your Team'!$C$10="F" ),1,0)+IF( AND((COUNTIF(BQ$2:BQ$33,'Your Team'!$D$11)&gt;0),'Your Team'!$C$11="F" ),1,0)+IF( AND((COUNTIF(BQ$2:BQ$33,'Your Team'!$D$12)&gt;0),'Your Team'!$C$12="F" ),1,0)+IF( AND((COUNTIF(BQ$2:BQ$33,'Your Team'!$D$13)&gt;0),'Your Team'!$C$13="F" ),1,0)+IF( AND((COUNTIF(BQ$2:BQ$33,'Your Team'!$D$14)&gt;0),'Your Team'!$C$14="F" ),1,0)+IF( AND((COUNTIF(BQ$2:BQ$33,'Your Team'!$D$15)&gt;0),'Your Team'!$C$15="F" ),1,0)+IF( AND((COUNTIF(BQ$2:BQ$33,'Your Team'!$D$16)&gt;0),'Your Team'!$C$16="F" ),1,0)+IF( AND((COUNTIF(BQ$2:BQ$33,'Your Team'!$D$17)&gt;0),'Your Team'!$C$17="F" ),1,0)+IF( AND((COUNTIF(BQ$2:BQ$33,'Your Team'!$D$18)&gt;0),'Your Team'!$C$18="F" ),1,0)+IF( AND((COUNTIF(BQ$2:BQ$33,'Your Team'!$D$19)&gt;0),'Your Team'!$C$19="F" ),1,0)</f>
        <v>0</v>
      </c>
      <c r="BR40" s="9">
        <f>IF( AND((COUNTIF(BR$2:BR$33,'Your Team'!$D$3)&gt;0),'Your Team'!$C$3="F" ),1,0)+IF( AND((COUNTIF(BR$2:BR$33,'Your Team'!$D$4)&gt;0),'Your Team'!$C$4="F" ),1,0)+IF( AND((COUNTIF(BR$2:BR$33,'Your Team'!$D$5)&gt;0),'Your Team'!$C$5="F" ),1,0)+IF( AND((COUNTIF(BR$2:BR$33,'Your Team'!$D$6)&gt;0),'Your Team'!$C$6="F" ),1,0)+IF( AND((COUNTIF(BR$2:BR$33,'Your Team'!$D$7)&gt;0),'Your Team'!$C$7="F" ),1,0)+IF( AND((COUNTIF(BR$2:BR$33,'Your Team'!$D$8)&gt;0),'Your Team'!$C$8="F" ),1,0)+IF( AND((COUNTIF(BR$2:BR$33,'Your Team'!$D$9)&gt;0),'Your Team'!$C$9="F" ),1,0)+IF( AND((COUNTIF(BR$2:BR$33,'Your Team'!$D$10)&gt;0),'Your Team'!$C$10="F" ),1,0)+IF( AND((COUNTIF(BR$2:BR$33,'Your Team'!$D$11)&gt;0),'Your Team'!$C$11="F" ),1,0)+IF( AND((COUNTIF(BR$2:BR$33,'Your Team'!$D$12)&gt;0),'Your Team'!$C$12="F" ),1,0)+IF( AND((COUNTIF(BR$2:BR$33,'Your Team'!$D$13)&gt;0),'Your Team'!$C$13="F" ),1,0)+IF( AND((COUNTIF(BR$2:BR$33,'Your Team'!$D$14)&gt;0),'Your Team'!$C$14="F" ),1,0)+IF( AND((COUNTIF(BR$2:BR$33,'Your Team'!$D$15)&gt;0),'Your Team'!$C$15="F" ),1,0)+IF( AND((COUNTIF(BR$2:BR$33,'Your Team'!$D$16)&gt;0),'Your Team'!$C$16="F" ),1,0)+IF( AND((COUNTIF(BR$2:BR$33,'Your Team'!$D$17)&gt;0),'Your Team'!$C$17="F" ),1,0)+IF( AND((COUNTIF(BR$2:BR$33,'Your Team'!$D$18)&gt;0),'Your Team'!$C$18="F" ),1,0)+IF( AND((COUNTIF(BR$2:BR$33,'Your Team'!$D$19)&gt;0),'Your Team'!$C$19="F" ),1,0)</f>
        <v>0</v>
      </c>
      <c r="BS40" s="9">
        <f>IF( AND((COUNTIF(BS$2:BS$33,'Your Team'!$D$3)&gt;0),'Your Team'!$C$3="F" ),1,0)+IF( AND((COUNTIF(BS$2:BS$33,'Your Team'!$D$4)&gt;0),'Your Team'!$C$4="F" ),1,0)+IF( AND((COUNTIF(BS$2:BS$33,'Your Team'!$D$5)&gt;0),'Your Team'!$C$5="F" ),1,0)+IF( AND((COUNTIF(BS$2:BS$33,'Your Team'!$D$6)&gt;0),'Your Team'!$C$6="F" ),1,0)+IF( AND((COUNTIF(BS$2:BS$33,'Your Team'!$D$7)&gt;0),'Your Team'!$C$7="F" ),1,0)+IF( AND((COUNTIF(BS$2:BS$33,'Your Team'!$D$8)&gt;0),'Your Team'!$C$8="F" ),1,0)+IF( AND((COUNTIF(BS$2:BS$33,'Your Team'!$D$9)&gt;0),'Your Team'!$C$9="F" ),1,0)+IF( AND((COUNTIF(BS$2:BS$33,'Your Team'!$D$10)&gt;0),'Your Team'!$C$10="F" ),1,0)+IF( AND((COUNTIF(BS$2:BS$33,'Your Team'!$D$11)&gt;0),'Your Team'!$C$11="F" ),1,0)+IF( AND((COUNTIF(BS$2:BS$33,'Your Team'!$D$12)&gt;0),'Your Team'!$C$12="F" ),1,0)+IF( AND((COUNTIF(BS$2:BS$33,'Your Team'!$D$13)&gt;0),'Your Team'!$C$13="F" ),1,0)+IF( AND((COUNTIF(BS$2:BS$33,'Your Team'!$D$14)&gt;0),'Your Team'!$C$14="F" ),1,0)+IF( AND((COUNTIF(BS$2:BS$33,'Your Team'!$D$15)&gt;0),'Your Team'!$C$15="F" ),1,0)+IF( AND((COUNTIF(BS$2:BS$33,'Your Team'!$D$16)&gt;0),'Your Team'!$C$16="F" ),1,0)+IF( AND((COUNTIF(BS$2:BS$33,'Your Team'!$D$17)&gt;0),'Your Team'!$C$17="F" ),1,0)+IF( AND((COUNTIF(BS$2:BS$33,'Your Team'!$D$18)&gt;0),'Your Team'!$C$18="F" ),1,0)+IF( AND((COUNTIF(BS$2:BS$33,'Your Team'!$D$19)&gt;0),'Your Team'!$C$19="F" ),1,0)</f>
        <v>0</v>
      </c>
      <c r="BT40" s="9">
        <f>IF( AND((COUNTIF(BT$2:BT$33,'Your Team'!$D$3)&gt;0),'Your Team'!$C$3="F" ),1,0)+IF( AND((COUNTIF(BT$2:BT$33,'Your Team'!$D$4)&gt;0),'Your Team'!$C$4="F" ),1,0)+IF( AND((COUNTIF(BT$2:BT$33,'Your Team'!$D$5)&gt;0),'Your Team'!$C$5="F" ),1,0)+IF( AND((COUNTIF(BT$2:BT$33,'Your Team'!$D$6)&gt;0),'Your Team'!$C$6="F" ),1,0)+IF( AND((COUNTIF(BT$2:BT$33,'Your Team'!$D$7)&gt;0),'Your Team'!$C$7="F" ),1,0)+IF( AND((COUNTIF(BT$2:BT$33,'Your Team'!$D$8)&gt;0),'Your Team'!$C$8="F" ),1,0)+IF( AND((COUNTIF(BT$2:BT$33,'Your Team'!$D$9)&gt;0),'Your Team'!$C$9="F" ),1,0)+IF( AND((COUNTIF(BT$2:BT$33,'Your Team'!$D$10)&gt;0),'Your Team'!$C$10="F" ),1,0)+IF( AND((COUNTIF(BT$2:BT$33,'Your Team'!$D$11)&gt;0),'Your Team'!$C$11="F" ),1,0)+IF( AND((COUNTIF(BT$2:BT$33,'Your Team'!$D$12)&gt;0),'Your Team'!$C$12="F" ),1,0)+IF( AND((COUNTIF(BT$2:BT$33,'Your Team'!$D$13)&gt;0),'Your Team'!$C$13="F" ),1,0)+IF( AND((COUNTIF(BT$2:BT$33,'Your Team'!$D$14)&gt;0),'Your Team'!$C$14="F" ),1,0)+IF( AND((COUNTIF(BT$2:BT$33,'Your Team'!$D$15)&gt;0),'Your Team'!$C$15="F" ),1,0)+IF( AND((COUNTIF(BT$2:BT$33,'Your Team'!$D$16)&gt;0),'Your Team'!$C$16="F" ),1,0)+IF( AND((COUNTIF(BT$2:BT$33,'Your Team'!$D$17)&gt;0),'Your Team'!$C$17="F" ),1,0)+IF( AND((COUNTIF(BT$2:BT$33,'Your Team'!$D$18)&gt;0),'Your Team'!$C$18="F" ),1,0)+IF( AND((COUNTIF(BT$2:BT$33,'Your Team'!$D$19)&gt;0),'Your Team'!$C$19="F" ),1,0)</f>
        <v>0</v>
      </c>
      <c r="BU40" s="9">
        <f>IF( AND((COUNTIF(BU$2:BU$33,'Your Team'!$D$3)&gt;0),'Your Team'!$C$3="F" ),1,0)+IF( AND((COUNTIF(BU$2:BU$33,'Your Team'!$D$4)&gt;0),'Your Team'!$C$4="F" ),1,0)+IF( AND((COUNTIF(BU$2:BU$33,'Your Team'!$D$5)&gt;0),'Your Team'!$C$5="F" ),1,0)+IF( AND((COUNTIF(BU$2:BU$33,'Your Team'!$D$6)&gt;0),'Your Team'!$C$6="F" ),1,0)+IF( AND((COUNTIF(BU$2:BU$33,'Your Team'!$D$7)&gt;0),'Your Team'!$C$7="F" ),1,0)+IF( AND((COUNTIF(BU$2:BU$33,'Your Team'!$D$8)&gt;0),'Your Team'!$C$8="F" ),1,0)+IF( AND((COUNTIF(BU$2:BU$33,'Your Team'!$D$9)&gt;0),'Your Team'!$C$9="F" ),1,0)+IF( AND((COUNTIF(BU$2:BU$33,'Your Team'!$D$10)&gt;0),'Your Team'!$C$10="F" ),1,0)+IF( AND((COUNTIF(BU$2:BU$33,'Your Team'!$D$11)&gt;0),'Your Team'!$C$11="F" ),1,0)+IF( AND((COUNTIF(BU$2:BU$33,'Your Team'!$D$12)&gt;0),'Your Team'!$C$12="F" ),1,0)+IF( AND((COUNTIF(BU$2:BU$33,'Your Team'!$D$13)&gt;0),'Your Team'!$C$13="F" ),1,0)+IF( AND((COUNTIF(BU$2:BU$33,'Your Team'!$D$14)&gt;0),'Your Team'!$C$14="F" ),1,0)+IF( AND((COUNTIF(BU$2:BU$33,'Your Team'!$D$15)&gt;0),'Your Team'!$C$15="F" ),1,0)+IF( AND((COUNTIF(BU$2:BU$33,'Your Team'!$D$16)&gt;0),'Your Team'!$C$16="F" ),1,0)+IF( AND((COUNTIF(BU$2:BU$33,'Your Team'!$D$17)&gt;0),'Your Team'!$C$17="F" ),1,0)+IF( AND((COUNTIF(BU$2:BU$33,'Your Team'!$D$18)&gt;0),'Your Team'!$C$18="F" ),1,0)+IF( AND((COUNTIF(BU$2:BU$33,'Your Team'!$D$19)&gt;0),'Your Team'!$C$19="F" ),1,0)</f>
        <v>0</v>
      </c>
      <c r="BV40" s="9">
        <f>IF( AND((COUNTIF(BV$2:BV$33,'Your Team'!$D$3)&gt;0),'Your Team'!$C$3="F" ),1,0)+IF( AND((COUNTIF(BV$2:BV$33,'Your Team'!$D$4)&gt;0),'Your Team'!$C$4="F" ),1,0)+IF( AND((COUNTIF(BV$2:BV$33,'Your Team'!$D$5)&gt;0),'Your Team'!$C$5="F" ),1,0)+IF( AND((COUNTIF(BV$2:BV$33,'Your Team'!$D$6)&gt;0),'Your Team'!$C$6="F" ),1,0)+IF( AND((COUNTIF(BV$2:BV$33,'Your Team'!$D$7)&gt;0),'Your Team'!$C$7="F" ),1,0)+IF( AND((COUNTIF(BV$2:BV$33,'Your Team'!$D$8)&gt;0),'Your Team'!$C$8="F" ),1,0)+IF( AND((COUNTIF(BV$2:BV$33,'Your Team'!$D$9)&gt;0),'Your Team'!$C$9="F" ),1,0)+IF( AND((COUNTIF(BV$2:BV$33,'Your Team'!$D$10)&gt;0),'Your Team'!$C$10="F" ),1,0)+IF( AND((COUNTIF(BV$2:BV$33,'Your Team'!$D$11)&gt;0),'Your Team'!$C$11="F" ),1,0)+IF( AND((COUNTIF(BV$2:BV$33,'Your Team'!$D$12)&gt;0),'Your Team'!$C$12="F" ),1,0)+IF( AND((COUNTIF(BV$2:BV$33,'Your Team'!$D$13)&gt;0),'Your Team'!$C$13="F" ),1,0)+IF( AND((COUNTIF(BV$2:BV$33,'Your Team'!$D$14)&gt;0),'Your Team'!$C$14="F" ),1,0)+IF( AND((COUNTIF(BV$2:BV$33,'Your Team'!$D$15)&gt;0),'Your Team'!$C$15="F" ),1,0)+IF( AND((COUNTIF(BV$2:BV$33,'Your Team'!$D$16)&gt;0),'Your Team'!$C$16="F" ),1,0)+IF( AND((COUNTIF(BV$2:BV$33,'Your Team'!$D$17)&gt;0),'Your Team'!$C$17="F" ),1,0)+IF( AND((COUNTIF(BV$2:BV$33,'Your Team'!$D$18)&gt;0),'Your Team'!$C$18="F" ),1,0)+IF( AND((COUNTIF(BV$2:BV$33,'Your Team'!$D$19)&gt;0),'Your Team'!$C$19="F" ),1,0)</f>
        <v>0</v>
      </c>
      <c r="BW40" s="9">
        <f>IF( AND((COUNTIF(BW$2:BW$33,'Your Team'!$D$3)&gt;0),'Your Team'!$C$3="F" ),1,0)+IF( AND((COUNTIF(BW$2:BW$33,'Your Team'!$D$4)&gt;0),'Your Team'!$C$4="F" ),1,0)+IF( AND((COUNTIF(BW$2:BW$33,'Your Team'!$D$5)&gt;0),'Your Team'!$C$5="F" ),1,0)+IF( AND((COUNTIF(BW$2:BW$33,'Your Team'!$D$6)&gt;0),'Your Team'!$C$6="F" ),1,0)+IF( AND((COUNTIF(BW$2:BW$33,'Your Team'!$D$7)&gt;0),'Your Team'!$C$7="F" ),1,0)+IF( AND((COUNTIF(BW$2:BW$33,'Your Team'!$D$8)&gt;0),'Your Team'!$C$8="F" ),1,0)+IF( AND((COUNTIF(BW$2:BW$33,'Your Team'!$D$9)&gt;0),'Your Team'!$C$9="F" ),1,0)+IF( AND((COUNTIF(BW$2:BW$33,'Your Team'!$D$10)&gt;0),'Your Team'!$C$10="F" ),1,0)+IF( AND((COUNTIF(BW$2:BW$33,'Your Team'!$D$11)&gt;0),'Your Team'!$C$11="F" ),1,0)+IF( AND((COUNTIF(BW$2:BW$33,'Your Team'!$D$12)&gt;0),'Your Team'!$C$12="F" ),1,0)+IF( AND((COUNTIF(BW$2:BW$33,'Your Team'!$D$13)&gt;0),'Your Team'!$C$13="F" ),1,0)+IF( AND((COUNTIF(BW$2:BW$33,'Your Team'!$D$14)&gt;0),'Your Team'!$C$14="F" ),1,0)+IF( AND((COUNTIF(BW$2:BW$33,'Your Team'!$D$15)&gt;0),'Your Team'!$C$15="F" ),1,0)+IF( AND((COUNTIF(BW$2:BW$33,'Your Team'!$D$16)&gt;0),'Your Team'!$C$16="F" ),1,0)+IF( AND((COUNTIF(BW$2:BW$33,'Your Team'!$D$17)&gt;0),'Your Team'!$C$17="F" ),1,0)+IF( AND((COUNTIF(BW$2:BW$33,'Your Team'!$D$18)&gt;0),'Your Team'!$C$18="F" ),1,0)+IF( AND((COUNTIF(BW$2:BW$33,'Your Team'!$D$19)&gt;0),'Your Team'!$C$19="F" ),1,0)</f>
        <v>0</v>
      </c>
      <c r="BX40" s="9">
        <f>IF( AND((COUNTIF(BX$2:BX$33,'Your Team'!$D$3)&gt;0),'Your Team'!$C$3="F" ),1,0)+IF( AND((COUNTIF(BX$2:BX$33,'Your Team'!$D$4)&gt;0),'Your Team'!$C$4="F" ),1,0)+IF( AND((COUNTIF(BX$2:BX$33,'Your Team'!$D$5)&gt;0),'Your Team'!$C$5="F" ),1,0)+IF( AND((COUNTIF(BX$2:BX$33,'Your Team'!$D$6)&gt;0),'Your Team'!$C$6="F" ),1,0)+IF( AND((COUNTIF(BX$2:BX$33,'Your Team'!$D$7)&gt;0),'Your Team'!$C$7="F" ),1,0)+IF( AND((COUNTIF(BX$2:BX$33,'Your Team'!$D$8)&gt;0),'Your Team'!$C$8="F" ),1,0)+IF( AND((COUNTIF(BX$2:BX$33,'Your Team'!$D$9)&gt;0),'Your Team'!$C$9="F" ),1,0)+IF( AND((COUNTIF(BX$2:BX$33,'Your Team'!$D$10)&gt;0),'Your Team'!$C$10="F" ),1,0)+IF( AND((COUNTIF(BX$2:BX$33,'Your Team'!$D$11)&gt;0),'Your Team'!$C$11="F" ),1,0)+IF( AND((COUNTIF(BX$2:BX$33,'Your Team'!$D$12)&gt;0),'Your Team'!$C$12="F" ),1,0)+IF( AND((COUNTIF(BX$2:BX$33,'Your Team'!$D$13)&gt;0),'Your Team'!$C$13="F" ),1,0)+IF( AND((COUNTIF(BX$2:BX$33,'Your Team'!$D$14)&gt;0),'Your Team'!$C$14="F" ),1,0)+IF( AND((COUNTIF(BX$2:BX$33,'Your Team'!$D$15)&gt;0),'Your Team'!$C$15="F" ),1,0)+IF( AND((COUNTIF(BX$2:BX$33,'Your Team'!$D$16)&gt;0),'Your Team'!$C$16="F" ),1,0)+IF( AND((COUNTIF(BX$2:BX$33,'Your Team'!$D$17)&gt;0),'Your Team'!$C$17="F" ),1,0)+IF( AND((COUNTIF(BX$2:BX$33,'Your Team'!$D$18)&gt;0),'Your Team'!$C$18="F" ),1,0)+IF( AND((COUNTIF(BX$2:BX$33,'Your Team'!$D$19)&gt;0),'Your Team'!$C$19="F" ),1,0)</f>
        <v>0</v>
      </c>
      <c r="BY40" s="9">
        <f>IF( AND((COUNTIF(BY$2:BY$33,'Your Team'!$D$3)&gt;0),'Your Team'!$C$3="F" ),1,0)+IF( AND((COUNTIF(BY$2:BY$33,'Your Team'!$D$4)&gt;0),'Your Team'!$C$4="F" ),1,0)+IF( AND((COUNTIF(BY$2:BY$33,'Your Team'!$D$5)&gt;0),'Your Team'!$C$5="F" ),1,0)+IF( AND((COUNTIF(BY$2:BY$33,'Your Team'!$D$6)&gt;0),'Your Team'!$C$6="F" ),1,0)+IF( AND((COUNTIF(BY$2:BY$33,'Your Team'!$D$7)&gt;0),'Your Team'!$C$7="F" ),1,0)+IF( AND((COUNTIF(BY$2:BY$33,'Your Team'!$D$8)&gt;0),'Your Team'!$C$8="F" ),1,0)+IF( AND((COUNTIF(BY$2:BY$33,'Your Team'!$D$9)&gt;0),'Your Team'!$C$9="F" ),1,0)+IF( AND((COUNTIF(BY$2:BY$33,'Your Team'!$D$10)&gt;0),'Your Team'!$C$10="F" ),1,0)+IF( AND((COUNTIF(BY$2:BY$33,'Your Team'!$D$11)&gt;0),'Your Team'!$C$11="F" ),1,0)+IF( AND((COUNTIF(BY$2:BY$33,'Your Team'!$D$12)&gt;0),'Your Team'!$C$12="F" ),1,0)+IF( AND((COUNTIF(BY$2:BY$33,'Your Team'!$D$13)&gt;0),'Your Team'!$C$13="F" ),1,0)+IF( AND((COUNTIF(BY$2:BY$33,'Your Team'!$D$14)&gt;0),'Your Team'!$C$14="F" ),1,0)+IF( AND((COUNTIF(BY$2:BY$33,'Your Team'!$D$15)&gt;0),'Your Team'!$C$15="F" ),1,0)+IF( AND((COUNTIF(BY$2:BY$33,'Your Team'!$D$16)&gt;0),'Your Team'!$C$16="F" ),1,0)+IF( AND((COUNTIF(BY$2:BY$33,'Your Team'!$D$17)&gt;0),'Your Team'!$C$17="F" ),1,0)+IF( AND((COUNTIF(BY$2:BY$33,'Your Team'!$D$18)&gt;0),'Your Team'!$C$18="F" ),1,0)+IF( AND((COUNTIF(BY$2:BY$33,'Your Team'!$D$19)&gt;0),'Your Team'!$C$19="F" ),1,0)</f>
        <v>0</v>
      </c>
      <c r="BZ40" s="9">
        <f>IF( AND((COUNTIF(BZ$2:BZ$33,'Your Team'!$D$3)&gt;0),'Your Team'!$C$3="F" ),1,0)+IF( AND((COUNTIF(BZ$2:BZ$33,'Your Team'!$D$4)&gt;0),'Your Team'!$C$4="F" ),1,0)+IF( AND((COUNTIF(BZ$2:BZ$33,'Your Team'!$D$5)&gt;0),'Your Team'!$C$5="F" ),1,0)+IF( AND((COUNTIF(BZ$2:BZ$33,'Your Team'!$D$6)&gt;0),'Your Team'!$C$6="F" ),1,0)+IF( AND((COUNTIF(BZ$2:BZ$33,'Your Team'!$D$7)&gt;0),'Your Team'!$C$7="F" ),1,0)+IF( AND((COUNTIF(BZ$2:BZ$33,'Your Team'!$D$8)&gt;0),'Your Team'!$C$8="F" ),1,0)+IF( AND((COUNTIF(BZ$2:BZ$33,'Your Team'!$D$9)&gt;0),'Your Team'!$C$9="F" ),1,0)+IF( AND((COUNTIF(BZ$2:BZ$33,'Your Team'!$D$10)&gt;0),'Your Team'!$C$10="F" ),1,0)+IF( AND((COUNTIF(BZ$2:BZ$33,'Your Team'!$D$11)&gt;0),'Your Team'!$C$11="F" ),1,0)+IF( AND((COUNTIF(BZ$2:BZ$33,'Your Team'!$D$12)&gt;0),'Your Team'!$C$12="F" ),1,0)+IF( AND((COUNTIF(BZ$2:BZ$33,'Your Team'!$D$13)&gt;0),'Your Team'!$C$13="F" ),1,0)+IF( AND((COUNTIF(BZ$2:BZ$33,'Your Team'!$D$14)&gt;0),'Your Team'!$C$14="F" ),1,0)+IF( AND((COUNTIF(BZ$2:BZ$33,'Your Team'!$D$15)&gt;0),'Your Team'!$C$15="F" ),1,0)+IF( AND((COUNTIF(BZ$2:BZ$33,'Your Team'!$D$16)&gt;0),'Your Team'!$C$16="F" ),1,0)+IF( AND((COUNTIF(BZ$2:BZ$33,'Your Team'!$D$17)&gt;0),'Your Team'!$C$17="F" ),1,0)+IF( AND((COUNTIF(BZ$2:BZ$33,'Your Team'!$D$18)&gt;0),'Your Team'!$C$18="F" ),1,0)+IF( AND((COUNTIF(BZ$2:BZ$33,'Your Team'!$D$19)&gt;0),'Your Team'!$C$19="F" ),1,0)</f>
        <v>0</v>
      </c>
      <c r="CA40" s="9">
        <f>IF( AND((COUNTIF(CA$2:CA$33,'Your Team'!$D$3)&gt;0),'Your Team'!$C$3="F" ),1,0)+IF( AND((COUNTIF(CA$2:CA$33,'Your Team'!$D$4)&gt;0),'Your Team'!$C$4="F" ),1,0)+IF( AND((COUNTIF(CA$2:CA$33,'Your Team'!$D$5)&gt;0),'Your Team'!$C$5="F" ),1,0)+IF( AND((COUNTIF(CA$2:CA$33,'Your Team'!$D$6)&gt;0),'Your Team'!$C$6="F" ),1,0)+IF( AND((COUNTIF(CA$2:CA$33,'Your Team'!$D$7)&gt;0),'Your Team'!$C$7="F" ),1,0)+IF( AND((COUNTIF(CA$2:CA$33,'Your Team'!$D$8)&gt;0),'Your Team'!$C$8="F" ),1,0)+IF( AND((COUNTIF(CA$2:CA$33,'Your Team'!$D$9)&gt;0),'Your Team'!$C$9="F" ),1,0)+IF( AND((COUNTIF(CA$2:CA$33,'Your Team'!$D$10)&gt;0),'Your Team'!$C$10="F" ),1,0)+IF( AND((COUNTIF(CA$2:CA$33,'Your Team'!$D$11)&gt;0),'Your Team'!$C$11="F" ),1,0)+IF( AND((COUNTIF(CA$2:CA$33,'Your Team'!$D$12)&gt;0),'Your Team'!$C$12="F" ),1,0)+IF( AND((COUNTIF(CA$2:CA$33,'Your Team'!$D$13)&gt;0),'Your Team'!$C$13="F" ),1,0)+IF( AND((COUNTIF(CA$2:CA$33,'Your Team'!$D$14)&gt;0),'Your Team'!$C$14="F" ),1,0)+IF( AND((COUNTIF(CA$2:CA$33,'Your Team'!$D$15)&gt;0),'Your Team'!$C$15="F" ),1,0)+IF( AND((COUNTIF(CA$2:CA$33,'Your Team'!$D$16)&gt;0),'Your Team'!$C$16="F" ),1,0)+IF( AND((COUNTIF(CA$2:CA$33,'Your Team'!$D$17)&gt;0),'Your Team'!$C$17="F" ),1,0)+IF( AND((COUNTIF(CA$2:CA$33,'Your Team'!$D$18)&gt;0),'Your Team'!$C$18="F" ),1,0)+IF( AND((COUNTIF(CA$2:CA$33,'Your Team'!$D$19)&gt;0),'Your Team'!$C$19="F" ),1,0)</f>
        <v>0</v>
      </c>
      <c r="CB40" s="9">
        <f>IF( AND((COUNTIF(CB$2:CB$33,'Your Team'!$D$3)&gt;0),'Your Team'!$C$3="F" ),1,0)+IF( AND((COUNTIF(CB$2:CB$33,'Your Team'!$D$4)&gt;0),'Your Team'!$C$4="F" ),1,0)+IF( AND((COUNTIF(CB$2:CB$33,'Your Team'!$D$5)&gt;0),'Your Team'!$C$5="F" ),1,0)+IF( AND((COUNTIF(CB$2:CB$33,'Your Team'!$D$6)&gt;0),'Your Team'!$C$6="F" ),1,0)+IF( AND((COUNTIF(CB$2:CB$33,'Your Team'!$D$7)&gt;0),'Your Team'!$C$7="F" ),1,0)+IF( AND((COUNTIF(CB$2:CB$33,'Your Team'!$D$8)&gt;0),'Your Team'!$C$8="F" ),1,0)+IF( AND((COUNTIF(CB$2:CB$33,'Your Team'!$D$9)&gt;0),'Your Team'!$C$9="F" ),1,0)+IF( AND((COUNTIF(CB$2:CB$33,'Your Team'!$D$10)&gt;0),'Your Team'!$C$10="F" ),1,0)+IF( AND((COUNTIF(CB$2:CB$33,'Your Team'!$D$11)&gt;0),'Your Team'!$C$11="F" ),1,0)+IF( AND((COUNTIF(CB$2:CB$33,'Your Team'!$D$12)&gt;0),'Your Team'!$C$12="F" ),1,0)+IF( AND((COUNTIF(CB$2:CB$33,'Your Team'!$D$13)&gt;0),'Your Team'!$C$13="F" ),1,0)+IF( AND((COUNTIF(CB$2:CB$33,'Your Team'!$D$14)&gt;0),'Your Team'!$C$14="F" ),1,0)+IF( AND((COUNTIF(CB$2:CB$33,'Your Team'!$D$15)&gt;0),'Your Team'!$C$15="F" ),1,0)+IF( AND((COUNTIF(CB$2:CB$33,'Your Team'!$D$16)&gt;0),'Your Team'!$C$16="F" ),1,0)+IF( AND((COUNTIF(CB$2:CB$33,'Your Team'!$D$17)&gt;0),'Your Team'!$C$17="F" ),1,0)+IF( AND((COUNTIF(CB$2:CB$33,'Your Team'!$D$18)&gt;0),'Your Team'!$C$18="F" ),1,0)+IF( AND((COUNTIF(CB$2:CB$33,'Your Team'!$D$19)&gt;0),'Your Team'!$C$19="F" ),1,0)</f>
        <v>0</v>
      </c>
      <c r="CC40" s="9">
        <f>IF( AND((COUNTIF(CC$2:CC$33,'Your Team'!$D$3)&gt;0),'Your Team'!$C$3="F" ),1,0)+IF( AND((COUNTIF(CC$2:CC$33,'Your Team'!$D$4)&gt;0),'Your Team'!$C$4="F" ),1,0)+IF( AND((COUNTIF(CC$2:CC$33,'Your Team'!$D$5)&gt;0),'Your Team'!$C$5="F" ),1,0)+IF( AND((COUNTIF(CC$2:CC$33,'Your Team'!$D$6)&gt;0),'Your Team'!$C$6="F" ),1,0)+IF( AND((COUNTIF(CC$2:CC$33,'Your Team'!$D$7)&gt;0),'Your Team'!$C$7="F" ),1,0)+IF( AND((COUNTIF(CC$2:CC$33,'Your Team'!$D$8)&gt;0),'Your Team'!$C$8="F" ),1,0)+IF( AND((COUNTIF(CC$2:CC$33,'Your Team'!$D$9)&gt;0),'Your Team'!$C$9="F" ),1,0)+IF( AND((COUNTIF(CC$2:CC$33,'Your Team'!$D$10)&gt;0),'Your Team'!$C$10="F" ),1,0)+IF( AND((COUNTIF(CC$2:CC$33,'Your Team'!$D$11)&gt;0),'Your Team'!$C$11="F" ),1,0)+IF( AND((COUNTIF(CC$2:CC$33,'Your Team'!$D$12)&gt;0),'Your Team'!$C$12="F" ),1,0)+IF( AND((COUNTIF(CC$2:CC$33,'Your Team'!$D$13)&gt;0),'Your Team'!$C$13="F" ),1,0)+IF( AND((COUNTIF(CC$2:CC$33,'Your Team'!$D$14)&gt;0),'Your Team'!$C$14="F" ),1,0)+IF( AND((COUNTIF(CC$2:CC$33,'Your Team'!$D$15)&gt;0),'Your Team'!$C$15="F" ),1,0)+IF( AND((COUNTIF(CC$2:CC$33,'Your Team'!$D$16)&gt;0),'Your Team'!$C$16="F" ),1,0)+IF( AND((COUNTIF(CC$2:CC$33,'Your Team'!$D$17)&gt;0),'Your Team'!$C$17="F" ),1,0)+IF( AND((COUNTIF(CC$2:CC$33,'Your Team'!$D$18)&gt;0),'Your Team'!$C$18="F" ),1,0)+IF( AND((COUNTIF(CC$2:CC$33,'Your Team'!$D$19)&gt;0),'Your Team'!$C$19="F" ),1,0)</f>
        <v>0</v>
      </c>
      <c r="CD40" s="9">
        <f>IF( AND((COUNTIF(CD$2:CD$33,'Your Team'!$D$3)&gt;0),'Your Team'!$C$3="F" ),1,0)+IF( AND((COUNTIF(CD$2:CD$33,'Your Team'!$D$4)&gt;0),'Your Team'!$C$4="F" ),1,0)+IF( AND((COUNTIF(CD$2:CD$33,'Your Team'!$D$5)&gt;0),'Your Team'!$C$5="F" ),1,0)+IF( AND((COUNTIF(CD$2:CD$33,'Your Team'!$D$6)&gt;0),'Your Team'!$C$6="F" ),1,0)+IF( AND((COUNTIF(CD$2:CD$33,'Your Team'!$D$7)&gt;0),'Your Team'!$C$7="F" ),1,0)+IF( AND((COUNTIF(CD$2:CD$33,'Your Team'!$D$8)&gt;0),'Your Team'!$C$8="F" ),1,0)+IF( AND((COUNTIF(CD$2:CD$33,'Your Team'!$D$9)&gt;0),'Your Team'!$C$9="F" ),1,0)+IF( AND((COUNTIF(CD$2:CD$33,'Your Team'!$D$10)&gt;0),'Your Team'!$C$10="F" ),1,0)+IF( AND((COUNTIF(CD$2:CD$33,'Your Team'!$D$11)&gt;0),'Your Team'!$C$11="F" ),1,0)+IF( AND((COUNTIF(CD$2:CD$33,'Your Team'!$D$12)&gt;0),'Your Team'!$C$12="F" ),1,0)+IF( AND((COUNTIF(CD$2:CD$33,'Your Team'!$D$13)&gt;0),'Your Team'!$C$13="F" ),1,0)+IF( AND((COUNTIF(CD$2:CD$33,'Your Team'!$D$14)&gt;0),'Your Team'!$C$14="F" ),1,0)+IF( AND((COUNTIF(CD$2:CD$33,'Your Team'!$D$15)&gt;0),'Your Team'!$C$15="F" ),1,0)+IF( AND((COUNTIF(CD$2:CD$33,'Your Team'!$D$16)&gt;0),'Your Team'!$C$16="F" ),1,0)+IF( AND((COUNTIF(CD$2:CD$33,'Your Team'!$D$17)&gt;0),'Your Team'!$C$17="F" ),1,0)+IF( AND((COUNTIF(CD$2:CD$33,'Your Team'!$D$18)&gt;0),'Your Team'!$C$18="F" ),1,0)+IF( AND((COUNTIF(CD$2:CD$33,'Your Team'!$D$19)&gt;0),'Your Team'!$C$19="F" ),1,0)</f>
        <v>0</v>
      </c>
      <c r="CE40" s="9">
        <f>IF( AND((COUNTIF(CE$2:CE$33,'Your Team'!$D$3)&gt;0),'Your Team'!$C$3="F" ),1,0)+IF( AND((COUNTIF(CE$2:CE$33,'Your Team'!$D$4)&gt;0),'Your Team'!$C$4="F" ),1,0)+IF( AND((COUNTIF(CE$2:CE$33,'Your Team'!$D$5)&gt;0),'Your Team'!$C$5="F" ),1,0)+IF( AND((COUNTIF(CE$2:CE$33,'Your Team'!$D$6)&gt;0),'Your Team'!$C$6="F" ),1,0)+IF( AND((COUNTIF(CE$2:CE$33,'Your Team'!$D$7)&gt;0),'Your Team'!$C$7="F" ),1,0)+IF( AND((COUNTIF(CE$2:CE$33,'Your Team'!$D$8)&gt;0),'Your Team'!$C$8="F" ),1,0)+IF( AND((COUNTIF(CE$2:CE$33,'Your Team'!$D$9)&gt;0),'Your Team'!$C$9="F" ),1,0)+IF( AND((COUNTIF(CE$2:CE$33,'Your Team'!$D$10)&gt;0),'Your Team'!$C$10="F" ),1,0)+IF( AND((COUNTIF(CE$2:CE$33,'Your Team'!$D$11)&gt;0),'Your Team'!$C$11="F" ),1,0)+IF( AND((COUNTIF(CE$2:CE$33,'Your Team'!$D$12)&gt;0),'Your Team'!$C$12="F" ),1,0)+IF( AND((COUNTIF(CE$2:CE$33,'Your Team'!$D$13)&gt;0),'Your Team'!$C$13="F" ),1,0)+IF( AND((COUNTIF(CE$2:CE$33,'Your Team'!$D$14)&gt;0),'Your Team'!$C$14="F" ),1,0)+IF( AND((COUNTIF(CE$2:CE$33,'Your Team'!$D$15)&gt;0),'Your Team'!$C$15="F" ),1,0)+IF( AND((COUNTIF(CE$2:CE$33,'Your Team'!$D$16)&gt;0),'Your Team'!$C$16="F" ),1,0)+IF( AND((COUNTIF(CE$2:CE$33,'Your Team'!$D$17)&gt;0),'Your Team'!$C$17="F" ),1,0)+IF( AND((COUNTIF(CE$2:CE$33,'Your Team'!$D$18)&gt;0),'Your Team'!$C$18="F" ),1,0)+IF( AND((COUNTIF(CE$2:CE$33,'Your Team'!$D$19)&gt;0),'Your Team'!$C$19="F" ),1,0)</f>
        <v>0</v>
      </c>
      <c r="CF40" s="9">
        <f>IF( AND((COUNTIF(CF$2:CF$33,'Your Team'!$D$3)&gt;0),'Your Team'!$C$3="F" ),1,0)+IF( AND((COUNTIF(CF$2:CF$33,'Your Team'!$D$4)&gt;0),'Your Team'!$C$4="F" ),1,0)+IF( AND((COUNTIF(CF$2:CF$33,'Your Team'!$D$5)&gt;0),'Your Team'!$C$5="F" ),1,0)+IF( AND((COUNTIF(CF$2:CF$33,'Your Team'!$D$6)&gt;0),'Your Team'!$C$6="F" ),1,0)+IF( AND((COUNTIF(CF$2:CF$33,'Your Team'!$D$7)&gt;0),'Your Team'!$C$7="F" ),1,0)+IF( AND((COUNTIF(CF$2:CF$33,'Your Team'!$D$8)&gt;0),'Your Team'!$C$8="F" ),1,0)+IF( AND((COUNTIF(CF$2:CF$33,'Your Team'!$D$9)&gt;0),'Your Team'!$C$9="F" ),1,0)+IF( AND((COUNTIF(CF$2:CF$33,'Your Team'!$D$10)&gt;0),'Your Team'!$C$10="F" ),1,0)+IF( AND((COUNTIF(CF$2:CF$33,'Your Team'!$D$11)&gt;0),'Your Team'!$C$11="F" ),1,0)+IF( AND((COUNTIF(CF$2:CF$33,'Your Team'!$D$12)&gt;0),'Your Team'!$C$12="F" ),1,0)+IF( AND((COUNTIF(CF$2:CF$33,'Your Team'!$D$13)&gt;0),'Your Team'!$C$13="F" ),1,0)+IF( AND((COUNTIF(CF$2:CF$33,'Your Team'!$D$14)&gt;0),'Your Team'!$C$14="F" ),1,0)+IF( AND((COUNTIF(CF$2:CF$33,'Your Team'!$D$15)&gt;0),'Your Team'!$C$15="F" ),1,0)+IF( AND((COUNTIF(CF$2:CF$33,'Your Team'!$D$16)&gt;0),'Your Team'!$C$16="F" ),1,0)+IF( AND((COUNTIF(CF$2:CF$33,'Your Team'!$D$17)&gt;0),'Your Team'!$C$17="F" ),1,0)+IF( AND((COUNTIF(CF$2:CF$33,'Your Team'!$D$18)&gt;0),'Your Team'!$C$18="F" ),1,0)+IF( AND((COUNTIF(CF$2:CF$33,'Your Team'!$D$19)&gt;0),'Your Team'!$C$19="F" ),1,0)</f>
        <v>0</v>
      </c>
      <c r="CG40" s="9">
        <f>IF( AND((COUNTIF(CG$2:CG$33,'Your Team'!$D$3)&gt;0),'Your Team'!$C$3="F" ),1,0)+IF( AND((COUNTIF(CG$2:CG$33,'Your Team'!$D$4)&gt;0),'Your Team'!$C$4="F" ),1,0)+IF( AND((COUNTIF(CG$2:CG$33,'Your Team'!$D$5)&gt;0),'Your Team'!$C$5="F" ),1,0)+IF( AND((COUNTIF(CG$2:CG$33,'Your Team'!$D$6)&gt;0),'Your Team'!$C$6="F" ),1,0)+IF( AND((COUNTIF(CG$2:CG$33,'Your Team'!$D$7)&gt;0),'Your Team'!$C$7="F" ),1,0)+IF( AND((COUNTIF(CG$2:CG$33,'Your Team'!$D$8)&gt;0),'Your Team'!$C$8="F" ),1,0)+IF( AND((COUNTIF(CG$2:CG$33,'Your Team'!$D$9)&gt;0),'Your Team'!$C$9="F" ),1,0)+IF( AND((COUNTIF(CG$2:CG$33,'Your Team'!$D$10)&gt;0),'Your Team'!$C$10="F" ),1,0)+IF( AND((COUNTIF(CG$2:CG$33,'Your Team'!$D$11)&gt;0),'Your Team'!$C$11="F" ),1,0)+IF( AND((COUNTIF(CG$2:CG$33,'Your Team'!$D$12)&gt;0),'Your Team'!$C$12="F" ),1,0)+IF( AND((COUNTIF(CG$2:CG$33,'Your Team'!$D$13)&gt;0),'Your Team'!$C$13="F" ),1,0)+IF( AND((COUNTIF(CG$2:CG$33,'Your Team'!$D$14)&gt;0),'Your Team'!$C$14="F" ),1,0)+IF( AND((COUNTIF(CG$2:CG$33,'Your Team'!$D$15)&gt;0),'Your Team'!$C$15="F" ),1,0)+IF( AND((COUNTIF(CG$2:CG$33,'Your Team'!$D$16)&gt;0),'Your Team'!$C$16="F" ),1,0)+IF( AND((COUNTIF(CG$2:CG$33,'Your Team'!$D$17)&gt;0),'Your Team'!$C$17="F" ),1,0)+IF( AND((COUNTIF(CG$2:CG$33,'Your Team'!$D$18)&gt;0),'Your Team'!$C$18="F" ),1,0)+IF( AND((COUNTIF(CG$2:CG$33,'Your Team'!$D$19)&gt;0),'Your Team'!$C$19="F" ),1,0)</f>
        <v>0</v>
      </c>
      <c r="CH40" s="9">
        <f>IF( AND((COUNTIF(CH$2:CH$33,'Your Team'!$D$3)&gt;0),'Your Team'!$C$3="F" ),1,0)+IF( AND((COUNTIF(CH$2:CH$33,'Your Team'!$D$4)&gt;0),'Your Team'!$C$4="F" ),1,0)+IF( AND((COUNTIF(CH$2:CH$33,'Your Team'!$D$5)&gt;0),'Your Team'!$C$5="F" ),1,0)+IF( AND((COUNTIF(CH$2:CH$33,'Your Team'!$D$6)&gt;0),'Your Team'!$C$6="F" ),1,0)+IF( AND((COUNTIF(CH$2:CH$33,'Your Team'!$D$7)&gt;0),'Your Team'!$C$7="F" ),1,0)+IF( AND((COUNTIF(CH$2:CH$33,'Your Team'!$D$8)&gt;0),'Your Team'!$C$8="F" ),1,0)+IF( AND((COUNTIF(CH$2:CH$33,'Your Team'!$D$9)&gt;0),'Your Team'!$C$9="F" ),1,0)+IF( AND((COUNTIF(CH$2:CH$33,'Your Team'!$D$10)&gt;0),'Your Team'!$C$10="F" ),1,0)+IF( AND((COUNTIF(CH$2:CH$33,'Your Team'!$D$11)&gt;0),'Your Team'!$C$11="F" ),1,0)+IF( AND((COUNTIF(CH$2:CH$33,'Your Team'!$D$12)&gt;0),'Your Team'!$C$12="F" ),1,0)+IF( AND((COUNTIF(CH$2:CH$33,'Your Team'!$D$13)&gt;0),'Your Team'!$C$13="F" ),1,0)+IF( AND((COUNTIF(CH$2:CH$33,'Your Team'!$D$14)&gt;0),'Your Team'!$C$14="F" ),1,0)+IF( AND((COUNTIF(CH$2:CH$33,'Your Team'!$D$15)&gt;0),'Your Team'!$C$15="F" ),1,0)+IF( AND((COUNTIF(CH$2:CH$33,'Your Team'!$D$16)&gt;0),'Your Team'!$C$16="F" ),1,0)+IF( AND((COUNTIF(CH$2:CH$33,'Your Team'!$D$17)&gt;0),'Your Team'!$C$17="F" ),1,0)+IF( AND((COUNTIF(CH$2:CH$33,'Your Team'!$D$18)&gt;0),'Your Team'!$C$18="F" ),1,0)+IF( AND((COUNTIF(CH$2:CH$33,'Your Team'!$D$19)&gt;0),'Your Team'!$C$19="F" ),1,0)</f>
        <v>0</v>
      </c>
      <c r="CI40" s="9">
        <f>IF( AND((COUNTIF(CI$2:CI$33,'Your Team'!$D$3)&gt;0),'Your Team'!$C$3="F" ),1,0)+IF( AND((COUNTIF(CI$2:CI$33,'Your Team'!$D$4)&gt;0),'Your Team'!$C$4="F" ),1,0)+IF( AND((COUNTIF(CI$2:CI$33,'Your Team'!$D$5)&gt;0),'Your Team'!$C$5="F" ),1,0)+IF( AND((COUNTIF(CI$2:CI$33,'Your Team'!$D$6)&gt;0),'Your Team'!$C$6="F" ),1,0)+IF( AND((COUNTIF(CI$2:CI$33,'Your Team'!$D$7)&gt;0),'Your Team'!$C$7="F" ),1,0)+IF( AND((COUNTIF(CI$2:CI$33,'Your Team'!$D$8)&gt;0),'Your Team'!$C$8="F" ),1,0)+IF( AND((COUNTIF(CI$2:CI$33,'Your Team'!$D$9)&gt;0),'Your Team'!$C$9="F" ),1,0)+IF( AND((COUNTIF(CI$2:CI$33,'Your Team'!$D$10)&gt;0),'Your Team'!$C$10="F" ),1,0)+IF( AND((COUNTIF(CI$2:CI$33,'Your Team'!$D$11)&gt;0),'Your Team'!$C$11="F" ),1,0)+IF( AND((COUNTIF(CI$2:CI$33,'Your Team'!$D$12)&gt;0),'Your Team'!$C$12="F" ),1,0)+IF( AND((COUNTIF(CI$2:CI$33,'Your Team'!$D$13)&gt;0),'Your Team'!$C$13="F" ),1,0)+IF( AND((COUNTIF(CI$2:CI$33,'Your Team'!$D$14)&gt;0),'Your Team'!$C$14="F" ),1,0)+IF( AND((COUNTIF(CI$2:CI$33,'Your Team'!$D$15)&gt;0),'Your Team'!$C$15="F" ),1,0)+IF( AND((COUNTIF(CI$2:CI$33,'Your Team'!$D$16)&gt;0),'Your Team'!$C$16="F" ),1,0)+IF( AND((COUNTIF(CI$2:CI$33,'Your Team'!$D$17)&gt;0),'Your Team'!$C$17="F" ),1,0)+IF( AND((COUNTIF(CI$2:CI$33,'Your Team'!$D$18)&gt;0),'Your Team'!$C$18="F" ),1,0)+IF( AND((COUNTIF(CI$2:CI$33,'Your Team'!$D$19)&gt;0),'Your Team'!$C$19="F" ),1,0)</f>
        <v>0</v>
      </c>
      <c r="CJ40" s="9">
        <f>IF( AND((COUNTIF(CJ$2:CJ$33,'Your Team'!$D$3)&gt;0),'Your Team'!$C$3="F" ),1,0)+IF( AND((COUNTIF(CJ$2:CJ$33,'Your Team'!$D$4)&gt;0),'Your Team'!$C$4="F" ),1,0)+IF( AND((COUNTIF(CJ$2:CJ$33,'Your Team'!$D$5)&gt;0),'Your Team'!$C$5="F" ),1,0)+IF( AND((COUNTIF(CJ$2:CJ$33,'Your Team'!$D$6)&gt;0),'Your Team'!$C$6="F" ),1,0)+IF( AND((COUNTIF(CJ$2:CJ$33,'Your Team'!$D$7)&gt;0),'Your Team'!$C$7="F" ),1,0)+IF( AND((COUNTIF(CJ$2:CJ$33,'Your Team'!$D$8)&gt;0),'Your Team'!$C$8="F" ),1,0)+IF( AND((COUNTIF(CJ$2:CJ$33,'Your Team'!$D$9)&gt;0),'Your Team'!$C$9="F" ),1,0)+IF( AND((COUNTIF(CJ$2:CJ$33,'Your Team'!$D$10)&gt;0),'Your Team'!$C$10="F" ),1,0)+IF( AND((COUNTIF(CJ$2:CJ$33,'Your Team'!$D$11)&gt;0),'Your Team'!$C$11="F" ),1,0)+IF( AND((COUNTIF(CJ$2:CJ$33,'Your Team'!$D$12)&gt;0),'Your Team'!$C$12="F" ),1,0)+IF( AND((COUNTIF(CJ$2:CJ$33,'Your Team'!$D$13)&gt;0),'Your Team'!$C$13="F" ),1,0)+IF( AND((COUNTIF(CJ$2:CJ$33,'Your Team'!$D$14)&gt;0),'Your Team'!$C$14="F" ),1,0)+IF( AND((COUNTIF(CJ$2:CJ$33,'Your Team'!$D$15)&gt;0),'Your Team'!$C$15="F" ),1,0)+IF( AND((COUNTIF(CJ$2:CJ$33,'Your Team'!$D$16)&gt;0),'Your Team'!$C$16="F" ),1,0)+IF( AND((COUNTIF(CJ$2:CJ$33,'Your Team'!$D$17)&gt;0),'Your Team'!$C$17="F" ),1,0)+IF( AND((COUNTIF(CJ$2:CJ$33,'Your Team'!$D$18)&gt;0),'Your Team'!$C$18="F" ),1,0)+IF( AND((COUNTIF(CJ$2:CJ$33,'Your Team'!$D$19)&gt;0),'Your Team'!$C$19="F" ),1,0)</f>
        <v>0</v>
      </c>
      <c r="CK40" s="9">
        <f>IF( AND((COUNTIF(CK$2:CK$33,'Your Team'!$D$3)&gt;0),'Your Team'!$C$3="F" ),1,0)+IF( AND((COUNTIF(CK$2:CK$33,'Your Team'!$D$4)&gt;0),'Your Team'!$C$4="F" ),1,0)+IF( AND((COUNTIF(CK$2:CK$33,'Your Team'!$D$5)&gt;0),'Your Team'!$C$5="F" ),1,0)+IF( AND((COUNTIF(CK$2:CK$33,'Your Team'!$D$6)&gt;0),'Your Team'!$C$6="F" ),1,0)+IF( AND((COUNTIF(CK$2:CK$33,'Your Team'!$D$7)&gt;0),'Your Team'!$C$7="F" ),1,0)+IF( AND((COUNTIF(CK$2:CK$33,'Your Team'!$D$8)&gt;0),'Your Team'!$C$8="F" ),1,0)+IF( AND((COUNTIF(CK$2:CK$33,'Your Team'!$D$9)&gt;0),'Your Team'!$C$9="F" ),1,0)+IF( AND((COUNTIF(CK$2:CK$33,'Your Team'!$D$10)&gt;0),'Your Team'!$C$10="F" ),1,0)+IF( AND((COUNTIF(CK$2:CK$33,'Your Team'!$D$11)&gt;0),'Your Team'!$C$11="F" ),1,0)+IF( AND((COUNTIF(CK$2:CK$33,'Your Team'!$D$12)&gt;0),'Your Team'!$C$12="F" ),1,0)+IF( AND((COUNTIF(CK$2:CK$33,'Your Team'!$D$13)&gt;0),'Your Team'!$C$13="F" ),1,0)+IF( AND((COUNTIF(CK$2:CK$33,'Your Team'!$D$14)&gt;0),'Your Team'!$C$14="F" ),1,0)+IF( AND((COUNTIF(CK$2:CK$33,'Your Team'!$D$15)&gt;0),'Your Team'!$C$15="F" ),1,0)+IF( AND((COUNTIF(CK$2:CK$33,'Your Team'!$D$16)&gt;0),'Your Team'!$C$16="F" ),1,0)+IF( AND((COUNTIF(CK$2:CK$33,'Your Team'!$D$17)&gt;0),'Your Team'!$C$17="F" ),1,0)+IF( AND((COUNTIF(CK$2:CK$33,'Your Team'!$D$18)&gt;0),'Your Team'!$C$18="F" ),1,0)+IF( AND((COUNTIF(CK$2:CK$33,'Your Team'!$D$19)&gt;0),'Your Team'!$C$19="F" ),1,0)</f>
        <v>0</v>
      </c>
      <c r="CL40" s="9">
        <f>IF( AND((COUNTIF(CL$2:CL$33,'Your Team'!$D$3)&gt;0),'Your Team'!$C$3="F" ),1,0)+IF( AND((COUNTIF(CL$2:CL$33,'Your Team'!$D$4)&gt;0),'Your Team'!$C$4="F" ),1,0)+IF( AND((COUNTIF(CL$2:CL$33,'Your Team'!$D$5)&gt;0),'Your Team'!$C$5="F" ),1,0)+IF( AND((COUNTIF(CL$2:CL$33,'Your Team'!$D$6)&gt;0),'Your Team'!$C$6="F" ),1,0)+IF( AND((COUNTIF(CL$2:CL$33,'Your Team'!$D$7)&gt;0),'Your Team'!$C$7="F" ),1,0)+IF( AND((COUNTIF(CL$2:CL$33,'Your Team'!$D$8)&gt;0),'Your Team'!$C$8="F" ),1,0)+IF( AND((COUNTIF(CL$2:CL$33,'Your Team'!$D$9)&gt;0),'Your Team'!$C$9="F" ),1,0)+IF( AND((COUNTIF(CL$2:CL$33,'Your Team'!$D$10)&gt;0),'Your Team'!$C$10="F" ),1,0)+IF( AND((COUNTIF(CL$2:CL$33,'Your Team'!$D$11)&gt;0),'Your Team'!$C$11="F" ),1,0)+IF( AND((COUNTIF(CL$2:CL$33,'Your Team'!$D$12)&gt;0),'Your Team'!$C$12="F" ),1,0)+IF( AND((COUNTIF(CL$2:CL$33,'Your Team'!$D$13)&gt;0),'Your Team'!$C$13="F" ),1,0)+IF( AND((COUNTIF(CL$2:CL$33,'Your Team'!$D$14)&gt;0),'Your Team'!$C$14="F" ),1,0)+IF( AND((COUNTIF(CL$2:CL$33,'Your Team'!$D$15)&gt;0),'Your Team'!$C$15="F" ),1,0)+IF( AND((COUNTIF(CL$2:CL$33,'Your Team'!$D$16)&gt;0),'Your Team'!$C$16="F" ),1,0)+IF( AND((COUNTIF(CL$2:CL$33,'Your Team'!$D$17)&gt;0),'Your Team'!$C$17="F" ),1,0)+IF( AND((COUNTIF(CL$2:CL$33,'Your Team'!$D$18)&gt;0),'Your Team'!$C$18="F" ),1,0)+IF( AND((COUNTIF(CL$2:CL$33,'Your Team'!$D$19)&gt;0),'Your Team'!$C$19="F" ),1,0)</f>
        <v>0</v>
      </c>
      <c r="CM40" s="9">
        <f>IF( AND((COUNTIF(CM$2:CM$33,'Your Team'!$D$3)&gt;0),'Your Team'!$C$3="F" ),1,0)+IF( AND((COUNTIF(CM$2:CM$33,'Your Team'!$D$4)&gt;0),'Your Team'!$C$4="F" ),1,0)+IF( AND((COUNTIF(CM$2:CM$33,'Your Team'!$D$5)&gt;0),'Your Team'!$C$5="F" ),1,0)+IF( AND((COUNTIF(CM$2:CM$33,'Your Team'!$D$6)&gt;0),'Your Team'!$C$6="F" ),1,0)+IF( AND((COUNTIF(CM$2:CM$33,'Your Team'!$D$7)&gt;0),'Your Team'!$C$7="F" ),1,0)+IF( AND((COUNTIF(CM$2:CM$33,'Your Team'!$D$8)&gt;0),'Your Team'!$C$8="F" ),1,0)+IF( AND((COUNTIF(CM$2:CM$33,'Your Team'!$D$9)&gt;0),'Your Team'!$C$9="F" ),1,0)+IF( AND((COUNTIF(CM$2:CM$33,'Your Team'!$D$10)&gt;0),'Your Team'!$C$10="F" ),1,0)+IF( AND((COUNTIF(CM$2:CM$33,'Your Team'!$D$11)&gt;0),'Your Team'!$C$11="F" ),1,0)+IF( AND((COUNTIF(CM$2:CM$33,'Your Team'!$D$12)&gt;0),'Your Team'!$C$12="F" ),1,0)+IF( AND((COUNTIF(CM$2:CM$33,'Your Team'!$D$13)&gt;0),'Your Team'!$C$13="F" ),1,0)+IF( AND((COUNTIF(CM$2:CM$33,'Your Team'!$D$14)&gt;0),'Your Team'!$C$14="F" ),1,0)+IF( AND((COUNTIF(CM$2:CM$33,'Your Team'!$D$15)&gt;0),'Your Team'!$C$15="F" ),1,0)+IF( AND((COUNTIF(CM$2:CM$33,'Your Team'!$D$16)&gt;0),'Your Team'!$C$16="F" ),1,0)+IF( AND((COUNTIF(CM$2:CM$33,'Your Team'!$D$17)&gt;0),'Your Team'!$C$17="F" ),1,0)+IF( AND((COUNTIF(CM$2:CM$33,'Your Team'!$D$18)&gt;0),'Your Team'!$C$18="F" ),1,0)+IF( AND((COUNTIF(CM$2:CM$33,'Your Team'!$D$19)&gt;0),'Your Team'!$C$19="F" ),1,0)</f>
        <v>0</v>
      </c>
      <c r="CN40" s="9">
        <f>IF( AND((COUNTIF(CN$2:CN$33,'Your Team'!$D$3)&gt;0),'Your Team'!$C$3="F" ),1,0)+IF( AND((COUNTIF(CN$2:CN$33,'Your Team'!$D$4)&gt;0),'Your Team'!$C$4="F" ),1,0)+IF( AND((COUNTIF(CN$2:CN$33,'Your Team'!$D$5)&gt;0),'Your Team'!$C$5="F" ),1,0)+IF( AND((COUNTIF(CN$2:CN$33,'Your Team'!$D$6)&gt;0),'Your Team'!$C$6="F" ),1,0)+IF( AND((COUNTIF(CN$2:CN$33,'Your Team'!$D$7)&gt;0),'Your Team'!$C$7="F" ),1,0)+IF( AND((COUNTIF(CN$2:CN$33,'Your Team'!$D$8)&gt;0),'Your Team'!$C$8="F" ),1,0)+IF( AND((COUNTIF(CN$2:CN$33,'Your Team'!$D$9)&gt;0),'Your Team'!$C$9="F" ),1,0)+IF( AND((COUNTIF(CN$2:CN$33,'Your Team'!$D$10)&gt;0),'Your Team'!$C$10="F" ),1,0)+IF( AND((COUNTIF(CN$2:CN$33,'Your Team'!$D$11)&gt;0),'Your Team'!$C$11="F" ),1,0)+IF( AND((COUNTIF(CN$2:CN$33,'Your Team'!$D$12)&gt;0),'Your Team'!$C$12="F" ),1,0)+IF( AND((COUNTIF(CN$2:CN$33,'Your Team'!$D$13)&gt;0),'Your Team'!$C$13="F" ),1,0)+IF( AND((COUNTIF(CN$2:CN$33,'Your Team'!$D$14)&gt;0),'Your Team'!$C$14="F" ),1,0)+IF( AND((COUNTIF(CN$2:CN$33,'Your Team'!$D$15)&gt;0),'Your Team'!$C$15="F" ),1,0)+IF( AND((COUNTIF(CN$2:CN$33,'Your Team'!$D$16)&gt;0),'Your Team'!$C$16="F" ),1,0)+IF( AND((COUNTIF(CN$2:CN$33,'Your Team'!$D$17)&gt;0),'Your Team'!$C$17="F" ),1,0)+IF( AND((COUNTIF(CN$2:CN$33,'Your Team'!$D$18)&gt;0),'Your Team'!$C$18="F" ),1,0)+IF( AND((COUNTIF(CN$2:CN$33,'Your Team'!$D$19)&gt;0),'Your Team'!$C$19="F" ),1,0)</f>
        <v>0</v>
      </c>
      <c r="CO40" s="9">
        <f>IF( AND((COUNTIF(CO$2:CO$33,'Your Team'!$D$3)&gt;0),'Your Team'!$C$3="F" ),1,0)+IF( AND((COUNTIF(CO$2:CO$33,'Your Team'!$D$4)&gt;0),'Your Team'!$C$4="F" ),1,0)+IF( AND((COUNTIF(CO$2:CO$33,'Your Team'!$D$5)&gt;0),'Your Team'!$C$5="F" ),1,0)+IF( AND((COUNTIF(CO$2:CO$33,'Your Team'!$D$6)&gt;0),'Your Team'!$C$6="F" ),1,0)+IF( AND((COUNTIF(CO$2:CO$33,'Your Team'!$D$7)&gt;0),'Your Team'!$C$7="F" ),1,0)+IF( AND((COUNTIF(CO$2:CO$33,'Your Team'!$D$8)&gt;0),'Your Team'!$C$8="F" ),1,0)+IF( AND((COUNTIF(CO$2:CO$33,'Your Team'!$D$9)&gt;0),'Your Team'!$C$9="F" ),1,0)+IF( AND((COUNTIF(CO$2:CO$33,'Your Team'!$D$10)&gt;0),'Your Team'!$C$10="F" ),1,0)+IF( AND((COUNTIF(CO$2:CO$33,'Your Team'!$D$11)&gt;0),'Your Team'!$C$11="F" ),1,0)+IF( AND((COUNTIF(CO$2:CO$33,'Your Team'!$D$12)&gt;0),'Your Team'!$C$12="F" ),1,0)+IF( AND((COUNTIF(CO$2:CO$33,'Your Team'!$D$13)&gt;0),'Your Team'!$C$13="F" ),1,0)+IF( AND((COUNTIF(CO$2:CO$33,'Your Team'!$D$14)&gt;0),'Your Team'!$C$14="F" ),1,0)+IF( AND((COUNTIF(CO$2:CO$33,'Your Team'!$D$15)&gt;0),'Your Team'!$C$15="F" ),1,0)+IF( AND((COUNTIF(CO$2:CO$33,'Your Team'!$D$16)&gt;0),'Your Team'!$C$16="F" ),1,0)+IF( AND((COUNTIF(CO$2:CO$33,'Your Team'!$D$17)&gt;0),'Your Team'!$C$17="F" ),1,0)+IF( AND((COUNTIF(CO$2:CO$33,'Your Team'!$D$18)&gt;0),'Your Team'!$C$18="F" ),1,0)+IF( AND((COUNTIF(CO$2:CO$33,'Your Team'!$D$19)&gt;0),'Your Team'!$C$19="F" ),1,0)</f>
        <v>0</v>
      </c>
      <c r="CP40" s="9">
        <f>IF( AND((COUNTIF(CP$2:CP$33,'Your Team'!$D$3)&gt;0),'Your Team'!$C$3="F" ),1,0)+IF( AND((COUNTIF(CP$2:CP$33,'Your Team'!$D$4)&gt;0),'Your Team'!$C$4="F" ),1,0)+IF( AND((COUNTIF(CP$2:CP$33,'Your Team'!$D$5)&gt;0),'Your Team'!$C$5="F" ),1,0)+IF( AND((COUNTIF(CP$2:CP$33,'Your Team'!$D$6)&gt;0),'Your Team'!$C$6="F" ),1,0)+IF( AND((COUNTIF(CP$2:CP$33,'Your Team'!$D$7)&gt;0),'Your Team'!$C$7="F" ),1,0)+IF( AND((COUNTIF(CP$2:CP$33,'Your Team'!$D$8)&gt;0),'Your Team'!$C$8="F" ),1,0)+IF( AND((COUNTIF(CP$2:CP$33,'Your Team'!$D$9)&gt;0),'Your Team'!$C$9="F" ),1,0)+IF( AND((COUNTIF(CP$2:CP$33,'Your Team'!$D$10)&gt;0),'Your Team'!$C$10="F" ),1,0)+IF( AND((COUNTIF(CP$2:CP$33,'Your Team'!$D$11)&gt;0),'Your Team'!$C$11="F" ),1,0)+IF( AND((COUNTIF(CP$2:CP$33,'Your Team'!$D$12)&gt;0),'Your Team'!$C$12="F" ),1,0)+IF( AND((COUNTIF(CP$2:CP$33,'Your Team'!$D$13)&gt;0),'Your Team'!$C$13="F" ),1,0)+IF( AND((COUNTIF(CP$2:CP$33,'Your Team'!$D$14)&gt;0),'Your Team'!$C$14="F" ),1,0)+IF( AND((COUNTIF(CP$2:CP$33,'Your Team'!$D$15)&gt;0),'Your Team'!$C$15="F" ),1,0)+IF( AND((COUNTIF(CP$2:CP$33,'Your Team'!$D$16)&gt;0),'Your Team'!$C$16="F" ),1,0)+IF( AND((COUNTIF(CP$2:CP$33,'Your Team'!$D$17)&gt;0),'Your Team'!$C$17="F" ),1,0)+IF( AND((COUNTIF(CP$2:CP$33,'Your Team'!$D$18)&gt;0),'Your Team'!$C$18="F" ),1,0)+IF( AND((COUNTIF(CP$2:CP$33,'Your Team'!$D$19)&gt;0),'Your Team'!$C$19="F" ),1,0)</f>
        <v>0</v>
      </c>
      <c r="CQ40" s="9">
        <f>IF( AND((COUNTIF(CQ$2:CQ$33,'Your Team'!$D$3)&gt;0),'Your Team'!$C$3="F" ),1,0)+IF( AND((COUNTIF(CQ$2:CQ$33,'Your Team'!$D$4)&gt;0),'Your Team'!$C$4="F" ),1,0)+IF( AND((COUNTIF(CQ$2:CQ$33,'Your Team'!$D$5)&gt;0),'Your Team'!$C$5="F" ),1,0)+IF( AND((COUNTIF(CQ$2:CQ$33,'Your Team'!$D$6)&gt;0),'Your Team'!$C$6="F" ),1,0)+IF( AND((COUNTIF(CQ$2:CQ$33,'Your Team'!$D$7)&gt;0),'Your Team'!$C$7="F" ),1,0)+IF( AND((COUNTIF(CQ$2:CQ$33,'Your Team'!$D$8)&gt;0),'Your Team'!$C$8="F" ),1,0)+IF( AND((COUNTIF(CQ$2:CQ$33,'Your Team'!$D$9)&gt;0),'Your Team'!$C$9="F" ),1,0)+IF( AND((COUNTIF(CQ$2:CQ$33,'Your Team'!$D$10)&gt;0),'Your Team'!$C$10="F" ),1,0)+IF( AND((COUNTIF(CQ$2:CQ$33,'Your Team'!$D$11)&gt;0),'Your Team'!$C$11="F" ),1,0)+IF( AND((COUNTIF(CQ$2:CQ$33,'Your Team'!$D$12)&gt;0),'Your Team'!$C$12="F" ),1,0)+IF( AND((COUNTIF(CQ$2:CQ$33,'Your Team'!$D$13)&gt;0),'Your Team'!$C$13="F" ),1,0)+IF( AND((COUNTIF(CQ$2:CQ$33,'Your Team'!$D$14)&gt;0),'Your Team'!$C$14="F" ),1,0)+IF( AND((COUNTIF(CQ$2:CQ$33,'Your Team'!$D$15)&gt;0),'Your Team'!$C$15="F" ),1,0)+IF( AND((COUNTIF(CQ$2:CQ$33,'Your Team'!$D$16)&gt;0),'Your Team'!$C$16="F" ),1,0)+IF( AND((COUNTIF(CQ$2:CQ$33,'Your Team'!$D$17)&gt;0),'Your Team'!$C$17="F" ),1,0)+IF( AND((COUNTIF(CQ$2:CQ$33,'Your Team'!$D$18)&gt;0),'Your Team'!$C$18="F" ),1,0)+IF( AND((COUNTIF(CQ$2:CQ$33,'Your Team'!$D$19)&gt;0),'Your Team'!$C$19="F" ),1,0)</f>
        <v>0</v>
      </c>
      <c r="CR40" s="9">
        <f>IF( AND((COUNTIF(CR$2:CR$33,'Your Team'!$D$3)&gt;0),'Your Team'!$C$3="F" ),1,0)+IF( AND((COUNTIF(CR$2:CR$33,'Your Team'!$D$4)&gt;0),'Your Team'!$C$4="F" ),1,0)+IF( AND((COUNTIF(CR$2:CR$33,'Your Team'!$D$5)&gt;0),'Your Team'!$C$5="F" ),1,0)+IF( AND((COUNTIF(CR$2:CR$33,'Your Team'!$D$6)&gt;0),'Your Team'!$C$6="F" ),1,0)+IF( AND((COUNTIF(CR$2:CR$33,'Your Team'!$D$7)&gt;0),'Your Team'!$C$7="F" ),1,0)+IF( AND((COUNTIF(CR$2:CR$33,'Your Team'!$D$8)&gt;0),'Your Team'!$C$8="F" ),1,0)+IF( AND((COUNTIF(CR$2:CR$33,'Your Team'!$D$9)&gt;0),'Your Team'!$C$9="F" ),1,0)+IF( AND((COUNTIF(CR$2:CR$33,'Your Team'!$D$10)&gt;0),'Your Team'!$C$10="F" ),1,0)+IF( AND((COUNTIF(CR$2:CR$33,'Your Team'!$D$11)&gt;0),'Your Team'!$C$11="F" ),1,0)+IF( AND((COUNTIF(CR$2:CR$33,'Your Team'!$D$12)&gt;0),'Your Team'!$C$12="F" ),1,0)+IF( AND((COUNTIF(CR$2:CR$33,'Your Team'!$D$13)&gt;0),'Your Team'!$C$13="F" ),1,0)+IF( AND((COUNTIF(CR$2:CR$33,'Your Team'!$D$14)&gt;0),'Your Team'!$C$14="F" ),1,0)+IF( AND((COUNTIF(CR$2:CR$33,'Your Team'!$D$15)&gt;0),'Your Team'!$C$15="F" ),1,0)+IF( AND((COUNTIF(CR$2:CR$33,'Your Team'!$D$16)&gt;0),'Your Team'!$C$16="F" ),1,0)+IF( AND((COUNTIF(CR$2:CR$33,'Your Team'!$D$17)&gt;0),'Your Team'!$C$17="F" ),1,0)+IF( AND((COUNTIF(CR$2:CR$33,'Your Team'!$D$18)&gt;0),'Your Team'!$C$18="F" ),1,0)+IF( AND((COUNTIF(CR$2:CR$33,'Your Team'!$D$19)&gt;0),'Your Team'!$C$19="F" ),1,0)</f>
        <v>0</v>
      </c>
      <c r="CS40" s="9">
        <f>IF( AND((COUNTIF(CS$2:CS$33,'Your Team'!$D$3)&gt;0),'Your Team'!$C$3="F" ),1,0)+IF( AND((COUNTIF(CS$2:CS$33,'Your Team'!$D$4)&gt;0),'Your Team'!$C$4="F" ),1,0)+IF( AND((COUNTIF(CS$2:CS$33,'Your Team'!$D$5)&gt;0),'Your Team'!$C$5="F" ),1,0)+IF( AND((COUNTIF(CS$2:CS$33,'Your Team'!$D$6)&gt;0),'Your Team'!$C$6="F" ),1,0)+IF( AND((COUNTIF(CS$2:CS$33,'Your Team'!$D$7)&gt;0),'Your Team'!$C$7="F" ),1,0)+IF( AND((COUNTIF(CS$2:CS$33,'Your Team'!$D$8)&gt;0),'Your Team'!$C$8="F" ),1,0)+IF( AND((COUNTIF(CS$2:CS$33,'Your Team'!$D$9)&gt;0),'Your Team'!$C$9="F" ),1,0)+IF( AND((COUNTIF(CS$2:CS$33,'Your Team'!$D$10)&gt;0),'Your Team'!$C$10="F" ),1,0)+IF( AND((COUNTIF(CS$2:CS$33,'Your Team'!$D$11)&gt;0),'Your Team'!$C$11="F" ),1,0)+IF( AND((COUNTIF(CS$2:CS$33,'Your Team'!$D$12)&gt;0),'Your Team'!$C$12="F" ),1,0)+IF( AND((COUNTIF(CS$2:CS$33,'Your Team'!$D$13)&gt;0),'Your Team'!$C$13="F" ),1,0)+IF( AND((COUNTIF(CS$2:CS$33,'Your Team'!$D$14)&gt;0),'Your Team'!$C$14="F" ),1,0)+IF( AND((COUNTIF(CS$2:CS$33,'Your Team'!$D$15)&gt;0),'Your Team'!$C$15="F" ),1,0)+IF( AND((COUNTIF(CS$2:CS$33,'Your Team'!$D$16)&gt;0),'Your Team'!$C$16="F" ),1,0)+IF( AND((COUNTIF(CS$2:CS$33,'Your Team'!$D$17)&gt;0),'Your Team'!$C$17="F" ),1,0)+IF( AND((COUNTIF(CS$2:CS$33,'Your Team'!$D$18)&gt;0),'Your Team'!$C$18="F" ),1,0)+IF( AND((COUNTIF(CS$2:CS$33,'Your Team'!$D$19)&gt;0),'Your Team'!$C$19="F" ),1,0)</f>
        <v>0</v>
      </c>
      <c r="CT40" s="9">
        <f>IF( AND((COUNTIF(CT$2:CT$33,'Your Team'!$D$3)&gt;0),'Your Team'!$C$3="F" ),1,0)+IF( AND((COUNTIF(CT$2:CT$33,'Your Team'!$D$4)&gt;0),'Your Team'!$C$4="F" ),1,0)+IF( AND((COUNTIF(CT$2:CT$33,'Your Team'!$D$5)&gt;0),'Your Team'!$C$5="F" ),1,0)+IF( AND((COUNTIF(CT$2:CT$33,'Your Team'!$D$6)&gt;0),'Your Team'!$C$6="F" ),1,0)+IF( AND((COUNTIF(CT$2:CT$33,'Your Team'!$D$7)&gt;0),'Your Team'!$C$7="F" ),1,0)+IF( AND((COUNTIF(CT$2:CT$33,'Your Team'!$D$8)&gt;0),'Your Team'!$C$8="F" ),1,0)+IF( AND((COUNTIF(CT$2:CT$33,'Your Team'!$D$9)&gt;0),'Your Team'!$C$9="F" ),1,0)+IF( AND((COUNTIF(CT$2:CT$33,'Your Team'!$D$10)&gt;0),'Your Team'!$C$10="F" ),1,0)+IF( AND((COUNTIF(CT$2:CT$33,'Your Team'!$D$11)&gt;0),'Your Team'!$C$11="F" ),1,0)+IF( AND((COUNTIF(CT$2:CT$33,'Your Team'!$D$12)&gt;0),'Your Team'!$C$12="F" ),1,0)+IF( AND((COUNTIF(CT$2:CT$33,'Your Team'!$D$13)&gt;0),'Your Team'!$C$13="F" ),1,0)+IF( AND((COUNTIF(CT$2:CT$33,'Your Team'!$D$14)&gt;0),'Your Team'!$C$14="F" ),1,0)+IF( AND((COUNTIF(CT$2:CT$33,'Your Team'!$D$15)&gt;0),'Your Team'!$C$15="F" ),1,0)+IF( AND((COUNTIF(CT$2:CT$33,'Your Team'!$D$16)&gt;0),'Your Team'!$C$16="F" ),1,0)+IF( AND((COUNTIF(CT$2:CT$33,'Your Team'!$D$17)&gt;0),'Your Team'!$C$17="F" ),1,0)+IF( AND((COUNTIF(CT$2:CT$33,'Your Team'!$D$18)&gt;0),'Your Team'!$C$18="F" ),1,0)+IF( AND((COUNTIF(CT$2:CT$33,'Your Team'!$D$19)&gt;0),'Your Team'!$C$19="F" ),1,0)</f>
        <v>0</v>
      </c>
      <c r="CU40" s="9">
        <f>IF( AND((COUNTIF(CU$2:CU$33,'Your Team'!$D$3)&gt;0),'Your Team'!$C$3="F" ),1,0)+IF( AND((COUNTIF(CU$2:CU$33,'Your Team'!$D$4)&gt;0),'Your Team'!$C$4="F" ),1,0)+IF( AND((COUNTIF(CU$2:CU$33,'Your Team'!$D$5)&gt;0),'Your Team'!$C$5="F" ),1,0)+IF( AND((COUNTIF(CU$2:CU$33,'Your Team'!$D$6)&gt;0),'Your Team'!$C$6="F" ),1,0)+IF( AND((COUNTIF(CU$2:CU$33,'Your Team'!$D$7)&gt;0),'Your Team'!$C$7="F" ),1,0)+IF( AND((COUNTIF(CU$2:CU$33,'Your Team'!$D$8)&gt;0),'Your Team'!$C$8="F" ),1,0)+IF( AND((COUNTIF(CU$2:CU$33,'Your Team'!$D$9)&gt;0),'Your Team'!$C$9="F" ),1,0)+IF( AND((COUNTIF(CU$2:CU$33,'Your Team'!$D$10)&gt;0),'Your Team'!$C$10="F" ),1,0)+IF( AND((COUNTIF(CU$2:CU$33,'Your Team'!$D$11)&gt;0),'Your Team'!$C$11="F" ),1,0)+IF( AND((COUNTIF(CU$2:CU$33,'Your Team'!$D$12)&gt;0),'Your Team'!$C$12="F" ),1,0)+IF( AND((COUNTIF(CU$2:CU$33,'Your Team'!$D$13)&gt;0),'Your Team'!$C$13="F" ),1,0)+IF( AND((COUNTIF(CU$2:CU$33,'Your Team'!$D$14)&gt;0),'Your Team'!$C$14="F" ),1,0)+IF( AND((COUNTIF(CU$2:CU$33,'Your Team'!$D$15)&gt;0),'Your Team'!$C$15="F" ),1,0)+IF( AND((COUNTIF(CU$2:CU$33,'Your Team'!$D$16)&gt;0),'Your Team'!$C$16="F" ),1,0)+IF( AND((COUNTIF(CU$2:CU$33,'Your Team'!$D$17)&gt;0),'Your Team'!$C$17="F" ),1,0)+IF( AND((COUNTIF(CU$2:CU$33,'Your Team'!$D$18)&gt;0),'Your Team'!$C$18="F" ),1,0)+IF( AND((COUNTIF(CU$2:CU$33,'Your Team'!$D$19)&gt;0),'Your Team'!$C$19="F" ),1,0)</f>
        <v>0</v>
      </c>
      <c r="CV40" s="9">
        <f>IF( AND((COUNTIF(CV$2:CV$33,'Your Team'!$D$3)&gt;0),'Your Team'!$C$3="F" ),1,0)+IF( AND((COUNTIF(CV$2:CV$33,'Your Team'!$D$4)&gt;0),'Your Team'!$C$4="F" ),1,0)+IF( AND((COUNTIF(CV$2:CV$33,'Your Team'!$D$5)&gt;0),'Your Team'!$C$5="F" ),1,0)+IF( AND((COUNTIF(CV$2:CV$33,'Your Team'!$D$6)&gt;0),'Your Team'!$C$6="F" ),1,0)+IF( AND((COUNTIF(CV$2:CV$33,'Your Team'!$D$7)&gt;0),'Your Team'!$C$7="F" ),1,0)+IF( AND((COUNTIF(CV$2:CV$33,'Your Team'!$D$8)&gt;0),'Your Team'!$C$8="F" ),1,0)+IF( AND((COUNTIF(CV$2:CV$33,'Your Team'!$D$9)&gt;0),'Your Team'!$C$9="F" ),1,0)+IF( AND((COUNTIF(CV$2:CV$33,'Your Team'!$D$10)&gt;0),'Your Team'!$C$10="F" ),1,0)+IF( AND((COUNTIF(CV$2:CV$33,'Your Team'!$D$11)&gt;0),'Your Team'!$C$11="F" ),1,0)+IF( AND((COUNTIF(CV$2:CV$33,'Your Team'!$D$12)&gt;0),'Your Team'!$C$12="F" ),1,0)+IF( AND((COUNTIF(CV$2:CV$33,'Your Team'!$D$13)&gt;0),'Your Team'!$C$13="F" ),1,0)+IF( AND((COUNTIF(CV$2:CV$33,'Your Team'!$D$14)&gt;0),'Your Team'!$C$14="F" ),1,0)+IF( AND((COUNTIF(CV$2:CV$33,'Your Team'!$D$15)&gt;0),'Your Team'!$C$15="F" ),1,0)+IF( AND((COUNTIF(CV$2:CV$33,'Your Team'!$D$16)&gt;0),'Your Team'!$C$16="F" ),1,0)+IF( AND((COUNTIF(CV$2:CV$33,'Your Team'!$D$17)&gt;0),'Your Team'!$C$17="F" ),1,0)+IF( AND((COUNTIF(CV$2:CV$33,'Your Team'!$D$18)&gt;0),'Your Team'!$C$18="F" ),1,0)+IF( AND((COUNTIF(CV$2:CV$33,'Your Team'!$D$19)&gt;0),'Your Team'!$C$19="F" ),1,0)</f>
        <v>0</v>
      </c>
      <c r="CW40" s="9">
        <f>IF( AND((COUNTIF(CW$2:CW$33,'Your Team'!$D$3)&gt;0),'Your Team'!$C$3="F" ),1,0)+IF( AND((COUNTIF(CW$2:CW$33,'Your Team'!$D$4)&gt;0),'Your Team'!$C$4="F" ),1,0)+IF( AND((COUNTIF(CW$2:CW$33,'Your Team'!$D$5)&gt;0),'Your Team'!$C$5="F" ),1,0)+IF( AND((COUNTIF(CW$2:CW$33,'Your Team'!$D$6)&gt;0),'Your Team'!$C$6="F" ),1,0)+IF( AND((COUNTIF(CW$2:CW$33,'Your Team'!$D$7)&gt;0),'Your Team'!$C$7="F" ),1,0)+IF( AND((COUNTIF(CW$2:CW$33,'Your Team'!$D$8)&gt;0),'Your Team'!$C$8="F" ),1,0)+IF( AND((COUNTIF(CW$2:CW$33,'Your Team'!$D$9)&gt;0),'Your Team'!$C$9="F" ),1,0)+IF( AND((COUNTIF(CW$2:CW$33,'Your Team'!$D$10)&gt;0),'Your Team'!$C$10="F" ),1,0)+IF( AND((COUNTIF(CW$2:CW$33,'Your Team'!$D$11)&gt;0),'Your Team'!$C$11="F" ),1,0)+IF( AND((COUNTIF(CW$2:CW$33,'Your Team'!$D$12)&gt;0),'Your Team'!$C$12="F" ),1,0)+IF( AND((COUNTIF(CW$2:CW$33,'Your Team'!$D$13)&gt;0),'Your Team'!$C$13="F" ),1,0)+IF( AND((COUNTIF(CW$2:CW$33,'Your Team'!$D$14)&gt;0),'Your Team'!$C$14="F" ),1,0)+IF( AND((COUNTIF(CW$2:CW$33,'Your Team'!$D$15)&gt;0),'Your Team'!$C$15="F" ),1,0)+IF( AND((COUNTIF(CW$2:CW$33,'Your Team'!$D$16)&gt;0),'Your Team'!$C$16="F" ),1,0)+IF( AND((COUNTIF(CW$2:CW$33,'Your Team'!$D$17)&gt;0),'Your Team'!$C$17="F" ),1,0)+IF( AND((COUNTIF(CW$2:CW$33,'Your Team'!$D$18)&gt;0),'Your Team'!$C$18="F" ),1,0)+IF( AND((COUNTIF(CW$2:CW$33,'Your Team'!$D$19)&gt;0),'Your Team'!$C$19="F" ),1,0)</f>
        <v>0</v>
      </c>
      <c r="CX40" s="9">
        <f>IF( AND((COUNTIF(CX$2:CX$33,'Your Team'!$D$3)&gt;0),'Your Team'!$C$3="F" ),1,0)+IF( AND((COUNTIF(CX$2:CX$33,'Your Team'!$D$4)&gt;0),'Your Team'!$C$4="F" ),1,0)+IF( AND((COUNTIF(CX$2:CX$33,'Your Team'!$D$5)&gt;0),'Your Team'!$C$5="F" ),1,0)+IF( AND((COUNTIF(CX$2:CX$33,'Your Team'!$D$6)&gt;0),'Your Team'!$C$6="F" ),1,0)+IF( AND((COUNTIF(CX$2:CX$33,'Your Team'!$D$7)&gt;0),'Your Team'!$C$7="F" ),1,0)+IF( AND((COUNTIF(CX$2:CX$33,'Your Team'!$D$8)&gt;0),'Your Team'!$C$8="F" ),1,0)+IF( AND((COUNTIF(CX$2:CX$33,'Your Team'!$D$9)&gt;0),'Your Team'!$C$9="F" ),1,0)+IF( AND((COUNTIF(CX$2:CX$33,'Your Team'!$D$10)&gt;0),'Your Team'!$C$10="F" ),1,0)+IF( AND((COUNTIF(CX$2:CX$33,'Your Team'!$D$11)&gt;0),'Your Team'!$C$11="F" ),1,0)+IF( AND((COUNTIF(CX$2:CX$33,'Your Team'!$D$12)&gt;0),'Your Team'!$C$12="F" ),1,0)+IF( AND((COUNTIF(CX$2:CX$33,'Your Team'!$D$13)&gt;0),'Your Team'!$C$13="F" ),1,0)+IF( AND((COUNTIF(CX$2:CX$33,'Your Team'!$D$14)&gt;0),'Your Team'!$C$14="F" ),1,0)+IF( AND((COUNTIF(CX$2:CX$33,'Your Team'!$D$15)&gt;0),'Your Team'!$C$15="F" ),1,0)+IF( AND((COUNTIF(CX$2:CX$33,'Your Team'!$D$16)&gt;0),'Your Team'!$C$16="F" ),1,0)+IF( AND((COUNTIF(CX$2:CX$33,'Your Team'!$D$17)&gt;0),'Your Team'!$C$17="F" ),1,0)+IF( AND((COUNTIF(CX$2:CX$33,'Your Team'!$D$18)&gt;0),'Your Team'!$C$18="F" ),1,0)+IF( AND((COUNTIF(CX$2:CX$33,'Your Team'!$D$19)&gt;0),'Your Team'!$C$19="F" ),1,0)</f>
        <v>0</v>
      </c>
      <c r="CY40" s="9">
        <f>IF( AND((COUNTIF(CY$2:CY$33,'Your Team'!$D$3)&gt;0),'Your Team'!$C$3="F" ),1,0)+IF( AND((COUNTIF(CY$2:CY$33,'Your Team'!$D$4)&gt;0),'Your Team'!$C$4="F" ),1,0)+IF( AND((COUNTIF(CY$2:CY$33,'Your Team'!$D$5)&gt;0),'Your Team'!$C$5="F" ),1,0)+IF( AND((COUNTIF(CY$2:CY$33,'Your Team'!$D$6)&gt;0),'Your Team'!$C$6="F" ),1,0)+IF( AND((COUNTIF(CY$2:CY$33,'Your Team'!$D$7)&gt;0),'Your Team'!$C$7="F" ),1,0)+IF( AND((COUNTIF(CY$2:CY$33,'Your Team'!$D$8)&gt;0),'Your Team'!$C$8="F" ),1,0)+IF( AND((COUNTIF(CY$2:CY$33,'Your Team'!$D$9)&gt;0),'Your Team'!$C$9="F" ),1,0)+IF( AND((COUNTIF(CY$2:CY$33,'Your Team'!$D$10)&gt;0),'Your Team'!$C$10="F" ),1,0)+IF( AND((COUNTIF(CY$2:CY$33,'Your Team'!$D$11)&gt;0),'Your Team'!$C$11="F" ),1,0)+IF( AND((COUNTIF(CY$2:CY$33,'Your Team'!$D$12)&gt;0),'Your Team'!$C$12="F" ),1,0)+IF( AND((COUNTIF(CY$2:CY$33,'Your Team'!$D$13)&gt;0),'Your Team'!$C$13="F" ),1,0)+IF( AND((COUNTIF(CY$2:CY$33,'Your Team'!$D$14)&gt;0),'Your Team'!$C$14="F" ),1,0)+IF( AND((COUNTIF(CY$2:CY$33,'Your Team'!$D$15)&gt;0),'Your Team'!$C$15="F" ),1,0)+IF( AND((COUNTIF(CY$2:CY$33,'Your Team'!$D$16)&gt;0),'Your Team'!$C$16="F" ),1,0)+IF( AND((COUNTIF(CY$2:CY$33,'Your Team'!$D$17)&gt;0),'Your Team'!$C$17="F" ),1,0)+IF( AND((COUNTIF(CY$2:CY$33,'Your Team'!$D$18)&gt;0),'Your Team'!$C$18="F" ),1,0)+IF( AND((COUNTIF(CY$2:CY$33,'Your Team'!$D$19)&gt;0),'Your Team'!$C$19="F" ),1,0)</f>
        <v>0</v>
      </c>
      <c r="CZ40" s="9">
        <f>IF( AND((COUNTIF(CZ$2:CZ$33,'Your Team'!$D$3)&gt;0),'Your Team'!$C$3="F" ),1,0)+IF( AND((COUNTIF(CZ$2:CZ$33,'Your Team'!$D$4)&gt;0),'Your Team'!$C$4="F" ),1,0)+IF( AND((COUNTIF(CZ$2:CZ$33,'Your Team'!$D$5)&gt;0),'Your Team'!$C$5="F" ),1,0)+IF( AND((COUNTIF(CZ$2:CZ$33,'Your Team'!$D$6)&gt;0),'Your Team'!$C$6="F" ),1,0)+IF( AND((COUNTIF(CZ$2:CZ$33,'Your Team'!$D$7)&gt;0),'Your Team'!$C$7="F" ),1,0)+IF( AND((COUNTIF(CZ$2:CZ$33,'Your Team'!$D$8)&gt;0),'Your Team'!$C$8="F" ),1,0)+IF( AND((COUNTIF(CZ$2:CZ$33,'Your Team'!$D$9)&gt;0),'Your Team'!$C$9="F" ),1,0)+IF( AND((COUNTIF(CZ$2:CZ$33,'Your Team'!$D$10)&gt;0),'Your Team'!$C$10="F" ),1,0)+IF( AND((COUNTIF(CZ$2:CZ$33,'Your Team'!$D$11)&gt;0),'Your Team'!$C$11="F" ),1,0)+IF( AND((COUNTIF(CZ$2:CZ$33,'Your Team'!$D$12)&gt;0),'Your Team'!$C$12="F" ),1,0)+IF( AND((COUNTIF(CZ$2:CZ$33,'Your Team'!$D$13)&gt;0),'Your Team'!$C$13="F" ),1,0)+IF( AND((COUNTIF(CZ$2:CZ$33,'Your Team'!$D$14)&gt;0),'Your Team'!$C$14="F" ),1,0)+IF( AND((COUNTIF(CZ$2:CZ$33,'Your Team'!$D$15)&gt;0),'Your Team'!$C$15="F" ),1,0)+IF( AND((COUNTIF(CZ$2:CZ$33,'Your Team'!$D$16)&gt;0),'Your Team'!$C$16="F" ),1,0)+IF( AND((COUNTIF(CZ$2:CZ$33,'Your Team'!$D$17)&gt;0),'Your Team'!$C$17="F" ),1,0)+IF( AND((COUNTIF(CZ$2:CZ$33,'Your Team'!$D$18)&gt;0),'Your Team'!$C$18="F" ),1,0)+IF( AND((COUNTIF(CZ$2:CZ$33,'Your Team'!$D$19)&gt;0),'Your Team'!$C$19="F" ),1,0)</f>
        <v>0</v>
      </c>
      <c r="DA40" s="9">
        <f>IF( AND((COUNTIF(DA$2:DA$33,'Your Team'!$D$3)&gt;0),'Your Team'!$C$3="F" ),1,0)+IF( AND((COUNTIF(DA$2:DA$33,'Your Team'!$D$4)&gt;0),'Your Team'!$C$4="F" ),1,0)+IF( AND((COUNTIF(DA$2:DA$33,'Your Team'!$D$5)&gt;0),'Your Team'!$C$5="F" ),1,0)+IF( AND((COUNTIF(DA$2:DA$33,'Your Team'!$D$6)&gt;0),'Your Team'!$C$6="F" ),1,0)+IF( AND((COUNTIF(DA$2:DA$33,'Your Team'!$D$7)&gt;0),'Your Team'!$C$7="F" ),1,0)+IF( AND((COUNTIF(DA$2:DA$33,'Your Team'!$D$8)&gt;0),'Your Team'!$C$8="F" ),1,0)+IF( AND((COUNTIF(DA$2:DA$33,'Your Team'!$D$9)&gt;0),'Your Team'!$C$9="F" ),1,0)+IF( AND((COUNTIF(DA$2:DA$33,'Your Team'!$D$10)&gt;0),'Your Team'!$C$10="F" ),1,0)+IF( AND((COUNTIF(DA$2:DA$33,'Your Team'!$D$11)&gt;0),'Your Team'!$C$11="F" ),1,0)+IF( AND((COUNTIF(DA$2:DA$33,'Your Team'!$D$12)&gt;0),'Your Team'!$C$12="F" ),1,0)+IF( AND((COUNTIF(DA$2:DA$33,'Your Team'!$D$13)&gt;0),'Your Team'!$C$13="F" ),1,0)+IF( AND((COUNTIF(DA$2:DA$33,'Your Team'!$D$14)&gt;0),'Your Team'!$C$14="F" ),1,0)+IF( AND((COUNTIF(DA$2:DA$33,'Your Team'!$D$15)&gt;0),'Your Team'!$C$15="F" ),1,0)+IF( AND((COUNTIF(DA$2:DA$33,'Your Team'!$D$16)&gt;0),'Your Team'!$C$16="F" ),1,0)+IF( AND((COUNTIF(DA$2:DA$33,'Your Team'!$D$17)&gt;0),'Your Team'!$C$17="F" ),1,0)+IF( AND((COUNTIF(DA$2:DA$33,'Your Team'!$D$18)&gt;0),'Your Team'!$C$18="F" ),1,0)+IF( AND((COUNTIF(DA$2:DA$33,'Your Team'!$D$19)&gt;0),'Your Team'!$C$19="F" ),1,0)</f>
        <v>0</v>
      </c>
      <c r="DB40" s="9">
        <f>IF( AND((COUNTIF(DB$2:DB$33,'Your Team'!$D$3)&gt;0),'Your Team'!$C$3="F" ),1,0)+IF( AND((COUNTIF(DB$2:DB$33,'Your Team'!$D$4)&gt;0),'Your Team'!$C$4="F" ),1,0)+IF( AND((COUNTIF(DB$2:DB$33,'Your Team'!$D$5)&gt;0),'Your Team'!$C$5="F" ),1,0)+IF( AND((COUNTIF(DB$2:DB$33,'Your Team'!$D$6)&gt;0),'Your Team'!$C$6="F" ),1,0)+IF( AND((COUNTIF(DB$2:DB$33,'Your Team'!$D$7)&gt;0),'Your Team'!$C$7="F" ),1,0)+IF( AND((COUNTIF(DB$2:DB$33,'Your Team'!$D$8)&gt;0),'Your Team'!$C$8="F" ),1,0)+IF( AND((COUNTIF(DB$2:DB$33,'Your Team'!$D$9)&gt;0),'Your Team'!$C$9="F" ),1,0)+IF( AND((COUNTIF(DB$2:DB$33,'Your Team'!$D$10)&gt;0),'Your Team'!$C$10="F" ),1,0)+IF( AND((COUNTIF(DB$2:DB$33,'Your Team'!$D$11)&gt;0),'Your Team'!$C$11="F" ),1,0)+IF( AND((COUNTIF(DB$2:DB$33,'Your Team'!$D$12)&gt;0),'Your Team'!$C$12="F" ),1,0)+IF( AND((COUNTIF(DB$2:DB$33,'Your Team'!$D$13)&gt;0),'Your Team'!$C$13="F" ),1,0)+IF( AND((COUNTIF(DB$2:DB$33,'Your Team'!$D$14)&gt;0),'Your Team'!$C$14="F" ),1,0)+IF( AND((COUNTIF(DB$2:DB$33,'Your Team'!$D$15)&gt;0),'Your Team'!$C$15="F" ),1,0)+IF( AND((COUNTIF(DB$2:DB$33,'Your Team'!$D$16)&gt;0),'Your Team'!$C$16="F" ),1,0)+IF( AND((COUNTIF(DB$2:DB$33,'Your Team'!$D$17)&gt;0),'Your Team'!$C$17="F" ),1,0)+IF( AND((COUNTIF(DB$2:DB$33,'Your Team'!$D$18)&gt;0),'Your Team'!$C$18="F" ),1,0)+IF( AND((COUNTIF(DB$2:DB$33,'Your Team'!$D$19)&gt;0),'Your Team'!$C$19="F" ),1,0)</f>
        <v>0</v>
      </c>
      <c r="DC40" s="9">
        <f>IF( AND((COUNTIF(DC$2:DC$33,'Your Team'!$D$3)&gt;0),'Your Team'!$C$3="F" ),1,0)+IF( AND((COUNTIF(DC$2:DC$33,'Your Team'!$D$4)&gt;0),'Your Team'!$C$4="F" ),1,0)+IF( AND((COUNTIF(DC$2:DC$33,'Your Team'!$D$5)&gt;0),'Your Team'!$C$5="F" ),1,0)+IF( AND((COUNTIF(DC$2:DC$33,'Your Team'!$D$6)&gt;0),'Your Team'!$C$6="F" ),1,0)+IF( AND((COUNTIF(DC$2:DC$33,'Your Team'!$D$7)&gt;0),'Your Team'!$C$7="F" ),1,0)+IF( AND((COUNTIF(DC$2:DC$33,'Your Team'!$D$8)&gt;0),'Your Team'!$C$8="F" ),1,0)+IF( AND((COUNTIF(DC$2:DC$33,'Your Team'!$D$9)&gt;0),'Your Team'!$C$9="F" ),1,0)+IF( AND((COUNTIF(DC$2:DC$33,'Your Team'!$D$10)&gt;0),'Your Team'!$C$10="F" ),1,0)+IF( AND((COUNTIF(DC$2:DC$33,'Your Team'!$D$11)&gt;0),'Your Team'!$C$11="F" ),1,0)+IF( AND((COUNTIF(DC$2:DC$33,'Your Team'!$D$12)&gt;0),'Your Team'!$C$12="F" ),1,0)+IF( AND((COUNTIF(DC$2:DC$33,'Your Team'!$D$13)&gt;0),'Your Team'!$C$13="F" ),1,0)+IF( AND((COUNTIF(DC$2:DC$33,'Your Team'!$D$14)&gt;0),'Your Team'!$C$14="F" ),1,0)+IF( AND((COUNTIF(DC$2:DC$33,'Your Team'!$D$15)&gt;0),'Your Team'!$C$15="F" ),1,0)+IF( AND((COUNTIF(DC$2:DC$33,'Your Team'!$D$16)&gt;0),'Your Team'!$C$16="F" ),1,0)+IF( AND((COUNTIF(DC$2:DC$33,'Your Team'!$D$17)&gt;0),'Your Team'!$C$17="F" ),1,0)+IF( AND((COUNTIF(DC$2:DC$33,'Your Team'!$D$18)&gt;0),'Your Team'!$C$18="F" ),1,0)+IF( AND((COUNTIF(DC$2:DC$33,'Your Team'!$D$19)&gt;0),'Your Team'!$C$19="F" ),1,0)</f>
        <v>0</v>
      </c>
      <c r="DD40" s="9">
        <f>IF( AND((COUNTIF(DD$2:DD$33,'Your Team'!$D$3)&gt;0),'Your Team'!$C$3="F" ),1,0)+IF( AND((COUNTIF(DD$2:DD$33,'Your Team'!$D$4)&gt;0),'Your Team'!$C$4="F" ),1,0)+IF( AND((COUNTIF(DD$2:DD$33,'Your Team'!$D$5)&gt;0),'Your Team'!$C$5="F" ),1,0)+IF( AND((COUNTIF(DD$2:DD$33,'Your Team'!$D$6)&gt;0),'Your Team'!$C$6="F" ),1,0)+IF( AND((COUNTIF(DD$2:DD$33,'Your Team'!$D$7)&gt;0),'Your Team'!$C$7="F" ),1,0)+IF( AND((COUNTIF(DD$2:DD$33,'Your Team'!$D$8)&gt;0),'Your Team'!$C$8="F" ),1,0)+IF( AND((COUNTIF(DD$2:DD$33,'Your Team'!$D$9)&gt;0),'Your Team'!$C$9="F" ),1,0)+IF( AND((COUNTIF(DD$2:DD$33,'Your Team'!$D$10)&gt;0),'Your Team'!$C$10="F" ),1,0)+IF( AND((COUNTIF(DD$2:DD$33,'Your Team'!$D$11)&gt;0),'Your Team'!$C$11="F" ),1,0)+IF( AND((COUNTIF(DD$2:DD$33,'Your Team'!$D$12)&gt;0),'Your Team'!$C$12="F" ),1,0)+IF( AND((COUNTIF(DD$2:DD$33,'Your Team'!$D$13)&gt;0),'Your Team'!$C$13="F" ),1,0)+IF( AND((COUNTIF(DD$2:DD$33,'Your Team'!$D$14)&gt;0),'Your Team'!$C$14="F" ),1,0)+IF( AND((COUNTIF(DD$2:DD$33,'Your Team'!$D$15)&gt;0),'Your Team'!$C$15="F" ),1,0)+IF( AND((COUNTIF(DD$2:DD$33,'Your Team'!$D$16)&gt;0),'Your Team'!$C$16="F" ),1,0)+IF( AND((COUNTIF(DD$2:DD$33,'Your Team'!$D$17)&gt;0),'Your Team'!$C$17="F" ),1,0)+IF( AND((COUNTIF(DD$2:DD$33,'Your Team'!$D$18)&gt;0),'Your Team'!$C$18="F" ),1,0)+IF( AND((COUNTIF(DD$2:DD$33,'Your Team'!$D$19)&gt;0),'Your Team'!$C$19="F" ),1,0)</f>
        <v>0</v>
      </c>
      <c r="DE40" s="9">
        <f>IF( AND((COUNTIF(DE$2:DE$33,'Your Team'!$D$3)&gt;0),'Your Team'!$C$3="F" ),1,0)+IF( AND((COUNTIF(DE$2:DE$33,'Your Team'!$D$4)&gt;0),'Your Team'!$C$4="F" ),1,0)+IF( AND((COUNTIF(DE$2:DE$33,'Your Team'!$D$5)&gt;0),'Your Team'!$C$5="F" ),1,0)+IF( AND((COUNTIF(DE$2:DE$33,'Your Team'!$D$6)&gt;0),'Your Team'!$C$6="F" ),1,0)+IF( AND((COUNTIF(DE$2:DE$33,'Your Team'!$D$7)&gt;0),'Your Team'!$C$7="F" ),1,0)+IF( AND((COUNTIF(DE$2:DE$33,'Your Team'!$D$8)&gt;0),'Your Team'!$C$8="F" ),1,0)+IF( AND((COUNTIF(DE$2:DE$33,'Your Team'!$D$9)&gt;0),'Your Team'!$C$9="F" ),1,0)+IF( AND((COUNTIF(DE$2:DE$33,'Your Team'!$D$10)&gt;0),'Your Team'!$C$10="F" ),1,0)+IF( AND((COUNTIF(DE$2:DE$33,'Your Team'!$D$11)&gt;0),'Your Team'!$C$11="F" ),1,0)+IF( AND((COUNTIF(DE$2:DE$33,'Your Team'!$D$12)&gt;0),'Your Team'!$C$12="F" ),1,0)+IF( AND((COUNTIF(DE$2:DE$33,'Your Team'!$D$13)&gt;0),'Your Team'!$C$13="F" ),1,0)+IF( AND((COUNTIF(DE$2:DE$33,'Your Team'!$D$14)&gt;0),'Your Team'!$C$14="F" ),1,0)+IF( AND((COUNTIF(DE$2:DE$33,'Your Team'!$D$15)&gt;0),'Your Team'!$C$15="F" ),1,0)+IF( AND((COUNTIF(DE$2:DE$33,'Your Team'!$D$16)&gt;0),'Your Team'!$C$16="F" ),1,0)+IF( AND((COUNTIF(DE$2:DE$33,'Your Team'!$D$17)&gt;0),'Your Team'!$C$17="F" ),1,0)+IF( AND((COUNTIF(DE$2:DE$33,'Your Team'!$D$18)&gt;0),'Your Team'!$C$18="F" ),1,0)+IF( AND((COUNTIF(DE$2:DE$33,'Your Team'!$D$19)&gt;0),'Your Team'!$C$19="F" ),1,0)</f>
        <v>0</v>
      </c>
      <c r="DF40" s="9">
        <f>IF( AND((COUNTIF(DF$2:DF$33,'Your Team'!$D$3)&gt;0),'Your Team'!$C$3="F" ),1,0)+IF( AND((COUNTIF(DF$2:DF$33,'Your Team'!$D$4)&gt;0),'Your Team'!$C$4="F" ),1,0)+IF( AND((COUNTIF(DF$2:DF$33,'Your Team'!$D$5)&gt;0),'Your Team'!$C$5="F" ),1,0)+IF( AND((COUNTIF(DF$2:DF$33,'Your Team'!$D$6)&gt;0),'Your Team'!$C$6="F" ),1,0)+IF( AND((COUNTIF(DF$2:DF$33,'Your Team'!$D$7)&gt;0),'Your Team'!$C$7="F" ),1,0)+IF( AND((COUNTIF(DF$2:DF$33,'Your Team'!$D$8)&gt;0),'Your Team'!$C$8="F" ),1,0)+IF( AND((COUNTIF(DF$2:DF$33,'Your Team'!$D$9)&gt;0),'Your Team'!$C$9="F" ),1,0)+IF( AND((COUNTIF(DF$2:DF$33,'Your Team'!$D$10)&gt;0),'Your Team'!$C$10="F" ),1,0)+IF( AND((COUNTIF(DF$2:DF$33,'Your Team'!$D$11)&gt;0),'Your Team'!$C$11="F" ),1,0)+IF( AND((COUNTIF(DF$2:DF$33,'Your Team'!$D$12)&gt;0),'Your Team'!$C$12="F" ),1,0)+IF( AND((COUNTIF(DF$2:DF$33,'Your Team'!$D$13)&gt;0),'Your Team'!$C$13="F" ),1,0)+IF( AND((COUNTIF(DF$2:DF$33,'Your Team'!$D$14)&gt;0),'Your Team'!$C$14="F" ),1,0)+IF( AND((COUNTIF(DF$2:DF$33,'Your Team'!$D$15)&gt;0),'Your Team'!$C$15="F" ),1,0)+IF( AND((COUNTIF(DF$2:DF$33,'Your Team'!$D$16)&gt;0),'Your Team'!$C$16="F" ),1,0)+IF( AND((COUNTIF(DF$2:DF$33,'Your Team'!$D$17)&gt;0),'Your Team'!$C$17="F" ),1,0)+IF( AND((COUNTIF(DF$2:DF$33,'Your Team'!$D$18)&gt;0),'Your Team'!$C$18="F" ),1,0)+IF( AND((COUNTIF(DF$2:DF$33,'Your Team'!$D$19)&gt;0),'Your Team'!$C$19="F" ),1,0)</f>
        <v>0</v>
      </c>
      <c r="DG40" s="9">
        <f>IF( AND((COUNTIF(DG$2:DG$33,'Your Team'!$D$3)&gt;0),'Your Team'!$C$3="F" ),1,0)+IF( AND((COUNTIF(DG$2:DG$33,'Your Team'!$D$4)&gt;0),'Your Team'!$C$4="F" ),1,0)+IF( AND((COUNTIF(DG$2:DG$33,'Your Team'!$D$5)&gt;0),'Your Team'!$C$5="F" ),1,0)+IF( AND((COUNTIF(DG$2:DG$33,'Your Team'!$D$6)&gt;0),'Your Team'!$C$6="F" ),1,0)+IF( AND((COUNTIF(DG$2:DG$33,'Your Team'!$D$7)&gt;0),'Your Team'!$C$7="F" ),1,0)+IF( AND((COUNTIF(DG$2:DG$33,'Your Team'!$D$8)&gt;0),'Your Team'!$C$8="F" ),1,0)+IF( AND((COUNTIF(DG$2:DG$33,'Your Team'!$D$9)&gt;0),'Your Team'!$C$9="F" ),1,0)+IF( AND((COUNTIF(DG$2:DG$33,'Your Team'!$D$10)&gt;0),'Your Team'!$C$10="F" ),1,0)+IF( AND((COUNTIF(DG$2:DG$33,'Your Team'!$D$11)&gt;0),'Your Team'!$C$11="F" ),1,0)+IF( AND((COUNTIF(DG$2:DG$33,'Your Team'!$D$12)&gt;0),'Your Team'!$C$12="F" ),1,0)+IF( AND((COUNTIF(DG$2:DG$33,'Your Team'!$D$13)&gt;0),'Your Team'!$C$13="F" ),1,0)+IF( AND((COUNTIF(DG$2:DG$33,'Your Team'!$D$14)&gt;0),'Your Team'!$C$14="F" ),1,0)+IF( AND((COUNTIF(DG$2:DG$33,'Your Team'!$D$15)&gt;0),'Your Team'!$C$15="F" ),1,0)+IF( AND((COUNTIF(DG$2:DG$33,'Your Team'!$D$16)&gt;0),'Your Team'!$C$16="F" ),1,0)+IF( AND((COUNTIF(DG$2:DG$33,'Your Team'!$D$17)&gt;0),'Your Team'!$C$17="F" ),1,0)+IF( AND((COUNTIF(DG$2:DG$33,'Your Team'!$D$18)&gt;0),'Your Team'!$C$18="F" ),1,0)+IF( AND((COUNTIF(DG$2:DG$33,'Your Team'!$D$19)&gt;0),'Your Team'!$C$19="F" ),1,0)</f>
        <v>0</v>
      </c>
      <c r="DH40" s="9">
        <f>IF( AND((COUNTIF(DH$2:DH$33,'Your Team'!$D$3)&gt;0),'Your Team'!$C$3="F" ),1,0)+IF( AND((COUNTIF(DH$2:DH$33,'Your Team'!$D$4)&gt;0),'Your Team'!$C$4="F" ),1,0)+IF( AND((COUNTIF(DH$2:DH$33,'Your Team'!$D$5)&gt;0),'Your Team'!$C$5="F" ),1,0)+IF( AND((COUNTIF(DH$2:DH$33,'Your Team'!$D$6)&gt;0),'Your Team'!$C$6="F" ),1,0)+IF( AND((COUNTIF(DH$2:DH$33,'Your Team'!$D$7)&gt;0),'Your Team'!$C$7="F" ),1,0)+IF( AND((COUNTIF(DH$2:DH$33,'Your Team'!$D$8)&gt;0),'Your Team'!$C$8="F" ),1,0)+IF( AND((COUNTIF(DH$2:DH$33,'Your Team'!$D$9)&gt;0),'Your Team'!$C$9="F" ),1,0)+IF( AND((COUNTIF(DH$2:DH$33,'Your Team'!$D$10)&gt;0),'Your Team'!$C$10="F" ),1,0)+IF( AND((COUNTIF(DH$2:DH$33,'Your Team'!$D$11)&gt;0),'Your Team'!$C$11="F" ),1,0)+IF( AND((COUNTIF(DH$2:DH$33,'Your Team'!$D$12)&gt;0),'Your Team'!$C$12="F" ),1,0)+IF( AND((COUNTIF(DH$2:DH$33,'Your Team'!$D$13)&gt;0),'Your Team'!$C$13="F" ),1,0)+IF( AND((COUNTIF(DH$2:DH$33,'Your Team'!$D$14)&gt;0),'Your Team'!$C$14="F" ),1,0)+IF( AND((COUNTIF(DH$2:DH$33,'Your Team'!$D$15)&gt;0),'Your Team'!$C$15="F" ),1,0)+IF( AND((COUNTIF(DH$2:DH$33,'Your Team'!$D$16)&gt;0),'Your Team'!$C$16="F" ),1,0)+IF( AND((COUNTIF(DH$2:DH$33,'Your Team'!$D$17)&gt;0),'Your Team'!$C$17="F" ),1,0)+IF( AND((COUNTIF(DH$2:DH$33,'Your Team'!$D$18)&gt;0),'Your Team'!$C$18="F" ),1,0)+IF( AND((COUNTIF(DH$2:DH$33,'Your Team'!$D$19)&gt;0),'Your Team'!$C$19="F" ),1,0)</f>
        <v>0</v>
      </c>
      <c r="DI40" s="9">
        <f>IF( AND((COUNTIF(DI$2:DI$33,'Your Team'!$D$3)&gt;0),'Your Team'!$C$3="F" ),1,0)+IF( AND((COUNTIF(DI$2:DI$33,'Your Team'!$D$4)&gt;0),'Your Team'!$C$4="F" ),1,0)+IF( AND((COUNTIF(DI$2:DI$33,'Your Team'!$D$5)&gt;0),'Your Team'!$C$5="F" ),1,0)+IF( AND((COUNTIF(DI$2:DI$33,'Your Team'!$D$6)&gt;0),'Your Team'!$C$6="F" ),1,0)+IF( AND((COUNTIF(DI$2:DI$33,'Your Team'!$D$7)&gt;0),'Your Team'!$C$7="F" ),1,0)+IF( AND((COUNTIF(DI$2:DI$33,'Your Team'!$D$8)&gt;0),'Your Team'!$C$8="F" ),1,0)+IF( AND((COUNTIF(DI$2:DI$33,'Your Team'!$D$9)&gt;0),'Your Team'!$C$9="F" ),1,0)+IF( AND((COUNTIF(DI$2:DI$33,'Your Team'!$D$10)&gt;0),'Your Team'!$C$10="F" ),1,0)+IF( AND((COUNTIF(DI$2:DI$33,'Your Team'!$D$11)&gt;0),'Your Team'!$C$11="F" ),1,0)+IF( AND((COUNTIF(DI$2:DI$33,'Your Team'!$D$12)&gt;0),'Your Team'!$C$12="F" ),1,0)+IF( AND((COUNTIF(DI$2:DI$33,'Your Team'!$D$13)&gt;0),'Your Team'!$C$13="F" ),1,0)+IF( AND((COUNTIF(DI$2:DI$33,'Your Team'!$D$14)&gt;0),'Your Team'!$C$14="F" ),1,0)+IF( AND((COUNTIF(DI$2:DI$33,'Your Team'!$D$15)&gt;0),'Your Team'!$C$15="F" ),1,0)+IF( AND((COUNTIF(DI$2:DI$33,'Your Team'!$D$16)&gt;0),'Your Team'!$C$16="F" ),1,0)+IF( AND((COUNTIF(DI$2:DI$33,'Your Team'!$D$17)&gt;0),'Your Team'!$C$17="F" ),1,0)+IF( AND((COUNTIF(DI$2:DI$33,'Your Team'!$D$18)&gt;0),'Your Team'!$C$18="F" ),1,0)+IF( AND((COUNTIF(DI$2:DI$33,'Your Team'!$D$19)&gt;0),'Your Team'!$C$19="F" ),1,0)</f>
        <v>0</v>
      </c>
      <c r="DJ40" s="9">
        <f>IF( AND((COUNTIF(DJ$2:DJ$33,'Your Team'!$D$3)&gt;0),'Your Team'!$C$3="F" ),1,0)+IF( AND((COUNTIF(DJ$2:DJ$33,'Your Team'!$D$4)&gt;0),'Your Team'!$C$4="F" ),1,0)+IF( AND((COUNTIF(DJ$2:DJ$33,'Your Team'!$D$5)&gt;0),'Your Team'!$C$5="F" ),1,0)+IF( AND((COUNTIF(DJ$2:DJ$33,'Your Team'!$D$6)&gt;0),'Your Team'!$C$6="F" ),1,0)+IF( AND((COUNTIF(DJ$2:DJ$33,'Your Team'!$D$7)&gt;0),'Your Team'!$C$7="F" ),1,0)+IF( AND((COUNTIF(DJ$2:DJ$33,'Your Team'!$D$8)&gt;0),'Your Team'!$C$8="F" ),1,0)+IF( AND((COUNTIF(DJ$2:DJ$33,'Your Team'!$D$9)&gt;0),'Your Team'!$C$9="F" ),1,0)+IF( AND((COUNTIF(DJ$2:DJ$33,'Your Team'!$D$10)&gt;0),'Your Team'!$C$10="F" ),1,0)+IF( AND((COUNTIF(DJ$2:DJ$33,'Your Team'!$D$11)&gt;0),'Your Team'!$C$11="F" ),1,0)+IF( AND((COUNTIF(DJ$2:DJ$33,'Your Team'!$D$12)&gt;0),'Your Team'!$C$12="F" ),1,0)+IF( AND((COUNTIF(DJ$2:DJ$33,'Your Team'!$D$13)&gt;0),'Your Team'!$C$13="F" ),1,0)+IF( AND((COUNTIF(DJ$2:DJ$33,'Your Team'!$D$14)&gt;0),'Your Team'!$C$14="F" ),1,0)+IF( AND((COUNTIF(DJ$2:DJ$33,'Your Team'!$D$15)&gt;0),'Your Team'!$C$15="F" ),1,0)+IF( AND((COUNTIF(DJ$2:DJ$33,'Your Team'!$D$16)&gt;0),'Your Team'!$C$16="F" ),1,0)+IF( AND((COUNTIF(DJ$2:DJ$33,'Your Team'!$D$17)&gt;0),'Your Team'!$C$17="F" ),1,0)+IF( AND((COUNTIF(DJ$2:DJ$33,'Your Team'!$D$18)&gt;0),'Your Team'!$C$18="F" ),1,0)+IF( AND((COUNTIF(DJ$2:DJ$33,'Your Team'!$D$19)&gt;0),'Your Team'!$C$19="F" ),1,0)</f>
        <v>0</v>
      </c>
      <c r="DK40" s="9">
        <f>IF( AND((COUNTIF(DK$2:DK$33,'Your Team'!$D$3)&gt;0),'Your Team'!$C$3="F" ),1,0)+IF( AND((COUNTIF(DK$2:DK$33,'Your Team'!$D$4)&gt;0),'Your Team'!$C$4="F" ),1,0)+IF( AND((COUNTIF(DK$2:DK$33,'Your Team'!$D$5)&gt;0),'Your Team'!$C$5="F" ),1,0)+IF( AND((COUNTIF(DK$2:DK$33,'Your Team'!$D$6)&gt;0),'Your Team'!$C$6="F" ),1,0)+IF( AND((COUNTIF(DK$2:DK$33,'Your Team'!$D$7)&gt;0),'Your Team'!$C$7="F" ),1,0)+IF( AND((COUNTIF(DK$2:DK$33,'Your Team'!$D$8)&gt;0),'Your Team'!$C$8="F" ),1,0)+IF( AND((COUNTIF(DK$2:DK$33,'Your Team'!$D$9)&gt;0),'Your Team'!$C$9="F" ),1,0)+IF( AND((COUNTIF(DK$2:DK$33,'Your Team'!$D$10)&gt;0),'Your Team'!$C$10="F" ),1,0)+IF( AND((COUNTIF(DK$2:DK$33,'Your Team'!$D$11)&gt;0),'Your Team'!$C$11="F" ),1,0)+IF( AND((COUNTIF(DK$2:DK$33,'Your Team'!$D$12)&gt;0),'Your Team'!$C$12="F" ),1,0)+IF( AND((COUNTIF(DK$2:DK$33,'Your Team'!$D$13)&gt;0),'Your Team'!$C$13="F" ),1,0)+IF( AND((COUNTIF(DK$2:DK$33,'Your Team'!$D$14)&gt;0),'Your Team'!$C$14="F" ),1,0)+IF( AND((COUNTIF(DK$2:DK$33,'Your Team'!$D$15)&gt;0),'Your Team'!$C$15="F" ),1,0)+IF( AND((COUNTIF(DK$2:DK$33,'Your Team'!$D$16)&gt;0),'Your Team'!$C$16="F" ),1,0)+IF( AND((COUNTIF(DK$2:DK$33,'Your Team'!$D$17)&gt;0),'Your Team'!$C$17="F" ),1,0)+IF( AND((COUNTIF(DK$2:DK$33,'Your Team'!$D$18)&gt;0),'Your Team'!$C$18="F" ),1,0)+IF( AND((COUNTIF(DK$2:DK$33,'Your Team'!$D$19)&gt;0),'Your Team'!$C$19="F" ),1,0)</f>
        <v>0</v>
      </c>
      <c r="DL40" s="9">
        <f>IF( AND((COUNTIF(DL$2:DL$33,'Your Team'!$D$3)&gt;0),'Your Team'!$C$3="F" ),1,0)+IF( AND((COUNTIF(DL$2:DL$33,'Your Team'!$D$4)&gt;0),'Your Team'!$C$4="F" ),1,0)+IF( AND((COUNTIF(DL$2:DL$33,'Your Team'!$D$5)&gt;0),'Your Team'!$C$5="F" ),1,0)+IF( AND((COUNTIF(DL$2:DL$33,'Your Team'!$D$6)&gt;0),'Your Team'!$C$6="F" ),1,0)+IF( AND((COUNTIF(DL$2:DL$33,'Your Team'!$D$7)&gt;0),'Your Team'!$C$7="F" ),1,0)+IF( AND((COUNTIF(DL$2:DL$33,'Your Team'!$D$8)&gt;0),'Your Team'!$C$8="F" ),1,0)+IF( AND((COUNTIF(DL$2:DL$33,'Your Team'!$D$9)&gt;0),'Your Team'!$C$9="F" ),1,0)+IF( AND((COUNTIF(DL$2:DL$33,'Your Team'!$D$10)&gt;0),'Your Team'!$C$10="F" ),1,0)+IF( AND((COUNTIF(DL$2:DL$33,'Your Team'!$D$11)&gt;0),'Your Team'!$C$11="F" ),1,0)+IF( AND((COUNTIF(DL$2:DL$33,'Your Team'!$D$12)&gt;0),'Your Team'!$C$12="F" ),1,0)+IF( AND((COUNTIF(DL$2:DL$33,'Your Team'!$D$13)&gt;0),'Your Team'!$C$13="F" ),1,0)+IF( AND((COUNTIF(DL$2:DL$33,'Your Team'!$D$14)&gt;0),'Your Team'!$C$14="F" ),1,0)+IF( AND((COUNTIF(DL$2:DL$33,'Your Team'!$D$15)&gt;0),'Your Team'!$C$15="F" ),1,0)+IF( AND((COUNTIF(DL$2:DL$33,'Your Team'!$D$16)&gt;0),'Your Team'!$C$16="F" ),1,0)+IF( AND((COUNTIF(DL$2:DL$33,'Your Team'!$D$17)&gt;0),'Your Team'!$C$17="F" ),1,0)+IF( AND((COUNTIF(DL$2:DL$33,'Your Team'!$D$18)&gt;0),'Your Team'!$C$18="F" ),1,0)+IF( AND((COUNTIF(DL$2:DL$33,'Your Team'!$D$19)&gt;0),'Your Team'!$C$19="F" ),1,0)</f>
        <v>0</v>
      </c>
      <c r="DM40" s="9">
        <f>IF( AND((COUNTIF(DM$2:DM$33,'Your Team'!$D$3)&gt;0),'Your Team'!$C$3="F" ),1,0)+IF( AND((COUNTIF(DM$2:DM$33,'Your Team'!$D$4)&gt;0),'Your Team'!$C$4="F" ),1,0)+IF( AND((COUNTIF(DM$2:DM$33,'Your Team'!$D$5)&gt;0),'Your Team'!$C$5="F" ),1,0)+IF( AND((COUNTIF(DM$2:DM$33,'Your Team'!$D$6)&gt;0),'Your Team'!$C$6="F" ),1,0)+IF( AND((COUNTIF(DM$2:DM$33,'Your Team'!$D$7)&gt;0),'Your Team'!$C$7="F" ),1,0)+IF( AND((COUNTIF(DM$2:DM$33,'Your Team'!$D$8)&gt;0),'Your Team'!$C$8="F" ),1,0)+IF( AND((COUNTIF(DM$2:DM$33,'Your Team'!$D$9)&gt;0),'Your Team'!$C$9="F" ),1,0)+IF( AND((COUNTIF(DM$2:DM$33,'Your Team'!$D$10)&gt;0),'Your Team'!$C$10="F" ),1,0)+IF( AND((COUNTIF(DM$2:DM$33,'Your Team'!$D$11)&gt;0),'Your Team'!$C$11="F" ),1,0)+IF( AND((COUNTIF(DM$2:DM$33,'Your Team'!$D$12)&gt;0),'Your Team'!$C$12="F" ),1,0)+IF( AND((COUNTIF(DM$2:DM$33,'Your Team'!$D$13)&gt;0),'Your Team'!$C$13="F" ),1,0)+IF( AND((COUNTIF(DM$2:DM$33,'Your Team'!$D$14)&gt;0),'Your Team'!$C$14="F" ),1,0)+IF( AND((COUNTIF(DM$2:DM$33,'Your Team'!$D$15)&gt;0),'Your Team'!$C$15="F" ),1,0)+IF( AND((COUNTIF(DM$2:DM$33,'Your Team'!$D$16)&gt;0),'Your Team'!$C$16="F" ),1,0)+IF( AND((COUNTIF(DM$2:DM$33,'Your Team'!$D$17)&gt;0),'Your Team'!$C$17="F" ),1,0)+IF( AND((COUNTIF(DM$2:DM$33,'Your Team'!$D$18)&gt;0),'Your Team'!$C$18="F" ),1,0)+IF( AND((COUNTIF(DM$2:DM$33,'Your Team'!$D$19)&gt;0),'Your Team'!$C$19="F" ),1,0)</f>
        <v>0</v>
      </c>
      <c r="DN40" s="9">
        <f>IF( AND((COUNTIF(DN$2:DN$33,'Your Team'!$D$3)&gt;0),'Your Team'!$C$3="F" ),1,0)+IF( AND((COUNTIF(DN$2:DN$33,'Your Team'!$D$4)&gt;0),'Your Team'!$C$4="F" ),1,0)+IF( AND((COUNTIF(DN$2:DN$33,'Your Team'!$D$5)&gt;0),'Your Team'!$C$5="F" ),1,0)+IF( AND((COUNTIF(DN$2:DN$33,'Your Team'!$D$6)&gt;0),'Your Team'!$C$6="F" ),1,0)+IF( AND((COUNTIF(DN$2:DN$33,'Your Team'!$D$7)&gt;0),'Your Team'!$C$7="F" ),1,0)+IF( AND((COUNTIF(DN$2:DN$33,'Your Team'!$D$8)&gt;0),'Your Team'!$C$8="F" ),1,0)+IF( AND((COUNTIF(DN$2:DN$33,'Your Team'!$D$9)&gt;0),'Your Team'!$C$9="F" ),1,0)+IF( AND((COUNTIF(DN$2:DN$33,'Your Team'!$D$10)&gt;0),'Your Team'!$C$10="F" ),1,0)+IF( AND((COUNTIF(DN$2:DN$33,'Your Team'!$D$11)&gt;0),'Your Team'!$C$11="F" ),1,0)+IF( AND((COUNTIF(DN$2:DN$33,'Your Team'!$D$12)&gt;0),'Your Team'!$C$12="F" ),1,0)+IF( AND((COUNTIF(DN$2:DN$33,'Your Team'!$D$13)&gt;0),'Your Team'!$C$13="F" ),1,0)+IF( AND((COUNTIF(DN$2:DN$33,'Your Team'!$D$14)&gt;0),'Your Team'!$C$14="F" ),1,0)+IF( AND((COUNTIF(DN$2:DN$33,'Your Team'!$D$15)&gt;0),'Your Team'!$C$15="F" ),1,0)+IF( AND((COUNTIF(DN$2:DN$33,'Your Team'!$D$16)&gt;0),'Your Team'!$C$16="F" ),1,0)+IF( AND((COUNTIF(DN$2:DN$33,'Your Team'!$D$17)&gt;0),'Your Team'!$C$17="F" ),1,0)+IF( AND((COUNTIF(DN$2:DN$33,'Your Team'!$D$18)&gt;0),'Your Team'!$C$18="F" ),1,0)+IF( AND((COUNTIF(DN$2:DN$33,'Your Team'!$D$19)&gt;0),'Your Team'!$C$19="F" ),1,0)</f>
        <v>0</v>
      </c>
      <c r="DO40" s="9">
        <f>IF( AND((COUNTIF(DO$2:DO$33,'Your Team'!$D$3)&gt;0),'Your Team'!$C$3="F" ),1,0)+IF( AND((COUNTIF(DO$2:DO$33,'Your Team'!$D$4)&gt;0),'Your Team'!$C$4="F" ),1,0)+IF( AND((COUNTIF(DO$2:DO$33,'Your Team'!$D$5)&gt;0),'Your Team'!$C$5="F" ),1,0)+IF( AND((COUNTIF(DO$2:DO$33,'Your Team'!$D$6)&gt;0),'Your Team'!$C$6="F" ),1,0)+IF( AND((COUNTIF(DO$2:DO$33,'Your Team'!$D$7)&gt;0),'Your Team'!$C$7="F" ),1,0)+IF( AND((COUNTIF(DO$2:DO$33,'Your Team'!$D$8)&gt;0),'Your Team'!$C$8="F" ),1,0)+IF( AND((COUNTIF(DO$2:DO$33,'Your Team'!$D$9)&gt;0),'Your Team'!$C$9="F" ),1,0)+IF( AND((COUNTIF(DO$2:DO$33,'Your Team'!$D$10)&gt;0),'Your Team'!$C$10="F" ),1,0)+IF( AND((COUNTIF(DO$2:DO$33,'Your Team'!$D$11)&gt;0),'Your Team'!$C$11="F" ),1,0)+IF( AND((COUNTIF(DO$2:DO$33,'Your Team'!$D$12)&gt;0),'Your Team'!$C$12="F" ),1,0)+IF( AND((COUNTIF(DO$2:DO$33,'Your Team'!$D$13)&gt;0),'Your Team'!$C$13="F" ),1,0)+IF( AND((COUNTIF(DO$2:DO$33,'Your Team'!$D$14)&gt;0),'Your Team'!$C$14="F" ),1,0)+IF( AND((COUNTIF(DO$2:DO$33,'Your Team'!$D$15)&gt;0),'Your Team'!$C$15="F" ),1,0)+IF( AND((COUNTIF(DO$2:DO$33,'Your Team'!$D$16)&gt;0),'Your Team'!$C$16="F" ),1,0)+IF( AND((COUNTIF(DO$2:DO$33,'Your Team'!$D$17)&gt;0),'Your Team'!$C$17="F" ),1,0)+IF( AND((COUNTIF(DO$2:DO$33,'Your Team'!$D$18)&gt;0),'Your Team'!$C$18="F" ),1,0)+IF( AND((COUNTIF(DO$2:DO$33,'Your Team'!$D$19)&gt;0),'Your Team'!$C$19="F" ),1,0)</f>
        <v>0</v>
      </c>
      <c r="DP40" s="9">
        <f>IF( AND((COUNTIF(DP$2:DP$33,'Your Team'!$D$3)&gt;0),'Your Team'!$C$3="F" ),1,0)+IF( AND((COUNTIF(DP$2:DP$33,'Your Team'!$D$4)&gt;0),'Your Team'!$C$4="F" ),1,0)+IF( AND((COUNTIF(DP$2:DP$33,'Your Team'!$D$5)&gt;0),'Your Team'!$C$5="F" ),1,0)+IF( AND((COUNTIF(DP$2:DP$33,'Your Team'!$D$6)&gt;0),'Your Team'!$C$6="F" ),1,0)+IF( AND((COUNTIF(DP$2:DP$33,'Your Team'!$D$7)&gt;0),'Your Team'!$C$7="F" ),1,0)+IF( AND((COUNTIF(DP$2:DP$33,'Your Team'!$D$8)&gt;0),'Your Team'!$C$8="F" ),1,0)+IF( AND((COUNTIF(DP$2:DP$33,'Your Team'!$D$9)&gt;0),'Your Team'!$C$9="F" ),1,0)+IF( AND((COUNTIF(DP$2:DP$33,'Your Team'!$D$10)&gt;0),'Your Team'!$C$10="F" ),1,0)+IF( AND((COUNTIF(DP$2:DP$33,'Your Team'!$D$11)&gt;0),'Your Team'!$C$11="F" ),1,0)+IF( AND((COUNTIF(DP$2:DP$33,'Your Team'!$D$12)&gt;0),'Your Team'!$C$12="F" ),1,0)+IF( AND((COUNTIF(DP$2:DP$33,'Your Team'!$D$13)&gt;0),'Your Team'!$C$13="F" ),1,0)+IF( AND((COUNTIF(DP$2:DP$33,'Your Team'!$D$14)&gt;0),'Your Team'!$C$14="F" ),1,0)+IF( AND((COUNTIF(DP$2:DP$33,'Your Team'!$D$15)&gt;0),'Your Team'!$C$15="F" ),1,0)+IF( AND((COUNTIF(DP$2:DP$33,'Your Team'!$D$16)&gt;0),'Your Team'!$C$16="F" ),1,0)+IF( AND((COUNTIF(DP$2:DP$33,'Your Team'!$D$17)&gt;0),'Your Team'!$C$17="F" ),1,0)+IF( AND((COUNTIF(DP$2:DP$33,'Your Team'!$D$18)&gt;0),'Your Team'!$C$18="F" ),1,0)+IF( AND((COUNTIF(DP$2:DP$33,'Your Team'!$D$19)&gt;0),'Your Team'!$C$19="F" ),1,0)</f>
        <v>0</v>
      </c>
      <c r="DQ40" s="9">
        <f>IF( AND((COUNTIF(DQ$2:DQ$33,'Your Team'!$D$3)&gt;0),'Your Team'!$C$3="F" ),1,0)+IF( AND((COUNTIF(DQ$2:DQ$33,'Your Team'!$D$4)&gt;0),'Your Team'!$C$4="F" ),1,0)+IF( AND((COUNTIF(DQ$2:DQ$33,'Your Team'!$D$5)&gt;0),'Your Team'!$C$5="F" ),1,0)+IF( AND((COUNTIF(DQ$2:DQ$33,'Your Team'!$D$6)&gt;0),'Your Team'!$C$6="F" ),1,0)+IF( AND((COUNTIF(DQ$2:DQ$33,'Your Team'!$D$7)&gt;0),'Your Team'!$C$7="F" ),1,0)+IF( AND((COUNTIF(DQ$2:DQ$33,'Your Team'!$D$8)&gt;0),'Your Team'!$C$8="F" ),1,0)+IF( AND((COUNTIF(DQ$2:DQ$33,'Your Team'!$D$9)&gt;0),'Your Team'!$C$9="F" ),1,0)+IF( AND((COUNTIF(DQ$2:DQ$33,'Your Team'!$D$10)&gt;0),'Your Team'!$C$10="F" ),1,0)+IF( AND((COUNTIF(DQ$2:DQ$33,'Your Team'!$D$11)&gt;0),'Your Team'!$C$11="F" ),1,0)+IF( AND((COUNTIF(DQ$2:DQ$33,'Your Team'!$D$12)&gt;0),'Your Team'!$C$12="F" ),1,0)+IF( AND((COUNTIF(DQ$2:DQ$33,'Your Team'!$D$13)&gt;0),'Your Team'!$C$13="F" ),1,0)+IF( AND((COUNTIF(DQ$2:DQ$33,'Your Team'!$D$14)&gt;0),'Your Team'!$C$14="F" ),1,0)+IF( AND((COUNTIF(DQ$2:DQ$33,'Your Team'!$D$15)&gt;0),'Your Team'!$C$15="F" ),1,0)+IF( AND((COUNTIF(DQ$2:DQ$33,'Your Team'!$D$16)&gt;0),'Your Team'!$C$16="F" ),1,0)+IF( AND((COUNTIF(DQ$2:DQ$33,'Your Team'!$D$17)&gt;0),'Your Team'!$C$17="F" ),1,0)+IF( AND((COUNTIF(DQ$2:DQ$33,'Your Team'!$D$18)&gt;0),'Your Team'!$C$18="F" ),1,0)+IF( AND((COUNTIF(DQ$2:DQ$33,'Your Team'!$D$19)&gt;0),'Your Team'!$C$19="F" ),1,0)</f>
        <v>0</v>
      </c>
      <c r="DR40" s="9">
        <f>IF( AND((COUNTIF(DR$2:DR$33,'Your Team'!$D$3)&gt;0),'Your Team'!$C$3="F" ),1,0)+IF( AND((COUNTIF(DR$2:DR$33,'Your Team'!$D$4)&gt;0),'Your Team'!$C$4="F" ),1,0)+IF( AND((COUNTIF(DR$2:DR$33,'Your Team'!$D$5)&gt;0),'Your Team'!$C$5="F" ),1,0)+IF( AND((COUNTIF(DR$2:DR$33,'Your Team'!$D$6)&gt;0),'Your Team'!$C$6="F" ),1,0)+IF( AND((COUNTIF(DR$2:DR$33,'Your Team'!$D$7)&gt;0),'Your Team'!$C$7="F" ),1,0)+IF( AND((COUNTIF(DR$2:DR$33,'Your Team'!$D$8)&gt;0),'Your Team'!$C$8="F" ),1,0)+IF( AND((COUNTIF(DR$2:DR$33,'Your Team'!$D$9)&gt;0),'Your Team'!$C$9="F" ),1,0)+IF( AND((COUNTIF(DR$2:DR$33,'Your Team'!$D$10)&gt;0),'Your Team'!$C$10="F" ),1,0)+IF( AND((COUNTIF(DR$2:DR$33,'Your Team'!$D$11)&gt;0),'Your Team'!$C$11="F" ),1,0)+IF( AND((COUNTIF(DR$2:DR$33,'Your Team'!$D$12)&gt;0),'Your Team'!$C$12="F" ),1,0)+IF( AND((COUNTIF(DR$2:DR$33,'Your Team'!$D$13)&gt;0),'Your Team'!$C$13="F" ),1,0)+IF( AND((COUNTIF(DR$2:DR$33,'Your Team'!$D$14)&gt;0),'Your Team'!$C$14="F" ),1,0)+IF( AND((COUNTIF(DR$2:DR$33,'Your Team'!$D$15)&gt;0),'Your Team'!$C$15="F" ),1,0)+IF( AND((COUNTIF(DR$2:DR$33,'Your Team'!$D$16)&gt;0),'Your Team'!$C$16="F" ),1,0)+IF( AND((COUNTIF(DR$2:DR$33,'Your Team'!$D$17)&gt;0),'Your Team'!$C$17="F" ),1,0)+IF( AND((COUNTIF(DR$2:DR$33,'Your Team'!$D$18)&gt;0),'Your Team'!$C$18="F" ),1,0)+IF( AND((COUNTIF(DR$2:DR$33,'Your Team'!$D$19)&gt;0),'Your Team'!$C$19="F" ),1,0)</f>
        <v>0</v>
      </c>
      <c r="DS40" s="9">
        <f>IF( AND((COUNTIF(DS$2:DS$33,'Your Team'!$D$3)&gt;0),'Your Team'!$C$3="F" ),1,0)+IF( AND((COUNTIF(DS$2:DS$33,'Your Team'!$D$4)&gt;0),'Your Team'!$C$4="F" ),1,0)+IF( AND((COUNTIF(DS$2:DS$33,'Your Team'!$D$5)&gt;0),'Your Team'!$C$5="F" ),1,0)+IF( AND((COUNTIF(DS$2:DS$33,'Your Team'!$D$6)&gt;0),'Your Team'!$C$6="F" ),1,0)+IF( AND((COUNTIF(DS$2:DS$33,'Your Team'!$D$7)&gt;0),'Your Team'!$C$7="F" ),1,0)+IF( AND((COUNTIF(DS$2:DS$33,'Your Team'!$D$8)&gt;0),'Your Team'!$C$8="F" ),1,0)+IF( AND((COUNTIF(DS$2:DS$33,'Your Team'!$D$9)&gt;0),'Your Team'!$C$9="F" ),1,0)+IF( AND((COUNTIF(DS$2:DS$33,'Your Team'!$D$10)&gt;0),'Your Team'!$C$10="F" ),1,0)+IF( AND((COUNTIF(DS$2:DS$33,'Your Team'!$D$11)&gt;0),'Your Team'!$C$11="F" ),1,0)+IF( AND((COUNTIF(DS$2:DS$33,'Your Team'!$D$12)&gt;0),'Your Team'!$C$12="F" ),1,0)+IF( AND((COUNTIF(DS$2:DS$33,'Your Team'!$D$13)&gt;0),'Your Team'!$C$13="F" ),1,0)+IF( AND((COUNTIF(DS$2:DS$33,'Your Team'!$D$14)&gt;0),'Your Team'!$C$14="F" ),1,0)+IF( AND((COUNTIF(DS$2:DS$33,'Your Team'!$D$15)&gt;0),'Your Team'!$C$15="F" ),1,0)+IF( AND((COUNTIF(DS$2:DS$33,'Your Team'!$D$16)&gt;0),'Your Team'!$C$16="F" ),1,0)+IF( AND((COUNTIF(DS$2:DS$33,'Your Team'!$D$17)&gt;0),'Your Team'!$C$17="F" ),1,0)+IF( AND((COUNTIF(DS$2:DS$33,'Your Team'!$D$18)&gt;0),'Your Team'!$C$18="F" ),1,0)+IF( AND((COUNTIF(DS$2:DS$33,'Your Team'!$D$19)&gt;0),'Your Team'!$C$19="F" ),1,0)</f>
        <v>0</v>
      </c>
      <c r="DT40" s="9">
        <f>IF( AND((COUNTIF(DT$2:DT$33,'Your Team'!$D$3)&gt;0),'Your Team'!$C$3="F" ),1,0)+IF( AND((COUNTIF(DT$2:DT$33,'Your Team'!$D$4)&gt;0),'Your Team'!$C$4="F" ),1,0)+IF( AND((COUNTIF(DT$2:DT$33,'Your Team'!$D$5)&gt;0),'Your Team'!$C$5="F" ),1,0)+IF( AND((COUNTIF(DT$2:DT$33,'Your Team'!$D$6)&gt;0),'Your Team'!$C$6="F" ),1,0)+IF( AND((COUNTIF(DT$2:DT$33,'Your Team'!$D$7)&gt;0),'Your Team'!$C$7="F" ),1,0)+IF( AND((COUNTIF(DT$2:DT$33,'Your Team'!$D$8)&gt;0),'Your Team'!$C$8="F" ),1,0)+IF( AND((COUNTIF(DT$2:DT$33,'Your Team'!$D$9)&gt;0),'Your Team'!$C$9="F" ),1,0)+IF( AND((COUNTIF(DT$2:DT$33,'Your Team'!$D$10)&gt;0),'Your Team'!$C$10="F" ),1,0)+IF( AND((COUNTIF(DT$2:DT$33,'Your Team'!$D$11)&gt;0),'Your Team'!$C$11="F" ),1,0)+IF( AND((COUNTIF(DT$2:DT$33,'Your Team'!$D$12)&gt;0),'Your Team'!$C$12="F" ),1,0)+IF( AND((COUNTIF(DT$2:DT$33,'Your Team'!$D$13)&gt;0),'Your Team'!$C$13="F" ),1,0)+IF( AND((COUNTIF(DT$2:DT$33,'Your Team'!$D$14)&gt;0),'Your Team'!$C$14="F" ),1,0)+IF( AND((COUNTIF(DT$2:DT$33,'Your Team'!$D$15)&gt;0),'Your Team'!$C$15="F" ),1,0)+IF( AND((COUNTIF(DT$2:DT$33,'Your Team'!$D$16)&gt;0),'Your Team'!$C$16="F" ),1,0)+IF( AND((COUNTIF(DT$2:DT$33,'Your Team'!$D$17)&gt;0),'Your Team'!$C$17="F" ),1,0)+IF( AND((COUNTIF(DT$2:DT$33,'Your Team'!$D$18)&gt;0),'Your Team'!$C$18="F" ),1,0)+IF( AND((COUNTIF(DT$2:DT$33,'Your Team'!$D$19)&gt;0),'Your Team'!$C$19="F" ),1,0)</f>
        <v>0</v>
      </c>
      <c r="DU40" s="9">
        <f>IF( AND((COUNTIF(DU$2:DU$33,'Your Team'!$D$3)&gt;0),'Your Team'!$C$3="F" ),1,0)+IF( AND((COUNTIF(DU$2:DU$33,'Your Team'!$D$4)&gt;0),'Your Team'!$C$4="F" ),1,0)+IF( AND((COUNTIF(DU$2:DU$33,'Your Team'!$D$5)&gt;0),'Your Team'!$C$5="F" ),1,0)+IF( AND((COUNTIF(DU$2:DU$33,'Your Team'!$D$6)&gt;0),'Your Team'!$C$6="F" ),1,0)+IF( AND((COUNTIF(DU$2:DU$33,'Your Team'!$D$7)&gt;0),'Your Team'!$C$7="F" ),1,0)+IF( AND((COUNTIF(DU$2:DU$33,'Your Team'!$D$8)&gt;0),'Your Team'!$C$8="F" ),1,0)+IF( AND((COUNTIF(DU$2:DU$33,'Your Team'!$D$9)&gt;0),'Your Team'!$C$9="F" ),1,0)+IF( AND((COUNTIF(DU$2:DU$33,'Your Team'!$D$10)&gt;0),'Your Team'!$C$10="F" ),1,0)+IF( AND((COUNTIF(DU$2:DU$33,'Your Team'!$D$11)&gt;0),'Your Team'!$C$11="F" ),1,0)+IF( AND((COUNTIF(DU$2:DU$33,'Your Team'!$D$12)&gt;0),'Your Team'!$C$12="F" ),1,0)+IF( AND((COUNTIF(DU$2:DU$33,'Your Team'!$D$13)&gt;0),'Your Team'!$C$13="F" ),1,0)+IF( AND((COUNTIF(DU$2:DU$33,'Your Team'!$D$14)&gt;0),'Your Team'!$C$14="F" ),1,0)+IF( AND((COUNTIF(DU$2:DU$33,'Your Team'!$D$15)&gt;0),'Your Team'!$C$15="F" ),1,0)+IF( AND((COUNTIF(DU$2:DU$33,'Your Team'!$D$16)&gt;0),'Your Team'!$C$16="F" ),1,0)+IF( AND((COUNTIF(DU$2:DU$33,'Your Team'!$D$17)&gt;0),'Your Team'!$C$17="F" ),1,0)+IF( AND((COUNTIF(DU$2:DU$33,'Your Team'!$D$18)&gt;0),'Your Team'!$C$18="F" ),1,0)+IF( AND((COUNTIF(DU$2:DU$33,'Your Team'!$D$19)&gt;0),'Your Team'!$C$19="F" ),1,0)</f>
        <v>0</v>
      </c>
      <c r="DV40" s="9">
        <f>IF( AND((COUNTIF(DV$2:DV$33,'Your Team'!$D$3)&gt;0),'Your Team'!$C$3="F" ),1,0)+IF( AND((COUNTIF(DV$2:DV$33,'Your Team'!$D$4)&gt;0),'Your Team'!$C$4="F" ),1,0)+IF( AND((COUNTIF(DV$2:DV$33,'Your Team'!$D$5)&gt;0),'Your Team'!$C$5="F" ),1,0)+IF( AND((COUNTIF(DV$2:DV$33,'Your Team'!$D$6)&gt;0),'Your Team'!$C$6="F" ),1,0)+IF( AND((COUNTIF(DV$2:DV$33,'Your Team'!$D$7)&gt;0),'Your Team'!$C$7="F" ),1,0)+IF( AND((COUNTIF(DV$2:DV$33,'Your Team'!$D$8)&gt;0),'Your Team'!$C$8="F" ),1,0)+IF( AND((COUNTIF(DV$2:DV$33,'Your Team'!$D$9)&gt;0),'Your Team'!$C$9="F" ),1,0)+IF( AND((COUNTIF(DV$2:DV$33,'Your Team'!$D$10)&gt;0),'Your Team'!$C$10="F" ),1,0)+IF( AND((COUNTIF(DV$2:DV$33,'Your Team'!$D$11)&gt;0),'Your Team'!$C$11="F" ),1,0)+IF( AND((COUNTIF(DV$2:DV$33,'Your Team'!$D$12)&gt;0),'Your Team'!$C$12="F" ),1,0)+IF( AND((COUNTIF(DV$2:DV$33,'Your Team'!$D$13)&gt;0),'Your Team'!$C$13="F" ),1,0)+IF( AND((COUNTIF(DV$2:DV$33,'Your Team'!$D$14)&gt;0),'Your Team'!$C$14="F" ),1,0)+IF( AND((COUNTIF(DV$2:DV$33,'Your Team'!$D$15)&gt;0),'Your Team'!$C$15="F" ),1,0)+IF( AND((COUNTIF(DV$2:DV$33,'Your Team'!$D$16)&gt;0),'Your Team'!$C$16="F" ),1,0)+IF( AND((COUNTIF(DV$2:DV$33,'Your Team'!$D$17)&gt;0),'Your Team'!$C$17="F" ),1,0)+IF( AND((COUNTIF(DV$2:DV$33,'Your Team'!$D$18)&gt;0),'Your Team'!$C$18="F" ),1,0)+IF( AND((COUNTIF(DV$2:DV$33,'Your Team'!$D$19)&gt;0),'Your Team'!$C$19="F" ),1,0)</f>
        <v>0</v>
      </c>
      <c r="DW40" s="9">
        <f>IF( AND((COUNTIF(DW$2:DW$33,'Your Team'!$D$3)&gt;0),'Your Team'!$C$3="F" ),1,0)+IF( AND((COUNTIF(DW$2:DW$33,'Your Team'!$D$4)&gt;0),'Your Team'!$C$4="F" ),1,0)+IF( AND((COUNTIF(DW$2:DW$33,'Your Team'!$D$5)&gt;0),'Your Team'!$C$5="F" ),1,0)+IF( AND((COUNTIF(DW$2:DW$33,'Your Team'!$D$6)&gt;0),'Your Team'!$C$6="F" ),1,0)+IF( AND((COUNTIF(DW$2:DW$33,'Your Team'!$D$7)&gt;0),'Your Team'!$C$7="F" ),1,0)+IF( AND((COUNTIF(DW$2:DW$33,'Your Team'!$D$8)&gt;0),'Your Team'!$C$8="F" ),1,0)+IF( AND((COUNTIF(DW$2:DW$33,'Your Team'!$D$9)&gt;0),'Your Team'!$C$9="F" ),1,0)+IF( AND((COUNTIF(DW$2:DW$33,'Your Team'!$D$10)&gt;0),'Your Team'!$C$10="F" ),1,0)+IF( AND((COUNTIF(DW$2:DW$33,'Your Team'!$D$11)&gt;0),'Your Team'!$C$11="F" ),1,0)+IF( AND((COUNTIF(DW$2:DW$33,'Your Team'!$D$12)&gt;0),'Your Team'!$C$12="F" ),1,0)+IF( AND((COUNTIF(DW$2:DW$33,'Your Team'!$D$13)&gt;0),'Your Team'!$C$13="F" ),1,0)+IF( AND((COUNTIF(DW$2:DW$33,'Your Team'!$D$14)&gt;0),'Your Team'!$C$14="F" ),1,0)+IF( AND((COUNTIF(DW$2:DW$33,'Your Team'!$D$15)&gt;0),'Your Team'!$C$15="F" ),1,0)+IF( AND((COUNTIF(DW$2:DW$33,'Your Team'!$D$16)&gt;0),'Your Team'!$C$16="F" ),1,0)+IF( AND((COUNTIF(DW$2:DW$33,'Your Team'!$D$17)&gt;0),'Your Team'!$C$17="F" ),1,0)+IF( AND((COUNTIF(DW$2:DW$33,'Your Team'!$D$18)&gt;0),'Your Team'!$C$18="F" ),1,0)+IF( AND((COUNTIF(DW$2:DW$33,'Your Team'!$D$19)&gt;0),'Your Team'!$C$19="F" ),1,0)</f>
        <v>0</v>
      </c>
      <c r="DX40" s="9">
        <f>IF( AND((COUNTIF(DX$2:DX$33,'Your Team'!$D$3)&gt;0),'Your Team'!$C$3="F" ),1,0)+IF( AND((COUNTIF(DX$2:DX$33,'Your Team'!$D$4)&gt;0),'Your Team'!$C$4="F" ),1,0)+IF( AND((COUNTIF(DX$2:DX$33,'Your Team'!$D$5)&gt;0),'Your Team'!$C$5="F" ),1,0)+IF( AND((COUNTIF(DX$2:DX$33,'Your Team'!$D$6)&gt;0),'Your Team'!$C$6="F" ),1,0)+IF( AND((COUNTIF(DX$2:DX$33,'Your Team'!$D$7)&gt;0),'Your Team'!$C$7="F" ),1,0)+IF( AND((COUNTIF(DX$2:DX$33,'Your Team'!$D$8)&gt;0),'Your Team'!$C$8="F" ),1,0)+IF( AND((COUNTIF(DX$2:DX$33,'Your Team'!$D$9)&gt;0),'Your Team'!$C$9="F" ),1,0)+IF( AND((COUNTIF(DX$2:DX$33,'Your Team'!$D$10)&gt;0),'Your Team'!$C$10="F" ),1,0)+IF( AND((COUNTIF(DX$2:DX$33,'Your Team'!$D$11)&gt;0),'Your Team'!$C$11="F" ),1,0)+IF( AND((COUNTIF(DX$2:DX$33,'Your Team'!$D$12)&gt;0),'Your Team'!$C$12="F" ),1,0)+IF( AND((COUNTIF(DX$2:DX$33,'Your Team'!$D$13)&gt;0),'Your Team'!$C$13="F" ),1,0)+IF( AND((COUNTIF(DX$2:DX$33,'Your Team'!$D$14)&gt;0),'Your Team'!$C$14="F" ),1,0)+IF( AND((COUNTIF(DX$2:DX$33,'Your Team'!$D$15)&gt;0),'Your Team'!$C$15="F" ),1,0)+IF( AND((COUNTIF(DX$2:DX$33,'Your Team'!$D$16)&gt;0),'Your Team'!$C$16="F" ),1,0)+IF( AND((COUNTIF(DX$2:DX$33,'Your Team'!$D$17)&gt;0),'Your Team'!$C$17="F" ),1,0)+IF( AND((COUNTIF(DX$2:DX$33,'Your Team'!$D$18)&gt;0),'Your Team'!$C$18="F" ),1,0)+IF( AND((COUNTIF(DX$2:DX$33,'Your Team'!$D$19)&gt;0),'Your Team'!$C$19="F" ),1,0)</f>
        <v>0</v>
      </c>
      <c r="DY40" s="9">
        <f>IF( AND((COUNTIF(DY$2:DY$33,'Your Team'!$D$3)&gt;0),'Your Team'!$C$3="F" ),1,0)+IF( AND((COUNTIF(DY$2:DY$33,'Your Team'!$D$4)&gt;0),'Your Team'!$C$4="F" ),1,0)+IF( AND((COUNTIF(DY$2:DY$33,'Your Team'!$D$5)&gt;0),'Your Team'!$C$5="F" ),1,0)+IF( AND((COUNTIF(DY$2:DY$33,'Your Team'!$D$6)&gt;0),'Your Team'!$C$6="F" ),1,0)+IF( AND((COUNTIF(DY$2:DY$33,'Your Team'!$D$7)&gt;0),'Your Team'!$C$7="F" ),1,0)+IF( AND((COUNTIF(DY$2:DY$33,'Your Team'!$D$8)&gt;0),'Your Team'!$C$8="F" ),1,0)+IF( AND((COUNTIF(DY$2:DY$33,'Your Team'!$D$9)&gt;0),'Your Team'!$C$9="F" ),1,0)+IF( AND((COUNTIF(DY$2:DY$33,'Your Team'!$D$10)&gt;0),'Your Team'!$C$10="F" ),1,0)+IF( AND((COUNTIF(DY$2:DY$33,'Your Team'!$D$11)&gt;0),'Your Team'!$C$11="F" ),1,0)+IF( AND((COUNTIF(DY$2:DY$33,'Your Team'!$D$12)&gt;0),'Your Team'!$C$12="F" ),1,0)+IF( AND((COUNTIF(DY$2:DY$33,'Your Team'!$D$13)&gt;0),'Your Team'!$C$13="F" ),1,0)+IF( AND((COUNTIF(DY$2:DY$33,'Your Team'!$D$14)&gt;0),'Your Team'!$C$14="F" ),1,0)+IF( AND((COUNTIF(DY$2:DY$33,'Your Team'!$D$15)&gt;0),'Your Team'!$C$15="F" ),1,0)+IF( AND((COUNTIF(DY$2:DY$33,'Your Team'!$D$16)&gt;0),'Your Team'!$C$16="F" ),1,0)+IF( AND((COUNTIF(DY$2:DY$33,'Your Team'!$D$17)&gt;0),'Your Team'!$C$17="F" ),1,0)+IF( AND((COUNTIF(DY$2:DY$33,'Your Team'!$D$18)&gt;0),'Your Team'!$C$18="F" ),1,0)+IF( AND((COUNTIF(DY$2:DY$33,'Your Team'!$D$19)&gt;0),'Your Team'!$C$19="F" ),1,0)</f>
        <v>0</v>
      </c>
      <c r="DZ40" s="9">
        <f>IF( AND((COUNTIF(DZ$2:DZ$33,'Your Team'!$D$3)&gt;0),'Your Team'!$C$3="F" ),1,0)+IF( AND((COUNTIF(DZ$2:DZ$33,'Your Team'!$D$4)&gt;0),'Your Team'!$C$4="F" ),1,0)+IF( AND((COUNTIF(DZ$2:DZ$33,'Your Team'!$D$5)&gt;0),'Your Team'!$C$5="F" ),1,0)+IF( AND((COUNTIF(DZ$2:DZ$33,'Your Team'!$D$6)&gt;0),'Your Team'!$C$6="F" ),1,0)+IF( AND((COUNTIF(DZ$2:DZ$33,'Your Team'!$D$7)&gt;0),'Your Team'!$C$7="F" ),1,0)+IF( AND((COUNTIF(DZ$2:DZ$33,'Your Team'!$D$8)&gt;0),'Your Team'!$C$8="F" ),1,0)+IF( AND((COUNTIF(DZ$2:DZ$33,'Your Team'!$D$9)&gt;0),'Your Team'!$C$9="F" ),1,0)+IF( AND((COUNTIF(DZ$2:DZ$33,'Your Team'!$D$10)&gt;0),'Your Team'!$C$10="F" ),1,0)+IF( AND((COUNTIF(DZ$2:DZ$33,'Your Team'!$D$11)&gt;0),'Your Team'!$C$11="F" ),1,0)+IF( AND((COUNTIF(DZ$2:DZ$33,'Your Team'!$D$12)&gt;0),'Your Team'!$C$12="F" ),1,0)+IF( AND((COUNTIF(DZ$2:DZ$33,'Your Team'!$D$13)&gt;0),'Your Team'!$C$13="F" ),1,0)+IF( AND((COUNTIF(DZ$2:DZ$33,'Your Team'!$D$14)&gt;0),'Your Team'!$C$14="F" ),1,0)+IF( AND((COUNTIF(DZ$2:DZ$33,'Your Team'!$D$15)&gt;0),'Your Team'!$C$15="F" ),1,0)+IF( AND((COUNTIF(DZ$2:DZ$33,'Your Team'!$D$16)&gt;0),'Your Team'!$C$16="F" ),1,0)+IF( AND((COUNTIF(DZ$2:DZ$33,'Your Team'!$D$17)&gt;0),'Your Team'!$C$17="F" ),1,0)+IF( AND((COUNTIF(DZ$2:DZ$33,'Your Team'!$D$18)&gt;0),'Your Team'!$C$18="F" ),1,0)+IF( AND((COUNTIF(DZ$2:DZ$33,'Your Team'!$D$19)&gt;0),'Your Team'!$C$19="F" ),1,0)</f>
        <v>0</v>
      </c>
      <c r="EA40" s="9">
        <f>IF( AND((COUNTIF(EA$2:EA$33,'Your Team'!$D$3)&gt;0),'Your Team'!$C$3="F" ),1,0)+IF( AND((COUNTIF(EA$2:EA$33,'Your Team'!$D$4)&gt;0),'Your Team'!$C$4="F" ),1,0)+IF( AND((COUNTIF(EA$2:EA$33,'Your Team'!$D$5)&gt;0),'Your Team'!$C$5="F" ),1,0)+IF( AND((COUNTIF(EA$2:EA$33,'Your Team'!$D$6)&gt;0),'Your Team'!$C$6="F" ),1,0)+IF( AND((COUNTIF(EA$2:EA$33,'Your Team'!$D$7)&gt;0),'Your Team'!$C$7="F" ),1,0)+IF( AND((COUNTIF(EA$2:EA$33,'Your Team'!$D$8)&gt;0),'Your Team'!$C$8="F" ),1,0)+IF( AND((COUNTIF(EA$2:EA$33,'Your Team'!$D$9)&gt;0),'Your Team'!$C$9="F" ),1,0)+IF( AND((COUNTIF(EA$2:EA$33,'Your Team'!$D$10)&gt;0),'Your Team'!$C$10="F" ),1,0)+IF( AND((COUNTIF(EA$2:EA$33,'Your Team'!$D$11)&gt;0),'Your Team'!$C$11="F" ),1,0)+IF( AND((COUNTIF(EA$2:EA$33,'Your Team'!$D$12)&gt;0),'Your Team'!$C$12="F" ),1,0)+IF( AND((COUNTIF(EA$2:EA$33,'Your Team'!$D$13)&gt;0),'Your Team'!$C$13="F" ),1,0)+IF( AND((COUNTIF(EA$2:EA$33,'Your Team'!$D$14)&gt;0),'Your Team'!$C$14="F" ),1,0)+IF( AND((COUNTIF(EA$2:EA$33,'Your Team'!$D$15)&gt;0),'Your Team'!$C$15="F" ),1,0)+IF( AND((COUNTIF(EA$2:EA$33,'Your Team'!$D$16)&gt;0),'Your Team'!$C$16="F" ),1,0)+IF( AND((COUNTIF(EA$2:EA$33,'Your Team'!$D$17)&gt;0),'Your Team'!$C$17="F" ),1,0)+IF( AND((COUNTIF(EA$2:EA$33,'Your Team'!$D$18)&gt;0),'Your Team'!$C$18="F" ),1,0)+IF( AND((COUNTIF(EA$2:EA$33,'Your Team'!$D$19)&gt;0),'Your Team'!$C$19="F" ),1,0)</f>
        <v>0</v>
      </c>
      <c r="EB40" s="9">
        <f>IF( AND((COUNTIF(EB$2:EB$33,'Your Team'!$D$3)&gt;0),'Your Team'!$C$3="F" ),1,0)+IF( AND((COUNTIF(EB$2:EB$33,'Your Team'!$D$4)&gt;0),'Your Team'!$C$4="F" ),1,0)+IF( AND((COUNTIF(EB$2:EB$33,'Your Team'!$D$5)&gt;0),'Your Team'!$C$5="F" ),1,0)+IF( AND((COUNTIF(EB$2:EB$33,'Your Team'!$D$6)&gt;0),'Your Team'!$C$6="F" ),1,0)+IF( AND((COUNTIF(EB$2:EB$33,'Your Team'!$D$7)&gt;0),'Your Team'!$C$7="F" ),1,0)+IF( AND((COUNTIF(EB$2:EB$33,'Your Team'!$D$8)&gt;0),'Your Team'!$C$8="F" ),1,0)+IF( AND((COUNTIF(EB$2:EB$33,'Your Team'!$D$9)&gt;0),'Your Team'!$C$9="F" ),1,0)+IF( AND((COUNTIF(EB$2:EB$33,'Your Team'!$D$10)&gt;0),'Your Team'!$C$10="F" ),1,0)+IF( AND((COUNTIF(EB$2:EB$33,'Your Team'!$D$11)&gt;0),'Your Team'!$C$11="F" ),1,0)+IF( AND((COUNTIF(EB$2:EB$33,'Your Team'!$D$12)&gt;0),'Your Team'!$C$12="F" ),1,0)+IF( AND((COUNTIF(EB$2:EB$33,'Your Team'!$D$13)&gt;0),'Your Team'!$C$13="F" ),1,0)+IF( AND((COUNTIF(EB$2:EB$33,'Your Team'!$D$14)&gt;0),'Your Team'!$C$14="F" ),1,0)+IF( AND((COUNTIF(EB$2:EB$33,'Your Team'!$D$15)&gt;0),'Your Team'!$C$15="F" ),1,0)+IF( AND((COUNTIF(EB$2:EB$33,'Your Team'!$D$16)&gt;0),'Your Team'!$C$16="F" ),1,0)+IF( AND((COUNTIF(EB$2:EB$33,'Your Team'!$D$17)&gt;0),'Your Team'!$C$17="F" ),1,0)+IF( AND((COUNTIF(EB$2:EB$33,'Your Team'!$D$18)&gt;0),'Your Team'!$C$18="F" ),1,0)+IF( AND((COUNTIF(EB$2:EB$33,'Your Team'!$D$19)&gt;0),'Your Team'!$C$19="F" ),1,0)</f>
        <v>0</v>
      </c>
      <c r="EC40" s="9">
        <f>IF( AND((COUNTIF(EC$2:EC$33,'Your Team'!$D$3)&gt;0),'Your Team'!$C$3="F" ),1,0)+IF( AND((COUNTIF(EC$2:EC$33,'Your Team'!$D$4)&gt;0),'Your Team'!$C$4="F" ),1,0)+IF( AND((COUNTIF(EC$2:EC$33,'Your Team'!$D$5)&gt;0),'Your Team'!$C$5="F" ),1,0)+IF( AND((COUNTIF(EC$2:EC$33,'Your Team'!$D$6)&gt;0),'Your Team'!$C$6="F" ),1,0)+IF( AND((COUNTIF(EC$2:EC$33,'Your Team'!$D$7)&gt;0),'Your Team'!$C$7="F" ),1,0)+IF( AND((COUNTIF(EC$2:EC$33,'Your Team'!$D$8)&gt;0),'Your Team'!$C$8="F" ),1,0)+IF( AND((COUNTIF(EC$2:EC$33,'Your Team'!$D$9)&gt;0),'Your Team'!$C$9="F" ),1,0)+IF( AND((COUNTIF(EC$2:EC$33,'Your Team'!$D$10)&gt;0),'Your Team'!$C$10="F" ),1,0)+IF( AND((COUNTIF(EC$2:EC$33,'Your Team'!$D$11)&gt;0),'Your Team'!$C$11="F" ),1,0)+IF( AND((COUNTIF(EC$2:EC$33,'Your Team'!$D$12)&gt;0),'Your Team'!$C$12="F" ),1,0)+IF( AND((COUNTIF(EC$2:EC$33,'Your Team'!$D$13)&gt;0),'Your Team'!$C$13="F" ),1,0)+IF( AND((COUNTIF(EC$2:EC$33,'Your Team'!$D$14)&gt;0),'Your Team'!$C$14="F" ),1,0)+IF( AND((COUNTIF(EC$2:EC$33,'Your Team'!$D$15)&gt;0),'Your Team'!$C$15="F" ),1,0)+IF( AND((COUNTIF(EC$2:EC$33,'Your Team'!$D$16)&gt;0),'Your Team'!$C$16="F" ),1,0)+IF( AND((COUNTIF(EC$2:EC$33,'Your Team'!$D$17)&gt;0),'Your Team'!$C$17="F" ),1,0)+IF( AND((COUNTIF(EC$2:EC$33,'Your Team'!$D$18)&gt;0),'Your Team'!$C$18="F" ),1,0)+IF( AND((COUNTIF(EC$2:EC$33,'Your Team'!$D$19)&gt;0),'Your Team'!$C$19="F" ),1,0)</f>
        <v>0</v>
      </c>
      <c r="ED40" s="9">
        <f>IF( AND((COUNTIF(ED$2:ED$33,'Your Team'!$D$3)&gt;0),'Your Team'!$C$3="F" ),1,0)+IF( AND((COUNTIF(ED$2:ED$33,'Your Team'!$D$4)&gt;0),'Your Team'!$C$4="F" ),1,0)+IF( AND((COUNTIF(ED$2:ED$33,'Your Team'!$D$5)&gt;0),'Your Team'!$C$5="F" ),1,0)+IF( AND((COUNTIF(ED$2:ED$33,'Your Team'!$D$6)&gt;0),'Your Team'!$C$6="F" ),1,0)+IF( AND((COUNTIF(ED$2:ED$33,'Your Team'!$D$7)&gt;0),'Your Team'!$C$7="F" ),1,0)+IF( AND((COUNTIF(ED$2:ED$33,'Your Team'!$D$8)&gt;0),'Your Team'!$C$8="F" ),1,0)+IF( AND((COUNTIF(ED$2:ED$33,'Your Team'!$D$9)&gt;0),'Your Team'!$C$9="F" ),1,0)+IF( AND((COUNTIF(ED$2:ED$33,'Your Team'!$D$10)&gt;0),'Your Team'!$C$10="F" ),1,0)+IF( AND((COUNTIF(ED$2:ED$33,'Your Team'!$D$11)&gt;0),'Your Team'!$C$11="F" ),1,0)+IF( AND((COUNTIF(ED$2:ED$33,'Your Team'!$D$12)&gt;0),'Your Team'!$C$12="F" ),1,0)+IF( AND((COUNTIF(ED$2:ED$33,'Your Team'!$D$13)&gt;0),'Your Team'!$C$13="F" ),1,0)+IF( AND((COUNTIF(ED$2:ED$33,'Your Team'!$D$14)&gt;0),'Your Team'!$C$14="F" ),1,0)+IF( AND((COUNTIF(ED$2:ED$33,'Your Team'!$D$15)&gt;0),'Your Team'!$C$15="F" ),1,0)+IF( AND((COUNTIF(ED$2:ED$33,'Your Team'!$D$16)&gt;0),'Your Team'!$C$16="F" ),1,0)+IF( AND((COUNTIF(ED$2:ED$33,'Your Team'!$D$17)&gt;0),'Your Team'!$C$17="F" ),1,0)+IF( AND((COUNTIF(ED$2:ED$33,'Your Team'!$D$18)&gt;0),'Your Team'!$C$18="F" ),1,0)+IF( AND((COUNTIF(ED$2:ED$33,'Your Team'!$D$19)&gt;0),'Your Team'!$C$19="F" ),1,0)</f>
        <v>0</v>
      </c>
      <c r="EE40" s="9">
        <f>IF( AND((COUNTIF(EE$2:EE$33,'Your Team'!$D$3)&gt;0),'Your Team'!$C$3="F" ),1,0)+IF( AND((COUNTIF(EE$2:EE$33,'Your Team'!$D$4)&gt;0),'Your Team'!$C$4="F" ),1,0)+IF( AND((COUNTIF(EE$2:EE$33,'Your Team'!$D$5)&gt;0),'Your Team'!$C$5="F" ),1,0)+IF( AND((COUNTIF(EE$2:EE$33,'Your Team'!$D$6)&gt;0),'Your Team'!$C$6="F" ),1,0)+IF( AND((COUNTIF(EE$2:EE$33,'Your Team'!$D$7)&gt;0),'Your Team'!$C$7="F" ),1,0)+IF( AND((COUNTIF(EE$2:EE$33,'Your Team'!$D$8)&gt;0),'Your Team'!$C$8="F" ),1,0)+IF( AND((COUNTIF(EE$2:EE$33,'Your Team'!$D$9)&gt;0),'Your Team'!$C$9="F" ),1,0)+IF( AND((COUNTIF(EE$2:EE$33,'Your Team'!$D$10)&gt;0),'Your Team'!$C$10="F" ),1,0)+IF( AND((COUNTIF(EE$2:EE$33,'Your Team'!$D$11)&gt;0),'Your Team'!$C$11="F" ),1,0)+IF( AND((COUNTIF(EE$2:EE$33,'Your Team'!$D$12)&gt;0),'Your Team'!$C$12="F" ),1,0)+IF( AND((COUNTIF(EE$2:EE$33,'Your Team'!$D$13)&gt;0),'Your Team'!$C$13="F" ),1,0)+IF( AND((COUNTIF(EE$2:EE$33,'Your Team'!$D$14)&gt;0),'Your Team'!$C$14="F" ),1,0)+IF( AND((COUNTIF(EE$2:EE$33,'Your Team'!$D$15)&gt;0),'Your Team'!$C$15="F" ),1,0)+IF( AND((COUNTIF(EE$2:EE$33,'Your Team'!$D$16)&gt;0),'Your Team'!$C$16="F" ),1,0)+IF( AND((COUNTIF(EE$2:EE$33,'Your Team'!$D$17)&gt;0),'Your Team'!$C$17="F" ),1,0)+IF( AND((COUNTIF(EE$2:EE$33,'Your Team'!$D$18)&gt;0),'Your Team'!$C$18="F" ),1,0)+IF( AND((COUNTIF(EE$2:EE$33,'Your Team'!$D$19)&gt;0),'Your Team'!$C$19="F" ),1,0)</f>
        <v>0</v>
      </c>
      <c r="EF40" s="9">
        <f>IF( AND((COUNTIF(EF$2:EF$33,'Your Team'!$D$3)&gt;0),'Your Team'!$C$3="F" ),1,0)+IF( AND((COUNTIF(EF$2:EF$33,'Your Team'!$D$4)&gt;0),'Your Team'!$C$4="F" ),1,0)+IF( AND((COUNTIF(EF$2:EF$33,'Your Team'!$D$5)&gt;0),'Your Team'!$C$5="F" ),1,0)+IF( AND((COUNTIF(EF$2:EF$33,'Your Team'!$D$6)&gt;0),'Your Team'!$C$6="F" ),1,0)+IF( AND((COUNTIF(EF$2:EF$33,'Your Team'!$D$7)&gt;0),'Your Team'!$C$7="F" ),1,0)+IF( AND((COUNTIF(EF$2:EF$33,'Your Team'!$D$8)&gt;0),'Your Team'!$C$8="F" ),1,0)+IF( AND((COUNTIF(EF$2:EF$33,'Your Team'!$D$9)&gt;0),'Your Team'!$C$9="F" ),1,0)+IF( AND((COUNTIF(EF$2:EF$33,'Your Team'!$D$10)&gt;0),'Your Team'!$C$10="F" ),1,0)+IF( AND((COUNTIF(EF$2:EF$33,'Your Team'!$D$11)&gt;0),'Your Team'!$C$11="F" ),1,0)+IF( AND((COUNTIF(EF$2:EF$33,'Your Team'!$D$12)&gt;0),'Your Team'!$C$12="F" ),1,0)+IF( AND((COUNTIF(EF$2:EF$33,'Your Team'!$D$13)&gt;0),'Your Team'!$C$13="F" ),1,0)+IF( AND((COUNTIF(EF$2:EF$33,'Your Team'!$D$14)&gt;0),'Your Team'!$C$14="F" ),1,0)+IF( AND((COUNTIF(EF$2:EF$33,'Your Team'!$D$15)&gt;0),'Your Team'!$C$15="F" ),1,0)+IF( AND((COUNTIF(EF$2:EF$33,'Your Team'!$D$16)&gt;0),'Your Team'!$C$16="F" ),1,0)+IF( AND((COUNTIF(EF$2:EF$33,'Your Team'!$D$17)&gt;0),'Your Team'!$C$17="F" ),1,0)+IF( AND((COUNTIF(EF$2:EF$33,'Your Team'!$D$18)&gt;0),'Your Team'!$C$18="F" ),1,0)+IF( AND((COUNTIF(EF$2:EF$33,'Your Team'!$D$19)&gt;0),'Your Team'!$C$19="F" ),1,0)</f>
        <v>0</v>
      </c>
      <c r="EG40" s="9">
        <f>IF( AND((COUNTIF(EG$2:EG$33,'Your Team'!$D$3)&gt;0),'Your Team'!$C$3="F" ),1,0)+IF( AND((COUNTIF(EG$2:EG$33,'Your Team'!$D$4)&gt;0),'Your Team'!$C$4="F" ),1,0)+IF( AND((COUNTIF(EG$2:EG$33,'Your Team'!$D$5)&gt;0),'Your Team'!$C$5="F" ),1,0)+IF( AND((COUNTIF(EG$2:EG$33,'Your Team'!$D$6)&gt;0),'Your Team'!$C$6="F" ),1,0)+IF( AND((COUNTIF(EG$2:EG$33,'Your Team'!$D$7)&gt;0),'Your Team'!$C$7="F" ),1,0)+IF( AND((COUNTIF(EG$2:EG$33,'Your Team'!$D$8)&gt;0),'Your Team'!$C$8="F" ),1,0)+IF( AND((COUNTIF(EG$2:EG$33,'Your Team'!$D$9)&gt;0),'Your Team'!$C$9="F" ),1,0)+IF( AND((COUNTIF(EG$2:EG$33,'Your Team'!$D$10)&gt;0),'Your Team'!$C$10="F" ),1,0)+IF( AND((COUNTIF(EG$2:EG$33,'Your Team'!$D$11)&gt;0),'Your Team'!$C$11="F" ),1,0)+IF( AND((COUNTIF(EG$2:EG$33,'Your Team'!$D$12)&gt;0),'Your Team'!$C$12="F" ),1,0)+IF( AND((COUNTIF(EG$2:EG$33,'Your Team'!$D$13)&gt;0),'Your Team'!$C$13="F" ),1,0)+IF( AND((COUNTIF(EG$2:EG$33,'Your Team'!$D$14)&gt;0),'Your Team'!$C$14="F" ),1,0)+IF( AND((COUNTIF(EG$2:EG$33,'Your Team'!$D$15)&gt;0),'Your Team'!$C$15="F" ),1,0)+IF( AND((COUNTIF(EG$2:EG$33,'Your Team'!$D$16)&gt;0),'Your Team'!$C$16="F" ),1,0)+IF( AND((COUNTIF(EG$2:EG$33,'Your Team'!$D$17)&gt;0),'Your Team'!$C$17="F" ),1,0)+IF( AND((COUNTIF(EG$2:EG$33,'Your Team'!$D$18)&gt;0),'Your Team'!$C$18="F" ),1,0)+IF( AND((COUNTIF(EG$2:EG$33,'Your Team'!$D$19)&gt;0),'Your Team'!$C$19="F" ),1,0)</f>
        <v>0</v>
      </c>
      <c r="EH40" s="9">
        <f>IF( AND((COUNTIF(EH$2:EH$33,'Your Team'!$D$3)&gt;0),'Your Team'!$C$3="F" ),1,0)+IF( AND((COUNTIF(EH$2:EH$33,'Your Team'!$D$4)&gt;0),'Your Team'!$C$4="F" ),1,0)+IF( AND((COUNTIF(EH$2:EH$33,'Your Team'!$D$5)&gt;0),'Your Team'!$C$5="F" ),1,0)+IF( AND((COUNTIF(EH$2:EH$33,'Your Team'!$D$6)&gt;0),'Your Team'!$C$6="F" ),1,0)+IF( AND((COUNTIF(EH$2:EH$33,'Your Team'!$D$7)&gt;0),'Your Team'!$C$7="F" ),1,0)+IF( AND((COUNTIF(EH$2:EH$33,'Your Team'!$D$8)&gt;0),'Your Team'!$C$8="F" ),1,0)+IF( AND((COUNTIF(EH$2:EH$33,'Your Team'!$D$9)&gt;0),'Your Team'!$C$9="F" ),1,0)+IF( AND((COUNTIF(EH$2:EH$33,'Your Team'!$D$10)&gt;0),'Your Team'!$C$10="F" ),1,0)+IF( AND((COUNTIF(EH$2:EH$33,'Your Team'!$D$11)&gt;0),'Your Team'!$C$11="F" ),1,0)+IF( AND((COUNTIF(EH$2:EH$33,'Your Team'!$D$12)&gt;0),'Your Team'!$C$12="F" ),1,0)+IF( AND((COUNTIF(EH$2:EH$33,'Your Team'!$D$13)&gt;0),'Your Team'!$C$13="F" ),1,0)+IF( AND((COUNTIF(EH$2:EH$33,'Your Team'!$D$14)&gt;0),'Your Team'!$C$14="F" ),1,0)+IF( AND((COUNTIF(EH$2:EH$33,'Your Team'!$D$15)&gt;0),'Your Team'!$C$15="F" ),1,0)+IF( AND((COUNTIF(EH$2:EH$33,'Your Team'!$D$16)&gt;0),'Your Team'!$C$16="F" ),1,0)+IF( AND((COUNTIF(EH$2:EH$33,'Your Team'!$D$17)&gt;0),'Your Team'!$C$17="F" ),1,0)+IF( AND((COUNTIF(EH$2:EH$33,'Your Team'!$D$18)&gt;0),'Your Team'!$C$18="F" ),1,0)+IF( AND((COUNTIF(EH$2:EH$33,'Your Team'!$D$19)&gt;0),'Your Team'!$C$19="F" ),1,0)</f>
        <v>0</v>
      </c>
      <c r="EI40" s="9">
        <f>IF( AND((COUNTIF(EI$2:EI$33,'Your Team'!$D$3)&gt;0),'Your Team'!$C$3="F" ),1,0)+IF( AND((COUNTIF(EI$2:EI$33,'Your Team'!$D$4)&gt;0),'Your Team'!$C$4="F" ),1,0)+IF( AND((COUNTIF(EI$2:EI$33,'Your Team'!$D$5)&gt;0),'Your Team'!$C$5="F" ),1,0)+IF( AND((COUNTIF(EI$2:EI$33,'Your Team'!$D$6)&gt;0),'Your Team'!$C$6="F" ),1,0)+IF( AND((COUNTIF(EI$2:EI$33,'Your Team'!$D$7)&gt;0),'Your Team'!$C$7="F" ),1,0)+IF( AND((COUNTIF(EI$2:EI$33,'Your Team'!$D$8)&gt;0),'Your Team'!$C$8="F" ),1,0)+IF( AND((COUNTIF(EI$2:EI$33,'Your Team'!$D$9)&gt;0),'Your Team'!$C$9="F" ),1,0)+IF( AND((COUNTIF(EI$2:EI$33,'Your Team'!$D$10)&gt;0),'Your Team'!$C$10="F" ),1,0)+IF( AND((COUNTIF(EI$2:EI$33,'Your Team'!$D$11)&gt;0),'Your Team'!$C$11="F" ),1,0)+IF( AND((COUNTIF(EI$2:EI$33,'Your Team'!$D$12)&gt;0),'Your Team'!$C$12="F" ),1,0)+IF( AND((COUNTIF(EI$2:EI$33,'Your Team'!$D$13)&gt;0),'Your Team'!$C$13="F" ),1,0)+IF( AND((COUNTIF(EI$2:EI$33,'Your Team'!$D$14)&gt;0),'Your Team'!$C$14="F" ),1,0)+IF( AND((COUNTIF(EI$2:EI$33,'Your Team'!$D$15)&gt;0),'Your Team'!$C$15="F" ),1,0)+IF( AND((COUNTIF(EI$2:EI$33,'Your Team'!$D$16)&gt;0),'Your Team'!$C$16="F" ),1,0)+IF( AND((COUNTIF(EI$2:EI$33,'Your Team'!$D$17)&gt;0),'Your Team'!$C$17="F" ),1,0)+IF( AND((COUNTIF(EI$2:EI$33,'Your Team'!$D$18)&gt;0),'Your Team'!$C$18="F" ),1,0)+IF( AND((COUNTIF(EI$2:EI$33,'Your Team'!$D$19)&gt;0),'Your Team'!$C$19="F" ),1,0)</f>
        <v>0</v>
      </c>
      <c r="EJ40" s="9">
        <f>IF( AND((COUNTIF(EJ$2:EJ$33,'Your Team'!$D$3)&gt;0),'Your Team'!$C$3="F" ),1,0)+IF( AND((COUNTIF(EJ$2:EJ$33,'Your Team'!$D$4)&gt;0),'Your Team'!$C$4="F" ),1,0)+IF( AND((COUNTIF(EJ$2:EJ$33,'Your Team'!$D$5)&gt;0),'Your Team'!$C$5="F" ),1,0)+IF( AND((COUNTIF(EJ$2:EJ$33,'Your Team'!$D$6)&gt;0),'Your Team'!$C$6="F" ),1,0)+IF( AND((COUNTIF(EJ$2:EJ$33,'Your Team'!$D$7)&gt;0),'Your Team'!$C$7="F" ),1,0)+IF( AND((COUNTIF(EJ$2:EJ$33,'Your Team'!$D$8)&gt;0),'Your Team'!$C$8="F" ),1,0)+IF( AND((COUNTIF(EJ$2:EJ$33,'Your Team'!$D$9)&gt;0),'Your Team'!$C$9="F" ),1,0)+IF( AND((COUNTIF(EJ$2:EJ$33,'Your Team'!$D$10)&gt;0),'Your Team'!$C$10="F" ),1,0)+IF( AND((COUNTIF(EJ$2:EJ$33,'Your Team'!$D$11)&gt;0),'Your Team'!$C$11="F" ),1,0)+IF( AND((COUNTIF(EJ$2:EJ$33,'Your Team'!$D$12)&gt;0),'Your Team'!$C$12="F" ),1,0)+IF( AND((COUNTIF(EJ$2:EJ$33,'Your Team'!$D$13)&gt;0),'Your Team'!$C$13="F" ),1,0)+IF( AND((COUNTIF(EJ$2:EJ$33,'Your Team'!$D$14)&gt;0),'Your Team'!$C$14="F" ),1,0)+IF( AND((COUNTIF(EJ$2:EJ$33,'Your Team'!$D$15)&gt;0),'Your Team'!$C$15="F" ),1,0)+IF( AND((COUNTIF(EJ$2:EJ$33,'Your Team'!$D$16)&gt;0),'Your Team'!$C$16="F" ),1,0)+IF( AND((COUNTIF(EJ$2:EJ$33,'Your Team'!$D$17)&gt;0),'Your Team'!$C$17="F" ),1,0)+IF( AND((COUNTIF(EJ$2:EJ$33,'Your Team'!$D$18)&gt;0),'Your Team'!$C$18="F" ),1,0)+IF( AND((COUNTIF(EJ$2:EJ$33,'Your Team'!$D$19)&gt;0),'Your Team'!$C$19="F" ),1,0)</f>
        <v>0</v>
      </c>
      <c r="EK40" s="9">
        <f>IF( AND((COUNTIF(EK$2:EK$33,'Your Team'!$D$3)&gt;0),'Your Team'!$C$3="F" ),1,0)+IF( AND((COUNTIF(EK$2:EK$33,'Your Team'!$D$4)&gt;0),'Your Team'!$C$4="F" ),1,0)+IF( AND((COUNTIF(EK$2:EK$33,'Your Team'!$D$5)&gt;0),'Your Team'!$C$5="F" ),1,0)+IF( AND((COUNTIF(EK$2:EK$33,'Your Team'!$D$6)&gt;0),'Your Team'!$C$6="F" ),1,0)+IF( AND((COUNTIF(EK$2:EK$33,'Your Team'!$D$7)&gt;0),'Your Team'!$C$7="F" ),1,0)+IF( AND((COUNTIF(EK$2:EK$33,'Your Team'!$D$8)&gt;0),'Your Team'!$C$8="F" ),1,0)+IF( AND((COUNTIF(EK$2:EK$33,'Your Team'!$D$9)&gt;0),'Your Team'!$C$9="F" ),1,0)+IF( AND((COUNTIF(EK$2:EK$33,'Your Team'!$D$10)&gt;0),'Your Team'!$C$10="F" ),1,0)+IF( AND((COUNTIF(EK$2:EK$33,'Your Team'!$D$11)&gt;0),'Your Team'!$C$11="F" ),1,0)+IF( AND((COUNTIF(EK$2:EK$33,'Your Team'!$D$12)&gt;0),'Your Team'!$C$12="F" ),1,0)+IF( AND((COUNTIF(EK$2:EK$33,'Your Team'!$D$13)&gt;0),'Your Team'!$C$13="F" ),1,0)+IF( AND((COUNTIF(EK$2:EK$33,'Your Team'!$D$14)&gt;0),'Your Team'!$C$14="F" ),1,0)+IF( AND((COUNTIF(EK$2:EK$33,'Your Team'!$D$15)&gt;0),'Your Team'!$C$15="F" ),1,0)+IF( AND((COUNTIF(EK$2:EK$33,'Your Team'!$D$16)&gt;0),'Your Team'!$C$16="F" ),1,0)+IF( AND((COUNTIF(EK$2:EK$33,'Your Team'!$D$17)&gt;0),'Your Team'!$C$17="F" ),1,0)+IF( AND((COUNTIF(EK$2:EK$33,'Your Team'!$D$18)&gt;0),'Your Team'!$C$18="F" ),1,0)+IF( AND((COUNTIF(EK$2:EK$33,'Your Team'!$D$19)&gt;0),'Your Team'!$C$19="F" ),1,0)</f>
        <v>0</v>
      </c>
      <c r="EL40" s="9">
        <f>IF( AND((COUNTIF(EL$2:EL$33,'Your Team'!$D$3)&gt;0),'Your Team'!$C$3="F" ),1,0)+IF( AND((COUNTIF(EL$2:EL$33,'Your Team'!$D$4)&gt;0),'Your Team'!$C$4="F" ),1,0)+IF( AND((COUNTIF(EL$2:EL$33,'Your Team'!$D$5)&gt;0),'Your Team'!$C$5="F" ),1,0)+IF( AND((COUNTIF(EL$2:EL$33,'Your Team'!$D$6)&gt;0),'Your Team'!$C$6="F" ),1,0)+IF( AND((COUNTIF(EL$2:EL$33,'Your Team'!$D$7)&gt;0),'Your Team'!$C$7="F" ),1,0)+IF( AND((COUNTIF(EL$2:EL$33,'Your Team'!$D$8)&gt;0),'Your Team'!$C$8="F" ),1,0)+IF( AND((COUNTIF(EL$2:EL$33,'Your Team'!$D$9)&gt;0),'Your Team'!$C$9="F" ),1,0)+IF( AND((COUNTIF(EL$2:EL$33,'Your Team'!$D$10)&gt;0),'Your Team'!$C$10="F" ),1,0)+IF( AND((COUNTIF(EL$2:EL$33,'Your Team'!$D$11)&gt;0),'Your Team'!$C$11="F" ),1,0)+IF( AND((COUNTIF(EL$2:EL$33,'Your Team'!$D$12)&gt;0),'Your Team'!$C$12="F" ),1,0)+IF( AND((COUNTIF(EL$2:EL$33,'Your Team'!$D$13)&gt;0),'Your Team'!$C$13="F" ),1,0)+IF( AND((COUNTIF(EL$2:EL$33,'Your Team'!$D$14)&gt;0),'Your Team'!$C$14="F" ),1,0)+IF( AND((COUNTIF(EL$2:EL$33,'Your Team'!$D$15)&gt;0),'Your Team'!$C$15="F" ),1,0)+IF( AND((COUNTIF(EL$2:EL$33,'Your Team'!$D$16)&gt;0),'Your Team'!$C$16="F" ),1,0)+IF( AND((COUNTIF(EL$2:EL$33,'Your Team'!$D$17)&gt;0),'Your Team'!$C$17="F" ),1,0)+IF( AND((COUNTIF(EL$2:EL$33,'Your Team'!$D$18)&gt;0),'Your Team'!$C$18="F" ),1,0)+IF( AND((COUNTIF(EL$2:EL$33,'Your Team'!$D$19)&gt;0),'Your Team'!$C$19="F" ),1,0)</f>
        <v>0</v>
      </c>
      <c r="EM40" s="9">
        <f>IF( AND((COUNTIF(EM$2:EM$33,'Your Team'!$D$3)&gt;0),'Your Team'!$C$3="F" ),1,0)+IF( AND((COUNTIF(EM$2:EM$33,'Your Team'!$D$4)&gt;0),'Your Team'!$C$4="F" ),1,0)+IF( AND((COUNTIF(EM$2:EM$33,'Your Team'!$D$5)&gt;0),'Your Team'!$C$5="F" ),1,0)+IF( AND((COUNTIF(EM$2:EM$33,'Your Team'!$D$6)&gt;0),'Your Team'!$C$6="F" ),1,0)+IF( AND((COUNTIF(EM$2:EM$33,'Your Team'!$D$7)&gt;0),'Your Team'!$C$7="F" ),1,0)+IF( AND((COUNTIF(EM$2:EM$33,'Your Team'!$D$8)&gt;0),'Your Team'!$C$8="F" ),1,0)+IF( AND((COUNTIF(EM$2:EM$33,'Your Team'!$D$9)&gt;0),'Your Team'!$C$9="F" ),1,0)+IF( AND((COUNTIF(EM$2:EM$33,'Your Team'!$D$10)&gt;0),'Your Team'!$C$10="F" ),1,0)+IF( AND((COUNTIF(EM$2:EM$33,'Your Team'!$D$11)&gt;0),'Your Team'!$C$11="F" ),1,0)+IF( AND((COUNTIF(EM$2:EM$33,'Your Team'!$D$12)&gt;0),'Your Team'!$C$12="F" ),1,0)+IF( AND((COUNTIF(EM$2:EM$33,'Your Team'!$D$13)&gt;0),'Your Team'!$C$13="F" ),1,0)+IF( AND((COUNTIF(EM$2:EM$33,'Your Team'!$D$14)&gt;0),'Your Team'!$C$14="F" ),1,0)+IF( AND((COUNTIF(EM$2:EM$33,'Your Team'!$D$15)&gt;0),'Your Team'!$C$15="F" ),1,0)+IF( AND((COUNTIF(EM$2:EM$33,'Your Team'!$D$16)&gt;0),'Your Team'!$C$16="F" ),1,0)+IF( AND((COUNTIF(EM$2:EM$33,'Your Team'!$D$17)&gt;0),'Your Team'!$C$17="F" ),1,0)+IF( AND((COUNTIF(EM$2:EM$33,'Your Team'!$D$18)&gt;0),'Your Team'!$C$18="F" ),1,0)+IF( AND((COUNTIF(EM$2:EM$33,'Your Team'!$D$19)&gt;0),'Your Team'!$C$19="F" ),1,0)</f>
        <v>0</v>
      </c>
      <c r="EN40" s="9">
        <f>IF( AND((COUNTIF(EN$2:EN$33,'Your Team'!$D$3)&gt;0),'Your Team'!$C$3="F" ),1,0)+IF( AND((COUNTIF(EN$2:EN$33,'Your Team'!$D$4)&gt;0),'Your Team'!$C$4="F" ),1,0)+IF( AND((COUNTIF(EN$2:EN$33,'Your Team'!$D$5)&gt;0),'Your Team'!$C$5="F" ),1,0)+IF( AND((COUNTIF(EN$2:EN$33,'Your Team'!$D$6)&gt;0),'Your Team'!$C$6="F" ),1,0)+IF( AND((COUNTIF(EN$2:EN$33,'Your Team'!$D$7)&gt;0),'Your Team'!$C$7="F" ),1,0)+IF( AND((COUNTIF(EN$2:EN$33,'Your Team'!$D$8)&gt;0),'Your Team'!$C$8="F" ),1,0)+IF( AND((COUNTIF(EN$2:EN$33,'Your Team'!$D$9)&gt;0),'Your Team'!$C$9="F" ),1,0)+IF( AND((COUNTIF(EN$2:EN$33,'Your Team'!$D$10)&gt;0),'Your Team'!$C$10="F" ),1,0)+IF( AND((COUNTIF(EN$2:EN$33,'Your Team'!$D$11)&gt;0),'Your Team'!$C$11="F" ),1,0)+IF( AND((COUNTIF(EN$2:EN$33,'Your Team'!$D$12)&gt;0),'Your Team'!$C$12="F" ),1,0)+IF( AND((COUNTIF(EN$2:EN$33,'Your Team'!$D$13)&gt;0),'Your Team'!$C$13="F" ),1,0)+IF( AND((COUNTIF(EN$2:EN$33,'Your Team'!$D$14)&gt;0),'Your Team'!$C$14="F" ),1,0)+IF( AND((COUNTIF(EN$2:EN$33,'Your Team'!$D$15)&gt;0),'Your Team'!$C$15="F" ),1,0)+IF( AND((COUNTIF(EN$2:EN$33,'Your Team'!$D$16)&gt;0),'Your Team'!$C$16="F" ),1,0)+IF( AND((COUNTIF(EN$2:EN$33,'Your Team'!$D$17)&gt;0),'Your Team'!$C$17="F" ),1,0)+IF( AND((COUNTIF(EN$2:EN$33,'Your Team'!$D$18)&gt;0),'Your Team'!$C$18="F" ),1,0)+IF( AND((COUNTIF(EN$2:EN$33,'Your Team'!$D$19)&gt;0),'Your Team'!$C$19="F" ),1,0)</f>
        <v>0</v>
      </c>
      <c r="EO40" s="9">
        <f>IF( AND((COUNTIF(EO$2:EO$33,'Your Team'!$D$3)&gt;0),'Your Team'!$C$3="F" ),1,0)+IF( AND((COUNTIF(EO$2:EO$33,'Your Team'!$D$4)&gt;0),'Your Team'!$C$4="F" ),1,0)+IF( AND((COUNTIF(EO$2:EO$33,'Your Team'!$D$5)&gt;0),'Your Team'!$C$5="F" ),1,0)+IF( AND((COUNTIF(EO$2:EO$33,'Your Team'!$D$6)&gt;0),'Your Team'!$C$6="F" ),1,0)+IF( AND((COUNTIF(EO$2:EO$33,'Your Team'!$D$7)&gt;0),'Your Team'!$C$7="F" ),1,0)+IF( AND((COUNTIF(EO$2:EO$33,'Your Team'!$D$8)&gt;0),'Your Team'!$C$8="F" ),1,0)+IF( AND((COUNTIF(EO$2:EO$33,'Your Team'!$D$9)&gt;0),'Your Team'!$C$9="F" ),1,0)+IF( AND((COUNTIF(EO$2:EO$33,'Your Team'!$D$10)&gt;0),'Your Team'!$C$10="F" ),1,0)+IF( AND((COUNTIF(EO$2:EO$33,'Your Team'!$D$11)&gt;0),'Your Team'!$C$11="F" ),1,0)+IF( AND((COUNTIF(EO$2:EO$33,'Your Team'!$D$12)&gt;0),'Your Team'!$C$12="F" ),1,0)+IF( AND((COUNTIF(EO$2:EO$33,'Your Team'!$D$13)&gt;0),'Your Team'!$C$13="F" ),1,0)+IF( AND((COUNTIF(EO$2:EO$33,'Your Team'!$D$14)&gt;0),'Your Team'!$C$14="F" ),1,0)+IF( AND((COUNTIF(EO$2:EO$33,'Your Team'!$D$15)&gt;0),'Your Team'!$C$15="F" ),1,0)+IF( AND((COUNTIF(EO$2:EO$33,'Your Team'!$D$16)&gt;0),'Your Team'!$C$16="F" ),1,0)+IF( AND((COUNTIF(EO$2:EO$33,'Your Team'!$D$17)&gt;0),'Your Team'!$C$17="F" ),1,0)+IF( AND((COUNTIF(EO$2:EO$33,'Your Team'!$D$18)&gt;0),'Your Team'!$C$18="F" ),1,0)+IF( AND((COUNTIF(EO$2:EO$33,'Your Team'!$D$19)&gt;0),'Your Team'!$C$19="F" ),1,0)</f>
        <v>0</v>
      </c>
      <c r="EP40" s="9">
        <f>IF( AND((COUNTIF(EP$2:EP$33,'Your Team'!$D$3)&gt;0),'Your Team'!$C$3="F" ),1,0)+IF( AND((COUNTIF(EP$2:EP$33,'Your Team'!$D$4)&gt;0),'Your Team'!$C$4="F" ),1,0)+IF( AND((COUNTIF(EP$2:EP$33,'Your Team'!$D$5)&gt;0),'Your Team'!$C$5="F" ),1,0)+IF( AND((COUNTIF(EP$2:EP$33,'Your Team'!$D$6)&gt;0),'Your Team'!$C$6="F" ),1,0)+IF( AND((COUNTIF(EP$2:EP$33,'Your Team'!$D$7)&gt;0),'Your Team'!$C$7="F" ),1,0)+IF( AND((COUNTIF(EP$2:EP$33,'Your Team'!$D$8)&gt;0),'Your Team'!$C$8="F" ),1,0)+IF( AND((COUNTIF(EP$2:EP$33,'Your Team'!$D$9)&gt;0),'Your Team'!$C$9="F" ),1,0)+IF( AND((COUNTIF(EP$2:EP$33,'Your Team'!$D$10)&gt;0),'Your Team'!$C$10="F" ),1,0)+IF( AND((COUNTIF(EP$2:EP$33,'Your Team'!$D$11)&gt;0),'Your Team'!$C$11="F" ),1,0)+IF( AND((COUNTIF(EP$2:EP$33,'Your Team'!$D$12)&gt;0),'Your Team'!$C$12="F" ),1,0)+IF( AND((COUNTIF(EP$2:EP$33,'Your Team'!$D$13)&gt;0),'Your Team'!$C$13="F" ),1,0)+IF( AND((COUNTIF(EP$2:EP$33,'Your Team'!$D$14)&gt;0),'Your Team'!$C$14="F" ),1,0)+IF( AND((COUNTIF(EP$2:EP$33,'Your Team'!$D$15)&gt;0),'Your Team'!$C$15="F" ),1,0)+IF( AND((COUNTIF(EP$2:EP$33,'Your Team'!$D$16)&gt;0),'Your Team'!$C$16="F" ),1,0)+IF( AND((COUNTIF(EP$2:EP$33,'Your Team'!$D$17)&gt;0),'Your Team'!$C$17="F" ),1,0)+IF( AND((COUNTIF(EP$2:EP$33,'Your Team'!$D$18)&gt;0),'Your Team'!$C$18="F" ),1,0)+IF( AND((COUNTIF(EP$2:EP$33,'Your Team'!$D$19)&gt;0),'Your Team'!$C$19="F" ),1,0)</f>
        <v>0</v>
      </c>
      <c r="EQ40" s="9">
        <f>IF( AND((COUNTIF(EQ$2:EQ$33,'Your Team'!$D$3)&gt;0),'Your Team'!$C$3="F" ),1,0)+IF( AND((COUNTIF(EQ$2:EQ$33,'Your Team'!$D$4)&gt;0),'Your Team'!$C$4="F" ),1,0)+IF( AND((COUNTIF(EQ$2:EQ$33,'Your Team'!$D$5)&gt;0),'Your Team'!$C$5="F" ),1,0)+IF( AND((COUNTIF(EQ$2:EQ$33,'Your Team'!$D$6)&gt;0),'Your Team'!$C$6="F" ),1,0)+IF( AND((COUNTIF(EQ$2:EQ$33,'Your Team'!$D$7)&gt;0),'Your Team'!$C$7="F" ),1,0)+IF( AND((COUNTIF(EQ$2:EQ$33,'Your Team'!$D$8)&gt;0),'Your Team'!$C$8="F" ),1,0)+IF( AND((COUNTIF(EQ$2:EQ$33,'Your Team'!$D$9)&gt;0),'Your Team'!$C$9="F" ),1,0)+IF( AND((COUNTIF(EQ$2:EQ$33,'Your Team'!$D$10)&gt;0),'Your Team'!$C$10="F" ),1,0)+IF( AND((COUNTIF(EQ$2:EQ$33,'Your Team'!$D$11)&gt;0),'Your Team'!$C$11="F" ),1,0)+IF( AND((COUNTIF(EQ$2:EQ$33,'Your Team'!$D$12)&gt;0),'Your Team'!$C$12="F" ),1,0)+IF( AND((COUNTIF(EQ$2:EQ$33,'Your Team'!$D$13)&gt;0),'Your Team'!$C$13="F" ),1,0)+IF( AND((COUNTIF(EQ$2:EQ$33,'Your Team'!$D$14)&gt;0),'Your Team'!$C$14="F" ),1,0)+IF( AND((COUNTIF(EQ$2:EQ$33,'Your Team'!$D$15)&gt;0),'Your Team'!$C$15="F" ),1,0)+IF( AND((COUNTIF(EQ$2:EQ$33,'Your Team'!$D$16)&gt;0),'Your Team'!$C$16="F" ),1,0)+IF( AND((COUNTIF(EQ$2:EQ$33,'Your Team'!$D$17)&gt;0),'Your Team'!$C$17="F" ),1,0)+IF( AND((COUNTIF(EQ$2:EQ$33,'Your Team'!$D$18)&gt;0),'Your Team'!$C$18="F" ),1,0)+IF( AND((COUNTIF(EQ$2:EQ$33,'Your Team'!$D$19)&gt;0),'Your Team'!$C$19="F" ),1,0)</f>
        <v>0</v>
      </c>
      <c r="ER40" s="9">
        <f>IF( AND((COUNTIF(ER$2:ER$33,'Your Team'!$D$3)&gt;0),'Your Team'!$C$3="F" ),1,0)+IF( AND((COUNTIF(ER$2:ER$33,'Your Team'!$D$4)&gt;0),'Your Team'!$C$4="F" ),1,0)+IF( AND((COUNTIF(ER$2:ER$33,'Your Team'!$D$5)&gt;0),'Your Team'!$C$5="F" ),1,0)+IF( AND((COUNTIF(ER$2:ER$33,'Your Team'!$D$6)&gt;0),'Your Team'!$C$6="F" ),1,0)+IF( AND((COUNTIF(ER$2:ER$33,'Your Team'!$D$7)&gt;0),'Your Team'!$C$7="F" ),1,0)+IF( AND((COUNTIF(ER$2:ER$33,'Your Team'!$D$8)&gt;0),'Your Team'!$C$8="F" ),1,0)+IF( AND((COUNTIF(ER$2:ER$33,'Your Team'!$D$9)&gt;0),'Your Team'!$C$9="F" ),1,0)+IF( AND((COUNTIF(ER$2:ER$33,'Your Team'!$D$10)&gt;0),'Your Team'!$C$10="F" ),1,0)+IF( AND((COUNTIF(ER$2:ER$33,'Your Team'!$D$11)&gt;0),'Your Team'!$C$11="F" ),1,0)+IF( AND((COUNTIF(ER$2:ER$33,'Your Team'!$D$12)&gt;0),'Your Team'!$C$12="F" ),1,0)+IF( AND((COUNTIF(ER$2:ER$33,'Your Team'!$D$13)&gt;0),'Your Team'!$C$13="F" ),1,0)+IF( AND((COUNTIF(ER$2:ER$33,'Your Team'!$D$14)&gt;0),'Your Team'!$C$14="F" ),1,0)+IF( AND((COUNTIF(ER$2:ER$33,'Your Team'!$D$15)&gt;0),'Your Team'!$C$15="F" ),1,0)+IF( AND((COUNTIF(ER$2:ER$33,'Your Team'!$D$16)&gt;0),'Your Team'!$C$16="F" ),1,0)+IF( AND((COUNTIF(ER$2:ER$33,'Your Team'!$D$17)&gt;0),'Your Team'!$C$17="F" ),1,0)+IF( AND((COUNTIF(ER$2:ER$33,'Your Team'!$D$18)&gt;0),'Your Team'!$C$18="F" ),1,0)+IF( AND((COUNTIF(ER$2:ER$33,'Your Team'!$D$19)&gt;0),'Your Team'!$C$19="F" ),1,0)</f>
        <v>0</v>
      </c>
      <c r="ES40" s="9">
        <f>IF( AND((COUNTIF(ES$2:ES$33,'Your Team'!$D$3)&gt;0),'Your Team'!$C$3="F" ),1,0)+IF( AND((COUNTIF(ES$2:ES$33,'Your Team'!$D$4)&gt;0),'Your Team'!$C$4="F" ),1,0)+IF( AND((COUNTIF(ES$2:ES$33,'Your Team'!$D$5)&gt;0),'Your Team'!$C$5="F" ),1,0)+IF( AND((COUNTIF(ES$2:ES$33,'Your Team'!$D$6)&gt;0),'Your Team'!$C$6="F" ),1,0)+IF( AND((COUNTIF(ES$2:ES$33,'Your Team'!$D$7)&gt;0),'Your Team'!$C$7="F" ),1,0)+IF( AND((COUNTIF(ES$2:ES$33,'Your Team'!$D$8)&gt;0),'Your Team'!$C$8="F" ),1,0)+IF( AND((COUNTIF(ES$2:ES$33,'Your Team'!$D$9)&gt;0),'Your Team'!$C$9="F" ),1,0)+IF( AND((COUNTIF(ES$2:ES$33,'Your Team'!$D$10)&gt;0),'Your Team'!$C$10="F" ),1,0)+IF( AND((COUNTIF(ES$2:ES$33,'Your Team'!$D$11)&gt;0),'Your Team'!$C$11="F" ),1,0)+IF( AND((COUNTIF(ES$2:ES$33,'Your Team'!$D$12)&gt;0),'Your Team'!$C$12="F" ),1,0)+IF( AND((COUNTIF(ES$2:ES$33,'Your Team'!$D$13)&gt;0),'Your Team'!$C$13="F" ),1,0)+IF( AND((COUNTIF(ES$2:ES$33,'Your Team'!$D$14)&gt;0),'Your Team'!$C$14="F" ),1,0)+IF( AND((COUNTIF(ES$2:ES$33,'Your Team'!$D$15)&gt;0),'Your Team'!$C$15="F" ),1,0)+IF( AND((COUNTIF(ES$2:ES$33,'Your Team'!$D$16)&gt;0),'Your Team'!$C$16="F" ),1,0)+IF( AND((COUNTIF(ES$2:ES$33,'Your Team'!$D$17)&gt;0),'Your Team'!$C$17="F" ),1,0)+IF( AND((COUNTIF(ES$2:ES$33,'Your Team'!$D$18)&gt;0),'Your Team'!$C$18="F" ),1,0)+IF( AND((COUNTIF(ES$2:ES$33,'Your Team'!$D$19)&gt;0),'Your Team'!$C$19="F" ),1,0)</f>
        <v>0</v>
      </c>
      <c r="ET40" s="9">
        <f>IF( AND((COUNTIF(ET$2:ET$33,'Your Team'!$D$3)&gt;0),'Your Team'!$C$3="F" ),1,0)+IF( AND((COUNTIF(ET$2:ET$33,'Your Team'!$D$4)&gt;0),'Your Team'!$C$4="F" ),1,0)+IF( AND((COUNTIF(ET$2:ET$33,'Your Team'!$D$5)&gt;0),'Your Team'!$C$5="F" ),1,0)+IF( AND((COUNTIF(ET$2:ET$33,'Your Team'!$D$6)&gt;0),'Your Team'!$C$6="F" ),1,0)+IF( AND((COUNTIF(ET$2:ET$33,'Your Team'!$D$7)&gt;0),'Your Team'!$C$7="F" ),1,0)+IF( AND((COUNTIF(ET$2:ET$33,'Your Team'!$D$8)&gt;0),'Your Team'!$C$8="F" ),1,0)+IF( AND((COUNTIF(ET$2:ET$33,'Your Team'!$D$9)&gt;0),'Your Team'!$C$9="F" ),1,0)+IF( AND((COUNTIF(ET$2:ET$33,'Your Team'!$D$10)&gt;0),'Your Team'!$C$10="F" ),1,0)+IF( AND((COUNTIF(ET$2:ET$33,'Your Team'!$D$11)&gt;0),'Your Team'!$C$11="F" ),1,0)+IF( AND((COUNTIF(ET$2:ET$33,'Your Team'!$D$12)&gt;0),'Your Team'!$C$12="F" ),1,0)+IF( AND((COUNTIF(ET$2:ET$33,'Your Team'!$D$13)&gt;0),'Your Team'!$C$13="F" ),1,0)+IF( AND((COUNTIF(ET$2:ET$33,'Your Team'!$D$14)&gt;0),'Your Team'!$C$14="F" ),1,0)+IF( AND((COUNTIF(ET$2:ET$33,'Your Team'!$D$15)&gt;0),'Your Team'!$C$15="F" ),1,0)+IF( AND((COUNTIF(ET$2:ET$33,'Your Team'!$D$16)&gt;0),'Your Team'!$C$16="F" ),1,0)+IF( AND((COUNTIF(ET$2:ET$33,'Your Team'!$D$17)&gt;0),'Your Team'!$C$17="F" ),1,0)+IF( AND((COUNTIF(ET$2:ET$33,'Your Team'!$D$18)&gt;0),'Your Team'!$C$18="F" ),1,0)+IF( AND((COUNTIF(ET$2:ET$33,'Your Team'!$D$19)&gt;0),'Your Team'!$C$19="F" ),1,0)</f>
        <v>0</v>
      </c>
      <c r="EU40" s="9">
        <f>IF( AND((COUNTIF(EU$2:EU$33,'Your Team'!$D$3)&gt;0),'Your Team'!$C$3="F" ),1,0)+IF( AND((COUNTIF(EU$2:EU$33,'Your Team'!$D$4)&gt;0),'Your Team'!$C$4="F" ),1,0)+IF( AND((COUNTIF(EU$2:EU$33,'Your Team'!$D$5)&gt;0),'Your Team'!$C$5="F" ),1,0)+IF( AND((COUNTIF(EU$2:EU$33,'Your Team'!$D$6)&gt;0),'Your Team'!$C$6="F" ),1,0)+IF( AND((COUNTIF(EU$2:EU$33,'Your Team'!$D$7)&gt;0),'Your Team'!$C$7="F" ),1,0)+IF( AND((COUNTIF(EU$2:EU$33,'Your Team'!$D$8)&gt;0),'Your Team'!$C$8="F" ),1,0)+IF( AND((COUNTIF(EU$2:EU$33,'Your Team'!$D$9)&gt;0),'Your Team'!$C$9="F" ),1,0)+IF( AND((COUNTIF(EU$2:EU$33,'Your Team'!$D$10)&gt;0),'Your Team'!$C$10="F" ),1,0)+IF( AND((COUNTIF(EU$2:EU$33,'Your Team'!$D$11)&gt;0),'Your Team'!$C$11="F" ),1,0)+IF( AND((COUNTIF(EU$2:EU$33,'Your Team'!$D$12)&gt;0),'Your Team'!$C$12="F" ),1,0)+IF( AND((COUNTIF(EU$2:EU$33,'Your Team'!$D$13)&gt;0),'Your Team'!$C$13="F" ),1,0)+IF( AND((COUNTIF(EU$2:EU$33,'Your Team'!$D$14)&gt;0),'Your Team'!$C$14="F" ),1,0)+IF( AND((COUNTIF(EU$2:EU$33,'Your Team'!$D$15)&gt;0),'Your Team'!$C$15="F" ),1,0)+IF( AND((COUNTIF(EU$2:EU$33,'Your Team'!$D$16)&gt;0),'Your Team'!$C$16="F" ),1,0)+IF( AND((COUNTIF(EU$2:EU$33,'Your Team'!$D$17)&gt;0),'Your Team'!$C$17="F" ),1,0)+IF( AND((COUNTIF(EU$2:EU$33,'Your Team'!$D$18)&gt;0),'Your Team'!$C$18="F" ),1,0)+IF( AND((COUNTIF(EU$2:EU$33,'Your Team'!$D$19)&gt;0),'Your Team'!$C$19="F" ),1,0)</f>
        <v>0</v>
      </c>
      <c r="EV40" s="9">
        <f>IF( AND((COUNTIF(EV$2:EV$33,'Your Team'!$D$3)&gt;0),'Your Team'!$C$3="F" ),1,0)+IF( AND((COUNTIF(EV$2:EV$33,'Your Team'!$D$4)&gt;0),'Your Team'!$C$4="F" ),1,0)+IF( AND((COUNTIF(EV$2:EV$33,'Your Team'!$D$5)&gt;0),'Your Team'!$C$5="F" ),1,0)+IF( AND((COUNTIF(EV$2:EV$33,'Your Team'!$D$6)&gt;0),'Your Team'!$C$6="F" ),1,0)+IF( AND((COUNTIF(EV$2:EV$33,'Your Team'!$D$7)&gt;0),'Your Team'!$C$7="F" ),1,0)+IF( AND((COUNTIF(EV$2:EV$33,'Your Team'!$D$8)&gt;0),'Your Team'!$C$8="F" ),1,0)+IF( AND((COUNTIF(EV$2:EV$33,'Your Team'!$D$9)&gt;0),'Your Team'!$C$9="F" ),1,0)+IF( AND((COUNTIF(EV$2:EV$33,'Your Team'!$D$10)&gt;0),'Your Team'!$C$10="F" ),1,0)+IF( AND((COUNTIF(EV$2:EV$33,'Your Team'!$D$11)&gt;0),'Your Team'!$C$11="F" ),1,0)+IF( AND((COUNTIF(EV$2:EV$33,'Your Team'!$D$12)&gt;0),'Your Team'!$C$12="F" ),1,0)+IF( AND((COUNTIF(EV$2:EV$33,'Your Team'!$D$13)&gt;0),'Your Team'!$C$13="F" ),1,0)+IF( AND((COUNTIF(EV$2:EV$33,'Your Team'!$D$14)&gt;0),'Your Team'!$C$14="F" ),1,0)+IF( AND((COUNTIF(EV$2:EV$33,'Your Team'!$D$15)&gt;0),'Your Team'!$C$15="F" ),1,0)+IF( AND((COUNTIF(EV$2:EV$33,'Your Team'!$D$16)&gt;0),'Your Team'!$C$16="F" ),1,0)+IF( AND((COUNTIF(EV$2:EV$33,'Your Team'!$D$17)&gt;0),'Your Team'!$C$17="F" ),1,0)+IF( AND((COUNTIF(EV$2:EV$33,'Your Team'!$D$18)&gt;0),'Your Team'!$C$18="F" ),1,0)+IF( AND((COUNTIF(EV$2:EV$33,'Your Team'!$D$19)&gt;0),'Your Team'!$C$19="F" ),1,0)</f>
        <v>0</v>
      </c>
      <c r="EW40" s="9">
        <f>IF( AND((COUNTIF(EW$2:EW$33,'Your Team'!$D$3)&gt;0),'Your Team'!$C$3="F" ),1,0)+IF( AND((COUNTIF(EW$2:EW$33,'Your Team'!$D$4)&gt;0),'Your Team'!$C$4="F" ),1,0)+IF( AND((COUNTIF(EW$2:EW$33,'Your Team'!$D$5)&gt;0),'Your Team'!$C$5="F" ),1,0)+IF( AND((COUNTIF(EW$2:EW$33,'Your Team'!$D$6)&gt;0),'Your Team'!$C$6="F" ),1,0)+IF( AND((COUNTIF(EW$2:EW$33,'Your Team'!$D$7)&gt;0),'Your Team'!$C$7="F" ),1,0)+IF( AND((COUNTIF(EW$2:EW$33,'Your Team'!$D$8)&gt;0),'Your Team'!$C$8="F" ),1,0)+IF( AND((COUNTIF(EW$2:EW$33,'Your Team'!$D$9)&gt;0),'Your Team'!$C$9="F" ),1,0)+IF( AND((COUNTIF(EW$2:EW$33,'Your Team'!$D$10)&gt;0),'Your Team'!$C$10="F" ),1,0)+IF( AND((COUNTIF(EW$2:EW$33,'Your Team'!$D$11)&gt;0),'Your Team'!$C$11="F" ),1,0)+IF( AND((COUNTIF(EW$2:EW$33,'Your Team'!$D$12)&gt;0),'Your Team'!$C$12="F" ),1,0)+IF( AND((COUNTIF(EW$2:EW$33,'Your Team'!$D$13)&gt;0),'Your Team'!$C$13="F" ),1,0)+IF( AND((COUNTIF(EW$2:EW$33,'Your Team'!$D$14)&gt;0),'Your Team'!$C$14="F" ),1,0)+IF( AND((COUNTIF(EW$2:EW$33,'Your Team'!$D$15)&gt;0),'Your Team'!$C$15="F" ),1,0)+IF( AND((COUNTIF(EW$2:EW$33,'Your Team'!$D$16)&gt;0),'Your Team'!$C$16="F" ),1,0)+IF( AND((COUNTIF(EW$2:EW$33,'Your Team'!$D$17)&gt;0),'Your Team'!$C$17="F" ),1,0)+IF( AND((COUNTIF(EW$2:EW$33,'Your Team'!$D$18)&gt;0),'Your Team'!$C$18="F" ),1,0)+IF( AND((COUNTIF(EW$2:EW$33,'Your Team'!$D$19)&gt;0),'Your Team'!$C$19="F" ),1,0)</f>
        <v>0</v>
      </c>
      <c r="EX40" s="9">
        <f>IF( AND((COUNTIF(EX$2:EX$33,'Your Team'!$D$3)&gt;0),'Your Team'!$C$3="F" ),1,0)+IF( AND((COUNTIF(EX$2:EX$33,'Your Team'!$D$4)&gt;0),'Your Team'!$C$4="F" ),1,0)+IF( AND((COUNTIF(EX$2:EX$33,'Your Team'!$D$5)&gt;0),'Your Team'!$C$5="F" ),1,0)+IF( AND((COUNTIF(EX$2:EX$33,'Your Team'!$D$6)&gt;0),'Your Team'!$C$6="F" ),1,0)+IF( AND((COUNTIF(EX$2:EX$33,'Your Team'!$D$7)&gt;0),'Your Team'!$C$7="F" ),1,0)+IF( AND((COUNTIF(EX$2:EX$33,'Your Team'!$D$8)&gt;0),'Your Team'!$C$8="F" ),1,0)+IF( AND((COUNTIF(EX$2:EX$33,'Your Team'!$D$9)&gt;0),'Your Team'!$C$9="F" ),1,0)+IF( AND((COUNTIF(EX$2:EX$33,'Your Team'!$D$10)&gt;0),'Your Team'!$C$10="F" ),1,0)+IF( AND((COUNTIF(EX$2:EX$33,'Your Team'!$D$11)&gt;0),'Your Team'!$C$11="F" ),1,0)+IF( AND((COUNTIF(EX$2:EX$33,'Your Team'!$D$12)&gt;0),'Your Team'!$C$12="F" ),1,0)+IF( AND((COUNTIF(EX$2:EX$33,'Your Team'!$D$13)&gt;0),'Your Team'!$C$13="F" ),1,0)+IF( AND((COUNTIF(EX$2:EX$33,'Your Team'!$D$14)&gt;0),'Your Team'!$C$14="F" ),1,0)+IF( AND((COUNTIF(EX$2:EX$33,'Your Team'!$D$15)&gt;0),'Your Team'!$C$15="F" ),1,0)+IF( AND((COUNTIF(EX$2:EX$33,'Your Team'!$D$16)&gt;0),'Your Team'!$C$16="F" ),1,0)+IF( AND((COUNTIF(EX$2:EX$33,'Your Team'!$D$17)&gt;0),'Your Team'!$C$17="F" ),1,0)+IF( AND((COUNTIF(EX$2:EX$33,'Your Team'!$D$18)&gt;0),'Your Team'!$C$18="F" ),1,0)+IF( AND((COUNTIF(EX$2:EX$33,'Your Team'!$D$19)&gt;0),'Your Team'!$C$19="F" ),1,0)</f>
        <v>0</v>
      </c>
      <c r="EY40" s="9">
        <f>IF( AND((COUNTIF(EY$2:EY$33,'Your Team'!$D$3)&gt;0),'Your Team'!$C$3="F" ),1,0)+IF( AND((COUNTIF(EY$2:EY$33,'Your Team'!$D$4)&gt;0),'Your Team'!$C$4="F" ),1,0)+IF( AND((COUNTIF(EY$2:EY$33,'Your Team'!$D$5)&gt;0),'Your Team'!$C$5="F" ),1,0)+IF( AND((COUNTIF(EY$2:EY$33,'Your Team'!$D$6)&gt;0),'Your Team'!$C$6="F" ),1,0)+IF( AND((COUNTIF(EY$2:EY$33,'Your Team'!$D$7)&gt;0),'Your Team'!$C$7="F" ),1,0)+IF( AND((COUNTIF(EY$2:EY$33,'Your Team'!$D$8)&gt;0),'Your Team'!$C$8="F" ),1,0)+IF( AND((COUNTIF(EY$2:EY$33,'Your Team'!$D$9)&gt;0),'Your Team'!$C$9="F" ),1,0)+IF( AND((COUNTIF(EY$2:EY$33,'Your Team'!$D$10)&gt;0),'Your Team'!$C$10="F" ),1,0)+IF( AND((COUNTIF(EY$2:EY$33,'Your Team'!$D$11)&gt;0),'Your Team'!$C$11="F" ),1,0)+IF( AND((COUNTIF(EY$2:EY$33,'Your Team'!$D$12)&gt;0),'Your Team'!$C$12="F" ),1,0)+IF( AND((COUNTIF(EY$2:EY$33,'Your Team'!$D$13)&gt;0),'Your Team'!$C$13="F" ),1,0)+IF( AND((COUNTIF(EY$2:EY$33,'Your Team'!$D$14)&gt;0),'Your Team'!$C$14="F" ),1,0)+IF( AND((COUNTIF(EY$2:EY$33,'Your Team'!$D$15)&gt;0),'Your Team'!$C$15="F" ),1,0)+IF( AND((COUNTIF(EY$2:EY$33,'Your Team'!$D$16)&gt;0),'Your Team'!$C$16="F" ),1,0)+IF( AND((COUNTIF(EY$2:EY$33,'Your Team'!$D$17)&gt;0),'Your Team'!$C$17="F" ),1,0)+IF( AND((COUNTIF(EY$2:EY$33,'Your Team'!$D$18)&gt;0),'Your Team'!$C$18="F" ),1,0)+IF( AND((COUNTIF(EY$2:EY$33,'Your Team'!$D$19)&gt;0),'Your Team'!$C$19="F" ),1,0)</f>
        <v>0</v>
      </c>
      <c r="EZ40" s="9">
        <f>IF( AND((COUNTIF(EZ$2:EZ$33,'Your Team'!$D$3)&gt;0),'Your Team'!$C$3="F" ),1,0)+IF( AND((COUNTIF(EZ$2:EZ$33,'Your Team'!$D$4)&gt;0),'Your Team'!$C$4="F" ),1,0)+IF( AND((COUNTIF(EZ$2:EZ$33,'Your Team'!$D$5)&gt;0),'Your Team'!$C$5="F" ),1,0)+IF( AND((COUNTIF(EZ$2:EZ$33,'Your Team'!$D$6)&gt;0),'Your Team'!$C$6="F" ),1,0)+IF( AND((COUNTIF(EZ$2:EZ$33,'Your Team'!$D$7)&gt;0),'Your Team'!$C$7="F" ),1,0)+IF( AND((COUNTIF(EZ$2:EZ$33,'Your Team'!$D$8)&gt;0),'Your Team'!$C$8="F" ),1,0)+IF( AND((COUNTIF(EZ$2:EZ$33,'Your Team'!$D$9)&gt;0),'Your Team'!$C$9="F" ),1,0)+IF( AND((COUNTIF(EZ$2:EZ$33,'Your Team'!$D$10)&gt;0),'Your Team'!$C$10="F" ),1,0)+IF( AND((COUNTIF(EZ$2:EZ$33,'Your Team'!$D$11)&gt;0),'Your Team'!$C$11="F" ),1,0)+IF( AND((COUNTIF(EZ$2:EZ$33,'Your Team'!$D$12)&gt;0),'Your Team'!$C$12="F" ),1,0)+IF( AND((COUNTIF(EZ$2:EZ$33,'Your Team'!$D$13)&gt;0),'Your Team'!$C$13="F" ),1,0)+IF( AND((COUNTIF(EZ$2:EZ$33,'Your Team'!$D$14)&gt;0),'Your Team'!$C$14="F" ),1,0)+IF( AND((COUNTIF(EZ$2:EZ$33,'Your Team'!$D$15)&gt;0),'Your Team'!$C$15="F" ),1,0)+IF( AND((COUNTIF(EZ$2:EZ$33,'Your Team'!$D$16)&gt;0),'Your Team'!$C$16="F" ),1,0)+IF( AND((COUNTIF(EZ$2:EZ$33,'Your Team'!$D$17)&gt;0),'Your Team'!$C$17="F" ),1,0)+IF( AND((COUNTIF(EZ$2:EZ$33,'Your Team'!$D$18)&gt;0),'Your Team'!$C$18="F" ),1,0)+IF( AND((COUNTIF(EZ$2:EZ$33,'Your Team'!$D$19)&gt;0),'Your Team'!$C$19="F" ),1,0)</f>
        <v>0</v>
      </c>
      <c r="FA40" s="9">
        <f>IF( AND((COUNTIF(FA$2:FA$33,'Your Team'!$D$3)&gt;0),'Your Team'!$C$3="F" ),1,0)+IF( AND((COUNTIF(FA$2:FA$33,'Your Team'!$D$4)&gt;0),'Your Team'!$C$4="F" ),1,0)+IF( AND((COUNTIF(FA$2:FA$33,'Your Team'!$D$5)&gt;0),'Your Team'!$C$5="F" ),1,0)+IF( AND((COUNTIF(FA$2:FA$33,'Your Team'!$D$6)&gt;0),'Your Team'!$C$6="F" ),1,0)+IF( AND((COUNTIF(FA$2:FA$33,'Your Team'!$D$7)&gt;0),'Your Team'!$C$7="F" ),1,0)+IF( AND((COUNTIF(FA$2:FA$33,'Your Team'!$D$8)&gt;0),'Your Team'!$C$8="F" ),1,0)+IF( AND((COUNTIF(FA$2:FA$33,'Your Team'!$D$9)&gt;0),'Your Team'!$C$9="F" ),1,0)+IF( AND((COUNTIF(FA$2:FA$33,'Your Team'!$D$10)&gt;0),'Your Team'!$C$10="F" ),1,0)+IF( AND((COUNTIF(FA$2:FA$33,'Your Team'!$D$11)&gt;0),'Your Team'!$C$11="F" ),1,0)+IF( AND((COUNTIF(FA$2:FA$33,'Your Team'!$D$12)&gt;0),'Your Team'!$C$12="F" ),1,0)+IF( AND((COUNTIF(FA$2:FA$33,'Your Team'!$D$13)&gt;0),'Your Team'!$C$13="F" ),1,0)+IF( AND((COUNTIF(FA$2:FA$33,'Your Team'!$D$14)&gt;0),'Your Team'!$C$14="F" ),1,0)+IF( AND((COUNTIF(FA$2:FA$33,'Your Team'!$D$15)&gt;0),'Your Team'!$C$15="F" ),1,0)+IF( AND((COUNTIF(FA$2:FA$33,'Your Team'!$D$16)&gt;0),'Your Team'!$C$16="F" ),1,0)+IF( AND((COUNTIF(FA$2:FA$33,'Your Team'!$D$17)&gt;0),'Your Team'!$C$17="F" ),1,0)+IF( AND((COUNTIF(FA$2:FA$33,'Your Team'!$D$18)&gt;0),'Your Team'!$C$18="F" ),1,0)+IF( AND((COUNTIF(FA$2:FA$33,'Your Team'!$D$19)&gt;0),'Your Team'!$C$19="F" ),1,0)</f>
        <v>0</v>
      </c>
      <c r="FB40" s="9">
        <f>IF( AND((COUNTIF(FB$2:FB$33,'Your Team'!$D$3)&gt;0),'Your Team'!$C$3="F" ),1,0)+IF( AND((COUNTIF(FB$2:FB$33,'Your Team'!$D$4)&gt;0),'Your Team'!$C$4="F" ),1,0)+IF( AND((COUNTIF(FB$2:FB$33,'Your Team'!$D$5)&gt;0),'Your Team'!$C$5="F" ),1,0)+IF( AND((COUNTIF(FB$2:FB$33,'Your Team'!$D$6)&gt;0),'Your Team'!$C$6="F" ),1,0)+IF( AND((COUNTIF(FB$2:FB$33,'Your Team'!$D$7)&gt;0),'Your Team'!$C$7="F" ),1,0)+IF( AND((COUNTIF(FB$2:FB$33,'Your Team'!$D$8)&gt;0),'Your Team'!$C$8="F" ),1,0)+IF( AND((COUNTIF(FB$2:FB$33,'Your Team'!$D$9)&gt;0),'Your Team'!$C$9="F" ),1,0)+IF( AND((COUNTIF(FB$2:FB$33,'Your Team'!$D$10)&gt;0),'Your Team'!$C$10="F" ),1,0)+IF( AND((COUNTIF(FB$2:FB$33,'Your Team'!$D$11)&gt;0),'Your Team'!$C$11="F" ),1,0)+IF( AND((COUNTIF(FB$2:FB$33,'Your Team'!$D$12)&gt;0),'Your Team'!$C$12="F" ),1,0)+IF( AND((COUNTIF(FB$2:FB$33,'Your Team'!$D$13)&gt;0),'Your Team'!$C$13="F" ),1,0)+IF( AND((COUNTIF(FB$2:FB$33,'Your Team'!$D$14)&gt;0),'Your Team'!$C$14="F" ),1,0)+IF( AND((COUNTIF(FB$2:FB$33,'Your Team'!$D$15)&gt;0),'Your Team'!$C$15="F" ),1,0)+IF( AND((COUNTIF(FB$2:FB$33,'Your Team'!$D$16)&gt;0),'Your Team'!$C$16="F" ),1,0)+IF( AND((COUNTIF(FB$2:FB$33,'Your Team'!$D$17)&gt;0),'Your Team'!$C$17="F" ),1,0)+IF( AND((COUNTIF(FB$2:FB$33,'Your Team'!$D$18)&gt;0),'Your Team'!$C$18="F" ),1,0)+IF( AND((COUNTIF(FB$2:FB$33,'Your Team'!$D$19)&gt;0),'Your Team'!$C$19="F" ),1,0)</f>
        <v>0</v>
      </c>
      <c r="FC40" s="9">
        <f>IF( AND((COUNTIF(FC$2:FC$33,'Your Team'!$D$3)&gt;0),'Your Team'!$C$3="F" ),1,0)+IF( AND((COUNTIF(FC$2:FC$33,'Your Team'!$D$4)&gt;0),'Your Team'!$C$4="F" ),1,0)+IF( AND((COUNTIF(FC$2:FC$33,'Your Team'!$D$5)&gt;0),'Your Team'!$C$5="F" ),1,0)+IF( AND((COUNTIF(FC$2:FC$33,'Your Team'!$D$6)&gt;0),'Your Team'!$C$6="F" ),1,0)+IF( AND((COUNTIF(FC$2:FC$33,'Your Team'!$D$7)&gt;0),'Your Team'!$C$7="F" ),1,0)+IF( AND((COUNTIF(FC$2:FC$33,'Your Team'!$D$8)&gt;0),'Your Team'!$C$8="F" ),1,0)+IF( AND((COUNTIF(FC$2:FC$33,'Your Team'!$D$9)&gt;0),'Your Team'!$C$9="F" ),1,0)+IF( AND((COUNTIF(FC$2:FC$33,'Your Team'!$D$10)&gt;0),'Your Team'!$C$10="F" ),1,0)+IF( AND((COUNTIF(FC$2:FC$33,'Your Team'!$D$11)&gt;0),'Your Team'!$C$11="F" ),1,0)+IF( AND((COUNTIF(FC$2:FC$33,'Your Team'!$D$12)&gt;0),'Your Team'!$C$12="F" ),1,0)+IF( AND((COUNTIF(FC$2:FC$33,'Your Team'!$D$13)&gt;0),'Your Team'!$C$13="F" ),1,0)+IF( AND((COUNTIF(FC$2:FC$33,'Your Team'!$D$14)&gt;0),'Your Team'!$C$14="F" ),1,0)+IF( AND((COUNTIF(FC$2:FC$33,'Your Team'!$D$15)&gt;0),'Your Team'!$C$15="F" ),1,0)+IF( AND((COUNTIF(FC$2:FC$33,'Your Team'!$D$16)&gt;0),'Your Team'!$C$16="F" ),1,0)+IF( AND((COUNTIF(FC$2:FC$33,'Your Team'!$D$17)&gt;0),'Your Team'!$C$17="F" ),1,0)+IF( AND((COUNTIF(FC$2:FC$33,'Your Team'!$D$18)&gt;0),'Your Team'!$C$18="F" ),1,0)+IF( AND((COUNTIF(FC$2:FC$33,'Your Team'!$D$19)&gt;0),'Your Team'!$C$19="F" ),1,0)</f>
        <v>0</v>
      </c>
      <c r="FD40" s="9">
        <f>IF( AND((COUNTIF(FD$2:FD$33,'Your Team'!$D$3)&gt;0),'Your Team'!$C$3="F" ),1,0)+IF( AND((COUNTIF(FD$2:FD$33,'Your Team'!$D$4)&gt;0),'Your Team'!$C$4="F" ),1,0)+IF( AND((COUNTIF(FD$2:FD$33,'Your Team'!$D$5)&gt;0),'Your Team'!$C$5="F" ),1,0)+IF( AND((COUNTIF(FD$2:FD$33,'Your Team'!$D$6)&gt;0),'Your Team'!$C$6="F" ),1,0)+IF( AND((COUNTIF(FD$2:FD$33,'Your Team'!$D$7)&gt;0),'Your Team'!$C$7="F" ),1,0)+IF( AND((COUNTIF(FD$2:FD$33,'Your Team'!$D$8)&gt;0),'Your Team'!$C$8="F" ),1,0)+IF( AND((COUNTIF(FD$2:FD$33,'Your Team'!$D$9)&gt;0),'Your Team'!$C$9="F" ),1,0)+IF( AND((COUNTIF(FD$2:FD$33,'Your Team'!$D$10)&gt;0),'Your Team'!$C$10="F" ),1,0)+IF( AND((COUNTIF(FD$2:FD$33,'Your Team'!$D$11)&gt;0),'Your Team'!$C$11="F" ),1,0)+IF( AND((COUNTIF(FD$2:FD$33,'Your Team'!$D$12)&gt;0),'Your Team'!$C$12="F" ),1,0)+IF( AND((COUNTIF(FD$2:FD$33,'Your Team'!$D$13)&gt;0),'Your Team'!$C$13="F" ),1,0)+IF( AND((COUNTIF(FD$2:FD$33,'Your Team'!$D$14)&gt;0),'Your Team'!$C$14="F" ),1,0)+IF( AND((COUNTIF(FD$2:FD$33,'Your Team'!$D$15)&gt;0),'Your Team'!$C$15="F" ),1,0)+IF( AND((COUNTIF(FD$2:FD$33,'Your Team'!$D$16)&gt;0),'Your Team'!$C$16="F" ),1,0)+IF( AND((COUNTIF(FD$2:FD$33,'Your Team'!$D$17)&gt;0),'Your Team'!$C$17="F" ),1,0)+IF( AND((COUNTIF(FD$2:FD$33,'Your Team'!$D$18)&gt;0),'Your Team'!$C$18="F" ),1,0)+IF( AND((COUNTIF(FD$2:FD$33,'Your Team'!$D$19)&gt;0),'Your Team'!$C$19="F" ),1,0)</f>
        <v>0</v>
      </c>
      <c r="FE40" s="9">
        <f>IF( AND((COUNTIF(FE$2:FE$33,'Your Team'!$D$3)&gt;0),'Your Team'!$C$3="F" ),1,0)+IF( AND((COUNTIF(FE$2:FE$33,'Your Team'!$D$4)&gt;0),'Your Team'!$C$4="F" ),1,0)+IF( AND((COUNTIF(FE$2:FE$33,'Your Team'!$D$5)&gt;0),'Your Team'!$C$5="F" ),1,0)+IF( AND((COUNTIF(FE$2:FE$33,'Your Team'!$D$6)&gt;0),'Your Team'!$C$6="F" ),1,0)+IF( AND((COUNTIF(FE$2:FE$33,'Your Team'!$D$7)&gt;0),'Your Team'!$C$7="F" ),1,0)+IF( AND((COUNTIF(FE$2:FE$33,'Your Team'!$D$8)&gt;0),'Your Team'!$C$8="F" ),1,0)+IF( AND((COUNTIF(FE$2:FE$33,'Your Team'!$D$9)&gt;0),'Your Team'!$C$9="F" ),1,0)+IF( AND((COUNTIF(FE$2:FE$33,'Your Team'!$D$10)&gt;0),'Your Team'!$C$10="F" ),1,0)+IF( AND((COUNTIF(FE$2:FE$33,'Your Team'!$D$11)&gt;0),'Your Team'!$C$11="F" ),1,0)+IF( AND((COUNTIF(FE$2:FE$33,'Your Team'!$D$12)&gt;0),'Your Team'!$C$12="F" ),1,0)+IF( AND((COUNTIF(FE$2:FE$33,'Your Team'!$D$13)&gt;0),'Your Team'!$C$13="F" ),1,0)+IF( AND((COUNTIF(FE$2:FE$33,'Your Team'!$D$14)&gt;0),'Your Team'!$C$14="F" ),1,0)+IF( AND((COUNTIF(FE$2:FE$33,'Your Team'!$D$15)&gt;0),'Your Team'!$C$15="F" ),1,0)+IF( AND((COUNTIF(FE$2:FE$33,'Your Team'!$D$16)&gt;0),'Your Team'!$C$16="F" ),1,0)+IF( AND((COUNTIF(FE$2:FE$33,'Your Team'!$D$17)&gt;0),'Your Team'!$C$17="F" ),1,0)+IF( AND((COUNTIF(FE$2:FE$33,'Your Team'!$D$18)&gt;0),'Your Team'!$C$18="F" ),1,0)+IF( AND((COUNTIF(FE$2:FE$33,'Your Team'!$D$19)&gt;0),'Your Team'!$C$19="F" ),1,0)</f>
        <v>0</v>
      </c>
      <c r="FF40" s="9">
        <f>IF( AND((COUNTIF(FF$2:FF$33,'Your Team'!$D$3)&gt;0),'Your Team'!$C$3="F" ),1,0)+IF( AND((COUNTIF(FF$2:FF$33,'Your Team'!$D$4)&gt;0),'Your Team'!$C$4="F" ),1,0)+IF( AND((COUNTIF(FF$2:FF$33,'Your Team'!$D$5)&gt;0),'Your Team'!$C$5="F" ),1,0)+IF( AND((COUNTIF(FF$2:FF$33,'Your Team'!$D$6)&gt;0),'Your Team'!$C$6="F" ),1,0)+IF( AND((COUNTIF(FF$2:FF$33,'Your Team'!$D$7)&gt;0),'Your Team'!$C$7="F" ),1,0)+IF( AND((COUNTIF(FF$2:FF$33,'Your Team'!$D$8)&gt;0),'Your Team'!$C$8="F" ),1,0)+IF( AND((COUNTIF(FF$2:FF$33,'Your Team'!$D$9)&gt;0),'Your Team'!$C$9="F" ),1,0)+IF( AND((COUNTIF(FF$2:FF$33,'Your Team'!$D$10)&gt;0),'Your Team'!$C$10="F" ),1,0)+IF( AND((COUNTIF(FF$2:FF$33,'Your Team'!$D$11)&gt;0),'Your Team'!$C$11="F" ),1,0)+IF( AND((COUNTIF(FF$2:FF$33,'Your Team'!$D$12)&gt;0),'Your Team'!$C$12="F" ),1,0)+IF( AND((COUNTIF(FF$2:FF$33,'Your Team'!$D$13)&gt;0),'Your Team'!$C$13="F" ),1,0)+IF( AND((COUNTIF(FF$2:FF$33,'Your Team'!$D$14)&gt;0),'Your Team'!$C$14="F" ),1,0)+IF( AND((COUNTIF(FF$2:FF$33,'Your Team'!$D$15)&gt;0),'Your Team'!$C$15="F" ),1,0)+IF( AND((COUNTIF(FF$2:FF$33,'Your Team'!$D$16)&gt;0),'Your Team'!$C$16="F" ),1,0)+IF( AND((COUNTIF(FF$2:FF$33,'Your Team'!$D$17)&gt;0),'Your Team'!$C$17="F" ),1,0)+IF( AND((COUNTIF(FF$2:FF$33,'Your Team'!$D$18)&gt;0),'Your Team'!$C$18="F" ),1,0)+IF( AND((COUNTIF(FF$2:FF$33,'Your Team'!$D$19)&gt;0),'Your Team'!$C$19="F" ),1,0)</f>
        <v>0</v>
      </c>
      <c r="FG40" s="9">
        <f>IF( AND((COUNTIF(FG$2:FG$33,'Your Team'!$D$3)&gt;0),'Your Team'!$C$3="F" ),1,0)+IF( AND((COUNTIF(FG$2:FG$33,'Your Team'!$D$4)&gt;0),'Your Team'!$C$4="F" ),1,0)+IF( AND((COUNTIF(FG$2:FG$33,'Your Team'!$D$5)&gt;0),'Your Team'!$C$5="F" ),1,0)+IF( AND((COUNTIF(FG$2:FG$33,'Your Team'!$D$6)&gt;0),'Your Team'!$C$6="F" ),1,0)+IF( AND((COUNTIF(FG$2:FG$33,'Your Team'!$D$7)&gt;0),'Your Team'!$C$7="F" ),1,0)+IF( AND((COUNTIF(FG$2:FG$33,'Your Team'!$D$8)&gt;0),'Your Team'!$C$8="F" ),1,0)+IF( AND((COUNTIF(FG$2:FG$33,'Your Team'!$D$9)&gt;0),'Your Team'!$C$9="F" ),1,0)+IF( AND((COUNTIF(FG$2:FG$33,'Your Team'!$D$10)&gt;0),'Your Team'!$C$10="F" ),1,0)+IF( AND((COUNTIF(FG$2:FG$33,'Your Team'!$D$11)&gt;0),'Your Team'!$C$11="F" ),1,0)+IF( AND((COUNTIF(FG$2:FG$33,'Your Team'!$D$12)&gt;0),'Your Team'!$C$12="F" ),1,0)+IF( AND((COUNTIF(FG$2:FG$33,'Your Team'!$D$13)&gt;0),'Your Team'!$C$13="F" ),1,0)+IF( AND((COUNTIF(FG$2:FG$33,'Your Team'!$D$14)&gt;0),'Your Team'!$C$14="F" ),1,0)+IF( AND((COUNTIF(FG$2:FG$33,'Your Team'!$D$15)&gt;0),'Your Team'!$C$15="F" ),1,0)+IF( AND((COUNTIF(FG$2:FG$33,'Your Team'!$D$16)&gt;0),'Your Team'!$C$16="F" ),1,0)+IF( AND((COUNTIF(FG$2:FG$33,'Your Team'!$D$17)&gt;0),'Your Team'!$C$17="F" ),1,0)+IF( AND((COUNTIF(FG$2:FG$33,'Your Team'!$D$18)&gt;0),'Your Team'!$C$18="F" ),1,0)+IF( AND((COUNTIF(FG$2:FG$33,'Your Team'!$D$19)&gt;0),'Your Team'!$C$19="F" ),1,0)</f>
        <v>0</v>
      </c>
      <c r="FH40" s="9">
        <f>IF( AND((COUNTIF(FH$2:FH$33,'Your Team'!$D$3)&gt;0),'Your Team'!$C$3="F" ),1,0)+IF( AND((COUNTIF(FH$2:FH$33,'Your Team'!$D$4)&gt;0),'Your Team'!$C$4="F" ),1,0)+IF( AND((COUNTIF(FH$2:FH$33,'Your Team'!$D$5)&gt;0),'Your Team'!$C$5="F" ),1,0)+IF( AND((COUNTIF(FH$2:FH$33,'Your Team'!$D$6)&gt;0),'Your Team'!$C$6="F" ),1,0)+IF( AND((COUNTIF(FH$2:FH$33,'Your Team'!$D$7)&gt;0),'Your Team'!$C$7="F" ),1,0)+IF( AND((COUNTIF(FH$2:FH$33,'Your Team'!$D$8)&gt;0),'Your Team'!$C$8="F" ),1,0)+IF( AND((COUNTIF(FH$2:FH$33,'Your Team'!$D$9)&gt;0),'Your Team'!$C$9="F" ),1,0)+IF( AND((COUNTIF(FH$2:FH$33,'Your Team'!$D$10)&gt;0),'Your Team'!$C$10="F" ),1,0)+IF( AND((COUNTIF(FH$2:FH$33,'Your Team'!$D$11)&gt;0),'Your Team'!$C$11="F" ),1,0)+IF( AND((COUNTIF(FH$2:FH$33,'Your Team'!$D$12)&gt;0),'Your Team'!$C$12="F" ),1,0)+IF( AND((COUNTIF(FH$2:FH$33,'Your Team'!$D$13)&gt;0),'Your Team'!$C$13="F" ),1,0)+IF( AND((COUNTIF(FH$2:FH$33,'Your Team'!$D$14)&gt;0),'Your Team'!$C$14="F" ),1,0)+IF( AND((COUNTIF(FH$2:FH$33,'Your Team'!$D$15)&gt;0),'Your Team'!$C$15="F" ),1,0)+IF( AND((COUNTIF(FH$2:FH$33,'Your Team'!$D$16)&gt;0),'Your Team'!$C$16="F" ),1,0)+IF( AND((COUNTIF(FH$2:FH$33,'Your Team'!$D$17)&gt;0),'Your Team'!$C$17="F" ),1,0)+IF( AND((COUNTIF(FH$2:FH$33,'Your Team'!$D$18)&gt;0),'Your Team'!$C$18="F" ),1,0)+IF( AND((COUNTIF(FH$2:FH$33,'Your Team'!$D$19)&gt;0),'Your Team'!$C$19="F" ),1,0)</f>
        <v>0</v>
      </c>
      <c r="FI40" s="9">
        <f>IF( AND((COUNTIF(FI$2:FI$33,'Your Team'!$D$3)&gt;0),'Your Team'!$C$3="F" ),1,0)+IF( AND((COUNTIF(FI$2:FI$33,'Your Team'!$D$4)&gt;0),'Your Team'!$C$4="F" ),1,0)+IF( AND((COUNTIF(FI$2:FI$33,'Your Team'!$D$5)&gt;0),'Your Team'!$C$5="F" ),1,0)+IF( AND((COUNTIF(FI$2:FI$33,'Your Team'!$D$6)&gt;0),'Your Team'!$C$6="F" ),1,0)+IF( AND((COUNTIF(FI$2:FI$33,'Your Team'!$D$7)&gt;0),'Your Team'!$C$7="F" ),1,0)+IF( AND((COUNTIF(FI$2:FI$33,'Your Team'!$D$8)&gt;0),'Your Team'!$C$8="F" ),1,0)+IF( AND((COUNTIF(FI$2:FI$33,'Your Team'!$D$9)&gt;0),'Your Team'!$C$9="F" ),1,0)+IF( AND((COUNTIF(FI$2:FI$33,'Your Team'!$D$10)&gt;0),'Your Team'!$C$10="F" ),1,0)+IF( AND((COUNTIF(FI$2:FI$33,'Your Team'!$D$11)&gt;0),'Your Team'!$C$11="F" ),1,0)+IF( AND((COUNTIF(FI$2:FI$33,'Your Team'!$D$12)&gt;0),'Your Team'!$C$12="F" ),1,0)+IF( AND((COUNTIF(FI$2:FI$33,'Your Team'!$D$13)&gt;0),'Your Team'!$C$13="F" ),1,0)+IF( AND((COUNTIF(FI$2:FI$33,'Your Team'!$D$14)&gt;0),'Your Team'!$C$14="F" ),1,0)+IF( AND((COUNTIF(FI$2:FI$33,'Your Team'!$D$15)&gt;0),'Your Team'!$C$15="F" ),1,0)+IF( AND((COUNTIF(FI$2:FI$33,'Your Team'!$D$16)&gt;0),'Your Team'!$C$16="F" ),1,0)+IF( AND((COUNTIF(FI$2:FI$33,'Your Team'!$D$17)&gt;0),'Your Team'!$C$17="F" ),1,0)+IF( AND((COUNTIF(FI$2:FI$33,'Your Team'!$D$18)&gt;0),'Your Team'!$C$18="F" ),1,0)+IF( AND((COUNTIF(FI$2:FI$33,'Your Team'!$D$19)&gt;0),'Your Team'!$C$19="F" ),1,0)</f>
        <v>0</v>
      </c>
      <c r="FJ40" s="9">
        <f>IF( AND((COUNTIF(FJ$2:FJ$33,'Your Team'!$D$3)&gt;0),'Your Team'!$C$3="F" ),1,0)+IF( AND((COUNTIF(FJ$2:FJ$33,'Your Team'!$D$4)&gt;0),'Your Team'!$C$4="F" ),1,0)+IF( AND((COUNTIF(FJ$2:FJ$33,'Your Team'!$D$5)&gt;0),'Your Team'!$C$5="F" ),1,0)+IF( AND((COUNTIF(FJ$2:FJ$33,'Your Team'!$D$6)&gt;0),'Your Team'!$C$6="F" ),1,0)+IF( AND((COUNTIF(FJ$2:FJ$33,'Your Team'!$D$7)&gt;0),'Your Team'!$C$7="F" ),1,0)+IF( AND((COUNTIF(FJ$2:FJ$33,'Your Team'!$D$8)&gt;0),'Your Team'!$C$8="F" ),1,0)+IF( AND((COUNTIF(FJ$2:FJ$33,'Your Team'!$D$9)&gt;0),'Your Team'!$C$9="F" ),1,0)+IF( AND((COUNTIF(FJ$2:FJ$33,'Your Team'!$D$10)&gt;0),'Your Team'!$C$10="F" ),1,0)+IF( AND((COUNTIF(FJ$2:FJ$33,'Your Team'!$D$11)&gt;0),'Your Team'!$C$11="F" ),1,0)+IF( AND((COUNTIF(FJ$2:FJ$33,'Your Team'!$D$12)&gt;0),'Your Team'!$C$12="F" ),1,0)+IF( AND((COUNTIF(FJ$2:FJ$33,'Your Team'!$D$13)&gt;0),'Your Team'!$C$13="F" ),1,0)+IF( AND((COUNTIF(FJ$2:FJ$33,'Your Team'!$D$14)&gt;0),'Your Team'!$C$14="F" ),1,0)+IF( AND((COUNTIF(FJ$2:FJ$33,'Your Team'!$D$15)&gt;0),'Your Team'!$C$15="F" ),1,0)+IF( AND((COUNTIF(FJ$2:FJ$33,'Your Team'!$D$16)&gt;0),'Your Team'!$C$16="F" ),1,0)+IF( AND((COUNTIF(FJ$2:FJ$33,'Your Team'!$D$17)&gt;0),'Your Team'!$C$17="F" ),1,0)+IF( AND((COUNTIF(FJ$2:FJ$33,'Your Team'!$D$18)&gt;0),'Your Team'!$C$18="F" ),1,0)+IF( AND((COUNTIF(FJ$2:FJ$33,'Your Team'!$D$19)&gt;0),'Your Team'!$C$19="F" ),1,0)</f>
        <v>0</v>
      </c>
      <c r="FK40" s="9">
        <f>IF( AND((COUNTIF(FK$2:FK$33,'Your Team'!$D$3)&gt;0),'Your Team'!$C$3="F" ),1,0)+IF( AND((COUNTIF(FK$2:FK$33,'Your Team'!$D$4)&gt;0),'Your Team'!$C$4="F" ),1,0)+IF( AND((COUNTIF(FK$2:FK$33,'Your Team'!$D$5)&gt;0),'Your Team'!$C$5="F" ),1,0)+IF( AND((COUNTIF(FK$2:FK$33,'Your Team'!$D$6)&gt;0),'Your Team'!$C$6="F" ),1,0)+IF( AND((COUNTIF(FK$2:FK$33,'Your Team'!$D$7)&gt;0),'Your Team'!$C$7="F" ),1,0)+IF( AND((COUNTIF(FK$2:FK$33,'Your Team'!$D$8)&gt;0),'Your Team'!$C$8="F" ),1,0)+IF( AND((COUNTIF(FK$2:FK$33,'Your Team'!$D$9)&gt;0),'Your Team'!$C$9="F" ),1,0)+IF( AND((COUNTIF(FK$2:FK$33,'Your Team'!$D$10)&gt;0),'Your Team'!$C$10="F" ),1,0)+IF( AND((COUNTIF(FK$2:FK$33,'Your Team'!$D$11)&gt;0),'Your Team'!$C$11="F" ),1,0)+IF( AND((COUNTIF(FK$2:FK$33,'Your Team'!$D$12)&gt;0),'Your Team'!$C$12="F" ),1,0)+IF( AND((COUNTIF(FK$2:FK$33,'Your Team'!$D$13)&gt;0),'Your Team'!$C$13="F" ),1,0)+IF( AND((COUNTIF(FK$2:FK$33,'Your Team'!$D$14)&gt;0),'Your Team'!$C$14="F" ),1,0)+IF( AND((COUNTIF(FK$2:FK$33,'Your Team'!$D$15)&gt;0),'Your Team'!$C$15="F" ),1,0)+IF( AND((COUNTIF(FK$2:FK$33,'Your Team'!$D$16)&gt;0),'Your Team'!$C$16="F" ),1,0)+IF( AND((COUNTIF(FK$2:FK$33,'Your Team'!$D$17)&gt;0),'Your Team'!$C$17="F" ),1,0)+IF( AND((COUNTIF(FK$2:FK$33,'Your Team'!$D$18)&gt;0),'Your Team'!$C$18="F" ),1,0)+IF( AND((COUNTIF(FK$2:FK$33,'Your Team'!$D$19)&gt;0),'Your Team'!$C$19="F" ),1,0)</f>
        <v>0</v>
      </c>
      <c r="FL40" s="9">
        <f>IF( AND((COUNTIF(FL$2:FL$33,'Your Team'!$D$3)&gt;0),'Your Team'!$C$3="F" ),1,0)+IF( AND((COUNTIF(FL$2:FL$33,'Your Team'!$D$4)&gt;0),'Your Team'!$C$4="F" ),1,0)+IF( AND((COUNTIF(FL$2:FL$33,'Your Team'!$D$5)&gt;0),'Your Team'!$C$5="F" ),1,0)+IF( AND((COUNTIF(FL$2:FL$33,'Your Team'!$D$6)&gt;0),'Your Team'!$C$6="F" ),1,0)+IF( AND((COUNTIF(FL$2:FL$33,'Your Team'!$D$7)&gt;0),'Your Team'!$C$7="F" ),1,0)+IF( AND((COUNTIF(FL$2:FL$33,'Your Team'!$D$8)&gt;0),'Your Team'!$C$8="F" ),1,0)+IF( AND((COUNTIF(FL$2:FL$33,'Your Team'!$D$9)&gt;0),'Your Team'!$C$9="F" ),1,0)+IF( AND((COUNTIF(FL$2:FL$33,'Your Team'!$D$10)&gt;0),'Your Team'!$C$10="F" ),1,0)+IF( AND((COUNTIF(FL$2:FL$33,'Your Team'!$D$11)&gt;0),'Your Team'!$C$11="F" ),1,0)+IF( AND((COUNTIF(FL$2:FL$33,'Your Team'!$D$12)&gt;0),'Your Team'!$C$12="F" ),1,0)+IF( AND((COUNTIF(FL$2:FL$33,'Your Team'!$D$13)&gt;0),'Your Team'!$C$13="F" ),1,0)+IF( AND((COUNTIF(FL$2:FL$33,'Your Team'!$D$14)&gt;0),'Your Team'!$C$14="F" ),1,0)+IF( AND((COUNTIF(FL$2:FL$33,'Your Team'!$D$15)&gt;0),'Your Team'!$C$15="F" ),1,0)+IF( AND((COUNTIF(FL$2:FL$33,'Your Team'!$D$16)&gt;0),'Your Team'!$C$16="F" ),1,0)+IF( AND((COUNTIF(FL$2:FL$33,'Your Team'!$D$17)&gt;0),'Your Team'!$C$17="F" ),1,0)+IF( AND((COUNTIF(FL$2:FL$33,'Your Team'!$D$18)&gt;0),'Your Team'!$C$18="F" ),1,0)+IF( AND((COUNTIF(FL$2:FL$33,'Your Team'!$D$19)&gt;0),'Your Team'!$C$19="F" ),1,0)</f>
        <v>0</v>
      </c>
      <c r="FM40" s="9">
        <f>IF( AND((COUNTIF(FM$2:FM$33,'Your Team'!$D$3)&gt;0),'Your Team'!$C$3="F" ),1,0)+IF( AND((COUNTIF(FM$2:FM$33,'Your Team'!$D$4)&gt;0),'Your Team'!$C$4="F" ),1,0)+IF( AND((COUNTIF(FM$2:FM$33,'Your Team'!$D$5)&gt;0),'Your Team'!$C$5="F" ),1,0)+IF( AND((COUNTIF(FM$2:FM$33,'Your Team'!$D$6)&gt;0),'Your Team'!$C$6="F" ),1,0)+IF( AND((COUNTIF(FM$2:FM$33,'Your Team'!$D$7)&gt;0),'Your Team'!$C$7="F" ),1,0)+IF( AND((COUNTIF(FM$2:FM$33,'Your Team'!$D$8)&gt;0),'Your Team'!$C$8="F" ),1,0)+IF( AND((COUNTIF(FM$2:FM$33,'Your Team'!$D$9)&gt;0),'Your Team'!$C$9="F" ),1,0)+IF( AND((COUNTIF(FM$2:FM$33,'Your Team'!$D$10)&gt;0),'Your Team'!$C$10="F" ),1,0)+IF( AND((COUNTIF(FM$2:FM$33,'Your Team'!$D$11)&gt;0),'Your Team'!$C$11="F" ),1,0)+IF( AND((COUNTIF(FM$2:FM$33,'Your Team'!$D$12)&gt;0),'Your Team'!$C$12="F" ),1,0)+IF( AND((COUNTIF(FM$2:FM$33,'Your Team'!$D$13)&gt;0),'Your Team'!$C$13="F" ),1,0)+IF( AND((COUNTIF(FM$2:FM$33,'Your Team'!$D$14)&gt;0),'Your Team'!$C$14="F" ),1,0)+IF( AND((COUNTIF(FM$2:FM$33,'Your Team'!$D$15)&gt;0),'Your Team'!$C$15="F" ),1,0)+IF( AND((COUNTIF(FM$2:FM$33,'Your Team'!$D$16)&gt;0),'Your Team'!$C$16="F" ),1,0)+IF( AND((COUNTIF(FM$2:FM$33,'Your Team'!$D$17)&gt;0),'Your Team'!$C$17="F" ),1,0)+IF( AND((COUNTIF(FM$2:FM$33,'Your Team'!$D$18)&gt;0),'Your Team'!$C$18="F" ),1,0)+IF( AND((COUNTIF(FM$2:FM$33,'Your Team'!$D$19)&gt;0),'Your Team'!$C$19="F" ),1,0)</f>
        <v>0</v>
      </c>
      <c r="FN40" s="9">
        <f>IF( AND((COUNTIF(FN$2:FN$33,'Your Team'!$D$3)&gt;0),'Your Team'!$C$3="F" ),1,0)+IF( AND((COUNTIF(FN$2:FN$33,'Your Team'!$D$4)&gt;0),'Your Team'!$C$4="F" ),1,0)+IF( AND((COUNTIF(FN$2:FN$33,'Your Team'!$D$5)&gt;0),'Your Team'!$C$5="F" ),1,0)+IF( AND((COUNTIF(FN$2:FN$33,'Your Team'!$D$6)&gt;0),'Your Team'!$C$6="F" ),1,0)+IF( AND((COUNTIF(FN$2:FN$33,'Your Team'!$D$7)&gt;0),'Your Team'!$C$7="F" ),1,0)+IF( AND((COUNTIF(FN$2:FN$33,'Your Team'!$D$8)&gt;0),'Your Team'!$C$8="F" ),1,0)+IF( AND((COUNTIF(FN$2:FN$33,'Your Team'!$D$9)&gt;0),'Your Team'!$C$9="F" ),1,0)+IF( AND((COUNTIF(FN$2:FN$33,'Your Team'!$D$10)&gt;0),'Your Team'!$C$10="F" ),1,0)+IF( AND((COUNTIF(FN$2:FN$33,'Your Team'!$D$11)&gt;0),'Your Team'!$C$11="F" ),1,0)+IF( AND((COUNTIF(FN$2:FN$33,'Your Team'!$D$12)&gt;0),'Your Team'!$C$12="F" ),1,0)+IF( AND((COUNTIF(FN$2:FN$33,'Your Team'!$D$13)&gt;0),'Your Team'!$C$13="F" ),1,0)+IF( AND((COUNTIF(FN$2:FN$33,'Your Team'!$D$14)&gt;0),'Your Team'!$C$14="F" ),1,0)+IF( AND((COUNTIF(FN$2:FN$33,'Your Team'!$D$15)&gt;0),'Your Team'!$C$15="F" ),1,0)+IF( AND((COUNTIF(FN$2:FN$33,'Your Team'!$D$16)&gt;0),'Your Team'!$C$16="F" ),1,0)+IF( AND((COUNTIF(FN$2:FN$33,'Your Team'!$D$17)&gt;0),'Your Team'!$C$17="F" ),1,0)+IF( AND((COUNTIF(FN$2:FN$33,'Your Team'!$D$18)&gt;0),'Your Team'!$C$18="F" ),1,0)+IF( AND((COUNTIF(FN$2:FN$33,'Your Team'!$D$19)&gt;0),'Your Team'!$C$19="F" ),1,0)</f>
        <v>0</v>
      </c>
      <c r="FO40" s="9">
        <f>IF( AND((COUNTIF(FO$2:FO$33,'Your Team'!$D$3)&gt;0),'Your Team'!$C$3="F" ),1,0)+IF( AND((COUNTIF(FO$2:FO$33,'Your Team'!$D$4)&gt;0),'Your Team'!$C$4="F" ),1,0)+IF( AND((COUNTIF(FO$2:FO$33,'Your Team'!$D$5)&gt;0),'Your Team'!$C$5="F" ),1,0)+IF( AND((COUNTIF(FO$2:FO$33,'Your Team'!$D$6)&gt;0),'Your Team'!$C$6="F" ),1,0)+IF( AND((COUNTIF(FO$2:FO$33,'Your Team'!$D$7)&gt;0),'Your Team'!$C$7="F" ),1,0)+IF( AND((COUNTIF(FO$2:FO$33,'Your Team'!$D$8)&gt;0),'Your Team'!$C$8="F" ),1,0)+IF( AND((COUNTIF(FO$2:FO$33,'Your Team'!$D$9)&gt;0),'Your Team'!$C$9="F" ),1,0)+IF( AND((COUNTIF(FO$2:FO$33,'Your Team'!$D$10)&gt;0),'Your Team'!$C$10="F" ),1,0)+IF( AND((COUNTIF(FO$2:FO$33,'Your Team'!$D$11)&gt;0),'Your Team'!$C$11="F" ),1,0)+IF( AND((COUNTIF(FO$2:FO$33,'Your Team'!$D$12)&gt;0),'Your Team'!$C$12="F" ),1,0)+IF( AND((COUNTIF(FO$2:FO$33,'Your Team'!$D$13)&gt;0),'Your Team'!$C$13="F" ),1,0)+IF( AND((COUNTIF(FO$2:FO$33,'Your Team'!$D$14)&gt;0),'Your Team'!$C$14="F" ),1,0)+IF( AND((COUNTIF(FO$2:FO$33,'Your Team'!$D$15)&gt;0),'Your Team'!$C$15="F" ),1,0)+IF( AND((COUNTIF(FO$2:FO$33,'Your Team'!$D$16)&gt;0),'Your Team'!$C$16="F" ),1,0)+IF( AND((COUNTIF(FO$2:FO$33,'Your Team'!$D$17)&gt;0),'Your Team'!$C$17="F" ),1,0)+IF( AND((COUNTIF(FO$2:FO$33,'Your Team'!$D$18)&gt;0),'Your Team'!$C$18="F" ),1,0)+IF( AND((COUNTIF(FO$2:FO$33,'Your Team'!$D$19)&gt;0),'Your Team'!$C$19="F" ),1,0)</f>
        <v>0</v>
      </c>
      <c r="FP40" s="9">
        <f>IF( AND((COUNTIF(FP$2:FP$33,'Your Team'!$D$3)&gt;0),'Your Team'!$C$3="F" ),1,0)+IF( AND((COUNTIF(FP$2:FP$33,'Your Team'!$D$4)&gt;0),'Your Team'!$C$4="F" ),1,0)+IF( AND((COUNTIF(FP$2:FP$33,'Your Team'!$D$5)&gt;0),'Your Team'!$C$5="F" ),1,0)+IF( AND((COUNTIF(FP$2:FP$33,'Your Team'!$D$6)&gt;0),'Your Team'!$C$6="F" ),1,0)+IF( AND((COUNTIF(FP$2:FP$33,'Your Team'!$D$7)&gt;0),'Your Team'!$C$7="F" ),1,0)+IF( AND((COUNTIF(FP$2:FP$33,'Your Team'!$D$8)&gt;0),'Your Team'!$C$8="F" ),1,0)+IF( AND((COUNTIF(FP$2:FP$33,'Your Team'!$D$9)&gt;0),'Your Team'!$C$9="F" ),1,0)+IF( AND((COUNTIF(FP$2:FP$33,'Your Team'!$D$10)&gt;0),'Your Team'!$C$10="F" ),1,0)+IF( AND((COUNTIF(FP$2:FP$33,'Your Team'!$D$11)&gt;0),'Your Team'!$C$11="F" ),1,0)+IF( AND((COUNTIF(FP$2:FP$33,'Your Team'!$D$12)&gt;0),'Your Team'!$C$12="F" ),1,0)+IF( AND((COUNTIF(FP$2:FP$33,'Your Team'!$D$13)&gt;0),'Your Team'!$C$13="F" ),1,0)+IF( AND((COUNTIF(FP$2:FP$33,'Your Team'!$D$14)&gt;0),'Your Team'!$C$14="F" ),1,0)+IF( AND((COUNTIF(FP$2:FP$33,'Your Team'!$D$15)&gt;0),'Your Team'!$C$15="F" ),1,0)+IF( AND((COUNTIF(FP$2:FP$33,'Your Team'!$D$16)&gt;0),'Your Team'!$C$16="F" ),1,0)+IF( AND((COUNTIF(FP$2:FP$33,'Your Team'!$D$17)&gt;0),'Your Team'!$C$17="F" ),1,0)+IF( AND((COUNTIF(FP$2:FP$33,'Your Team'!$D$18)&gt;0),'Your Team'!$C$18="F" ),1,0)+IF( AND((COUNTIF(FP$2:FP$33,'Your Team'!$D$19)&gt;0),'Your Team'!$C$19="F" ),1,0)</f>
        <v>0</v>
      </c>
      <c r="FQ40" s="9">
        <f>IF( AND((COUNTIF(FQ$2:FQ$33,'Your Team'!$D$3)&gt;0),'Your Team'!$C$3="F" ),1,0)+IF( AND((COUNTIF(FQ$2:FQ$33,'Your Team'!$D$4)&gt;0),'Your Team'!$C$4="F" ),1,0)+IF( AND((COUNTIF(FQ$2:FQ$33,'Your Team'!$D$5)&gt;0),'Your Team'!$C$5="F" ),1,0)+IF( AND((COUNTIF(FQ$2:FQ$33,'Your Team'!$D$6)&gt;0),'Your Team'!$C$6="F" ),1,0)+IF( AND((COUNTIF(FQ$2:FQ$33,'Your Team'!$D$7)&gt;0),'Your Team'!$C$7="F" ),1,0)+IF( AND((COUNTIF(FQ$2:FQ$33,'Your Team'!$D$8)&gt;0),'Your Team'!$C$8="F" ),1,0)+IF( AND((COUNTIF(FQ$2:FQ$33,'Your Team'!$D$9)&gt;0),'Your Team'!$C$9="F" ),1,0)+IF( AND((COUNTIF(FQ$2:FQ$33,'Your Team'!$D$10)&gt;0),'Your Team'!$C$10="F" ),1,0)+IF( AND((COUNTIF(FQ$2:FQ$33,'Your Team'!$D$11)&gt;0),'Your Team'!$C$11="F" ),1,0)+IF( AND((COUNTIF(FQ$2:FQ$33,'Your Team'!$D$12)&gt;0),'Your Team'!$C$12="F" ),1,0)+IF( AND((COUNTIF(FQ$2:FQ$33,'Your Team'!$D$13)&gt;0),'Your Team'!$C$13="F" ),1,0)+IF( AND((COUNTIF(FQ$2:FQ$33,'Your Team'!$D$14)&gt;0),'Your Team'!$C$14="F" ),1,0)+IF( AND((COUNTIF(FQ$2:FQ$33,'Your Team'!$D$15)&gt;0),'Your Team'!$C$15="F" ),1,0)+IF( AND((COUNTIF(FQ$2:FQ$33,'Your Team'!$D$16)&gt;0),'Your Team'!$C$16="F" ),1,0)+IF( AND((COUNTIF(FQ$2:FQ$33,'Your Team'!$D$17)&gt;0),'Your Team'!$C$17="F" ),1,0)+IF( AND((COUNTIF(FQ$2:FQ$33,'Your Team'!$D$18)&gt;0),'Your Team'!$C$18="F" ),1,0)+IF( AND((COUNTIF(FQ$2:FQ$33,'Your Team'!$D$19)&gt;0),'Your Team'!$C$19="F" ),1,0)</f>
        <v>0</v>
      </c>
      <c r="FR40" s="9">
        <f>IF( AND((COUNTIF(FR$2:FR$33,'Your Team'!$D$3)&gt;0),'Your Team'!$C$3="F" ),1,0)+IF( AND((COUNTIF(FR$2:FR$33,'Your Team'!$D$4)&gt;0),'Your Team'!$C$4="F" ),1,0)+IF( AND((COUNTIF(FR$2:FR$33,'Your Team'!$D$5)&gt;0),'Your Team'!$C$5="F" ),1,0)+IF( AND((COUNTIF(FR$2:FR$33,'Your Team'!$D$6)&gt;0),'Your Team'!$C$6="F" ),1,0)+IF( AND((COUNTIF(FR$2:FR$33,'Your Team'!$D$7)&gt;0),'Your Team'!$C$7="F" ),1,0)+IF( AND((COUNTIF(FR$2:FR$33,'Your Team'!$D$8)&gt;0),'Your Team'!$C$8="F" ),1,0)+IF( AND((COUNTIF(FR$2:FR$33,'Your Team'!$D$9)&gt;0),'Your Team'!$C$9="F" ),1,0)+IF( AND((COUNTIF(FR$2:FR$33,'Your Team'!$D$10)&gt;0),'Your Team'!$C$10="F" ),1,0)+IF( AND((COUNTIF(FR$2:FR$33,'Your Team'!$D$11)&gt;0),'Your Team'!$C$11="F" ),1,0)+IF( AND((COUNTIF(FR$2:FR$33,'Your Team'!$D$12)&gt;0),'Your Team'!$C$12="F" ),1,0)+IF( AND((COUNTIF(FR$2:FR$33,'Your Team'!$D$13)&gt;0),'Your Team'!$C$13="F" ),1,0)+IF( AND((COUNTIF(FR$2:FR$33,'Your Team'!$D$14)&gt;0),'Your Team'!$C$14="F" ),1,0)+IF( AND((COUNTIF(FR$2:FR$33,'Your Team'!$D$15)&gt;0),'Your Team'!$C$15="F" ),1,0)+IF( AND((COUNTIF(FR$2:FR$33,'Your Team'!$D$16)&gt;0),'Your Team'!$C$16="F" ),1,0)+IF( AND((COUNTIF(FR$2:FR$33,'Your Team'!$D$17)&gt;0),'Your Team'!$C$17="F" ),1,0)+IF( AND((COUNTIF(FR$2:FR$33,'Your Team'!$D$18)&gt;0),'Your Team'!$C$18="F" ),1,0)+IF( AND((COUNTIF(FR$2:FR$33,'Your Team'!$D$19)&gt;0),'Your Team'!$C$19="F" ),1,0)</f>
        <v>0</v>
      </c>
      <c r="FS40" s="9">
        <f>IF( AND((COUNTIF(FS$2:FS$33,'Your Team'!$D$3)&gt;0),'Your Team'!$C$3="F" ),1,0)+IF( AND((COUNTIF(FS$2:FS$33,'Your Team'!$D$4)&gt;0),'Your Team'!$C$4="F" ),1,0)+IF( AND((COUNTIF(FS$2:FS$33,'Your Team'!$D$5)&gt;0),'Your Team'!$C$5="F" ),1,0)+IF( AND((COUNTIF(FS$2:FS$33,'Your Team'!$D$6)&gt;0),'Your Team'!$C$6="F" ),1,0)+IF( AND((COUNTIF(FS$2:FS$33,'Your Team'!$D$7)&gt;0),'Your Team'!$C$7="F" ),1,0)+IF( AND((COUNTIF(FS$2:FS$33,'Your Team'!$D$8)&gt;0),'Your Team'!$C$8="F" ),1,0)+IF( AND((COUNTIF(FS$2:FS$33,'Your Team'!$D$9)&gt;0),'Your Team'!$C$9="F" ),1,0)+IF( AND((COUNTIF(FS$2:FS$33,'Your Team'!$D$10)&gt;0),'Your Team'!$C$10="F" ),1,0)+IF( AND((COUNTIF(FS$2:FS$33,'Your Team'!$D$11)&gt;0),'Your Team'!$C$11="F" ),1,0)+IF( AND((COUNTIF(FS$2:FS$33,'Your Team'!$D$12)&gt;0),'Your Team'!$C$12="F" ),1,0)+IF( AND((COUNTIF(FS$2:FS$33,'Your Team'!$D$13)&gt;0),'Your Team'!$C$13="F" ),1,0)+IF( AND((COUNTIF(FS$2:FS$33,'Your Team'!$D$14)&gt;0),'Your Team'!$C$14="F" ),1,0)+IF( AND((COUNTIF(FS$2:FS$33,'Your Team'!$D$15)&gt;0),'Your Team'!$C$15="F" ),1,0)+IF( AND((COUNTIF(FS$2:FS$33,'Your Team'!$D$16)&gt;0),'Your Team'!$C$16="F" ),1,0)+IF( AND((COUNTIF(FS$2:FS$33,'Your Team'!$D$17)&gt;0),'Your Team'!$C$17="F" ),1,0)+IF( AND((COUNTIF(FS$2:FS$33,'Your Team'!$D$18)&gt;0),'Your Team'!$C$18="F" ),1,0)+IF( AND((COUNTIF(FS$2:FS$33,'Your Team'!$D$19)&gt;0),'Your Team'!$C$19="F" ),1,0)</f>
        <v>0</v>
      </c>
      <c r="FT40" s="9">
        <f>IF( AND((COUNTIF(FT$2:FT$33,'Your Team'!$D$3)&gt;0),'Your Team'!$C$3="F" ),1,0)+IF( AND((COUNTIF(FT$2:FT$33,'Your Team'!$D$4)&gt;0),'Your Team'!$C$4="F" ),1,0)+IF( AND((COUNTIF(FT$2:FT$33,'Your Team'!$D$5)&gt;0),'Your Team'!$C$5="F" ),1,0)+IF( AND((COUNTIF(FT$2:FT$33,'Your Team'!$D$6)&gt;0),'Your Team'!$C$6="F" ),1,0)+IF( AND((COUNTIF(FT$2:FT$33,'Your Team'!$D$7)&gt;0),'Your Team'!$C$7="F" ),1,0)+IF( AND((COUNTIF(FT$2:FT$33,'Your Team'!$D$8)&gt;0),'Your Team'!$C$8="F" ),1,0)+IF( AND((COUNTIF(FT$2:FT$33,'Your Team'!$D$9)&gt;0),'Your Team'!$C$9="F" ),1,0)+IF( AND((COUNTIF(FT$2:FT$33,'Your Team'!$D$10)&gt;0),'Your Team'!$C$10="F" ),1,0)+IF( AND((COUNTIF(FT$2:FT$33,'Your Team'!$D$11)&gt;0),'Your Team'!$C$11="F" ),1,0)+IF( AND((COUNTIF(FT$2:FT$33,'Your Team'!$D$12)&gt;0),'Your Team'!$C$12="F" ),1,0)+IF( AND((COUNTIF(FT$2:FT$33,'Your Team'!$D$13)&gt;0),'Your Team'!$C$13="F" ),1,0)+IF( AND((COUNTIF(FT$2:FT$33,'Your Team'!$D$14)&gt;0),'Your Team'!$C$14="F" ),1,0)+IF( AND((COUNTIF(FT$2:FT$33,'Your Team'!$D$15)&gt;0),'Your Team'!$C$15="F" ),1,0)+IF( AND((COUNTIF(FT$2:FT$33,'Your Team'!$D$16)&gt;0),'Your Team'!$C$16="F" ),1,0)+IF( AND((COUNTIF(FT$2:FT$33,'Your Team'!$D$17)&gt;0),'Your Team'!$C$17="F" ),1,0)+IF( AND((COUNTIF(FT$2:FT$33,'Your Team'!$D$18)&gt;0),'Your Team'!$C$18="F" ),1,0)+IF( AND((COUNTIF(FT$2:FT$33,'Your Team'!$D$19)&gt;0),'Your Team'!$C$19="F" ),1,0)</f>
        <v>0</v>
      </c>
      <c r="FU40" s="9">
        <f>IF( AND((COUNTIF(FU$2:FU$33,'Your Team'!$D$3)&gt;0),'Your Team'!$C$3="F" ),1,0)+IF( AND((COUNTIF(FU$2:FU$33,'Your Team'!$D$4)&gt;0),'Your Team'!$C$4="F" ),1,0)+IF( AND((COUNTIF(FU$2:FU$33,'Your Team'!$D$5)&gt;0),'Your Team'!$C$5="F" ),1,0)+IF( AND((COUNTIF(FU$2:FU$33,'Your Team'!$D$6)&gt;0),'Your Team'!$C$6="F" ),1,0)+IF( AND((COUNTIF(FU$2:FU$33,'Your Team'!$D$7)&gt;0),'Your Team'!$C$7="F" ),1,0)+IF( AND((COUNTIF(FU$2:FU$33,'Your Team'!$D$8)&gt;0),'Your Team'!$C$8="F" ),1,0)+IF( AND((COUNTIF(FU$2:FU$33,'Your Team'!$D$9)&gt;0),'Your Team'!$C$9="F" ),1,0)+IF( AND((COUNTIF(FU$2:FU$33,'Your Team'!$D$10)&gt;0),'Your Team'!$C$10="F" ),1,0)+IF( AND((COUNTIF(FU$2:FU$33,'Your Team'!$D$11)&gt;0),'Your Team'!$C$11="F" ),1,0)+IF( AND((COUNTIF(FU$2:FU$33,'Your Team'!$D$12)&gt;0),'Your Team'!$C$12="F" ),1,0)+IF( AND((COUNTIF(FU$2:FU$33,'Your Team'!$D$13)&gt;0),'Your Team'!$C$13="F" ),1,0)+IF( AND((COUNTIF(FU$2:FU$33,'Your Team'!$D$14)&gt;0),'Your Team'!$C$14="F" ),1,0)+IF( AND((COUNTIF(FU$2:FU$33,'Your Team'!$D$15)&gt;0),'Your Team'!$C$15="F" ),1,0)+IF( AND((COUNTIF(FU$2:FU$33,'Your Team'!$D$16)&gt;0),'Your Team'!$C$16="F" ),1,0)+IF( AND((COUNTIF(FU$2:FU$33,'Your Team'!$D$17)&gt;0),'Your Team'!$C$17="F" ),1,0)+IF( AND((COUNTIF(FU$2:FU$33,'Your Team'!$D$18)&gt;0),'Your Team'!$C$18="F" ),1,0)+IF( AND((COUNTIF(FU$2:FU$33,'Your Team'!$D$19)&gt;0),'Your Team'!$C$19="F" ),1,0)</f>
        <v>0</v>
      </c>
      <c r="FV40" s="9">
        <f>IF( AND((COUNTIF(FV$2:FV$33,'Your Team'!$D$3)&gt;0),'Your Team'!$C$3="F" ),1,0)+IF( AND((COUNTIF(FV$2:FV$33,'Your Team'!$D$4)&gt;0),'Your Team'!$C$4="F" ),1,0)+IF( AND((COUNTIF(FV$2:FV$33,'Your Team'!$D$5)&gt;0),'Your Team'!$C$5="F" ),1,0)+IF( AND((COUNTIF(FV$2:FV$33,'Your Team'!$D$6)&gt;0),'Your Team'!$C$6="F" ),1,0)+IF( AND((COUNTIF(FV$2:FV$33,'Your Team'!$D$7)&gt;0),'Your Team'!$C$7="F" ),1,0)+IF( AND((COUNTIF(FV$2:FV$33,'Your Team'!$D$8)&gt;0),'Your Team'!$C$8="F" ),1,0)+IF( AND((COUNTIF(FV$2:FV$33,'Your Team'!$D$9)&gt;0),'Your Team'!$C$9="F" ),1,0)+IF( AND((COUNTIF(FV$2:FV$33,'Your Team'!$D$10)&gt;0),'Your Team'!$C$10="F" ),1,0)+IF( AND((COUNTIF(FV$2:FV$33,'Your Team'!$D$11)&gt;0),'Your Team'!$C$11="F" ),1,0)+IF( AND((COUNTIF(FV$2:FV$33,'Your Team'!$D$12)&gt;0),'Your Team'!$C$12="F" ),1,0)+IF( AND((COUNTIF(FV$2:FV$33,'Your Team'!$D$13)&gt;0),'Your Team'!$C$13="F" ),1,0)+IF( AND((COUNTIF(FV$2:FV$33,'Your Team'!$D$14)&gt;0),'Your Team'!$C$14="F" ),1,0)+IF( AND((COUNTIF(FV$2:FV$33,'Your Team'!$D$15)&gt;0),'Your Team'!$C$15="F" ),1,0)+IF( AND((COUNTIF(FV$2:FV$33,'Your Team'!$D$16)&gt;0),'Your Team'!$C$16="F" ),1,0)+IF( AND((COUNTIF(FV$2:FV$33,'Your Team'!$D$17)&gt;0),'Your Team'!$C$17="F" ),1,0)+IF( AND((COUNTIF(FV$2:FV$33,'Your Team'!$D$18)&gt;0),'Your Team'!$C$18="F" ),1,0)+IF( AND((COUNTIF(FV$2:FV$33,'Your Team'!$D$19)&gt;0),'Your Team'!$C$19="F" ),1,0)</f>
        <v>0</v>
      </c>
      <c r="FW40" s="9">
        <f>IF( AND((COUNTIF(FW$2:FW$33,'Your Team'!$D$3)&gt;0),'Your Team'!$C$3="F" ),1,0)+IF( AND((COUNTIF(FW$2:FW$33,'Your Team'!$D$4)&gt;0),'Your Team'!$C$4="F" ),1,0)+IF( AND((COUNTIF(FW$2:FW$33,'Your Team'!$D$5)&gt;0),'Your Team'!$C$5="F" ),1,0)+IF( AND((COUNTIF(FW$2:FW$33,'Your Team'!$D$6)&gt;0),'Your Team'!$C$6="F" ),1,0)+IF( AND((COUNTIF(FW$2:FW$33,'Your Team'!$D$7)&gt;0),'Your Team'!$C$7="F" ),1,0)+IF( AND((COUNTIF(FW$2:FW$33,'Your Team'!$D$8)&gt;0),'Your Team'!$C$8="F" ),1,0)+IF( AND((COUNTIF(FW$2:FW$33,'Your Team'!$D$9)&gt;0),'Your Team'!$C$9="F" ),1,0)+IF( AND((COUNTIF(FW$2:FW$33,'Your Team'!$D$10)&gt;0),'Your Team'!$C$10="F" ),1,0)+IF( AND((COUNTIF(FW$2:FW$33,'Your Team'!$D$11)&gt;0),'Your Team'!$C$11="F" ),1,0)+IF( AND((COUNTIF(FW$2:FW$33,'Your Team'!$D$12)&gt;0),'Your Team'!$C$12="F" ),1,0)+IF( AND((COUNTIF(FW$2:FW$33,'Your Team'!$D$13)&gt;0),'Your Team'!$C$13="F" ),1,0)+IF( AND((COUNTIF(FW$2:FW$33,'Your Team'!$D$14)&gt;0),'Your Team'!$C$14="F" ),1,0)+IF( AND((COUNTIF(FW$2:FW$33,'Your Team'!$D$15)&gt;0),'Your Team'!$C$15="F" ),1,0)+IF( AND((COUNTIF(FW$2:FW$33,'Your Team'!$D$16)&gt;0),'Your Team'!$C$16="F" ),1,0)+IF( AND((COUNTIF(FW$2:FW$33,'Your Team'!$D$17)&gt;0),'Your Team'!$C$17="F" ),1,0)+IF( AND((COUNTIF(FW$2:FW$33,'Your Team'!$D$18)&gt;0),'Your Team'!$C$18="F" ),1,0)+IF( AND((COUNTIF(FW$2:FW$33,'Your Team'!$D$19)&gt;0),'Your Team'!$C$19="F" ),1,0)</f>
        <v>0</v>
      </c>
      <c r="FX40" s="9">
        <f>IF( AND((COUNTIF(FX$2:FX$33,'Your Team'!$D$3)&gt;0),'Your Team'!$C$3="F" ),1,0)+IF( AND((COUNTIF(FX$2:FX$33,'Your Team'!$D$4)&gt;0),'Your Team'!$C$4="F" ),1,0)+IF( AND((COUNTIF(FX$2:FX$33,'Your Team'!$D$5)&gt;0),'Your Team'!$C$5="F" ),1,0)+IF( AND((COUNTIF(FX$2:FX$33,'Your Team'!$D$6)&gt;0),'Your Team'!$C$6="F" ),1,0)+IF( AND((COUNTIF(FX$2:FX$33,'Your Team'!$D$7)&gt;0),'Your Team'!$C$7="F" ),1,0)+IF( AND((COUNTIF(FX$2:FX$33,'Your Team'!$D$8)&gt;0),'Your Team'!$C$8="F" ),1,0)+IF( AND((COUNTIF(FX$2:FX$33,'Your Team'!$D$9)&gt;0),'Your Team'!$C$9="F" ),1,0)+IF( AND((COUNTIF(FX$2:FX$33,'Your Team'!$D$10)&gt;0),'Your Team'!$C$10="F" ),1,0)+IF( AND((COUNTIF(FX$2:FX$33,'Your Team'!$D$11)&gt;0),'Your Team'!$C$11="F" ),1,0)+IF( AND((COUNTIF(FX$2:FX$33,'Your Team'!$D$12)&gt;0),'Your Team'!$C$12="F" ),1,0)+IF( AND((COUNTIF(FX$2:FX$33,'Your Team'!$D$13)&gt;0),'Your Team'!$C$13="F" ),1,0)+IF( AND((COUNTIF(FX$2:FX$33,'Your Team'!$D$14)&gt;0),'Your Team'!$C$14="F" ),1,0)+IF( AND((COUNTIF(FX$2:FX$33,'Your Team'!$D$15)&gt;0),'Your Team'!$C$15="F" ),1,0)+IF( AND((COUNTIF(FX$2:FX$33,'Your Team'!$D$16)&gt;0),'Your Team'!$C$16="F" ),1,0)+IF( AND((COUNTIF(FX$2:FX$33,'Your Team'!$D$17)&gt;0),'Your Team'!$C$17="F" ),1,0)+IF( AND((COUNTIF(FX$2:FX$33,'Your Team'!$D$18)&gt;0),'Your Team'!$C$18="F" ),1,0)+IF( AND((COUNTIF(FX$2:FX$33,'Your Team'!$D$19)&gt;0),'Your Team'!$C$19="F" ),1,0)</f>
        <v>0</v>
      </c>
      <c r="FY40" s="9">
        <f>IF( AND((COUNTIF(FY$2:FY$33,'Your Team'!$D$3)&gt;0),'Your Team'!$C$3="F" ),1,0)+IF( AND((COUNTIF(FY$2:FY$33,'Your Team'!$D$4)&gt;0),'Your Team'!$C$4="F" ),1,0)+IF( AND((COUNTIF(FY$2:FY$33,'Your Team'!$D$5)&gt;0),'Your Team'!$C$5="F" ),1,0)+IF( AND((COUNTIF(FY$2:FY$33,'Your Team'!$D$6)&gt;0),'Your Team'!$C$6="F" ),1,0)+IF( AND((COUNTIF(FY$2:FY$33,'Your Team'!$D$7)&gt;0),'Your Team'!$C$7="F" ),1,0)+IF( AND((COUNTIF(FY$2:FY$33,'Your Team'!$D$8)&gt;0),'Your Team'!$C$8="F" ),1,0)+IF( AND((COUNTIF(FY$2:FY$33,'Your Team'!$D$9)&gt;0),'Your Team'!$C$9="F" ),1,0)+IF( AND((COUNTIF(FY$2:FY$33,'Your Team'!$D$10)&gt;0),'Your Team'!$C$10="F" ),1,0)+IF( AND((COUNTIF(FY$2:FY$33,'Your Team'!$D$11)&gt;0),'Your Team'!$C$11="F" ),1,0)+IF( AND((COUNTIF(FY$2:FY$33,'Your Team'!$D$12)&gt;0),'Your Team'!$C$12="F" ),1,0)+IF( AND((COUNTIF(FY$2:FY$33,'Your Team'!$D$13)&gt;0),'Your Team'!$C$13="F" ),1,0)+IF( AND((COUNTIF(FY$2:FY$33,'Your Team'!$D$14)&gt;0),'Your Team'!$C$14="F" ),1,0)+IF( AND((COUNTIF(FY$2:FY$33,'Your Team'!$D$15)&gt;0),'Your Team'!$C$15="F" ),1,0)+IF( AND((COUNTIF(FY$2:FY$33,'Your Team'!$D$16)&gt;0),'Your Team'!$C$16="F" ),1,0)+IF( AND((COUNTIF(FY$2:FY$33,'Your Team'!$D$17)&gt;0),'Your Team'!$C$17="F" ),1,0)+IF( AND((COUNTIF(FY$2:FY$33,'Your Team'!$D$18)&gt;0),'Your Team'!$C$18="F" ),1,0)+IF( AND((COUNTIF(FY$2:FY$33,'Your Team'!$D$19)&gt;0),'Your Team'!$C$19="F" ),1,0)</f>
        <v>0</v>
      </c>
      <c r="FZ40" s="9">
        <f>IF( AND((COUNTIF(FZ$2:FZ$33,'Your Team'!$D$3)&gt;0),'Your Team'!$C$3="F" ),1,0)+IF( AND((COUNTIF(FZ$2:FZ$33,'Your Team'!$D$4)&gt;0),'Your Team'!$C$4="F" ),1,0)+IF( AND((COUNTIF(FZ$2:FZ$33,'Your Team'!$D$5)&gt;0),'Your Team'!$C$5="F" ),1,0)+IF( AND((COUNTIF(FZ$2:FZ$33,'Your Team'!$D$6)&gt;0),'Your Team'!$C$6="F" ),1,0)+IF( AND((COUNTIF(FZ$2:FZ$33,'Your Team'!$D$7)&gt;0),'Your Team'!$C$7="F" ),1,0)+IF( AND((COUNTIF(FZ$2:FZ$33,'Your Team'!$D$8)&gt;0),'Your Team'!$C$8="F" ),1,0)+IF( AND((COUNTIF(FZ$2:FZ$33,'Your Team'!$D$9)&gt;0),'Your Team'!$C$9="F" ),1,0)+IF( AND((COUNTIF(FZ$2:FZ$33,'Your Team'!$D$10)&gt;0),'Your Team'!$C$10="F" ),1,0)+IF( AND((COUNTIF(FZ$2:FZ$33,'Your Team'!$D$11)&gt;0),'Your Team'!$C$11="F" ),1,0)+IF( AND((COUNTIF(FZ$2:FZ$33,'Your Team'!$D$12)&gt;0),'Your Team'!$C$12="F" ),1,0)+IF( AND((COUNTIF(FZ$2:FZ$33,'Your Team'!$D$13)&gt;0),'Your Team'!$C$13="F" ),1,0)+IF( AND((COUNTIF(FZ$2:FZ$33,'Your Team'!$D$14)&gt;0),'Your Team'!$C$14="F" ),1,0)+IF( AND((COUNTIF(FZ$2:FZ$33,'Your Team'!$D$15)&gt;0),'Your Team'!$C$15="F" ),1,0)+IF( AND((COUNTIF(FZ$2:FZ$33,'Your Team'!$D$16)&gt;0),'Your Team'!$C$16="F" ),1,0)+IF( AND((COUNTIF(FZ$2:FZ$33,'Your Team'!$D$17)&gt;0),'Your Team'!$C$17="F" ),1,0)+IF( AND((COUNTIF(FZ$2:FZ$33,'Your Team'!$D$18)&gt;0),'Your Team'!$C$18="F" ),1,0)+IF( AND((COUNTIF(FZ$2:FZ$33,'Your Team'!$D$19)&gt;0),'Your Team'!$C$19="F" ),1,0)</f>
        <v>0</v>
      </c>
      <c r="GA40" s="9">
        <f>IF( AND((COUNTIF(GA$2:GA$33,'Your Team'!$D$3)&gt;0),'Your Team'!$C$3="F" ),1,0)+IF( AND((COUNTIF(GA$2:GA$33,'Your Team'!$D$4)&gt;0),'Your Team'!$C$4="F" ),1,0)+IF( AND((COUNTIF(GA$2:GA$33,'Your Team'!$D$5)&gt;0),'Your Team'!$C$5="F" ),1,0)+IF( AND((COUNTIF(GA$2:GA$33,'Your Team'!$D$6)&gt;0),'Your Team'!$C$6="F" ),1,0)+IF( AND((COUNTIF(GA$2:GA$33,'Your Team'!$D$7)&gt;0),'Your Team'!$C$7="F" ),1,0)+IF( AND((COUNTIF(GA$2:GA$33,'Your Team'!$D$8)&gt;0),'Your Team'!$C$8="F" ),1,0)+IF( AND((COUNTIF(GA$2:GA$33,'Your Team'!$D$9)&gt;0),'Your Team'!$C$9="F" ),1,0)+IF( AND((COUNTIF(GA$2:GA$33,'Your Team'!$D$10)&gt;0),'Your Team'!$C$10="F" ),1,0)+IF( AND((COUNTIF(GA$2:GA$33,'Your Team'!$D$11)&gt;0),'Your Team'!$C$11="F" ),1,0)+IF( AND((COUNTIF(GA$2:GA$33,'Your Team'!$D$12)&gt;0),'Your Team'!$C$12="F" ),1,0)+IF( AND((COUNTIF(GA$2:GA$33,'Your Team'!$D$13)&gt;0),'Your Team'!$C$13="F" ),1,0)+IF( AND((COUNTIF(GA$2:GA$33,'Your Team'!$D$14)&gt;0),'Your Team'!$C$14="F" ),1,0)+IF( AND((COUNTIF(GA$2:GA$33,'Your Team'!$D$15)&gt;0),'Your Team'!$C$15="F" ),1,0)+IF( AND((COUNTIF(GA$2:GA$33,'Your Team'!$D$16)&gt;0),'Your Team'!$C$16="F" ),1,0)+IF( AND((COUNTIF(GA$2:GA$33,'Your Team'!$D$17)&gt;0),'Your Team'!$C$17="F" ),1,0)+IF( AND((COUNTIF(GA$2:GA$33,'Your Team'!$D$18)&gt;0),'Your Team'!$C$18="F" ),1,0)+IF( AND((COUNTIF(GA$2:GA$33,'Your Team'!$D$19)&gt;0),'Your Team'!$C$19="F" ),1,0)</f>
        <v>0</v>
      </c>
      <c r="GB40" s="9">
        <f>IF( AND((COUNTIF(GB$2:GB$33,'Your Team'!$D$3)&gt;0),'Your Team'!$C$3="F" ),1,0)+IF( AND((COUNTIF(GB$2:GB$33,'Your Team'!$D$4)&gt;0),'Your Team'!$C$4="F" ),1,0)+IF( AND((COUNTIF(GB$2:GB$33,'Your Team'!$D$5)&gt;0),'Your Team'!$C$5="F" ),1,0)+IF( AND((COUNTIF(GB$2:GB$33,'Your Team'!$D$6)&gt;0),'Your Team'!$C$6="F" ),1,0)+IF( AND((COUNTIF(GB$2:GB$33,'Your Team'!$D$7)&gt;0),'Your Team'!$C$7="F" ),1,0)+IF( AND((COUNTIF(GB$2:GB$33,'Your Team'!$D$8)&gt;0),'Your Team'!$C$8="F" ),1,0)+IF( AND((COUNTIF(GB$2:GB$33,'Your Team'!$D$9)&gt;0),'Your Team'!$C$9="F" ),1,0)+IF( AND((COUNTIF(GB$2:GB$33,'Your Team'!$D$10)&gt;0),'Your Team'!$C$10="F" ),1,0)+IF( AND((COUNTIF(GB$2:GB$33,'Your Team'!$D$11)&gt;0),'Your Team'!$C$11="F" ),1,0)+IF( AND((COUNTIF(GB$2:GB$33,'Your Team'!$D$12)&gt;0),'Your Team'!$C$12="F" ),1,0)+IF( AND((COUNTIF(GB$2:GB$33,'Your Team'!$D$13)&gt;0),'Your Team'!$C$13="F" ),1,0)+IF( AND((COUNTIF(GB$2:GB$33,'Your Team'!$D$14)&gt;0),'Your Team'!$C$14="F" ),1,0)+IF( AND((COUNTIF(GB$2:GB$33,'Your Team'!$D$15)&gt;0),'Your Team'!$C$15="F" ),1,0)+IF( AND((COUNTIF(GB$2:GB$33,'Your Team'!$D$16)&gt;0),'Your Team'!$C$16="F" ),1,0)+IF( AND((COUNTIF(GB$2:GB$33,'Your Team'!$D$17)&gt;0),'Your Team'!$C$17="F" ),1,0)+IF( AND((COUNTIF(GB$2:GB$33,'Your Team'!$D$18)&gt;0),'Your Team'!$C$18="F" ),1,0)+IF( AND((COUNTIF(GB$2:GB$33,'Your Team'!$D$19)&gt;0),'Your Team'!$C$19="F" ),1,0)</f>
        <v>0</v>
      </c>
      <c r="GC40" s="9">
        <f>IF( AND((COUNTIF(GC$2:GC$33,'Your Team'!$D$3)&gt;0),'Your Team'!$C$3="F" ),1,0)+IF( AND((COUNTIF(GC$2:GC$33,'Your Team'!$D$4)&gt;0),'Your Team'!$C$4="F" ),1,0)+IF( AND((COUNTIF(GC$2:GC$33,'Your Team'!$D$5)&gt;0),'Your Team'!$C$5="F" ),1,0)+IF( AND((COUNTIF(GC$2:GC$33,'Your Team'!$D$6)&gt;0),'Your Team'!$C$6="F" ),1,0)+IF( AND((COUNTIF(GC$2:GC$33,'Your Team'!$D$7)&gt;0),'Your Team'!$C$7="F" ),1,0)+IF( AND((COUNTIF(GC$2:GC$33,'Your Team'!$D$8)&gt;0),'Your Team'!$C$8="F" ),1,0)+IF( AND((COUNTIF(GC$2:GC$33,'Your Team'!$D$9)&gt;0),'Your Team'!$C$9="F" ),1,0)+IF( AND((COUNTIF(GC$2:GC$33,'Your Team'!$D$10)&gt;0),'Your Team'!$C$10="F" ),1,0)+IF( AND((COUNTIF(GC$2:GC$33,'Your Team'!$D$11)&gt;0),'Your Team'!$C$11="F" ),1,0)+IF( AND((COUNTIF(GC$2:GC$33,'Your Team'!$D$12)&gt;0),'Your Team'!$C$12="F" ),1,0)+IF( AND((COUNTIF(GC$2:GC$33,'Your Team'!$D$13)&gt;0),'Your Team'!$C$13="F" ),1,0)+IF( AND((COUNTIF(GC$2:GC$33,'Your Team'!$D$14)&gt;0),'Your Team'!$C$14="F" ),1,0)+IF( AND((COUNTIF(GC$2:GC$33,'Your Team'!$D$15)&gt;0),'Your Team'!$C$15="F" ),1,0)+IF( AND((COUNTIF(GC$2:GC$33,'Your Team'!$D$16)&gt;0),'Your Team'!$C$16="F" ),1,0)+IF( AND((COUNTIF(GC$2:GC$33,'Your Team'!$D$17)&gt;0),'Your Team'!$C$17="F" ),1,0)+IF( AND((COUNTIF(GC$2:GC$33,'Your Team'!$D$18)&gt;0),'Your Team'!$C$18="F" ),1,0)+IF( AND((COUNTIF(GC$2:GC$33,'Your Team'!$D$19)&gt;0),'Your Team'!$C$19="F" ),1,0)</f>
        <v>0</v>
      </c>
      <c r="GD40" s="9">
        <f>IF( AND((COUNTIF(GD$2:GD$33,'Your Team'!$D$3)&gt;0),'Your Team'!$C$3="F" ),1,0)+IF( AND((COUNTIF(GD$2:GD$33,'Your Team'!$D$4)&gt;0),'Your Team'!$C$4="F" ),1,0)+IF( AND((COUNTIF(GD$2:GD$33,'Your Team'!$D$5)&gt;0),'Your Team'!$C$5="F" ),1,0)+IF( AND((COUNTIF(GD$2:GD$33,'Your Team'!$D$6)&gt;0),'Your Team'!$C$6="F" ),1,0)+IF( AND((COUNTIF(GD$2:GD$33,'Your Team'!$D$7)&gt;0),'Your Team'!$C$7="F" ),1,0)+IF( AND((COUNTIF(GD$2:GD$33,'Your Team'!$D$8)&gt;0),'Your Team'!$C$8="F" ),1,0)+IF( AND((COUNTIF(GD$2:GD$33,'Your Team'!$D$9)&gt;0),'Your Team'!$C$9="F" ),1,0)+IF( AND((COUNTIF(GD$2:GD$33,'Your Team'!$D$10)&gt;0),'Your Team'!$C$10="F" ),1,0)+IF( AND((COUNTIF(GD$2:GD$33,'Your Team'!$D$11)&gt;0),'Your Team'!$C$11="F" ),1,0)+IF( AND((COUNTIF(GD$2:GD$33,'Your Team'!$D$12)&gt;0),'Your Team'!$C$12="F" ),1,0)+IF( AND((COUNTIF(GD$2:GD$33,'Your Team'!$D$13)&gt;0),'Your Team'!$C$13="F" ),1,0)+IF( AND((COUNTIF(GD$2:GD$33,'Your Team'!$D$14)&gt;0),'Your Team'!$C$14="F" ),1,0)+IF( AND((COUNTIF(GD$2:GD$33,'Your Team'!$D$15)&gt;0),'Your Team'!$C$15="F" ),1,0)+IF( AND((COUNTIF(GD$2:GD$33,'Your Team'!$D$16)&gt;0),'Your Team'!$C$16="F" ),1,0)+IF( AND((COUNTIF(GD$2:GD$33,'Your Team'!$D$17)&gt;0),'Your Team'!$C$17="F" ),1,0)+IF( AND((COUNTIF(GD$2:GD$33,'Your Team'!$D$18)&gt;0),'Your Team'!$C$18="F" ),1,0)+IF( AND((COUNTIF(GD$2:GD$33,'Your Team'!$D$19)&gt;0),'Your Team'!$C$19="F" ),1,0)</f>
        <v>0</v>
      </c>
      <c r="GE40" s="9">
        <f>IF( AND((COUNTIF(GE$2:GE$33,'Your Team'!$D$3)&gt;0),'Your Team'!$C$3="F" ),1,0)+IF( AND((COUNTIF(GE$2:GE$33,'Your Team'!$D$4)&gt;0),'Your Team'!$C$4="F" ),1,0)+IF( AND((COUNTIF(GE$2:GE$33,'Your Team'!$D$5)&gt;0),'Your Team'!$C$5="F" ),1,0)+IF( AND((COUNTIF(GE$2:GE$33,'Your Team'!$D$6)&gt;0),'Your Team'!$C$6="F" ),1,0)+IF( AND((COUNTIF(GE$2:GE$33,'Your Team'!$D$7)&gt;0),'Your Team'!$C$7="F" ),1,0)+IF( AND((COUNTIF(GE$2:GE$33,'Your Team'!$D$8)&gt;0),'Your Team'!$C$8="F" ),1,0)+IF( AND((COUNTIF(GE$2:GE$33,'Your Team'!$D$9)&gt;0),'Your Team'!$C$9="F" ),1,0)+IF( AND((COUNTIF(GE$2:GE$33,'Your Team'!$D$10)&gt;0),'Your Team'!$C$10="F" ),1,0)+IF( AND((COUNTIF(GE$2:GE$33,'Your Team'!$D$11)&gt;0),'Your Team'!$C$11="F" ),1,0)+IF( AND((COUNTIF(GE$2:GE$33,'Your Team'!$D$12)&gt;0),'Your Team'!$C$12="F" ),1,0)+IF( AND((COUNTIF(GE$2:GE$33,'Your Team'!$D$13)&gt;0),'Your Team'!$C$13="F" ),1,0)+IF( AND((COUNTIF(GE$2:GE$33,'Your Team'!$D$14)&gt;0),'Your Team'!$C$14="F" ),1,0)+IF( AND((COUNTIF(GE$2:GE$33,'Your Team'!$D$15)&gt;0),'Your Team'!$C$15="F" ),1,0)+IF( AND((COUNTIF(GE$2:GE$33,'Your Team'!$D$16)&gt;0),'Your Team'!$C$16="F" ),1,0)+IF( AND((COUNTIF(GE$2:GE$33,'Your Team'!$D$17)&gt;0),'Your Team'!$C$17="F" ),1,0)+IF( AND((COUNTIF(GE$2:GE$33,'Your Team'!$D$18)&gt;0),'Your Team'!$C$18="F" ),1,0)+IF( AND((COUNTIF(GE$2:GE$33,'Your Team'!$D$19)&gt;0),'Your Team'!$C$19="F" ),1,0)</f>
        <v>0</v>
      </c>
      <c r="GF40" s="9">
        <f>IF( AND((COUNTIF(GF$2:GF$33,'Your Team'!$D$3)&gt;0),'Your Team'!$C$3="F" ),1,0)+IF( AND((COUNTIF(GF$2:GF$33,'Your Team'!$D$4)&gt;0),'Your Team'!$C$4="F" ),1,0)+IF( AND((COUNTIF(GF$2:GF$33,'Your Team'!$D$5)&gt;0),'Your Team'!$C$5="F" ),1,0)+IF( AND((COUNTIF(GF$2:GF$33,'Your Team'!$D$6)&gt;0),'Your Team'!$C$6="F" ),1,0)+IF( AND((COUNTIF(GF$2:GF$33,'Your Team'!$D$7)&gt;0),'Your Team'!$C$7="F" ),1,0)+IF( AND((COUNTIF(GF$2:GF$33,'Your Team'!$D$8)&gt;0),'Your Team'!$C$8="F" ),1,0)+IF( AND((COUNTIF(GF$2:GF$33,'Your Team'!$D$9)&gt;0),'Your Team'!$C$9="F" ),1,0)+IF( AND((COUNTIF(GF$2:GF$33,'Your Team'!$D$10)&gt;0),'Your Team'!$C$10="F" ),1,0)+IF( AND((COUNTIF(GF$2:GF$33,'Your Team'!$D$11)&gt;0),'Your Team'!$C$11="F" ),1,0)+IF( AND((COUNTIF(GF$2:GF$33,'Your Team'!$D$12)&gt;0),'Your Team'!$C$12="F" ),1,0)+IF( AND((COUNTIF(GF$2:GF$33,'Your Team'!$D$13)&gt;0),'Your Team'!$C$13="F" ),1,0)+IF( AND((COUNTIF(GF$2:GF$33,'Your Team'!$D$14)&gt;0),'Your Team'!$C$14="F" ),1,0)+IF( AND((COUNTIF(GF$2:GF$33,'Your Team'!$D$15)&gt;0),'Your Team'!$C$15="F" ),1,0)+IF( AND((COUNTIF(GF$2:GF$33,'Your Team'!$D$16)&gt;0),'Your Team'!$C$16="F" ),1,0)+IF( AND((COUNTIF(GF$2:GF$33,'Your Team'!$D$17)&gt;0),'Your Team'!$C$17="F" ),1,0)+IF( AND((COUNTIF(GF$2:GF$33,'Your Team'!$D$18)&gt;0),'Your Team'!$C$18="F" ),1,0)+IF( AND((COUNTIF(GF$2:GF$33,'Your Team'!$D$19)&gt;0),'Your Team'!$C$19="F" ),1,0)</f>
        <v>0</v>
      </c>
      <c r="GG40" s="9">
        <f>IF( AND((COUNTIF(GG$2:GG$33,'Your Team'!$D$3)&gt;0),'Your Team'!$C$3="F" ),1,0)+IF( AND((COUNTIF(GG$2:GG$33,'Your Team'!$D$4)&gt;0),'Your Team'!$C$4="F" ),1,0)+IF( AND((COUNTIF(GG$2:GG$33,'Your Team'!$D$5)&gt;0),'Your Team'!$C$5="F" ),1,0)+IF( AND((COUNTIF(GG$2:GG$33,'Your Team'!$D$6)&gt;0),'Your Team'!$C$6="F" ),1,0)+IF( AND((COUNTIF(GG$2:GG$33,'Your Team'!$D$7)&gt;0),'Your Team'!$C$7="F" ),1,0)+IF( AND((COUNTIF(GG$2:GG$33,'Your Team'!$D$8)&gt;0),'Your Team'!$C$8="F" ),1,0)+IF( AND((COUNTIF(GG$2:GG$33,'Your Team'!$D$9)&gt;0),'Your Team'!$C$9="F" ),1,0)+IF( AND((COUNTIF(GG$2:GG$33,'Your Team'!$D$10)&gt;0),'Your Team'!$C$10="F" ),1,0)+IF( AND((COUNTIF(GG$2:GG$33,'Your Team'!$D$11)&gt;0),'Your Team'!$C$11="F" ),1,0)+IF( AND((COUNTIF(GG$2:GG$33,'Your Team'!$D$12)&gt;0),'Your Team'!$C$12="F" ),1,0)+IF( AND((COUNTIF(GG$2:GG$33,'Your Team'!$D$13)&gt;0),'Your Team'!$C$13="F" ),1,0)+IF( AND((COUNTIF(GG$2:GG$33,'Your Team'!$D$14)&gt;0),'Your Team'!$C$14="F" ),1,0)+IF( AND((COUNTIF(GG$2:GG$33,'Your Team'!$D$15)&gt;0),'Your Team'!$C$15="F" ),1,0)+IF( AND((COUNTIF(GG$2:GG$33,'Your Team'!$D$16)&gt;0),'Your Team'!$C$16="F" ),1,0)+IF( AND((COUNTIF(GG$2:GG$33,'Your Team'!$D$17)&gt;0),'Your Team'!$C$17="F" ),1,0)+IF( AND((COUNTIF(GG$2:GG$33,'Your Team'!$D$18)&gt;0),'Your Team'!$C$18="F" ),1,0)+IF( AND((COUNTIF(GG$2:GG$33,'Your Team'!$D$19)&gt;0),'Your Team'!$C$19="F" ),1,0)</f>
        <v>0</v>
      </c>
      <c r="GH40" s="9">
        <f>IF( AND((COUNTIF(GH$2:GH$33,'Your Team'!$D$3)&gt;0),'Your Team'!$C$3="F" ),1,0)+IF( AND((COUNTIF(GH$2:GH$33,'Your Team'!$D$4)&gt;0),'Your Team'!$C$4="F" ),1,0)+IF( AND((COUNTIF(GH$2:GH$33,'Your Team'!$D$5)&gt;0),'Your Team'!$C$5="F" ),1,0)+IF( AND((COUNTIF(GH$2:GH$33,'Your Team'!$D$6)&gt;0),'Your Team'!$C$6="F" ),1,0)+IF( AND((COUNTIF(GH$2:GH$33,'Your Team'!$D$7)&gt;0),'Your Team'!$C$7="F" ),1,0)+IF( AND((COUNTIF(GH$2:GH$33,'Your Team'!$D$8)&gt;0),'Your Team'!$C$8="F" ),1,0)+IF( AND((COUNTIF(GH$2:GH$33,'Your Team'!$D$9)&gt;0),'Your Team'!$C$9="F" ),1,0)+IF( AND((COUNTIF(GH$2:GH$33,'Your Team'!$D$10)&gt;0),'Your Team'!$C$10="F" ),1,0)+IF( AND((COUNTIF(GH$2:GH$33,'Your Team'!$D$11)&gt;0),'Your Team'!$C$11="F" ),1,0)+IF( AND((COUNTIF(GH$2:GH$33,'Your Team'!$D$12)&gt;0),'Your Team'!$C$12="F" ),1,0)+IF( AND((COUNTIF(GH$2:GH$33,'Your Team'!$D$13)&gt;0),'Your Team'!$C$13="F" ),1,0)+IF( AND((COUNTIF(GH$2:GH$33,'Your Team'!$D$14)&gt;0),'Your Team'!$C$14="F" ),1,0)+IF( AND((COUNTIF(GH$2:GH$33,'Your Team'!$D$15)&gt;0),'Your Team'!$C$15="F" ),1,0)+IF( AND((COUNTIF(GH$2:GH$33,'Your Team'!$D$16)&gt;0),'Your Team'!$C$16="F" ),1,0)+IF( AND((COUNTIF(GH$2:GH$33,'Your Team'!$D$17)&gt;0),'Your Team'!$C$17="F" ),1,0)+IF( AND((COUNTIF(GH$2:GH$33,'Your Team'!$D$18)&gt;0),'Your Team'!$C$18="F" ),1,0)+IF( AND((COUNTIF(GH$2:GH$33,'Your Team'!$D$19)&gt;0),'Your Team'!$C$19="F" ),1,0)</f>
        <v>0</v>
      </c>
      <c r="GI40" s="9">
        <f>IF( AND((COUNTIF(GI$2:GI$33,'Your Team'!$D$3)&gt;0),'Your Team'!$C$3="F" ),1,0)+IF( AND((COUNTIF(GI$2:GI$33,'Your Team'!$D$4)&gt;0),'Your Team'!$C$4="F" ),1,0)+IF( AND((COUNTIF(GI$2:GI$33,'Your Team'!$D$5)&gt;0),'Your Team'!$C$5="F" ),1,0)+IF( AND((COUNTIF(GI$2:GI$33,'Your Team'!$D$6)&gt;0),'Your Team'!$C$6="F" ),1,0)+IF( AND((COUNTIF(GI$2:GI$33,'Your Team'!$D$7)&gt;0),'Your Team'!$C$7="F" ),1,0)+IF( AND((COUNTIF(GI$2:GI$33,'Your Team'!$D$8)&gt;0),'Your Team'!$C$8="F" ),1,0)+IF( AND((COUNTIF(GI$2:GI$33,'Your Team'!$D$9)&gt;0),'Your Team'!$C$9="F" ),1,0)+IF( AND((COUNTIF(GI$2:GI$33,'Your Team'!$D$10)&gt;0),'Your Team'!$C$10="F" ),1,0)+IF( AND((COUNTIF(GI$2:GI$33,'Your Team'!$D$11)&gt;0),'Your Team'!$C$11="F" ),1,0)+IF( AND((COUNTIF(GI$2:GI$33,'Your Team'!$D$12)&gt;0),'Your Team'!$C$12="F" ),1,0)+IF( AND((COUNTIF(GI$2:GI$33,'Your Team'!$D$13)&gt;0),'Your Team'!$C$13="F" ),1,0)+IF( AND((COUNTIF(GI$2:GI$33,'Your Team'!$D$14)&gt;0),'Your Team'!$C$14="F" ),1,0)+IF( AND((COUNTIF(GI$2:GI$33,'Your Team'!$D$15)&gt;0),'Your Team'!$C$15="F" ),1,0)+IF( AND((COUNTIF(GI$2:GI$33,'Your Team'!$D$16)&gt;0),'Your Team'!$C$16="F" ),1,0)+IF( AND((COUNTIF(GI$2:GI$33,'Your Team'!$D$17)&gt;0),'Your Team'!$C$17="F" ),1,0)+IF( AND((COUNTIF(GI$2:GI$33,'Your Team'!$D$18)&gt;0),'Your Team'!$C$18="F" ),1,0)+IF( AND((COUNTIF(GI$2:GI$33,'Your Team'!$D$19)&gt;0),'Your Team'!$C$19="F" ),1,0)</f>
        <v>0</v>
      </c>
      <c r="GJ40" s="9">
        <f>IF( AND((COUNTIF(GJ$2:GJ$33,'Your Team'!$D$3)&gt;0),'Your Team'!$C$3="F" ),1,0)+IF( AND((COUNTIF(GJ$2:GJ$33,'Your Team'!$D$4)&gt;0),'Your Team'!$C$4="F" ),1,0)+IF( AND((COUNTIF(GJ$2:GJ$33,'Your Team'!$D$5)&gt;0),'Your Team'!$C$5="F" ),1,0)+IF( AND((COUNTIF(GJ$2:GJ$33,'Your Team'!$D$6)&gt;0),'Your Team'!$C$6="F" ),1,0)+IF( AND((COUNTIF(GJ$2:GJ$33,'Your Team'!$D$7)&gt;0),'Your Team'!$C$7="F" ),1,0)+IF( AND((COUNTIF(GJ$2:GJ$33,'Your Team'!$D$8)&gt;0),'Your Team'!$C$8="F" ),1,0)+IF( AND((COUNTIF(GJ$2:GJ$33,'Your Team'!$D$9)&gt;0),'Your Team'!$C$9="F" ),1,0)+IF( AND((COUNTIF(GJ$2:GJ$33,'Your Team'!$D$10)&gt;0),'Your Team'!$C$10="F" ),1,0)+IF( AND((COUNTIF(GJ$2:GJ$33,'Your Team'!$D$11)&gt;0),'Your Team'!$C$11="F" ),1,0)+IF( AND((COUNTIF(GJ$2:GJ$33,'Your Team'!$D$12)&gt;0),'Your Team'!$C$12="F" ),1,0)+IF( AND((COUNTIF(GJ$2:GJ$33,'Your Team'!$D$13)&gt;0),'Your Team'!$C$13="F" ),1,0)+IF( AND((COUNTIF(GJ$2:GJ$33,'Your Team'!$D$14)&gt;0),'Your Team'!$C$14="F" ),1,0)+IF( AND((COUNTIF(GJ$2:GJ$33,'Your Team'!$D$15)&gt;0),'Your Team'!$C$15="F" ),1,0)+IF( AND((COUNTIF(GJ$2:GJ$33,'Your Team'!$D$16)&gt;0),'Your Team'!$C$16="F" ),1,0)+IF( AND((COUNTIF(GJ$2:GJ$33,'Your Team'!$D$17)&gt;0),'Your Team'!$C$17="F" ),1,0)+IF( AND((COUNTIF(GJ$2:GJ$33,'Your Team'!$D$18)&gt;0),'Your Team'!$C$18="F" ),1,0)+IF( AND((COUNTIF(GJ$2:GJ$33,'Your Team'!$D$19)&gt;0),'Your Team'!$C$19="F" ),1,0)</f>
        <v>0</v>
      </c>
      <c r="GK40" s="9">
        <f>IF( AND((COUNTIF(GK$2:GK$33,'Your Team'!$D$3)&gt;0),'Your Team'!$C$3="F" ),1,0)+IF( AND((COUNTIF(GK$2:GK$33,'Your Team'!$D$4)&gt;0),'Your Team'!$C$4="F" ),1,0)+IF( AND((COUNTIF(GK$2:GK$33,'Your Team'!$D$5)&gt;0),'Your Team'!$C$5="F" ),1,0)+IF( AND((COUNTIF(GK$2:GK$33,'Your Team'!$D$6)&gt;0),'Your Team'!$C$6="F" ),1,0)+IF( AND((COUNTIF(GK$2:GK$33,'Your Team'!$D$7)&gt;0),'Your Team'!$C$7="F" ),1,0)+IF( AND((COUNTIF(GK$2:GK$33,'Your Team'!$D$8)&gt;0),'Your Team'!$C$8="F" ),1,0)+IF( AND((COUNTIF(GK$2:GK$33,'Your Team'!$D$9)&gt;0),'Your Team'!$C$9="F" ),1,0)+IF( AND((COUNTIF(GK$2:GK$33,'Your Team'!$D$10)&gt;0),'Your Team'!$C$10="F" ),1,0)+IF( AND((COUNTIF(GK$2:GK$33,'Your Team'!$D$11)&gt;0),'Your Team'!$C$11="F" ),1,0)+IF( AND((COUNTIF(GK$2:GK$33,'Your Team'!$D$12)&gt;0),'Your Team'!$C$12="F" ),1,0)+IF( AND((COUNTIF(GK$2:GK$33,'Your Team'!$D$13)&gt;0),'Your Team'!$C$13="F" ),1,0)+IF( AND((COUNTIF(GK$2:GK$33,'Your Team'!$D$14)&gt;0),'Your Team'!$C$14="F" ),1,0)+IF( AND((COUNTIF(GK$2:GK$33,'Your Team'!$D$15)&gt;0),'Your Team'!$C$15="F" ),1,0)+IF( AND((COUNTIF(GK$2:GK$33,'Your Team'!$D$16)&gt;0),'Your Team'!$C$16="F" ),1,0)+IF( AND((COUNTIF(GK$2:GK$33,'Your Team'!$D$17)&gt;0),'Your Team'!$C$17="F" ),1,0)+IF( AND((COUNTIF(GK$2:GK$33,'Your Team'!$D$18)&gt;0),'Your Team'!$C$18="F" ),1,0)+IF( AND((COUNTIF(GK$2:GK$33,'Your Team'!$D$19)&gt;0),'Your Team'!$C$19="F" ),1,0)</f>
        <v>0</v>
      </c>
      <c r="GL40" s="9">
        <f>IF( AND((COUNTIF(GL$2:GL$33,'Your Team'!$D$3)&gt;0),'Your Team'!$C$3="F" ),1,0)+IF( AND((COUNTIF(GL$2:GL$33,'Your Team'!$D$4)&gt;0),'Your Team'!$C$4="F" ),1,0)+IF( AND((COUNTIF(GL$2:GL$33,'Your Team'!$D$5)&gt;0),'Your Team'!$C$5="F" ),1,0)+IF( AND((COUNTIF(GL$2:GL$33,'Your Team'!$D$6)&gt;0),'Your Team'!$C$6="F" ),1,0)+IF( AND((COUNTIF(GL$2:GL$33,'Your Team'!$D$7)&gt;0),'Your Team'!$C$7="F" ),1,0)+IF( AND((COUNTIF(GL$2:GL$33,'Your Team'!$D$8)&gt;0),'Your Team'!$C$8="F" ),1,0)+IF( AND((COUNTIF(GL$2:GL$33,'Your Team'!$D$9)&gt;0),'Your Team'!$C$9="F" ),1,0)+IF( AND((COUNTIF(GL$2:GL$33,'Your Team'!$D$10)&gt;0),'Your Team'!$C$10="F" ),1,0)+IF( AND((COUNTIF(GL$2:GL$33,'Your Team'!$D$11)&gt;0),'Your Team'!$C$11="F" ),1,0)+IF( AND((COUNTIF(GL$2:GL$33,'Your Team'!$D$12)&gt;0),'Your Team'!$C$12="F" ),1,0)+IF( AND((COUNTIF(GL$2:GL$33,'Your Team'!$D$13)&gt;0),'Your Team'!$C$13="F" ),1,0)+IF( AND((COUNTIF(GL$2:GL$33,'Your Team'!$D$14)&gt;0),'Your Team'!$C$14="F" ),1,0)+IF( AND((COUNTIF(GL$2:GL$33,'Your Team'!$D$15)&gt;0),'Your Team'!$C$15="F" ),1,0)+IF( AND((COUNTIF(GL$2:GL$33,'Your Team'!$D$16)&gt;0),'Your Team'!$C$16="F" ),1,0)+IF( AND((COUNTIF(GL$2:GL$33,'Your Team'!$D$17)&gt;0),'Your Team'!$C$17="F" ),1,0)+IF( AND((COUNTIF(GL$2:GL$33,'Your Team'!$D$18)&gt;0),'Your Team'!$C$18="F" ),1,0)+IF( AND((COUNTIF(GL$2:GL$33,'Your Team'!$D$19)&gt;0),'Your Team'!$C$19="F" ),1,0)</f>
        <v>0</v>
      </c>
      <c r="GM40" s="9">
        <f>IF( AND((COUNTIF(GM$2:GM$33,'Your Team'!$D$3)&gt;0),'Your Team'!$C$3="F" ),1,0)+IF( AND((COUNTIF(GM$2:GM$33,'Your Team'!$D$4)&gt;0),'Your Team'!$C$4="F" ),1,0)+IF( AND((COUNTIF(GM$2:GM$33,'Your Team'!$D$5)&gt;0),'Your Team'!$C$5="F" ),1,0)+IF( AND((COUNTIF(GM$2:GM$33,'Your Team'!$D$6)&gt;0),'Your Team'!$C$6="F" ),1,0)+IF( AND((COUNTIF(GM$2:GM$33,'Your Team'!$D$7)&gt;0),'Your Team'!$C$7="F" ),1,0)+IF( AND((COUNTIF(GM$2:GM$33,'Your Team'!$D$8)&gt;0),'Your Team'!$C$8="F" ),1,0)+IF( AND((COUNTIF(GM$2:GM$33,'Your Team'!$D$9)&gt;0),'Your Team'!$C$9="F" ),1,0)+IF( AND((COUNTIF(GM$2:GM$33,'Your Team'!$D$10)&gt;0),'Your Team'!$C$10="F" ),1,0)+IF( AND((COUNTIF(GM$2:GM$33,'Your Team'!$D$11)&gt;0),'Your Team'!$C$11="F" ),1,0)+IF( AND((COUNTIF(GM$2:GM$33,'Your Team'!$D$12)&gt;0),'Your Team'!$C$12="F" ),1,0)+IF( AND((COUNTIF(GM$2:GM$33,'Your Team'!$D$13)&gt;0),'Your Team'!$C$13="F" ),1,0)+IF( AND((COUNTIF(GM$2:GM$33,'Your Team'!$D$14)&gt;0),'Your Team'!$C$14="F" ),1,0)+IF( AND((COUNTIF(GM$2:GM$33,'Your Team'!$D$15)&gt;0),'Your Team'!$C$15="F" ),1,0)+IF( AND((COUNTIF(GM$2:GM$33,'Your Team'!$D$16)&gt;0),'Your Team'!$C$16="F" ),1,0)+IF( AND((COUNTIF(GM$2:GM$33,'Your Team'!$D$17)&gt;0),'Your Team'!$C$17="F" ),1,0)+IF( AND((COUNTIF(GM$2:GM$33,'Your Team'!$D$18)&gt;0),'Your Team'!$C$18="F" ),1,0)+IF( AND((COUNTIF(GM$2:GM$33,'Your Team'!$D$19)&gt;0),'Your Team'!$C$19="F" ),1,0)</f>
        <v>0</v>
      </c>
      <c r="GN40" s="9">
        <f>IF( AND((COUNTIF(GN$2:GN$33,'Your Team'!$D$3)&gt;0),'Your Team'!$C$3="F" ),1,0)+IF( AND((COUNTIF(GN$2:GN$33,'Your Team'!$D$4)&gt;0),'Your Team'!$C$4="F" ),1,0)+IF( AND((COUNTIF(GN$2:GN$33,'Your Team'!$D$5)&gt;0),'Your Team'!$C$5="F" ),1,0)+IF( AND((COUNTIF(GN$2:GN$33,'Your Team'!$D$6)&gt;0),'Your Team'!$C$6="F" ),1,0)+IF( AND((COUNTIF(GN$2:GN$33,'Your Team'!$D$7)&gt;0),'Your Team'!$C$7="F" ),1,0)+IF( AND((COUNTIF(GN$2:GN$33,'Your Team'!$D$8)&gt;0),'Your Team'!$C$8="F" ),1,0)+IF( AND((COUNTIF(GN$2:GN$33,'Your Team'!$D$9)&gt;0),'Your Team'!$C$9="F" ),1,0)+IF( AND((COUNTIF(GN$2:GN$33,'Your Team'!$D$10)&gt;0),'Your Team'!$C$10="F" ),1,0)+IF( AND((COUNTIF(GN$2:GN$33,'Your Team'!$D$11)&gt;0),'Your Team'!$C$11="F" ),1,0)+IF( AND((COUNTIF(GN$2:GN$33,'Your Team'!$D$12)&gt;0),'Your Team'!$C$12="F" ),1,0)+IF( AND((COUNTIF(GN$2:GN$33,'Your Team'!$D$13)&gt;0),'Your Team'!$C$13="F" ),1,0)+IF( AND((COUNTIF(GN$2:GN$33,'Your Team'!$D$14)&gt;0),'Your Team'!$C$14="F" ),1,0)+IF( AND((COUNTIF(GN$2:GN$33,'Your Team'!$D$15)&gt;0),'Your Team'!$C$15="F" ),1,0)+IF( AND((COUNTIF(GN$2:GN$33,'Your Team'!$D$16)&gt;0),'Your Team'!$C$16="F" ),1,0)+IF( AND((COUNTIF(GN$2:GN$33,'Your Team'!$D$17)&gt;0),'Your Team'!$C$17="F" ),1,0)+IF( AND((COUNTIF(GN$2:GN$33,'Your Team'!$D$18)&gt;0),'Your Team'!$C$18="F" ),1,0)+IF( AND((COUNTIF(GN$2:GN$33,'Your Team'!$D$19)&gt;0),'Your Team'!$C$19="F" ),1,0)</f>
        <v>0</v>
      </c>
    </row>
    <row r="41" spans="1:196" x14ac:dyDescent="0.3">
      <c r="A41" s="6" t="s">
        <v>10</v>
      </c>
      <c r="H41" s="9">
        <f>IF( AND((COUNTIF(H$2:H$33,'Your Team'!$D$3)&gt;0),'Your Team'!$C$3="G" ),1,0)+IF( AND((COUNTIF(H$2:H$33,'Your Team'!$D$4)&gt;0),'Your Team'!$C$4="G" ),1,0)+IF( AND((COUNTIF(H$2:H$33,'Your Team'!$D$5)&gt;0),'Your Team'!$C$5="G" ),1,0)+IF( AND((COUNTIF(H$2:H$33,'Your Team'!$D$6)&gt;0),'Your Team'!$C$6="G" ),1,0)+IF( AND((COUNTIF(H$2:H$33,'Your Team'!$D$7)&gt;0),'Your Team'!$C$7="G" ),1,0)+IF( AND((COUNTIF(H$2:H$33,'Your Team'!$D$8)&gt;0),'Your Team'!$C$8="G" ),1,0)+IF( AND((COUNTIF(H$2:H$33,'Your Team'!$D$9)&gt;0),'Your Team'!$C$9="G" ),1,0)+IF( AND((COUNTIF(H$2:H$33,'Your Team'!$D$10)&gt;0),'Your Team'!$C$10="G" ),1,0)+IF( AND((COUNTIF(H$2:H$33,'Your Team'!$D$11)&gt;0),'Your Team'!$C$11="G" ),1,0)+IF( AND((COUNTIF(H$2:H$33,'Your Team'!$D$12)&gt;0),'Your Team'!$C$12="G" ),1,0)+IF( AND((COUNTIF(H$2:H$33,'Your Team'!$D$13)&gt;0),'Your Team'!$C$13="G" ),1,0)+IF( AND((COUNTIF(H$2:H$33,'Your Team'!$D$14)&gt;0),'Your Team'!$C$14="G" ),1,0)+IF( AND((COUNTIF(H$2:H$33,'Your Team'!$D$15)&gt;0),'Your Team'!$C$15="G" ),1,0)+IF( AND((COUNTIF(H$2:H$33,'Your Team'!$D$16)&gt;0),'Your Team'!$C$16="G" ),1,0)+IF( AND((COUNTIF(H$2:H$33,'Your Team'!$D$17)&gt;0),'Your Team'!$C$17="G" ),1,0)+IF( AND((COUNTIF(H$2:H$33,'Your Team'!$D$18)&gt;0),'Your Team'!$C$18="G" ),1,0)+IF( AND((COUNTIF(H$2:H$33,'Your Team'!$D$19)&gt;0),'Your Team'!$C$19="G" ),1,0)</f>
        <v>0</v>
      </c>
      <c r="I41" s="9">
        <f>IF( AND((COUNTIF(I$2:I$33,'Your Team'!$D$3)&gt;0),'Your Team'!$C$3="G" ),1,0)+IF( AND((COUNTIF(I$2:I$33,'Your Team'!$D$4)&gt;0),'Your Team'!$C$4="G" ),1,0)+IF( AND((COUNTIF(I$2:I$33,'Your Team'!$D$5)&gt;0),'Your Team'!$C$5="G" ),1,0)+IF( AND((COUNTIF(I$2:I$33,'Your Team'!$D$6)&gt;0),'Your Team'!$C$6="G" ),1,0)+IF( AND((COUNTIF(I$2:I$33,'Your Team'!$D$7)&gt;0),'Your Team'!$C$7="G" ),1,0)+IF( AND((COUNTIF(I$2:I$33,'Your Team'!$D$8)&gt;0),'Your Team'!$C$8="G" ),1,0)+IF( AND((COUNTIF(I$2:I$33,'Your Team'!$D$9)&gt;0),'Your Team'!$C$9="G" ),1,0)+IF( AND((COUNTIF(I$2:I$33,'Your Team'!$D$10)&gt;0),'Your Team'!$C$10="G" ),1,0)+IF( AND((COUNTIF(I$2:I$33,'Your Team'!$D$11)&gt;0),'Your Team'!$C$11="G" ),1,0)+IF( AND((COUNTIF(I$2:I$33,'Your Team'!$D$12)&gt;0),'Your Team'!$C$12="G" ),1,0)+IF( AND((COUNTIF(I$2:I$33,'Your Team'!$D$13)&gt;0),'Your Team'!$C$13="G" ),1,0)+IF( AND((COUNTIF(I$2:I$33,'Your Team'!$D$14)&gt;0),'Your Team'!$C$14="G" ),1,0)+IF( AND((COUNTIF(I$2:I$33,'Your Team'!$D$15)&gt;0),'Your Team'!$C$15="G" ),1,0)+IF( AND((COUNTIF(I$2:I$33,'Your Team'!$D$16)&gt;0),'Your Team'!$C$16="G" ),1,0)+IF( AND((COUNTIF(I$2:I$33,'Your Team'!$D$17)&gt;0),'Your Team'!$C$17="G" ),1,0)+IF( AND((COUNTIF(I$2:I$33,'Your Team'!$D$18)&gt;0),'Your Team'!$C$18="G" ),1,0)+IF( AND((COUNTIF(I$2:I$33,'Your Team'!$D$19)&gt;0),'Your Team'!$C$19="G" ),1,0)</f>
        <v>0</v>
      </c>
      <c r="J41" s="9">
        <f>IF( AND((COUNTIF(J$2:J$33,'Your Team'!$D$3)&gt;0),'Your Team'!$C$3="G" ),1,0)+IF( AND((COUNTIF(J$2:J$33,'Your Team'!$D$4)&gt;0),'Your Team'!$C$4="G" ),1,0)+IF( AND((COUNTIF(J$2:J$33,'Your Team'!$D$5)&gt;0),'Your Team'!$C$5="G" ),1,0)+IF( AND((COUNTIF(J$2:J$33,'Your Team'!$D$6)&gt;0),'Your Team'!$C$6="G" ),1,0)+IF( AND((COUNTIF(J$2:J$33,'Your Team'!$D$7)&gt;0),'Your Team'!$C$7="G" ),1,0)+IF( AND((COUNTIF(J$2:J$33,'Your Team'!$D$8)&gt;0),'Your Team'!$C$8="G" ),1,0)+IF( AND((COUNTIF(J$2:J$33,'Your Team'!$D$9)&gt;0),'Your Team'!$C$9="G" ),1,0)+IF( AND((COUNTIF(J$2:J$33,'Your Team'!$D$10)&gt;0),'Your Team'!$C$10="G" ),1,0)+IF( AND((COUNTIF(J$2:J$33,'Your Team'!$D$11)&gt;0),'Your Team'!$C$11="G" ),1,0)+IF( AND((COUNTIF(J$2:J$33,'Your Team'!$D$12)&gt;0),'Your Team'!$C$12="G" ),1,0)+IF( AND((COUNTIF(J$2:J$33,'Your Team'!$D$13)&gt;0),'Your Team'!$C$13="G" ),1,0)+IF( AND((COUNTIF(J$2:J$33,'Your Team'!$D$14)&gt;0),'Your Team'!$C$14="G" ),1,0)+IF( AND((COUNTIF(J$2:J$33,'Your Team'!$D$15)&gt;0),'Your Team'!$C$15="G" ),1,0)+IF( AND((COUNTIF(J$2:J$33,'Your Team'!$D$16)&gt;0),'Your Team'!$C$16="G" ),1,0)+IF( AND((COUNTIF(J$2:J$33,'Your Team'!$D$17)&gt;0),'Your Team'!$C$17="G" ),1,0)+IF( AND((COUNTIF(J$2:J$33,'Your Team'!$D$18)&gt;0),'Your Team'!$C$18="G" ),1,0)+IF( AND((COUNTIF(J$2:J$33,'Your Team'!$D$19)&gt;0),'Your Team'!$C$19="G" ),1,0)</f>
        <v>0</v>
      </c>
      <c r="K41" s="9">
        <f>IF( AND((COUNTIF(K$2:K$33,'Your Team'!$D$3)&gt;0),'Your Team'!$C$3="G" ),1,0)+IF( AND((COUNTIF(K$2:K$33,'Your Team'!$D$4)&gt;0),'Your Team'!$C$4="G" ),1,0)+IF( AND((COUNTIF(K$2:K$33,'Your Team'!$D$5)&gt;0),'Your Team'!$C$5="G" ),1,0)+IF( AND((COUNTIF(K$2:K$33,'Your Team'!$D$6)&gt;0),'Your Team'!$C$6="G" ),1,0)+IF( AND((COUNTIF(K$2:K$33,'Your Team'!$D$7)&gt;0),'Your Team'!$C$7="G" ),1,0)+IF( AND((COUNTIF(K$2:K$33,'Your Team'!$D$8)&gt;0),'Your Team'!$C$8="G" ),1,0)+IF( AND((COUNTIF(K$2:K$33,'Your Team'!$D$9)&gt;0),'Your Team'!$C$9="G" ),1,0)+IF( AND((COUNTIF(K$2:K$33,'Your Team'!$D$10)&gt;0),'Your Team'!$C$10="G" ),1,0)+IF( AND((COUNTIF(K$2:K$33,'Your Team'!$D$11)&gt;0),'Your Team'!$C$11="G" ),1,0)+IF( AND((COUNTIF(K$2:K$33,'Your Team'!$D$12)&gt;0),'Your Team'!$C$12="G" ),1,0)+IF( AND((COUNTIF(K$2:K$33,'Your Team'!$D$13)&gt;0),'Your Team'!$C$13="G" ),1,0)+IF( AND((COUNTIF(K$2:K$33,'Your Team'!$D$14)&gt;0),'Your Team'!$C$14="G" ),1,0)+IF( AND((COUNTIF(K$2:K$33,'Your Team'!$D$15)&gt;0),'Your Team'!$C$15="G" ),1,0)+IF( AND((COUNTIF(K$2:K$33,'Your Team'!$D$16)&gt;0),'Your Team'!$C$16="G" ),1,0)+IF( AND((COUNTIF(K$2:K$33,'Your Team'!$D$17)&gt;0),'Your Team'!$C$17="G" ),1,0)+IF( AND((COUNTIF(K$2:K$33,'Your Team'!$D$18)&gt;0),'Your Team'!$C$18="G" ),1,0)+IF( AND((COUNTIF(K$2:K$33,'Your Team'!$D$19)&gt;0),'Your Team'!$C$19="G" ),1,0)</f>
        <v>0</v>
      </c>
      <c r="L41" s="9">
        <f>IF( AND((COUNTIF(L$2:L$33,'Your Team'!$D$3)&gt;0),'Your Team'!$C$3="G" ),1,0)+IF( AND((COUNTIF(L$2:L$33,'Your Team'!$D$4)&gt;0),'Your Team'!$C$4="G" ),1,0)+IF( AND((COUNTIF(L$2:L$33,'Your Team'!$D$5)&gt;0),'Your Team'!$C$5="G" ),1,0)+IF( AND((COUNTIF(L$2:L$33,'Your Team'!$D$6)&gt;0),'Your Team'!$C$6="G" ),1,0)+IF( AND((COUNTIF(L$2:L$33,'Your Team'!$D$7)&gt;0),'Your Team'!$C$7="G" ),1,0)+IF( AND((COUNTIF(L$2:L$33,'Your Team'!$D$8)&gt;0),'Your Team'!$C$8="G" ),1,0)+IF( AND((COUNTIF(L$2:L$33,'Your Team'!$D$9)&gt;0),'Your Team'!$C$9="G" ),1,0)+IF( AND((COUNTIF(L$2:L$33,'Your Team'!$D$10)&gt;0),'Your Team'!$C$10="G" ),1,0)+IF( AND((COUNTIF(L$2:L$33,'Your Team'!$D$11)&gt;0),'Your Team'!$C$11="G" ),1,0)+IF( AND((COUNTIF(L$2:L$33,'Your Team'!$D$12)&gt;0),'Your Team'!$C$12="G" ),1,0)+IF( AND((COUNTIF(L$2:L$33,'Your Team'!$D$13)&gt;0),'Your Team'!$C$13="G" ),1,0)+IF( AND((COUNTIF(L$2:L$33,'Your Team'!$D$14)&gt;0),'Your Team'!$C$14="G" ),1,0)+IF( AND((COUNTIF(L$2:L$33,'Your Team'!$D$15)&gt;0),'Your Team'!$C$15="G" ),1,0)+IF( AND((COUNTIF(L$2:L$33,'Your Team'!$D$16)&gt;0),'Your Team'!$C$16="G" ),1,0)+IF( AND((COUNTIF(L$2:L$33,'Your Team'!$D$17)&gt;0),'Your Team'!$C$17="G" ),1,0)+IF( AND((COUNTIF(L$2:L$33,'Your Team'!$D$18)&gt;0),'Your Team'!$C$18="G" ),1,0)+IF( AND((COUNTIF(L$2:L$33,'Your Team'!$D$19)&gt;0),'Your Team'!$C$19="G" ),1,0)</f>
        <v>0</v>
      </c>
      <c r="M41" s="9">
        <f>IF( AND((COUNTIF(M$2:M$33,'Your Team'!$D$3)&gt;0),'Your Team'!$C$3="G" ),1,0)+IF( AND((COUNTIF(M$2:M$33,'Your Team'!$D$4)&gt;0),'Your Team'!$C$4="G" ),1,0)+IF( AND((COUNTIF(M$2:M$33,'Your Team'!$D$5)&gt;0),'Your Team'!$C$5="G" ),1,0)+IF( AND((COUNTIF(M$2:M$33,'Your Team'!$D$6)&gt;0),'Your Team'!$C$6="G" ),1,0)+IF( AND((COUNTIF(M$2:M$33,'Your Team'!$D$7)&gt;0),'Your Team'!$C$7="G" ),1,0)+IF( AND((COUNTIF(M$2:M$33,'Your Team'!$D$8)&gt;0),'Your Team'!$C$8="G" ),1,0)+IF( AND((COUNTIF(M$2:M$33,'Your Team'!$D$9)&gt;0),'Your Team'!$C$9="G" ),1,0)+IF( AND((COUNTIF(M$2:M$33,'Your Team'!$D$10)&gt;0),'Your Team'!$C$10="G" ),1,0)+IF( AND((COUNTIF(M$2:M$33,'Your Team'!$D$11)&gt;0),'Your Team'!$C$11="G" ),1,0)+IF( AND((COUNTIF(M$2:M$33,'Your Team'!$D$12)&gt;0),'Your Team'!$C$12="G" ),1,0)+IF( AND((COUNTIF(M$2:M$33,'Your Team'!$D$13)&gt;0),'Your Team'!$C$13="G" ),1,0)+IF( AND((COUNTIF(M$2:M$33,'Your Team'!$D$14)&gt;0),'Your Team'!$C$14="G" ),1,0)+IF( AND((COUNTIF(M$2:M$33,'Your Team'!$D$15)&gt;0),'Your Team'!$C$15="G" ),1,0)+IF( AND((COUNTIF(M$2:M$33,'Your Team'!$D$16)&gt;0),'Your Team'!$C$16="G" ),1,0)+IF( AND((COUNTIF(M$2:M$33,'Your Team'!$D$17)&gt;0),'Your Team'!$C$17="G" ),1,0)+IF( AND((COUNTIF(M$2:M$33,'Your Team'!$D$18)&gt;0),'Your Team'!$C$18="G" ),1,0)+IF( AND((COUNTIF(M$2:M$33,'Your Team'!$D$19)&gt;0),'Your Team'!$C$19="G" ),1,0)</f>
        <v>0</v>
      </c>
      <c r="N41" s="9">
        <f>IF( AND((COUNTIF(N$2:N$33,'Your Team'!$D$3)&gt;0),'Your Team'!$C$3="G" ),1,0)+IF( AND((COUNTIF(N$2:N$33,'Your Team'!$D$4)&gt;0),'Your Team'!$C$4="G" ),1,0)+IF( AND((COUNTIF(N$2:N$33,'Your Team'!$D$5)&gt;0),'Your Team'!$C$5="G" ),1,0)+IF( AND((COUNTIF(N$2:N$33,'Your Team'!$D$6)&gt;0),'Your Team'!$C$6="G" ),1,0)+IF( AND((COUNTIF(N$2:N$33,'Your Team'!$D$7)&gt;0),'Your Team'!$C$7="G" ),1,0)+IF( AND((COUNTIF(N$2:N$33,'Your Team'!$D$8)&gt;0),'Your Team'!$C$8="G" ),1,0)+IF( AND((COUNTIF(N$2:N$33,'Your Team'!$D$9)&gt;0),'Your Team'!$C$9="G" ),1,0)+IF( AND((COUNTIF(N$2:N$33,'Your Team'!$D$10)&gt;0),'Your Team'!$C$10="G" ),1,0)+IF( AND((COUNTIF(N$2:N$33,'Your Team'!$D$11)&gt;0),'Your Team'!$C$11="G" ),1,0)+IF( AND((COUNTIF(N$2:N$33,'Your Team'!$D$12)&gt;0),'Your Team'!$C$12="G" ),1,0)+IF( AND((COUNTIF(N$2:N$33,'Your Team'!$D$13)&gt;0),'Your Team'!$C$13="G" ),1,0)+IF( AND((COUNTIF(N$2:N$33,'Your Team'!$D$14)&gt;0),'Your Team'!$C$14="G" ),1,0)+IF( AND((COUNTIF(N$2:N$33,'Your Team'!$D$15)&gt;0),'Your Team'!$C$15="G" ),1,0)+IF( AND((COUNTIF(N$2:N$33,'Your Team'!$D$16)&gt;0),'Your Team'!$C$16="G" ),1,0)+IF( AND((COUNTIF(N$2:N$33,'Your Team'!$D$17)&gt;0),'Your Team'!$C$17="G" ),1,0)+IF( AND((COUNTIF(N$2:N$33,'Your Team'!$D$18)&gt;0),'Your Team'!$C$18="G" ),1,0)+IF( AND((COUNTIF(N$2:N$33,'Your Team'!$D$19)&gt;0),'Your Team'!$C$19="G" ),1,0)</f>
        <v>0</v>
      </c>
      <c r="O41" s="9">
        <f>IF( AND((COUNTIF(O$2:O$33,'Your Team'!$D$3)&gt;0),'Your Team'!$C$3="G" ),1,0)+IF( AND((COUNTIF(O$2:O$33,'Your Team'!$D$4)&gt;0),'Your Team'!$C$4="G" ),1,0)+IF( AND((COUNTIF(O$2:O$33,'Your Team'!$D$5)&gt;0),'Your Team'!$C$5="G" ),1,0)+IF( AND((COUNTIF(O$2:O$33,'Your Team'!$D$6)&gt;0),'Your Team'!$C$6="G" ),1,0)+IF( AND((COUNTIF(O$2:O$33,'Your Team'!$D$7)&gt;0),'Your Team'!$C$7="G" ),1,0)+IF( AND((COUNTIF(O$2:O$33,'Your Team'!$D$8)&gt;0),'Your Team'!$C$8="G" ),1,0)+IF( AND((COUNTIF(O$2:O$33,'Your Team'!$D$9)&gt;0),'Your Team'!$C$9="G" ),1,0)+IF( AND((COUNTIF(O$2:O$33,'Your Team'!$D$10)&gt;0),'Your Team'!$C$10="G" ),1,0)+IF( AND((COUNTIF(O$2:O$33,'Your Team'!$D$11)&gt;0),'Your Team'!$C$11="G" ),1,0)+IF( AND((COUNTIF(O$2:O$33,'Your Team'!$D$12)&gt;0),'Your Team'!$C$12="G" ),1,0)+IF( AND((COUNTIF(O$2:O$33,'Your Team'!$D$13)&gt;0),'Your Team'!$C$13="G" ),1,0)+IF( AND((COUNTIF(O$2:O$33,'Your Team'!$D$14)&gt;0),'Your Team'!$C$14="G" ),1,0)+IF( AND((COUNTIF(O$2:O$33,'Your Team'!$D$15)&gt;0),'Your Team'!$C$15="G" ),1,0)+IF( AND((COUNTIF(O$2:O$33,'Your Team'!$D$16)&gt;0),'Your Team'!$C$16="G" ),1,0)+IF( AND((COUNTIF(O$2:O$33,'Your Team'!$D$17)&gt;0),'Your Team'!$C$17="G" ),1,0)+IF( AND((COUNTIF(O$2:O$33,'Your Team'!$D$18)&gt;0),'Your Team'!$C$18="G" ),1,0)+IF( AND((COUNTIF(O$2:O$33,'Your Team'!$D$19)&gt;0),'Your Team'!$C$19="G" ),1,0)</f>
        <v>0</v>
      </c>
      <c r="P41" s="9">
        <f>IF( AND((COUNTIF(P$2:P$33,'Your Team'!$D$3)&gt;0),'Your Team'!$C$3="G" ),1,0)+IF( AND((COUNTIF(P$2:P$33,'Your Team'!$D$4)&gt;0),'Your Team'!$C$4="G" ),1,0)+IF( AND((COUNTIF(P$2:P$33,'Your Team'!$D$5)&gt;0),'Your Team'!$C$5="G" ),1,0)+IF( AND((COUNTIF(P$2:P$33,'Your Team'!$D$6)&gt;0),'Your Team'!$C$6="G" ),1,0)+IF( AND((COUNTIF(P$2:P$33,'Your Team'!$D$7)&gt;0),'Your Team'!$C$7="G" ),1,0)+IF( AND((COUNTIF(P$2:P$33,'Your Team'!$D$8)&gt;0),'Your Team'!$C$8="G" ),1,0)+IF( AND((COUNTIF(P$2:P$33,'Your Team'!$D$9)&gt;0),'Your Team'!$C$9="G" ),1,0)+IF( AND((COUNTIF(P$2:P$33,'Your Team'!$D$10)&gt;0),'Your Team'!$C$10="G" ),1,0)+IF( AND((COUNTIF(P$2:P$33,'Your Team'!$D$11)&gt;0),'Your Team'!$C$11="G" ),1,0)+IF( AND((COUNTIF(P$2:P$33,'Your Team'!$D$12)&gt;0),'Your Team'!$C$12="G" ),1,0)+IF( AND((COUNTIF(P$2:P$33,'Your Team'!$D$13)&gt;0),'Your Team'!$C$13="G" ),1,0)+IF( AND((COUNTIF(P$2:P$33,'Your Team'!$D$14)&gt;0),'Your Team'!$C$14="G" ),1,0)+IF( AND((COUNTIF(P$2:P$33,'Your Team'!$D$15)&gt;0),'Your Team'!$C$15="G" ),1,0)+IF( AND((COUNTIF(P$2:P$33,'Your Team'!$D$16)&gt;0),'Your Team'!$C$16="G" ),1,0)+IF( AND((COUNTIF(P$2:P$33,'Your Team'!$D$17)&gt;0),'Your Team'!$C$17="G" ),1,0)+IF( AND((COUNTIF(P$2:P$33,'Your Team'!$D$18)&gt;0),'Your Team'!$C$18="G" ),1,0)+IF( AND((COUNTIF(P$2:P$33,'Your Team'!$D$19)&gt;0),'Your Team'!$C$19="G" ),1,0)</f>
        <v>0</v>
      </c>
      <c r="Q41" s="9">
        <f>IF( AND((COUNTIF(Q$2:Q$33,'Your Team'!$D$3)&gt;0),'Your Team'!$C$3="G" ),1,0)+IF( AND((COUNTIF(Q$2:Q$33,'Your Team'!$D$4)&gt;0),'Your Team'!$C$4="G" ),1,0)+IF( AND((COUNTIF(Q$2:Q$33,'Your Team'!$D$5)&gt;0),'Your Team'!$C$5="G" ),1,0)+IF( AND((COUNTIF(Q$2:Q$33,'Your Team'!$D$6)&gt;0),'Your Team'!$C$6="G" ),1,0)+IF( AND((COUNTIF(Q$2:Q$33,'Your Team'!$D$7)&gt;0),'Your Team'!$C$7="G" ),1,0)+IF( AND((COUNTIF(Q$2:Q$33,'Your Team'!$D$8)&gt;0),'Your Team'!$C$8="G" ),1,0)+IF( AND((COUNTIF(Q$2:Q$33,'Your Team'!$D$9)&gt;0),'Your Team'!$C$9="G" ),1,0)+IF( AND((COUNTIF(Q$2:Q$33,'Your Team'!$D$10)&gt;0),'Your Team'!$C$10="G" ),1,0)+IF( AND((COUNTIF(Q$2:Q$33,'Your Team'!$D$11)&gt;0),'Your Team'!$C$11="G" ),1,0)+IF( AND((COUNTIF(Q$2:Q$33,'Your Team'!$D$12)&gt;0),'Your Team'!$C$12="G" ),1,0)+IF( AND((COUNTIF(Q$2:Q$33,'Your Team'!$D$13)&gt;0),'Your Team'!$C$13="G" ),1,0)+IF( AND((COUNTIF(Q$2:Q$33,'Your Team'!$D$14)&gt;0),'Your Team'!$C$14="G" ),1,0)+IF( AND((COUNTIF(Q$2:Q$33,'Your Team'!$D$15)&gt;0),'Your Team'!$C$15="G" ),1,0)+IF( AND((COUNTIF(Q$2:Q$33,'Your Team'!$D$16)&gt;0),'Your Team'!$C$16="G" ),1,0)+IF( AND((COUNTIF(Q$2:Q$33,'Your Team'!$D$17)&gt;0),'Your Team'!$C$17="G" ),1,0)+IF( AND((COUNTIF(Q$2:Q$33,'Your Team'!$D$18)&gt;0),'Your Team'!$C$18="G" ),1,0)+IF( AND((COUNTIF(Q$2:Q$33,'Your Team'!$D$19)&gt;0),'Your Team'!$C$19="G" ),1,0)</f>
        <v>0</v>
      </c>
      <c r="R41" s="9">
        <f>IF( AND((COUNTIF(R$2:R$33,'Your Team'!$D$3)&gt;0),'Your Team'!$C$3="G" ),1,0)+IF( AND((COUNTIF(R$2:R$33,'Your Team'!$D$4)&gt;0),'Your Team'!$C$4="G" ),1,0)+IF( AND((COUNTIF(R$2:R$33,'Your Team'!$D$5)&gt;0),'Your Team'!$C$5="G" ),1,0)+IF( AND((COUNTIF(R$2:R$33,'Your Team'!$D$6)&gt;0),'Your Team'!$C$6="G" ),1,0)+IF( AND((COUNTIF(R$2:R$33,'Your Team'!$D$7)&gt;0),'Your Team'!$C$7="G" ),1,0)+IF( AND((COUNTIF(R$2:R$33,'Your Team'!$D$8)&gt;0),'Your Team'!$C$8="G" ),1,0)+IF( AND((COUNTIF(R$2:R$33,'Your Team'!$D$9)&gt;0),'Your Team'!$C$9="G" ),1,0)+IF( AND((COUNTIF(R$2:R$33,'Your Team'!$D$10)&gt;0),'Your Team'!$C$10="G" ),1,0)+IF( AND((COUNTIF(R$2:R$33,'Your Team'!$D$11)&gt;0),'Your Team'!$C$11="G" ),1,0)+IF( AND((COUNTIF(R$2:R$33,'Your Team'!$D$12)&gt;0),'Your Team'!$C$12="G" ),1,0)+IF( AND((COUNTIF(R$2:R$33,'Your Team'!$D$13)&gt;0),'Your Team'!$C$13="G" ),1,0)+IF( AND((COUNTIF(R$2:R$33,'Your Team'!$D$14)&gt;0),'Your Team'!$C$14="G" ),1,0)+IF( AND((COUNTIF(R$2:R$33,'Your Team'!$D$15)&gt;0),'Your Team'!$C$15="G" ),1,0)+IF( AND((COUNTIF(R$2:R$33,'Your Team'!$D$16)&gt;0),'Your Team'!$C$16="G" ),1,0)+IF( AND((COUNTIF(R$2:R$33,'Your Team'!$D$17)&gt;0),'Your Team'!$C$17="G" ),1,0)+IF( AND((COUNTIF(R$2:R$33,'Your Team'!$D$18)&gt;0),'Your Team'!$C$18="G" ),1,0)+IF( AND((COUNTIF(R$2:R$33,'Your Team'!$D$19)&gt;0),'Your Team'!$C$19="G" ),1,0)</f>
        <v>0</v>
      </c>
      <c r="S41" s="9">
        <f>IF( AND((COUNTIF(S$2:S$33,'Your Team'!$D$3)&gt;0),'Your Team'!$C$3="G" ),1,0)+IF( AND((COUNTIF(S$2:S$33,'Your Team'!$D$4)&gt;0),'Your Team'!$C$4="G" ),1,0)+IF( AND((COUNTIF(S$2:S$33,'Your Team'!$D$5)&gt;0),'Your Team'!$C$5="G" ),1,0)+IF( AND((COUNTIF(S$2:S$33,'Your Team'!$D$6)&gt;0),'Your Team'!$C$6="G" ),1,0)+IF( AND((COUNTIF(S$2:S$33,'Your Team'!$D$7)&gt;0),'Your Team'!$C$7="G" ),1,0)+IF( AND((COUNTIF(S$2:S$33,'Your Team'!$D$8)&gt;0),'Your Team'!$C$8="G" ),1,0)+IF( AND((COUNTIF(S$2:S$33,'Your Team'!$D$9)&gt;0),'Your Team'!$C$9="G" ),1,0)+IF( AND((COUNTIF(S$2:S$33,'Your Team'!$D$10)&gt;0),'Your Team'!$C$10="G" ),1,0)+IF( AND((COUNTIF(S$2:S$33,'Your Team'!$D$11)&gt;0),'Your Team'!$C$11="G" ),1,0)+IF( AND((COUNTIF(S$2:S$33,'Your Team'!$D$12)&gt;0),'Your Team'!$C$12="G" ),1,0)+IF( AND((COUNTIF(S$2:S$33,'Your Team'!$D$13)&gt;0),'Your Team'!$C$13="G" ),1,0)+IF( AND((COUNTIF(S$2:S$33,'Your Team'!$D$14)&gt;0),'Your Team'!$C$14="G" ),1,0)+IF( AND((COUNTIF(S$2:S$33,'Your Team'!$D$15)&gt;0),'Your Team'!$C$15="G" ),1,0)+IF( AND((COUNTIF(S$2:S$33,'Your Team'!$D$16)&gt;0),'Your Team'!$C$16="G" ),1,0)+IF( AND((COUNTIF(S$2:S$33,'Your Team'!$D$17)&gt;0),'Your Team'!$C$17="G" ),1,0)+IF( AND((COUNTIF(S$2:S$33,'Your Team'!$D$18)&gt;0),'Your Team'!$C$18="G" ),1,0)+IF( AND((COUNTIF(S$2:S$33,'Your Team'!$D$19)&gt;0),'Your Team'!$C$19="G" ),1,0)</f>
        <v>0</v>
      </c>
      <c r="T41" s="9">
        <f>IF( AND((COUNTIF(T$2:T$33,'Your Team'!$D$3)&gt;0),'Your Team'!$C$3="G" ),1,0)+IF( AND((COUNTIF(T$2:T$33,'Your Team'!$D$4)&gt;0),'Your Team'!$C$4="G" ),1,0)+IF( AND((COUNTIF(T$2:T$33,'Your Team'!$D$5)&gt;0),'Your Team'!$C$5="G" ),1,0)+IF( AND((COUNTIF(T$2:T$33,'Your Team'!$D$6)&gt;0),'Your Team'!$C$6="G" ),1,0)+IF( AND((COUNTIF(T$2:T$33,'Your Team'!$D$7)&gt;0),'Your Team'!$C$7="G" ),1,0)+IF( AND((COUNTIF(T$2:T$33,'Your Team'!$D$8)&gt;0),'Your Team'!$C$8="G" ),1,0)+IF( AND((COUNTIF(T$2:T$33,'Your Team'!$D$9)&gt;0),'Your Team'!$C$9="G" ),1,0)+IF( AND((COUNTIF(T$2:T$33,'Your Team'!$D$10)&gt;0),'Your Team'!$C$10="G" ),1,0)+IF( AND((COUNTIF(T$2:T$33,'Your Team'!$D$11)&gt;0),'Your Team'!$C$11="G" ),1,0)+IF( AND((COUNTIF(T$2:T$33,'Your Team'!$D$12)&gt;0),'Your Team'!$C$12="G" ),1,0)+IF( AND((COUNTIF(T$2:T$33,'Your Team'!$D$13)&gt;0),'Your Team'!$C$13="G" ),1,0)+IF( AND((COUNTIF(T$2:T$33,'Your Team'!$D$14)&gt;0),'Your Team'!$C$14="G" ),1,0)+IF( AND((COUNTIF(T$2:T$33,'Your Team'!$D$15)&gt;0),'Your Team'!$C$15="G" ),1,0)+IF( AND((COUNTIF(T$2:T$33,'Your Team'!$D$16)&gt;0),'Your Team'!$C$16="G" ),1,0)+IF( AND((COUNTIF(T$2:T$33,'Your Team'!$D$17)&gt;0),'Your Team'!$C$17="G" ),1,0)+IF( AND((COUNTIF(T$2:T$33,'Your Team'!$D$18)&gt;0),'Your Team'!$C$18="G" ),1,0)+IF( AND((COUNTIF(T$2:T$33,'Your Team'!$D$19)&gt;0),'Your Team'!$C$19="G" ),1,0)</f>
        <v>0</v>
      </c>
      <c r="U41" s="9">
        <f>IF( AND((COUNTIF(U$2:U$33,'Your Team'!$D$3)&gt;0),'Your Team'!$C$3="G" ),1,0)+IF( AND((COUNTIF(U$2:U$33,'Your Team'!$D$4)&gt;0),'Your Team'!$C$4="G" ),1,0)+IF( AND((COUNTIF(U$2:U$33,'Your Team'!$D$5)&gt;0),'Your Team'!$C$5="G" ),1,0)+IF( AND((COUNTIF(U$2:U$33,'Your Team'!$D$6)&gt;0),'Your Team'!$C$6="G" ),1,0)+IF( AND((COUNTIF(U$2:U$33,'Your Team'!$D$7)&gt;0),'Your Team'!$C$7="G" ),1,0)+IF( AND((COUNTIF(U$2:U$33,'Your Team'!$D$8)&gt;0),'Your Team'!$C$8="G" ),1,0)+IF( AND((COUNTIF(U$2:U$33,'Your Team'!$D$9)&gt;0),'Your Team'!$C$9="G" ),1,0)+IF( AND((COUNTIF(U$2:U$33,'Your Team'!$D$10)&gt;0),'Your Team'!$C$10="G" ),1,0)+IF( AND((COUNTIF(U$2:U$33,'Your Team'!$D$11)&gt;0),'Your Team'!$C$11="G" ),1,0)+IF( AND((COUNTIF(U$2:U$33,'Your Team'!$D$12)&gt;0),'Your Team'!$C$12="G" ),1,0)+IF( AND((COUNTIF(U$2:U$33,'Your Team'!$D$13)&gt;0),'Your Team'!$C$13="G" ),1,0)+IF( AND((COUNTIF(U$2:U$33,'Your Team'!$D$14)&gt;0),'Your Team'!$C$14="G" ),1,0)+IF( AND((COUNTIF(U$2:U$33,'Your Team'!$D$15)&gt;0),'Your Team'!$C$15="G" ),1,0)+IF( AND((COUNTIF(U$2:U$33,'Your Team'!$D$16)&gt;0),'Your Team'!$C$16="G" ),1,0)+IF( AND((COUNTIF(U$2:U$33,'Your Team'!$D$17)&gt;0),'Your Team'!$C$17="G" ),1,0)+IF( AND((COUNTIF(U$2:U$33,'Your Team'!$D$18)&gt;0),'Your Team'!$C$18="G" ),1,0)+IF( AND((COUNTIF(U$2:U$33,'Your Team'!$D$19)&gt;0),'Your Team'!$C$19="G" ),1,0)</f>
        <v>0</v>
      </c>
      <c r="V41" s="9">
        <f>IF( AND((COUNTIF(V$2:V$33,'Your Team'!$D$3)&gt;0),'Your Team'!$C$3="G" ),1,0)+IF( AND((COUNTIF(V$2:V$33,'Your Team'!$D$4)&gt;0),'Your Team'!$C$4="G" ),1,0)+IF( AND((COUNTIF(V$2:V$33,'Your Team'!$D$5)&gt;0),'Your Team'!$C$5="G" ),1,0)+IF( AND((COUNTIF(V$2:V$33,'Your Team'!$D$6)&gt;0),'Your Team'!$C$6="G" ),1,0)+IF( AND((COUNTIF(V$2:V$33,'Your Team'!$D$7)&gt;0),'Your Team'!$C$7="G" ),1,0)+IF( AND((COUNTIF(V$2:V$33,'Your Team'!$D$8)&gt;0),'Your Team'!$C$8="G" ),1,0)+IF( AND((COUNTIF(V$2:V$33,'Your Team'!$D$9)&gt;0),'Your Team'!$C$9="G" ),1,0)+IF( AND((COUNTIF(V$2:V$33,'Your Team'!$D$10)&gt;0),'Your Team'!$C$10="G" ),1,0)+IF( AND((COUNTIF(V$2:V$33,'Your Team'!$D$11)&gt;0),'Your Team'!$C$11="G" ),1,0)+IF( AND((COUNTIF(V$2:V$33,'Your Team'!$D$12)&gt;0),'Your Team'!$C$12="G" ),1,0)+IF( AND((COUNTIF(V$2:V$33,'Your Team'!$D$13)&gt;0),'Your Team'!$C$13="G" ),1,0)+IF( AND((COUNTIF(V$2:V$33,'Your Team'!$D$14)&gt;0),'Your Team'!$C$14="G" ),1,0)+IF( AND((COUNTIF(V$2:V$33,'Your Team'!$D$15)&gt;0),'Your Team'!$C$15="G" ),1,0)+IF( AND((COUNTIF(V$2:V$33,'Your Team'!$D$16)&gt;0),'Your Team'!$C$16="G" ),1,0)+IF( AND((COUNTIF(V$2:V$33,'Your Team'!$D$17)&gt;0),'Your Team'!$C$17="G" ),1,0)+IF( AND((COUNTIF(V$2:V$33,'Your Team'!$D$18)&gt;0),'Your Team'!$C$18="G" ),1,0)+IF( AND((COUNTIF(V$2:V$33,'Your Team'!$D$19)&gt;0),'Your Team'!$C$19="G" ),1,0)</f>
        <v>0</v>
      </c>
      <c r="W41" s="9">
        <f>IF( AND((COUNTIF(W$2:W$33,'Your Team'!$D$3)&gt;0),'Your Team'!$C$3="G" ),1,0)+IF( AND((COUNTIF(W$2:W$33,'Your Team'!$D$4)&gt;0),'Your Team'!$C$4="G" ),1,0)+IF( AND((COUNTIF(W$2:W$33,'Your Team'!$D$5)&gt;0),'Your Team'!$C$5="G" ),1,0)+IF( AND((COUNTIF(W$2:W$33,'Your Team'!$D$6)&gt;0),'Your Team'!$C$6="G" ),1,0)+IF( AND((COUNTIF(W$2:W$33,'Your Team'!$D$7)&gt;0),'Your Team'!$C$7="G" ),1,0)+IF( AND((COUNTIF(W$2:W$33,'Your Team'!$D$8)&gt;0),'Your Team'!$C$8="G" ),1,0)+IF( AND((COUNTIF(W$2:W$33,'Your Team'!$D$9)&gt;0),'Your Team'!$C$9="G" ),1,0)+IF( AND((COUNTIF(W$2:W$33,'Your Team'!$D$10)&gt;0),'Your Team'!$C$10="G" ),1,0)+IF( AND((COUNTIF(W$2:W$33,'Your Team'!$D$11)&gt;0),'Your Team'!$C$11="G" ),1,0)+IF( AND((COUNTIF(W$2:W$33,'Your Team'!$D$12)&gt;0),'Your Team'!$C$12="G" ),1,0)+IF( AND((COUNTIF(W$2:W$33,'Your Team'!$D$13)&gt;0),'Your Team'!$C$13="G" ),1,0)+IF( AND((COUNTIF(W$2:W$33,'Your Team'!$D$14)&gt;0),'Your Team'!$C$14="G" ),1,0)+IF( AND((COUNTIF(W$2:W$33,'Your Team'!$D$15)&gt;0),'Your Team'!$C$15="G" ),1,0)+IF( AND((COUNTIF(W$2:W$33,'Your Team'!$D$16)&gt;0),'Your Team'!$C$16="G" ),1,0)+IF( AND((COUNTIF(W$2:W$33,'Your Team'!$D$17)&gt;0),'Your Team'!$C$17="G" ),1,0)+IF( AND((COUNTIF(W$2:W$33,'Your Team'!$D$18)&gt;0),'Your Team'!$C$18="G" ),1,0)+IF( AND((COUNTIF(W$2:W$33,'Your Team'!$D$19)&gt;0),'Your Team'!$C$19="G" ),1,0)</f>
        <v>0</v>
      </c>
      <c r="X41" s="9">
        <f>IF( AND((COUNTIF(X$2:X$33,'Your Team'!$D$3)&gt;0),'Your Team'!$C$3="G" ),1,0)+IF( AND((COUNTIF(X$2:X$33,'Your Team'!$D$4)&gt;0),'Your Team'!$C$4="G" ),1,0)+IF( AND((COUNTIF(X$2:X$33,'Your Team'!$D$5)&gt;0),'Your Team'!$C$5="G" ),1,0)+IF( AND((COUNTIF(X$2:X$33,'Your Team'!$D$6)&gt;0),'Your Team'!$C$6="G" ),1,0)+IF( AND((COUNTIF(X$2:X$33,'Your Team'!$D$7)&gt;0),'Your Team'!$C$7="G" ),1,0)+IF( AND((COUNTIF(X$2:X$33,'Your Team'!$D$8)&gt;0),'Your Team'!$C$8="G" ),1,0)+IF( AND((COUNTIF(X$2:X$33,'Your Team'!$D$9)&gt;0),'Your Team'!$C$9="G" ),1,0)+IF( AND((COUNTIF(X$2:X$33,'Your Team'!$D$10)&gt;0),'Your Team'!$C$10="G" ),1,0)+IF( AND((COUNTIF(X$2:X$33,'Your Team'!$D$11)&gt;0),'Your Team'!$C$11="G" ),1,0)+IF( AND((COUNTIF(X$2:X$33,'Your Team'!$D$12)&gt;0),'Your Team'!$C$12="G" ),1,0)+IF( AND((COUNTIF(X$2:X$33,'Your Team'!$D$13)&gt;0),'Your Team'!$C$13="G" ),1,0)+IF( AND((COUNTIF(X$2:X$33,'Your Team'!$D$14)&gt;0),'Your Team'!$C$14="G" ),1,0)+IF( AND((COUNTIF(X$2:X$33,'Your Team'!$D$15)&gt;0),'Your Team'!$C$15="G" ),1,0)+IF( AND((COUNTIF(X$2:X$33,'Your Team'!$D$16)&gt;0),'Your Team'!$C$16="G" ),1,0)+IF( AND((COUNTIF(X$2:X$33,'Your Team'!$D$17)&gt;0),'Your Team'!$C$17="G" ),1,0)+IF( AND((COUNTIF(X$2:X$33,'Your Team'!$D$18)&gt;0),'Your Team'!$C$18="G" ),1,0)+IF( AND((COUNTIF(X$2:X$33,'Your Team'!$D$19)&gt;0),'Your Team'!$C$19="G" ),1,0)</f>
        <v>0</v>
      </c>
      <c r="Y41" s="9">
        <f>IF( AND((COUNTIF(Y$2:Y$33,'Your Team'!$D$3)&gt;0),'Your Team'!$C$3="G" ),1,0)+IF( AND((COUNTIF(Y$2:Y$33,'Your Team'!$D$4)&gt;0),'Your Team'!$C$4="G" ),1,0)+IF( AND((COUNTIF(Y$2:Y$33,'Your Team'!$D$5)&gt;0),'Your Team'!$C$5="G" ),1,0)+IF( AND((COUNTIF(Y$2:Y$33,'Your Team'!$D$6)&gt;0),'Your Team'!$C$6="G" ),1,0)+IF( AND((COUNTIF(Y$2:Y$33,'Your Team'!$D$7)&gt;0),'Your Team'!$C$7="G" ),1,0)+IF( AND((COUNTIF(Y$2:Y$33,'Your Team'!$D$8)&gt;0),'Your Team'!$C$8="G" ),1,0)+IF( AND((COUNTIF(Y$2:Y$33,'Your Team'!$D$9)&gt;0),'Your Team'!$C$9="G" ),1,0)+IF( AND((COUNTIF(Y$2:Y$33,'Your Team'!$D$10)&gt;0),'Your Team'!$C$10="G" ),1,0)+IF( AND((COUNTIF(Y$2:Y$33,'Your Team'!$D$11)&gt;0),'Your Team'!$C$11="G" ),1,0)+IF( AND((COUNTIF(Y$2:Y$33,'Your Team'!$D$12)&gt;0),'Your Team'!$C$12="G" ),1,0)+IF( AND((COUNTIF(Y$2:Y$33,'Your Team'!$D$13)&gt;0),'Your Team'!$C$13="G" ),1,0)+IF( AND((COUNTIF(Y$2:Y$33,'Your Team'!$D$14)&gt;0),'Your Team'!$C$14="G" ),1,0)+IF( AND((COUNTIF(Y$2:Y$33,'Your Team'!$D$15)&gt;0),'Your Team'!$C$15="G" ),1,0)+IF( AND((COUNTIF(Y$2:Y$33,'Your Team'!$D$16)&gt;0),'Your Team'!$C$16="G" ),1,0)+IF( AND((COUNTIF(Y$2:Y$33,'Your Team'!$D$17)&gt;0),'Your Team'!$C$17="G" ),1,0)+IF( AND((COUNTIF(Y$2:Y$33,'Your Team'!$D$18)&gt;0),'Your Team'!$C$18="G" ),1,0)+IF( AND((COUNTIF(Y$2:Y$33,'Your Team'!$D$19)&gt;0),'Your Team'!$C$19="G" ),1,0)</f>
        <v>0</v>
      </c>
      <c r="Z41" s="9">
        <f>IF( AND((COUNTIF(Z$2:Z$33,'Your Team'!$D$3)&gt;0),'Your Team'!$C$3="G" ),1,0)+IF( AND((COUNTIF(Z$2:Z$33,'Your Team'!$D$4)&gt;0),'Your Team'!$C$4="G" ),1,0)+IF( AND((COUNTIF(Z$2:Z$33,'Your Team'!$D$5)&gt;0),'Your Team'!$C$5="G" ),1,0)+IF( AND((COUNTIF(Z$2:Z$33,'Your Team'!$D$6)&gt;0),'Your Team'!$C$6="G" ),1,0)+IF( AND((COUNTIF(Z$2:Z$33,'Your Team'!$D$7)&gt;0),'Your Team'!$C$7="G" ),1,0)+IF( AND((COUNTIF(Z$2:Z$33,'Your Team'!$D$8)&gt;0),'Your Team'!$C$8="G" ),1,0)+IF( AND((COUNTIF(Z$2:Z$33,'Your Team'!$D$9)&gt;0),'Your Team'!$C$9="G" ),1,0)+IF( AND((COUNTIF(Z$2:Z$33,'Your Team'!$D$10)&gt;0),'Your Team'!$C$10="G" ),1,0)+IF( AND((COUNTIF(Z$2:Z$33,'Your Team'!$D$11)&gt;0),'Your Team'!$C$11="G" ),1,0)+IF( AND((COUNTIF(Z$2:Z$33,'Your Team'!$D$12)&gt;0),'Your Team'!$C$12="G" ),1,0)+IF( AND((COUNTIF(Z$2:Z$33,'Your Team'!$D$13)&gt;0),'Your Team'!$C$13="G" ),1,0)+IF( AND((COUNTIF(Z$2:Z$33,'Your Team'!$D$14)&gt;0),'Your Team'!$C$14="G" ),1,0)+IF( AND((COUNTIF(Z$2:Z$33,'Your Team'!$D$15)&gt;0),'Your Team'!$C$15="G" ),1,0)+IF( AND((COUNTIF(Z$2:Z$33,'Your Team'!$D$16)&gt;0),'Your Team'!$C$16="G" ),1,0)+IF( AND((COUNTIF(Z$2:Z$33,'Your Team'!$D$17)&gt;0),'Your Team'!$C$17="G" ),1,0)+IF( AND((COUNTIF(Z$2:Z$33,'Your Team'!$D$18)&gt;0),'Your Team'!$C$18="G" ),1,0)+IF( AND((COUNTIF(Z$2:Z$33,'Your Team'!$D$19)&gt;0),'Your Team'!$C$19="G" ),1,0)</f>
        <v>0</v>
      </c>
      <c r="AA41" s="9">
        <f>IF( AND((COUNTIF(AA$2:AA$33,'Your Team'!$D$3)&gt;0),'Your Team'!$C$3="G" ),1,0)+IF( AND((COUNTIF(AA$2:AA$33,'Your Team'!$D$4)&gt;0),'Your Team'!$C$4="G" ),1,0)+IF( AND((COUNTIF(AA$2:AA$33,'Your Team'!$D$5)&gt;0),'Your Team'!$C$5="G" ),1,0)+IF( AND((COUNTIF(AA$2:AA$33,'Your Team'!$D$6)&gt;0),'Your Team'!$C$6="G" ),1,0)+IF( AND((COUNTIF(AA$2:AA$33,'Your Team'!$D$7)&gt;0),'Your Team'!$C$7="G" ),1,0)+IF( AND((COUNTIF(AA$2:AA$33,'Your Team'!$D$8)&gt;0),'Your Team'!$C$8="G" ),1,0)+IF( AND((COUNTIF(AA$2:AA$33,'Your Team'!$D$9)&gt;0),'Your Team'!$C$9="G" ),1,0)+IF( AND((COUNTIF(AA$2:AA$33,'Your Team'!$D$10)&gt;0),'Your Team'!$C$10="G" ),1,0)+IF( AND((COUNTIF(AA$2:AA$33,'Your Team'!$D$11)&gt;0),'Your Team'!$C$11="G" ),1,0)+IF( AND((COUNTIF(AA$2:AA$33,'Your Team'!$D$12)&gt;0),'Your Team'!$C$12="G" ),1,0)+IF( AND((COUNTIF(AA$2:AA$33,'Your Team'!$D$13)&gt;0),'Your Team'!$C$13="G" ),1,0)+IF( AND((COUNTIF(AA$2:AA$33,'Your Team'!$D$14)&gt;0),'Your Team'!$C$14="G" ),1,0)+IF( AND((COUNTIF(AA$2:AA$33,'Your Team'!$D$15)&gt;0),'Your Team'!$C$15="G" ),1,0)+IF( AND((COUNTIF(AA$2:AA$33,'Your Team'!$D$16)&gt;0),'Your Team'!$C$16="G" ),1,0)+IF( AND((COUNTIF(AA$2:AA$33,'Your Team'!$D$17)&gt;0),'Your Team'!$C$17="G" ),1,0)+IF( AND((COUNTIF(AA$2:AA$33,'Your Team'!$D$18)&gt;0),'Your Team'!$C$18="G" ),1,0)+IF( AND((COUNTIF(AA$2:AA$33,'Your Team'!$D$19)&gt;0),'Your Team'!$C$19="G" ),1,0)</f>
        <v>0</v>
      </c>
      <c r="AB41" s="9">
        <f>IF( AND((COUNTIF(AB$2:AB$33,'Your Team'!$D$3)&gt;0),'Your Team'!$C$3="G" ),1,0)+IF( AND((COUNTIF(AB$2:AB$33,'Your Team'!$D$4)&gt;0),'Your Team'!$C$4="G" ),1,0)+IF( AND((COUNTIF(AB$2:AB$33,'Your Team'!$D$5)&gt;0),'Your Team'!$C$5="G" ),1,0)+IF( AND((COUNTIF(AB$2:AB$33,'Your Team'!$D$6)&gt;0),'Your Team'!$C$6="G" ),1,0)+IF( AND((COUNTIF(AB$2:AB$33,'Your Team'!$D$7)&gt;0),'Your Team'!$C$7="G" ),1,0)+IF( AND((COUNTIF(AB$2:AB$33,'Your Team'!$D$8)&gt;0),'Your Team'!$C$8="G" ),1,0)+IF( AND((COUNTIF(AB$2:AB$33,'Your Team'!$D$9)&gt;0),'Your Team'!$C$9="G" ),1,0)+IF( AND((COUNTIF(AB$2:AB$33,'Your Team'!$D$10)&gt;0),'Your Team'!$C$10="G" ),1,0)+IF( AND((COUNTIF(AB$2:AB$33,'Your Team'!$D$11)&gt;0),'Your Team'!$C$11="G" ),1,0)+IF( AND((COUNTIF(AB$2:AB$33,'Your Team'!$D$12)&gt;0),'Your Team'!$C$12="G" ),1,0)+IF( AND((COUNTIF(AB$2:AB$33,'Your Team'!$D$13)&gt;0),'Your Team'!$C$13="G" ),1,0)+IF( AND((COUNTIF(AB$2:AB$33,'Your Team'!$D$14)&gt;0),'Your Team'!$C$14="G" ),1,0)+IF( AND((COUNTIF(AB$2:AB$33,'Your Team'!$D$15)&gt;0),'Your Team'!$C$15="G" ),1,0)+IF( AND((COUNTIF(AB$2:AB$33,'Your Team'!$D$16)&gt;0),'Your Team'!$C$16="G" ),1,0)+IF( AND((COUNTIF(AB$2:AB$33,'Your Team'!$D$17)&gt;0),'Your Team'!$C$17="G" ),1,0)+IF( AND((COUNTIF(AB$2:AB$33,'Your Team'!$D$18)&gt;0),'Your Team'!$C$18="G" ),1,0)+IF( AND((COUNTIF(AB$2:AB$33,'Your Team'!$D$19)&gt;0),'Your Team'!$C$19="G" ),1,0)</f>
        <v>0</v>
      </c>
      <c r="AC41" s="9">
        <f>IF( AND((COUNTIF(AC$2:AC$33,'Your Team'!$D$3)&gt;0),'Your Team'!$C$3="G" ),1,0)+IF( AND((COUNTIF(AC$2:AC$33,'Your Team'!$D$4)&gt;0),'Your Team'!$C$4="G" ),1,0)+IF( AND((COUNTIF(AC$2:AC$33,'Your Team'!$D$5)&gt;0),'Your Team'!$C$5="G" ),1,0)+IF( AND((COUNTIF(AC$2:AC$33,'Your Team'!$D$6)&gt;0),'Your Team'!$C$6="G" ),1,0)+IF( AND((COUNTIF(AC$2:AC$33,'Your Team'!$D$7)&gt;0),'Your Team'!$C$7="G" ),1,0)+IF( AND((COUNTIF(AC$2:AC$33,'Your Team'!$D$8)&gt;0),'Your Team'!$C$8="G" ),1,0)+IF( AND((COUNTIF(AC$2:AC$33,'Your Team'!$D$9)&gt;0),'Your Team'!$C$9="G" ),1,0)+IF( AND((COUNTIF(AC$2:AC$33,'Your Team'!$D$10)&gt;0),'Your Team'!$C$10="G" ),1,0)+IF( AND((COUNTIF(AC$2:AC$33,'Your Team'!$D$11)&gt;0),'Your Team'!$C$11="G" ),1,0)+IF( AND((COUNTIF(AC$2:AC$33,'Your Team'!$D$12)&gt;0),'Your Team'!$C$12="G" ),1,0)+IF( AND((COUNTIF(AC$2:AC$33,'Your Team'!$D$13)&gt;0),'Your Team'!$C$13="G" ),1,0)+IF( AND((COUNTIF(AC$2:AC$33,'Your Team'!$D$14)&gt;0),'Your Team'!$C$14="G" ),1,0)+IF( AND((COUNTIF(AC$2:AC$33,'Your Team'!$D$15)&gt;0),'Your Team'!$C$15="G" ),1,0)+IF( AND((COUNTIF(AC$2:AC$33,'Your Team'!$D$16)&gt;0),'Your Team'!$C$16="G" ),1,0)+IF( AND((COUNTIF(AC$2:AC$33,'Your Team'!$D$17)&gt;0),'Your Team'!$C$17="G" ),1,0)+IF( AND((COUNTIF(AC$2:AC$33,'Your Team'!$D$18)&gt;0),'Your Team'!$C$18="G" ),1,0)+IF( AND((COUNTIF(AC$2:AC$33,'Your Team'!$D$19)&gt;0),'Your Team'!$C$19="G" ),1,0)</f>
        <v>0</v>
      </c>
      <c r="AD41" s="9">
        <f>IF( AND((COUNTIF(AD$2:AD$33,'Your Team'!$D$3)&gt;0),'Your Team'!$C$3="G" ),1,0)+IF( AND((COUNTIF(AD$2:AD$33,'Your Team'!$D$4)&gt;0),'Your Team'!$C$4="G" ),1,0)+IF( AND((COUNTIF(AD$2:AD$33,'Your Team'!$D$5)&gt;0),'Your Team'!$C$5="G" ),1,0)+IF( AND((COUNTIF(AD$2:AD$33,'Your Team'!$D$6)&gt;0),'Your Team'!$C$6="G" ),1,0)+IF( AND((COUNTIF(AD$2:AD$33,'Your Team'!$D$7)&gt;0),'Your Team'!$C$7="G" ),1,0)+IF( AND((COUNTIF(AD$2:AD$33,'Your Team'!$D$8)&gt;0),'Your Team'!$C$8="G" ),1,0)+IF( AND((COUNTIF(AD$2:AD$33,'Your Team'!$D$9)&gt;0),'Your Team'!$C$9="G" ),1,0)+IF( AND((COUNTIF(AD$2:AD$33,'Your Team'!$D$10)&gt;0),'Your Team'!$C$10="G" ),1,0)+IF( AND((COUNTIF(AD$2:AD$33,'Your Team'!$D$11)&gt;0),'Your Team'!$C$11="G" ),1,0)+IF( AND((COUNTIF(AD$2:AD$33,'Your Team'!$D$12)&gt;0),'Your Team'!$C$12="G" ),1,0)+IF( AND((COUNTIF(AD$2:AD$33,'Your Team'!$D$13)&gt;0),'Your Team'!$C$13="G" ),1,0)+IF( AND((COUNTIF(AD$2:AD$33,'Your Team'!$D$14)&gt;0),'Your Team'!$C$14="G" ),1,0)+IF( AND((COUNTIF(AD$2:AD$33,'Your Team'!$D$15)&gt;0),'Your Team'!$C$15="G" ),1,0)+IF( AND((COUNTIF(AD$2:AD$33,'Your Team'!$D$16)&gt;0),'Your Team'!$C$16="G" ),1,0)+IF( AND((COUNTIF(AD$2:AD$33,'Your Team'!$D$17)&gt;0),'Your Team'!$C$17="G" ),1,0)+IF( AND((COUNTIF(AD$2:AD$33,'Your Team'!$D$18)&gt;0),'Your Team'!$C$18="G" ),1,0)+IF( AND((COUNTIF(AD$2:AD$33,'Your Team'!$D$19)&gt;0),'Your Team'!$C$19="G" ),1,0)</f>
        <v>0</v>
      </c>
      <c r="AE41" s="9">
        <f>IF( AND((COUNTIF(AE$2:AE$33,'Your Team'!$D$3)&gt;0),'Your Team'!$C$3="G" ),1,0)+IF( AND((COUNTIF(AE$2:AE$33,'Your Team'!$D$4)&gt;0),'Your Team'!$C$4="G" ),1,0)+IF( AND((COUNTIF(AE$2:AE$33,'Your Team'!$D$5)&gt;0),'Your Team'!$C$5="G" ),1,0)+IF( AND((COUNTIF(AE$2:AE$33,'Your Team'!$D$6)&gt;0),'Your Team'!$C$6="G" ),1,0)+IF( AND((COUNTIF(AE$2:AE$33,'Your Team'!$D$7)&gt;0),'Your Team'!$C$7="G" ),1,0)+IF( AND((COUNTIF(AE$2:AE$33,'Your Team'!$D$8)&gt;0),'Your Team'!$C$8="G" ),1,0)+IF( AND((COUNTIF(AE$2:AE$33,'Your Team'!$D$9)&gt;0),'Your Team'!$C$9="G" ),1,0)+IF( AND((COUNTIF(AE$2:AE$33,'Your Team'!$D$10)&gt;0),'Your Team'!$C$10="G" ),1,0)+IF( AND((COUNTIF(AE$2:AE$33,'Your Team'!$D$11)&gt;0),'Your Team'!$C$11="G" ),1,0)+IF( AND((COUNTIF(AE$2:AE$33,'Your Team'!$D$12)&gt;0),'Your Team'!$C$12="G" ),1,0)+IF( AND((COUNTIF(AE$2:AE$33,'Your Team'!$D$13)&gt;0),'Your Team'!$C$13="G" ),1,0)+IF( AND((COUNTIF(AE$2:AE$33,'Your Team'!$D$14)&gt;0),'Your Team'!$C$14="G" ),1,0)+IF( AND((COUNTIF(AE$2:AE$33,'Your Team'!$D$15)&gt;0),'Your Team'!$C$15="G" ),1,0)+IF( AND((COUNTIF(AE$2:AE$33,'Your Team'!$D$16)&gt;0),'Your Team'!$C$16="G" ),1,0)+IF( AND((COUNTIF(AE$2:AE$33,'Your Team'!$D$17)&gt;0),'Your Team'!$C$17="G" ),1,0)+IF( AND((COUNTIF(AE$2:AE$33,'Your Team'!$D$18)&gt;0),'Your Team'!$C$18="G" ),1,0)+IF( AND((COUNTIF(AE$2:AE$33,'Your Team'!$D$19)&gt;0),'Your Team'!$C$19="G" ),1,0)</f>
        <v>0</v>
      </c>
      <c r="AF41" s="9">
        <f>IF( AND((COUNTIF(AF$2:AF$33,'Your Team'!$D$3)&gt;0),'Your Team'!$C$3="G" ),1,0)+IF( AND((COUNTIF(AF$2:AF$33,'Your Team'!$D$4)&gt;0),'Your Team'!$C$4="G" ),1,0)+IF( AND((COUNTIF(AF$2:AF$33,'Your Team'!$D$5)&gt;0),'Your Team'!$C$5="G" ),1,0)+IF( AND((COUNTIF(AF$2:AF$33,'Your Team'!$D$6)&gt;0),'Your Team'!$C$6="G" ),1,0)+IF( AND((COUNTIF(AF$2:AF$33,'Your Team'!$D$7)&gt;0),'Your Team'!$C$7="G" ),1,0)+IF( AND((COUNTIF(AF$2:AF$33,'Your Team'!$D$8)&gt;0),'Your Team'!$C$8="G" ),1,0)+IF( AND((COUNTIF(AF$2:AF$33,'Your Team'!$D$9)&gt;0),'Your Team'!$C$9="G" ),1,0)+IF( AND((COUNTIF(AF$2:AF$33,'Your Team'!$D$10)&gt;0),'Your Team'!$C$10="G" ),1,0)+IF( AND((COUNTIF(AF$2:AF$33,'Your Team'!$D$11)&gt;0),'Your Team'!$C$11="G" ),1,0)+IF( AND((COUNTIF(AF$2:AF$33,'Your Team'!$D$12)&gt;0),'Your Team'!$C$12="G" ),1,0)+IF( AND((COUNTIF(AF$2:AF$33,'Your Team'!$D$13)&gt;0),'Your Team'!$C$13="G" ),1,0)+IF( AND((COUNTIF(AF$2:AF$33,'Your Team'!$D$14)&gt;0),'Your Team'!$C$14="G" ),1,0)+IF( AND((COUNTIF(AF$2:AF$33,'Your Team'!$D$15)&gt;0),'Your Team'!$C$15="G" ),1,0)+IF( AND((COUNTIF(AF$2:AF$33,'Your Team'!$D$16)&gt;0),'Your Team'!$C$16="G" ),1,0)+IF( AND((COUNTIF(AF$2:AF$33,'Your Team'!$D$17)&gt;0),'Your Team'!$C$17="G" ),1,0)+IF( AND((COUNTIF(AF$2:AF$33,'Your Team'!$D$18)&gt;0),'Your Team'!$C$18="G" ),1,0)+IF( AND((COUNTIF(AF$2:AF$33,'Your Team'!$D$19)&gt;0),'Your Team'!$C$19="G" ),1,0)</f>
        <v>0</v>
      </c>
      <c r="AG41" s="9">
        <f>IF( AND((COUNTIF(AG$2:AG$33,'Your Team'!$D$3)&gt;0),'Your Team'!$C$3="G" ),1,0)+IF( AND((COUNTIF(AG$2:AG$33,'Your Team'!$D$4)&gt;0),'Your Team'!$C$4="G" ),1,0)+IF( AND((COUNTIF(AG$2:AG$33,'Your Team'!$D$5)&gt;0),'Your Team'!$C$5="G" ),1,0)+IF( AND((COUNTIF(AG$2:AG$33,'Your Team'!$D$6)&gt;0),'Your Team'!$C$6="G" ),1,0)+IF( AND((COUNTIF(AG$2:AG$33,'Your Team'!$D$7)&gt;0),'Your Team'!$C$7="G" ),1,0)+IF( AND((COUNTIF(AG$2:AG$33,'Your Team'!$D$8)&gt;0),'Your Team'!$C$8="G" ),1,0)+IF( AND((COUNTIF(AG$2:AG$33,'Your Team'!$D$9)&gt;0),'Your Team'!$C$9="G" ),1,0)+IF( AND((COUNTIF(AG$2:AG$33,'Your Team'!$D$10)&gt;0),'Your Team'!$C$10="G" ),1,0)+IF( AND((COUNTIF(AG$2:AG$33,'Your Team'!$D$11)&gt;0),'Your Team'!$C$11="G" ),1,0)+IF( AND((COUNTIF(AG$2:AG$33,'Your Team'!$D$12)&gt;0),'Your Team'!$C$12="G" ),1,0)+IF( AND((COUNTIF(AG$2:AG$33,'Your Team'!$D$13)&gt;0),'Your Team'!$C$13="G" ),1,0)+IF( AND((COUNTIF(AG$2:AG$33,'Your Team'!$D$14)&gt;0),'Your Team'!$C$14="G" ),1,0)+IF( AND((COUNTIF(AG$2:AG$33,'Your Team'!$D$15)&gt;0),'Your Team'!$C$15="G" ),1,0)+IF( AND((COUNTIF(AG$2:AG$33,'Your Team'!$D$16)&gt;0),'Your Team'!$C$16="G" ),1,0)+IF( AND((COUNTIF(AG$2:AG$33,'Your Team'!$D$17)&gt;0),'Your Team'!$C$17="G" ),1,0)+IF( AND((COUNTIF(AG$2:AG$33,'Your Team'!$D$18)&gt;0),'Your Team'!$C$18="G" ),1,0)+IF( AND((COUNTIF(AG$2:AG$33,'Your Team'!$D$19)&gt;0),'Your Team'!$C$19="G" ),1,0)</f>
        <v>0</v>
      </c>
      <c r="AH41" s="9">
        <f>IF( AND((COUNTIF(AH$2:AH$33,'Your Team'!$D$3)&gt;0),'Your Team'!$C$3="G" ),1,0)+IF( AND((COUNTIF(AH$2:AH$33,'Your Team'!$D$4)&gt;0),'Your Team'!$C$4="G" ),1,0)+IF( AND((COUNTIF(AH$2:AH$33,'Your Team'!$D$5)&gt;0),'Your Team'!$C$5="G" ),1,0)+IF( AND((COUNTIF(AH$2:AH$33,'Your Team'!$D$6)&gt;0),'Your Team'!$C$6="G" ),1,0)+IF( AND((COUNTIF(AH$2:AH$33,'Your Team'!$D$7)&gt;0),'Your Team'!$C$7="G" ),1,0)+IF( AND((COUNTIF(AH$2:AH$33,'Your Team'!$D$8)&gt;0),'Your Team'!$C$8="G" ),1,0)+IF( AND((COUNTIF(AH$2:AH$33,'Your Team'!$D$9)&gt;0),'Your Team'!$C$9="G" ),1,0)+IF( AND((COUNTIF(AH$2:AH$33,'Your Team'!$D$10)&gt;0),'Your Team'!$C$10="G" ),1,0)+IF( AND((COUNTIF(AH$2:AH$33,'Your Team'!$D$11)&gt;0),'Your Team'!$C$11="G" ),1,0)+IF( AND((COUNTIF(AH$2:AH$33,'Your Team'!$D$12)&gt;0),'Your Team'!$C$12="G" ),1,0)+IF( AND((COUNTIF(AH$2:AH$33,'Your Team'!$D$13)&gt;0),'Your Team'!$C$13="G" ),1,0)+IF( AND((COUNTIF(AH$2:AH$33,'Your Team'!$D$14)&gt;0),'Your Team'!$C$14="G" ),1,0)+IF( AND((COUNTIF(AH$2:AH$33,'Your Team'!$D$15)&gt;0),'Your Team'!$C$15="G" ),1,0)+IF( AND((COUNTIF(AH$2:AH$33,'Your Team'!$D$16)&gt;0),'Your Team'!$C$16="G" ),1,0)+IF( AND((COUNTIF(AH$2:AH$33,'Your Team'!$D$17)&gt;0),'Your Team'!$C$17="G" ),1,0)+IF( AND((COUNTIF(AH$2:AH$33,'Your Team'!$D$18)&gt;0),'Your Team'!$C$18="G" ),1,0)+IF( AND((COUNTIF(AH$2:AH$33,'Your Team'!$D$19)&gt;0),'Your Team'!$C$19="G" ),1,0)</f>
        <v>0</v>
      </c>
      <c r="AI41" s="9">
        <f>IF( AND((COUNTIF(AI$2:AI$33,'Your Team'!$D$3)&gt;0),'Your Team'!$C$3="G" ),1,0)+IF( AND((COUNTIF(AI$2:AI$33,'Your Team'!$D$4)&gt;0),'Your Team'!$C$4="G" ),1,0)+IF( AND((COUNTIF(AI$2:AI$33,'Your Team'!$D$5)&gt;0),'Your Team'!$C$5="G" ),1,0)+IF( AND((COUNTIF(AI$2:AI$33,'Your Team'!$D$6)&gt;0),'Your Team'!$C$6="G" ),1,0)+IF( AND((COUNTIF(AI$2:AI$33,'Your Team'!$D$7)&gt;0),'Your Team'!$C$7="G" ),1,0)+IF( AND((COUNTIF(AI$2:AI$33,'Your Team'!$D$8)&gt;0),'Your Team'!$C$8="G" ),1,0)+IF( AND((COUNTIF(AI$2:AI$33,'Your Team'!$D$9)&gt;0),'Your Team'!$C$9="G" ),1,0)+IF( AND((COUNTIF(AI$2:AI$33,'Your Team'!$D$10)&gt;0),'Your Team'!$C$10="G" ),1,0)+IF( AND((COUNTIF(AI$2:AI$33,'Your Team'!$D$11)&gt;0),'Your Team'!$C$11="G" ),1,0)+IF( AND((COUNTIF(AI$2:AI$33,'Your Team'!$D$12)&gt;0),'Your Team'!$C$12="G" ),1,0)+IF( AND((COUNTIF(AI$2:AI$33,'Your Team'!$D$13)&gt;0),'Your Team'!$C$13="G" ),1,0)+IF( AND((COUNTIF(AI$2:AI$33,'Your Team'!$D$14)&gt;0),'Your Team'!$C$14="G" ),1,0)+IF( AND((COUNTIF(AI$2:AI$33,'Your Team'!$D$15)&gt;0),'Your Team'!$C$15="G" ),1,0)+IF( AND((COUNTIF(AI$2:AI$33,'Your Team'!$D$16)&gt;0),'Your Team'!$C$16="G" ),1,0)+IF( AND((COUNTIF(AI$2:AI$33,'Your Team'!$D$17)&gt;0),'Your Team'!$C$17="G" ),1,0)+IF( AND((COUNTIF(AI$2:AI$33,'Your Team'!$D$18)&gt;0),'Your Team'!$C$18="G" ),1,0)+IF( AND((COUNTIF(AI$2:AI$33,'Your Team'!$D$19)&gt;0),'Your Team'!$C$19="G" ),1,0)</f>
        <v>0</v>
      </c>
      <c r="AJ41" s="9">
        <f>IF( AND((COUNTIF(AJ$2:AJ$33,'Your Team'!$D$3)&gt;0),'Your Team'!$C$3="G" ),1,0)+IF( AND((COUNTIF(AJ$2:AJ$33,'Your Team'!$D$4)&gt;0),'Your Team'!$C$4="G" ),1,0)+IF( AND((COUNTIF(AJ$2:AJ$33,'Your Team'!$D$5)&gt;0),'Your Team'!$C$5="G" ),1,0)+IF( AND((COUNTIF(AJ$2:AJ$33,'Your Team'!$D$6)&gt;0),'Your Team'!$C$6="G" ),1,0)+IF( AND((COUNTIF(AJ$2:AJ$33,'Your Team'!$D$7)&gt;0),'Your Team'!$C$7="G" ),1,0)+IF( AND((COUNTIF(AJ$2:AJ$33,'Your Team'!$D$8)&gt;0),'Your Team'!$C$8="G" ),1,0)+IF( AND((COUNTIF(AJ$2:AJ$33,'Your Team'!$D$9)&gt;0),'Your Team'!$C$9="G" ),1,0)+IF( AND((COUNTIF(AJ$2:AJ$33,'Your Team'!$D$10)&gt;0),'Your Team'!$C$10="G" ),1,0)+IF( AND((COUNTIF(AJ$2:AJ$33,'Your Team'!$D$11)&gt;0),'Your Team'!$C$11="G" ),1,0)+IF( AND((COUNTIF(AJ$2:AJ$33,'Your Team'!$D$12)&gt;0),'Your Team'!$C$12="G" ),1,0)+IF( AND((COUNTIF(AJ$2:AJ$33,'Your Team'!$D$13)&gt;0),'Your Team'!$C$13="G" ),1,0)+IF( AND((COUNTIF(AJ$2:AJ$33,'Your Team'!$D$14)&gt;0),'Your Team'!$C$14="G" ),1,0)+IF( AND((COUNTIF(AJ$2:AJ$33,'Your Team'!$D$15)&gt;0),'Your Team'!$C$15="G" ),1,0)+IF( AND((COUNTIF(AJ$2:AJ$33,'Your Team'!$D$16)&gt;0),'Your Team'!$C$16="G" ),1,0)+IF( AND((COUNTIF(AJ$2:AJ$33,'Your Team'!$D$17)&gt;0),'Your Team'!$C$17="G" ),1,0)+IF( AND((COUNTIF(AJ$2:AJ$33,'Your Team'!$D$18)&gt;0),'Your Team'!$C$18="G" ),1,0)+IF( AND((COUNTIF(AJ$2:AJ$33,'Your Team'!$D$19)&gt;0),'Your Team'!$C$19="G" ),1,0)</f>
        <v>0</v>
      </c>
      <c r="AK41" s="9">
        <f>IF( AND((COUNTIF(AK$2:AK$33,'Your Team'!$D$3)&gt;0),'Your Team'!$C$3="G" ),1,0)+IF( AND((COUNTIF(AK$2:AK$33,'Your Team'!$D$4)&gt;0),'Your Team'!$C$4="G" ),1,0)+IF( AND((COUNTIF(AK$2:AK$33,'Your Team'!$D$5)&gt;0),'Your Team'!$C$5="G" ),1,0)+IF( AND((COUNTIF(AK$2:AK$33,'Your Team'!$D$6)&gt;0),'Your Team'!$C$6="G" ),1,0)+IF( AND((COUNTIF(AK$2:AK$33,'Your Team'!$D$7)&gt;0),'Your Team'!$C$7="G" ),1,0)+IF( AND((COUNTIF(AK$2:AK$33,'Your Team'!$D$8)&gt;0),'Your Team'!$C$8="G" ),1,0)+IF( AND((COUNTIF(AK$2:AK$33,'Your Team'!$D$9)&gt;0),'Your Team'!$C$9="G" ),1,0)+IF( AND((COUNTIF(AK$2:AK$33,'Your Team'!$D$10)&gt;0),'Your Team'!$C$10="G" ),1,0)+IF( AND((COUNTIF(AK$2:AK$33,'Your Team'!$D$11)&gt;0),'Your Team'!$C$11="G" ),1,0)+IF( AND((COUNTIF(AK$2:AK$33,'Your Team'!$D$12)&gt;0),'Your Team'!$C$12="G" ),1,0)+IF( AND((COUNTIF(AK$2:AK$33,'Your Team'!$D$13)&gt;0),'Your Team'!$C$13="G" ),1,0)+IF( AND((COUNTIF(AK$2:AK$33,'Your Team'!$D$14)&gt;0),'Your Team'!$C$14="G" ),1,0)+IF( AND((COUNTIF(AK$2:AK$33,'Your Team'!$D$15)&gt;0),'Your Team'!$C$15="G" ),1,0)+IF( AND((COUNTIF(AK$2:AK$33,'Your Team'!$D$16)&gt;0),'Your Team'!$C$16="G" ),1,0)+IF( AND((COUNTIF(AK$2:AK$33,'Your Team'!$D$17)&gt;0),'Your Team'!$C$17="G" ),1,0)+IF( AND((COUNTIF(AK$2:AK$33,'Your Team'!$D$18)&gt;0),'Your Team'!$C$18="G" ),1,0)+IF( AND((COUNTIF(AK$2:AK$33,'Your Team'!$D$19)&gt;0),'Your Team'!$C$19="G" ),1,0)</f>
        <v>0</v>
      </c>
      <c r="AL41" s="9">
        <f>IF( AND((COUNTIF(AL$2:AL$33,'Your Team'!$D$3)&gt;0),'Your Team'!$C$3="G" ),1,0)+IF( AND((COUNTIF(AL$2:AL$33,'Your Team'!$D$4)&gt;0),'Your Team'!$C$4="G" ),1,0)+IF( AND((COUNTIF(AL$2:AL$33,'Your Team'!$D$5)&gt;0),'Your Team'!$C$5="G" ),1,0)+IF( AND((COUNTIF(AL$2:AL$33,'Your Team'!$D$6)&gt;0),'Your Team'!$C$6="G" ),1,0)+IF( AND((COUNTIF(AL$2:AL$33,'Your Team'!$D$7)&gt;0),'Your Team'!$C$7="G" ),1,0)+IF( AND((COUNTIF(AL$2:AL$33,'Your Team'!$D$8)&gt;0),'Your Team'!$C$8="G" ),1,0)+IF( AND((COUNTIF(AL$2:AL$33,'Your Team'!$D$9)&gt;0),'Your Team'!$C$9="G" ),1,0)+IF( AND((COUNTIF(AL$2:AL$33,'Your Team'!$D$10)&gt;0),'Your Team'!$C$10="G" ),1,0)+IF( AND((COUNTIF(AL$2:AL$33,'Your Team'!$D$11)&gt;0),'Your Team'!$C$11="G" ),1,0)+IF( AND((COUNTIF(AL$2:AL$33,'Your Team'!$D$12)&gt;0),'Your Team'!$C$12="G" ),1,0)+IF( AND((COUNTIF(AL$2:AL$33,'Your Team'!$D$13)&gt;0),'Your Team'!$C$13="G" ),1,0)+IF( AND((COUNTIF(AL$2:AL$33,'Your Team'!$D$14)&gt;0),'Your Team'!$C$14="G" ),1,0)+IF( AND((COUNTIF(AL$2:AL$33,'Your Team'!$D$15)&gt;0),'Your Team'!$C$15="G" ),1,0)+IF( AND((COUNTIF(AL$2:AL$33,'Your Team'!$D$16)&gt;0),'Your Team'!$C$16="G" ),1,0)+IF( AND((COUNTIF(AL$2:AL$33,'Your Team'!$D$17)&gt;0),'Your Team'!$C$17="G" ),1,0)+IF( AND((COUNTIF(AL$2:AL$33,'Your Team'!$D$18)&gt;0),'Your Team'!$C$18="G" ),1,0)+IF( AND((COUNTIF(AL$2:AL$33,'Your Team'!$D$19)&gt;0),'Your Team'!$C$19="G" ),1,0)</f>
        <v>0</v>
      </c>
      <c r="AM41" s="9">
        <f>IF( AND((COUNTIF(AM$2:AM$33,'Your Team'!$D$3)&gt;0),'Your Team'!$C$3="G" ),1,0)+IF( AND((COUNTIF(AM$2:AM$33,'Your Team'!$D$4)&gt;0),'Your Team'!$C$4="G" ),1,0)+IF( AND((COUNTIF(AM$2:AM$33,'Your Team'!$D$5)&gt;0),'Your Team'!$C$5="G" ),1,0)+IF( AND((COUNTIF(AM$2:AM$33,'Your Team'!$D$6)&gt;0),'Your Team'!$C$6="G" ),1,0)+IF( AND((COUNTIF(AM$2:AM$33,'Your Team'!$D$7)&gt;0),'Your Team'!$C$7="G" ),1,0)+IF( AND((COUNTIF(AM$2:AM$33,'Your Team'!$D$8)&gt;0),'Your Team'!$C$8="G" ),1,0)+IF( AND((COUNTIF(AM$2:AM$33,'Your Team'!$D$9)&gt;0),'Your Team'!$C$9="G" ),1,0)+IF( AND((COUNTIF(AM$2:AM$33,'Your Team'!$D$10)&gt;0),'Your Team'!$C$10="G" ),1,0)+IF( AND((COUNTIF(AM$2:AM$33,'Your Team'!$D$11)&gt;0),'Your Team'!$C$11="G" ),1,0)+IF( AND((COUNTIF(AM$2:AM$33,'Your Team'!$D$12)&gt;0),'Your Team'!$C$12="G" ),1,0)+IF( AND((COUNTIF(AM$2:AM$33,'Your Team'!$D$13)&gt;0),'Your Team'!$C$13="G" ),1,0)+IF( AND((COUNTIF(AM$2:AM$33,'Your Team'!$D$14)&gt;0),'Your Team'!$C$14="G" ),1,0)+IF( AND((COUNTIF(AM$2:AM$33,'Your Team'!$D$15)&gt;0),'Your Team'!$C$15="G" ),1,0)+IF( AND((COUNTIF(AM$2:AM$33,'Your Team'!$D$16)&gt;0),'Your Team'!$C$16="G" ),1,0)+IF( AND((COUNTIF(AM$2:AM$33,'Your Team'!$D$17)&gt;0),'Your Team'!$C$17="G" ),1,0)+IF( AND((COUNTIF(AM$2:AM$33,'Your Team'!$D$18)&gt;0),'Your Team'!$C$18="G" ),1,0)+IF( AND((COUNTIF(AM$2:AM$33,'Your Team'!$D$19)&gt;0),'Your Team'!$C$19="G" ),1,0)</f>
        <v>0</v>
      </c>
      <c r="AN41" s="9">
        <f>IF( AND((COUNTIF(AN$2:AN$33,'Your Team'!$D$3)&gt;0),'Your Team'!$C$3="G" ),1,0)+IF( AND((COUNTIF(AN$2:AN$33,'Your Team'!$D$4)&gt;0),'Your Team'!$C$4="G" ),1,0)+IF( AND((COUNTIF(AN$2:AN$33,'Your Team'!$D$5)&gt;0),'Your Team'!$C$5="G" ),1,0)+IF( AND((COUNTIF(AN$2:AN$33,'Your Team'!$D$6)&gt;0),'Your Team'!$C$6="G" ),1,0)+IF( AND((COUNTIF(AN$2:AN$33,'Your Team'!$D$7)&gt;0),'Your Team'!$C$7="G" ),1,0)+IF( AND((COUNTIF(AN$2:AN$33,'Your Team'!$D$8)&gt;0),'Your Team'!$C$8="G" ),1,0)+IF( AND((COUNTIF(AN$2:AN$33,'Your Team'!$D$9)&gt;0),'Your Team'!$C$9="G" ),1,0)+IF( AND((COUNTIF(AN$2:AN$33,'Your Team'!$D$10)&gt;0),'Your Team'!$C$10="G" ),1,0)+IF( AND((COUNTIF(AN$2:AN$33,'Your Team'!$D$11)&gt;0),'Your Team'!$C$11="G" ),1,0)+IF( AND((COUNTIF(AN$2:AN$33,'Your Team'!$D$12)&gt;0),'Your Team'!$C$12="G" ),1,0)+IF( AND((COUNTIF(AN$2:AN$33,'Your Team'!$D$13)&gt;0),'Your Team'!$C$13="G" ),1,0)+IF( AND((COUNTIF(AN$2:AN$33,'Your Team'!$D$14)&gt;0),'Your Team'!$C$14="G" ),1,0)+IF( AND((COUNTIF(AN$2:AN$33,'Your Team'!$D$15)&gt;0),'Your Team'!$C$15="G" ),1,0)+IF( AND((COUNTIF(AN$2:AN$33,'Your Team'!$D$16)&gt;0),'Your Team'!$C$16="G" ),1,0)+IF( AND((COUNTIF(AN$2:AN$33,'Your Team'!$D$17)&gt;0),'Your Team'!$C$17="G" ),1,0)+IF( AND((COUNTIF(AN$2:AN$33,'Your Team'!$D$18)&gt;0),'Your Team'!$C$18="G" ),1,0)+IF( AND((COUNTIF(AN$2:AN$33,'Your Team'!$D$19)&gt;0),'Your Team'!$C$19="G" ),1,0)</f>
        <v>0</v>
      </c>
      <c r="AO41" s="9">
        <f>IF( AND((COUNTIF(AO$2:AO$33,'Your Team'!$D$3)&gt;0),'Your Team'!$C$3="G" ),1,0)+IF( AND((COUNTIF(AO$2:AO$33,'Your Team'!$D$4)&gt;0),'Your Team'!$C$4="G" ),1,0)+IF( AND((COUNTIF(AO$2:AO$33,'Your Team'!$D$5)&gt;0),'Your Team'!$C$5="G" ),1,0)+IF( AND((COUNTIF(AO$2:AO$33,'Your Team'!$D$6)&gt;0),'Your Team'!$C$6="G" ),1,0)+IF( AND((COUNTIF(AO$2:AO$33,'Your Team'!$D$7)&gt;0),'Your Team'!$C$7="G" ),1,0)+IF( AND((COUNTIF(AO$2:AO$33,'Your Team'!$D$8)&gt;0),'Your Team'!$C$8="G" ),1,0)+IF( AND((COUNTIF(AO$2:AO$33,'Your Team'!$D$9)&gt;0),'Your Team'!$C$9="G" ),1,0)+IF( AND((COUNTIF(AO$2:AO$33,'Your Team'!$D$10)&gt;0),'Your Team'!$C$10="G" ),1,0)+IF( AND((COUNTIF(AO$2:AO$33,'Your Team'!$D$11)&gt;0),'Your Team'!$C$11="G" ),1,0)+IF( AND((COUNTIF(AO$2:AO$33,'Your Team'!$D$12)&gt;0),'Your Team'!$C$12="G" ),1,0)+IF( AND((COUNTIF(AO$2:AO$33,'Your Team'!$D$13)&gt;0),'Your Team'!$C$13="G" ),1,0)+IF( AND((COUNTIF(AO$2:AO$33,'Your Team'!$D$14)&gt;0),'Your Team'!$C$14="G" ),1,0)+IF( AND((COUNTIF(AO$2:AO$33,'Your Team'!$D$15)&gt;0),'Your Team'!$C$15="G" ),1,0)+IF( AND((COUNTIF(AO$2:AO$33,'Your Team'!$D$16)&gt;0),'Your Team'!$C$16="G" ),1,0)+IF( AND((COUNTIF(AO$2:AO$33,'Your Team'!$D$17)&gt;0),'Your Team'!$C$17="G" ),1,0)+IF( AND((COUNTIF(AO$2:AO$33,'Your Team'!$D$18)&gt;0),'Your Team'!$C$18="G" ),1,0)+IF( AND((COUNTIF(AO$2:AO$33,'Your Team'!$D$19)&gt;0),'Your Team'!$C$19="G" ),1,0)</f>
        <v>0</v>
      </c>
      <c r="AP41" s="9">
        <f>IF( AND((COUNTIF(AP$2:AP$33,'Your Team'!$D$3)&gt;0),'Your Team'!$C$3="G" ),1,0)+IF( AND((COUNTIF(AP$2:AP$33,'Your Team'!$D$4)&gt;0),'Your Team'!$C$4="G" ),1,0)+IF( AND((COUNTIF(AP$2:AP$33,'Your Team'!$D$5)&gt;0),'Your Team'!$C$5="G" ),1,0)+IF( AND((COUNTIF(AP$2:AP$33,'Your Team'!$D$6)&gt;0),'Your Team'!$C$6="G" ),1,0)+IF( AND((COUNTIF(AP$2:AP$33,'Your Team'!$D$7)&gt;0),'Your Team'!$C$7="G" ),1,0)+IF( AND((COUNTIF(AP$2:AP$33,'Your Team'!$D$8)&gt;0),'Your Team'!$C$8="G" ),1,0)+IF( AND((COUNTIF(AP$2:AP$33,'Your Team'!$D$9)&gt;0),'Your Team'!$C$9="G" ),1,0)+IF( AND((COUNTIF(AP$2:AP$33,'Your Team'!$D$10)&gt;0),'Your Team'!$C$10="G" ),1,0)+IF( AND((COUNTIF(AP$2:AP$33,'Your Team'!$D$11)&gt;0),'Your Team'!$C$11="G" ),1,0)+IF( AND((COUNTIF(AP$2:AP$33,'Your Team'!$D$12)&gt;0),'Your Team'!$C$12="G" ),1,0)+IF( AND((COUNTIF(AP$2:AP$33,'Your Team'!$D$13)&gt;0),'Your Team'!$C$13="G" ),1,0)+IF( AND((COUNTIF(AP$2:AP$33,'Your Team'!$D$14)&gt;0),'Your Team'!$C$14="G" ),1,0)+IF( AND((COUNTIF(AP$2:AP$33,'Your Team'!$D$15)&gt;0),'Your Team'!$C$15="G" ),1,0)+IF( AND((COUNTIF(AP$2:AP$33,'Your Team'!$D$16)&gt;0),'Your Team'!$C$16="G" ),1,0)+IF( AND((COUNTIF(AP$2:AP$33,'Your Team'!$D$17)&gt;0),'Your Team'!$C$17="G" ),1,0)+IF( AND((COUNTIF(AP$2:AP$33,'Your Team'!$D$18)&gt;0),'Your Team'!$C$18="G" ),1,0)+IF( AND((COUNTIF(AP$2:AP$33,'Your Team'!$D$19)&gt;0),'Your Team'!$C$19="G" ),1,0)</f>
        <v>0</v>
      </c>
      <c r="AQ41" s="9">
        <f>IF( AND((COUNTIF(AQ$2:AQ$33,'Your Team'!$D$3)&gt;0),'Your Team'!$C$3="G" ),1,0)+IF( AND((COUNTIF(AQ$2:AQ$33,'Your Team'!$D$4)&gt;0),'Your Team'!$C$4="G" ),1,0)+IF( AND((COUNTIF(AQ$2:AQ$33,'Your Team'!$D$5)&gt;0),'Your Team'!$C$5="G" ),1,0)+IF( AND((COUNTIF(AQ$2:AQ$33,'Your Team'!$D$6)&gt;0),'Your Team'!$C$6="G" ),1,0)+IF( AND((COUNTIF(AQ$2:AQ$33,'Your Team'!$D$7)&gt;0),'Your Team'!$C$7="G" ),1,0)+IF( AND((COUNTIF(AQ$2:AQ$33,'Your Team'!$D$8)&gt;0),'Your Team'!$C$8="G" ),1,0)+IF( AND((COUNTIF(AQ$2:AQ$33,'Your Team'!$D$9)&gt;0),'Your Team'!$C$9="G" ),1,0)+IF( AND((COUNTIF(AQ$2:AQ$33,'Your Team'!$D$10)&gt;0),'Your Team'!$C$10="G" ),1,0)+IF( AND((COUNTIF(AQ$2:AQ$33,'Your Team'!$D$11)&gt;0),'Your Team'!$C$11="G" ),1,0)+IF( AND((COUNTIF(AQ$2:AQ$33,'Your Team'!$D$12)&gt;0),'Your Team'!$C$12="G" ),1,0)+IF( AND((COUNTIF(AQ$2:AQ$33,'Your Team'!$D$13)&gt;0),'Your Team'!$C$13="G" ),1,0)+IF( AND((COUNTIF(AQ$2:AQ$33,'Your Team'!$D$14)&gt;0),'Your Team'!$C$14="G" ),1,0)+IF( AND((COUNTIF(AQ$2:AQ$33,'Your Team'!$D$15)&gt;0),'Your Team'!$C$15="G" ),1,0)+IF( AND((COUNTIF(AQ$2:AQ$33,'Your Team'!$D$16)&gt;0),'Your Team'!$C$16="G" ),1,0)+IF( AND((COUNTIF(AQ$2:AQ$33,'Your Team'!$D$17)&gt;0),'Your Team'!$C$17="G" ),1,0)+IF( AND((COUNTIF(AQ$2:AQ$33,'Your Team'!$D$18)&gt;0),'Your Team'!$C$18="G" ),1,0)+IF( AND((COUNTIF(AQ$2:AQ$33,'Your Team'!$D$19)&gt;0),'Your Team'!$C$19="G" ),1,0)</f>
        <v>0</v>
      </c>
      <c r="AR41" s="9">
        <f>IF( AND((COUNTIF(AR$2:AR$33,'Your Team'!$D$3)&gt;0),'Your Team'!$C$3="G" ),1,0)+IF( AND((COUNTIF(AR$2:AR$33,'Your Team'!$D$4)&gt;0),'Your Team'!$C$4="G" ),1,0)+IF( AND((COUNTIF(AR$2:AR$33,'Your Team'!$D$5)&gt;0),'Your Team'!$C$5="G" ),1,0)+IF( AND((COUNTIF(AR$2:AR$33,'Your Team'!$D$6)&gt;0),'Your Team'!$C$6="G" ),1,0)+IF( AND((COUNTIF(AR$2:AR$33,'Your Team'!$D$7)&gt;0),'Your Team'!$C$7="G" ),1,0)+IF( AND((COUNTIF(AR$2:AR$33,'Your Team'!$D$8)&gt;0),'Your Team'!$C$8="G" ),1,0)+IF( AND((COUNTIF(AR$2:AR$33,'Your Team'!$D$9)&gt;0),'Your Team'!$C$9="G" ),1,0)+IF( AND((COUNTIF(AR$2:AR$33,'Your Team'!$D$10)&gt;0),'Your Team'!$C$10="G" ),1,0)+IF( AND((COUNTIF(AR$2:AR$33,'Your Team'!$D$11)&gt;0),'Your Team'!$C$11="G" ),1,0)+IF( AND((COUNTIF(AR$2:AR$33,'Your Team'!$D$12)&gt;0),'Your Team'!$C$12="G" ),1,0)+IF( AND((COUNTIF(AR$2:AR$33,'Your Team'!$D$13)&gt;0),'Your Team'!$C$13="G" ),1,0)+IF( AND((COUNTIF(AR$2:AR$33,'Your Team'!$D$14)&gt;0),'Your Team'!$C$14="G" ),1,0)+IF( AND((COUNTIF(AR$2:AR$33,'Your Team'!$D$15)&gt;0),'Your Team'!$C$15="G" ),1,0)+IF( AND((COUNTIF(AR$2:AR$33,'Your Team'!$D$16)&gt;0),'Your Team'!$C$16="G" ),1,0)+IF( AND((COUNTIF(AR$2:AR$33,'Your Team'!$D$17)&gt;0),'Your Team'!$C$17="G" ),1,0)+IF( AND((COUNTIF(AR$2:AR$33,'Your Team'!$D$18)&gt;0),'Your Team'!$C$18="G" ),1,0)+IF( AND((COUNTIF(AR$2:AR$33,'Your Team'!$D$19)&gt;0),'Your Team'!$C$19="G" ),1,0)</f>
        <v>0</v>
      </c>
      <c r="AS41" s="9">
        <f>IF( AND((COUNTIF(AS$2:AS$33,'Your Team'!$D$3)&gt;0),'Your Team'!$C$3="G" ),1,0)+IF( AND((COUNTIF(AS$2:AS$33,'Your Team'!$D$4)&gt;0),'Your Team'!$C$4="G" ),1,0)+IF( AND((COUNTIF(AS$2:AS$33,'Your Team'!$D$5)&gt;0),'Your Team'!$C$5="G" ),1,0)+IF( AND((COUNTIF(AS$2:AS$33,'Your Team'!$D$6)&gt;0),'Your Team'!$C$6="G" ),1,0)+IF( AND((COUNTIF(AS$2:AS$33,'Your Team'!$D$7)&gt;0),'Your Team'!$C$7="G" ),1,0)+IF( AND((COUNTIF(AS$2:AS$33,'Your Team'!$D$8)&gt;0),'Your Team'!$C$8="G" ),1,0)+IF( AND((COUNTIF(AS$2:AS$33,'Your Team'!$D$9)&gt;0),'Your Team'!$C$9="G" ),1,0)+IF( AND((COUNTIF(AS$2:AS$33,'Your Team'!$D$10)&gt;0),'Your Team'!$C$10="G" ),1,0)+IF( AND((COUNTIF(AS$2:AS$33,'Your Team'!$D$11)&gt;0),'Your Team'!$C$11="G" ),1,0)+IF( AND((COUNTIF(AS$2:AS$33,'Your Team'!$D$12)&gt;0),'Your Team'!$C$12="G" ),1,0)+IF( AND((COUNTIF(AS$2:AS$33,'Your Team'!$D$13)&gt;0),'Your Team'!$C$13="G" ),1,0)+IF( AND((COUNTIF(AS$2:AS$33,'Your Team'!$D$14)&gt;0),'Your Team'!$C$14="G" ),1,0)+IF( AND((COUNTIF(AS$2:AS$33,'Your Team'!$D$15)&gt;0),'Your Team'!$C$15="G" ),1,0)+IF( AND((COUNTIF(AS$2:AS$33,'Your Team'!$D$16)&gt;0),'Your Team'!$C$16="G" ),1,0)+IF( AND((COUNTIF(AS$2:AS$33,'Your Team'!$D$17)&gt;0),'Your Team'!$C$17="G" ),1,0)+IF( AND((COUNTIF(AS$2:AS$33,'Your Team'!$D$18)&gt;0),'Your Team'!$C$18="G" ),1,0)+IF( AND((COUNTIF(AS$2:AS$33,'Your Team'!$D$19)&gt;0),'Your Team'!$C$19="G" ),1,0)</f>
        <v>0</v>
      </c>
      <c r="AT41" s="9">
        <f>IF( AND((COUNTIF(AT$2:AT$33,'Your Team'!$D$3)&gt;0),'Your Team'!$C$3="G" ),1,0)+IF( AND((COUNTIF(AT$2:AT$33,'Your Team'!$D$4)&gt;0),'Your Team'!$C$4="G" ),1,0)+IF( AND((COUNTIF(AT$2:AT$33,'Your Team'!$D$5)&gt;0),'Your Team'!$C$5="G" ),1,0)+IF( AND((COUNTIF(AT$2:AT$33,'Your Team'!$D$6)&gt;0),'Your Team'!$C$6="G" ),1,0)+IF( AND((COUNTIF(AT$2:AT$33,'Your Team'!$D$7)&gt;0),'Your Team'!$C$7="G" ),1,0)+IF( AND((COUNTIF(AT$2:AT$33,'Your Team'!$D$8)&gt;0),'Your Team'!$C$8="G" ),1,0)+IF( AND((COUNTIF(AT$2:AT$33,'Your Team'!$D$9)&gt;0),'Your Team'!$C$9="G" ),1,0)+IF( AND((COUNTIF(AT$2:AT$33,'Your Team'!$D$10)&gt;0),'Your Team'!$C$10="G" ),1,0)+IF( AND((COUNTIF(AT$2:AT$33,'Your Team'!$D$11)&gt;0),'Your Team'!$C$11="G" ),1,0)+IF( AND((COUNTIF(AT$2:AT$33,'Your Team'!$D$12)&gt;0),'Your Team'!$C$12="G" ),1,0)+IF( AND((COUNTIF(AT$2:AT$33,'Your Team'!$D$13)&gt;0),'Your Team'!$C$13="G" ),1,0)+IF( AND((COUNTIF(AT$2:AT$33,'Your Team'!$D$14)&gt;0),'Your Team'!$C$14="G" ),1,0)+IF( AND((COUNTIF(AT$2:AT$33,'Your Team'!$D$15)&gt;0),'Your Team'!$C$15="G" ),1,0)+IF( AND((COUNTIF(AT$2:AT$33,'Your Team'!$D$16)&gt;0),'Your Team'!$C$16="G" ),1,0)+IF( AND((COUNTIF(AT$2:AT$33,'Your Team'!$D$17)&gt;0),'Your Team'!$C$17="G" ),1,0)+IF( AND((COUNTIF(AT$2:AT$33,'Your Team'!$D$18)&gt;0),'Your Team'!$C$18="G" ),1,0)+IF( AND((COUNTIF(AT$2:AT$33,'Your Team'!$D$19)&gt;0),'Your Team'!$C$19="G" ),1,0)</f>
        <v>0</v>
      </c>
      <c r="AU41" s="9">
        <f>IF( AND((COUNTIF(AU$2:AU$33,'Your Team'!$D$3)&gt;0),'Your Team'!$C$3="G" ),1,0)+IF( AND((COUNTIF(AU$2:AU$33,'Your Team'!$D$4)&gt;0),'Your Team'!$C$4="G" ),1,0)+IF( AND((COUNTIF(AU$2:AU$33,'Your Team'!$D$5)&gt;0),'Your Team'!$C$5="G" ),1,0)+IF( AND((COUNTIF(AU$2:AU$33,'Your Team'!$D$6)&gt;0),'Your Team'!$C$6="G" ),1,0)+IF( AND((COUNTIF(AU$2:AU$33,'Your Team'!$D$7)&gt;0),'Your Team'!$C$7="G" ),1,0)+IF( AND((COUNTIF(AU$2:AU$33,'Your Team'!$D$8)&gt;0),'Your Team'!$C$8="G" ),1,0)+IF( AND((COUNTIF(AU$2:AU$33,'Your Team'!$D$9)&gt;0),'Your Team'!$C$9="G" ),1,0)+IF( AND((COUNTIF(AU$2:AU$33,'Your Team'!$D$10)&gt;0),'Your Team'!$C$10="G" ),1,0)+IF( AND((COUNTIF(AU$2:AU$33,'Your Team'!$D$11)&gt;0),'Your Team'!$C$11="G" ),1,0)+IF( AND((COUNTIF(AU$2:AU$33,'Your Team'!$D$12)&gt;0),'Your Team'!$C$12="G" ),1,0)+IF( AND((COUNTIF(AU$2:AU$33,'Your Team'!$D$13)&gt;0),'Your Team'!$C$13="G" ),1,0)+IF( AND((COUNTIF(AU$2:AU$33,'Your Team'!$D$14)&gt;0),'Your Team'!$C$14="G" ),1,0)+IF( AND((COUNTIF(AU$2:AU$33,'Your Team'!$D$15)&gt;0),'Your Team'!$C$15="G" ),1,0)+IF( AND((COUNTIF(AU$2:AU$33,'Your Team'!$D$16)&gt;0),'Your Team'!$C$16="G" ),1,0)+IF( AND((COUNTIF(AU$2:AU$33,'Your Team'!$D$17)&gt;0),'Your Team'!$C$17="G" ),1,0)+IF( AND((COUNTIF(AU$2:AU$33,'Your Team'!$D$18)&gt;0),'Your Team'!$C$18="G" ),1,0)+IF( AND((COUNTIF(AU$2:AU$33,'Your Team'!$D$19)&gt;0),'Your Team'!$C$19="G" ),1,0)</f>
        <v>0</v>
      </c>
      <c r="AV41" s="9">
        <f>IF( AND((COUNTIF(AV$2:AV$33,'Your Team'!$D$3)&gt;0),'Your Team'!$C$3="G" ),1,0)+IF( AND((COUNTIF(AV$2:AV$33,'Your Team'!$D$4)&gt;0),'Your Team'!$C$4="G" ),1,0)+IF( AND((COUNTIF(AV$2:AV$33,'Your Team'!$D$5)&gt;0),'Your Team'!$C$5="G" ),1,0)+IF( AND((COUNTIF(AV$2:AV$33,'Your Team'!$D$6)&gt;0),'Your Team'!$C$6="G" ),1,0)+IF( AND((COUNTIF(AV$2:AV$33,'Your Team'!$D$7)&gt;0),'Your Team'!$C$7="G" ),1,0)+IF( AND((COUNTIF(AV$2:AV$33,'Your Team'!$D$8)&gt;0),'Your Team'!$C$8="G" ),1,0)+IF( AND((COUNTIF(AV$2:AV$33,'Your Team'!$D$9)&gt;0),'Your Team'!$C$9="G" ),1,0)+IF( AND((COUNTIF(AV$2:AV$33,'Your Team'!$D$10)&gt;0),'Your Team'!$C$10="G" ),1,0)+IF( AND((COUNTIF(AV$2:AV$33,'Your Team'!$D$11)&gt;0),'Your Team'!$C$11="G" ),1,0)+IF( AND((COUNTIF(AV$2:AV$33,'Your Team'!$D$12)&gt;0),'Your Team'!$C$12="G" ),1,0)+IF( AND((COUNTIF(AV$2:AV$33,'Your Team'!$D$13)&gt;0),'Your Team'!$C$13="G" ),1,0)+IF( AND((COUNTIF(AV$2:AV$33,'Your Team'!$D$14)&gt;0),'Your Team'!$C$14="G" ),1,0)+IF( AND((COUNTIF(AV$2:AV$33,'Your Team'!$D$15)&gt;0),'Your Team'!$C$15="G" ),1,0)+IF( AND((COUNTIF(AV$2:AV$33,'Your Team'!$D$16)&gt;0),'Your Team'!$C$16="G" ),1,0)+IF( AND((COUNTIF(AV$2:AV$33,'Your Team'!$D$17)&gt;0),'Your Team'!$C$17="G" ),1,0)+IF( AND((COUNTIF(AV$2:AV$33,'Your Team'!$D$18)&gt;0),'Your Team'!$C$18="G" ),1,0)+IF( AND((COUNTIF(AV$2:AV$33,'Your Team'!$D$19)&gt;0),'Your Team'!$C$19="G" ),1,0)</f>
        <v>0</v>
      </c>
      <c r="AW41" s="9">
        <f>IF( AND((COUNTIF(AW$2:AW$33,'Your Team'!$D$3)&gt;0),'Your Team'!$C$3="G" ),1,0)+IF( AND((COUNTIF(AW$2:AW$33,'Your Team'!$D$4)&gt;0),'Your Team'!$C$4="G" ),1,0)+IF( AND((COUNTIF(AW$2:AW$33,'Your Team'!$D$5)&gt;0),'Your Team'!$C$5="G" ),1,0)+IF( AND((COUNTIF(AW$2:AW$33,'Your Team'!$D$6)&gt;0),'Your Team'!$C$6="G" ),1,0)+IF( AND((COUNTIF(AW$2:AW$33,'Your Team'!$D$7)&gt;0),'Your Team'!$C$7="G" ),1,0)+IF( AND((COUNTIF(AW$2:AW$33,'Your Team'!$D$8)&gt;0),'Your Team'!$C$8="G" ),1,0)+IF( AND((COUNTIF(AW$2:AW$33,'Your Team'!$D$9)&gt;0),'Your Team'!$C$9="G" ),1,0)+IF( AND((COUNTIF(AW$2:AW$33,'Your Team'!$D$10)&gt;0),'Your Team'!$C$10="G" ),1,0)+IF( AND((COUNTIF(AW$2:AW$33,'Your Team'!$D$11)&gt;0),'Your Team'!$C$11="G" ),1,0)+IF( AND((COUNTIF(AW$2:AW$33,'Your Team'!$D$12)&gt;0),'Your Team'!$C$12="G" ),1,0)+IF( AND((COUNTIF(AW$2:AW$33,'Your Team'!$D$13)&gt;0),'Your Team'!$C$13="G" ),1,0)+IF( AND((COUNTIF(AW$2:AW$33,'Your Team'!$D$14)&gt;0),'Your Team'!$C$14="G" ),1,0)+IF( AND((COUNTIF(AW$2:AW$33,'Your Team'!$D$15)&gt;0),'Your Team'!$C$15="G" ),1,0)+IF( AND((COUNTIF(AW$2:AW$33,'Your Team'!$D$16)&gt;0),'Your Team'!$C$16="G" ),1,0)+IF( AND((COUNTIF(AW$2:AW$33,'Your Team'!$D$17)&gt;0),'Your Team'!$C$17="G" ),1,0)+IF( AND((COUNTIF(AW$2:AW$33,'Your Team'!$D$18)&gt;0),'Your Team'!$C$18="G" ),1,0)+IF( AND((COUNTIF(AW$2:AW$33,'Your Team'!$D$19)&gt;0),'Your Team'!$C$19="G" ),1,0)</f>
        <v>0</v>
      </c>
      <c r="AX41" s="9">
        <f>IF( AND((COUNTIF(AX$2:AX$33,'Your Team'!$D$3)&gt;0),'Your Team'!$C$3="G" ),1,0)+IF( AND((COUNTIF(AX$2:AX$33,'Your Team'!$D$4)&gt;0),'Your Team'!$C$4="G" ),1,0)+IF( AND((COUNTIF(AX$2:AX$33,'Your Team'!$D$5)&gt;0),'Your Team'!$C$5="G" ),1,0)+IF( AND((COUNTIF(AX$2:AX$33,'Your Team'!$D$6)&gt;0),'Your Team'!$C$6="G" ),1,0)+IF( AND((COUNTIF(AX$2:AX$33,'Your Team'!$D$7)&gt;0),'Your Team'!$C$7="G" ),1,0)+IF( AND((COUNTIF(AX$2:AX$33,'Your Team'!$D$8)&gt;0),'Your Team'!$C$8="G" ),1,0)+IF( AND((COUNTIF(AX$2:AX$33,'Your Team'!$D$9)&gt;0),'Your Team'!$C$9="G" ),1,0)+IF( AND((COUNTIF(AX$2:AX$33,'Your Team'!$D$10)&gt;0),'Your Team'!$C$10="G" ),1,0)+IF( AND((COUNTIF(AX$2:AX$33,'Your Team'!$D$11)&gt;0),'Your Team'!$C$11="G" ),1,0)+IF( AND((COUNTIF(AX$2:AX$33,'Your Team'!$D$12)&gt;0),'Your Team'!$C$12="G" ),1,0)+IF( AND((COUNTIF(AX$2:AX$33,'Your Team'!$D$13)&gt;0),'Your Team'!$C$13="G" ),1,0)+IF( AND((COUNTIF(AX$2:AX$33,'Your Team'!$D$14)&gt;0),'Your Team'!$C$14="G" ),1,0)+IF( AND((COUNTIF(AX$2:AX$33,'Your Team'!$D$15)&gt;0),'Your Team'!$C$15="G" ),1,0)+IF( AND((COUNTIF(AX$2:AX$33,'Your Team'!$D$16)&gt;0),'Your Team'!$C$16="G" ),1,0)+IF( AND((COUNTIF(AX$2:AX$33,'Your Team'!$D$17)&gt;0),'Your Team'!$C$17="G" ),1,0)+IF( AND((COUNTIF(AX$2:AX$33,'Your Team'!$D$18)&gt;0),'Your Team'!$C$18="G" ),1,0)+IF( AND((COUNTIF(AX$2:AX$33,'Your Team'!$D$19)&gt;0),'Your Team'!$C$19="G" ),1,0)</f>
        <v>0</v>
      </c>
      <c r="AY41" s="9">
        <f>IF( AND((COUNTIF(AY$2:AY$33,'Your Team'!$D$3)&gt;0),'Your Team'!$C$3="G" ),1,0)+IF( AND((COUNTIF(AY$2:AY$33,'Your Team'!$D$4)&gt;0),'Your Team'!$C$4="G" ),1,0)+IF( AND((COUNTIF(AY$2:AY$33,'Your Team'!$D$5)&gt;0),'Your Team'!$C$5="G" ),1,0)+IF( AND((COUNTIF(AY$2:AY$33,'Your Team'!$D$6)&gt;0),'Your Team'!$C$6="G" ),1,0)+IF( AND((COUNTIF(AY$2:AY$33,'Your Team'!$D$7)&gt;0),'Your Team'!$C$7="G" ),1,0)+IF( AND((COUNTIF(AY$2:AY$33,'Your Team'!$D$8)&gt;0),'Your Team'!$C$8="G" ),1,0)+IF( AND((COUNTIF(AY$2:AY$33,'Your Team'!$D$9)&gt;0),'Your Team'!$C$9="G" ),1,0)+IF( AND((COUNTIF(AY$2:AY$33,'Your Team'!$D$10)&gt;0),'Your Team'!$C$10="G" ),1,0)+IF( AND((COUNTIF(AY$2:AY$33,'Your Team'!$D$11)&gt;0),'Your Team'!$C$11="G" ),1,0)+IF( AND((COUNTIF(AY$2:AY$33,'Your Team'!$D$12)&gt;0),'Your Team'!$C$12="G" ),1,0)+IF( AND((COUNTIF(AY$2:AY$33,'Your Team'!$D$13)&gt;0),'Your Team'!$C$13="G" ),1,0)+IF( AND((COUNTIF(AY$2:AY$33,'Your Team'!$D$14)&gt;0),'Your Team'!$C$14="G" ),1,0)+IF( AND((COUNTIF(AY$2:AY$33,'Your Team'!$D$15)&gt;0),'Your Team'!$C$15="G" ),1,0)+IF( AND((COUNTIF(AY$2:AY$33,'Your Team'!$D$16)&gt;0),'Your Team'!$C$16="G" ),1,0)+IF( AND((COUNTIF(AY$2:AY$33,'Your Team'!$D$17)&gt;0),'Your Team'!$C$17="G" ),1,0)+IF( AND((COUNTIF(AY$2:AY$33,'Your Team'!$D$18)&gt;0),'Your Team'!$C$18="G" ),1,0)+IF( AND((COUNTIF(AY$2:AY$33,'Your Team'!$D$19)&gt;0),'Your Team'!$C$19="G" ),1,0)</f>
        <v>0</v>
      </c>
      <c r="AZ41" s="9">
        <f>IF( AND((COUNTIF(AZ$2:AZ$33,'Your Team'!$D$3)&gt;0),'Your Team'!$C$3="G" ),1,0)+IF( AND((COUNTIF(AZ$2:AZ$33,'Your Team'!$D$4)&gt;0),'Your Team'!$C$4="G" ),1,0)+IF( AND((COUNTIF(AZ$2:AZ$33,'Your Team'!$D$5)&gt;0),'Your Team'!$C$5="G" ),1,0)+IF( AND((COUNTIF(AZ$2:AZ$33,'Your Team'!$D$6)&gt;0),'Your Team'!$C$6="G" ),1,0)+IF( AND((COUNTIF(AZ$2:AZ$33,'Your Team'!$D$7)&gt;0),'Your Team'!$C$7="G" ),1,0)+IF( AND((COUNTIF(AZ$2:AZ$33,'Your Team'!$D$8)&gt;0),'Your Team'!$C$8="G" ),1,0)+IF( AND((COUNTIF(AZ$2:AZ$33,'Your Team'!$D$9)&gt;0),'Your Team'!$C$9="G" ),1,0)+IF( AND((COUNTIF(AZ$2:AZ$33,'Your Team'!$D$10)&gt;0),'Your Team'!$C$10="G" ),1,0)+IF( AND((COUNTIF(AZ$2:AZ$33,'Your Team'!$D$11)&gt;0),'Your Team'!$C$11="G" ),1,0)+IF( AND((COUNTIF(AZ$2:AZ$33,'Your Team'!$D$12)&gt;0),'Your Team'!$C$12="G" ),1,0)+IF( AND((COUNTIF(AZ$2:AZ$33,'Your Team'!$D$13)&gt;0),'Your Team'!$C$13="G" ),1,0)+IF( AND((COUNTIF(AZ$2:AZ$33,'Your Team'!$D$14)&gt;0),'Your Team'!$C$14="G" ),1,0)+IF( AND((COUNTIF(AZ$2:AZ$33,'Your Team'!$D$15)&gt;0),'Your Team'!$C$15="G" ),1,0)+IF( AND((COUNTIF(AZ$2:AZ$33,'Your Team'!$D$16)&gt;0),'Your Team'!$C$16="G" ),1,0)+IF( AND((COUNTIF(AZ$2:AZ$33,'Your Team'!$D$17)&gt;0),'Your Team'!$C$17="G" ),1,0)+IF( AND((COUNTIF(AZ$2:AZ$33,'Your Team'!$D$18)&gt;0),'Your Team'!$C$18="G" ),1,0)+IF( AND((COUNTIF(AZ$2:AZ$33,'Your Team'!$D$19)&gt;0),'Your Team'!$C$19="G" ),1,0)</f>
        <v>0</v>
      </c>
      <c r="BA41" s="9">
        <f>IF( AND((COUNTIF(BA$2:BA$33,'Your Team'!$D$3)&gt;0),'Your Team'!$C$3="G" ),1,0)+IF( AND((COUNTIF(BA$2:BA$33,'Your Team'!$D$4)&gt;0),'Your Team'!$C$4="G" ),1,0)+IF( AND((COUNTIF(BA$2:BA$33,'Your Team'!$D$5)&gt;0),'Your Team'!$C$5="G" ),1,0)+IF( AND((COUNTIF(BA$2:BA$33,'Your Team'!$D$6)&gt;0),'Your Team'!$C$6="G" ),1,0)+IF( AND((COUNTIF(BA$2:BA$33,'Your Team'!$D$7)&gt;0),'Your Team'!$C$7="G" ),1,0)+IF( AND((COUNTIF(BA$2:BA$33,'Your Team'!$D$8)&gt;0),'Your Team'!$C$8="G" ),1,0)+IF( AND((COUNTIF(BA$2:BA$33,'Your Team'!$D$9)&gt;0),'Your Team'!$C$9="G" ),1,0)+IF( AND((COUNTIF(BA$2:BA$33,'Your Team'!$D$10)&gt;0),'Your Team'!$C$10="G" ),1,0)+IF( AND((COUNTIF(BA$2:BA$33,'Your Team'!$D$11)&gt;0),'Your Team'!$C$11="G" ),1,0)+IF( AND((COUNTIF(BA$2:BA$33,'Your Team'!$D$12)&gt;0),'Your Team'!$C$12="G" ),1,0)+IF( AND((COUNTIF(BA$2:BA$33,'Your Team'!$D$13)&gt;0),'Your Team'!$C$13="G" ),1,0)+IF( AND((COUNTIF(BA$2:BA$33,'Your Team'!$D$14)&gt;0),'Your Team'!$C$14="G" ),1,0)+IF( AND((COUNTIF(BA$2:BA$33,'Your Team'!$D$15)&gt;0),'Your Team'!$C$15="G" ),1,0)+IF( AND((COUNTIF(BA$2:BA$33,'Your Team'!$D$16)&gt;0),'Your Team'!$C$16="G" ),1,0)+IF( AND((COUNTIF(BA$2:BA$33,'Your Team'!$D$17)&gt;0),'Your Team'!$C$17="G" ),1,0)+IF( AND((COUNTIF(BA$2:BA$33,'Your Team'!$D$18)&gt;0),'Your Team'!$C$18="G" ),1,0)+IF( AND((COUNTIF(BA$2:BA$33,'Your Team'!$D$19)&gt;0),'Your Team'!$C$19="G" ),1,0)</f>
        <v>0</v>
      </c>
      <c r="BB41" s="9">
        <f>IF( AND((COUNTIF(BB$2:BB$33,'Your Team'!$D$3)&gt;0),'Your Team'!$C$3="G" ),1,0)+IF( AND((COUNTIF(BB$2:BB$33,'Your Team'!$D$4)&gt;0),'Your Team'!$C$4="G" ),1,0)+IF( AND((COUNTIF(BB$2:BB$33,'Your Team'!$D$5)&gt;0),'Your Team'!$C$5="G" ),1,0)+IF( AND((COUNTIF(BB$2:BB$33,'Your Team'!$D$6)&gt;0),'Your Team'!$C$6="G" ),1,0)+IF( AND((COUNTIF(BB$2:BB$33,'Your Team'!$D$7)&gt;0),'Your Team'!$C$7="G" ),1,0)+IF( AND((COUNTIF(BB$2:BB$33,'Your Team'!$D$8)&gt;0),'Your Team'!$C$8="G" ),1,0)+IF( AND((COUNTIF(BB$2:BB$33,'Your Team'!$D$9)&gt;0),'Your Team'!$C$9="G" ),1,0)+IF( AND((COUNTIF(BB$2:BB$33,'Your Team'!$D$10)&gt;0),'Your Team'!$C$10="G" ),1,0)+IF( AND((COUNTIF(BB$2:BB$33,'Your Team'!$D$11)&gt;0),'Your Team'!$C$11="G" ),1,0)+IF( AND((COUNTIF(BB$2:BB$33,'Your Team'!$D$12)&gt;0),'Your Team'!$C$12="G" ),1,0)+IF( AND((COUNTIF(BB$2:BB$33,'Your Team'!$D$13)&gt;0),'Your Team'!$C$13="G" ),1,0)+IF( AND((COUNTIF(BB$2:BB$33,'Your Team'!$D$14)&gt;0),'Your Team'!$C$14="G" ),1,0)+IF( AND((COUNTIF(BB$2:BB$33,'Your Team'!$D$15)&gt;0),'Your Team'!$C$15="G" ),1,0)+IF( AND((COUNTIF(BB$2:BB$33,'Your Team'!$D$16)&gt;0),'Your Team'!$C$16="G" ),1,0)+IF( AND((COUNTIF(BB$2:BB$33,'Your Team'!$D$17)&gt;0),'Your Team'!$C$17="G" ),1,0)+IF( AND((COUNTIF(BB$2:BB$33,'Your Team'!$D$18)&gt;0),'Your Team'!$C$18="G" ),1,0)+IF( AND((COUNTIF(BB$2:BB$33,'Your Team'!$D$19)&gt;0),'Your Team'!$C$19="G" ),1,0)</f>
        <v>0</v>
      </c>
      <c r="BC41" s="9">
        <f>IF( AND((COUNTIF(BC$2:BC$33,'Your Team'!$D$3)&gt;0),'Your Team'!$C$3="G" ),1,0)+IF( AND((COUNTIF(BC$2:BC$33,'Your Team'!$D$4)&gt;0),'Your Team'!$C$4="G" ),1,0)+IF( AND((COUNTIF(BC$2:BC$33,'Your Team'!$D$5)&gt;0),'Your Team'!$C$5="G" ),1,0)+IF( AND((COUNTIF(BC$2:BC$33,'Your Team'!$D$6)&gt;0),'Your Team'!$C$6="G" ),1,0)+IF( AND((COUNTIF(BC$2:BC$33,'Your Team'!$D$7)&gt;0),'Your Team'!$C$7="G" ),1,0)+IF( AND((COUNTIF(BC$2:BC$33,'Your Team'!$D$8)&gt;0),'Your Team'!$C$8="G" ),1,0)+IF( AND((COUNTIF(BC$2:BC$33,'Your Team'!$D$9)&gt;0),'Your Team'!$C$9="G" ),1,0)+IF( AND((COUNTIF(BC$2:BC$33,'Your Team'!$D$10)&gt;0),'Your Team'!$C$10="G" ),1,0)+IF( AND((COUNTIF(BC$2:BC$33,'Your Team'!$D$11)&gt;0),'Your Team'!$C$11="G" ),1,0)+IF( AND((COUNTIF(BC$2:BC$33,'Your Team'!$D$12)&gt;0),'Your Team'!$C$12="G" ),1,0)+IF( AND((COUNTIF(BC$2:BC$33,'Your Team'!$D$13)&gt;0),'Your Team'!$C$13="G" ),1,0)+IF( AND((COUNTIF(BC$2:BC$33,'Your Team'!$D$14)&gt;0),'Your Team'!$C$14="G" ),1,0)+IF( AND((COUNTIF(BC$2:BC$33,'Your Team'!$D$15)&gt;0),'Your Team'!$C$15="G" ),1,0)+IF( AND((COUNTIF(BC$2:BC$33,'Your Team'!$D$16)&gt;0),'Your Team'!$C$16="G" ),1,0)+IF( AND((COUNTIF(BC$2:BC$33,'Your Team'!$D$17)&gt;0),'Your Team'!$C$17="G" ),1,0)+IF( AND((COUNTIF(BC$2:BC$33,'Your Team'!$D$18)&gt;0),'Your Team'!$C$18="G" ),1,0)+IF( AND((COUNTIF(BC$2:BC$33,'Your Team'!$D$19)&gt;0),'Your Team'!$C$19="G" ),1,0)</f>
        <v>0</v>
      </c>
      <c r="BD41" s="9">
        <f>IF( AND((COUNTIF(BD$2:BD$33,'Your Team'!$D$3)&gt;0),'Your Team'!$C$3="G" ),1,0)+IF( AND((COUNTIF(BD$2:BD$33,'Your Team'!$D$4)&gt;0),'Your Team'!$C$4="G" ),1,0)+IF( AND((COUNTIF(BD$2:BD$33,'Your Team'!$D$5)&gt;0),'Your Team'!$C$5="G" ),1,0)+IF( AND((COUNTIF(BD$2:BD$33,'Your Team'!$D$6)&gt;0),'Your Team'!$C$6="G" ),1,0)+IF( AND((COUNTIF(BD$2:BD$33,'Your Team'!$D$7)&gt;0),'Your Team'!$C$7="G" ),1,0)+IF( AND((COUNTIF(BD$2:BD$33,'Your Team'!$D$8)&gt;0),'Your Team'!$C$8="G" ),1,0)+IF( AND((COUNTIF(BD$2:BD$33,'Your Team'!$D$9)&gt;0),'Your Team'!$C$9="G" ),1,0)+IF( AND((COUNTIF(BD$2:BD$33,'Your Team'!$D$10)&gt;0),'Your Team'!$C$10="G" ),1,0)+IF( AND((COUNTIF(BD$2:BD$33,'Your Team'!$D$11)&gt;0),'Your Team'!$C$11="G" ),1,0)+IF( AND((COUNTIF(BD$2:BD$33,'Your Team'!$D$12)&gt;0),'Your Team'!$C$12="G" ),1,0)+IF( AND((COUNTIF(BD$2:BD$33,'Your Team'!$D$13)&gt;0),'Your Team'!$C$13="G" ),1,0)+IF( AND((COUNTIF(BD$2:BD$33,'Your Team'!$D$14)&gt;0),'Your Team'!$C$14="G" ),1,0)+IF( AND((COUNTIF(BD$2:BD$33,'Your Team'!$D$15)&gt;0),'Your Team'!$C$15="G" ),1,0)+IF( AND((COUNTIF(BD$2:BD$33,'Your Team'!$D$16)&gt;0),'Your Team'!$C$16="G" ),1,0)+IF( AND((COUNTIF(BD$2:BD$33,'Your Team'!$D$17)&gt;0),'Your Team'!$C$17="G" ),1,0)+IF( AND((COUNTIF(BD$2:BD$33,'Your Team'!$D$18)&gt;0),'Your Team'!$C$18="G" ),1,0)+IF( AND((COUNTIF(BD$2:BD$33,'Your Team'!$D$19)&gt;0),'Your Team'!$C$19="G" ),1,0)</f>
        <v>0</v>
      </c>
      <c r="BE41" s="9">
        <f>IF( AND((COUNTIF(BE$2:BE$33,'Your Team'!$D$3)&gt;0),'Your Team'!$C$3="G" ),1,0)+IF( AND((COUNTIF(BE$2:BE$33,'Your Team'!$D$4)&gt;0),'Your Team'!$C$4="G" ),1,0)+IF( AND((COUNTIF(BE$2:BE$33,'Your Team'!$D$5)&gt;0),'Your Team'!$C$5="G" ),1,0)+IF( AND((COUNTIF(BE$2:BE$33,'Your Team'!$D$6)&gt;0),'Your Team'!$C$6="G" ),1,0)+IF( AND((COUNTIF(BE$2:BE$33,'Your Team'!$D$7)&gt;0),'Your Team'!$C$7="G" ),1,0)+IF( AND((COUNTIF(BE$2:BE$33,'Your Team'!$D$8)&gt;0),'Your Team'!$C$8="G" ),1,0)+IF( AND((COUNTIF(BE$2:BE$33,'Your Team'!$D$9)&gt;0),'Your Team'!$C$9="G" ),1,0)+IF( AND((COUNTIF(BE$2:BE$33,'Your Team'!$D$10)&gt;0),'Your Team'!$C$10="G" ),1,0)+IF( AND((COUNTIF(BE$2:BE$33,'Your Team'!$D$11)&gt;0),'Your Team'!$C$11="G" ),1,0)+IF( AND((COUNTIF(BE$2:BE$33,'Your Team'!$D$12)&gt;0),'Your Team'!$C$12="G" ),1,0)+IF( AND((COUNTIF(BE$2:BE$33,'Your Team'!$D$13)&gt;0),'Your Team'!$C$13="G" ),1,0)+IF( AND((COUNTIF(BE$2:BE$33,'Your Team'!$D$14)&gt;0),'Your Team'!$C$14="G" ),1,0)+IF( AND((COUNTIF(BE$2:BE$33,'Your Team'!$D$15)&gt;0),'Your Team'!$C$15="G" ),1,0)+IF( AND((COUNTIF(BE$2:BE$33,'Your Team'!$D$16)&gt;0),'Your Team'!$C$16="G" ),1,0)+IF( AND((COUNTIF(BE$2:BE$33,'Your Team'!$D$17)&gt;0),'Your Team'!$C$17="G" ),1,0)+IF( AND((COUNTIF(BE$2:BE$33,'Your Team'!$D$18)&gt;0),'Your Team'!$C$18="G" ),1,0)+IF( AND((COUNTIF(BE$2:BE$33,'Your Team'!$D$19)&gt;0),'Your Team'!$C$19="G" ),1,0)</f>
        <v>0</v>
      </c>
      <c r="BF41" s="9">
        <f>IF( AND((COUNTIF(BF$2:BF$33,'Your Team'!$D$3)&gt;0),'Your Team'!$C$3="G" ),1,0)+IF( AND((COUNTIF(BF$2:BF$33,'Your Team'!$D$4)&gt;0),'Your Team'!$C$4="G" ),1,0)+IF( AND((COUNTIF(BF$2:BF$33,'Your Team'!$D$5)&gt;0),'Your Team'!$C$5="G" ),1,0)+IF( AND((COUNTIF(BF$2:BF$33,'Your Team'!$D$6)&gt;0),'Your Team'!$C$6="G" ),1,0)+IF( AND((COUNTIF(BF$2:BF$33,'Your Team'!$D$7)&gt;0),'Your Team'!$C$7="G" ),1,0)+IF( AND((COUNTIF(BF$2:BF$33,'Your Team'!$D$8)&gt;0),'Your Team'!$C$8="G" ),1,0)+IF( AND((COUNTIF(BF$2:BF$33,'Your Team'!$D$9)&gt;0),'Your Team'!$C$9="G" ),1,0)+IF( AND((COUNTIF(BF$2:BF$33,'Your Team'!$D$10)&gt;0),'Your Team'!$C$10="G" ),1,0)+IF( AND((COUNTIF(BF$2:BF$33,'Your Team'!$D$11)&gt;0),'Your Team'!$C$11="G" ),1,0)+IF( AND((COUNTIF(BF$2:BF$33,'Your Team'!$D$12)&gt;0),'Your Team'!$C$12="G" ),1,0)+IF( AND((COUNTIF(BF$2:BF$33,'Your Team'!$D$13)&gt;0),'Your Team'!$C$13="G" ),1,0)+IF( AND((COUNTIF(BF$2:BF$33,'Your Team'!$D$14)&gt;0),'Your Team'!$C$14="G" ),1,0)+IF( AND((COUNTIF(BF$2:BF$33,'Your Team'!$D$15)&gt;0),'Your Team'!$C$15="G" ),1,0)+IF( AND((COUNTIF(BF$2:BF$33,'Your Team'!$D$16)&gt;0),'Your Team'!$C$16="G" ),1,0)+IF( AND((COUNTIF(BF$2:BF$33,'Your Team'!$D$17)&gt;0),'Your Team'!$C$17="G" ),1,0)+IF( AND((COUNTIF(BF$2:BF$33,'Your Team'!$D$18)&gt;0),'Your Team'!$C$18="G" ),1,0)+IF( AND((COUNTIF(BF$2:BF$33,'Your Team'!$D$19)&gt;0),'Your Team'!$C$19="G" ),1,0)</f>
        <v>0</v>
      </c>
      <c r="BG41" s="9">
        <f>IF( AND((COUNTIF(BG$2:BG$33,'Your Team'!$D$3)&gt;0),'Your Team'!$C$3="G" ),1,0)+IF( AND((COUNTIF(BG$2:BG$33,'Your Team'!$D$4)&gt;0),'Your Team'!$C$4="G" ),1,0)+IF( AND((COUNTIF(BG$2:BG$33,'Your Team'!$D$5)&gt;0),'Your Team'!$C$5="G" ),1,0)+IF( AND((COUNTIF(BG$2:BG$33,'Your Team'!$D$6)&gt;0),'Your Team'!$C$6="G" ),1,0)+IF( AND((COUNTIF(BG$2:BG$33,'Your Team'!$D$7)&gt;0),'Your Team'!$C$7="G" ),1,0)+IF( AND((COUNTIF(BG$2:BG$33,'Your Team'!$D$8)&gt;0),'Your Team'!$C$8="G" ),1,0)+IF( AND((COUNTIF(BG$2:BG$33,'Your Team'!$D$9)&gt;0),'Your Team'!$C$9="G" ),1,0)+IF( AND((COUNTIF(BG$2:BG$33,'Your Team'!$D$10)&gt;0),'Your Team'!$C$10="G" ),1,0)+IF( AND((COUNTIF(BG$2:BG$33,'Your Team'!$D$11)&gt;0),'Your Team'!$C$11="G" ),1,0)+IF( AND((COUNTIF(BG$2:BG$33,'Your Team'!$D$12)&gt;0),'Your Team'!$C$12="G" ),1,0)+IF( AND((COUNTIF(BG$2:BG$33,'Your Team'!$D$13)&gt;0),'Your Team'!$C$13="G" ),1,0)+IF( AND((COUNTIF(BG$2:BG$33,'Your Team'!$D$14)&gt;0),'Your Team'!$C$14="G" ),1,0)+IF( AND((COUNTIF(BG$2:BG$33,'Your Team'!$D$15)&gt;0),'Your Team'!$C$15="G" ),1,0)+IF( AND((COUNTIF(BG$2:BG$33,'Your Team'!$D$16)&gt;0),'Your Team'!$C$16="G" ),1,0)+IF( AND((COUNTIF(BG$2:BG$33,'Your Team'!$D$17)&gt;0),'Your Team'!$C$17="G" ),1,0)+IF( AND((COUNTIF(BG$2:BG$33,'Your Team'!$D$18)&gt;0),'Your Team'!$C$18="G" ),1,0)+IF( AND((COUNTIF(BG$2:BG$33,'Your Team'!$D$19)&gt;0),'Your Team'!$C$19="G" ),1,0)</f>
        <v>0</v>
      </c>
      <c r="BH41" s="9">
        <f>IF( AND((COUNTIF(BH$2:BH$33,'Your Team'!$D$3)&gt;0),'Your Team'!$C$3="G" ),1,0)+IF( AND((COUNTIF(BH$2:BH$33,'Your Team'!$D$4)&gt;0),'Your Team'!$C$4="G" ),1,0)+IF( AND((COUNTIF(BH$2:BH$33,'Your Team'!$D$5)&gt;0),'Your Team'!$C$5="G" ),1,0)+IF( AND((COUNTIF(BH$2:BH$33,'Your Team'!$D$6)&gt;0),'Your Team'!$C$6="G" ),1,0)+IF( AND((COUNTIF(BH$2:BH$33,'Your Team'!$D$7)&gt;0),'Your Team'!$C$7="G" ),1,0)+IF( AND((COUNTIF(BH$2:BH$33,'Your Team'!$D$8)&gt;0),'Your Team'!$C$8="G" ),1,0)+IF( AND((COUNTIF(BH$2:BH$33,'Your Team'!$D$9)&gt;0),'Your Team'!$C$9="G" ),1,0)+IF( AND((COUNTIF(BH$2:BH$33,'Your Team'!$D$10)&gt;0),'Your Team'!$C$10="G" ),1,0)+IF( AND((COUNTIF(BH$2:BH$33,'Your Team'!$D$11)&gt;0),'Your Team'!$C$11="G" ),1,0)+IF( AND((COUNTIF(BH$2:BH$33,'Your Team'!$D$12)&gt;0),'Your Team'!$C$12="G" ),1,0)+IF( AND((COUNTIF(BH$2:BH$33,'Your Team'!$D$13)&gt;0),'Your Team'!$C$13="G" ),1,0)+IF( AND((COUNTIF(BH$2:BH$33,'Your Team'!$D$14)&gt;0),'Your Team'!$C$14="G" ),1,0)+IF( AND((COUNTIF(BH$2:BH$33,'Your Team'!$D$15)&gt;0),'Your Team'!$C$15="G" ),1,0)+IF( AND((COUNTIF(BH$2:BH$33,'Your Team'!$D$16)&gt;0),'Your Team'!$C$16="G" ),1,0)+IF( AND((COUNTIF(BH$2:BH$33,'Your Team'!$D$17)&gt;0),'Your Team'!$C$17="G" ),1,0)+IF( AND((COUNTIF(BH$2:BH$33,'Your Team'!$D$18)&gt;0),'Your Team'!$C$18="G" ),1,0)+IF( AND((COUNTIF(BH$2:BH$33,'Your Team'!$D$19)&gt;0),'Your Team'!$C$19="G" ),1,0)</f>
        <v>0</v>
      </c>
      <c r="BI41" s="9">
        <f>IF( AND((COUNTIF(BI$2:BI$33,'Your Team'!$D$3)&gt;0),'Your Team'!$C$3="G" ),1,0)+IF( AND((COUNTIF(BI$2:BI$33,'Your Team'!$D$4)&gt;0),'Your Team'!$C$4="G" ),1,0)+IF( AND((COUNTIF(BI$2:BI$33,'Your Team'!$D$5)&gt;0),'Your Team'!$C$5="G" ),1,0)+IF( AND((COUNTIF(BI$2:BI$33,'Your Team'!$D$6)&gt;0),'Your Team'!$C$6="G" ),1,0)+IF( AND((COUNTIF(BI$2:BI$33,'Your Team'!$D$7)&gt;0),'Your Team'!$C$7="G" ),1,0)+IF( AND((COUNTIF(BI$2:BI$33,'Your Team'!$D$8)&gt;0),'Your Team'!$C$8="G" ),1,0)+IF( AND((COUNTIF(BI$2:BI$33,'Your Team'!$D$9)&gt;0),'Your Team'!$C$9="G" ),1,0)+IF( AND((COUNTIF(BI$2:BI$33,'Your Team'!$D$10)&gt;0),'Your Team'!$C$10="G" ),1,0)+IF( AND((COUNTIF(BI$2:BI$33,'Your Team'!$D$11)&gt;0),'Your Team'!$C$11="G" ),1,0)+IF( AND((COUNTIF(BI$2:BI$33,'Your Team'!$D$12)&gt;0),'Your Team'!$C$12="G" ),1,0)+IF( AND((COUNTIF(BI$2:BI$33,'Your Team'!$D$13)&gt;0),'Your Team'!$C$13="G" ),1,0)+IF( AND((COUNTIF(BI$2:BI$33,'Your Team'!$D$14)&gt;0),'Your Team'!$C$14="G" ),1,0)+IF( AND((COUNTIF(BI$2:BI$33,'Your Team'!$D$15)&gt;0),'Your Team'!$C$15="G" ),1,0)+IF( AND((COUNTIF(BI$2:BI$33,'Your Team'!$D$16)&gt;0),'Your Team'!$C$16="G" ),1,0)+IF( AND((COUNTIF(BI$2:BI$33,'Your Team'!$D$17)&gt;0),'Your Team'!$C$17="G" ),1,0)+IF( AND((COUNTIF(BI$2:BI$33,'Your Team'!$D$18)&gt;0),'Your Team'!$C$18="G" ),1,0)+IF( AND((COUNTIF(BI$2:BI$33,'Your Team'!$D$19)&gt;0),'Your Team'!$C$19="G" ),1,0)</f>
        <v>0</v>
      </c>
      <c r="BJ41" s="9">
        <f>IF( AND((COUNTIF(BJ$2:BJ$33,'Your Team'!$D$3)&gt;0),'Your Team'!$C$3="G" ),1,0)+IF( AND((COUNTIF(BJ$2:BJ$33,'Your Team'!$D$4)&gt;0),'Your Team'!$C$4="G" ),1,0)+IF( AND((COUNTIF(BJ$2:BJ$33,'Your Team'!$D$5)&gt;0),'Your Team'!$C$5="G" ),1,0)+IF( AND((COUNTIF(BJ$2:BJ$33,'Your Team'!$D$6)&gt;0),'Your Team'!$C$6="G" ),1,0)+IF( AND((COUNTIF(BJ$2:BJ$33,'Your Team'!$D$7)&gt;0),'Your Team'!$C$7="G" ),1,0)+IF( AND((COUNTIF(BJ$2:BJ$33,'Your Team'!$D$8)&gt;0),'Your Team'!$C$8="G" ),1,0)+IF( AND((COUNTIF(BJ$2:BJ$33,'Your Team'!$D$9)&gt;0),'Your Team'!$C$9="G" ),1,0)+IF( AND((COUNTIF(BJ$2:BJ$33,'Your Team'!$D$10)&gt;0),'Your Team'!$C$10="G" ),1,0)+IF( AND((COUNTIF(BJ$2:BJ$33,'Your Team'!$D$11)&gt;0),'Your Team'!$C$11="G" ),1,0)+IF( AND((COUNTIF(BJ$2:BJ$33,'Your Team'!$D$12)&gt;0),'Your Team'!$C$12="G" ),1,0)+IF( AND((COUNTIF(BJ$2:BJ$33,'Your Team'!$D$13)&gt;0),'Your Team'!$C$13="G" ),1,0)+IF( AND((COUNTIF(BJ$2:BJ$33,'Your Team'!$D$14)&gt;0),'Your Team'!$C$14="G" ),1,0)+IF( AND((COUNTIF(BJ$2:BJ$33,'Your Team'!$D$15)&gt;0),'Your Team'!$C$15="G" ),1,0)+IF( AND((COUNTIF(BJ$2:BJ$33,'Your Team'!$D$16)&gt;0),'Your Team'!$C$16="G" ),1,0)+IF( AND((COUNTIF(BJ$2:BJ$33,'Your Team'!$D$17)&gt;0),'Your Team'!$C$17="G" ),1,0)+IF( AND((COUNTIF(BJ$2:BJ$33,'Your Team'!$D$18)&gt;0),'Your Team'!$C$18="G" ),1,0)+IF( AND((COUNTIF(BJ$2:BJ$33,'Your Team'!$D$19)&gt;0),'Your Team'!$C$19="G" ),1,0)</f>
        <v>0</v>
      </c>
      <c r="BK41" s="9">
        <f>IF( AND((COUNTIF(BK$2:BK$33,'Your Team'!$D$3)&gt;0),'Your Team'!$C$3="G" ),1,0)+IF( AND((COUNTIF(BK$2:BK$33,'Your Team'!$D$4)&gt;0),'Your Team'!$C$4="G" ),1,0)+IF( AND((COUNTIF(BK$2:BK$33,'Your Team'!$D$5)&gt;0),'Your Team'!$C$5="G" ),1,0)+IF( AND((COUNTIF(BK$2:BK$33,'Your Team'!$D$6)&gt;0),'Your Team'!$C$6="G" ),1,0)+IF( AND((COUNTIF(BK$2:BK$33,'Your Team'!$D$7)&gt;0),'Your Team'!$C$7="G" ),1,0)+IF( AND((COUNTIF(BK$2:BK$33,'Your Team'!$D$8)&gt;0),'Your Team'!$C$8="G" ),1,0)+IF( AND((COUNTIF(BK$2:BK$33,'Your Team'!$D$9)&gt;0),'Your Team'!$C$9="G" ),1,0)+IF( AND((COUNTIF(BK$2:BK$33,'Your Team'!$D$10)&gt;0),'Your Team'!$C$10="G" ),1,0)+IF( AND((COUNTIF(BK$2:BK$33,'Your Team'!$D$11)&gt;0),'Your Team'!$C$11="G" ),1,0)+IF( AND((COUNTIF(BK$2:BK$33,'Your Team'!$D$12)&gt;0),'Your Team'!$C$12="G" ),1,0)+IF( AND((COUNTIF(BK$2:BK$33,'Your Team'!$D$13)&gt;0),'Your Team'!$C$13="G" ),1,0)+IF( AND((COUNTIF(BK$2:BK$33,'Your Team'!$D$14)&gt;0),'Your Team'!$C$14="G" ),1,0)+IF( AND((COUNTIF(BK$2:BK$33,'Your Team'!$D$15)&gt;0),'Your Team'!$C$15="G" ),1,0)+IF( AND((COUNTIF(BK$2:BK$33,'Your Team'!$D$16)&gt;0),'Your Team'!$C$16="G" ),1,0)+IF( AND((COUNTIF(BK$2:BK$33,'Your Team'!$D$17)&gt;0),'Your Team'!$C$17="G" ),1,0)+IF( AND((COUNTIF(BK$2:BK$33,'Your Team'!$D$18)&gt;0),'Your Team'!$C$18="G" ),1,0)+IF( AND((COUNTIF(BK$2:BK$33,'Your Team'!$D$19)&gt;0),'Your Team'!$C$19="G" ),1,0)</f>
        <v>0</v>
      </c>
      <c r="BL41" s="9">
        <f>IF( AND((COUNTIF(BL$2:BL$33,'Your Team'!$D$3)&gt;0),'Your Team'!$C$3="G" ),1,0)+IF( AND((COUNTIF(BL$2:BL$33,'Your Team'!$D$4)&gt;0),'Your Team'!$C$4="G" ),1,0)+IF( AND((COUNTIF(BL$2:BL$33,'Your Team'!$D$5)&gt;0),'Your Team'!$C$5="G" ),1,0)+IF( AND((COUNTIF(BL$2:BL$33,'Your Team'!$D$6)&gt;0),'Your Team'!$C$6="G" ),1,0)+IF( AND((COUNTIF(BL$2:BL$33,'Your Team'!$D$7)&gt;0),'Your Team'!$C$7="G" ),1,0)+IF( AND((COUNTIF(BL$2:BL$33,'Your Team'!$D$8)&gt;0),'Your Team'!$C$8="G" ),1,0)+IF( AND((COUNTIF(BL$2:BL$33,'Your Team'!$D$9)&gt;0),'Your Team'!$C$9="G" ),1,0)+IF( AND((COUNTIF(BL$2:BL$33,'Your Team'!$D$10)&gt;0),'Your Team'!$C$10="G" ),1,0)+IF( AND((COUNTIF(BL$2:BL$33,'Your Team'!$D$11)&gt;0),'Your Team'!$C$11="G" ),1,0)+IF( AND((COUNTIF(BL$2:BL$33,'Your Team'!$D$12)&gt;0),'Your Team'!$C$12="G" ),1,0)+IF( AND((COUNTIF(BL$2:BL$33,'Your Team'!$D$13)&gt;0),'Your Team'!$C$13="G" ),1,0)+IF( AND((COUNTIF(BL$2:BL$33,'Your Team'!$D$14)&gt;0),'Your Team'!$C$14="G" ),1,0)+IF( AND((COUNTIF(BL$2:BL$33,'Your Team'!$D$15)&gt;0),'Your Team'!$C$15="G" ),1,0)+IF( AND((COUNTIF(BL$2:BL$33,'Your Team'!$D$16)&gt;0),'Your Team'!$C$16="G" ),1,0)+IF( AND((COUNTIF(BL$2:BL$33,'Your Team'!$D$17)&gt;0),'Your Team'!$C$17="G" ),1,0)+IF( AND((COUNTIF(BL$2:BL$33,'Your Team'!$D$18)&gt;0),'Your Team'!$C$18="G" ),1,0)+IF( AND((COUNTIF(BL$2:BL$33,'Your Team'!$D$19)&gt;0),'Your Team'!$C$19="G" ),1,0)</f>
        <v>0</v>
      </c>
      <c r="BM41" s="9">
        <f>IF( AND((COUNTIF(BM$2:BM$33,'Your Team'!$D$3)&gt;0),'Your Team'!$C$3="G" ),1,0)+IF( AND((COUNTIF(BM$2:BM$33,'Your Team'!$D$4)&gt;0),'Your Team'!$C$4="G" ),1,0)+IF( AND((COUNTIF(BM$2:BM$33,'Your Team'!$D$5)&gt;0),'Your Team'!$C$5="G" ),1,0)+IF( AND((COUNTIF(BM$2:BM$33,'Your Team'!$D$6)&gt;0),'Your Team'!$C$6="G" ),1,0)+IF( AND((COUNTIF(BM$2:BM$33,'Your Team'!$D$7)&gt;0),'Your Team'!$C$7="G" ),1,0)+IF( AND((COUNTIF(BM$2:BM$33,'Your Team'!$D$8)&gt;0),'Your Team'!$C$8="G" ),1,0)+IF( AND((COUNTIF(BM$2:BM$33,'Your Team'!$D$9)&gt;0),'Your Team'!$C$9="G" ),1,0)+IF( AND((COUNTIF(BM$2:BM$33,'Your Team'!$D$10)&gt;0),'Your Team'!$C$10="G" ),1,0)+IF( AND((COUNTIF(BM$2:BM$33,'Your Team'!$D$11)&gt;0),'Your Team'!$C$11="G" ),1,0)+IF( AND((COUNTIF(BM$2:BM$33,'Your Team'!$D$12)&gt;0),'Your Team'!$C$12="G" ),1,0)+IF( AND((COUNTIF(BM$2:BM$33,'Your Team'!$D$13)&gt;0),'Your Team'!$C$13="G" ),1,0)+IF( AND((COUNTIF(BM$2:BM$33,'Your Team'!$D$14)&gt;0),'Your Team'!$C$14="G" ),1,0)+IF( AND((COUNTIF(BM$2:BM$33,'Your Team'!$D$15)&gt;0),'Your Team'!$C$15="G" ),1,0)+IF( AND((COUNTIF(BM$2:BM$33,'Your Team'!$D$16)&gt;0),'Your Team'!$C$16="G" ),1,0)+IF( AND((COUNTIF(BM$2:BM$33,'Your Team'!$D$17)&gt;0),'Your Team'!$C$17="G" ),1,0)+IF( AND((COUNTIF(BM$2:BM$33,'Your Team'!$D$18)&gt;0),'Your Team'!$C$18="G" ),1,0)+IF( AND((COUNTIF(BM$2:BM$33,'Your Team'!$D$19)&gt;0),'Your Team'!$C$19="G" ),1,0)</f>
        <v>0</v>
      </c>
      <c r="BN41" s="9">
        <f>IF( AND((COUNTIF(BN$2:BN$33,'Your Team'!$D$3)&gt;0),'Your Team'!$C$3="G" ),1,0)+IF( AND((COUNTIF(BN$2:BN$33,'Your Team'!$D$4)&gt;0),'Your Team'!$C$4="G" ),1,0)+IF( AND((COUNTIF(BN$2:BN$33,'Your Team'!$D$5)&gt;0),'Your Team'!$C$5="G" ),1,0)+IF( AND((COUNTIF(BN$2:BN$33,'Your Team'!$D$6)&gt;0),'Your Team'!$C$6="G" ),1,0)+IF( AND((COUNTIF(BN$2:BN$33,'Your Team'!$D$7)&gt;0),'Your Team'!$C$7="G" ),1,0)+IF( AND((COUNTIF(BN$2:BN$33,'Your Team'!$D$8)&gt;0),'Your Team'!$C$8="G" ),1,0)+IF( AND((COUNTIF(BN$2:BN$33,'Your Team'!$D$9)&gt;0),'Your Team'!$C$9="G" ),1,0)+IF( AND((COUNTIF(BN$2:BN$33,'Your Team'!$D$10)&gt;0),'Your Team'!$C$10="G" ),1,0)+IF( AND((COUNTIF(BN$2:BN$33,'Your Team'!$D$11)&gt;0),'Your Team'!$C$11="G" ),1,0)+IF( AND((COUNTIF(BN$2:BN$33,'Your Team'!$D$12)&gt;0),'Your Team'!$C$12="G" ),1,0)+IF( AND((COUNTIF(BN$2:BN$33,'Your Team'!$D$13)&gt;0),'Your Team'!$C$13="G" ),1,0)+IF( AND((COUNTIF(BN$2:BN$33,'Your Team'!$D$14)&gt;0),'Your Team'!$C$14="G" ),1,0)+IF( AND((COUNTIF(BN$2:BN$33,'Your Team'!$D$15)&gt;0),'Your Team'!$C$15="G" ),1,0)+IF( AND((COUNTIF(BN$2:BN$33,'Your Team'!$D$16)&gt;0),'Your Team'!$C$16="G" ),1,0)+IF( AND((COUNTIF(BN$2:BN$33,'Your Team'!$D$17)&gt;0),'Your Team'!$C$17="G" ),1,0)+IF( AND((COUNTIF(BN$2:BN$33,'Your Team'!$D$18)&gt;0),'Your Team'!$C$18="G" ),1,0)+IF( AND((COUNTIF(BN$2:BN$33,'Your Team'!$D$19)&gt;0),'Your Team'!$C$19="G" ),1,0)</f>
        <v>0</v>
      </c>
      <c r="BO41" s="9">
        <f>IF( AND((COUNTIF(BO$2:BO$33,'Your Team'!$D$3)&gt;0),'Your Team'!$C$3="G" ),1,0)+IF( AND((COUNTIF(BO$2:BO$33,'Your Team'!$D$4)&gt;0),'Your Team'!$C$4="G" ),1,0)+IF( AND((COUNTIF(BO$2:BO$33,'Your Team'!$D$5)&gt;0),'Your Team'!$C$5="G" ),1,0)+IF( AND((COUNTIF(BO$2:BO$33,'Your Team'!$D$6)&gt;0),'Your Team'!$C$6="G" ),1,0)+IF( AND((COUNTIF(BO$2:BO$33,'Your Team'!$D$7)&gt;0),'Your Team'!$C$7="G" ),1,0)+IF( AND((COUNTIF(BO$2:BO$33,'Your Team'!$D$8)&gt;0),'Your Team'!$C$8="G" ),1,0)+IF( AND((COUNTIF(BO$2:BO$33,'Your Team'!$D$9)&gt;0),'Your Team'!$C$9="G" ),1,0)+IF( AND((COUNTIF(BO$2:BO$33,'Your Team'!$D$10)&gt;0),'Your Team'!$C$10="G" ),1,0)+IF( AND((COUNTIF(BO$2:BO$33,'Your Team'!$D$11)&gt;0),'Your Team'!$C$11="G" ),1,0)+IF( AND((COUNTIF(BO$2:BO$33,'Your Team'!$D$12)&gt;0),'Your Team'!$C$12="G" ),1,0)+IF( AND((COUNTIF(BO$2:BO$33,'Your Team'!$D$13)&gt;0),'Your Team'!$C$13="G" ),1,0)+IF( AND((COUNTIF(BO$2:BO$33,'Your Team'!$D$14)&gt;0),'Your Team'!$C$14="G" ),1,0)+IF( AND((COUNTIF(BO$2:BO$33,'Your Team'!$D$15)&gt;0),'Your Team'!$C$15="G" ),1,0)+IF( AND((COUNTIF(BO$2:BO$33,'Your Team'!$D$16)&gt;0),'Your Team'!$C$16="G" ),1,0)+IF( AND((COUNTIF(BO$2:BO$33,'Your Team'!$D$17)&gt;0),'Your Team'!$C$17="G" ),1,0)+IF( AND((COUNTIF(BO$2:BO$33,'Your Team'!$D$18)&gt;0),'Your Team'!$C$18="G" ),1,0)+IF( AND((COUNTIF(BO$2:BO$33,'Your Team'!$D$19)&gt;0),'Your Team'!$C$19="G" ),1,0)</f>
        <v>0</v>
      </c>
      <c r="BP41" s="9">
        <f>IF( AND((COUNTIF(BP$2:BP$33,'Your Team'!$D$3)&gt;0),'Your Team'!$C$3="G" ),1,0)+IF( AND((COUNTIF(BP$2:BP$33,'Your Team'!$D$4)&gt;0),'Your Team'!$C$4="G" ),1,0)+IF( AND((COUNTIF(BP$2:BP$33,'Your Team'!$D$5)&gt;0),'Your Team'!$C$5="G" ),1,0)+IF( AND((COUNTIF(BP$2:BP$33,'Your Team'!$D$6)&gt;0),'Your Team'!$C$6="G" ),1,0)+IF( AND((COUNTIF(BP$2:BP$33,'Your Team'!$D$7)&gt;0),'Your Team'!$C$7="G" ),1,0)+IF( AND((COUNTIF(BP$2:BP$33,'Your Team'!$D$8)&gt;0),'Your Team'!$C$8="G" ),1,0)+IF( AND((COUNTIF(BP$2:BP$33,'Your Team'!$D$9)&gt;0),'Your Team'!$C$9="G" ),1,0)+IF( AND((COUNTIF(BP$2:BP$33,'Your Team'!$D$10)&gt;0),'Your Team'!$C$10="G" ),1,0)+IF( AND((COUNTIF(BP$2:BP$33,'Your Team'!$D$11)&gt;0),'Your Team'!$C$11="G" ),1,0)+IF( AND((COUNTIF(BP$2:BP$33,'Your Team'!$D$12)&gt;0),'Your Team'!$C$12="G" ),1,0)+IF( AND((COUNTIF(BP$2:BP$33,'Your Team'!$D$13)&gt;0),'Your Team'!$C$13="G" ),1,0)+IF( AND((COUNTIF(BP$2:BP$33,'Your Team'!$D$14)&gt;0),'Your Team'!$C$14="G" ),1,0)+IF( AND((COUNTIF(BP$2:BP$33,'Your Team'!$D$15)&gt;0),'Your Team'!$C$15="G" ),1,0)+IF( AND((COUNTIF(BP$2:BP$33,'Your Team'!$D$16)&gt;0),'Your Team'!$C$16="G" ),1,0)+IF( AND((COUNTIF(BP$2:BP$33,'Your Team'!$D$17)&gt;0),'Your Team'!$C$17="G" ),1,0)+IF( AND((COUNTIF(BP$2:BP$33,'Your Team'!$D$18)&gt;0),'Your Team'!$C$18="G" ),1,0)+IF( AND((COUNTIF(BP$2:BP$33,'Your Team'!$D$19)&gt;0),'Your Team'!$C$19="G" ),1,0)</f>
        <v>0</v>
      </c>
      <c r="BQ41" s="9">
        <f>IF( AND((COUNTIF(BQ$2:BQ$33,'Your Team'!$D$3)&gt;0),'Your Team'!$C$3="G" ),1,0)+IF( AND((COUNTIF(BQ$2:BQ$33,'Your Team'!$D$4)&gt;0),'Your Team'!$C$4="G" ),1,0)+IF( AND((COUNTIF(BQ$2:BQ$33,'Your Team'!$D$5)&gt;0),'Your Team'!$C$5="G" ),1,0)+IF( AND((COUNTIF(BQ$2:BQ$33,'Your Team'!$D$6)&gt;0),'Your Team'!$C$6="G" ),1,0)+IF( AND((COUNTIF(BQ$2:BQ$33,'Your Team'!$D$7)&gt;0),'Your Team'!$C$7="G" ),1,0)+IF( AND((COUNTIF(BQ$2:BQ$33,'Your Team'!$D$8)&gt;0),'Your Team'!$C$8="G" ),1,0)+IF( AND((COUNTIF(BQ$2:BQ$33,'Your Team'!$D$9)&gt;0),'Your Team'!$C$9="G" ),1,0)+IF( AND((COUNTIF(BQ$2:BQ$33,'Your Team'!$D$10)&gt;0),'Your Team'!$C$10="G" ),1,0)+IF( AND((COUNTIF(BQ$2:BQ$33,'Your Team'!$D$11)&gt;0),'Your Team'!$C$11="G" ),1,0)+IF( AND((COUNTIF(BQ$2:BQ$33,'Your Team'!$D$12)&gt;0),'Your Team'!$C$12="G" ),1,0)+IF( AND((COUNTIF(BQ$2:BQ$33,'Your Team'!$D$13)&gt;0),'Your Team'!$C$13="G" ),1,0)+IF( AND((COUNTIF(BQ$2:BQ$33,'Your Team'!$D$14)&gt;0),'Your Team'!$C$14="G" ),1,0)+IF( AND((COUNTIF(BQ$2:BQ$33,'Your Team'!$D$15)&gt;0),'Your Team'!$C$15="G" ),1,0)+IF( AND((COUNTIF(BQ$2:BQ$33,'Your Team'!$D$16)&gt;0),'Your Team'!$C$16="G" ),1,0)+IF( AND((COUNTIF(BQ$2:BQ$33,'Your Team'!$D$17)&gt;0),'Your Team'!$C$17="G" ),1,0)+IF( AND((COUNTIF(BQ$2:BQ$33,'Your Team'!$D$18)&gt;0),'Your Team'!$C$18="G" ),1,0)+IF( AND((COUNTIF(BQ$2:BQ$33,'Your Team'!$D$19)&gt;0),'Your Team'!$C$19="G" ),1,0)</f>
        <v>0</v>
      </c>
      <c r="BR41" s="9">
        <f>IF( AND((COUNTIF(BR$2:BR$33,'Your Team'!$D$3)&gt;0),'Your Team'!$C$3="G" ),1,0)+IF( AND((COUNTIF(BR$2:BR$33,'Your Team'!$D$4)&gt;0),'Your Team'!$C$4="G" ),1,0)+IF( AND((COUNTIF(BR$2:BR$33,'Your Team'!$D$5)&gt;0),'Your Team'!$C$5="G" ),1,0)+IF( AND((COUNTIF(BR$2:BR$33,'Your Team'!$D$6)&gt;0),'Your Team'!$C$6="G" ),1,0)+IF( AND((COUNTIF(BR$2:BR$33,'Your Team'!$D$7)&gt;0),'Your Team'!$C$7="G" ),1,0)+IF( AND((COUNTIF(BR$2:BR$33,'Your Team'!$D$8)&gt;0),'Your Team'!$C$8="G" ),1,0)+IF( AND((COUNTIF(BR$2:BR$33,'Your Team'!$D$9)&gt;0),'Your Team'!$C$9="G" ),1,0)+IF( AND((COUNTIF(BR$2:BR$33,'Your Team'!$D$10)&gt;0),'Your Team'!$C$10="G" ),1,0)+IF( AND((COUNTIF(BR$2:BR$33,'Your Team'!$D$11)&gt;0),'Your Team'!$C$11="G" ),1,0)+IF( AND((COUNTIF(BR$2:BR$33,'Your Team'!$D$12)&gt;0),'Your Team'!$C$12="G" ),1,0)+IF( AND((COUNTIF(BR$2:BR$33,'Your Team'!$D$13)&gt;0),'Your Team'!$C$13="G" ),1,0)+IF( AND((COUNTIF(BR$2:BR$33,'Your Team'!$D$14)&gt;0),'Your Team'!$C$14="G" ),1,0)+IF( AND((COUNTIF(BR$2:BR$33,'Your Team'!$D$15)&gt;0),'Your Team'!$C$15="G" ),1,0)+IF( AND((COUNTIF(BR$2:BR$33,'Your Team'!$D$16)&gt;0),'Your Team'!$C$16="G" ),1,0)+IF( AND((COUNTIF(BR$2:BR$33,'Your Team'!$D$17)&gt;0),'Your Team'!$C$17="G" ),1,0)+IF( AND((COUNTIF(BR$2:BR$33,'Your Team'!$D$18)&gt;0),'Your Team'!$C$18="G" ),1,0)+IF( AND((COUNTIF(BR$2:BR$33,'Your Team'!$D$19)&gt;0),'Your Team'!$C$19="G" ),1,0)</f>
        <v>0</v>
      </c>
      <c r="BS41" s="9">
        <f>IF( AND((COUNTIF(BS$2:BS$33,'Your Team'!$D$3)&gt;0),'Your Team'!$C$3="G" ),1,0)+IF( AND((COUNTIF(BS$2:BS$33,'Your Team'!$D$4)&gt;0),'Your Team'!$C$4="G" ),1,0)+IF( AND((COUNTIF(BS$2:BS$33,'Your Team'!$D$5)&gt;0),'Your Team'!$C$5="G" ),1,0)+IF( AND((COUNTIF(BS$2:BS$33,'Your Team'!$D$6)&gt;0),'Your Team'!$C$6="G" ),1,0)+IF( AND((COUNTIF(BS$2:BS$33,'Your Team'!$D$7)&gt;0),'Your Team'!$C$7="G" ),1,0)+IF( AND((COUNTIF(BS$2:BS$33,'Your Team'!$D$8)&gt;0),'Your Team'!$C$8="G" ),1,0)+IF( AND((COUNTIF(BS$2:BS$33,'Your Team'!$D$9)&gt;0),'Your Team'!$C$9="G" ),1,0)+IF( AND((COUNTIF(BS$2:BS$33,'Your Team'!$D$10)&gt;0),'Your Team'!$C$10="G" ),1,0)+IF( AND((COUNTIF(BS$2:BS$33,'Your Team'!$D$11)&gt;0),'Your Team'!$C$11="G" ),1,0)+IF( AND((COUNTIF(BS$2:BS$33,'Your Team'!$D$12)&gt;0),'Your Team'!$C$12="G" ),1,0)+IF( AND((COUNTIF(BS$2:BS$33,'Your Team'!$D$13)&gt;0),'Your Team'!$C$13="G" ),1,0)+IF( AND((COUNTIF(BS$2:BS$33,'Your Team'!$D$14)&gt;0),'Your Team'!$C$14="G" ),1,0)+IF( AND((COUNTIF(BS$2:BS$33,'Your Team'!$D$15)&gt;0),'Your Team'!$C$15="G" ),1,0)+IF( AND((COUNTIF(BS$2:BS$33,'Your Team'!$D$16)&gt;0),'Your Team'!$C$16="G" ),1,0)+IF( AND((COUNTIF(BS$2:BS$33,'Your Team'!$D$17)&gt;0),'Your Team'!$C$17="G" ),1,0)+IF( AND((COUNTIF(BS$2:BS$33,'Your Team'!$D$18)&gt;0),'Your Team'!$C$18="G" ),1,0)+IF( AND((COUNTIF(BS$2:BS$33,'Your Team'!$D$19)&gt;0),'Your Team'!$C$19="G" ),1,0)</f>
        <v>0</v>
      </c>
      <c r="BT41" s="9">
        <f>IF( AND((COUNTIF(BT$2:BT$33,'Your Team'!$D$3)&gt;0),'Your Team'!$C$3="G" ),1,0)+IF( AND((COUNTIF(BT$2:BT$33,'Your Team'!$D$4)&gt;0),'Your Team'!$C$4="G" ),1,0)+IF( AND((COUNTIF(BT$2:BT$33,'Your Team'!$D$5)&gt;0),'Your Team'!$C$5="G" ),1,0)+IF( AND((COUNTIF(BT$2:BT$33,'Your Team'!$D$6)&gt;0),'Your Team'!$C$6="G" ),1,0)+IF( AND((COUNTIF(BT$2:BT$33,'Your Team'!$D$7)&gt;0),'Your Team'!$C$7="G" ),1,0)+IF( AND((COUNTIF(BT$2:BT$33,'Your Team'!$D$8)&gt;0),'Your Team'!$C$8="G" ),1,0)+IF( AND((COUNTIF(BT$2:BT$33,'Your Team'!$D$9)&gt;0),'Your Team'!$C$9="G" ),1,0)+IF( AND((COUNTIF(BT$2:BT$33,'Your Team'!$D$10)&gt;0),'Your Team'!$C$10="G" ),1,0)+IF( AND((COUNTIF(BT$2:BT$33,'Your Team'!$D$11)&gt;0),'Your Team'!$C$11="G" ),1,0)+IF( AND((COUNTIF(BT$2:BT$33,'Your Team'!$D$12)&gt;0),'Your Team'!$C$12="G" ),1,0)+IF( AND((COUNTIF(BT$2:BT$33,'Your Team'!$D$13)&gt;0),'Your Team'!$C$13="G" ),1,0)+IF( AND((COUNTIF(BT$2:BT$33,'Your Team'!$D$14)&gt;0),'Your Team'!$C$14="G" ),1,0)+IF( AND((COUNTIF(BT$2:BT$33,'Your Team'!$D$15)&gt;0),'Your Team'!$C$15="G" ),1,0)+IF( AND((COUNTIF(BT$2:BT$33,'Your Team'!$D$16)&gt;0),'Your Team'!$C$16="G" ),1,0)+IF( AND((COUNTIF(BT$2:BT$33,'Your Team'!$D$17)&gt;0),'Your Team'!$C$17="G" ),1,0)+IF( AND((COUNTIF(BT$2:BT$33,'Your Team'!$D$18)&gt;0),'Your Team'!$C$18="G" ),1,0)+IF( AND((COUNTIF(BT$2:BT$33,'Your Team'!$D$19)&gt;0),'Your Team'!$C$19="G" ),1,0)</f>
        <v>0</v>
      </c>
      <c r="BU41" s="9">
        <f>IF( AND((COUNTIF(BU$2:BU$33,'Your Team'!$D$3)&gt;0),'Your Team'!$C$3="G" ),1,0)+IF( AND((COUNTIF(BU$2:BU$33,'Your Team'!$D$4)&gt;0),'Your Team'!$C$4="G" ),1,0)+IF( AND((COUNTIF(BU$2:BU$33,'Your Team'!$D$5)&gt;0),'Your Team'!$C$5="G" ),1,0)+IF( AND((COUNTIF(BU$2:BU$33,'Your Team'!$D$6)&gt;0),'Your Team'!$C$6="G" ),1,0)+IF( AND((COUNTIF(BU$2:BU$33,'Your Team'!$D$7)&gt;0),'Your Team'!$C$7="G" ),1,0)+IF( AND((COUNTIF(BU$2:BU$33,'Your Team'!$D$8)&gt;0),'Your Team'!$C$8="G" ),1,0)+IF( AND((COUNTIF(BU$2:BU$33,'Your Team'!$D$9)&gt;0),'Your Team'!$C$9="G" ),1,0)+IF( AND((COUNTIF(BU$2:BU$33,'Your Team'!$D$10)&gt;0),'Your Team'!$C$10="G" ),1,0)+IF( AND((COUNTIF(BU$2:BU$33,'Your Team'!$D$11)&gt;0),'Your Team'!$C$11="G" ),1,0)+IF( AND((COUNTIF(BU$2:BU$33,'Your Team'!$D$12)&gt;0),'Your Team'!$C$12="G" ),1,0)+IF( AND((COUNTIF(BU$2:BU$33,'Your Team'!$D$13)&gt;0),'Your Team'!$C$13="G" ),1,0)+IF( AND((COUNTIF(BU$2:BU$33,'Your Team'!$D$14)&gt;0),'Your Team'!$C$14="G" ),1,0)+IF( AND((COUNTIF(BU$2:BU$33,'Your Team'!$D$15)&gt;0),'Your Team'!$C$15="G" ),1,0)+IF( AND((COUNTIF(BU$2:BU$33,'Your Team'!$D$16)&gt;0),'Your Team'!$C$16="G" ),1,0)+IF( AND((COUNTIF(BU$2:BU$33,'Your Team'!$D$17)&gt;0),'Your Team'!$C$17="G" ),1,0)+IF( AND((COUNTIF(BU$2:BU$33,'Your Team'!$D$18)&gt;0),'Your Team'!$C$18="G" ),1,0)+IF( AND((COUNTIF(BU$2:BU$33,'Your Team'!$D$19)&gt;0),'Your Team'!$C$19="G" ),1,0)</f>
        <v>0</v>
      </c>
      <c r="BV41" s="9">
        <f>IF( AND((COUNTIF(BV$2:BV$33,'Your Team'!$D$3)&gt;0),'Your Team'!$C$3="G" ),1,0)+IF( AND((COUNTIF(BV$2:BV$33,'Your Team'!$D$4)&gt;0),'Your Team'!$C$4="G" ),1,0)+IF( AND((COUNTIF(BV$2:BV$33,'Your Team'!$D$5)&gt;0),'Your Team'!$C$5="G" ),1,0)+IF( AND((COUNTIF(BV$2:BV$33,'Your Team'!$D$6)&gt;0),'Your Team'!$C$6="G" ),1,0)+IF( AND((COUNTIF(BV$2:BV$33,'Your Team'!$D$7)&gt;0),'Your Team'!$C$7="G" ),1,0)+IF( AND((COUNTIF(BV$2:BV$33,'Your Team'!$D$8)&gt;0),'Your Team'!$C$8="G" ),1,0)+IF( AND((COUNTIF(BV$2:BV$33,'Your Team'!$D$9)&gt;0),'Your Team'!$C$9="G" ),1,0)+IF( AND((COUNTIF(BV$2:BV$33,'Your Team'!$D$10)&gt;0),'Your Team'!$C$10="G" ),1,0)+IF( AND((COUNTIF(BV$2:BV$33,'Your Team'!$D$11)&gt;0),'Your Team'!$C$11="G" ),1,0)+IF( AND((COUNTIF(BV$2:BV$33,'Your Team'!$D$12)&gt;0),'Your Team'!$C$12="G" ),1,0)+IF( AND((COUNTIF(BV$2:BV$33,'Your Team'!$D$13)&gt;0),'Your Team'!$C$13="G" ),1,0)+IF( AND((COUNTIF(BV$2:BV$33,'Your Team'!$D$14)&gt;0),'Your Team'!$C$14="G" ),1,0)+IF( AND((COUNTIF(BV$2:BV$33,'Your Team'!$D$15)&gt;0),'Your Team'!$C$15="G" ),1,0)+IF( AND((COUNTIF(BV$2:BV$33,'Your Team'!$D$16)&gt;0),'Your Team'!$C$16="G" ),1,0)+IF( AND((COUNTIF(BV$2:BV$33,'Your Team'!$D$17)&gt;0),'Your Team'!$C$17="G" ),1,0)+IF( AND((COUNTIF(BV$2:BV$33,'Your Team'!$D$18)&gt;0),'Your Team'!$C$18="G" ),1,0)+IF( AND((COUNTIF(BV$2:BV$33,'Your Team'!$D$19)&gt;0),'Your Team'!$C$19="G" ),1,0)</f>
        <v>0</v>
      </c>
      <c r="BW41" s="9">
        <f>IF( AND((COUNTIF(BW$2:BW$33,'Your Team'!$D$3)&gt;0),'Your Team'!$C$3="G" ),1,0)+IF( AND((COUNTIF(BW$2:BW$33,'Your Team'!$D$4)&gt;0),'Your Team'!$C$4="G" ),1,0)+IF( AND((COUNTIF(BW$2:BW$33,'Your Team'!$D$5)&gt;0),'Your Team'!$C$5="G" ),1,0)+IF( AND((COUNTIF(BW$2:BW$33,'Your Team'!$D$6)&gt;0),'Your Team'!$C$6="G" ),1,0)+IF( AND((COUNTIF(BW$2:BW$33,'Your Team'!$D$7)&gt;0),'Your Team'!$C$7="G" ),1,0)+IF( AND((COUNTIF(BW$2:BW$33,'Your Team'!$D$8)&gt;0),'Your Team'!$C$8="G" ),1,0)+IF( AND((COUNTIF(BW$2:BW$33,'Your Team'!$D$9)&gt;0),'Your Team'!$C$9="G" ),1,0)+IF( AND((COUNTIF(BW$2:BW$33,'Your Team'!$D$10)&gt;0),'Your Team'!$C$10="G" ),1,0)+IF( AND((COUNTIF(BW$2:BW$33,'Your Team'!$D$11)&gt;0),'Your Team'!$C$11="G" ),1,0)+IF( AND((COUNTIF(BW$2:BW$33,'Your Team'!$D$12)&gt;0),'Your Team'!$C$12="G" ),1,0)+IF( AND((COUNTIF(BW$2:BW$33,'Your Team'!$D$13)&gt;0),'Your Team'!$C$13="G" ),1,0)+IF( AND((COUNTIF(BW$2:BW$33,'Your Team'!$D$14)&gt;0),'Your Team'!$C$14="G" ),1,0)+IF( AND((COUNTIF(BW$2:BW$33,'Your Team'!$D$15)&gt;0),'Your Team'!$C$15="G" ),1,0)+IF( AND((COUNTIF(BW$2:BW$33,'Your Team'!$D$16)&gt;0),'Your Team'!$C$16="G" ),1,0)+IF( AND((COUNTIF(BW$2:BW$33,'Your Team'!$D$17)&gt;0),'Your Team'!$C$17="G" ),1,0)+IF( AND((COUNTIF(BW$2:BW$33,'Your Team'!$D$18)&gt;0),'Your Team'!$C$18="G" ),1,0)+IF( AND((COUNTIF(BW$2:BW$33,'Your Team'!$D$19)&gt;0),'Your Team'!$C$19="G" ),1,0)</f>
        <v>0</v>
      </c>
      <c r="BX41" s="9">
        <f>IF( AND((COUNTIF(BX$2:BX$33,'Your Team'!$D$3)&gt;0),'Your Team'!$C$3="G" ),1,0)+IF( AND((COUNTIF(BX$2:BX$33,'Your Team'!$D$4)&gt;0),'Your Team'!$C$4="G" ),1,0)+IF( AND((COUNTIF(BX$2:BX$33,'Your Team'!$D$5)&gt;0),'Your Team'!$C$5="G" ),1,0)+IF( AND((COUNTIF(BX$2:BX$33,'Your Team'!$D$6)&gt;0),'Your Team'!$C$6="G" ),1,0)+IF( AND((COUNTIF(BX$2:BX$33,'Your Team'!$D$7)&gt;0),'Your Team'!$C$7="G" ),1,0)+IF( AND((COUNTIF(BX$2:BX$33,'Your Team'!$D$8)&gt;0),'Your Team'!$C$8="G" ),1,0)+IF( AND((COUNTIF(BX$2:BX$33,'Your Team'!$D$9)&gt;0),'Your Team'!$C$9="G" ),1,0)+IF( AND((COUNTIF(BX$2:BX$33,'Your Team'!$D$10)&gt;0),'Your Team'!$C$10="G" ),1,0)+IF( AND((COUNTIF(BX$2:BX$33,'Your Team'!$D$11)&gt;0),'Your Team'!$C$11="G" ),1,0)+IF( AND((COUNTIF(BX$2:BX$33,'Your Team'!$D$12)&gt;0),'Your Team'!$C$12="G" ),1,0)+IF( AND((COUNTIF(BX$2:BX$33,'Your Team'!$D$13)&gt;0),'Your Team'!$C$13="G" ),1,0)+IF( AND((COUNTIF(BX$2:BX$33,'Your Team'!$D$14)&gt;0),'Your Team'!$C$14="G" ),1,0)+IF( AND((COUNTIF(BX$2:BX$33,'Your Team'!$D$15)&gt;0),'Your Team'!$C$15="G" ),1,0)+IF( AND((COUNTIF(BX$2:BX$33,'Your Team'!$D$16)&gt;0),'Your Team'!$C$16="G" ),1,0)+IF( AND((COUNTIF(BX$2:BX$33,'Your Team'!$D$17)&gt;0),'Your Team'!$C$17="G" ),1,0)+IF( AND((COUNTIF(BX$2:BX$33,'Your Team'!$D$18)&gt;0),'Your Team'!$C$18="G" ),1,0)+IF( AND((COUNTIF(BX$2:BX$33,'Your Team'!$D$19)&gt;0),'Your Team'!$C$19="G" ),1,0)</f>
        <v>0</v>
      </c>
      <c r="BY41" s="9">
        <f>IF( AND((COUNTIF(BY$2:BY$33,'Your Team'!$D$3)&gt;0),'Your Team'!$C$3="G" ),1,0)+IF( AND((COUNTIF(BY$2:BY$33,'Your Team'!$D$4)&gt;0),'Your Team'!$C$4="G" ),1,0)+IF( AND((COUNTIF(BY$2:BY$33,'Your Team'!$D$5)&gt;0),'Your Team'!$C$5="G" ),1,0)+IF( AND((COUNTIF(BY$2:BY$33,'Your Team'!$D$6)&gt;0),'Your Team'!$C$6="G" ),1,0)+IF( AND((COUNTIF(BY$2:BY$33,'Your Team'!$D$7)&gt;0),'Your Team'!$C$7="G" ),1,0)+IF( AND((COUNTIF(BY$2:BY$33,'Your Team'!$D$8)&gt;0),'Your Team'!$C$8="G" ),1,0)+IF( AND((COUNTIF(BY$2:BY$33,'Your Team'!$D$9)&gt;0),'Your Team'!$C$9="G" ),1,0)+IF( AND((COUNTIF(BY$2:BY$33,'Your Team'!$D$10)&gt;0),'Your Team'!$C$10="G" ),1,0)+IF( AND((COUNTIF(BY$2:BY$33,'Your Team'!$D$11)&gt;0),'Your Team'!$C$11="G" ),1,0)+IF( AND((COUNTIF(BY$2:BY$33,'Your Team'!$D$12)&gt;0),'Your Team'!$C$12="G" ),1,0)+IF( AND((COUNTIF(BY$2:BY$33,'Your Team'!$D$13)&gt;0),'Your Team'!$C$13="G" ),1,0)+IF( AND((COUNTIF(BY$2:BY$33,'Your Team'!$D$14)&gt;0),'Your Team'!$C$14="G" ),1,0)+IF( AND((COUNTIF(BY$2:BY$33,'Your Team'!$D$15)&gt;0),'Your Team'!$C$15="G" ),1,0)+IF( AND((COUNTIF(BY$2:BY$33,'Your Team'!$D$16)&gt;0),'Your Team'!$C$16="G" ),1,0)+IF( AND((COUNTIF(BY$2:BY$33,'Your Team'!$D$17)&gt;0),'Your Team'!$C$17="G" ),1,0)+IF( AND((COUNTIF(BY$2:BY$33,'Your Team'!$D$18)&gt;0),'Your Team'!$C$18="G" ),1,0)+IF( AND((COUNTIF(BY$2:BY$33,'Your Team'!$D$19)&gt;0),'Your Team'!$C$19="G" ),1,0)</f>
        <v>0</v>
      </c>
      <c r="BZ41" s="9">
        <f>IF( AND((COUNTIF(BZ$2:BZ$33,'Your Team'!$D$3)&gt;0),'Your Team'!$C$3="G" ),1,0)+IF( AND((COUNTIF(BZ$2:BZ$33,'Your Team'!$D$4)&gt;0),'Your Team'!$C$4="G" ),1,0)+IF( AND((COUNTIF(BZ$2:BZ$33,'Your Team'!$D$5)&gt;0),'Your Team'!$C$5="G" ),1,0)+IF( AND((COUNTIF(BZ$2:BZ$33,'Your Team'!$D$6)&gt;0),'Your Team'!$C$6="G" ),1,0)+IF( AND((COUNTIF(BZ$2:BZ$33,'Your Team'!$D$7)&gt;0),'Your Team'!$C$7="G" ),1,0)+IF( AND((COUNTIF(BZ$2:BZ$33,'Your Team'!$D$8)&gt;0),'Your Team'!$C$8="G" ),1,0)+IF( AND((COUNTIF(BZ$2:BZ$33,'Your Team'!$D$9)&gt;0),'Your Team'!$C$9="G" ),1,0)+IF( AND((COUNTIF(BZ$2:BZ$33,'Your Team'!$D$10)&gt;0),'Your Team'!$C$10="G" ),1,0)+IF( AND((COUNTIF(BZ$2:BZ$33,'Your Team'!$D$11)&gt;0),'Your Team'!$C$11="G" ),1,0)+IF( AND((COUNTIF(BZ$2:BZ$33,'Your Team'!$D$12)&gt;0),'Your Team'!$C$12="G" ),1,0)+IF( AND((COUNTIF(BZ$2:BZ$33,'Your Team'!$D$13)&gt;0),'Your Team'!$C$13="G" ),1,0)+IF( AND((COUNTIF(BZ$2:BZ$33,'Your Team'!$D$14)&gt;0),'Your Team'!$C$14="G" ),1,0)+IF( AND((COUNTIF(BZ$2:BZ$33,'Your Team'!$D$15)&gt;0),'Your Team'!$C$15="G" ),1,0)+IF( AND((COUNTIF(BZ$2:BZ$33,'Your Team'!$D$16)&gt;0),'Your Team'!$C$16="G" ),1,0)+IF( AND((COUNTIF(BZ$2:BZ$33,'Your Team'!$D$17)&gt;0),'Your Team'!$C$17="G" ),1,0)+IF( AND((COUNTIF(BZ$2:BZ$33,'Your Team'!$D$18)&gt;0),'Your Team'!$C$18="G" ),1,0)+IF( AND((COUNTIF(BZ$2:BZ$33,'Your Team'!$D$19)&gt;0),'Your Team'!$C$19="G" ),1,0)</f>
        <v>0</v>
      </c>
      <c r="CA41" s="9">
        <f>IF( AND((COUNTIF(CA$2:CA$33,'Your Team'!$D$3)&gt;0),'Your Team'!$C$3="G" ),1,0)+IF( AND((COUNTIF(CA$2:CA$33,'Your Team'!$D$4)&gt;0),'Your Team'!$C$4="G" ),1,0)+IF( AND((COUNTIF(CA$2:CA$33,'Your Team'!$D$5)&gt;0),'Your Team'!$C$5="G" ),1,0)+IF( AND((COUNTIF(CA$2:CA$33,'Your Team'!$D$6)&gt;0),'Your Team'!$C$6="G" ),1,0)+IF( AND((COUNTIF(CA$2:CA$33,'Your Team'!$D$7)&gt;0),'Your Team'!$C$7="G" ),1,0)+IF( AND((COUNTIF(CA$2:CA$33,'Your Team'!$D$8)&gt;0),'Your Team'!$C$8="G" ),1,0)+IF( AND((COUNTIF(CA$2:CA$33,'Your Team'!$D$9)&gt;0),'Your Team'!$C$9="G" ),1,0)+IF( AND((COUNTIF(CA$2:CA$33,'Your Team'!$D$10)&gt;0),'Your Team'!$C$10="G" ),1,0)+IF( AND((COUNTIF(CA$2:CA$33,'Your Team'!$D$11)&gt;0),'Your Team'!$C$11="G" ),1,0)+IF( AND((COUNTIF(CA$2:CA$33,'Your Team'!$D$12)&gt;0),'Your Team'!$C$12="G" ),1,0)+IF( AND((COUNTIF(CA$2:CA$33,'Your Team'!$D$13)&gt;0),'Your Team'!$C$13="G" ),1,0)+IF( AND((COUNTIF(CA$2:CA$33,'Your Team'!$D$14)&gt;0),'Your Team'!$C$14="G" ),1,0)+IF( AND((COUNTIF(CA$2:CA$33,'Your Team'!$D$15)&gt;0),'Your Team'!$C$15="G" ),1,0)+IF( AND((COUNTIF(CA$2:CA$33,'Your Team'!$D$16)&gt;0),'Your Team'!$C$16="G" ),1,0)+IF( AND((COUNTIF(CA$2:CA$33,'Your Team'!$D$17)&gt;0),'Your Team'!$C$17="G" ),1,0)+IF( AND((COUNTIF(CA$2:CA$33,'Your Team'!$D$18)&gt;0),'Your Team'!$C$18="G" ),1,0)+IF( AND((COUNTIF(CA$2:CA$33,'Your Team'!$D$19)&gt;0),'Your Team'!$C$19="G" ),1,0)</f>
        <v>0</v>
      </c>
      <c r="CB41" s="9">
        <f>IF( AND((COUNTIF(CB$2:CB$33,'Your Team'!$D$3)&gt;0),'Your Team'!$C$3="G" ),1,0)+IF( AND((COUNTIF(CB$2:CB$33,'Your Team'!$D$4)&gt;0),'Your Team'!$C$4="G" ),1,0)+IF( AND((COUNTIF(CB$2:CB$33,'Your Team'!$D$5)&gt;0),'Your Team'!$C$5="G" ),1,0)+IF( AND((COUNTIF(CB$2:CB$33,'Your Team'!$D$6)&gt;0),'Your Team'!$C$6="G" ),1,0)+IF( AND((COUNTIF(CB$2:CB$33,'Your Team'!$D$7)&gt;0),'Your Team'!$C$7="G" ),1,0)+IF( AND((COUNTIF(CB$2:CB$33,'Your Team'!$D$8)&gt;0),'Your Team'!$C$8="G" ),1,0)+IF( AND((COUNTIF(CB$2:CB$33,'Your Team'!$D$9)&gt;0),'Your Team'!$C$9="G" ),1,0)+IF( AND((COUNTIF(CB$2:CB$33,'Your Team'!$D$10)&gt;0),'Your Team'!$C$10="G" ),1,0)+IF( AND((COUNTIF(CB$2:CB$33,'Your Team'!$D$11)&gt;0),'Your Team'!$C$11="G" ),1,0)+IF( AND((COUNTIF(CB$2:CB$33,'Your Team'!$D$12)&gt;0),'Your Team'!$C$12="G" ),1,0)+IF( AND((COUNTIF(CB$2:CB$33,'Your Team'!$D$13)&gt;0),'Your Team'!$C$13="G" ),1,0)+IF( AND((COUNTIF(CB$2:CB$33,'Your Team'!$D$14)&gt;0),'Your Team'!$C$14="G" ),1,0)+IF( AND((COUNTIF(CB$2:CB$33,'Your Team'!$D$15)&gt;0),'Your Team'!$C$15="G" ),1,0)+IF( AND((COUNTIF(CB$2:CB$33,'Your Team'!$D$16)&gt;0),'Your Team'!$C$16="G" ),1,0)+IF( AND((COUNTIF(CB$2:CB$33,'Your Team'!$D$17)&gt;0),'Your Team'!$C$17="G" ),1,0)+IF( AND((COUNTIF(CB$2:CB$33,'Your Team'!$D$18)&gt;0),'Your Team'!$C$18="G" ),1,0)+IF( AND((COUNTIF(CB$2:CB$33,'Your Team'!$D$19)&gt;0),'Your Team'!$C$19="G" ),1,0)</f>
        <v>0</v>
      </c>
      <c r="CC41" s="9">
        <f>IF( AND((COUNTIF(CC$2:CC$33,'Your Team'!$D$3)&gt;0),'Your Team'!$C$3="G" ),1,0)+IF( AND((COUNTIF(CC$2:CC$33,'Your Team'!$D$4)&gt;0),'Your Team'!$C$4="G" ),1,0)+IF( AND((COUNTIF(CC$2:CC$33,'Your Team'!$D$5)&gt;0),'Your Team'!$C$5="G" ),1,0)+IF( AND((COUNTIF(CC$2:CC$33,'Your Team'!$D$6)&gt;0),'Your Team'!$C$6="G" ),1,0)+IF( AND((COUNTIF(CC$2:CC$33,'Your Team'!$D$7)&gt;0),'Your Team'!$C$7="G" ),1,0)+IF( AND((COUNTIF(CC$2:CC$33,'Your Team'!$D$8)&gt;0),'Your Team'!$C$8="G" ),1,0)+IF( AND((COUNTIF(CC$2:CC$33,'Your Team'!$D$9)&gt;0),'Your Team'!$C$9="G" ),1,0)+IF( AND((COUNTIF(CC$2:CC$33,'Your Team'!$D$10)&gt;0),'Your Team'!$C$10="G" ),1,0)+IF( AND((COUNTIF(CC$2:CC$33,'Your Team'!$D$11)&gt;0),'Your Team'!$C$11="G" ),1,0)+IF( AND((COUNTIF(CC$2:CC$33,'Your Team'!$D$12)&gt;0),'Your Team'!$C$12="G" ),1,0)+IF( AND((COUNTIF(CC$2:CC$33,'Your Team'!$D$13)&gt;0),'Your Team'!$C$13="G" ),1,0)+IF( AND((COUNTIF(CC$2:CC$33,'Your Team'!$D$14)&gt;0),'Your Team'!$C$14="G" ),1,0)+IF( AND((COUNTIF(CC$2:CC$33,'Your Team'!$D$15)&gt;0),'Your Team'!$C$15="G" ),1,0)+IF( AND((COUNTIF(CC$2:CC$33,'Your Team'!$D$16)&gt;0),'Your Team'!$C$16="G" ),1,0)+IF( AND((COUNTIF(CC$2:CC$33,'Your Team'!$D$17)&gt;0),'Your Team'!$C$17="G" ),1,0)+IF( AND((COUNTIF(CC$2:CC$33,'Your Team'!$D$18)&gt;0),'Your Team'!$C$18="G" ),1,0)+IF( AND((COUNTIF(CC$2:CC$33,'Your Team'!$D$19)&gt;0),'Your Team'!$C$19="G" ),1,0)</f>
        <v>0</v>
      </c>
      <c r="CD41" s="9">
        <f>IF( AND((COUNTIF(CD$2:CD$33,'Your Team'!$D$3)&gt;0),'Your Team'!$C$3="G" ),1,0)+IF( AND((COUNTIF(CD$2:CD$33,'Your Team'!$D$4)&gt;0),'Your Team'!$C$4="G" ),1,0)+IF( AND((COUNTIF(CD$2:CD$33,'Your Team'!$D$5)&gt;0),'Your Team'!$C$5="G" ),1,0)+IF( AND((COUNTIF(CD$2:CD$33,'Your Team'!$D$6)&gt;0),'Your Team'!$C$6="G" ),1,0)+IF( AND((COUNTIF(CD$2:CD$33,'Your Team'!$D$7)&gt;0),'Your Team'!$C$7="G" ),1,0)+IF( AND((COUNTIF(CD$2:CD$33,'Your Team'!$D$8)&gt;0),'Your Team'!$C$8="G" ),1,0)+IF( AND((COUNTIF(CD$2:CD$33,'Your Team'!$D$9)&gt;0),'Your Team'!$C$9="G" ),1,0)+IF( AND((COUNTIF(CD$2:CD$33,'Your Team'!$D$10)&gt;0),'Your Team'!$C$10="G" ),1,0)+IF( AND((COUNTIF(CD$2:CD$33,'Your Team'!$D$11)&gt;0),'Your Team'!$C$11="G" ),1,0)+IF( AND((COUNTIF(CD$2:CD$33,'Your Team'!$D$12)&gt;0),'Your Team'!$C$12="G" ),1,0)+IF( AND((COUNTIF(CD$2:CD$33,'Your Team'!$D$13)&gt;0),'Your Team'!$C$13="G" ),1,0)+IF( AND((COUNTIF(CD$2:CD$33,'Your Team'!$D$14)&gt;0),'Your Team'!$C$14="G" ),1,0)+IF( AND((COUNTIF(CD$2:CD$33,'Your Team'!$D$15)&gt;0),'Your Team'!$C$15="G" ),1,0)+IF( AND((COUNTIF(CD$2:CD$33,'Your Team'!$D$16)&gt;0),'Your Team'!$C$16="G" ),1,0)+IF( AND((COUNTIF(CD$2:CD$33,'Your Team'!$D$17)&gt;0),'Your Team'!$C$17="G" ),1,0)+IF( AND((COUNTIF(CD$2:CD$33,'Your Team'!$D$18)&gt;0),'Your Team'!$C$18="G" ),1,0)+IF( AND((COUNTIF(CD$2:CD$33,'Your Team'!$D$19)&gt;0),'Your Team'!$C$19="G" ),1,0)</f>
        <v>0</v>
      </c>
      <c r="CE41" s="9">
        <f>IF( AND((COUNTIF(CE$2:CE$33,'Your Team'!$D$3)&gt;0),'Your Team'!$C$3="G" ),1,0)+IF( AND((COUNTIF(CE$2:CE$33,'Your Team'!$D$4)&gt;0),'Your Team'!$C$4="G" ),1,0)+IF( AND((COUNTIF(CE$2:CE$33,'Your Team'!$D$5)&gt;0),'Your Team'!$C$5="G" ),1,0)+IF( AND((COUNTIF(CE$2:CE$33,'Your Team'!$D$6)&gt;0),'Your Team'!$C$6="G" ),1,0)+IF( AND((COUNTIF(CE$2:CE$33,'Your Team'!$D$7)&gt;0),'Your Team'!$C$7="G" ),1,0)+IF( AND((COUNTIF(CE$2:CE$33,'Your Team'!$D$8)&gt;0),'Your Team'!$C$8="G" ),1,0)+IF( AND((COUNTIF(CE$2:CE$33,'Your Team'!$D$9)&gt;0),'Your Team'!$C$9="G" ),1,0)+IF( AND((COUNTIF(CE$2:CE$33,'Your Team'!$D$10)&gt;0),'Your Team'!$C$10="G" ),1,0)+IF( AND((COUNTIF(CE$2:CE$33,'Your Team'!$D$11)&gt;0),'Your Team'!$C$11="G" ),1,0)+IF( AND((COUNTIF(CE$2:CE$33,'Your Team'!$D$12)&gt;0),'Your Team'!$C$12="G" ),1,0)+IF( AND((COUNTIF(CE$2:CE$33,'Your Team'!$D$13)&gt;0),'Your Team'!$C$13="G" ),1,0)+IF( AND((COUNTIF(CE$2:CE$33,'Your Team'!$D$14)&gt;0),'Your Team'!$C$14="G" ),1,0)+IF( AND((COUNTIF(CE$2:CE$33,'Your Team'!$D$15)&gt;0),'Your Team'!$C$15="G" ),1,0)+IF( AND((COUNTIF(CE$2:CE$33,'Your Team'!$D$16)&gt;0),'Your Team'!$C$16="G" ),1,0)+IF( AND((COUNTIF(CE$2:CE$33,'Your Team'!$D$17)&gt;0),'Your Team'!$C$17="G" ),1,0)+IF( AND((COUNTIF(CE$2:CE$33,'Your Team'!$D$18)&gt;0),'Your Team'!$C$18="G" ),1,0)+IF( AND((COUNTIF(CE$2:CE$33,'Your Team'!$D$19)&gt;0),'Your Team'!$C$19="G" ),1,0)</f>
        <v>0</v>
      </c>
      <c r="CF41" s="9">
        <f>IF( AND((COUNTIF(CF$2:CF$33,'Your Team'!$D$3)&gt;0),'Your Team'!$C$3="G" ),1,0)+IF( AND((COUNTIF(CF$2:CF$33,'Your Team'!$D$4)&gt;0),'Your Team'!$C$4="G" ),1,0)+IF( AND((COUNTIF(CF$2:CF$33,'Your Team'!$D$5)&gt;0),'Your Team'!$C$5="G" ),1,0)+IF( AND((COUNTIF(CF$2:CF$33,'Your Team'!$D$6)&gt;0),'Your Team'!$C$6="G" ),1,0)+IF( AND((COUNTIF(CF$2:CF$33,'Your Team'!$D$7)&gt;0),'Your Team'!$C$7="G" ),1,0)+IF( AND((COUNTIF(CF$2:CF$33,'Your Team'!$D$8)&gt;0),'Your Team'!$C$8="G" ),1,0)+IF( AND((COUNTIF(CF$2:CF$33,'Your Team'!$D$9)&gt;0),'Your Team'!$C$9="G" ),1,0)+IF( AND((COUNTIF(CF$2:CF$33,'Your Team'!$D$10)&gt;0),'Your Team'!$C$10="G" ),1,0)+IF( AND((COUNTIF(CF$2:CF$33,'Your Team'!$D$11)&gt;0),'Your Team'!$C$11="G" ),1,0)+IF( AND((COUNTIF(CF$2:CF$33,'Your Team'!$D$12)&gt;0),'Your Team'!$C$12="G" ),1,0)+IF( AND((COUNTIF(CF$2:CF$33,'Your Team'!$D$13)&gt;0),'Your Team'!$C$13="G" ),1,0)+IF( AND((COUNTIF(CF$2:CF$33,'Your Team'!$D$14)&gt;0),'Your Team'!$C$14="G" ),1,0)+IF( AND((COUNTIF(CF$2:CF$33,'Your Team'!$D$15)&gt;0),'Your Team'!$C$15="G" ),1,0)+IF( AND((COUNTIF(CF$2:CF$33,'Your Team'!$D$16)&gt;0),'Your Team'!$C$16="G" ),1,0)+IF( AND((COUNTIF(CF$2:CF$33,'Your Team'!$D$17)&gt;0),'Your Team'!$C$17="G" ),1,0)+IF( AND((COUNTIF(CF$2:CF$33,'Your Team'!$D$18)&gt;0),'Your Team'!$C$18="G" ),1,0)+IF( AND((COUNTIF(CF$2:CF$33,'Your Team'!$D$19)&gt;0),'Your Team'!$C$19="G" ),1,0)</f>
        <v>0</v>
      </c>
      <c r="CG41" s="9">
        <f>IF( AND((COUNTIF(CG$2:CG$33,'Your Team'!$D$3)&gt;0),'Your Team'!$C$3="G" ),1,0)+IF( AND((COUNTIF(CG$2:CG$33,'Your Team'!$D$4)&gt;0),'Your Team'!$C$4="G" ),1,0)+IF( AND((COUNTIF(CG$2:CG$33,'Your Team'!$D$5)&gt;0),'Your Team'!$C$5="G" ),1,0)+IF( AND((COUNTIF(CG$2:CG$33,'Your Team'!$D$6)&gt;0),'Your Team'!$C$6="G" ),1,0)+IF( AND((COUNTIF(CG$2:CG$33,'Your Team'!$D$7)&gt;0),'Your Team'!$C$7="G" ),1,0)+IF( AND((COUNTIF(CG$2:CG$33,'Your Team'!$D$8)&gt;0),'Your Team'!$C$8="G" ),1,0)+IF( AND((COUNTIF(CG$2:CG$33,'Your Team'!$D$9)&gt;0),'Your Team'!$C$9="G" ),1,0)+IF( AND((COUNTIF(CG$2:CG$33,'Your Team'!$D$10)&gt;0),'Your Team'!$C$10="G" ),1,0)+IF( AND((COUNTIF(CG$2:CG$33,'Your Team'!$D$11)&gt;0),'Your Team'!$C$11="G" ),1,0)+IF( AND((COUNTIF(CG$2:CG$33,'Your Team'!$D$12)&gt;0),'Your Team'!$C$12="G" ),1,0)+IF( AND((COUNTIF(CG$2:CG$33,'Your Team'!$D$13)&gt;0),'Your Team'!$C$13="G" ),1,0)+IF( AND((COUNTIF(CG$2:CG$33,'Your Team'!$D$14)&gt;0),'Your Team'!$C$14="G" ),1,0)+IF( AND((COUNTIF(CG$2:CG$33,'Your Team'!$D$15)&gt;0),'Your Team'!$C$15="G" ),1,0)+IF( AND((COUNTIF(CG$2:CG$33,'Your Team'!$D$16)&gt;0),'Your Team'!$C$16="G" ),1,0)+IF( AND((COUNTIF(CG$2:CG$33,'Your Team'!$D$17)&gt;0),'Your Team'!$C$17="G" ),1,0)+IF( AND((COUNTIF(CG$2:CG$33,'Your Team'!$D$18)&gt;0),'Your Team'!$C$18="G" ),1,0)+IF( AND((COUNTIF(CG$2:CG$33,'Your Team'!$D$19)&gt;0),'Your Team'!$C$19="G" ),1,0)</f>
        <v>0</v>
      </c>
      <c r="CH41" s="9">
        <f>IF( AND((COUNTIF(CH$2:CH$33,'Your Team'!$D$3)&gt;0),'Your Team'!$C$3="G" ),1,0)+IF( AND((COUNTIF(CH$2:CH$33,'Your Team'!$D$4)&gt;0),'Your Team'!$C$4="G" ),1,0)+IF( AND((COUNTIF(CH$2:CH$33,'Your Team'!$D$5)&gt;0),'Your Team'!$C$5="G" ),1,0)+IF( AND((COUNTIF(CH$2:CH$33,'Your Team'!$D$6)&gt;0),'Your Team'!$C$6="G" ),1,0)+IF( AND((COUNTIF(CH$2:CH$33,'Your Team'!$D$7)&gt;0),'Your Team'!$C$7="G" ),1,0)+IF( AND((COUNTIF(CH$2:CH$33,'Your Team'!$D$8)&gt;0),'Your Team'!$C$8="G" ),1,0)+IF( AND((COUNTIF(CH$2:CH$33,'Your Team'!$D$9)&gt;0),'Your Team'!$C$9="G" ),1,0)+IF( AND((COUNTIF(CH$2:CH$33,'Your Team'!$D$10)&gt;0),'Your Team'!$C$10="G" ),1,0)+IF( AND((COUNTIF(CH$2:CH$33,'Your Team'!$D$11)&gt;0),'Your Team'!$C$11="G" ),1,0)+IF( AND((COUNTIF(CH$2:CH$33,'Your Team'!$D$12)&gt;0),'Your Team'!$C$12="G" ),1,0)+IF( AND((COUNTIF(CH$2:CH$33,'Your Team'!$D$13)&gt;0),'Your Team'!$C$13="G" ),1,0)+IF( AND((COUNTIF(CH$2:CH$33,'Your Team'!$D$14)&gt;0),'Your Team'!$C$14="G" ),1,0)+IF( AND((COUNTIF(CH$2:CH$33,'Your Team'!$D$15)&gt;0),'Your Team'!$C$15="G" ),1,0)+IF( AND((COUNTIF(CH$2:CH$33,'Your Team'!$D$16)&gt;0),'Your Team'!$C$16="G" ),1,0)+IF( AND((COUNTIF(CH$2:CH$33,'Your Team'!$D$17)&gt;0),'Your Team'!$C$17="G" ),1,0)+IF( AND((COUNTIF(CH$2:CH$33,'Your Team'!$D$18)&gt;0),'Your Team'!$C$18="G" ),1,0)+IF( AND((COUNTIF(CH$2:CH$33,'Your Team'!$D$19)&gt;0),'Your Team'!$C$19="G" ),1,0)</f>
        <v>0</v>
      </c>
      <c r="CI41" s="9">
        <f>IF( AND((COUNTIF(CI$2:CI$33,'Your Team'!$D$3)&gt;0),'Your Team'!$C$3="G" ),1,0)+IF( AND((COUNTIF(CI$2:CI$33,'Your Team'!$D$4)&gt;0),'Your Team'!$C$4="G" ),1,0)+IF( AND((COUNTIF(CI$2:CI$33,'Your Team'!$D$5)&gt;0),'Your Team'!$C$5="G" ),1,0)+IF( AND((COUNTIF(CI$2:CI$33,'Your Team'!$D$6)&gt;0),'Your Team'!$C$6="G" ),1,0)+IF( AND((COUNTIF(CI$2:CI$33,'Your Team'!$D$7)&gt;0),'Your Team'!$C$7="G" ),1,0)+IF( AND((COUNTIF(CI$2:CI$33,'Your Team'!$D$8)&gt;0),'Your Team'!$C$8="G" ),1,0)+IF( AND((COUNTIF(CI$2:CI$33,'Your Team'!$D$9)&gt;0),'Your Team'!$C$9="G" ),1,0)+IF( AND((COUNTIF(CI$2:CI$33,'Your Team'!$D$10)&gt;0),'Your Team'!$C$10="G" ),1,0)+IF( AND((COUNTIF(CI$2:CI$33,'Your Team'!$D$11)&gt;0),'Your Team'!$C$11="G" ),1,0)+IF( AND((COUNTIF(CI$2:CI$33,'Your Team'!$D$12)&gt;0),'Your Team'!$C$12="G" ),1,0)+IF( AND((COUNTIF(CI$2:CI$33,'Your Team'!$D$13)&gt;0),'Your Team'!$C$13="G" ),1,0)+IF( AND((COUNTIF(CI$2:CI$33,'Your Team'!$D$14)&gt;0),'Your Team'!$C$14="G" ),1,0)+IF( AND((COUNTIF(CI$2:CI$33,'Your Team'!$D$15)&gt;0),'Your Team'!$C$15="G" ),1,0)+IF( AND((COUNTIF(CI$2:CI$33,'Your Team'!$D$16)&gt;0),'Your Team'!$C$16="G" ),1,0)+IF( AND((COUNTIF(CI$2:CI$33,'Your Team'!$D$17)&gt;0),'Your Team'!$C$17="G" ),1,0)+IF( AND((COUNTIF(CI$2:CI$33,'Your Team'!$D$18)&gt;0),'Your Team'!$C$18="G" ),1,0)+IF( AND((COUNTIF(CI$2:CI$33,'Your Team'!$D$19)&gt;0),'Your Team'!$C$19="G" ),1,0)</f>
        <v>0</v>
      </c>
      <c r="CJ41" s="9">
        <f>IF( AND((COUNTIF(CJ$2:CJ$33,'Your Team'!$D$3)&gt;0),'Your Team'!$C$3="G" ),1,0)+IF( AND((COUNTIF(CJ$2:CJ$33,'Your Team'!$D$4)&gt;0),'Your Team'!$C$4="G" ),1,0)+IF( AND((COUNTIF(CJ$2:CJ$33,'Your Team'!$D$5)&gt;0),'Your Team'!$C$5="G" ),1,0)+IF( AND((COUNTIF(CJ$2:CJ$33,'Your Team'!$D$6)&gt;0),'Your Team'!$C$6="G" ),1,0)+IF( AND((COUNTIF(CJ$2:CJ$33,'Your Team'!$D$7)&gt;0),'Your Team'!$C$7="G" ),1,0)+IF( AND((COUNTIF(CJ$2:CJ$33,'Your Team'!$D$8)&gt;0),'Your Team'!$C$8="G" ),1,0)+IF( AND((COUNTIF(CJ$2:CJ$33,'Your Team'!$D$9)&gt;0),'Your Team'!$C$9="G" ),1,0)+IF( AND((COUNTIF(CJ$2:CJ$33,'Your Team'!$D$10)&gt;0),'Your Team'!$C$10="G" ),1,0)+IF( AND((COUNTIF(CJ$2:CJ$33,'Your Team'!$D$11)&gt;0),'Your Team'!$C$11="G" ),1,0)+IF( AND((COUNTIF(CJ$2:CJ$33,'Your Team'!$D$12)&gt;0),'Your Team'!$C$12="G" ),1,0)+IF( AND((COUNTIF(CJ$2:CJ$33,'Your Team'!$D$13)&gt;0),'Your Team'!$C$13="G" ),1,0)+IF( AND((COUNTIF(CJ$2:CJ$33,'Your Team'!$D$14)&gt;0),'Your Team'!$C$14="G" ),1,0)+IF( AND((COUNTIF(CJ$2:CJ$33,'Your Team'!$D$15)&gt;0),'Your Team'!$C$15="G" ),1,0)+IF( AND((COUNTIF(CJ$2:CJ$33,'Your Team'!$D$16)&gt;0),'Your Team'!$C$16="G" ),1,0)+IF( AND((COUNTIF(CJ$2:CJ$33,'Your Team'!$D$17)&gt;0),'Your Team'!$C$17="G" ),1,0)+IF( AND((COUNTIF(CJ$2:CJ$33,'Your Team'!$D$18)&gt;0),'Your Team'!$C$18="G" ),1,0)+IF( AND((COUNTIF(CJ$2:CJ$33,'Your Team'!$D$19)&gt;0),'Your Team'!$C$19="G" ),1,0)</f>
        <v>0</v>
      </c>
      <c r="CK41" s="9">
        <f>IF( AND((COUNTIF(CK$2:CK$33,'Your Team'!$D$3)&gt;0),'Your Team'!$C$3="G" ),1,0)+IF( AND((COUNTIF(CK$2:CK$33,'Your Team'!$D$4)&gt;0),'Your Team'!$C$4="G" ),1,0)+IF( AND((COUNTIF(CK$2:CK$33,'Your Team'!$D$5)&gt;0),'Your Team'!$C$5="G" ),1,0)+IF( AND((COUNTIF(CK$2:CK$33,'Your Team'!$D$6)&gt;0),'Your Team'!$C$6="G" ),1,0)+IF( AND((COUNTIF(CK$2:CK$33,'Your Team'!$D$7)&gt;0),'Your Team'!$C$7="G" ),1,0)+IF( AND((COUNTIF(CK$2:CK$33,'Your Team'!$D$8)&gt;0),'Your Team'!$C$8="G" ),1,0)+IF( AND((COUNTIF(CK$2:CK$33,'Your Team'!$D$9)&gt;0),'Your Team'!$C$9="G" ),1,0)+IF( AND((COUNTIF(CK$2:CK$33,'Your Team'!$D$10)&gt;0),'Your Team'!$C$10="G" ),1,0)+IF( AND((COUNTIF(CK$2:CK$33,'Your Team'!$D$11)&gt;0),'Your Team'!$C$11="G" ),1,0)+IF( AND((COUNTIF(CK$2:CK$33,'Your Team'!$D$12)&gt;0),'Your Team'!$C$12="G" ),1,0)+IF( AND((COUNTIF(CK$2:CK$33,'Your Team'!$D$13)&gt;0),'Your Team'!$C$13="G" ),1,0)+IF( AND((COUNTIF(CK$2:CK$33,'Your Team'!$D$14)&gt;0),'Your Team'!$C$14="G" ),1,0)+IF( AND((COUNTIF(CK$2:CK$33,'Your Team'!$D$15)&gt;0),'Your Team'!$C$15="G" ),1,0)+IF( AND((COUNTIF(CK$2:CK$33,'Your Team'!$D$16)&gt;0),'Your Team'!$C$16="G" ),1,0)+IF( AND((COUNTIF(CK$2:CK$33,'Your Team'!$D$17)&gt;0),'Your Team'!$C$17="G" ),1,0)+IF( AND((COUNTIF(CK$2:CK$33,'Your Team'!$D$18)&gt;0),'Your Team'!$C$18="G" ),1,0)+IF( AND((COUNTIF(CK$2:CK$33,'Your Team'!$D$19)&gt;0),'Your Team'!$C$19="G" ),1,0)</f>
        <v>0</v>
      </c>
      <c r="CL41" s="9">
        <f>IF( AND((COUNTIF(CL$2:CL$33,'Your Team'!$D$3)&gt;0),'Your Team'!$C$3="G" ),1,0)+IF( AND((COUNTIF(CL$2:CL$33,'Your Team'!$D$4)&gt;0),'Your Team'!$C$4="G" ),1,0)+IF( AND((COUNTIF(CL$2:CL$33,'Your Team'!$D$5)&gt;0),'Your Team'!$C$5="G" ),1,0)+IF( AND((COUNTIF(CL$2:CL$33,'Your Team'!$D$6)&gt;0),'Your Team'!$C$6="G" ),1,0)+IF( AND((COUNTIF(CL$2:CL$33,'Your Team'!$D$7)&gt;0),'Your Team'!$C$7="G" ),1,0)+IF( AND((COUNTIF(CL$2:CL$33,'Your Team'!$D$8)&gt;0),'Your Team'!$C$8="G" ),1,0)+IF( AND((COUNTIF(CL$2:CL$33,'Your Team'!$D$9)&gt;0),'Your Team'!$C$9="G" ),1,0)+IF( AND((COUNTIF(CL$2:CL$33,'Your Team'!$D$10)&gt;0),'Your Team'!$C$10="G" ),1,0)+IF( AND((COUNTIF(CL$2:CL$33,'Your Team'!$D$11)&gt;0),'Your Team'!$C$11="G" ),1,0)+IF( AND((COUNTIF(CL$2:CL$33,'Your Team'!$D$12)&gt;0),'Your Team'!$C$12="G" ),1,0)+IF( AND((COUNTIF(CL$2:CL$33,'Your Team'!$D$13)&gt;0),'Your Team'!$C$13="G" ),1,0)+IF( AND((COUNTIF(CL$2:CL$33,'Your Team'!$D$14)&gt;0),'Your Team'!$C$14="G" ),1,0)+IF( AND((COUNTIF(CL$2:CL$33,'Your Team'!$D$15)&gt;0),'Your Team'!$C$15="G" ),1,0)+IF( AND((COUNTIF(CL$2:CL$33,'Your Team'!$D$16)&gt;0),'Your Team'!$C$16="G" ),1,0)+IF( AND((COUNTIF(CL$2:CL$33,'Your Team'!$D$17)&gt;0),'Your Team'!$C$17="G" ),1,0)+IF( AND((COUNTIF(CL$2:CL$33,'Your Team'!$D$18)&gt;0),'Your Team'!$C$18="G" ),1,0)+IF( AND((COUNTIF(CL$2:CL$33,'Your Team'!$D$19)&gt;0),'Your Team'!$C$19="G" ),1,0)</f>
        <v>0</v>
      </c>
      <c r="CM41" s="9">
        <f>IF( AND((COUNTIF(CM$2:CM$33,'Your Team'!$D$3)&gt;0),'Your Team'!$C$3="G" ),1,0)+IF( AND((COUNTIF(CM$2:CM$33,'Your Team'!$D$4)&gt;0),'Your Team'!$C$4="G" ),1,0)+IF( AND((COUNTIF(CM$2:CM$33,'Your Team'!$D$5)&gt;0),'Your Team'!$C$5="G" ),1,0)+IF( AND((COUNTIF(CM$2:CM$33,'Your Team'!$D$6)&gt;0),'Your Team'!$C$6="G" ),1,0)+IF( AND((COUNTIF(CM$2:CM$33,'Your Team'!$D$7)&gt;0),'Your Team'!$C$7="G" ),1,0)+IF( AND((COUNTIF(CM$2:CM$33,'Your Team'!$D$8)&gt;0),'Your Team'!$C$8="G" ),1,0)+IF( AND((COUNTIF(CM$2:CM$33,'Your Team'!$D$9)&gt;0),'Your Team'!$C$9="G" ),1,0)+IF( AND((COUNTIF(CM$2:CM$33,'Your Team'!$D$10)&gt;0),'Your Team'!$C$10="G" ),1,0)+IF( AND((COUNTIF(CM$2:CM$33,'Your Team'!$D$11)&gt;0),'Your Team'!$C$11="G" ),1,0)+IF( AND((COUNTIF(CM$2:CM$33,'Your Team'!$D$12)&gt;0),'Your Team'!$C$12="G" ),1,0)+IF( AND((COUNTIF(CM$2:CM$33,'Your Team'!$D$13)&gt;0),'Your Team'!$C$13="G" ),1,0)+IF( AND((COUNTIF(CM$2:CM$33,'Your Team'!$D$14)&gt;0),'Your Team'!$C$14="G" ),1,0)+IF( AND((COUNTIF(CM$2:CM$33,'Your Team'!$D$15)&gt;0),'Your Team'!$C$15="G" ),1,0)+IF( AND((COUNTIF(CM$2:CM$33,'Your Team'!$D$16)&gt;0),'Your Team'!$C$16="G" ),1,0)+IF( AND((COUNTIF(CM$2:CM$33,'Your Team'!$D$17)&gt;0),'Your Team'!$C$17="G" ),1,0)+IF( AND((COUNTIF(CM$2:CM$33,'Your Team'!$D$18)&gt;0),'Your Team'!$C$18="G" ),1,0)+IF( AND((COUNTIF(CM$2:CM$33,'Your Team'!$D$19)&gt;0),'Your Team'!$C$19="G" ),1,0)</f>
        <v>0</v>
      </c>
      <c r="CN41" s="9">
        <f>IF( AND((COUNTIF(CN$2:CN$33,'Your Team'!$D$3)&gt;0),'Your Team'!$C$3="G" ),1,0)+IF( AND((COUNTIF(CN$2:CN$33,'Your Team'!$D$4)&gt;0),'Your Team'!$C$4="G" ),1,0)+IF( AND((COUNTIF(CN$2:CN$33,'Your Team'!$D$5)&gt;0),'Your Team'!$C$5="G" ),1,0)+IF( AND((COUNTIF(CN$2:CN$33,'Your Team'!$D$6)&gt;0),'Your Team'!$C$6="G" ),1,0)+IF( AND((COUNTIF(CN$2:CN$33,'Your Team'!$D$7)&gt;0),'Your Team'!$C$7="G" ),1,0)+IF( AND((COUNTIF(CN$2:CN$33,'Your Team'!$D$8)&gt;0),'Your Team'!$C$8="G" ),1,0)+IF( AND((COUNTIF(CN$2:CN$33,'Your Team'!$D$9)&gt;0),'Your Team'!$C$9="G" ),1,0)+IF( AND((COUNTIF(CN$2:CN$33,'Your Team'!$D$10)&gt;0),'Your Team'!$C$10="G" ),1,0)+IF( AND((COUNTIF(CN$2:CN$33,'Your Team'!$D$11)&gt;0),'Your Team'!$C$11="G" ),1,0)+IF( AND((COUNTIF(CN$2:CN$33,'Your Team'!$D$12)&gt;0),'Your Team'!$C$12="G" ),1,0)+IF( AND((COUNTIF(CN$2:CN$33,'Your Team'!$D$13)&gt;0),'Your Team'!$C$13="G" ),1,0)+IF( AND((COUNTIF(CN$2:CN$33,'Your Team'!$D$14)&gt;0),'Your Team'!$C$14="G" ),1,0)+IF( AND((COUNTIF(CN$2:CN$33,'Your Team'!$D$15)&gt;0),'Your Team'!$C$15="G" ),1,0)+IF( AND((COUNTIF(CN$2:CN$33,'Your Team'!$D$16)&gt;0),'Your Team'!$C$16="G" ),1,0)+IF( AND((COUNTIF(CN$2:CN$33,'Your Team'!$D$17)&gt;0),'Your Team'!$C$17="G" ),1,0)+IF( AND((COUNTIF(CN$2:CN$33,'Your Team'!$D$18)&gt;0),'Your Team'!$C$18="G" ),1,0)+IF( AND((COUNTIF(CN$2:CN$33,'Your Team'!$D$19)&gt;0),'Your Team'!$C$19="G" ),1,0)</f>
        <v>0</v>
      </c>
      <c r="CO41" s="9">
        <f>IF( AND((COUNTIF(CO$2:CO$33,'Your Team'!$D$3)&gt;0),'Your Team'!$C$3="G" ),1,0)+IF( AND((COUNTIF(CO$2:CO$33,'Your Team'!$D$4)&gt;0),'Your Team'!$C$4="G" ),1,0)+IF( AND((COUNTIF(CO$2:CO$33,'Your Team'!$D$5)&gt;0),'Your Team'!$C$5="G" ),1,0)+IF( AND((COUNTIF(CO$2:CO$33,'Your Team'!$D$6)&gt;0),'Your Team'!$C$6="G" ),1,0)+IF( AND((COUNTIF(CO$2:CO$33,'Your Team'!$D$7)&gt;0),'Your Team'!$C$7="G" ),1,0)+IF( AND((COUNTIF(CO$2:CO$33,'Your Team'!$D$8)&gt;0),'Your Team'!$C$8="G" ),1,0)+IF( AND((COUNTIF(CO$2:CO$33,'Your Team'!$D$9)&gt;0),'Your Team'!$C$9="G" ),1,0)+IF( AND((COUNTIF(CO$2:CO$33,'Your Team'!$D$10)&gt;0),'Your Team'!$C$10="G" ),1,0)+IF( AND((COUNTIF(CO$2:CO$33,'Your Team'!$D$11)&gt;0),'Your Team'!$C$11="G" ),1,0)+IF( AND((COUNTIF(CO$2:CO$33,'Your Team'!$D$12)&gt;0),'Your Team'!$C$12="G" ),1,0)+IF( AND((COUNTIF(CO$2:CO$33,'Your Team'!$D$13)&gt;0),'Your Team'!$C$13="G" ),1,0)+IF( AND((COUNTIF(CO$2:CO$33,'Your Team'!$D$14)&gt;0),'Your Team'!$C$14="G" ),1,0)+IF( AND((COUNTIF(CO$2:CO$33,'Your Team'!$D$15)&gt;0),'Your Team'!$C$15="G" ),1,0)+IF( AND((COUNTIF(CO$2:CO$33,'Your Team'!$D$16)&gt;0),'Your Team'!$C$16="G" ),1,0)+IF( AND((COUNTIF(CO$2:CO$33,'Your Team'!$D$17)&gt;0),'Your Team'!$C$17="G" ),1,0)+IF( AND((COUNTIF(CO$2:CO$33,'Your Team'!$D$18)&gt;0),'Your Team'!$C$18="G" ),1,0)+IF( AND((COUNTIF(CO$2:CO$33,'Your Team'!$D$19)&gt;0),'Your Team'!$C$19="G" ),1,0)</f>
        <v>0</v>
      </c>
      <c r="CP41" s="9">
        <f>IF( AND((COUNTIF(CP$2:CP$33,'Your Team'!$D$3)&gt;0),'Your Team'!$C$3="G" ),1,0)+IF( AND((COUNTIF(CP$2:CP$33,'Your Team'!$D$4)&gt;0),'Your Team'!$C$4="G" ),1,0)+IF( AND((COUNTIF(CP$2:CP$33,'Your Team'!$D$5)&gt;0),'Your Team'!$C$5="G" ),1,0)+IF( AND((COUNTIF(CP$2:CP$33,'Your Team'!$D$6)&gt;0),'Your Team'!$C$6="G" ),1,0)+IF( AND((COUNTIF(CP$2:CP$33,'Your Team'!$D$7)&gt;0),'Your Team'!$C$7="G" ),1,0)+IF( AND((COUNTIF(CP$2:CP$33,'Your Team'!$D$8)&gt;0),'Your Team'!$C$8="G" ),1,0)+IF( AND((COUNTIF(CP$2:CP$33,'Your Team'!$D$9)&gt;0),'Your Team'!$C$9="G" ),1,0)+IF( AND((COUNTIF(CP$2:CP$33,'Your Team'!$D$10)&gt;0),'Your Team'!$C$10="G" ),1,0)+IF( AND((COUNTIF(CP$2:CP$33,'Your Team'!$D$11)&gt;0),'Your Team'!$C$11="G" ),1,0)+IF( AND((COUNTIF(CP$2:CP$33,'Your Team'!$D$12)&gt;0),'Your Team'!$C$12="G" ),1,0)+IF( AND((COUNTIF(CP$2:CP$33,'Your Team'!$D$13)&gt;0),'Your Team'!$C$13="G" ),1,0)+IF( AND((COUNTIF(CP$2:CP$33,'Your Team'!$D$14)&gt;0),'Your Team'!$C$14="G" ),1,0)+IF( AND((COUNTIF(CP$2:CP$33,'Your Team'!$D$15)&gt;0),'Your Team'!$C$15="G" ),1,0)+IF( AND((COUNTIF(CP$2:CP$33,'Your Team'!$D$16)&gt;0),'Your Team'!$C$16="G" ),1,0)+IF( AND((COUNTIF(CP$2:CP$33,'Your Team'!$D$17)&gt;0),'Your Team'!$C$17="G" ),1,0)+IF( AND((COUNTIF(CP$2:CP$33,'Your Team'!$D$18)&gt;0),'Your Team'!$C$18="G" ),1,0)+IF( AND((COUNTIF(CP$2:CP$33,'Your Team'!$D$19)&gt;0),'Your Team'!$C$19="G" ),1,0)</f>
        <v>0</v>
      </c>
      <c r="CQ41" s="9">
        <f>IF( AND((COUNTIF(CQ$2:CQ$33,'Your Team'!$D$3)&gt;0),'Your Team'!$C$3="G" ),1,0)+IF( AND((COUNTIF(CQ$2:CQ$33,'Your Team'!$D$4)&gt;0),'Your Team'!$C$4="G" ),1,0)+IF( AND((COUNTIF(CQ$2:CQ$33,'Your Team'!$D$5)&gt;0),'Your Team'!$C$5="G" ),1,0)+IF( AND((COUNTIF(CQ$2:CQ$33,'Your Team'!$D$6)&gt;0),'Your Team'!$C$6="G" ),1,0)+IF( AND((COUNTIF(CQ$2:CQ$33,'Your Team'!$D$7)&gt;0),'Your Team'!$C$7="G" ),1,0)+IF( AND((COUNTIF(CQ$2:CQ$33,'Your Team'!$D$8)&gt;0),'Your Team'!$C$8="G" ),1,0)+IF( AND((COUNTIF(CQ$2:CQ$33,'Your Team'!$D$9)&gt;0),'Your Team'!$C$9="G" ),1,0)+IF( AND((COUNTIF(CQ$2:CQ$33,'Your Team'!$D$10)&gt;0),'Your Team'!$C$10="G" ),1,0)+IF( AND((COUNTIF(CQ$2:CQ$33,'Your Team'!$D$11)&gt;0),'Your Team'!$C$11="G" ),1,0)+IF( AND((COUNTIF(CQ$2:CQ$33,'Your Team'!$D$12)&gt;0),'Your Team'!$C$12="G" ),1,0)+IF( AND((COUNTIF(CQ$2:CQ$33,'Your Team'!$D$13)&gt;0),'Your Team'!$C$13="G" ),1,0)+IF( AND((COUNTIF(CQ$2:CQ$33,'Your Team'!$D$14)&gt;0),'Your Team'!$C$14="G" ),1,0)+IF( AND((COUNTIF(CQ$2:CQ$33,'Your Team'!$D$15)&gt;0),'Your Team'!$C$15="G" ),1,0)+IF( AND((COUNTIF(CQ$2:CQ$33,'Your Team'!$D$16)&gt;0),'Your Team'!$C$16="G" ),1,0)+IF( AND((COUNTIF(CQ$2:CQ$33,'Your Team'!$D$17)&gt;0),'Your Team'!$C$17="G" ),1,0)+IF( AND((COUNTIF(CQ$2:CQ$33,'Your Team'!$D$18)&gt;0),'Your Team'!$C$18="G" ),1,0)+IF( AND((COUNTIF(CQ$2:CQ$33,'Your Team'!$D$19)&gt;0),'Your Team'!$C$19="G" ),1,0)</f>
        <v>0</v>
      </c>
      <c r="CR41" s="9">
        <f>IF( AND((COUNTIF(CR$2:CR$33,'Your Team'!$D$3)&gt;0),'Your Team'!$C$3="G" ),1,0)+IF( AND((COUNTIF(CR$2:CR$33,'Your Team'!$D$4)&gt;0),'Your Team'!$C$4="G" ),1,0)+IF( AND((COUNTIF(CR$2:CR$33,'Your Team'!$D$5)&gt;0),'Your Team'!$C$5="G" ),1,0)+IF( AND((COUNTIF(CR$2:CR$33,'Your Team'!$D$6)&gt;0),'Your Team'!$C$6="G" ),1,0)+IF( AND((COUNTIF(CR$2:CR$33,'Your Team'!$D$7)&gt;0),'Your Team'!$C$7="G" ),1,0)+IF( AND((COUNTIF(CR$2:CR$33,'Your Team'!$D$8)&gt;0),'Your Team'!$C$8="G" ),1,0)+IF( AND((COUNTIF(CR$2:CR$33,'Your Team'!$D$9)&gt;0),'Your Team'!$C$9="G" ),1,0)+IF( AND((COUNTIF(CR$2:CR$33,'Your Team'!$D$10)&gt;0),'Your Team'!$C$10="G" ),1,0)+IF( AND((COUNTIF(CR$2:CR$33,'Your Team'!$D$11)&gt;0),'Your Team'!$C$11="G" ),1,0)+IF( AND((COUNTIF(CR$2:CR$33,'Your Team'!$D$12)&gt;0),'Your Team'!$C$12="G" ),1,0)+IF( AND((COUNTIF(CR$2:CR$33,'Your Team'!$D$13)&gt;0),'Your Team'!$C$13="G" ),1,0)+IF( AND((COUNTIF(CR$2:CR$33,'Your Team'!$D$14)&gt;0),'Your Team'!$C$14="G" ),1,0)+IF( AND((COUNTIF(CR$2:CR$33,'Your Team'!$D$15)&gt;0),'Your Team'!$C$15="G" ),1,0)+IF( AND((COUNTIF(CR$2:CR$33,'Your Team'!$D$16)&gt;0),'Your Team'!$C$16="G" ),1,0)+IF( AND((COUNTIF(CR$2:CR$33,'Your Team'!$D$17)&gt;0),'Your Team'!$C$17="G" ),1,0)+IF( AND((COUNTIF(CR$2:CR$33,'Your Team'!$D$18)&gt;0),'Your Team'!$C$18="G" ),1,0)+IF( AND((COUNTIF(CR$2:CR$33,'Your Team'!$D$19)&gt;0),'Your Team'!$C$19="G" ),1,0)</f>
        <v>0</v>
      </c>
      <c r="CS41" s="9">
        <f>IF( AND((COUNTIF(CS$2:CS$33,'Your Team'!$D$3)&gt;0),'Your Team'!$C$3="G" ),1,0)+IF( AND((COUNTIF(CS$2:CS$33,'Your Team'!$D$4)&gt;0),'Your Team'!$C$4="G" ),1,0)+IF( AND((COUNTIF(CS$2:CS$33,'Your Team'!$D$5)&gt;0),'Your Team'!$C$5="G" ),1,0)+IF( AND((COUNTIF(CS$2:CS$33,'Your Team'!$D$6)&gt;0),'Your Team'!$C$6="G" ),1,0)+IF( AND((COUNTIF(CS$2:CS$33,'Your Team'!$D$7)&gt;0),'Your Team'!$C$7="G" ),1,0)+IF( AND((COUNTIF(CS$2:CS$33,'Your Team'!$D$8)&gt;0),'Your Team'!$C$8="G" ),1,0)+IF( AND((COUNTIF(CS$2:CS$33,'Your Team'!$D$9)&gt;0),'Your Team'!$C$9="G" ),1,0)+IF( AND((COUNTIF(CS$2:CS$33,'Your Team'!$D$10)&gt;0),'Your Team'!$C$10="G" ),1,0)+IF( AND((COUNTIF(CS$2:CS$33,'Your Team'!$D$11)&gt;0),'Your Team'!$C$11="G" ),1,0)+IF( AND((COUNTIF(CS$2:CS$33,'Your Team'!$D$12)&gt;0),'Your Team'!$C$12="G" ),1,0)+IF( AND((COUNTIF(CS$2:CS$33,'Your Team'!$D$13)&gt;0),'Your Team'!$C$13="G" ),1,0)+IF( AND((COUNTIF(CS$2:CS$33,'Your Team'!$D$14)&gt;0),'Your Team'!$C$14="G" ),1,0)+IF( AND((COUNTIF(CS$2:CS$33,'Your Team'!$D$15)&gt;0),'Your Team'!$C$15="G" ),1,0)+IF( AND((COUNTIF(CS$2:CS$33,'Your Team'!$D$16)&gt;0),'Your Team'!$C$16="G" ),1,0)+IF( AND((COUNTIF(CS$2:CS$33,'Your Team'!$D$17)&gt;0),'Your Team'!$C$17="G" ),1,0)+IF( AND((COUNTIF(CS$2:CS$33,'Your Team'!$D$18)&gt;0),'Your Team'!$C$18="G" ),1,0)+IF( AND((COUNTIF(CS$2:CS$33,'Your Team'!$D$19)&gt;0),'Your Team'!$C$19="G" ),1,0)</f>
        <v>0</v>
      </c>
      <c r="CT41" s="9">
        <f>IF( AND((COUNTIF(CT$2:CT$33,'Your Team'!$D$3)&gt;0),'Your Team'!$C$3="G" ),1,0)+IF( AND((COUNTIF(CT$2:CT$33,'Your Team'!$D$4)&gt;0),'Your Team'!$C$4="G" ),1,0)+IF( AND((COUNTIF(CT$2:CT$33,'Your Team'!$D$5)&gt;0),'Your Team'!$C$5="G" ),1,0)+IF( AND((COUNTIF(CT$2:CT$33,'Your Team'!$D$6)&gt;0),'Your Team'!$C$6="G" ),1,0)+IF( AND((COUNTIF(CT$2:CT$33,'Your Team'!$D$7)&gt;0),'Your Team'!$C$7="G" ),1,0)+IF( AND((COUNTIF(CT$2:CT$33,'Your Team'!$D$8)&gt;0),'Your Team'!$C$8="G" ),1,0)+IF( AND((COUNTIF(CT$2:CT$33,'Your Team'!$D$9)&gt;0),'Your Team'!$C$9="G" ),1,0)+IF( AND((COUNTIF(CT$2:CT$33,'Your Team'!$D$10)&gt;0),'Your Team'!$C$10="G" ),1,0)+IF( AND((COUNTIF(CT$2:CT$33,'Your Team'!$D$11)&gt;0),'Your Team'!$C$11="G" ),1,0)+IF( AND((COUNTIF(CT$2:CT$33,'Your Team'!$D$12)&gt;0),'Your Team'!$C$12="G" ),1,0)+IF( AND((COUNTIF(CT$2:CT$33,'Your Team'!$D$13)&gt;0),'Your Team'!$C$13="G" ),1,0)+IF( AND((COUNTIF(CT$2:CT$33,'Your Team'!$D$14)&gt;0),'Your Team'!$C$14="G" ),1,0)+IF( AND((COUNTIF(CT$2:CT$33,'Your Team'!$D$15)&gt;0),'Your Team'!$C$15="G" ),1,0)+IF( AND((COUNTIF(CT$2:CT$33,'Your Team'!$D$16)&gt;0),'Your Team'!$C$16="G" ),1,0)+IF( AND((COUNTIF(CT$2:CT$33,'Your Team'!$D$17)&gt;0),'Your Team'!$C$17="G" ),1,0)+IF( AND((COUNTIF(CT$2:CT$33,'Your Team'!$D$18)&gt;0),'Your Team'!$C$18="G" ),1,0)+IF( AND((COUNTIF(CT$2:CT$33,'Your Team'!$D$19)&gt;0),'Your Team'!$C$19="G" ),1,0)</f>
        <v>0</v>
      </c>
      <c r="CU41" s="9">
        <f>IF( AND((COUNTIF(CU$2:CU$33,'Your Team'!$D$3)&gt;0),'Your Team'!$C$3="G" ),1,0)+IF( AND((COUNTIF(CU$2:CU$33,'Your Team'!$D$4)&gt;0),'Your Team'!$C$4="G" ),1,0)+IF( AND((COUNTIF(CU$2:CU$33,'Your Team'!$D$5)&gt;0),'Your Team'!$C$5="G" ),1,0)+IF( AND((COUNTIF(CU$2:CU$33,'Your Team'!$D$6)&gt;0),'Your Team'!$C$6="G" ),1,0)+IF( AND((COUNTIF(CU$2:CU$33,'Your Team'!$D$7)&gt;0),'Your Team'!$C$7="G" ),1,0)+IF( AND((COUNTIF(CU$2:CU$33,'Your Team'!$D$8)&gt;0),'Your Team'!$C$8="G" ),1,0)+IF( AND((COUNTIF(CU$2:CU$33,'Your Team'!$D$9)&gt;0),'Your Team'!$C$9="G" ),1,0)+IF( AND((COUNTIF(CU$2:CU$33,'Your Team'!$D$10)&gt;0),'Your Team'!$C$10="G" ),1,0)+IF( AND((COUNTIF(CU$2:CU$33,'Your Team'!$D$11)&gt;0),'Your Team'!$C$11="G" ),1,0)+IF( AND((COUNTIF(CU$2:CU$33,'Your Team'!$D$12)&gt;0),'Your Team'!$C$12="G" ),1,0)+IF( AND((COUNTIF(CU$2:CU$33,'Your Team'!$D$13)&gt;0),'Your Team'!$C$13="G" ),1,0)+IF( AND((COUNTIF(CU$2:CU$33,'Your Team'!$D$14)&gt;0),'Your Team'!$C$14="G" ),1,0)+IF( AND((COUNTIF(CU$2:CU$33,'Your Team'!$D$15)&gt;0),'Your Team'!$C$15="G" ),1,0)+IF( AND((COUNTIF(CU$2:CU$33,'Your Team'!$D$16)&gt;0),'Your Team'!$C$16="G" ),1,0)+IF( AND((COUNTIF(CU$2:CU$33,'Your Team'!$D$17)&gt;0),'Your Team'!$C$17="G" ),1,0)+IF( AND((COUNTIF(CU$2:CU$33,'Your Team'!$D$18)&gt;0),'Your Team'!$C$18="G" ),1,0)+IF( AND((COUNTIF(CU$2:CU$33,'Your Team'!$D$19)&gt;0),'Your Team'!$C$19="G" ),1,0)</f>
        <v>0</v>
      </c>
      <c r="CV41" s="9">
        <f>IF( AND((COUNTIF(CV$2:CV$33,'Your Team'!$D$3)&gt;0),'Your Team'!$C$3="G" ),1,0)+IF( AND((COUNTIF(CV$2:CV$33,'Your Team'!$D$4)&gt;0),'Your Team'!$C$4="G" ),1,0)+IF( AND((COUNTIF(CV$2:CV$33,'Your Team'!$D$5)&gt;0),'Your Team'!$C$5="G" ),1,0)+IF( AND((COUNTIF(CV$2:CV$33,'Your Team'!$D$6)&gt;0),'Your Team'!$C$6="G" ),1,0)+IF( AND((COUNTIF(CV$2:CV$33,'Your Team'!$D$7)&gt;0),'Your Team'!$C$7="G" ),1,0)+IF( AND((COUNTIF(CV$2:CV$33,'Your Team'!$D$8)&gt;0),'Your Team'!$C$8="G" ),1,0)+IF( AND((COUNTIF(CV$2:CV$33,'Your Team'!$D$9)&gt;0),'Your Team'!$C$9="G" ),1,0)+IF( AND((COUNTIF(CV$2:CV$33,'Your Team'!$D$10)&gt;0),'Your Team'!$C$10="G" ),1,0)+IF( AND((COUNTIF(CV$2:CV$33,'Your Team'!$D$11)&gt;0),'Your Team'!$C$11="G" ),1,0)+IF( AND((COUNTIF(CV$2:CV$33,'Your Team'!$D$12)&gt;0),'Your Team'!$C$12="G" ),1,0)+IF( AND((COUNTIF(CV$2:CV$33,'Your Team'!$D$13)&gt;0),'Your Team'!$C$13="G" ),1,0)+IF( AND((COUNTIF(CV$2:CV$33,'Your Team'!$D$14)&gt;0),'Your Team'!$C$14="G" ),1,0)+IF( AND((COUNTIF(CV$2:CV$33,'Your Team'!$D$15)&gt;0),'Your Team'!$C$15="G" ),1,0)+IF( AND((COUNTIF(CV$2:CV$33,'Your Team'!$D$16)&gt;0),'Your Team'!$C$16="G" ),1,0)+IF( AND((COUNTIF(CV$2:CV$33,'Your Team'!$D$17)&gt;0),'Your Team'!$C$17="G" ),1,0)+IF( AND((COUNTIF(CV$2:CV$33,'Your Team'!$D$18)&gt;0),'Your Team'!$C$18="G" ),1,0)+IF( AND((COUNTIF(CV$2:CV$33,'Your Team'!$D$19)&gt;0),'Your Team'!$C$19="G" ),1,0)</f>
        <v>0</v>
      </c>
      <c r="CW41" s="9">
        <f>IF( AND((COUNTIF(CW$2:CW$33,'Your Team'!$D$3)&gt;0),'Your Team'!$C$3="G" ),1,0)+IF( AND((COUNTIF(CW$2:CW$33,'Your Team'!$D$4)&gt;0),'Your Team'!$C$4="G" ),1,0)+IF( AND((COUNTIF(CW$2:CW$33,'Your Team'!$D$5)&gt;0),'Your Team'!$C$5="G" ),1,0)+IF( AND((COUNTIF(CW$2:CW$33,'Your Team'!$D$6)&gt;0),'Your Team'!$C$6="G" ),1,0)+IF( AND((COUNTIF(CW$2:CW$33,'Your Team'!$D$7)&gt;0),'Your Team'!$C$7="G" ),1,0)+IF( AND((COUNTIF(CW$2:CW$33,'Your Team'!$D$8)&gt;0),'Your Team'!$C$8="G" ),1,0)+IF( AND((COUNTIF(CW$2:CW$33,'Your Team'!$D$9)&gt;0),'Your Team'!$C$9="G" ),1,0)+IF( AND((COUNTIF(CW$2:CW$33,'Your Team'!$D$10)&gt;0),'Your Team'!$C$10="G" ),1,0)+IF( AND((COUNTIF(CW$2:CW$33,'Your Team'!$D$11)&gt;0),'Your Team'!$C$11="G" ),1,0)+IF( AND((COUNTIF(CW$2:CW$33,'Your Team'!$D$12)&gt;0),'Your Team'!$C$12="G" ),1,0)+IF( AND((COUNTIF(CW$2:CW$33,'Your Team'!$D$13)&gt;0),'Your Team'!$C$13="G" ),1,0)+IF( AND((COUNTIF(CW$2:CW$33,'Your Team'!$D$14)&gt;0),'Your Team'!$C$14="G" ),1,0)+IF( AND((COUNTIF(CW$2:CW$33,'Your Team'!$D$15)&gt;0),'Your Team'!$C$15="G" ),1,0)+IF( AND((COUNTIF(CW$2:CW$33,'Your Team'!$D$16)&gt;0),'Your Team'!$C$16="G" ),1,0)+IF( AND((COUNTIF(CW$2:CW$33,'Your Team'!$D$17)&gt;0),'Your Team'!$C$17="G" ),1,0)+IF( AND((COUNTIF(CW$2:CW$33,'Your Team'!$D$18)&gt;0),'Your Team'!$C$18="G" ),1,0)+IF( AND((COUNTIF(CW$2:CW$33,'Your Team'!$D$19)&gt;0),'Your Team'!$C$19="G" ),1,0)</f>
        <v>0</v>
      </c>
      <c r="CX41" s="9">
        <f>IF( AND((COUNTIF(CX$2:CX$33,'Your Team'!$D$3)&gt;0),'Your Team'!$C$3="G" ),1,0)+IF( AND((COUNTIF(CX$2:CX$33,'Your Team'!$D$4)&gt;0),'Your Team'!$C$4="G" ),1,0)+IF( AND((COUNTIF(CX$2:CX$33,'Your Team'!$D$5)&gt;0),'Your Team'!$C$5="G" ),1,0)+IF( AND((COUNTIF(CX$2:CX$33,'Your Team'!$D$6)&gt;0),'Your Team'!$C$6="G" ),1,0)+IF( AND((COUNTIF(CX$2:CX$33,'Your Team'!$D$7)&gt;0),'Your Team'!$C$7="G" ),1,0)+IF( AND((COUNTIF(CX$2:CX$33,'Your Team'!$D$8)&gt;0),'Your Team'!$C$8="G" ),1,0)+IF( AND((COUNTIF(CX$2:CX$33,'Your Team'!$D$9)&gt;0),'Your Team'!$C$9="G" ),1,0)+IF( AND((COUNTIF(CX$2:CX$33,'Your Team'!$D$10)&gt;0),'Your Team'!$C$10="G" ),1,0)+IF( AND((COUNTIF(CX$2:CX$33,'Your Team'!$D$11)&gt;0),'Your Team'!$C$11="G" ),1,0)+IF( AND((COUNTIF(CX$2:CX$33,'Your Team'!$D$12)&gt;0),'Your Team'!$C$12="G" ),1,0)+IF( AND((COUNTIF(CX$2:CX$33,'Your Team'!$D$13)&gt;0),'Your Team'!$C$13="G" ),1,0)+IF( AND((COUNTIF(CX$2:CX$33,'Your Team'!$D$14)&gt;0),'Your Team'!$C$14="G" ),1,0)+IF( AND((COUNTIF(CX$2:CX$33,'Your Team'!$D$15)&gt;0),'Your Team'!$C$15="G" ),1,0)+IF( AND((COUNTIF(CX$2:CX$33,'Your Team'!$D$16)&gt;0),'Your Team'!$C$16="G" ),1,0)+IF( AND((COUNTIF(CX$2:CX$33,'Your Team'!$D$17)&gt;0),'Your Team'!$C$17="G" ),1,0)+IF( AND((COUNTIF(CX$2:CX$33,'Your Team'!$D$18)&gt;0),'Your Team'!$C$18="G" ),1,0)+IF( AND((COUNTIF(CX$2:CX$33,'Your Team'!$D$19)&gt;0),'Your Team'!$C$19="G" ),1,0)</f>
        <v>0</v>
      </c>
      <c r="CY41" s="9">
        <f>IF( AND((COUNTIF(CY$2:CY$33,'Your Team'!$D$3)&gt;0),'Your Team'!$C$3="G" ),1,0)+IF( AND((COUNTIF(CY$2:CY$33,'Your Team'!$D$4)&gt;0),'Your Team'!$C$4="G" ),1,0)+IF( AND((COUNTIF(CY$2:CY$33,'Your Team'!$D$5)&gt;0),'Your Team'!$C$5="G" ),1,0)+IF( AND((COUNTIF(CY$2:CY$33,'Your Team'!$D$6)&gt;0),'Your Team'!$C$6="G" ),1,0)+IF( AND((COUNTIF(CY$2:CY$33,'Your Team'!$D$7)&gt;0),'Your Team'!$C$7="G" ),1,0)+IF( AND((COUNTIF(CY$2:CY$33,'Your Team'!$D$8)&gt;0),'Your Team'!$C$8="G" ),1,0)+IF( AND((COUNTIF(CY$2:CY$33,'Your Team'!$D$9)&gt;0),'Your Team'!$C$9="G" ),1,0)+IF( AND((COUNTIF(CY$2:CY$33,'Your Team'!$D$10)&gt;0),'Your Team'!$C$10="G" ),1,0)+IF( AND((COUNTIF(CY$2:CY$33,'Your Team'!$D$11)&gt;0),'Your Team'!$C$11="G" ),1,0)+IF( AND((COUNTIF(CY$2:CY$33,'Your Team'!$D$12)&gt;0),'Your Team'!$C$12="G" ),1,0)+IF( AND((COUNTIF(CY$2:CY$33,'Your Team'!$D$13)&gt;0),'Your Team'!$C$13="G" ),1,0)+IF( AND((COUNTIF(CY$2:CY$33,'Your Team'!$D$14)&gt;0),'Your Team'!$C$14="G" ),1,0)+IF( AND((COUNTIF(CY$2:CY$33,'Your Team'!$D$15)&gt;0),'Your Team'!$C$15="G" ),1,0)+IF( AND((COUNTIF(CY$2:CY$33,'Your Team'!$D$16)&gt;0),'Your Team'!$C$16="G" ),1,0)+IF( AND((COUNTIF(CY$2:CY$33,'Your Team'!$D$17)&gt;0),'Your Team'!$C$17="G" ),1,0)+IF( AND((COUNTIF(CY$2:CY$33,'Your Team'!$D$18)&gt;0),'Your Team'!$C$18="G" ),1,0)+IF( AND((COUNTIF(CY$2:CY$33,'Your Team'!$D$19)&gt;0),'Your Team'!$C$19="G" ),1,0)</f>
        <v>0</v>
      </c>
      <c r="CZ41" s="9">
        <f>IF( AND((COUNTIF(CZ$2:CZ$33,'Your Team'!$D$3)&gt;0),'Your Team'!$C$3="G" ),1,0)+IF( AND((COUNTIF(CZ$2:CZ$33,'Your Team'!$D$4)&gt;0),'Your Team'!$C$4="G" ),1,0)+IF( AND((COUNTIF(CZ$2:CZ$33,'Your Team'!$D$5)&gt;0),'Your Team'!$C$5="G" ),1,0)+IF( AND((COUNTIF(CZ$2:CZ$33,'Your Team'!$D$6)&gt;0),'Your Team'!$C$6="G" ),1,0)+IF( AND((COUNTIF(CZ$2:CZ$33,'Your Team'!$D$7)&gt;0),'Your Team'!$C$7="G" ),1,0)+IF( AND((COUNTIF(CZ$2:CZ$33,'Your Team'!$D$8)&gt;0),'Your Team'!$C$8="G" ),1,0)+IF( AND((COUNTIF(CZ$2:CZ$33,'Your Team'!$D$9)&gt;0),'Your Team'!$C$9="G" ),1,0)+IF( AND((COUNTIF(CZ$2:CZ$33,'Your Team'!$D$10)&gt;0),'Your Team'!$C$10="G" ),1,0)+IF( AND((COUNTIF(CZ$2:CZ$33,'Your Team'!$D$11)&gt;0),'Your Team'!$C$11="G" ),1,0)+IF( AND((COUNTIF(CZ$2:CZ$33,'Your Team'!$D$12)&gt;0),'Your Team'!$C$12="G" ),1,0)+IF( AND((COUNTIF(CZ$2:CZ$33,'Your Team'!$D$13)&gt;0),'Your Team'!$C$13="G" ),1,0)+IF( AND((COUNTIF(CZ$2:CZ$33,'Your Team'!$D$14)&gt;0),'Your Team'!$C$14="G" ),1,0)+IF( AND((COUNTIF(CZ$2:CZ$33,'Your Team'!$D$15)&gt;0),'Your Team'!$C$15="G" ),1,0)+IF( AND((COUNTIF(CZ$2:CZ$33,'Your Team'!$D$16)&gt;0),'Your Team'!$C$16="G" ),1,0)+IF( AND((COUNTIF(CZ$2:CZ$33,'Your Team'!$D$17)&gt;0),'Your Team'!$C$17="G" ),1,0)+IF( AND((COUNTIF(CZ$2:CZ$33,'Your Team'!$D$18)&gt;0),'Your Team'!$C$18="G" ),1,0)+IF( AND((COUNTIF(CZ$2:CZ$33,'Your Team'!$D$19)&gt;0),'Your Team'!$C$19="G" ),1,0)</f>
        <v>0</v>
      </c>
      <c r="DA41" s="9">
        <f>IF( AND((COUNTIF(DA$2:DA$33,'Your Team'!$D$3)&gt;0),'Your Team'!$C$3="G" ),1,0)+IF( AND((COUNTIF(DA$2:DA$33,'Your Team'!$D$4)&gt;0),'Your Team'!$C$4="G" ),1,0)+IF( AND((COUNTIF(DA$2:DA$33,'Your Team'!$D$5)&gt;0),'Your Team'!$C$5="G" ),1,0)+IF( AND((COUNTIF(DA$2:DA$33,'Your Team'!$D$6)&gt;0),'Your Team'!$C$6="G" ),1,0)+IF( AND((COUNTIF(DA$2:DA$33,'Your Team'!$D$7)&gt;0),'Your Team'!$C$7="G" ),1,0)+IF( AND((COUNTIF(DA$2:DA$33,'Your Team'!$D$8)&gt;0),'Your Team'!$C$8="G" ),1,0)+IF( AND((COUNTIF(DA$2:DA$33,'Your Team'!$D$9)&gt;0),'Your Team'!$C$9="G" ),1,0)+IF( AND((COUNTIF(DA$2:DA$33,'Your Team'!$D$10)&gt;0),'Your Team'!$C$10="G" ),1,0)+IF( AND((COUNTIF(DA$2:DA$33,'Your Team'!$D$11)&gt;0),'Your Team'!$C$11="G" ),1,0)+IF( AND((COUNTIF(DA$2:DA$33,'Your Team'!$D$12)&gt;0),'Your Team'!$C$12="G" ),1,0)+IF( AND((COUNTIF(DA$2:DA$33,'Your Team'!$D$13)&gt;0),'Your Team'!$C$13="G" ),1,0)+IF( AND((COUNTIF(DA$2:DA$33,'Your Team'!$D$14)&gt;0),'Your Team'!$C$14="G" ),1,0)+IF( AND((COUNTIF(DA$2:DA$33,'Your Team'!$D$15)&gt;0),'Your Team'!$C$15="G" ),1,0)+IF( AND((COUNTIF(DA$2:DA$33,'Your Team'!$D$16)&gt;0),'Your Team'!$C$16="G" ),1,0)+IF( AND((COUNTIF(DA$2:DA$33,'Your Team'!$D$17)&gt;0),'Your Team'!$C$17="G" ),1,0)+IF( AND((COUNTIF(DA$2:DA$33,'Your Team'!$D$18)&gt;0),'Your Team'!$C$18="G" ),1,0)+IF( AND((COUNTIF(DA$2:DA$33,'Your Team'!$D$19)&gt;0),'Your Team'!$C$19="G" ),1,0)</f>
        <v>0</v>
      </c>
      <c r="DB41" s="9">
        <f>IF( AND((COUNTIF(DB$2:DB$33,'Your Team'!$D$3)&gt;0),'Your Team'!$C$3="G" ),1,0)+IF( AND((COUNTIF(DB$2:DB$33,'Your Team'!$D$4)&gt;0),'Your Team'!$C$4="G" ),1,0)+IF( AND((COUNTIF(DB$2:DB$33,'Your Team'!$D$5)&gt;0),'Your Team'!$C$5="G" ),1,0)+IF( AND((COUNTIF(DB$2:DB$33,'Your Team'!$D$6)&gt;0),'Your Team'!$C$6="G" ),1,0)+IF( AND((COUNTIF(DB$2:DB$33,'Your Team'!$D$7)&gt;0),'Your Team'!$C$7="G" ),1,0)+IF( AND((COUNTIF(DB$2:DB$33,'Your Team'!$D$8)&gt;0),'Your Team'!$C$8="G" ),1,0)+IF( AND((COUNTIF(DB$2:DB$33,'Your Team'!$D$9)&gt;0),'Your Team'!$C$9="G" ),1,0)+IF( AND((COUNTIF(DB$2:DB$33,'Your Team'!$D$10)&gt;0),'Your Team'!$C$10="G" ),1,0)+IF( AND((COUNTIF(DB$2:DB$33,'Your Team'!$D$11)&gt;0),'Your Team'!$C$11="G" ),1,0)+IF( AND((COUNTIF(DB$2:DB$33,'Your Team'!$D$12)&gt;0),'Your Team'!$C$12="G" ),1,0)+IF( AND((COUNTIF(DB$2:DB$33,'Your Team'!$D$13)&gt;0),'Your Team'!$C$13="G" ),1,0)+IF( AND((COUNTIF(DB$2:DB$33,'Your Team'!$D$14)&gt;0),'Your Team'!$C$14="G" ),1,0)+IF( AND((COUNTIF(DB$2:DB$33,'Your Team'!$D$15)&gt;0),'Your Team'!$C$15="G" ),1,0)+IF( AND((COUNTIF(DB$2:DB$33,'Your Team'!$D$16)&gt;0),'Your Team'!$C$16="G" ),1,0)+IF( AND((COUNTIF(DB$2:DB$33,'Your Team'!$D$17)&gt;0),'Your Team'!$C$17="G" ),1,0)+IF( AND((COUNTIF(DB$2:DB$33,'Your Team'!$D$18)&gt;0),'Your Team'!$C$18="G" ),1,0)+IF( AND((COUNTIF(DB$2:DB$33,'Your Team'!$D$19)&gt;0),'Your Team'!$C$19="G" ),1,0)</f>
        <v>0</v>
      </c>
      <c r="DC41" s="9">
        <f>IF( AND((COUNTIF(DC$2:DC$33,'Your Team'!$D$3)&gt;0),'Your Team'!$C$3="G" ),1,0)+IF( AND((COUNTIF(DC$2:DC$33,'Your Team'!$D$4)&gt;0),'Your Team'!$C$4="G" ),1,0)+IF( AND((COUNTIF(DC$2:DC$33,'Your Team'!$D$5)&gt;0),'Your Team'!$C$5="G" ),1,0)+IF( AND((COUNTIF(DC$2:DC$33,'Your Team'!$D$6)&gt;0),'Your Team'!$C$6="G" ),1,0)+IF( AND((COUNTIF(DC$2:DC$33,'Your Team'!$D$7)&gt;0),'Your Team'!$C$7="G" ),1,0)+IF( AND((COUNTIF(DC$2:DC$33,'Your Team'!$D$8)&gt;0),'Your Team'!$C$8="G" ),1,0)+IF( AND((COUNTIF(DC$2:DC$33,'Your Team'!$D$9)&gt;0),'Your Team'!$C$9="G" ),1,0)+IF( AND((COUNTIF(DC$2:DC$33,'Your Team'!$D$10)&gt;0),'Your Team'!$C$10="G" ),1,0)+IF( AND((COUNTIF(DC$2:DC$33,'Your Team'!$D$11)&gt;0),'Your Team'!$C$11="G" ),1,0)+IF( AND((COUNTIF(DC$2:DC$33,'Your Team'!$D$12)&gt;0),'Your Team'!$C$12="G" ),1,0)+IF( AND((COUNTIF(DC$2:DC$33,'Your Team'!$D$13)&gt;0),'Your Team'!$C$13="G" ),1,0)+IF( AND((COUNTIF(DC$2:DC$33,'Your Team'!$D$14)&gt;0),'Your Team'!$C$14="G" ),1,0)+IF( AND((COUNTIF(DC$2:DC$33,'Your Team'!$D$15)&gt;0),'Your Team'!$C$15="G" ),1,0)+IF( AND((COUNTIF(DC$2:DC$33,'Your Team'!$D$16)&gt;0),'Your Team'!$C$16="G" ),1,0)+IF( AND((COUNTIF(DC$2:DC$33,'Your Team'!$D$17)&gt;0),'Your Team'!$C$17="G" ),1,0)+IF( AND((COUNTIF(DC$2:DC$33,'Your Team'!$D$18)&gt;0),'Your Team'!$C$18="G" ),1,0)+IF( AND((COUNTIF(DC$2:DC$33,'Your Team'!$D$19)&gt;0),'Your Team'!$C$19="G" ),1,0)</f>
        <v>0</v>
      </c>
      <c r="DD41" s="9">
        <f>IF( AND((COUNTIF(DD$2:DD$33,'Your Team'!$D$3)&gt;0),'Your Team'!$C$3="G" ),1,0)+IF( AND((COUNTIF(DD$2:DD$33,'Your Team'!$D$4)&gt;0),'Your Team'!$C$4="G" ),1,0)+IF( AND((COUNTIF(DD$2:DD$33,'Your Team'!$D$5)&gt;0),'Your Team'!$C$5="G" ),1,0)+IF( AND((COUNTIF(DD$2:DD$33,'Your Team'!$D$6)&gt;0),'Your Team'!$C$6="G" ),1,0)+IF( AND((COUNTIF(DD$2:DD$33,'Your Team'!$D$7)&gt;0),'Your Team'!$C$7="G" ),1,0)+IF( AND((COUNTIF(DD$2:DD$33,'Your Team'!$D$8)&gt;0),'Your Team'!$C$8="G" ),1,0)+IF( AND((COUNTIF(DD$2:DD$33,'Your Team'!$D$9)&gt;0),'Your Team'!$C$9="G" ),1,0)+IF( AND((COUNTIF(DD$2:DD$33,'Your Team'!$D$10)&gt;0),'Your Team'!$C$10="G" ),1,0)+IF( AND((COUNTIF(DD$2:DD$33,'Your Team'!$D$11)&gt;0),'Your Team'!$C$11="G" ),1,0)+IF( AND((COUNTIF(DD$2:DD$33,'Your Team'!$D$12)&gt;0),'Your Team'!$C$12="G" ),1,0)+IF( AND((COUNTIF(DD$2:DD$33,'Your Team'!$D$13)&gt;0),'Your Team'!$C$13="G" ),1,0)+IF( AND((COUNTIF(DD$2:DD$33,'Your Team'!$D$14)&gt;0),'Your Team'!$C$14="G" ),1,0)+IF( AND((COUNTIF(DD$2:DD$33,'Your Team'!$D$15)&gt;0),'Your Team'!$C$15="G" ),1,0)+IF( AND((COUNTIF(DD$2:DD$33,'Your Team'!$D$16)&gt;0),'Your Team'!$C$16="G" ),1,0)+IF( AND((COUNTIF(DD$2:DD$33,'Your Team'!$D$17)&gt;0),'Your Team'!$C$17="G" ),1,0)+IF( AND((COUNTIF(DD$2:DD$33,'Your Team'!$D$18)&gt;0),'Your Team'!$C$18="G" ),1,0)+IF( AND((COUNTIF(DD$2:DD$33,'Your Team'!$D$19)&gt;0),'Your Team'!$C$19="G" ),1,0)</f>
        <v>0</v>
      </c>
      <c r="DE41" s="9">
        <f>IF( AND((COUNTIF(DE$2:DE$33,'Your Team'!$D$3)&gt;0),'Your Team'!$C$3="G" ),1,0)+IF( AND((COUNTIF(DE$2:DE$33,'Your Team'!$D$4)&gt;0),'Your Team'!$C$4="G" ),1,0)+IF( AND((COUNTIF(DE$2:DE$33,'Your Team'!$D$5)&gt;0),'Your Team'!$C$5="G" ),1,0)+IF( AND((COUNTIF(DE$2:DE$33,'Your Team'!$D$6)&gt;0),'Your Team'!$C$6="G" ),1,0)+IF( AND((COUNTIF(DE$2:DE$33,'Your Team'!$D$7)&gt;0),'Your Team'!$C$7="G" ),1,0)+IF( AND((COUNTIF(DE$2:DE$33,'Your Team'!$D$8)&gt;0),'Your Team'!$C$8="G" ),1,0)+IF( AND((COUNTIF(DE$2:DE$33,'Your Team'!$D$9)&gt;0),'Your Team'!$C$9="G" ),1,0)+IF( AND((COUNTIF(DE$2:DE$33,'Your Team'!$D$10)&gt;0),'Your Team'!$C$10="G" ),1,0)+IF( AND((COUNTIF(DE$2:DE$33,'Your Team'!$D$11)&gt;0),'Your Team'!$C$11="G" ),1,0)+IF( AND((COUNTIF(DE$2:DE$33,'Your Team'!$D$12)&gt;0),'Your Team'!$C$12="G" ),1,0)+IF( AND((COUNTIF(DE$2:DE$33,'Your Team'!$D$13)&gt;0),'Your Team'!$C$13="G" ),1,0)+IF( AND((COUNTIF(DE$2:DE$33,'Your Team'!$D$14)&gt;0),'Your Team'!$C$14="G" ),1,0)+IF( AND((COUNTIF(DE$2:DE$33,'Your Team'!$D$15)&gt;0),'Your Team'!$C$15="G" ),1,0)+IF( AND((COUNTIF(DE$2:DE$33,'Your Team'!$D$16)&gt;0),'Your Team'!$C$16="G" ),1,0)+IF( AND((COUNTIF(DE$2:DE$33,'Your Team'!$D$17)&gt;0),'Your Team'!$C$17="G" ),1,0)+IF( AND((COUNTIF(DE$2:DE$33,'Your Team'!$D$18)&gt;0),'Your Team'!$C$18="G" ),1,0)+IF( AND((COUNTIF(DE$2:DE$33,'Your Team'!$D$19)&gt;0),'Your Team'!$C$19="G" ),1,0)</f>
        <v>0</v>
      </c>
      <c r="DF41" s="9">
        <f>IF( AND((COUNTIF(DF$2:DF$33,'Your Team'!$D$3)&gt;0),'Your Team'!$C$3="G" ),1,0)+IF( AND((COUNTIF(DF$2:DF$33,'Your Team'!$D$4)&gt;0),'Your Team'!$C$4="G" ),1,0)+IF( AND((COUNTIF(DF$2:DF$33,'Your Team'!$D$5)&gt;0),'Your Team'!$C$5="G" ),1,0)+IF( AND((COUNTIF(DF$2:DF$33,'Your Team'!$D$6)&gt;0),'Your Team'!$C$6="G" ),1,0)+IF( AND((COUNTIF(DF$2:DF$33,'Your Team'!$D$7)&gt;0),'Your Team'!$C$7="G" ),1,0)+IF( AND((COUNTIF(DF$2:DF$33,'Your Team'!$D$8)&gt;0),'Your Team'!$C$8="G" ),1,0)+IF( AND((COUNTIF(DF$2:DF$33,'Your Team'!$D$9)&gt;0),'Your Team'!$C$9="G" ),1,0)+IF( AND((COUNTIF(DF$2:DF$33,'Your Team'!$D$10)&gt;0),'Your Team'!$C$10="G" ),1,0)+IF( AND((COUNTIF(DF$2:DF$33,'Your Team'!$D$11)&gt;0),'Your Team'!$C$11="G" ),1,0)+IF( AND((COUNTIF(DF$2:DF$33,'Your Team'!$D$12)&gt;0),'Your Team'!$C$12="G" ),1,0)+IF( AND((COUNTIF(DF$2:DF$33,'Your Team'!$D$13)&gt;0),'Your Team'!$C$13="G" ),1,0)+IF( AND((COUNTIF(DF$2:DF$33,'Your Team'!$D$14)&gt;0),'Your Team'!$C$14="G" ),1,0)+IF( AND((COUNTIF(DF$2:DF$33,'Your Team'!$D$15)&gt;0),'Your Team'!$C$15="G" ),1,0)+IF( AND((COUNTIF(DF$2:DF$33,'Your Team'!$D$16)&gt;0),'Your Team'!$C$16="G" ),1,0)+IF( AND((COUNTIF(DF$2:DF$33,'Your Team'!$D$17)&gt;0),'Your Team'!$C$17="G" ),1,0)+IF( AND((COUNTIF(DF$2:DF$33,'Your Team'!$D$18)&gt;0),'Your Team'!$C$18="G" ),1,0)+IF( AND((COUNTIF(DF$2:DF$33,'Your Team'!$D$19)&gt;0),'Your Team'!$C$19="G" ),1,0)</f>
        <v>0</v>
      </c>
      <c r="DG41" s="9">
        <f>IF( AND((COUNTIF(DG$2:DG$33,'Your Team'!$D$3)&gt;0),'Your Team'!$C$3="G" ),1,0)+IF( AND((COUNTIF(DG$2:DG$33,'Your Team'!$D$4)&gt;0),'Your Team'!$C$4="G" ),1,0)+IF( AND((COUNTIF(DG$2:DG$33,'Your Team'!$D$5)&gt;0),'Your Team'!$C$5="G" ),1,0)+IF( AND((COUNTIF(DG$2:DG$33,'Your Team'!$D$6)&gt;0),'Your Team'!$C$6="G" ),1,0)+IF( AND((COUNTIF(DG$2:DG$33,'Your Team'!$D$7)&gt;0),'Your Team'!$C$7="G" ),1,0)+IF( AND((COUNTIF(DG$2:DG$33,'Your Team'!$D$8)&gt;0),'Your Team'!$C$8="G" ),1,0)+IF( AND((COUNTIF(DG$2:DG$33,'Your Team'!$D$9)&gt;0),'Your Team'!$C$9="G" ),1,0)+IF( AND((COUNTIF(DG$2:DG$33,'Your Team'!$D$10)&gt;0),'Your Team'!$C$10="G" ),1,0)+IF( AND((COUNTIF(DG$2:DG$33,'Your Team'!$D$11)&gt;0),'Your Team'!$C$11="G" ),1,0)+IF( AND((COUNTIF(DG$2:DG$33,'Your Team'!$D$12)&gt;0),'Your Team'!$C$12="G" ),1,0)+IF( AND((COUNTIF(DG$2:DG$33,'Your Team'!$D$13)&gt;0),'Your Team'!$C$13="G" ),1,0)+IF( AND((COUNTIF(DG$2:DG$33,'Your Team'!$D$14)&gt;0),'Your Team'!$C$14="G" ),1,0)+IF( AND((COUNTIF(DG$2:DG$33,'Your Team'!$D$15)&gt;0),'Your Team'!$C$15="G" ),1,0)+IF( AND((COUNTIF(DG$2:DG$33,'Your Team'!$D$16)&gt;0),'Your Team'!$C$16="G" ),1,0)+IF( AND((COUNTIF(DG$2:DG$33,'Your Team'!$D$17)&gt;0),'Your Team'!$C$17="G" ),1,0)+IF( AND((COUNTIF(DG$2:DG$33,'Your Team'!$D$18)&gt;0),'Your Team'!$C$18="G" ),1,0)+IF( AND((COUNTIF(DG$2:DG$33,'Your Team'!$D$19)&gt;0),'Your Team'!$C$19="G" ),1,0)</f>
        <v>0</v>
      </c>
      <c r="DH41" s="9">
        <f>IF( AND((COUNTIF(DH$2:DH$33,'Your Team'!$D$3)&gt;0),'Your Team'!$C$3="G" ),1,0)+IF( AND((COUNTIF(DH$2:DH$33,'Your Team'!$D$4)&gt;0),'Your Team'!$C$4="G" ),1,0)+IF( AND((COUNTIF(DH$2:DH$33,'Your Team'!$D$5)&gt;0),'Your Team'!$C$5="G" ),1,0)+IF( AND((COUNTIF(DH$2:DH$33,'Your Team'!$D$6)&gt;0),'Your Team'!$C$6="G" ),1,0)+IF( AND((COUNTIF(DH$2:DH$33,'Your Team'!$D$7)&gt;0),'Your Team'!$C$7="G" ),1,0)+IF( AND((COUNTIF(DH$2:DH$33,'Your Team'!$D$8)&gt;0),'Your Team'!$C$8="G" ),1,0)+IF( AND((COUNTIF(DH$2:DH$33,'Your Team'!$D$9)&gt;0),'Your Team'!$C$9="G" ),1,0)+IF( AND((COUNTIF(DH$2:DH$33,'Your Team'!$D$10)&gt;0),'Your Team'!$C$10="G" ),1,0)+IF( AND((COUNTIF(DH$2:DH$33,'Your Team'!$D$11)&gt;0),'Your Team'!$C$11="G" ),1,0)+IF( AND((COUNTIF(DH$2:DH$33,'Your Team'!$D$12)&gt;0),'Your Team'!$C$12="G" ),1,0)+IF( AND((COUNTIF(DH$2:DH$33,'Your Team'!$D$13)&gt;0),'Your Team'!$C$13="G" ),1,0)+IF( AND((COUNTIF(DH$2:DH$33,'Your Team'!$D$14)&gt;0),'Your Team'!$C$14="G" ),1,0)+IF( AND((COUNTIF(DH$2:DH$33,'Your Team'!$D$15)&gt;0),'Your Team'!$C$15="G" ),1,0)+IF( AND((COUNTIF(DH$2:DH$33,'Your Team'!$D$16)&gt;0),'Your Team'!$C$16="G" ),1,0)+IF( AND((COUNTIF(DH$2:DH$33,'Your Team'!$D$17)&gt;0),'Your Team'!$C$17="G" ),1,0)+IF( AND((COUNTIF(DH$2:DH$33,'Your Team'!$D$18)&gt;0),'Your Team'!$C$18="G" ),1,0)+IF( AND((COUNTIF(DH$2:DH$33,'Your Team'!$D$19)&gt;0),'Your Team'!$C$19="G" ),1,0)</f>
        <v>0</v>
      </c>
      <c r="DI41" s="9">
        <f>IF( AND((COUNTIF(DI$2:DI$33,'Your Team'!$D$3)&gt;0),'Your Team'!$C$3="G" ),1,0)+IF( AND((COUNTIF(DI$2:DI$33,'Your Team'!$D$4)&gt;0),'Your Team'!$C$4="G" ),1,0)+IF( AND((COUNTIF(DI$2:DI$33,'Your Team'!$D$5)&gt;0),'Your Team'!$C$5="G" ),1,0)+IF( AND((COUNTIF(DI$2:DI$33,'Your Team'!$D$6)&gt;0),'Your Team'!$C$6="G" ),1,0)+IF( AND((COUNTIF(DI$2:DI$33,'Your Team'!$D$7)&gt;0),'Your Team'!$C$7="G" ),1,0)+IF( AND((COUNTIF(DI$2:DI$33,'Your Team'!$D$8)&gt;0),'Your Team'!$C$8="G" ),1,0)+IF( AND((COUNTIF(DI$2:DI$33,'Your Team'!$D$9)&gt;0),'Your Team'!$C$9="G" ),1,0)+IF( AND((COUNTIF(DI$2:DI$33,'Your Team'!$D$10)&gt;0),'Your Team'!$C$10="G" ),1,0)+IF( AND((COUNTIF(DI$2:DI$33,'Your Team'!$D$11)&gt;0),'Your Team'!$C$11="G" ),1,0)+IF( AND((COUNTIF(DI$2:DI$33,'Your Team'!$D$12)&gt;0),'Your Team'!$C$12="G" ),1,0)+IF( AND((COUNTIF(DI$2:DI$33,'Your Team'!$D$13)&gt;0),'Your Team'!$C$13="G" ),1,0)+IF( AND((COUNTIF(DI$2:DI$33,'Your Team'!$D$14)&gt;0),'Your Team'!$C$14="G" ),1,0)+IF( AND((COUNTIF(DI$2:DI$33,'Your Team'!$D$15)&gt;0),'Your Team'!$C$15="G" ),1,0)+IF( AND((COUNTIF(DI$2:DI$33,'Your Team'!$D$16)&gt;0),'Your Team'!$C$16="G" ),1,0)+IF( AND((COUNTIF(DI$2:DI$33,'Your Team'!$D$17)&gt;0),'Your Team'!$C$17="G" ),1,0)+IF( AND((COUNTIF(DI$2:DI$33,'Your Team'!$D$18)&gt;0),'Your Team'!$C$18="G" ),1,0)+IF( AND((COUNTIF(DI$2:DI$33,'Your Team'!$D$19)&gt;0),'Your Team'!$C$19="G" ),1,0)</f>
        <v>0</v>
      </c>
      <c r="DJ41" s="9">
        <f>IF( AND((COUNTIF(DJ$2:DJ$33,'Your Team'!$D$3)&gt;0),'Your Team'!$C$3="G" ),1,0)+IF( AND((COUNTIF(DJ$2:DJ$33,'Your Team'!$D$4)&gt;0),'Your Team'!$C$4="G" ),1,0)+IF( AND((COUNTIF(DJ$2:DJ$33,'Your Team'!$D$5)&gt;0),'Your Team'!$C$5="G" ),1,0)+IF( AND((COUNTIF(DJ$2:DJ$33,'Your Team'!$D$6)&gt;0),'Your Team'!$C$6="G" ),1,0)+IF( AND((COUNTIF(DJ$2:DJ$33,'Your Team'!$D$7)&gt;0),'Your Team'!$C$7="G" ),1,0)+IF( AND((COUNTIF(DJ$2:DJ$33,'Your Team'!$D$8)&gt;0),'Your Team'!$C$8="G" ),1,0)+IF( AND((COUNTIF(DJ$2:DJ$33,'Your Team'!$D$9)&gt;0),'Your Team'!$C$9="G" ),1,0)+IF( AND((COUNTIF(DJ$2:DJ$33,'Your Team'!$D$10)&gt;0),'Your Team'!$C$10="G" ),1,0)+IF( AND((COUNTIF(DJ$2:DJ$33,'Your Team'!$D$11)&gt;0),'Your Team'!$C$11="G" ),1,0)+IF( AND((COUNTIF(DJ$2:DJ$33,'Your Team'!$D$12)&gt;0),'Your Team'!$C$12="G" ),1,0)+IF( AND((COUNTIF(DJ$2:DJ$33,'Your Team'!$D$13)&gt;0),'Your Team'!$C$13="G" ),1,0)+IF( AND((COUNTIF(DJ$2:DJ$33,'Your Team'!$D$14)&gt;0),'Your Team'!$C$14="G" ),1,0)+IF( AND((COUNTIF(DJ$2:DJ$33,'Your Team'!$D$15)&gt;0),'Your Team'!$C$15="G" ),1,0)+IF( AND((COUNTIF(DJ$2:DJ$33,'Your Team'!$D$16)&gt;0),'Your Team'!$C$16="G" ),1,0)+IF( AND((COUNTIF(DJ$2:DJ$33,'Your Team'!$D$17)&gt;0),'Your Team'!$C$17="G" ),1,0)+IF( AND((COUNTIF(DJ$2:DJ$33,'Your Team'!$D$18)&gt;0),'Your Team'!$C$18="G" ),1,0)+IF( AND((COUNTIF(DJ$2:DJ$33,'Your Team'!$D$19)&gt;0),'Your Team'!$C$19="G" ),1,0)</f>
        <v>0</v>
      </c>
      <c r="DK41" s="9">
        <f>IF( AND((COUNTIF(DK$2:DK$33,'Your Team'!$D$3)&gt;0),'Your Team'!$C$3="G" ),1,0)+IF( AND((COUNTIF(DK$2:DK$33,'Your Team'!$D$4)&gt;0),'Your Team'!$C$4="G" ),1,0)+IF( AND((COUNTIF(DK$2:DK$33,'Your Team'!$D$5)&gt;0),'Your Team'!$C$5="G" ),1,0)+IF( AND((COUNTIF(DK$2:DK$33,'Your Team'!$D$6)&gt;0),'Your Team'!$C$6="G" ),1,0)+IF( AND((COUNTIF(DK$2:DK$33,'Your Team'!$D$7)&gt;0),'Your Team'!$C$7="G" ),1,0)+IF( AND((COUNTIF(DK$2:DK$33,'Your Team'!$D$8)&gt;0),'Your Team'!$C$8="G" ),1,0)+IF( AND((COUNTIF(DK$2:DK$33,'Your Team'!$D$9)&gt;0),'Your Team'!$C$9="G" ),1,0)+IF( AND((COUNTIF(DK$2:DK$33,'Your Team'!$D$10)&gt;0),'Your Team'!$C$10="G" ),1,0)+IF( AND((COUNTIF(DK$2:DK$33,'Your Team'!$D$11)&gt;0),'Your Team'!$C$11="G" ),1,0)+IF( AND((COUNTIF(DK$2:DK$33,'Your Team'!$D$12)&gt;0),'Your Team'!$C$12="G" ),1,0)+IF( AND((COUNTIF(DK$2:DK$33,'Your Team'!$D$13)&gt;0),'Your Team'!$C$13="G" ),1,0)+IF( AND((COUNTIF(DK$2:DK$33,'Your Team'!$D$14)&gt;0),'Your Team'!$C$14="G" ),1,0)+IF( AND((COUNTIF(DK$2:DK$33,'Your Team'!$D$15)&gt;0),'Your Team'!$C$15="G" ),1,0)+IF( AND((COUNTIF(DK$2:DK$33,'Your Team'!$D$16)&gt;0),'Your Team'!$C$16="G" ),1,0)+IF( AND((COUNTIF(DK$2:DK$33,'Your Team'!$D$17)&gt;0),'Your Team'!$C$17="G" ),1,0)+IF( AND((COUNTIF(DK$2:DK$33,'Your Team'!$D$18)&gt;0),'Your Team'!$C$18="G" ),1,0)+IF( AND((COUNTIF(DK$2:DK$33,'Your Team'!$D$19)&gt;0),'Your Team'!$C$19="G" ),1,0)</f>
        <v>0</v>
      </c>
      <c r="DL41" s="9">
        <f>IF( AND((COUNTIF(DL$2:DL$33,'Your Team'!$D$3)&gt;0),'Your Team'!$C$3="G" ),1,0)+IF( AND((COUNTIF(DL$2:DL$33,'Your Team'!$D$4)&gt;0),'Your Team'!$C$4="G" ),1,0)+IF( AND((COUNTIF(DL$2:DL$33,'Your Team'!$D$5)&gt;0),'Your Team'!$C$5="G" ),1,0)+IF( AND((COUNTIF(DL$2:DL$33,'Your Team'!$D$6)&gt;0),'Your Team'!$C$6="G" ),1,0)+IF( AND((COUNTIF(DL$2:DL$33,'Your Team'!$D$7)&gt;0),'Your Team'!$C$7="G" ),1,0)+IF( AND((COUNTIF(DL$2:DL$33,'Your Team'!$D$8)&gt;0),'Your Team'!$C$8="G" ),1,0)+IF( AND((COUNTIF(DL$2:DL$33,'Your Team'!$D$9)&gt;0),'Your Team'!$C$9="G" ),1,0)+IF( AND((COUNTIF(DL$2:DL$33,'Your Team'!$D$10)&gt;0),'Your Team'!$C$10="G" ),1,0)+IF( AND((COUNTIF(DL$2:DL$33,'Your Team'!$D$11)&gt;0),'Your Team'!$C$11="G" ),1,0)+IF( AND((COUNTIF(DL$2:DL$33,'Your Team'!$D$12)&gt;0),'Your Team'!$C$12="G" ),1,0)+IF( AND((COUNTIF(DL$2:DL$33,'Your Team'!$D$13)&gt;0),'Your Team'!$C$13="G" ),1,0)+IF( AND((COUNTIF(DL$2:DL$33,'Your Team'!$D$14)&gt;0),'Your Team'!$C$14="G" ),1,0)+IF( AND((COUNTIF(DL$2:DL$33,'Your Team'!$D$15)&gt;0),'Your Team'!$C$15="G" ),1,0)+IF( AND((COUNTIF(DL$2:DL$33,'Your Team'!$D$16)&gt;0),'Your Team'!$C$16="G" ),1,0)+IF( AND((COUNTIF(DL$2:DL$33,'Your Team'!$D$17)&gt;0),'Your Team'!$C$17="G" ),1,0)+IF( AND((COUNTIF(DL$2:DL$33,'Your Team'!$D$18)&gt;0),'Your Team'!$C$18="G" ),1,0)+IF( AND((COUNTIF(DL$2:DL$33,'Your Team'!$D$19)&gt;0),'Your Team'!$C$19="G" ),1,0)</f>
        <v>0</v>
      </c>
      <c r="DM41" s="9">
        <f>IF( AND((COUNTIF(DM$2:DM$33,'Your Team'!$D$3)&gt;0),'Your Team'!$C$3="G" ),1,0)+IF( AND((COUNTIF(DM$2:DM$33,'Your Team'!$D$4)&gt;0),'Your Team'!$C$4="G" ),1,0)+IF( AND((COUNTIF(DM$2:DM$33,'Your Team'!$D$5)&gt;0),'Your Team'!$C$5="G" ),1,0)+IF( AND((COUNTIF(DM$2:DM$33,'Your Team'!$D$6)&gt;0),'Your Team'!$C$6="G" ),1,0)+IF( AND((COUNTIF(DM$2:DM$33,'Your Team'!$D$7)&gt;0),'Your Team'!$C$7="G" ),1,0)+IF( AND((COUNTIF(DM$2:DM$33,'Your Team'!$D$8)&gt;0),'Your Team'!$C$8="G" ),1,0)+IF( AND((COUNTIF(DM$2:DM$33,'Your Team'!$D$9)&gt;0),'Your Team'!$C$9="G" ),1,0)+IF( AND((COUNTIF(DM$2:DM$33,'Your Team'!$D$10)&gt;0),'Your Team'!$C$10="G" ),1,0)+IF( AND((COUNTIF(DM$2:DM$33,'Your Team'!$D$11)&gt;0),'Your Team'!$C$11="G" ),1,0)+IF( AND((COUNTIF(DM$2:DM$33,'Your Team'!$D$12)&gt;0),'Your Team'!$C$12="G" ),1,0)+IF( AND((COUNTIF(DM$2:DM$33,'Your Team'!$D$13)&gt;0),'Your Team'!$C$13="G" ),1,0)+IF( AND((COUNTIF(DM$2:DM$33,'Your Team'!$D$14)&gt;0),'Your Team'!$C$14="G" ),1,0)+IF( AND((COUNTIF(DM$2:DM$33,'Your Team'!$D$15)&gt;0),'Your Team'!$C$15="G" ),1,0)+IF( AND((COUNTIF(DM$2:DM$33,'Your Team'!$D$16)&gt;0),'Your Team'!$C$16="G" ),1,0)+IF( AND((COUNTIF(DM$2:DM$33,'Your Team'!$D$17)&gt;0),'Your Team'!$C$17="G" ),1,0)+IF( AND((COUNTIF(DM$2:DM$33,'Your Team'!$D$18)&gt;0),'Your Team'!$C$18="G" ),1,0)+IF( AND((COUNTIF(DM$2:DM$33,'Your Team'!$D$19)&gt;0),'Your Team'!$C$19="G" ),1,0)</f>
        <v>0</v>
      </c>
      <c r="DN41" s="9">
        <f>IF( AND((COUNTIF(DN$2:DN$33,'Your Team'!$D$3)&gt;0),'Your Team'!$C$3="G" ),1,0)+IF( AND((COUNTIF(DN$2:DN$33,'Your Team'!$D$4)&gt;0),'Your Team'!$C$4="G" ),1,0)+IF( AND((COUNTIF(DN$2:DN$33,'Your Team'!$D$5)&gt;0),'Your Team'!$C$5="G" ),1,0)+IF( AND((COUNTIF(DN$2:DN$33,'Your Team'!$D$6)&gt;0),'Your Team'!$C$6="G" ),1,0)+IF( AND((COUNTIF(DN$2:DN$33,'Your Team'!$D$7)&gt;0),'Your Team'!$C$7="G" ),1,0)+IF( AND((COUNTIF(DN$2:DN$33,'Your Team'!$D$8)&gt;0),'Your Team'!$C$8="G" ),1,0)+IF( AND((COUNTIF(DN$2:DN$33,'Your Team'!$D$9)&gt;0),'Your Team'!$C$9="G" ),1,0)+IF( AND((COUNTIF(DN$2:DN$33,'Your Team'!$D$10)&gt;0),'Your Team'!$C$10="G" ),1,0)+IF( AND((COUNTIF(DN$2:DN$33,'Your Team'!$D$11)&gt;0),'Your Team'!$C$11="G" ),1,0)+IF( AND((COUNTIF(DN$2:DN$33,'Your Team'!$D$12)&gt;0),'Your Team'!$C$12="G" ),1,0)+IF( AND((COUNTIF(DN$2:DN$33,'Your Team'!$D$13)&gt;0),'Your Team'!$C$13="G" ),1,0)+IF( AND((COUNTIF(DN$2:DN$33,'Your Team'!$D$14)&gt;0),'Your Team'!$C$14="G" ),1,0)+IF( AND((COUNTIF(DN$2:DN$33,'Your Team'!$D$15)&gt;0),'Your Team'!$C$15="G" ),1,0)+IF( AND((COUNTIF(DN$2:DN$33,'Your Team'!$D$16)&gt;0),'Your Team'!$C$16="G" ),1,0)+IF( AND((COUNTIF(DN$2:DN$33,'Your Team'!$D$17)&gt;0),'Your Team'!$C$17="G" ),1,0)+IF( AND((COUNTIF(DN$2:DN$33,'Your Team'!$D$18)&gt;0),'Your Team'!$C$18="G" ),1,0)+IF( AND((COUNTIF(DN$2:DN$33,'Your Team'!$D$19)&gt;0),'Your Team'!$C$19="G" ),1,0)</f>
        <v>0</v>
      </c>
      <c r="DO41" s="9">
        <f>IF( AND((COUNTIF(DO$2:DO$33,'Your Team'!$D$3)&gt;0),'Your Team'!$C$3="G" ),1,0)+IF( AND((COUNTIF(DO$2:DO$33,'Your Team'!$D$4)&gt;0),'Your Team'!$C$4="G" ),1,0)+IF( AND((COUNTIF(DO$2:DO$33,'Your Team'!$D$5)&gt;0),'Your Team'!$C$5="G" ),1,0)+IF( AND((COUNTIF(DO$2:DO$33,'Your Team'!$D$6)&gt;0),'Your Team'!$C$6="G" ),1,0)+IF( AND((COUNTIF(DO$2:DO$33,'Your Team'!$D$7)&gt;0),'Your Team'!$C$7="G" ),1,0)+IF( AND((COUNTIF(DO$2:DO$33,'Your Team'!$D$8)&gt;0),'Your Team'!$C$8="G" ),1,0)+IF( AND((COUNTIF(DO$2:DO$33,'Your Team'!$D$9)&gt;0),'Your Team'!$C$9="G" ),1,0)+IF( AND((COUNTIF(DO$2:DO$33,'Your Team'!$D$10)&gt;0),'Your Team'!$C$10="G" ),1,0)+IF( AND((COUNTIF(DO$2:DO$33,'Your Team'!$D$11)&gt;0),'Your Team'!$C$11="G" ),1,0)+IF( AND((COUNTIF(DO$2:DO$33,'Your Team'!$D$12)&gt;0),'Your Team'!$C$12="G" ),1,0)+IF( AND((COUNTIF(DO$2:DO$33,'Your Team'!$D$13)&gt;0),'Your Team'!$C$13="G" ),1,0)+IF( AND((COUNTIF(DO$2:DO$33,'Your Team'!$D$14)&gt;0),'Your Team'!$C$14="G" ),1,0)+IF( AND((COUNTIF(DO$2:DO$33,'Your Team'!$D$15)&gt;0),'Your Team'!$C$15="G" ),1,0)+IF( AND((COUNTIF(DO$2:DO$33,'Your Team'!$D$16)&gt;0),'Your Team'!$C$16="G" ),1,0)+IF( AND((COUNTIF(DO$2:DO$33,'Your Team'!$D$17)&gt;0),'Your Team'!$C$17="G" ),1,0)+IF( AND((COUNTIF(DO$2:DO$33,'Your Team'!$D$18)&gt;0),'Your Team'!$C$18="G" ),1,0)+IF( AND((COUNTIF(DO$2:DO$33,'Your Team'!$D$19)&gt;0),'Your Team'!$C$19="G" ),1,0)</f>
        <v>0</v>
      </c>
      <c r="DP41" s="9">
        <f>IF( AND((COUNTIF(DP$2:DP$33,'Your Team'!$D$3)&gt;0),'Your Team'!$C$3="G" ),1,0)+IF( AND((COUNTIF(DP$2:DP$33,'Your Team'!$D$4)&gt;0),'Your Team'!$C$4="G" ),1,0)+IF( AND((COUNTIF(DP$2:DP$33,'Your Team'!$D$5)&gt;0),'Your Team'!$C$5="G" ),1,0)+IF( AND((COUNTIF(DP$2:DP$33,'Your Team'!$D$6)&gt;0),'Your Team'!$C$6="G" ),1,0)+IF( AND((COUNTIF(DP$2:DP$33,'Your Team'!$D$7)&gt;0),'Your Team'!$C$7="G" ),1,0)+IF( AND((COUNTIF(DP$2:DP$33,'Your Team'!$D$8)&gt;0),'Your Team'!$C$8="G" ),1,0)+IF( AND((COUNTIF(DP$2:DP$33,'Your Team'!$D$9)&gt;0),'Your Team'!$C$9="G" ),1,0)+IF( AND((COUNTIF(DP$2:DP$33,'Your Team'!$D$10)&gt;0),'Your Team'!$C$10="G" ),1,0)+IF( AND((COUNTIF(DP$2:DP$33,'Your Team'!$D$11)&gt;0),'Your Team'!$C$11="G" ),1,0)+IF( AND((COUNTIF(DP$2:DP$33,'Your Team'!$D$12)&gt;0),'Your Team'!$C$12="G" ),1,0)+IF( AND((COUNTIF(DP$2:DP$33,'Your Team'!$D$13)&gt;0),'Your Team'!$C$13="G" ),1,0)+IF( AND((COUNTIF(DP$2:DP$33,'Your Team'!$D$14)&gt;0),'Your Team'!$C$14="G" ),1,0)+IF( AND((COUNTIF(DP$2:DP$33,'Your Team'!$D$15)&gt;0),'Your Team'!$C$15="G" ),1,0)+IF( AND((COUNTIF(DP$2:DP$33,'Your Team'!$D$16)&gt;0),'Your Team'!$C$16="G" ),1,0)+IF( AND((COUNTIF(DP$2:DP$33,'Your Team'!$D$17)&gt;0),'Your Team'!$C$17="G" ),1,0)+IF( AND((COUNTIF(DP$2:DP$33,'Your Team'!$D$18)&gt;0),'Your Team'!$C$18="G" ),1,0)+IF( AND((COUNTIF(DP$2:DP$33,'Your Team'!$D$19)&gt;0),'Your Team'!$C$19="G" ),1,0)</f>
        <v>0</v>
      </c>
      <c r="DQ41" s="9">
        <f>IF( AND((COUNTIF(DQ$2:DQ$33,'Your Team'!$D$3)&gt;0),'Your Team'!$C$3="G" ),1,0)+IF( AND((COUNTIF(DQ$2:DQ$33,'Your Team'!$D$4)&gt;0),'Your Team'!$C$4="G" ),1,0)+IF( AND((COUNTIF(DQ$2:DQ$33,'Your Team'!$D$5)&gt;0),'Your Team'!$C$5="G" ),1,0)+IF( AND((COUNTIF(DQ$2:DQ$33,'Your Team'!$D$6)&gt;0),'Your Team'!$C$6="G" ),1,0)+IF( AND((COUNTIF(DQ$2:DQ$33,'Your Team'!$D$7)&gt;0),'Your Team'!$C$7="G" ),1,0)+IF( AND((COUNTIF(DQ$2:DQ$33,'Your Team'!$D$8)&gt;0),'Your Team'!$C$8="G" ),1,0)+IF( AND((COUNTIF(DQ$2:DQ$33,'Your Team'!$D$9)&gt;0),'Your Team'!$C$9="G" ),1,0)+IF( AND((COUNTIF(DQ$2:DQ$33,'Your Team'!$D$10)&gt;0),'Your Team'!$C$10="G" ),1,0)+IF( AND((COUNTIF(DQ$2:DQ$33,'Your Team'!$D$11)&gt;0),'Your Team'!$C$11="G" ),1,0)+IF( AND((COUNTIF(DQ$2:DQ$33,'Your Team'!$D$12)&gt;0),'Your Team'!$C$12="G" ),1,0)+IF( AND((COUNTIF(DQ$2:DQ$33,'Your Team'!$D$13)&gt;0),'Your Team'!$C$13="G" ),1,0)+IF( AND((COUNTIF(DQ$2:DQ$33,'Your Team'!$D$14)&gt;0),'Your Team'!$C$14="G" ),1,0)+IF( AND((COUNTIF(DQ$2:DQ$33,'Your Team'!$D$15)&gt;0),'Your Team'!$C$15="G" ),1,0)+IF( AND((COUNTIF(DQ$2:DQ$33,'Your Team'!$D$16)&gt;0),'Your Team'!$C$16="G" ),1,0)+IF( AND((COUNTIF(DQ$2:DQ$33,'Your Team'!$D$17)&gt;0),'Your Team'!$C$17="G" ),1,0)+IF( AND((COUNTIF(DQ$2:DQ$33,'Your Team'!$D$18)&gt;0),'Your Team'!$C$18="G" ),1,0)+IF( AND((COUNTIF(DQ$2:DQ$33,'Your Team'!$D$19)&gt;0),'Your Team'!$C$19="G" ),1,0)</f>
        <v>0</v>
      </c>
      <c r="DR41" s="9">
        <f>IF( AND((COUNTIF(DR$2:DR$33,'Your Team'!$D$3)&gt;0),'Your Team'!$C$3="G" ),1,0)+IF( AND((COUNTIF(DR$2:DR$33,'Your Team'!$D$4)&gt;0),'Your Team'!$C$4="G" ),1,0)+IF( AND((COUNTIF(DR$2:DR$33,'Your Team'!$D$5)&gt;0),'Your Team'!$C$5="G" ),1,0)+IF( AND((COUNTIF(DR$2:DR$33,'Your Team'!$D$6)&gt;0),'Your Team'!$C$6="G" ),1,0)+IF( AND((COUNTIF(DR$2:DR$33,'Your Team'!$D$7)&gt;0),'Your Team'!$C$7="G" ),1,0)+IF( AND((COUNTIF(DR$2:DR$33,'Your Team'!$D$8)&gt;0),'Your Team'!$C$8="G" ),1,0)+IF( AND((COUNTIF(DR$2:DR$33,'Your Team'!$D$9)&gt;0),'Your Team'!$C$9="G" ),1,0)+IF( AND((COUNTIF(DR$2:DR$33,'Your Team'!$D$10)&gt;0),'Your Team'!$C$10="G" ),1,0)+IF( AND((COUNTIF(DR$2:DR$33,'Your Team'!$D$11)&gt;0),'Your Team'!$C$11="G" ),1,0)+IF( AND((COUNTIF(DR$2:DR$33,'Your Team'!$D$12)&gt;0),'Your Team'!$C$12="G" ),1,0)+IF( AND((COUNTIF(DR$2:DR$33,'Your Team'!$D$13)&gt;0),'Your Team'!$C$13="G" ),1,0)+IF( AND((COUNTIF(DR$2:DR$33,'Your Team'!$D$14)&gt;0),'Your Team'!$C$14="G" ),1,0)+IF( AND((COUNTIF(DR$2:DR$33,'Your Team'!$D$15)&gt;0),'Your Team'!$C$15="G" ),1,0)+IF( AND((COUNTIF(DR$2:DR$33,'Your Team'!$D$16)&gt;0),'Your Team'!$C$16="G" ),1,0)+IF( AND((COUNTIF(DR$2:DR$33,'Your Team'!$D$17)&gt;0),'Your Team'!$C$17="G" ),1,0)+IF( AND((COUNTIF(DR$2:DR$33,'Your Team'!$D$18)&gt;0),'Your Team'!$C$18="G" ),1,0)+IF( AND((COUNTIF(DR$2:DR$33,'Your Team'!$D$19)&gt;0),'Your Team'!$C$19="G" ),1,0)</f>
        <v>0</v>
      </c>
      <c r="DS41" s="9">
        <f>IF( AND((COUNTIF(DS$2:DS$33,'Your Team'!$D$3)&gt;0),'Your Team'!$C$3="G" ),1,0)+IF( AND((COUNTIF(DS$2:DS$33,'Your Team'!$D$4)&gt;0),'Your Team'!$C$4="G" ),1,0)+IF( AND((COUNTIF(DS$2:DS$33,'Your Team'!$D$5)&gt;0),'Your Team'!$C$5="G" ),1,0)+IF( AND((COUNTIF(DS$2:DS$33,'Your Team'!$D$6)&gt;0),'Your Team'!$C$6="G" ),1,0)+IF( AND((COUNTIF(DS$2:DS$33,'Your Team'!$D$7)&gt;0),'Your Team'!$C$7="G" ),1,0)+IF( AND((COUNTIF(DS$2:DS$33,'Your Team'!$D$8)&gt;0),'Your Team'!$C$8="G" ),1,0)+IF( AND((COUNTIF(DS$2:DS$33,'Your Team'!$D$9)&gt;0),'Your Team'!$C$9="G" ),1,0)+IF( AND((COUNTIF(DS$2:DS$33,'Your Team'!$D$10)&gt;0),'Your Team'!$C$10="G" ),1,0)+IF( AND((COUNTIF(DS$2:DS$33,'Your Team'!$D$11)&gt;0),'Your Team'!$C$11="G" ),1,0)+IF( AND((COUNTIF(DS$2:DS$33,'Your Team'!$D$12)&gt;0),'Your Team'!$C$12="G" ),1,0)+IF( AND((COUNTIF(DS$2:DS$33,'Your Team'!$D$13)&gt;0),'Your Team'!$C$13="G" ),1,0)+IF( AND((COUNTIF(DS$2:DS$33,'Your Team'!$D$14)&gt;0),'Your Team'!$C$14="G" ),1,0)+IF( AND((COUNTIF(DS$2:DS$33,'Your Team'!$D$15)&gt;0),'Your Team'!$C$15="G" ),1,0)+IF( AND((COUNTIF(DS$2:DS$33,'Your Team'!$D$16)&gt;0),'Your Team'!$C$16="G" ),1,0)+IF( AND((COUNTIF(DS$2:DS$33,'Your Team'!$D$17)&gt;0),'Your Team'!$C$17="G" ),1,0)+IF( AND((COUNTIF(DS$2:DS$33,'Your Team'!$D$18)&gt;0),'Your Team'!$C$18="G" ),1,0)+IF( AND((COUNTIF(DS$2:DS$33,'Your Team'!$D$19)&gt;0),'Your Team'!$C$19="G" ),1,0)</f>
        <v>0</v>
      </c>
      <c r="DT41" s="9">
        <f>IF( AND((COUNTIF(DT$2:DT$33,'Your Team'!$D$3)&gt;0),'Your Team'!$C$3="G" ),1,0)+IF( AND((COUNTIF(DT$2:DT$33,'Your Team'!$D$4)&gt;0),'Your Team'!$C$4="G" ),1,0)+IF( AND((COUNTIF(DT$2:DT$33,'Your Team'!$D$5)&gt;0),'Your Team'!$C$5="G" ),1,0)+IF( AND((COUNTIF(DT$2:DT$33,'Your Team'!$D$6)&gt;0),'Your Team'!$C$6="G" ),1,0)+IF( AND((COUNTIF(DT$2:DT$33,'Your Team'!$D$7)&gt;0),'Your Team'!$C$7="G" ),1,0)+IF( AND((COUNTIF(DT$2:DT$33,'Your Team'!$D$8)&gt;0),'Your Team'!$C$8="G" ),1,0)+IF( AND((COUNTIF(DT$2:DT$33,'Your Team'!$D$9)&gt;0),'Your Team'!$C$9="G" ),1,0)+IF( AND((COUNTIF(DT$2:DT$33,'Your Team'!$D$10)&gt;0),'Your Team'!$C$10="G" ),1,0)+IF( AND((COUNTIF(DT$2:DT$33,'Your Team'!$D$11)&gt;0),'Your Team'!$C$11="G" ),1,0)+IF( AND((COUNTIF(DT$2:DT$33,'Your Team'!$D$12)&gt;0),'Your Team'!$C$12="G" ),1,0)+IF( AND((COUNTIF(DT$2:DT$33,'Your Team'!$D$13)&gt;0),'Your Team'!$C$13="G" ),1,0)+IF( AND((COUNTIF(DT$2:DT$33,'Your Team'!$D$14)&gt;0),'Your Team'!$C$14="G" ),1,0)+IF( AND((COUNTIF(DT$2:DT$33,'Your Team'!$D$15)&gt;0),'Your Team'!$C$15="G" ),1,0)+IF( AND((COUNTIF(DT$2:DT$33,'Your Team'!$D$16)&gt;0),'Your Team'!$C$16="G" ),1,0)+IF( AND((COUNTIF(DT$2:DT$33,'Your Team'!$D$17)&gt;0),'Your Team'!$C$17="G" ),1,0)+IF( AND((COUNTIF(DT$2:DT$33,'Your Team'!$D$18)&gt;0),'Your Team'!$C$18="G" ),1,0)+IF( AND((COUNTIF(DT$2:DT$33,'Your Team'!$D$19)&gt;0),'Your Team'!$C$19="G" ),1,0)</f>
        <v>0</v>
      </c>
      <c r="DU41" s="9">
        <f>IF( AND((COUNTIF(DU$2:DU$33,'Your Team'!$D$3)&gt;0),'Your Team'!$C$3="G" ),1,0)+IF( AND((COUNTIF(DU$2:DU$33,'Your Team'!$D$4)&gt;0),'Your Team'!$C$4="G" ),1,0)+IF( AND((COUNTIF(DU$2:DU$33,'Your Team'!$D$5)&gt;0),'Your Team'!$C$5="G" ),1,0)+IF( AND((COUNTIF(DU$2:DU$33,'Your Team'!$D$6)&gt;0),'Your Team'!$C$6="G" ),1,0)+IF( AND((COUNTIF(DU$2:DU$33,'Your Team'!$D$7)&gt;0),'Your Team'!$C$7="G" ),1,0)+IF( AND((COUNTIF(DU$2:DU$33,'Your Team'!$D$8)&gt;0),'Your Team'!$C$8="G" ),1,0)+IF( AND((COUNTIF(DU$2:DU$33,'Your Team'!$D$9)&gt;0),'Your Team'!$C$9="G" ),1,0)+IF( AND((COUNTIF(DU$2:DU$33,'Your Team'!$D$10)&gt;0),'Your Team'!$C$10="G" ),1,0)+IF( AND((COUNTIF(DU$2:DU$33,'Your Team'!$D$11)&gt;0),'Your Team'!$C$11="G" ),1,0)+IF( AND((COUNTIF(DU$2:DU$33,'Your Team'!$D$12)&gt;0),'Your Team'!$C$12="G" ),1,0)+IF( AND((COUNTIF(DU$2:DU$33,'Your Team'!$D$13)&gt;0),'Your Team'!$C$13="G" ),1,0)+IF( AND((COUNTIF(DU$2:DU$33,'Your Team'!$D$14)&gt;0),'Your Team'!$C$14="G" ),1,0)+IF( AND((COUNTIF(DU$2:DU$33,'Your Team'!$D$15)&gt;0),'Your Team'!$C$15="G" ),1,0)+IF( AND((COUNTIF(DU$2:DU$33,'Your Team'!$D$16)&gt;0),'Your Team'!$C$16="G" ),1,0)+IF( AND((COUNTIF(DU$2:DU$33,'Your Team'!$D$17)&gt;0),'Your Team'!$C$17="G" ),1,0)+IF( AND((COUNTIF(DU$2:DU$33,'Your Team'!$D$18)&gt;0),'Your Team'!$C$18="G" ),1,0)+IF( AND((COUNTIF(DU$2:DU$33,'Your Team'!$D$19)&gt;0),'Your Team'!$C$19="G" ),1,0)</f>
        <v>0</v>
      </c>
      <c r="DV41" s="9">
        <f>IF( AND((COUNTIF(DV$2:DV$33,'Your Team'!$D$3)&gt;0),'Your Team'!$C$3="G" ),1,0)+IF( AND((COUNTIF(DV$2:DV$33,'Your Team'!$D$4)&gt;0),'Your Team'!$C$4="G" ),1,0)+IF( AND((COUNTIF(DV$2:DV$33,'Your Team'!$D$5)&gt;0),'Your Team'!$C$5="G" ),1,0)+IF( AND((COUNTIF(DV$2:DV$33,'Your Team'!$D$6)&gt;0),'Your Team'!$C$6="G" ),1,0)+IF( AND((COUNTIF(DV$2:DV$33,'Your Team'!$D$7)&gt;0),'Your Team'!$C$7="G" ),1,0)+IF( AND((COUNTIF(DV$2:DV$33,'Your Team'!$D$8)&gt;0),'Your Team'!$C$8="G" ),1,0)+IF( AND((COUNTIF(DV$2:DV$33,'Your Team'!$D$9)&gt;0),'Your Team'!$C$9="G" ),1,0)+IF( AND((COUNTIF(DV$2:DV$33,'Your Team'!$D$10)&gt;0),'Your Team'!$C$10="G" ),1,0)+IF( AND((COUNTIF(DV$2:DV$33,'Your Team'!$D$11)&gt;0),'Your Team'!$C$11="G" ),1,0)+IF( AND((COUNTIF(DV$2:DV$33,'Your Team'!$D$12)&gt;0),'Your Team'!$C$12="G" ),1,0)+IF( AND((COUNTIF(DV$2:DV$33,'Your Team'!$D$13)&gt;0),'Your Team'!$C$13="G" ),1,0)+IF( AND((COUNTIF(DV$2:DV$33,'Your Team'!$D$14)&gt;0),'Your Team'!$C$14="G" ),1,0)+IF( AND((COUNTIF(DV$2:DV$33,'Your Team'!$D$15)&gt;0),'Your Team'!$C$15="G" ),1,0)+IF( AND((COUNTIF(DV$2:DV$33,'Your Team'!$D$16)&gt;0),'Your Team'!$C$16="G" ),1,0)+IF( AND((COUNTIF(DV$2:DV$33,'Your Team'!$D$17)&gt;0),'Your Team'!$C$17="G" ),1,0)+IF( AND((COUNTIF(DV$2:DV$33,'Your Team'!$D$18)&gt;0),'Your Team'!$C$18="G" ),1,0)+IF( AND((COUNTIF(DV$2:DV$33,'Your Team'!$D$19)&gt;0),'Your Team'!$C$19="G" ),1,0)</f>
        <v>0</v>
      </c>
      <c r="DW41" s="9">
        <f>IF( AND((COUNTIF(DW$2:DW$33,'Your Team'!$D$3)&gt;0),'Your Team'!$C$3="G" ),1,0)+IF( AND((COUNTIF(DW$2:DW$33,'Your Team'!$D$4)&gt;0),'Your Team'!$C$4="G" ),1,0)+IF( AND((COUNTIF(DW$2:DW$33,'Your Team'!$D$5)&gt;0),'Your Team'!$C$5="G" ),1,0)+IF( AND((COUNTIF(DW$2:DW$33,'Your Team'!$D$6)&gt;0),'Your Team'!$C$6="G" ),1,0)+IF( AND((COUNTIF(DW$2:DW$33,'Your Team'!$D$7)&gt;0),'Your Team'!$C$7="G" ),1,0)+IF( AND((COUNTIF(DW$2:DW$33,'Your Team'!$D$8)&gt;0),'Your Team'!$C$8="G" ),1,0)+IF( AND((COUNTIF(DW$2:DW$33,'Your Team'!$D$9)&gt;0),'Your Team'!$C$9="G" ),1,0)+IF( AND((COUNTIF(DW$2:DW$33,'Your Team'!$D$10)&gt;0),'Your Team'!$C$10="G" ),1,0)+IF( AND((COUNTIF(DW$2:DW$33,'Your Team'!$D$11)&gt;0),'Your Team'!$C$11="G" ),1,0)+IF( AND((COUNTIF(DW$2:DW$33,'Your Team'!$D$12)&gt;0),'Your Team'!$C$12="G" ),1,0)+IF( AND((COUNTIF(DW$2:DW$33,'Your Team'!$D$13)&gt;0),'Your Team'!$C$13="G" ),1,0)+IF( AND((COUNTIF(DW$2:DW$33,'Your Team'!$D$14)&gt;0),'Your Team'!$C$14="G" ),1,0)+IF( AND((COUNTIF(DW$2:DW$33,'Your Team'!$D$15)&gt;0),'Your Team'!$C$15="G" ),1,0)+IF( AND((COUNTIF(DW$2:DW$33,'Your Team'!$D$16)&gt;0),'Your Team'!$C$16="G" ),1,0)+IF( AND((COUNTIF(DW$2:DW$33,'Your Team'!$D$17)&gt;0),'Your Team'!$C$17="G" ),1,0)+IF( AND((COUNTIF(DW$2:DW$33,'Your Team'!$D$18)&gt;0),'Your Team'!$C$18="G" ),1,0)+IF( AND((COUNTIF(DW$2:DW$33,'Your Team'!$D$19)&gt;0),'Your Team'!$C$19="G" ),1,0)</f>
        <v>0</v>
      </c>
      <c r="DX41" s="9">
        <f>IF( AND((COUNTIF(DX$2:DX$33,'Your Team'!$D$3)&gt;0),'Your Team'!$C$3="G" ),1,0)+IF( AND((COUNTIF(DX$2:DX$33,'Your Team'!$D$4)&gt;0),'Your Team'!$C$4="G" ),1,0)+IF( AND((COUNTIF(DX$2:DX$33,'Your Team'!$D$5)&gt;0),'Your Team'!$C$5="G" ),1,0)+IF( AND((COUNTIF(DX$2:DX$33,'Your Team'!$D$6)&gt;0),'Your Team'!$C$6="G" ),1,0)+IF( AND((COUNTIF(DX$2:DX$33,'Your Team'!$D$7)&gt;0),'Your Team'!$C$7="G" ),1,0)+IF( AND((COUNTIF(DX$2:DX$33,'Your Team'!$D$8)&gt;0),'Your Team'!$C$8="G" ),1,0)+IF( AND((COUNTIF(DX$2:DX$33,'Your Team'!$D$9)&gt;0),'Your Team'!$C$9="G" ),1,0)+IF( AND((COUNTIF(DX$2:DX$33,'Your Team'!$D$10)&gt;0),'Your Team'!$C$10="G" ),1,0)+IF( AND((COUNTIF(DX$2:DX$33,'Your Team'!$D$11)&gt;0),'Your Team'!$C$11="G" ),1,0)+IF( AND((COUNTIF(DX$2:DX$33,'Your Team'!$D$12)&gt;0),'Your Team'!$C$12="G" ),1,0)+IF( AND((COUNTIF(DX$2:DX$33,'Your Team'!$D$13)&gt;0),'Your Team'!$C$13="G" ),1,0)+IF( AND((COUNTIF(DX$2:DX$33,'Your Team'!$D$14)&gt;0),'Your Team'!$C$14="G" ),1,0)+IF( AND((COUNTIF(DX$2:DX$33,'Your Team'!$D$15)&gt;0),'Your Team'!$C$15="G" ),1,0)+IF( AND((COUNTIF(DX$2:DX$33,'Your Team'!$D$16)&gt;0),'Your Team'!$C$16="G" ),1,0)+IF( AND((COUNTIF(DX$2:DX$33,'Your Team'!$D$17)&gt;0),'Your Team'!$C$17="G" ),1,0)+IF( AND((COUNTIF(DX$2:DX$33,'Your Team'!$D$18)&gt;0),'Your Team'!$C$18="G" ),1,0)+IF( AND((COUNTIF(DX$2:DX$33,'Your Team'!$D$19)&gt;0),'Your Team'!$C$19="G" ),1,0)</f>
        <v>0</v>
      </c>
      <c r="DY41" s="9">
        <f>IF( AND((COUNTIF(DY$2:DY$33,'Your Team'!$D$3)&gt;0),'Your Team'!$C$3="G" ),1,0)+IF( AND((COUNTIF(DY$2:DY$33,'Your Team'!$D$4)&gt;0),'Your Team'!$C$4="G" ),1,0)+IF( AND((COUNTIF(DY$2:DY$33,'Your Team'!$D$5)&gt;0),'Your Team'!$C$5="G" ),1,0)+IF( AND((COUNTIF(DY$2:DY$33,'Your Team'!$D$6)&gt;0),'Your Team'!$C$6="G" ),1,0)+IF( AND((COUNTIF(DY$2:DY$33,'Your Team'!$D$7)&gt;0),'Your Team'!$C$7="G" ),1,0)+IF( AND((COUNTIF(DY$2:DY$33,'Your Team'!$D$8)&gt;0),'Your Team'!$C$8="G" ),1,0)+IF( AND((COUNTIF(DY$2:DY$33,'Your Team'!$D$9)&gt;0),'Your Team'!$C$9="G" ),1,0)+IF( AND((COUNTIF(DY$2:DY$33,'Your Team'!$D$10)&gt;0),'Your Team'!$C$10="G" ),1,0)+IF( AND((COUNTIF(DY$2:DY$33,'Your Team'!$D$11)&gt;0),'Your Team'!$C$11="G" ),1,0)+IF( AND((COUNTIF(DY$2:DY$33,'Your Team'!$D$12)&gt;0),'Your Team'!$C$12="G" ),1,0)+IF( AND((COUNTIF(DY$2:DY$33,'Your Team'!$D$13)&gt;0),'Your Team'!$C$13="G" ),1,0)+IF( AND((COUNTIF(DY$2:DY$33,'Your Team'!$D$14)&gt;0),'Your Team'!$C$14="G" ),1,0)+IF( AND((COUNTIF(DY$2:DY$33,'Your Team'!$D$15)&gt;0),'Your Team'!$C$15="G" ),1,0)+IF( AND((COUNTIF(DY$2:DY$33,'Your Team'!$D$16)&gt;0),'Your Team'!$C$16="G" ),1,0)+IF( AND((COUNTIF(DY$2:DY$33,'Your Team'!$D$17)&gt;0),'Your Team'!$C$17="G" ),1,0)+IF( AND((COUNTIF(DY$2:DY$33,'Your Team'!$D$18)&gt;0),'Your Team'!$C$18="G" ),1,0)+IF( AND((COUNTIF(DY$2:DY$33,'Your Team'!$D$19)&gt;0),'Your Team'!$C$19="G" ),1,0)</f>
        <v>0</v>
      </c>
      <c r="DZ41" s="9">
        <f>IF( AND((COUNTIF(DZ$2:DZ$33,'Your Team'!$D$3)&gt;0),'Your Team'!$C$3="G" ),1,0)+IF( AND((COUNTIF(DZ$2:DZ$33,'Your Team'!$D$4)&gt;0),'Your Team'!$C$4="G" ),1,0)+IF( AND((COUNTIF(DZ$2:DZ$33,'Your Team'!$D$5)&gt;0),'Your Team'!$C$5="G" ),1,0)+IF( AND((COUNTIF(DZ$2:DZ$33,'Your Team'!$D$6)&gt;0),'Your Team'!$C$6="G" ),1,0)+IF( AND((COUNTIF(DZ$2:DZ$33,'Your Team'!$D$7)&gt;0),'Your Team'!$C$7="G" ),1,0)+IF( AND((COUNTIF(DZ$2:DZ$33,'Your Team'!$D$8)&gt;0),'Your Team'!$C$8="G" ),1,0)+IF( AND((COUNTIF(DZ$2:DZ$33,'Your Team'!$D$9)&gt;0),'Your Team'!$C$9="G" ),1,0)+IF( AND((COUNTIF(DZ$2:DZ$33,'Your Team'!$D$10)&gt;0),'Your Team'!$C$10="G" ),1,0)+IF( AND((COUNTIF(DZ$2:DZ$33,'Your Team'!$D$11)&gt;0),'Your Team'!$C$11="G" ),1,0)+IF( AND((COUNTIF(DZ$2:DZ$33,'Your Team'!$D$12)&gt;0),'Your Team'!$C$12="G" ),1,0)+IF( AND((COUNTIF(DZ$2:DZ$33,'Your Team'!$D$13)&gt;0),'Your Team'!$C$13="G" ),1,0)+IF( AND((COUNTIF(DZ$2:DZ$33,'Your Team'!$D$14)&gt;0),'Your Team'!$C$14="G" ),1,0)+IF( AND((COUNTIF(DZ$2:DZ$33,'Your Team'!$D$15)&gt;0),'Your Team'!$C$15="G" ),1,0)+IF( AND((COUNTIF(DZ$2:DZ$33,'Your Team'!$D$16)&gt;0),'Your Team'!$C$16="G" ),1,0)+IF( AND((COUNTIF(DZ$2:DZ$33,'Your Team'!$D$17)&gt;0),'Your Team'!$C$17="G" ),1,0)+IF( AND((COUNTIF(DZ$2:DZ$33,'Your Team'!$D$18)&gt;0),'Your Team'!$C$18="G" ),1,0)+IF( AND((COUNTIF(DZ$2:DZ$33,'Your Team'!$D$19)&gt;0),'Your Team'!$C$19="G" ),1,0)</f>
        <v>0</v>
      </c>
      <c r="EA41" s="9">
        <f>IF( AND((COUNTIF(EA$2:EA$33,'Your Team'!$D$3)&gt;0),'Your Team'!$C$3="G" ),1,0)+IF( AND((COUNTIF(EA$2:EA$33,'Your Team'!$D$4)&gt;0),'Your Team'!$C$4="G" ),1,0)+IF( AND((COUNTIF(EA$2:EA$33,'Your Team'!$D$5)&gt;0),'Your Team'!$C$5="G" ),1,0)+IF( AND((COUNTIF(EA$2:EA$33,'Your Team'!$D$6)&gt;0),'Your Team'!$C$6="G" ),1,0)+IF( AND((COUNTIF(EA$2:EA$33,'Your Team'!$D$7)&gt;0),'Your Team'!$C$7="G" ),1,0)+IF( AND((COUNTIF(EA$2:EA$33,'Your Team'!$D$8)&gt;0),'Your Team'!$C$8="G" ),1,0)+IF( AND((COUNTIF(EA$2:EA$33,'Your Team'!$D$9)&gt;0),'Your Team'!$C$9="G" ),1,0)+IF( AND((COUNTIF(EA$2:EA$33,'Your Team'!$D$10)&gt;0),'Your Team'!$C$10="G" ),1,0)+IF( AND((COUNTIF(EA$2:EA$33,'Your Team'!$D$11)&gt;0),'Your Team'!$C$11="G" ),1,0)+IF( AND((COUNTIF(EA$2:EA$33,'Your Team'!$D$12)&gt;0),'Your Team'!$C$12="G" ),1,0)+IF( AND((COUNTIF(EA$2:EA$33,'Your Team'!$D$13)&gt;0),'Your Team'!$C$13="G" ),1,0)+IF( AND((COUNTIF(EA$2:EA$33,'Your Team'!$D$14)&gt;0),'Your Team'!$C$14="G" ),1,0)+IF( AND((COUNTIF(EA$2:EA$33,'Your Team'!$D$15)&gt;0),'Your Team'!$C$15="G" ),1,0)+IF( AND((COUNTIF(EA$2:EA$33,'Your Team'!$D$16)&gt;0),'Your Team'!$C$16="G" ),1,0)+IF( AND((COUNTIF(EA$2:EA$33,'Your Team'!$D$17)&gt;0),'Your Team'!$C$17="G" ),1,0)+IF( AND((COUNTIF(EA$2:EA$33,'Your Team'!$D$18)&gt;0),'Your Team'!$C$18="G" ),1,0)+IF( AND((COUNTIF(EA$2:EA$33,'Your Team'!$D$19)&gt;0),'Your Team'!$C$19="G" ),1,0)</f>
        <v>0</v>
      </c>
      <c r="EB41" s="9">
        <f>IF( AND((COUNTIF(EB$2:EB$33,'Your Team'!$D$3)&gt;0),'Your Team'!$C$3="G" ),1,0)+IF( AND((COUNTIF(EB$2:EB$33,'Your Team'!$D$4)&gt;0),'Your Team'!$C$4="G" ),1,0)+IF( AND((COUNTIF(EB$2:EB$33,'Your Team'!$D$5)&gt;0),'Your Team'!$C$5="G" ),1,0)+IF( AND((COUNTIF(EB$2:EB$33,'Your Team'!$D$6)&gt;0),'Your Team'!$C$6="G" ),1,0)+IF( AND((COUNTIF(EB$2:EB$33,'Your Team'!$D$7)&gt;0),'Your Team'!$C$7="G" ),1,0)+IF( AND((COUNTIF(EB$2:EB$33,'Your Team'!$D$8)&gt;0),'Your Team'!$C$8="G" ),1,0)+IF( AND((COUNTIF(EB$2:EB$33,'Your Team'!$D$9)&gt;0),'Your Team'!$C$9="G" ),1,0)+IF( AND((COUNTIF(EB$2:EB$33,'Your Team'!$D$10)&gt;0),'Your Team'!$C$10="G" ),1,0)+IF( AND((COUNTIF(EB$2:EB$33,'Your Team'!$D$11)&gt;0),'Your Team'!$C$11="G" ),1,0)+IF( AND((COUNTIF(EB$2:EB$33,'Your Team'!$D$12)&gt;0),'Your Team'!$C$12="G" ),1,0)+IF( AND((COUNTIF(EB$2:EB$33,'Your Team'!$D$13)&gt;0),'Your Team'!$C$13="G" ),1,0)+IF( AND((COUNTIF(EB$2:EB$33,'Your Team'!$D$14)&gt;0),'Your Team'!$C$14="G" ),1,0)+IF( AND((COUNTIF(EB$2:EB$33,'Your Team'!$D$15)&gt;0),'Your Team'!$C$15="G" ),1,0)+IF( AND((COUNTIF(EB$2:EB$33,'Your Team'!$D$16)&gt;0),'Your Team'!$C$16="G" ),1,0)+IF( AND((COUNTIF(EB$2:EB$33,'Your Team'!$D$17)&gt;0),'Your Team'!$C$17="G" ),1,0)+IF( AND((COUNTIF(EB$2:EB$33,'Your Team'!$D$18)&gt;0),'Your Team'!$C$18="G" ),1,0)+IF( AND((COUNTIF(EB$2:EB$33,'Your Team'!$D$19)&gt;0),'Your Team'!$C$19="G" ),1,0)</f>
        <v>0</v>
      </c>
      <c r="EC41" s="9">
        <f>IF( AND((COUNTIF(EC$2:EC$33,'Your Team'!$D$3)&gt;0),'Your Team'!$C$3="G" ),1,0)+IF( AND((COUNTIF(EC$2:EC$33,'Your Team'!$D$4)&gt;0),'Your Team'!$C$4="G" ),1,0)+IF( AND((COUNTIF(EC$2:EC$33,'Your Team'!$D$5)&gt;0),'Your Team'!$C$5="G" ),1,0)+IF( AND((COUNTIF(EC$2:EC$33,'Your Team'!$D$6)&gt;0),'Your Team'!$C$6="G" ),1,0)+IF( AND((COUNTIF(EC$2:EC$33,'Your Team'!$D$7)&gt;0),'Your Team'!$C$7="G" ),1,0)+IF( AND((COUNTIF(EC$2:EC$33,'Your Team'!$D$8)&gt;0),'Your Team'!$C$8="G" ),1,0)+IF( AND((COUNTIF(EC$2:EC$33,'Your Team'!$D$9)&gt;0),'Your Team'!$C$9="G" ),1,0)+IF( AND((COUNTIF(EC$2:EC$33,'Your Team'!$D$10)&gt;0),'Your Team'!$C$10="G" ),1,0)+IF( AND((COUNTIF(EC$2:EC$33,'Your Team'!$D$11)&gt;0),'Your Team'!$C$11="G" ),1,0)+IF( AND((COUNTIF(EC$2:EC$33,'Your Team'!$D$12)&gt;0),'Your Team'!$C$12="G" ),1,0)+IF( AND((COUNTIF(EC$2:EC$33,'Your Team'!$D$13)&gt;0),'Your Team'!$C$13="G" ),1,0)+IF( AND((COUNTIF(EC$2:EC$33,'Your Team'!$D$14)&gt;0),'Your Team'!$C$14="G" ),1,0)+IF( AND((COUNTIF(EC$2:EC$33,'Your Team'!$D$15)&gt;0),'Your Team'!$C$15="G" ),1,0)+IF( AND((COUNTIF(EC$2:EC$33,'Your Team'!$D$16)&gt;0),'Your Team'!$C$16="G" ),1,0)+IF( AND((COUNTIF(EC$2:EC$33,'Your Team'!$D$17)&gt;0),'Your Team'!$C$17="G" ),1,0)+IF( AND((COUNTIF(EC$2:EC$33,'Your Team'!$D$18)&gt;0),'Your Team'!$C$18="G" ),1,0)+IF( AND((COUNTIF(EC$2:EC$33,'Your Team'!$D$19)&gt;0),'Your Team'!$C$19="G" ),1,0)</f>
        <v>0</v>
      </c>
      <c r="ED41" s="9">
        <f>IF( AND((COUNTIF(ED$2:ED$33,'Your Team'!$D$3)&gt;0),'Your Team'!$C$3="G" ),1,0)+IF( AND((COUNTIF(ED$2:ED$33,'Your Team'!$D$4)&gt;0),'Your Team'!$C$4="G" ),1,0)+IF( AND((COUNTIF(ED$2:ED$33,'Your Team'!$D$5)&gt;0),'Your Team'!$C$5="G" ),1,0)+IF( AND((COUNTIF(ED$2:ED$33,'Your Team'!$D$6)&gt;0),'Your Team'!$C$6="G" ),1,0)+IF( AND((COUNTIF(ED$2:ED$33,'Your Team'!$D$7)&gt;0),'Your Team'!$C$7="G" ),1,0)+IF( AND((COUNTIF(ED$2:ED$33,'Your Team'!$D$8)&gt;0),'Your Team'!$C$8="G" ),1,0)+IF( AND((COUNTIF(ED$2:ED$33,'Your Team'!$D$9)&gt;0),'Your Team'!$C$9="G" ),1,0)+IF( AND((COUNTIF(ED$2:ED$33,'Your Team'!$D$10)&gt;0),'Your Team'!$C$10="G" ),1,0)+IF( AND((COUNTIF(ED$2:ED$33,'Your Team'!$D$11)&gt;0),'Your Team'!$C$11="G" ),1,0)+IF( AND((COUNTIF(ED$2:ED$33,'Your Team'!$D$12)&gt;0),'Your Team'!$C$12="G" ),1,0)+IF( AND((COUNTIF(ED$2:ED$33,'Your Team'!$D$13)&gt;0),'Your Team'!$C$13="G" ),1,0)+IF( AND((COUNTIF(ED$2:ED$33,'Your Team'!$D$14)&gt;0),'Your Team'!$C$14="G" ),1,0)+IF( AND((COUNTIF(ED$2:ED$33,'Your Team'!$D$15)&gt;0),'Your Team'!$C$15="G" ),1,0)+IF( AND((COUNTIF(ED$2:ED$33,'Your Team'!$D$16)&gt;0),'Your Team'!$C$16="G" ),1,0)+IF( AND((COUNTIF(ED$2:ED$33,'Your Team'!$D$17)&gt;0),'Your Team'!$C$17="G" ),1,0)+IF( AND((COUNTIF(ED$2:ED$33,'Your Team'!$D$18)&gt;0),'Your Team'!$C$18="G" ),1,0)+IF( AND((COUNTIF(ED$2:ED$33,'Your Team'!$D$19)&gt;0),'Your Team'!$C$19="G" ),1,0)</f>
        <v>0</v>
      </c>
      <c r="EE41" s="9">
        <f>IF( AND((COUNTIF(EE$2:EE$33,'Your Team'!$D$3)&gt;0),'Your Team'!$C$3="G" ),1,0)+IF( AND((COUNTIF(EE$2:EE$33,'Your Team'!$D$4)&gt;0),'Your Team'!$C$4="G" ),1,0)+IF( AND((COUNTIF(EE$2:EE$33,'Your Team'!$D$5)&gt;0),'Your Team'!$C$5="G" ),1,0)+IF( AND((COUNTIF(EE$2:EE$33,'Your Team'!$D$6)&gt;0),'Your Team'!$C$6="G" ),1,0)+IF( AND((COUNTIF(EE$2:EE$33,'Your Team'!$D$7)&gt;0),'Your Team'!$C$7="G" ),1,0)+IF( AND((COUNTIF(EE$2:EE$33,'Your Team'!$D$8)&gt;0),'Your Team'!$C$8="G" ),1,0)+IF( AND((COUNTIF(EE$2:EE$33,'Your Team'!$D$9)&gt;0),'Your Team'!$C$9="G" ),1,0)+IF( AND((COUNTIF(EE$2:EE$33,'Your Team'!$D$10)&gt;0),'Your Team'!$C$10="G" ),1,0)+IF( AND((COUNTIF(EE$2:EE$33,'Your Team'!$D$11)&gt;0),'Your Team'!$C$11="G" ),1,0)+IF( AND((COUNTIF(EE$2:EE$33,'Your Team'!$D$12)&gt;0),'Your Team'!$C$12="G" ),1,0)+IF( AND((COUNTIF(EE$2:EE$33,'Your Team'!$D$13)&gt;0),'Your Team'!$C$13="G" ),1,0)+IF( AND((COUNTIF(EE$2:EE$33,'Your Team'!$D$14)&gt;0),'Your Team'!$C$14="G" ),1,0)+IF( AND((COUNTIF(EE$2:EE$33,'Your Team'!$D$15)&gt;0),'Your Team'!$C$15="G" ),1,0)+IF( AND((COUNTIF(EE$2:EE$33,'Your Team'!$D$16)&gt;0),'Your Team'!$C$16="G" ),1,0)+IF( AND((COUNTIF(EE$2:EE$33,'Your Team'!$D$17)&gt;0),'Your Team'!$C$17="G" ),1,0)+IF( AND((COUNTIF(EE$2:EE$33,'Your Team'!$D$18)&gt;0),'Your Team'!$C$18="G" ),1,0)+IF( AND((COUNTIF(EE$2:EE$33,'Your Team'!$D$19)&gt;0),'Your Team'!$C$19="G" ),1,0)</f>
        <v>0</v>
      </c>
      <c r="EF41" s="9">
        <f>IF( AND((COUNTIF(EF$2:EF$33,'Your Team'!$D$3)&gt;0),'Your Team'!$C$3="G" ),1,0)+IF( AND((COUNTIF(EF$2:EF$33,'Your Team'!$D$4)&gt;0),'Your Team'!$C$4="G" ),1,0)+IF( AND((COUNTIF(EF$2:EF$33,'Your Team'!$D$5)&gt;0),'Your Team'!$C$5="G" ),1,0)+IF( AND((COUNTIF(EF$2:EF$33,'Your Team'!$D$6)&gt;0),'Your Team'!$C$6="G" ),1,0)+IF( AND((COUNTIF(EF$2:EF$33,'Your Team'!$D$7)&gt;0),'Your Team'!$C$7="G" ),1,0)+IF( AND((COUNTIF(EF$2:EF$33,'Your Team'!$D$8)&gt;0),'Your Team'!$C$8="G" ),1,0)+IF( AND((COUNTIF(EF$2:EF$33,'Your Team'!$D$9)&gt;0),'Your Team'!$C$9="G" ),1,0)+IF( AND((COUNTIF(EF$2:EF$33,'Your Team'!$D$10)&gt;0),'Your Team'!$C$10="G" ),1,0)+IF( AND((COUNTIF(EF$2:EF$33,'Your Team'!$D$11)&gt;0),'Your Team'!$C$11="G" ),1,0)+IF( AND((COUNTIF(EF$2:EF$33,'Your Team'!$D$12)&gt;0),'Your Team'!$C$12="G" ),1,0)+IF( AND((COUNTIF(EF$2:EF$33,'Your Team'!$D$13)&gt;0),'Your Team'!$C$13="G" ),1,0)+IF( AND((COUNTIF(EF$2:EF$33,'Your Team'!$D$14)&gt;0),'Your Team'!$C$14="G" ),1,0)+IF( AND((COUNTIF(EF$2:EF$33,'Your Team'!$D$15)&gt;0),'Your Team'!$C$15="G" ),1,0)+IF( AND((COUNTIF(EF$2:EF$33,'Your Team'!$D$16)&gt;0),'Your Team'!$C$16="G" ),1,0)+IF( AND((COUNTIF(EF$2:EF$33,'Your Team'!$D$17)&gt;0),'Your Team'!$C$17="G" ),1,0)+IF( AND((COUNTIF(EF$2:EF$33,'Your Team'!$D$18)&gt;0),'Your Team'!$C$18="G" ),1,0)+IF( AND((COUNTIF(EF$2:EF$33,'Your Team'!$D$19)&gt;0),'Your Team'!$C$19="G" ),1,0)</f>
        <v>0</v>
      </c>
      <c r="EG41" s="9">
        <f>IF( AND((COUNTIF(EG$2:EG$33,'Your Team'!$D$3)&gt;0),'Your Team'!$C$3="G" ),1,0)+IF( AND((COUNTIF(EG$2:EG$33,'Your Team'!$D$4)&gt;0),'Your Team'!$C$4="G" ),1,0)+IF( AND((COUNTIF(EG$2:EG$33,'Your Team'!$D$5)&gt;0),'Your Team'!$C$5="G" ),1,0)+IF( AND((COUNTIF(EG$2:EG$33,'Your Team'!$D$6)&gt;0),'Your Team'!$C$6="G" ),1,0)+IF( AND((COUNTIF(EG$2:EG$33,'Your Team'!$D$7)&gt;0),'Your Team'!$C$7="G" ),1,0)+IF( AND((COUNTIF(EG$2:EG$33,'Your Team'!$D$8)&gt;0),'Your Team'!$C$8="G" ),1,0)+IF( AND((COUNTIF(EG$2:EG$33,'Your Team'!$D$9)&gt;0),'Your Team'!$C$9="G" ),1,0)+IF( AND((COUNTIF(EG$2:EG$33,'Your Team'!$D$10)&gt;0),'Your Team'!$C$10="G" ),1,0)+IF( AND((COUNTIF(EG$2:EG$33,'Your Team'!$D$11)&gt;0),'Your Team'!$C$11="G" ),1,0)+IF( AND((COUNTIF(EG$2:EG$33,'Your Team'!$D$12)&gt;0),'Your Team'!$C$12="G" ),1,0)+IF( AND((COUNTIF(EG$2:EG$33,'Your Team'!$D$13)&gt;0),'Your Team'!$C$13="G" ),1,0)+IF( AND((COUNTIF(EG$2:EG$33,'Your Team'!$D$14)&gt;0),'Your Team'!$C$14="G" ),1,0)+IF( AND((COUNTIF(EG$2:EG$33,'Your Team'!$D$15)&gt;0),'Your Team'!$C$15="G" ),1,0)+IF( AND((COUNTIF(EG$2:EG$33,'Your Team'!$D$16)&gt;0),'Your Team'!$C$16="G" ),1,0)+IF( AND((COUNTIF(EG$2:EG$33,'Your Team'!$D$17)&gt;0),'Your Team'!$C$17="G" ),1,0)+IF( AND((COUNTIF(EG$2:EG$33,'Your Team'!$D$18)&gt;0),'Your Team'!$C$18="G" ),1,0)+IF( AND((COUNTIF(EG$2:EG$33,'Your Team'!$D$19)&gt;0),'Your Team'!$C$19="G" ),1,0)</f>
        <v>0</v>
      </c>
      <c r="EH41" s="9">
        <f>IF( AND((COUNTIF(EH$2:EH$33,'Your Team'!$D$3)&gt;0),'Your Team'!$C$3="G" ),1,0)+IF( AND((COUNTIF(EH$2:EH$33,'Your Team'!$D$4)&gt;0),'Your Team'!$C$4="G" ),1,0)+IF( AND((COUNTIF(EH$2:EH$33,'Your Team'!$D$5)&gt;0),'Your Team'!$C$5="G" ),1,0)+IF( AND((COUNTIF(EH$2:EH$33,'Your Team'!$D$6)&gt;0),'Your Team'!$C$6="G" ),1,0)+IF( AND((COUNTIF(EH$2:EH$33,'Your Team'!$D$7)&gt;0),'Your Team'!$C$7="G" ),1,0)+IF( AND((COUNTIF(EH$2:EH$33,'Your Team'!$D$8)&gt;0),'Your Team'!$C$8="G" ),1,0)+IF( AND((COUNTIF(EH$2:EH$33,'Your Team'!$D$9)&gt;0),'Your Team'!$C$9="G" ),1,0)+IF( AND((COUNTIF(EH$2:EH$33,'Your Team'!$D$10)&gt;0),'Your Team'!$C$10="G" ),1,0)+IF( AND((COUNTIF(EH$2:EH$33,'Your Team'!$D$11)&gt;0),'Your Team'!$C$11="G" ),1,0)+IF( AND((COUNTIF(EH$2:EH$33,'Your Team'!$D$12)&gt;0),'Your Team'!$C$12="G" ),1,0)+IF( AND((COUNTIF(EH$2:EH$33,'Your Team'!$D$13)&gt;0),'Your Team'!$C$13="G" ),1,0)+IF( AND((COUNTIF(EH$2:EH$33,'Your Team'!$D$14)&gt;0),'Your Team'!$C$14="G" ),1,0)+IF( AND((COUNTIF(EH$2:EH$33,'Your Team'!$D$15)&gt;0),'Your Team'!$C$15="G" ),1,0)+IF( AND((COUNTIF(EH$2:EH$33,'Your Team'!$D$16)&gt;0),'Your Team'!$C$16="G" ),1,0)+IF( AND((COUNTIF(EH$2:EH$33,'Your Team'!$D$17)&gt;0),'Your Team'!$C$17="G" ),1,0)+IF( AND((COUNTIF(EH$2:EH$33,'Your Team'!$D$18)&gt;0),'Your Team'!$C$18="G" ),1,0)+IF( AND((COUNTIF(EH$2:EH$33,'Your Team'!$D$19)&gt;0),'Your Team'!$C$19="G" ),1,0)</f>
        <v>0</v>
      </c>
      <c r="EI41" s="9">
        <f>IF( AND((COUNTIF(EI$2:EI$33,'Your Team'!$D$3)&gt;0),'Your Team'!$C$3="G" ),1,0)+IF( AND((COUNTIF(EI$2:EI$33,'Your Team'!$D$4)&gt;0),'Your Team'!$C$4="G" ),1,0)+IF( AND((COUNTIF(EI$2:EI$33,'Your Team'!$D$5)&gt;0),'Your Team'!$C$5="G" ),1,0)+IF( AND((COUNTIF(EI$2:EI$33,'Your Team'!$D$6)&gt;0),'Your Team'!$C$6="G" ),1,0)+IF( AND((COUNTIF(EI$2:EI$33,'Your Team'!$D$7)&gt;0),'Your Team'!$C$7="G" ),1,0)+IF( AND((COUNTIF(EI$2:EI$33,'Your Team'!$D$8)&gt;0),'Your Team'!$C$8="G" ),1,0)+IF( AND((COUNTIF(EI$2:EI$33,'Your Team'!$D$9)&gt;0),'Your Team'!$C$9="G" ),1,0)+IF( AND((COUNTIF(EI$2:EI$33,'Your Team'!$D$10)&gt;0),'Your Team'!$C$10="G" ),1,0)+IF( AND((COUNTIF(EI$2:EI$33,'Your Team'!$D$11)&gt;0),'Your Team'!$C$11="G" ),1,0)+IF( AND((COUNTIF(EI$2:EI$33,'Your Team'!$D$12)&gt;0),'Your Team'!$C$12="G" ),1,0)+IF( AND((COUNTIF(EI$2:EI$33,'Your Team'!$D$13)&gt;0),'Your Team'!$C$13="G" ),1,0)+IF( AND((COUNTIF(EI$2:EI$33,'Your Team'!$D$14)&gt;0),'Your Team'!$C$14="G" ),1,0)+IF( AND((COUNTIF(EI$2:EI$33,'Your Team'!$D$15)&gt;0),'Your Team'!$C$15="G" ),1,0)+IF( AND((COUNTIF(EI$2:EI$33,'Your Team'!$D$16)&gt;0),'Your Team'!$C$16="G" ),1,0)+IF( AND((COUNTIF(EI$2:EI$33,'Your Team'!$D$17)&gt;0),'Your Team'!$C$17="G" ),1,0)+IF( AND((COUNTIF(EI$2:EI$33,'Your Team'!$D$18)&gt;0),'Your Team'!$C$18="G" ),1,0)+IF( AND((COUNTIF(EI$2:EI$33,'Your Team'!$D$19)&gt;0),'Your Team'!$C$19="G" ),1,0)</f>
        <v>0</v>
      </c>
      <c r="EJ41" s="9">
        <f>IF( AND((COUNTIF(EJ$2:EJ$33,'Your Team'!$D$3)&gt;0),'Your Team'!$C$3="G" ),1,0)+IF( AND((COUNTIF(EJ$2:EJ$33,'Your Team'!$D$4)&gt;0),'Your Team'!$C$4="G" ),1,0)+IF( AND((COUNTIF(EJ$2:EJ$33,'Your Team'!$D$5)&gt;0),'Your Team'!$C$5="G" ),1,0)+IF( AND((COUNTIF(EJ$2:EJ$33,'Your Team'!$D$6)&gt;0),'Your Team'!$C$6="G" ),1,0)+IF( AND((COUNTIF(EJ$2:EJ$33,'Your Team'!$D$7)&gt;0),'Your Team'!$C$7="G" ),1,0)+IF( AND((COUNTIF(EJ$2:EJ$33,'Your Team'!$D$8)&gt;0),'Your Team'!$C$8="G" ),1,0)+IF( AND((COUNTIF(EJ$2:EJ$33,'Your Team'!$D$9)&gt;0),'Your Team'!$C$9="G" ),1,0)+IF( AND((COUNTIF(EJ$2:EJ$33,'Your Team'!$D$10)&gt;0),'Your Team'!$C$10="G" ),1,0)+IF( AND((COUNTIF(EJ$2:EJ$33,'Your Team'!$D$11)&gt;0),'Your Team'!$C$11="G" ),1,0)+IF( AND((COUNTIF(EJ$2:EJ$33,'Your Team'!$D$12)&gt;0),'Your Team'!$C$12="G" ),1,0)+IF( AND((COUNTIF(EJ$2:EJ$33,'Your Team'!$D$13)&gt;0),'Your Team'!$C$13="G" ),1,0)+IF( AND((COUNTIF(EJ$2:EJ$33,'Your Team'!$D$14)&gt;0),'Your Team'!$C$14="G" ),1,0)+IF( AND((COUNTIF(EJ$2:EJ$33,'Your Team'!$D$15)&gt;0),'Your Team'!$C$15="G" ),1,0)+IF( AND((COUNTIF(EJ$2:EJ$33,'Your Team'!$D$16)&gt;0),'Your Team'!$C$16="G" ),1,0)+IF( AND((COUNTIF(EJ$2:EJ$33,'Your Team'!$D$17)&gt;0),'Your Team'!$C$17="G" ),1,0)+IF( AND((COUNTIF(EJ$2:EJ$33,'Your Team'!$D$18)&gt;0),'Your Team'!$C$18="G" ),1,0)+IF( AND((COUNTIF(EJ$2:EJ$33,'Your Team'!$D$19)&gt;0),'Your Team'!$C$19="G" ),1,0)</f>
        <v>0</v>
      </c>
      <c r="EK41" s="9">
        <f>IF( AND((COUNTIF(EK$2:EK$33,'Your Team'!$D$3)&gt;0),'Your Team'!$C$3="G" ),1,0)+IF( AND((COUNTIF(EK$2:EK$33,'Your Team'!$D$4)&gt;0),'Your Team'!$C$4="G" ),1,0)+IF( AND((COUNTIF(EK$2:EK$33,'Your Team'!$D$5)&gt;0),'Your Team'!$C$5="G" ),1,0)+IF( AND((COUNTIF(EK$2:EK$33,'Your Team'!$D$6)&gt;0),'Your Team'!$C$6="G" ),1,0)+IF( AND((COUNTIF(EK$2:EK$33,'Your Team'!$D$7)&gt;0),'Your Team'!$C$7="G" ),1,0)+IF( AND((COUNTIF(EK$2:EK$33,'Your Team'!$D$8)&gt;0),'Your Team'!$C$8="G" ),1,0)+IF( AND((COUNTIF(EK$2:EK$33,'Your Team'!$D$9)&gt;0),'Your Team'!$C$9="G" ),1,0)+IF( AND((COUNTIF(EK$2:EK$33,'Your Team'!$D$10)&gt;0),'Your Team'!$C$10="G" ),1,0)+IF( AND((COUNTIF(EK$2:EK$33,'Your Team'!$D$11)&gt;0),'Your Team'!$C$11="G" ),1,0)+IF( AND((COUNTIF(EK$2:EK$33,'Your Team'!$D$12)&gt;0),'Your Team'!$C$12="G" ),1,0)+IF( AND((COUNTIF(EK$2:EK$33,'Your Team'!$D$13)&gt;0),'Your Team'!$C$13="G" ),1,0)+IF( AND((COUNTIF(EK$2:EK$33,'Your Team'!$D$14)&gt;0),'Your Team'!$C$14="G" ),1,0)+IF( AND((COUNTIF(EK$2:EK$33,'Your Team'!$D$15)&gt;0),'Your Team'!$C$15="G" ),1,0)+IF( AND((COUNTIF(EK$2:EK$33,'Your Team'!$D$16)&gt;0),'Your Team'!$C$16="G" ),1,0)+IF( AND((COUNTIF(EK$2:EK$33,'Your Team'!$D$17)&gt;0),'Your Team'!$C$17="G" ),1,0)+IF( AND((COUNTIF(EK$2:EK$33,'Your Team'!$D$18)&gt;0),'Your Team'!$C$18="G" ),1,0)+IF( AND((COUNTIF(EK$2:EK$33,'Your Team'!$D$19)&gt;0),'Your Team'!$C$19="G" ),1,0)</f>
        <v>0</v>
      </c>
      <c r="EL41" s="9">
        <f>IF( AND((COUNTIF(EL$2:EL$33,'Your Team'!$D$3)&gt;0),'Your Team'!$C$3="G" ),1,0)+IF( AND((COUNTIF(EL$2:EL$33,'Your Team'!$D$4)&gt;0),'Your Team'!$C$4="G" ),1,0)+IF( AND((COUNTIF(EL$2:EL$33,'Your Team'!$D$5)&gt;0),'Your Team'!$C$5="G" ),1,0)+IF( AND((COUNTIF(EL$2:EL$33,'Your Team'!$D$6)&gt;0),'Your Team'!$C$6="G" ),1,0)+IF( AND((COUNTIF(EL$2:EL$33,'Your Team'!$D$7)&gt;0),'Your Team'!$C$7="G" ),1,0)+IF( AND((COUNTIF(EL$2:EL$33,'Your Team'!$D$8)&gt;0),'Your Team'!$C$8="G" ),1,0)+IF( AND((COUNTIF(EL$2:EL$33,'Your Team'!$D$9)&gt;0),'Your Team'!$C$9="G" ),1,0)+IF( AND((COUNTIF(EL$2:EL$33,'Your Team'!$D$10)&gt;0),'Your Team'!$C$10="G" ),1,0)+IF( AND((COUNTIF(EL$2:EL$33,'Your Team'!$D$11)&gt;0),'Your Team'!$C$11="G" ),1,0)+IF( AND((COUNTIF(EL$2:EL$33,'Your Team'!$D$12)&gt;0),'Your Team'!$C$12="G" ),1,0)+IF( AND((COUNTIF(EL$2:EL$33,'Your Team'!$D$13)&gt;0),'Your Team'!$C$13="G" ),1,0)+IF( AND((COUNTIF(EL$2:EL$33,'Your Team'!$D$14)&gt;0),'Your Team'!$C$14="G" ),1,0)+IF( AND((COUNTIF(EL$2:EL$33,'Your Team'!$D$15)&gt;0),'Your Team'!$C$15="G" ),1,0)+IF( AND((COUNTIF(EL$2:EL$33,'Your Team'!$D$16)&gt;0),'Your Team'!$C$16="G" ),1,0)+IF( AND((COUNTIF(EL$2:EL$33,'Your Team'!$D$17)&gt;0),'Your Team'!$C$17="G" ),1,0)+IF( AND((COUNTIF(EL$2:EL$33,'Your Team'!$D$18)&gt;0),'Your Team'!$C$18="G" ),1,0)+IF( AND((COUNTIF(EL$2:EL$33,'Your Team'!$D$19)&gt;0),'Your Team'!$C$19="G" ),1,0)</f>
        <v>0</v>
      </c>
      <c r="EM41" s="9">
        <f>IF( AND((COUNTIF(EM$2:EM$33,'Your Team'!$D$3)&gt;0),'Your Team'!$C$3="G" ),1,0)+IF( AND((COUNTIF(EM$2:EM$33,'Your Team'!$D$4)&gt;0),'Your Team'!$C$4="G" ),1,0)+IF( AND((COUNTIF(EM$2:EM$33,'Your Team'!$D$5)&gt;0),'Your Team'!$C$5="G" ),1,0)+IF( AND((COUNTIF(EM$2:EM$33,'Your Team'!$D$6)&gt;0),'Your Team'!$C$6="G" ),1,0)+IF( AND((COUNTIF(EM$2:EM$33,'Your Team'!$D$7)&gt;0),'Your Team'!$C$7="G" ),1,0)+IF( AND((COUNTIF(EM$2:EM$33,'Your Team'!$D$8)&gt;0),'Your Team'!$C$8="G" ),1,0)+IF( AND((COUNTIF(EM$2:EM$33,'Your Team'!$D$9)&gt;0),'Your Team'!$C$9="G" ),1,0)+IF( AND((COUNTIF(EM$2:EM$33,'Your Team'!$D$10)&gt;0),'Your Team'!$C$10="G" ),1,0)+IF( AND((COUNTIF(EM$2:EM$33,'Your Team'!$D$11)&gt;0),'Your Team'!$C$11="G" ),1,0)+IF( AND((COUNTIF(EM$2:EM$33,'Your Team'!$D$12)&gt;0),'Your Team'!$C$12="G" ),1,0)+IF( AND((COUNTIF(EM$2:EM$33,'Your Team'!$D$13)&gt;0),'Your Team'!$C$13="G" ),1,0)+IF( AND((COUNTIF(EM$2:EM$33,'Your Team'!$D$14)&gt;0),'Your Team'!$C$14="G" ),1,0)+IF( AND((COUNTIF(EM$2:EM$33,'Your Team'!$D$15)&gt;0),'Your Team'!$C$15="G" ),1,0)+IF( AND((COUNTIF(EM$2:EM$33,'Your Team'!$D$16)&gt;0),'Your Team'!$C$16="G" ),1,0)+IF( AND((COUNTIF(EM$2:EM$33,'Your Team'!$D$17)&gt;0),'Your Team'!$C$17="G" ),1,0)+IF( AND((COUNTIF(EM$2:EM$33,'Your Team'!$D$18)&gt;0),'Your Team'!$C$18="G" ),1,0)+IF( AND((COUNTIF(EM$2:EM$33,'Your Team'!$D$19)&gt;0),'Your Team'!$C$19="G" ),1,0)</f>
        <v>0</v>
      </c>
      <c r="EN41" s="9">
        <f>IF( AND((COUNTIF(EN$2:EN$33,'Your Team'!$D$3)&gt;0),'Your Team'!$C$3="G" ),1,0)+IF( AND((COUNTIF(EN$2:EN$33,'Your Team'!$D$4)&gt;0),'Your Team'!$C$4="G" ),1,0)+IF( AND((COUNTIF(EN$2:EN$33,'Your Team'!$D$5)&gt;0),'Your Team'!$C$5="G" ),1,0)+IF( AND((COUNTIF(EN$2:EN$33,'Your Team'!$D$6)&gt;0),'Your Team'!$C$6="G" ),1,0)+IF( AND((COUNTIF(EN$2:EN$33,'Your Team'!$D$7)&gt;0),'Your Team'!$C$7="G" ),1,0)+IF( AND((COUNTIF(EN$2:EN$33,'Your Team'!$D$8)&gt;0),'Your Team'!$C$8="G" ),1,0)+IF( AND((COUNTIF(EN$2:EN$33,'Your Team'!$D$9)&gt;0),'Your Team'!$C$9="G" ),1,0)+IF( AND((COUNTIF(EN$2:EN$33,'Your Team'!$D$10)&gt;0),'Your Team'!$C$10="G" ),1,0)+IF( AND((COUNTIF(EN$2:EN$33,'Your Team'!$D$11)&gt;0),'Your Team'!$C$11="G" ),1,0)+IF( AND((COUNTIF(EN$2:EN$33,'Your Team'!$D$12)&gt;0),'Your Team'!$C$12="G" ),1,0)+IF( AND((COUNTIF(EN$2:EN$33,'Your Team'!$D$13)&gt;0),'Your Team'!$C$13="G" ),1,0)+IF( AND((COUNTIF(EN$2:EN$33,'Your Team'!$D$14)&gt;0),'Your Team'!$C$14="G" ),1,0)+IF( AND((COUNTIF(EN$2:EN$33,'Your Team'!$D$15)&gt;0),'Your Team'!$C$15="G" ),1,0)+IF( AND((COUNTIF(EN$2:EN$33,'Your Team'!$D$16)&gt;0),'Your Team'!$C$16="G" ),1,0)+IF( AND((COUNTIF(EN$2:EN$33,'Your Team'!$D$17)&gt;0),'Your Team'!$C$17="G" ),1,0)+IF( AND((COUNTIF(EN$2:EN$33,'Your Team'!$D$18)&gt;0),'Your Team'!$C$18="G" ),1,0)+IF( AND((COUNTIF(EN$2:EN$33,'Your Team'!$D$19)&gt;0),'Your Team'!$C$19="G" ),1,0)</f>
        <v>0</v>
      </c>
      <c r="EO41" s="9">
        <f>IF( AND((COUNTIF(EO$2:EO$33,'Your Team'!$D$3)&gt;0),'Your Team'!$C$3="G" ),1,0)+IF( AND((COUNTIF(EO$2:EO$33,'Your Team'!$D$4)&gt;0),'Your Team'!$C$4="G" ),1,0)+IF( AND((COUNTIF(EO$2:EO$33,'Your Team'!$D$5)&gt;0),'Your Team'!$C$5="G" ),1,0)+IF( AND((COUNTIF(EO$2:EO$33,'Your Team'!$D$6)&gt;0),'Your Team'!$C$6="G" ),1,0)+IF( AND((COUNTIF(EO$2:EO$33,'Your Team'!$D$7)&gt;0),'Your Team'!$C$7="G" ),1,0)+IF( AND((COUNTIF(EO$2:EO$33,'Your Team'!$D$8)&gt;0),'Your Team'!$C$8="G" ),1,0)+IF( AND((COUNTIF(EO$2:EO$33,'Your Team'!$D$9)&gt;0),'Your Team'!$C$9="G" ),1,0)+IF( AND((COUNTIF(EO$2:EO$33,'Your Team'!$D$10)&gt;0),'Your Team'!$C$10="G" ),1,0)+IF( AND((COUNTIF(EO$2:EO$33,'Your Team'!$D$11)&gt;0),'Your Team'!$C$11="G" ),1,0)+IF( AND((COUNTIF(EO$2:EO$33,'Your Team'!$D$12)&gt;0),'Your Team'!$C$12="G" ),1,0)+IF( AND((COUNTIF(EO$2:EO$33,'Your Team'!$D$13)&gt;0),'Your Team'!$C$13="G" ),1,0)+IF( AND((COUNTIF(EO$2:EO$33,'Your Team'!$D$14)&gt;0),'Your Team'!$C$14="G" ),1,0)+IF( AND((COUNTIF(EO$2:EO$33,'Your Team'!$D$15)&gt;0),'Your Team'!$C$15="G" ),1,0)+IF( AND((COUNTIF(EO$2:EO$33,'Your Team'!$D$16)&gt;0),'Your Team'!$C$16="G" ),1,0)+IF( AND((COUNTIF(EO$2:EO$33,'Your Team'!$D$17)&gt;0),'Your Team'!$C$17="G" ),1,0)+IF( AND((COUNTIF(EO$2:EO$33,'Your Team'!$D$18)&gt;0),'Your Team'!$C$18="G" ),1,0)+IF( AND((COUNTIF(EO$2:EO$33,'Your Team'!$D$19)&gt;0),'Your Team'!$C$19="G" ),1,0)</f>
        <v>0</v>
      </c>
      <c r="EP41" s="9">
        <f>IF( AND((COUNTIF(EP$2:EP$33,'Your Team'!$D$3)&gt;0),'Your Team'!$C$3="G" ),1,0)+IF( AND((COUNTIF(EP$2:EP$33,'Your Team'!$D$4)&gt;0),'Your Team'!$C$4="G" ),1,0)+IF( AND((COUNTIF(EP$2:EP$33,'Your Team'!$D$5)&gt;0),'Your Team'!$C$5="G" ),1,0)+IF( AND((COUNTIF(EP$2:EP$33,'Your Team'!$D$6)&gt;0),'Your Team'!$C$6="G" ),1,0)+IF( AND((COUNTIF(EP$2:EP$33,'Your Team'!$D$7)&gt;0),'Your Team'!$C$7="G" ),1,0)+IF( AND((COUNTIF(EP$2:EP$33,'Your Team'!$D$8)&gt;0),'Your Team'!$C$8="G" ),1,0)+IF( AND((COUNTIF(EP$2:EP$33,'Your Team'!$D$9)&gt;0),'Your Team'!$C$9="G" ),1,0)+IF( AND((COUNTIF(EP$2:EP$33,'Your Team'!$D$10)&gt;0),'Your Team'!$C$10="G" ),1,0)+IF( AND((COUNTIF(EP$2:EP$33,'Your Team'!$D$11)&gt;0),'Your Team'!$C$11="G" ),1,0)+IF( AND((COUNTIF(EP$2:EP$33,'Your Team'!$D$12)&gt;0),'Your Team'!$C$12="G" ),1,0)+IF( AND((COUNTIF(EP$2:EP$33,'Your Team'!$D$13)&gt;0),'Your Team'!$C$13="G" ),1,0)+IF( AND((COUNTIF(EP$2:EP$33,'Your Team'!$D$14)&gt;0),'Your Team'!$C$14="G" ),1,0)+IF( AND((COUNTIF(EP$2:EP$33,'Your Team'!$D$15)&gt;0),'Your Team'!$C$15="G" ),1,0)+IF( AND((COUNTIF(EP$2:EP$33,'Your Team'!$D$16)&gt;0),'Your Team'!$C$16="G" ),1,0)+IF( AND((COUNTIF(EP$2:EP$33,'Your Team'!$D$17)&gt;0),'Your Team'!$C$17="G" ),1,0)+IF( AND((COUNTIF(EP$2:EP$33,'Your Team'!$D$18)&gt;0),'Your Team'!$C$18="G" ),1,0)+IF( AND((COUNTIF(EP$2:EP$33,'Your Team'!$D$19)&gt;0),'Your Team'!$C$19="G" ),1,0)</f>
        <v>0</v>
      </c>
      <c r="EQ41" s="9">
        <f>IF( AND((COUNTIF(EQ$2:EQ$33,'Your Team'!$D$3)&gt;0),'Your Team'!$C$3="G" ),1,0)+IF( AND((COUNTIF(EQ$2:EQ$33,'Your Team'!$D$4)&gt;0),'Your Team'!$C$4="G" ),1,0)+IF( AND((COUNTIF(EQ$2:EQ$33,'Your Team'!$D$5)&gt;0),'Your Team'!$C$5="G" ),1,0)+IF( AND((COUNTIF(EQ$2:EQ$33,'Your Team'!$D$6)&gt;0),'Your Team'!$C$6="G" ),1,0)+IF( AND((COUNTIF(EQ$2:EQ$33,'Your Team'!$D$7)&gt;0),'Your Team'!$C$7="G" ),1,0)+IF( AND((COUNTIF(EQ$2:EQ$33,'Your Team'!$D$8)&gt;0),'Your Team'!$C$8="G" ),1,0)+IF( AND((COUNTIF(EQ$2:EQ$33,'Your Team'!$D$9)&gt;0),'Your Team'!$C$9="G" ),1,0)+IF( AND((COUNTIF(EQ$2:EQ$33,'Your Team'!$D$10)&gt;0),'Your Team'!$C$10="G" ),1,0)+IF( AND((COUNTIF(EQ$2:EQ$33,'Your Team'!$D$11)&gt;0),'Your Team'!$C$11="G" ),1,0)+IF( AND((COUNTIF(EQ$2:EQ$33,'Your Team'!$D$12)&gt;0),'Your Team'!$C$12="G" ),1,0)+IF( AND((COUNTIF(EQ$2:EQ$33,'Your Team'!$D$13)&gt;0),'Your Team'!$C$13="G" ),1,0)+IF( AND((COUNTIF(EQ$2:EQ$33,'Your Team'!$D$14)&gt;0),'Your Team'!$C$14="G" ),1,0)+IF( AND((COUNTIF(EQ$2:EQ$33,'Your Team'!$D$15)&gt;0),'Your Team'!$C$15="G" ),1,0)+IF( AND((COUNTIF(EQ$2:EQ$33,'Your Team'!$D$16)&gt;0),'Your Team'!$C$16="G" ),1,0)+IF( AND((COUNTIF(EQ$2:EQ$33,'Your Team'!$D$17)&gt;0),'Your Team'!$C$17="G" ),1,0)+IF( AND((COUNTIF(EQ$2:EQ$33,'Your Team'!$D$18)&gt;0),'Your Team'!$C$18="G" ),1,0)+IF( AND((COUNTIF(EQ$2:EQ$33,'Your Team'!$D$19)&gt;0),'Your Team'!$C$19="G" ),1,0)</f>
        <v>0</v>
      </c>
      <c r="ER41" s="9">
        <f>IF( AND((COUNTIF(ER$2:ER$33,'Your Team'!$D$3)&gt;0),'Your Team'!$C$3="G" ),1,0)+IF( AND((COUNTIF(ER$2:ER$33,'Your Team'!$D$4)&gt;0),'Your Team'!$C$4="G" ),1,0)+IF( AND((COUNTIF(ER$2:ER$33,'Your Team'!$D$5)&gt;0),'Your Team'!$C$5="G" ),1,0)+IF( AND((COUNTIF(ER$2:ER$33,'Your Team'!$D$6)&gt;0),'Your Team'!$C$6="G" ),1,0)+IF( AND((COUNTIF(ER$2:ER$33,'Your Team'!$D$7)&gt;0),'Your Team'!$C$7="G" ),1,0)+IF( AND((COUNTIF(ER$2:ER$33,'Your Team'!$D$8)&gt;0),'Your Team'!$C$8="G" ),1,0)+IF( AND((COUNTIF(ER$2:ER$33,'Your Team'!$D$9)&gt;0),'Your Team'!$C$9="G" ),1,0)+IF( AND((COUNTIF(ER$2:ER$33,'Your Team'!$D$10)&gt;0),'Your Team'!$C$10="G" ),1,0)+IF( AND((COUNTIF(ER$2:ER$33,'Your Team'!$D$11)&gt;0),'Your Team'!$C$11="G" ),1,0)+IF( AND((COUNTIF(ER$2:ER$33,'Your Team'!$D$12)&gt;0),'Your Team'!$C$12="G" ),1,0)+IF( AND((COUNTIF(ER$2:ER$33,'Your Team'!$D$13)&gt;0),'Your Team'!$C$13="G" ),1,0)+IF( AND((COUNTIF(ER$2:ER$33,'Your Team'!$D$14)&gt;0),'Your Team'!$C$14="G" ),1,0)+IF( AND((COUNTIF(ER$2:ER$33,'Your Team'!$D$15)&gt;0),'Your Team'!$C$15="G" ),1,0)+IF( AND((COUNTIF(ER$2:ER$33,'Your Team'!$D$16)&gt;0),'Your Team'!$C$16="G" ),1,0)+IF( AND((COUNTIF(ER$2:ER$33,'Your Team'!$D$17)&gt;0),'Your Team'!$C$17="G" ),1,0)+IF( AND((COUNTIF(ER$2:ER$33,'Your Team'!$D$18)&gt;0),'Your Team'!$C$18="G" ),1,0)+IF( AND((COUNTIF(ER$2:ER$33,'Your Team'!$D$19)&gt;0),'Your Team'!$C$19="G" ),1,0)</f>
        <v>0</v>
      </c>
      <c r="ES41" s="9">
        <f>IF( AND((COUNTIF(ES$2:ES$33,'Your Team'!$D$3)&gt;0),'Your Team'!$C$3="G" ),1,0)+IF( AND((COUNTIF(ES$2:ES$33,'Your Team'!$D$4)&gt;0),'Your Team'!$C$4="G" ),1,0)+IF( AND((COUNTIF(ES$2:ES$33,'Your Team'!$D$5)&gt;0),'Your Team'!$C$5="G" ),1,0)+IF( AND((COUNTIF(ES$2:ES$33,'Your Team'!$D$6)&gt;0),'Your Team'!$C$6="G" ),1,0)+IF( AND((COUNTIF(ES$2:ES$33,'Your Team'!$D$7)&gt;0),'Your Team'!$C$7="G" ),1,0)+IF( AND((COUNTIF(ES$2:ES$33,'Your Team'!$D$8)&gt;0),'Your Team'!$C$8="G" ),1,0)+IF( AND((COUNTIF(ES$2:ES$33,'Your Team'!$D$9)&gt;0),'Your Team'!$C$9="G" ),1,0)+IF( AND((COUNTIF(ES$2:ES$33,'Your Team'!$D$10)&gt;0),'Your Team'!$C$10="G" ),1,0)+IF( AND((COUNTIF(ES$2:ES$33,'Your Team'!$D$11)&gt;0),'Your Team'!$C$11="G" ),1,0)+IF( AND((COUNTIF(ES$2:ES$33,'Your Team'!$D$12)&gt;0),'Your Team'!$C$12="G" ),1,0)+IF( AND((COUNTIF(ES$2:ES$33,'Your Team'!$D$13)&gt;0),'Your Team'!$C$13="G" ),1,0)+IF( AND((COUNTIF(ES$2:ES$33,'Your Team'!$D$14)&gt;0),'Your Team'!$C$14="G" ),1,0)+IF( AND((COUNTIF(ES$2:ES$33,'Your Team'!$D$15)&gt;0),'Your Team'!$C$15="G" ),1,0)+IF( AND((COUNTIF(ES$2:ES$33,'Your Team'!$D$16)&gt;0),'Your Team'!$C$16="G" ),1,0)+IF( AND((COUNTIF(ES$2:ES$33,'Your Team'!$D$17)&gt;0),'Your Team'!$C$17="G" ),1,0)+IF( AND((COUNTIF(ES$2:ES$33,'Your Team'!$D$18)&gt;0),'Your Team'!$C$18="G" ),1,0)+IF( AND((COUNTIF(ES$2:ES$33,'Your Team'!$D$19)&gt;0),'Your Team'!$C$19="G" ),1,0)</f>
        <v>0</v>
      </c>
      <c r="ET41" s="9">
        <f>IF( AND((COUNTIF(ET$2:ET$33,'Your Team'!$D$3)&gt;0),'Your Team'!$C$3="G" ),1,0)+IF( AND((COUNTIF(ET$2:ET$33,'Your Team'!$D$4)&gt;0),'Your Team'!$C$4="G" ),1,0)+IF( AND((COUNTIF(ET$2:ET$33,'Your Team'!$D$5)&gt;0),'Your Team'!$C$5="G" ),1,0)+IF( AND((COUNTIF(ET$2:ET$33,'Your Team'!$D$6)&gt;0),'Your Team'!$C$6="G" ),1,0)+IF( AND((COUNTIF(ET$2:ET$33,'Your Team'!$D$7)&gt;0),'Your Team'!$C$7="G" ),1,0)+IF( AND((COUNTIF(ET$2:ET$33,'Your Team'!$D$8)&gt;0),'Your Team'!$C$8="G" ),1,0)+IF( AND((COUNTIF(ET$2:ET$33,'Your Team'!$D$9)&gt;0),'Your Team'!$C$9="G" ),1,0)+IF( AND((COUNTIF(ET$2:ET$33,'Your Team'!$D$10)&gt;0),'Your Team'!$C$10="G" ),1,0)+IF( AND((COUNTIF(ET$2:ET$33,'Your Team'!$D$11)&gt;0),'Your Team'!$C$11="G" ),1,0)+IF( AND((COUNTIF(ET$2:ET$33,'Your Team'!$D$12)&gt;0),'Your Team'!$C$12="G" ),1,0)+IF( AND((COUNTIF(ET$2:ET$33,'Your Team'!$D$13)&gt;0),'Your Team'!$C$13="G" ),1,0)+IF( AND((COUNTIF(ET$2:ET$33,'Your Team'!$D$14)&gt;0),'Your Team'!$C$14="G" ),1,0)+IF( AND((COUNTIF(ET$2:ET$33,'Your Team'!$D$15)&gt;0),'Your Team'!$C$15="G" ),1,0)+IF( AND((COUNTIF(ET$2:ET$33,'Your Team'!$D$16)&gt;0),'Your Team'!$C$16="G" ),1,0)+IF( AND((COUNTIF(ET$2:ET$33,'Your Team'!$D$17)&gt;0),'Your Team'!$C$17="G" ),1,0)+IF( AND((COUNTIF(ET$2:ET$33,'Your Team'!$D$18)&gt;0),'Your Team'!$C$18="G" ),1,0)+IF( AND((COUNTIF(ET$2:ET$33,'Your Team'!$D$19)&gt;0),'Your Team'!$C$19="G" ),1,0)</f>
        <v>0</v>
      </c>
      <c r="EU41" s="9">
        <f>IF( AND((COUNTIF(EU$2:EU$33,'Your Team'!$D$3)&gt;0),'Your Team'!$C$3="G" ),1,0)+IF( AND((COUNTIF(EU$2:EU$33,'Your Team'!$D$4)&gt;0),'Your Team'!$C$4="G" ),1,0)+IF( AND((COUNTIF(EU$2:EU$33,'Your Team'!$D$5)&gt;0),'Your Team'!$C$5="G" ),1,0)+IF( AND((COUNTIF(EU$2:EU$33,'Your Team'!$D$6)&gt;0),'Your Team'!$C$6="G" ),1,0)+IF( AND((COUNTIF(EU$2:EU$33,'Your Team'!$D$7)&gt;0),'Your Team'!$C$7="G" ),1,0)+IF( AND((COUNTIF(EU$2:EU$33,'Your Team'!$D$8)&gt;0),'Your Team'!$C$8="G" ),1,0)+IF( AND((COUNTIF(EU$2:EU$33,'Your Team'!$D$9)&gt;0),'Your Team'!$C$9="G" ),1,0)+IF( AND((COUNTIF(EU$2:EU$33,'Your Team'!$D$10)&gt;0),'Your Team'!$C$10="G" ),1,0)+IF( AND((COUNTIF(EU$2:EU$33,'Your Team'!$D$11)&gt;0),'Your Team'!$C$11="G" ),1,0)+IF( AND((COUNTIF(EU$2:EU$33,'Your Team'!$D$12)&gt;0),'Your Team'!$C$12="G" ),1,0)+IF( AND((COUNTIF(EU$2:EU$33,'Your Team'!$D$13)&gt;0),'Your Team'!$C$13="G" ),1,0)+IF( AND((COUNTIF(EU$2:EU$33,'Your Team'!$D$14)&gt;0),'Your Team'!$C$14="G" ),1,0)+IF( AND((COUNTIF(EU$2:EU$33,'Your Team'!$D$15)&gt;0),'Your Team'!$C$15="G" ),1,0)+IF( AND((COUNTIF(EU$2:EU$33,'Your Team'!$D$16)&gt;0),'Your Team'!$C$16="G" ),1,0)+IF( AND((COUNTIF(EU$2:EU$33,'Your Team'!$D$17)&gt;0),'Your Team'!$C$17="G" ),1,0)+IF( AND((COUNTIF(EU$2:EU$33,'Your Team'!$D$18)&gt;0),'Your Team'!$C$18="G" ),1,0)+IF( AND((COUNTIF(EU$2:EU$33,'Your Team'!$D$19)&gt;0),'Your Team'!$C$19="G" ),1,0)</f>
        <v>0</v>
      </c>
      <c r="EV41" s="9">
        <f>IF( AND((COUNTIF(EV$2:EV$33,'Your Team'!$D$3)&gt;0),'Your Team'!$C$3="G" ),1,0)+IF( AND((COUNTIF(EV$2:EV$33,'Your Team'!$D$4)&gt;0),'Your Team'!$C$4="G" ),1,0)+IF( AND((COUNTIF(EV$2:EV$33,'Your Team'!$D$5)&gt;0),'Your Team'!$C$5="G" ),1,0)+IF( AND((COUNTIF(EV$2:EV$33,'Your Team'!$D$6)&gt;0),'Your Team'!$C$6="G" ),1,0)+IF( AND((COUNTIF(EV$2:EV$33,'Your Team'!$D$7)&gt;0),'Your Team'!$C$7="G" ),1,0)+IF( AND((COUNTIF(EV$2:EV$33,'Your Team'!$D$8)&gt;0),'Your Team'!$C$8="G" ),1,0)+IF( AND((COUNTIF(EV$2:EV$33,'Your Team'!$D$9)&gt;0),'Your Team'!$C$9="G" ),1,0)+IF( AND((COUNTIF(EV$2:EV$33,'Your Team'!$D$10)&gt;0),'Your Team'!$C$10="G" ),1,0)+IF( AND((COUNTIF(EV$2:EV$33,'Your Team'!$D$11)&gt;0),'Your Team'!$C$11="G" ),1,0)+IF( AND((COUNTIF(EV$2:EV$33,'Your Team'!$D$12)&gt;0),'Your Team'!$C$12="G" ),1,0)+IF( AND((COUNTIF(EV$2:EV$33,'Your Team'!$D$13)&gt;0),'Your Team'!$C$13="G" ),1,0)+IF( AND((COUNTIF(EV$2:EV$33,'Your Team'!$D$14)&gt;0),'Your Team'!$C$14="G" ),1,0)+IF( AND((COUNTIF(EV$2:EV$33,'Your Team'!$D$15)&gt;0),'Your Team'!$C$15="G" ),1,0)+IF( AND((COUNTIF(EV$2:EV$33,'Your Team'!$D$16)&gt;0),'Your Team'!$C$16="G" ),1,0)+IF( AND((COUNTIF(EV$2:EV$33,'Your Team'!$D$17)&gt;0),'Your Team'!$C$17="G" ),1,0)+IF( AND((COUNTIF(EV$2:EV$33,'Your Team'!$D$18)&gt;0),'Your Team'!$C$18="G" ),1,0)+IF( AND((COUNTIF(EV$2:EV$33,'Your Team'!$D$19)&gt;0),'Your Team'!$C$19="G" ),1,0)</f>
        <v>0</v>
      </c>
      <c r="EW41" s="9">
        <f>IF( AND((COUNTIF(EW$2:EW$33,'Your Team'!$D$3)&gt;0),'Your Team'!$C$3="G" ),1,0)+IF( AND((COUNTIF(EW$2:EW$33,'Your Team'!$D$4)&gt;0),'Your Team'!$C$4="G" ),1,0)+IF( AND((COUNTIF(EW$2:EW$33,'Your Team'!$D$5)&gt;0),'Your Team'!$C$5="G" ),1,0)+IF( AND((COUNTIF(EW$2:EW$33,'Your Team'!$D$6)&gt;0),'Your Team'!$C$6="G" ),1,0)+IF( AND((COUNTIF(EW$2:EW$33,'Your Team'!$D$7)&gt;0),'Your Team'!$C$7="G" ),1,0)+IF( AND((COUNTIF(EW$2:EW$33,'Your Team'!$D$8)&gt;0),'Your Team'!$C$8="G" ),1,0)+IF( AND((COUNTIF(EW$2:EW$33,'Your Team'!$D$9)&gt;0),'Your Team'!$C$9="G" ),1,0)+IF( AND((COUNTIF(EW$2:EW$33,'Your Team'!$D$10)&gt;0),'Your Team'!$C$10="G" ),1,0)+IF( AND((COUNTIF(EW$2:EW$33,'Your Team'!$D$11)&gt;0),'Your Team'!$C$11="G" ),1,0)+IF( AND((COUNTIF(EW$2:EW$33,'Your Team'!$D$12)&gt;0),'Your Team'!$C$12="G" ),1,0)+IF( AND((COUNTIF(EW$2:EW$33,'Your Team'!$D$13)&gt;0),'Your Team'!$C$13="G" ),1,0)+IF( AND((COUNTIF(EW$2:EW$33,'Your Team'!$D$14)&gt;0),'Your Team'!$C$14="G" ),1,0)+IF( AND((COUNTIF(EW$2:EW$33,'Your Team'!$D$15)&gt;0),'Your Team'!$C$15="G" ),1,0)+IF( AND((COUNTIF(EW$2:EW$33,'Your Team'!$D$16)&gt;0),'Your Team'!$C$16="G" ),1,0)+IF( AND((COUNTIF(EW$2:EW$33,'Your Team'!$D$17)&gt;0),'Your Team'!$C$17="G" ),1,0)+IF( AND((COUNTIF(EW$2:EW$33,'Your Team'!$D$18)&gt;0),'Your Team'!$C$18="G" ),1,0)+IF( AND((COUNTIF(EW$2:EW$33,'Your Team'!$D$19)&gt;0),'Your Team'!$C$19="G" ),1,0)</f>
        <v>0</v>
      </c>
      <c r="EX41" s="9">
        <f>IF( AND((COUNTIF(EX$2:EX$33,'Your Team'!$D$3)&gt;0),'Your Team'!$C$3="G" ),1,0)+IF( AND((COUNTIF(EX$2:EX$33,'Your Team'!$D$4)&gt;0),'Your Team'!$C$4="G" ),1,0)+IF( AND((COUNTIF(EX$2:EX$33,'Your Team'!$D$5)&gt;0),'Your Team'!$C$5="G" ),1,0)+IF( AND((COUNTIF(EX$2:EX$33,'Your Team'!$D$6)&gt;0),'Your Team'!$C$6="G" ),1,0)+IF( AND((COUNTIF(EX$2:EX$33,'Your Team'!$D$7)&gt;0),'Your Team'!$C$7="G" ),1,0)+IF( AND((COUNTIF(EX$2:EX$33,'Your Team'!$D$8)&gt;0),'Your Team'!$C$8="G" ),1,0)+IF( AND((COUNTIF(EX$2:EX$33,'Your Team'!$D$9)&gt;0),'Your Team'!$C$9="G" ),1,0)+IF( AND((COUNTIF(EX$2:EX$33,'Your Team'!$D$10)&gt;0),'Your Team'!$C$10="G" ),1,0)+IF( AND((COUNTIF(EX$2:EX$33,'Your Team'!$D$11)&gt;0),'Your Team'!$C$11="G" ),1,0)+IF( AND((COUNTIF(EX$2:EX$33,'Your Team'!$D$12)&gt;0),'Your Team'!$C$12="G" ),1,0)+IF( AND((COUNTIF(EX$2:EX$33,'Your Team'!$D$13)&gt;0),'Your Team'!$C$13="G" ),1,0)+IF( AND((COUNTIF(EX$2:EX$33,'Your Team'!$D$14)&gt;0),'Your Team'!$C$14="G" ),1,0)+IF( AND((COUNTIF(EX$2:EX$33,'Your Team'!$D$15)&gt;0),'Your Team'!$C$15="G" ),1,0)+IF( AND((COUNTIF(EX$2:EX$33,'Your Team'!$D$16)&gt;0),'Your Team'!$C$16="G" ),1,0)+IF( AND((COUNTIF(EX$2:EX$33,'Your Team'!$D$17)&gt;0),'Your Team'!$C$17="G" ),1,0)+IF( AND((COUNTIF(EX$2:EX$33,'Your Team'!$D$18)&gt;0),'Your Team'!$C$18="G" ),1,0)+IF( AND((COUNTIF(EX$2:EX$33,'Your Team'!$D$19)&gt;0),'Your Team'!$C$19="G" ),1,0)</f>
        <v>0</v>
      </c>
      <c r="EY41" s="9">
        <f>IF( AND((COUNTIF(EY$2:EY$33,'Your Team'!$D$3)&gt;0),'Your Team'!$C$3="G" ),1,0)+IF( AND((COUNTIF(EY$2:EY$33,'Your Team'!$D$4)&gt;0),'Your Team'!$C$4="G" ),1,0)+IF( AND((COUNTIF(EY$2:EY$33,'Your Team'!$D$5)&gt;0),'Your Team'!$C$5="G" ),1,0)+IF( AND((COUNTIF(EY$2:EY$33,'Your Team'!$D$6)&gt;0),'Your Team'!$C$6="G" ),1,0)+IF( AND((COUNTIF(EY$2:EY$33,'Your Team'!$D$7)&gt;0),'Your Team'!$C$7="G" ),1,0)+IF( AND((COUNTIF(EY$2:EY$33,'Your Team'!$D$8)&gt;0),'Your Team'!$C$8="G" ),1,0)+IF( AND((COUNTIF(EY$2:EY$33,'Your Team'!$D$9)&gt;0),'Your Team'!$C$9="G" ),1,0)+IF( AND((COUNTIF(EY$2:EY$33,'Your Team'!$D$10)&gt;0),'Your Team'!$C$10="G" ),1,0)+IF( AND((COUNTIF(EY$2:EY$33,'Your Team'!$D$11)&gt;0),'Your Team'!$C$11="G" ),1,0)+IF( AND((COUNTIF(EY$2:EY$33,'Your Team'!$D$12)&gt;0),'Your Team'!$C$12="G" ),1,0)+IF( AND((COUNTIF(EY$2:EY$33,'Your Team'!$D$13)&gt;0),'Your Team'!$C$13="G" ),1,0)+IF( AND((COUNTIF(EY$2:EY$33,'Your Team'!$D$14)&gt;0),'Your Team'!$C$14="G" ),1,0)+IF( AND((COUNTIF(EY$2:EY$33,'Your Team'!$D$15)&gt;0),'Your Team'!$C$15="G" ),1,0)+IF( AND((COUNTIF(EY$2:EY$33,'Your Team'!$D$16)&gt;0),'Your Team'!$C$16="G" ),1,0)+IF( AND((COUNTIF(EY$2:EY$33,'Your Team'!$D$17)&gt;0),'Your Team'!$C$17="G" ),1,0)+IF( AND((COUNTIF(EY$2:EY$33,'Your Team'!$D$18)&gt;0),'Your Team'!$C$18="G" ),1,0)+IF( AND((COUNTIF(EY$2:EY$33,'Your Team'!$D$19)&gt;0),'Your Team'!$C$19="G" ),1,0)</f>
        <v>0</v>
      </c>
      <c r="EZ41" s="9">
        <f>IF( AND((COUNTIF(EZ$2:EZ$33,'Your Team'!$D$3)&gt;0),'Your Team'!$C$3="G" ),1,0)+IF( AND((COUNTIF(EZ$2:EZ$33,'Your Team'!$D$4)&gt;0),'Your Team'!$C$4="G" ),1,0)+IF( AND((COUNTIF(EZ$2:EZ$33,'Your Team'!$D$5)&gt;0),'Your Team'!$C$5="G" ),1,0)+IF( AND((COUNTIF(EZ$2:EZ$33,'Your Team'!$D$6)&gt;0),'Your Team'!$C$6="G" ),1,0)+IF( AND((COUNTIF(EZ$2:EZ$33,'Your Team'!$D$7)&gt;0),'Your Team'!$C$7="G" ),1,0)+IF( AND((COUNTIF(EZ$2:EZ$33,'Your Team'!$D$8)&gt;0),'Your Team'!$C$8="G" ),1,0)+IF( AND((COUNTIF(EZ$2:EZ$33,'Your Team'!$D$9)&gt;0),'Your Team'!$C$9="G" ),1,0)+IF( AND((COUNTIF(EZ$2:EZ$33,'Your Team'!$D$10)&gt;0),'Your Team'!$C$10="G" ),1,0)+IF( AND((COUNTIF(EZ$2:EZ$33,'Your Team'!$D$11)&gt;0),'Your Team'!$C$11="G" ),1,0)+IF( AND((COUNTIF(EZ$2:EZ$33,'Your Team'!$D$12)&gt;0),'Your Team'!$C$12="G" ),1,0)+IF( AND((COUNTIF(EZ$2:EZ$33,'Your Team'!$D$13)&gt;0),'Your Team'!$C$13="G" ),1,0)+IF( AND((COUNTIF(EZ$2:EZ$33,'Your Team'!$D$14)&gt;0),'Your Team'!$C$14="G" ),1,0)+IF( AND((COUNTIF(EZ$2:EZ$33,'Your Team'!$D$15)&gt;0),'Your Team'!$C$15="G" ),1,0)+IF( AND((COUNTIF(EZ$2:EZ$33,'Your Team'!$D$16)&gt;0),'Your Team'!$C$16="G" ),1,0)+IF( AND((COUNTIF(EZ$2:EZ$33,'Your Team'!$D$17)&gt;0),'Your Team'!$C$17="G" ),1,0)+IF( AND((COUNTIF(EZ$2:EZ$33,'Your Team'!$D$18)&gt;0),'Your Team'!$C$18="G" ),1,0)+IF( AND((COUNTIF(EZ$2:EZ$33,'Your Team'!$D$19)&gt;0),'Your Team'!$C$19="G" ),1,0)</f>
        <v>0</v>
      </c>
      <c r="FA41" s="9">
        <f>IF( AND((COUNTIF(FA$2:FA$33,'Your Team'!$D$3)&gt;0),'Your Team'!$C$3="G" ),1,0)+IF( AND((COUNTIF(FA$2:FA$33,'Your Team'!$D$4)&gt;0),'Your Team'!$C$4="G" ),1,0)+IF( AND((COUNTIF(FA$2:FA$33,'Your Team'!$D$5)&gt;0),'Your Team'!$C$5="G" ),1,0)+IF( AND((COUNTIF(FA$2:FA$33,'Your Team'!$D$6)&gt;0),'Your Team'!$C$6="G" ),1,0)+IF( AND((COUNTIF(FA$2:FA$33,'Your Team'!$D$7)&gt;0),'Your Team'!$C$7="G" ),1,0)+IF( AND((COUNTIF(FA$2:FA$33,'Your Team'!$D$8)&gt;0),'Your Team'!$C$8="G" ),1,0)+IF( AND((COUNTIF(FA$2:FA$33,'Your Team'!$D$9)&gt;0),'Your Team'!$C$9="G" ),1,0)+IF( AND((COUNTIF(FA$2:FA$33,'Your Team'!$D$10)&gt;0),'Your Team'!$C$10="G" ),1,0)+IF( AND((COUNTIF(FA$2:FA$33,'Your Team'!$D$11)&gt;0),'Your Team'!$C$11="G" ),1,0)+IF( AND((COUNTIF(FA$2:FA$33,'Your Team'!$D$12)&gt;0),'Your Team'!$C$12="G" ),1,0)+IF( AND((COUNTIF(FA$2:FA$33,'Your Team'!$D$13)&gt;0),'Your Team'!$C$13="G" ),1,0)+IF( AND((COUNTIF(FA$2:FA$33,'Your Team'!$D$14)&gt;0),'Your Team'!$C$14="G" ),1,0)+IF( AND((COUNTIF(FA$2:FA$33,'Your Team'!$D$15)&gt;0),'Your Team'!$C$15="G" ),1,0)+IF( AND((COUNTIF(FA$2:FA$33,'Your Team'!$D$16)&gt;0),'Your Team'!$C$16="G" ),1,0)+IF( AND((COUNTIF(FA$2:FA$33,'Your Team'!$D$17)&gt;0),'Your Team'!$C$17="G" ),1,0)+IF( AND((COUNTIF(FA$2:FA$33,'Your Team'!$D$18)&gt;0),'Your Team'!$C$18="G" ),1,0)+IF( AND((COUNTIF(FA$2:FA$33,'Your Team'!$D$19)&gt;0),'Your Team'!$C$19="G" ),1,0)</f>
        <v>0</v>
      </c>
      <c r="FB41" s="9">
        <f>IF( AND((COUNTIF(FB$2:FB$33,'Your Team'!$D$3)&gt;0),'Your Team'!$C$3="G" ),1,0)+IF( AND((COUNTIF(FB$2:FB$33,'Your Team'!$D$4)&gt;0),'Your Team'!$C$4="G" ),1,0)+IF( AND((COUNTIF(FB$2:FB$33,'Your Team'!$D$5)&gt;0),'Your Team'!$C$5="G" ),1,0)+IF( AND((COUNTIF(FB$2:FB$33,'Your Team'!$D$6)&gt;0),'Your Team'!$C$6="G" ),1,0)+IF( AND((COUNTIF(FB$2:FB$33,'Your Team'!$D$7)&gt;0),'Your Team'!$C$7="G" ),1,0)+IF( AND((COUNTIF(FB$2:FB$33,'Your Team'!$D$8)&gt;0),'Your Team'!$C$8="G" ),1,0)+IF( AND((COUNTIF(FB$2:FB$33,'Your Team'!$D$9)&gt;0),'Your Team'!$C$9="G" ),1,0)+IF( AND((COUNTIF(FB$2:FB$33,'Your Team'!$D$10)&gt;0),'Your Team'!$C$10="G" ),1,0)+IF( AND((COUNTIF(FB$2:FB$33,'Your Team'!$D$11)&gt;0),'Your Team'!$C$11="G" ),1,0)+IF( AND((COUNTIF(FB$2:FB$33,'Your Team'!$D$12)&gt;0),'Your Team'!$C$12="G" ),1,0)+IF( AND((COUNTIF(FB$2:FB$33,'Your Team'!$D$13)&gt;0),'Your Team'!$C$13="G" ),1,0)+IF( AND((COUNTIF(FB$2:FB$33,'Your Team'!$D$14)&gt;0),'Your Team'!$C$14="G" ),1,0)+IF( AND((COUNTIF(FB$2:FB$33,'Your Team'!$D$15)&gt;0),'Your Team'!$C$15="G" ),1,0)+IF( AND((COUNTIF(FB$2:FB$33,'Your Team'!$D$16)&gt;0),'Your Team'!$C$16="G" ),1,0)+IF( AND((COUNTIF(FB$2:FB$33,'Your Team'!$D$17)&gt;0),'Your Team'!$C$17="G" ),1,0)+IF( AND((COUNTIF(FB$2:FB$33,'Your Team'!$D$18)&gt;0),'Your Team'!$C$18="G" ),1,0)+IF( AND((COUNTIF(FB$2:FB$33,'Your Team'!$D$19)&gt;0),'Your Team'!$C$19="G" ),1,0)</f>
        <v>0</v>
      </c>
      <c r="FC41" s="9">
        <f>IF( AND((COUNTIF(FC$2:FC$33,'Your Team'!$D$3)&gt;0),'Your Team'!$C$3="G" ),1,0)+IF( AND((COUNTIF(FC$2:FC$33,'Your Team'!$D$4)&gt;0),'Your Team'!$C$4="G" ),1,0)+IF( AND((COUNTIF(FC$2:FC$33,'Your Team'!$D$5)&gt;0),'Your Team'!$C$5="G" ),1,0)+IF( AND((COUNTIF(FC$2:FC$33,'Your Team'!$D$6)&gt;0),'Your Team'!$C$6="G" ),1,0)+IF( AND((COUNTIF(FC$2:FC$33,'Your Team'!$D$7)&gt;0),'Your Team'!$C$7="G" ),1,0)+IF( AND((COUNTIF(FC$2:FC$33,'Your Team'!$D$8)&gt;0),'Your Team'!$C$8="G" ),1,0)+IF( AND((COUNTIF(FC$2:FC$33,'Your Team'!$D$9)&gt;0),'Your Team'!$C$9="G" ),1,0)+IF( AND((COUNTIF(FC$2:FC$33,'Your Team'!$D$10)&gt;0),'Your Team'!$C$10="G" ),1,0)+IF( AND((COUNTIF(FC$2:FC$33,'Your Team'!$D$11)&gt;0),'Your Team'!$C$11="G" ),1,0)+IF( AND((COUNTIF(FC$2:FC$33,'Your Team'!$D$12)&gt;0),'Your Team'!$C$12="G" ),1,0)+IF( AND((COUNTIF(FC$2:FC$33,'Your Team'!$D$13)&gt;0),'Your Team'!$C$13="G" ),1,0)+IF( AND((COUNTIF(FC$2:FC$33,'Your Team'!$D$14)&gt;0),'Your Team'!$C$14="G" ),1,0)+IF( AND((COUNTIF(FC$2:FC$33,'Your Team'!$D$15)&gt;0),'Your Team'!$C$15="G" ),1,0)+IF( AND((COUNTIF(FC$2:FC$33,'Your Team'!$D$16)&gt;0),'Your Team'!$C$16="G" ),1,0)+IF( AND((COUNTIF(FC$2:FC$33,'Your Team'!$D$17)&gt;0),'Your Team'!$C$17="G" ),1,0)+IF( AND((COUNTIF(FC$2:FC$33,'Your Team'!$D$18)&gt;0),'Your Team'!$C$18="G" ),1,0)+IF( AND((COUNTIF(FC$2:FC$33,'Your Team'!$D$19)&gt;0),'Your Team'!$C$19="G" ),1,0)</f>
        <v>0</v>
      </c>
      <c r="FD41" s="9">
        <f>IF( AND((COUNTIF(FD$2:FD$33,'Your Team'!$D$3)&gt;0),'Your Team'!$C$3="G" ),1,0)+IF( AND((COUNTIF(FD$2:FD$33,'Your Team'!$D$4)&gt;0),'Your Team'!$C$4="G" ),1,0)+IF( AND((COUNTIF(FD$2:FD$33,'Your Team'!$D$5)&gt;0),'Your Team'!$C$5="G" ),1,0)+IF( AND((COUNTIF(FD$2:FD$33,'Your Team'!$D$6)&gt;0),'Your Team'!$C$6="G" ),1,0)+IF( AND((COUNTIF(FD$2:FD$33,'Your Team'!$D$7)&gt;0),'Your Team'!$C$7="G" ),1,0)+IF( AND((COUNTIF(FD$2:FD$33,'Your Team'!$D$8)&gt;0),'Your Team'!$C$8="G" ),1,0)+IF( AND((COUNTIF(FD$2:FD$33,'Your Team'!$D$9)&gt;0),'Your Team'!$C$9="G" ),1,0)+IF( AND((COUNTIF(FD$2:FD$33,'Your Team'!$D$10)&gt;0),'Your Team'!$C$10="G" ),1,0)+IF( AND((COUNTIF(FD$2:FD$33,'Your Team'!$D$11)&gt;0),'Your Team'!$C$11="G" ),1,0)+IF( AND((COUNTIF(FD$2:FD$33,'Your Team'!$D$12)&gt;0),'Your Team'!$C$12="G" ),1,0)+IF( AND((COUNTIF(FD$2:FD$33,'Your Team'!$D$13)&gt;0),'Your Team'!$C$13="G" ),1,0)+IF( AND((COUNTIF(FD$2:FD$33,'Your Team'!$D$14)&gt;0),'Your Team'!$C$14="G" ),1,0)+IF( AND((COUNTIF(FD$2:FD$33,'Your Team'!$D$15)&gt;0),'Your Team'!$C$15="G" ),1,0)+IF( AND((COUNTIF(FD$2:FD$33,'Your Team'!$D$16)&gt;0),'Your Team'!$C$16="G" ),1,0)+IF( AND((COUNTIF(FD$2:FD$33,'Your Team'!$D$17)&gt;0),'Your Team'!$C$17="G" ),1,0)+IF( AND((COUNTIF(FD$2:FD$33,'Your Team'!$D$18)&gt;0),'Your Team'!$C$18="G" ),1,0)+IF( AND((COUNTIF(FD$2:FD$33,'Your Team'!$D$19)&gt;0),'Your Team'!$C$19="G" ),1,0)</f>
        <v>0</v>
      </c>
      <c r="FE41" s="9">
        <f>IF( AND((COUNTIF(FE$2:FE$33,'Your Team'!$D$3)&gt;0),'Your Team'!$C$3="G" ),1,0)+IF( AND((COUNTIF(FE$2:FE$33,'Your Team'!$D$4)&gt;0),'Your Team'!$C$4="G" ),1,0)+IF( AND((COUNTIF(FE$2:FE$33,'Your Team'!$D$5)&gt;0),'Your Team'!$C$5="G" ),1,0)+IF( AND((COUNTIF(FE$2:FE$33,'Your Team'!$D$6)&gt;0),'Your Team'!$C$6="G" ),1,0)+IF( AND((COUNTIF(FE$2:FE$33,'Your Team'!$D$7)&gt;0),'Your Team'!$C$7="G" ),1,0)+IF( AND((COUNTIF(FE$2:FE$33,'Your Team'!$D$8)&gt;0),'Your Team'!$C$8="G" ),1,0)+IF( AND((COUNTIF(FE$2:FE$33,'Your Team'!$D$9)&gt;0),'Your Team'!$C$9="G" ),1,0)+IF( AND((COUNTIF(FE$2:FE$33,'Your Team'!$D$10)&gt;0),'Your Team'!$C$10="G" ),1,0)+IF( AND((COUNTIF(FE$2:FE$33,'Your Team'!$D$11)&gt;0),'Your Team'!$C$11="G" ),1,0)+IF( AND((COUNTIF(FE$2:FE$33,'Your Team'!$D$12)&gt;0),'Your Team'!$C$12="G" ),1,0)+IF( AND((COUNTIF(FE$2:FE$33,'Your Team'!$D$13)&gt;0),'Your Team'!$C$13="G" ),1,0)+IF( AND((COUNTIF(FE$2:FE$33,'Your Team'!$D$14)&gt;0),'Your Team'!$C$14="G" ),1,0)+IF( AND((COUNTIF(FE$2:FE$33,'Your Team'!$D$15)&gt;0),'Your Team'!$C$15="G" ),1,0)+IF( AND((COUNTIF(FE$2:FE$33,'Your Team'!$D$16)&gt;0),'Your Team'!$C$16="G" ),1,0)+IF( AND((COUNTIF(FE$2:FE$33,'Your Team'!$D$17)&gt;0),'Your Team'!$C$17="G" ),1,0)+IF( AND((COUNTIF(FE$2:FE$33,'Your Team'!$D$18)&gt;0),'Your Team'!$C$18="G" ),1,0)+IF( AND((COUNTIF(FE$2:FE$33,'Your Team'!$D$19)&gt;0),'Your Team'!$C$19="G" ),1,0)</f>
        <v>0</v>
      </c>
      <c r="FF41" s="9">
        <f>IF( AND((COUNTIF(FF$2:FF$33,'Your Team'!$D$3)&gt;0),'Your Team'!$C$3="G" ),1,0)+IF( AND((COUNTIF(FF$2:FF$33,'Your Team'!$D$4)&gt;0),'Your Team'!$C$4="G" ),1,0)+IF( AND((COUNTIF(FF$2:FF$33,'Your Team'!$D$5)&gt;0),'Your Team'!$C$5="G" ),1,0)+IF( AND((COUNTIF(FF$2:FF$33,'Your Team'!$D$6)&gt;0),'Your Team'!$C$6="G" ),1,0)+IF( AND((COUNTIF(FF$2:FF$33,'Your Team'!$D$7)&gt;0),'Your Team'!$C$7="G" ),1,0)+IF( AND((COUNTIF(FF$2:FF$33,'Your Team'!$D$8)&gt;0),'Your Team'!$C$8="G" ),1,0)+IF( AND((COUNTIF(FF$2:FF$33,'Your Team'!$D$9)&gt;0),'Your Team'!$C$9="G" ),1,0)+IF( AND((COUNTIF(FF$2:FF$33,'Your Team'!$D$10)&gt;0),'Your Team'!$C$10="G" ),1,0)+IF( AND((COUNTIF(FF$2:FF$33,'Your Team'!$D$11)&gt;0),'Your Team'!$C$11="G" ),1,0)+IF( AND((COUNTIF(FF$2:FF$33,'Your Team'!$D$12)&gt;0),'Your Team'!$C$12="G" ),1,0)+IF( AND((COUNTIF(FF$2:FF$33,'Your Team'!$D$13)&gt;0),'Your Team'!$C$13="G" ),1,0)+IF( AND((COUNTIF(FF$2:FF$33,'Your Team'!$D$14)&gt;0),'Your Team'!$C$14="G" ),1,0)+IF( AND((COUNTIF(FF$2:FF$33,'Your Team'!$D$15)&gt;0),'Your Team'!$C$15="G" ),1,0)+IF( AND((COUNTIF(FF$2:FF$33,'Your Team'!$D$16)&gt;0),'Your Team'!$C$16="G" ),1,0)+IF( AND((COUNTIF(FF$2:FF$33,'Your Team'!$D$17)&gt;0),'Your Team'!$C$17="G" ),1,0)+IF( AND((COUNTIF(FF$2:FF$33,'Your Team'!$D$18)&gt;0),'Your Team'!$C$18="G" ),1,0)+IF( AND((COUNTIF(FF$2:FF$33,'Your Team'!$D$19)&gt;0),'Your Team'!$C$19="G" ),1,0)</f>
        <v>0</v>
      </c>
      <c r="FG41" s="9">
        <f>IF( AND((COUNTIF(FG$2:FG$33,'Your Team'!$D$3)&gt;0),'Your Team'!$C$3="G" ),1,0)+IF( AND((COUNTIF(FG$2:FG$33,'Your Team'!$D$4)&gt;0),'Your Team'!$C$4="G" ),1,0)+IF( AND((COUNTIF(FG$2:FG$33,'Your Team'!$D$5)&gt;0),'Your Team'!$C$5="G" ),1,0)+IF( AND((COUNTIF(FG$2:FG$33,'Your Team'!$D$6)&gt;0),'Your Team'!$C$6="G" ),1,0)+IF( AND((COUNTIF(FG$2:FG$33,'Your Team'!$D$7)&gt;0),'Your Team'!$C$7="G" ),1,0)+IF( AND((COUNTIF(FG$2:FG$33,'Your Team'!$D$8)&gt;0),'Your Team'!$C$8="G" ),1,0)+IF( AND((COUNTIF(FG$2:FG$33,'Your Team'!$D$9)&gt;0),'Your Team'!$C$9="G" ),1,0)+IF( AND((COUNTIF(FG$2:FG$33,'Your Team'!$D$10)&gt;0),'Your Team'!$C$10="G" ),1,0)+IF( AND((COUNTIF(FG$2:FG$33,'Your Team'!$D$11)&gt;0),'Your Team'!$C$11="G" ),1,0)+IF( AND((COUNTIF(FG$2:FG$33,'Your Team'!$D$12)&gt;0),'Your Team'!$C$12="G" ),1,0)+IF( AND((COUNTIF(FG$2:FG$33,'Your Team'!$D$13)&gt;0),'Your Team'!$C$13="G" ),1,0)+IF( AND((COUNTIF(FG$2:FG$33,'Your Team'!$D$14)&gt;0),'Your Team'!$C$14="G" ),1,0)+IF( AND((COUNTIF(FG$2:FG$33,'Your Team'!$D$15)&gt;0),'Your Team'!$C$15="G" ),1,0)+IF( AND((COUNTIF(FG$2:FG$33,'Your Team'!$D$16)&gt;0),'Your Team'!$C$16="G" ),1,0)+IF( AND((COUNTIF(FG$2:FG$33,'Your Team'!$D$17)&gt;0),'Your Team'!$C$17="G" ),1,0)+IF( AND((COUNTIF(FG$2:FG$33,'Your Team'!$D$18)&gt;0),'Your Team'!$C$18="G" ),1,0)+IF( AND((COUNTIF(FG$2:FG$33,'Your Team'!$D$19)&gt;0),'Your Team'!$C$19="G" ),1,0)</f>
        <v>0</v>
      </c>
      <c r="FH41" s="9">
        <f>IF( AND((COUNTIF(FH$2:FH$33,'Your Team'!$D$3)&gt;0),'Your Team'!$C$3="G" ),1,0)+IF( AND((COUNTIF(FH$2:FH$33,'Your Team'!$D$4)&gt;0),'Your Team'!$C$4="G" ),1,0)+IF( AND((COUNTIF(FH$2:FH$33,'Your Team'!$D$5)&gt;0),'Your Team'!$C$5="G" ),1,0)+IF( AND((COUNTIF(FH$2:FH$33,'Your Team'!$D$6)&gt;0),'Your Team'!$C$6="G" ),1,0)+IF( AND((COUNTIF(FH$2:FH$33,'Your Team'!$D$7)&gt;0),'Your Team'!$C$7="G" ),1,0)+IF( AND((COUNTIF(FH$2:FH$33,'Your Team'!$D$8)&gt;0),'Your Team'!$C$8="G" ),1,0)+IF( AND((COUNTIF(FH$2:FH$33,'Your Team'!$D$9)&gt;0),'Your Team'!$C$9="G" ),1,0)+IF( AND((COUNTIF(FH$2:FH$33,'Your Team'!$D$10)&gt;0),'Your Team'!$C$10="G" ),1,0)+IF( AND((COUNTIF(FH$2:FH$33,'Your Team'!$D$11)&gt;0),'Your Team'!$C$11="G" ),1,0)+IF( AND((COUNTIF(FH$2:FH$33,'Your Team'!$D$12)&gt;0),'Your Team'!$C$12="G" ),1,0)+IF( AND((COUNTIF(FH$2:FH$33,'Your Team'!$D$13)&gt;0),'Your Team'!$C$13="G" ),1,0)+IF( AND((COUNTIF(FH$2:FH$33,'Your Team'!$D$14)&gt;0),'Your Team'!$C$14="G" ),1,0)+IF( AND((COUNTIF(FH$2:FH$33,'Your Team'!$D$15)&gt;0),'Your Team'!$C$15="G" ),1,0)+IF( AND((COUNTIF(FH$2:FH$33,'Your Team'!$D$16)&gt;0),'Your Team'!$C$16="G" ),1,0)+IF( AND((COUNTIF(FH$2:FH$33,'Your Team'!$D$17)&gt;0),'Your Team'!$C$17="G" ),1,0)+IF( AND((COUNTIF(FH$2:FH$33,'Your Team'!$D$18)&gt;0),'Your Team'!$C$18="G" ),1,0)+IF( AND((COUNTIF(FH$2:FH$33,'Your Team'!$D$19)&gt;0),'Your Team'!$C$19="G" ),1,0)</f>
        <v>0</v>
      </c>
      <c r="FI41" s="9">
        <f>IF( AND((COUNTIF(FI$2:FI$33,'Your Team'!$D$3)&gt;0),'Your Team'!$C$3="G" ),1,0)+IF( AND((COUNTIF(FI$2:FI$33,'Your Team'!$D$4)&gt;0),'Your Team'!$C$4="G" ),1,0)+IF( AND((COUNTIF(FI$2:FI$33,'Your Team'!$D$5)&gt;0),'Your Team'!$C$5="G" ),1,0)+IF( AND((COUNTIF(FI$2:FI$33,'Your Team'!$D$6)&gt;0),'Your Team'!$C$6="G" ),1,0)+IF( AND((COUNTIF(FI$2:FI$33,'Your Team'!$D$7)&gt;0),'Your Team'!$C$7="G" ),1,0)+IF( AND((COUNTIF(FI$2:FI$33,'Your Team'!$D$8)&gt;0),'Your Team'!$C$8="G" ),1,0)+IF( AND((COUNTIF(FI$2:FI$33,'Your Team'!$D$9)&gt;0),'Your Team'!$C$9="G" ),1,0)+IF( AND((COUNTIF(FI$2:FI$33,'Your Team'!$D$10)&gt;0),'Your Team'!$C$10="G" ),1,0)+IF( AND((COUNTIF(FI$2:FI$33,'Your Team'!$D$11)&gt;0),'Your Team'!$C$11="G" ),1,0)+IF( AND((COUNTIF(FI$2:FI$33,'Your Team'!$D$12)&gt;0),'Your Team'!$C$12="G" ),1,0)+IF( AND((COUNTIF(FI$2:FI$33,'Your Team'!$D$13)&gt;0),'Your Team'!$C$13="G" ),1,0)+IF( AND((COUNTIF(FI$2:FI$33,'Your Team'!$D$14)&gt;0),'Your Team'!$C$14="G" ),1,0)+IF( AND((COUNTIF(FI$2:FI$33,'Your Team'!$D$15)&gt;0),'Your Team'!$C$15="G" ),1,0)+IF( AND((COUNTIF(FI$2:FI$33,'Your Team'!$D$16)&gt;0),'Your Team'!$C$16="G" ),1,0)+IF( AND((COUNTIF(FI$2:FI$33,'Your Team'!$D$17)&gt;0),'Your Team'!$C$17="G" ),1,0)+IF( AND((COUNTIF(FI$2:FI$33,'Your Team'!$D$18)&gt;0),'Your Team'!$C$18="G" ),1,0)+IF( AND((COUNTIF(FI$2:FI$33,'Your Team'!$D$19)&gt;0),'Your Team'!$C$19="G" ),1,0)</f>
        <v>0</v>
      </c>
      <c r="FJ41" s="9">
        <f>IF( AND((COUNTIF(FJ$2:FJ$33,'Your Team'!$D$3)&gt;0),'Your Team'!$C$3="G" ),1,0)+IF( AND((COUNTIF(FJ$2:FJ$33,'Your Team'!$D$4)&gt;0),'Your Team'!$C$4="G" ),1,0)+IF( AND((COUNTIF(FJ$2:FJ$33,'Your Team'!$D$5)&gt;0),'Your Team'!$C$5="G" ),1,0)+IF( AND((COUNTIF(FJ$2:FJ$33,'Your Team'!$D$6)&gt;0),'Your Team'!$C$6="G" ),1,0)+IF( AND((COUNTIF(FJ$2:FJ$33,'Your Team'!$D$7)&gt;0),'Your Team'!$C$7="G" ),1,0)+IF( AND((COUNTIF(FJ$2:FJ$33,'Your Team'!$D$8)&gt;0),'Your Team'!$C$8="G" ),1,0)+IF( AND((COUNTIF(FJ$2:FJ$33,'Your Team'!$D$9)&gt;0),'Your Team'!$C$9="G" ),1,0)+IF( AND((COUNTIF(FJ$2:FJ$33,'Your Team'!$D$10)&gt;0),'Your Team'!$C$10="G" ),1,0)+IF( AND((COUNTIF(FJ$2:FJ$33,'Your Team'!$D$11)&gt;0),'Your Team'!$C$11="G" ),1,0)+IF( AND((COUNTIF(FJ$2:FJ$33,'Your Team'!$D$12)&gt;0),'Your Team'!$C$12="G" ),1,0)+IF( AND((COUNTIF(FJ$2:FJ$33,'Your Team'!$D$13)&gt;0),'Your Team'!$C$13="G" ),1,0)+IF( AND((COUNTIF(FJ$2:FJ$33,'Your Team'!$D$14)&gt;0),'Your Team'!$C$14="G" ),1,0)+IF( AND((COUNTIF(FJ$2:FJ$33,'Your Team'!$D$15)&gt;0),'Your Team'!$C$15="G" ),1,0)+IF( AND((COUNTIF(FJ$2:FJ$33,'Your Team'!$D$16)&gt;0),'Your Team'!$C$16="G" ),1,0)+IF( AND((COUNTIF(FJ$2:FJ$33,'Your Team'!$D$17)&gt;0),'Your Team'!$C$17="G" ),1,0)+IF( AND((COUNTIF(FJ$2:FJ$33,'Your Team'!$D$18)&gt;0),'Your Team'!$C$18="G" ),1,0)+IF( AND((COUNTIF(FJ$2:FJ$33,'Your Team'!$D$19)&gt;0),'Your Team'!$C$19="G" ),1,0)</f>
        <v>0</v>
      </c>
      <c r="FK41" s="9">
        <f>IF( AND((COUNTIF(FK$2:FK$33,'Your Team'!$D$3)&gt;0),'Your Team'!$C$3="G" ),1,0)+IF( AND((COUNTIF(FK$2:FK$33,'Your Team'!$D$4)&gt;0),'Your Team'!$C$4="G" ),1,0)+IF( AND((COUNTIF(FK$2:FK$33,'Your Team'!$D$5)&gt;0),'Your Team'!$C$5="G" ),1,0)+IF( AND((COUNTIF(FK$2:FK$33,'Your Team'!$D$6)&gt;0),'Your Team'!$C$6="G" ),1,0)+IF( AND((COUNTIF(FK$2:FK$33,'Your Team'!$D$7)&gt;0),'Your Team'!$C$7="G" ),1,0)+IF( AND((COUNTIF(FK$2:FK$33,'Your Team'!$D$8)&gt;0),'Your Team'!$C$8="G" ),1,0)+IF( AND((COUNTIF(FK$2:FK$33,'Your Team'!$D$9)&gt;0),'Your Team'!$C$9="G" ),1,0)+IF( AND((COUNTIF(FK$2:FK$33,'Your Team'!$D$10)&gt;0),'Your Team'!$C$10="G" ),1,0)+IF( AND((COUNTIF(FK$2:FK$33,'Your Team'!$D$11)&gt;0),'Your Team'!$C$11="G" ),1,0)+IF( AND((COUNTIF(FK$2:FK$33,'Your Team'!$D$12)&gt;0),'Your Team'!$C$12="G" ),1,0)+IF( AND((COUNTIF(FK$2:FK$33,'Your Team'!$D$13)&gt;0),'Your Team'!$C$13="G" ),1,0)+IF( AND((COUNTIF(FK$2:FK$33,'Your Team'!$D$14)&gt;0),'Your Team'!$C$14="G" ),1,0)+IF( AND((COUNTIF(FK$2:FK$33,'Your Team'!$D$15)&gt;0),'Your Team'!$C$15="G" ),1,0)+IF( AND((COUNTIF(FK$2:FK$33,'Your Team'!$D$16)&gt;0),'Your Team'!$C$16="G" ),1,0)+IF( AND((COUNTIF(FK$2:FK$33,'Your Team'!$D$17)&gt;0),'Your Team'!$C$17="G" ),1,0)+IF( AND((COUNTIF(FK$2:FK$33,'Your Team'!$D$18)&gt;0),'Your Team'!$C$18="G" ),1,0)+IF( AND((COUNTIF(FK$2:FK$33,'Your Team'!$D$19)&gt;0),'Your Team'!$C$19="G" ),1,0)</f>
        <v>0</v>
      </c>
      <c r="FL41" s="9">
        <f>IF( AND((COUNTIF(FL$2:FL$33,'Your Team'!$D$3)&gt;0),'Your Team'!$C$3="G" ),1,0)+IF( AND((COUNTIF(FL$2:FL$33,'Your Team'!$D$4)&gt;0),'Your Team'!$C$4="G" ),1,0)+IF( AND((COUNTIF(FL$2:FL$33,'Your Team'!$D$5)&gt;0),'Your Team'!$C$5="G" ),1,0)+IF( AND((COUNTIF(FL$2:FL$33,'Your Team'!$D$6)&gt;0),'Your Team'!$C$6="G" ),1,0)+IF( AND((COUNTIF(FL$2:FL$33,'Your Team'!$D$7)&gt;0),'Your Team'!$C$7="G" ),1,0)+IF( AND((COUNTIF(FL$2:FL$33,'Your Team'!$D$8)&gt;0),'Your Team'!$C$8="G" ),1,0)+IF( AND((COUNTIF(FL$2:FL$33,'Your Team'!$D$9)&gt;0),'Your Team'!$C$9="G" ),1,0)+IF( AND((COUNTIF(FL$2:FL$33,'Your Team'!$D$10)&gt;0),'Your Team'!$C$10="G" ),1,0)+IF( AND((COUNTIF(FL$2:FL$33,'Your Team'!$D$11)&gt;0),'Your Team'!$C$11="G" ),1,0)+IF( AND((COUNTIF(FL$2:FL$33,'Your Team'!$D$12)&gt;0),'Your Team'!$C$12="G" ),1,0)+IF( AND((COUNTIF(FL$2:FL$33,'Your Team'!$D$13)&gt;0),'Your Team'!$C$13="G" ),1,0)+IF( AND((COUNTIF(FL$2:FL$33,'Your Team'!$D$14)&gt;0),'Your Team'!$C$14="G" ),1,0)+IF( AND((COUNTIF(FL$2:FL$33,'Your Team'!$D$15)&gt;0),'Your Team'!$C$15="G" ),1,0)+IF( AND((COUNTIF(FL$2:FL$33,'Your Team'!$D$16)&gt;0),'Your Team'!$C$16="G" ),1,0)+IF( AND((COUNTIF(FL$2:FL$33,'Your Team'!$D$17)&gt;0),'Your Team'!$C$17="G" ),1,0)+IF( AND((COUNTIF(FL$2:FL$33,'Your Team'!$D$18)&gt;0),'Your Team'!$C$18="G" ),1,0)+IF( AND((COUNTIF(FL$2:FL$33,'Your Team'!$D$19)&gt;0),'Your Team'!$C$19="G" ),1,0)</f>
        <v>0</v>
      </c>
      <c r="FM41" s="9">
        <f>IF( AND((COUNTIF(FM$2:FM$33,'Your Team'!$D$3)&gt;0),'Your Team'!$C$3="G" ),1,0)+IF( AND((COUNTIF(FM$2:FM$33,'Your Team'!$D$4)&gt;0),'Your Team'!$C$4="G" ),1,0)+IF( AND((COUNTIF(FM$2:FM$33,'Your Team'!$D$5)&gt;0),'Your Team'!$C$5="G" ),1,0)+IF( AND((COUNTIF(FM$2:FM$33,'Your Team'!$D$6)&gt;0),'Your Team'!$C$6="G" ),1,0)+IF( AND((COUNTIF(FM$2:FM$33,'Your Team'!$D$7)&gt;0),'Your Team'!$C$7="G" ),1,0)+IF( AND((COUNTIF(FM$2:FM$33,'Your Team'!$D$8)&gt;0),'Your Team'!$C$8="G" ),1,0)+IF( AND((COUNTIF(FM$2:FM$33,'Your Team'!$D$9)&gt;0),'Your Team'!$C$9="G" ),1,0)+IF( AND((COUNTIF(FM$2:FM$33,'Your Team'!$D$10)&gt;0),'Your Team'!$C$10="G" ),1,0)+IF( AND((COUNTIF(FM$2:FM$33,'Your Team'!$D$11)&gt;0),'Your Team'!$C$11="G" ),1,0)+IF( AND((COUNTIF(FM$2:FM$33,'Your Team'!$D$12)&gt;0),'Your Team'!$C$12="G" ),1,0)+IF( AND((COUNTIF(FM$2:FM$33,'Your Team'!$D$13)&gt;0),'Your Team'!$C$13="G" ),1,0)+IF( AND((COUNTIF(FM$2:FM$33,'Your Team'!$D$14)&gt;0),'Your Team'!$C$14="G" ),1,0)+IF( AND((COUNTIF(FM$2:FM$33,'Your Team'!$D$15)&gt;0),'Your Team'!$C$15="G" ),1,0)+IF( AND((COUNTIF(FM$2:FM$33,'Your Team'!$D$16)&gt;0),'Your Team'!$C$16="G" ),1,0)+IF( AND((COUNTIF(FM$2:FM$33,'Your Team'!$D$17)&gt;0),'Your Team'!$C$17="G" ),1,0)+IF( AND((COUNTIF(FM$2:FM$33,'Your Team'!$D$18)&gt;0),'Your Team'!$C$18="G" ),1,0)+IF( AND((COUNTIF(FM$2:FM$33,'Your Team'!$D$19)&gt;0),'Your Team'!$C$19="G" ),1,0)</f>
        <v>0</v>
      </c>
      <c r="FN41" s="9">
        <f>IF( AND((COUNTIF(FN$2:FN$33,'Your Team'!$D$3)&gt;0),'Your Team'!$C$3="G" ),1,0)+IF( AND((COUNTIF(FN$2:FN$33,'Your Team'!$D$4)&gt;0),'Your Team'!$C$4="G" ),1,0)+IF( AND((COUNTIF(FN$2:FN$33,'Your Team'!$D$5)&gt;0),'Your Team'!$C$5="G" ),1,0)+IF( AND((COUNTIF(FN$2:FN$33,'Your Team'!$D$6)&gt;0),'Your Team'!$C$6="G" ),1,0)+IF( AND((COUNTIF(FN$2:FN$33,'Your Team'!$D$7)&gt;0),'Your Team'!$C$7="G" ),1,0)+IF( AND((COUNTIF(FN$2:FN$33,'Your Team'!$D$8)&gt;0),'Your Team'!$C$8="G" ),1,0)+IF( AND((COUNTIF(FN$2:FN$33,'Your Team'!$D$9)&gt;0),'Your Team'!$C$9="G" ),1,0)+IF( AND((COUNTIF(FN$2:FN$33,'Your Team'!$D$10)&gt;0),'Your Team'!$C$10="G" ),1,0)+IF( AND((COUNTIF(FN$2:FN$33,'Your Team'!$D$11)&gt;0),'Your Team'!$C$11="G" ),1,0)+IF( AND((COUNTIF(FN$2:FN$33,'Your Team'!$D$12)&gt;0),'Your Team'!$C$12="G" ),1,0)+IF( AND((COUNTIF(FN$2:FN$33,'Your Team'!$D$13)&gt;0),'Your Team'!$C$13="G" ),1,0)+IF( AND((COUNTIF(FN$2:FN$33,'Your Team'!$D$14)&gt;0),'Your Team'!$C$14="G" ),1,0)+IF( AND((COUNTIF(FN$2:FN$33,'Your Team'!$D$15)&gt;0),'Your Team'!$C$15="G" ),1,0)+IF( AND((COUNTIF(FN$2:FN$33,'Your Team'!$D$16)&gt;0),'Your Team'!$C$16="G" ),1,0)+IF( AND((COUNTIF(FN$2:FN$33,'Your Team'!$D$17)&gt;0),'Your Team'!$C$17="G" ),1,0)+IF( AND((COUNTIF(FN$2:FN$33,'Your Team'!$D$18)&gt;0),'Your Team'!$C$18="G" ),1,0)+IF( AND((COUNTIF(FN$2:FN$33,'Your Team'!$D$19)&gt;0),'Your Team'!$C$19="G" ),1,0)</f>
        <v>0</v>
      </c>
      <c r="FO41" s="9">
        <f>IF( AND((COUNTIF(FO$2:FO$33,'Your Team'!$D$3)&gt;0),'Your Team'!$C$3="G" ),1,0)+IF( AND((COUNTIF(FO$2:FO$33,'Your Team'!$D$4)&gt;0),'Your Team'!$C$4="G" ),1,0)+IF( AND((COUNTIF(FO$2:FO$33,'Your Team'!$D$5)&gt;0),'Your Team'!$C$5="G" ),1,0)+IF( AND((COUNTIF(FO$2:FO$33,'Your Team'!$D$6)&gt;0),'Your Team'!$C$6="G" ),1,0)+IF( AND((COUNTIF(FO$2:FO$33,'Your Team'!$D$7)&gt;0),'Your Team'!$C$7="G" ),1,0)+IF( AND((COUNTIF(FO$2:FO$33,'Your Team'!$D$8)&gt;0),'Your Team'!$C$8="G" ),1,0)+IF( AND((COUNTIF(FO$2:FO$33,'Your Team'!$D$9)&gt;0),'Your Team'!$C$9="G" ),1,0)+IF( AND((COUNTIF(FO$2:FO$33,'Your Team'!$D$10)&gt;0),'Your Team'!$C$10="G" ),1,0)+IF( AND((COUNTIF(FO$2:FO$33,'Your Team'!$D$11)&gt;0),'Your Team'!$C$11="G" ),1,0)+IF( AND((COUNTIF(FO$2:FO$33,'Your Team'!$D$12)&gt;0),'Your Team'!$C$12="G" ),1,0)+IF( AND((COUNTIF(FO$2:FO$33,'Your Team'!$D$13)&gt;0),'Your Team'!$C$13="G" ),1,0)+IF( AND((COUNTIF(FO$2:FO$33,'Your Team'!$D$14)&gt;0),'Your Team'!$C$14="G" ),1,0)+IF( AND((COUNTIF(FO$2:FO$33,'Your Team'!$D$15)&gt;0),'Your Team'!$C$15="G" ),1,0)+IF( AND((COUNTIF(FO$2:FO$33,'Your Team'!$D$16)&gt;0),'Your Team'!$C$16="G" ),1,0)+IF( AND((COUNTIF(FO$2:FO$33,'Your Team'!$D$17)&gt;0),'Your Team'!$C$17="G" ),1,0)+IF( AND((COUNTIF(FO$2:FO$33,'Your Team'!$D$18)&gt;0),'Your Team'!$C$18="G" ),1,0)+IF( AND((COUNTIF(FO$2:FO$33,'Your Team'!$D$19)&gt;0),'Your Team'!$C$19="G" ),1,0)</f>
        <v>0</v>
      </c>
      <c r="FP41" s="9">
        <f>IF( AND((COUNTIF(FP$2:FP$33,'Your Team'!$D$3)&gt;0),'Your Team'!$C$3="G" ),1,0)+IF( AND((COUNTIF(FP$2:FP$33,'Your Team'!$D$4)&gt;0),'Your Team'!$C$4="G" ),1,0)+IF( AND((COUNTIF(FP$2:FP$33,'Your Team'!$D$5)&gt;0),'Your Team'!$C$5="G" ),1,0)+IF( AND((COUNTIF(FP$2:FP$33,'Your Team'!$D$6)&gt;0),'Your Team'!$C$6="G" ),1,0)+IF( AND((COUNTIF(FP$2:FP$33,'Your Team'!$D$7)&gt;0),'Your Team'!$C$7="G" ),1,0)+IF( AND((COUNTIF(FP$2:FP$33,'Your Team'!$D$8)&gt;0),'Your Team'!$C$8="G" ),1,0)+IF( AND((COUNTIF(FP$2:FP$33,'Your Team'!$D$9)&gt;0),'Your Team'!$C$9="G" ),1,0)+IF( AND((COUNTIF(FP$2:FP$33,'Your Team'!$D$10)&gt;0),'Your Team'!$C$10="G" ),1,0)+IF( AND((COUNTIF(FP$2:FP$33,'Your Team'!$D$11)&gt;0),'Your Team'!$C$11="G" ),1,0)+IF( AND((COUNTIF(FP$2:FP$33,'Your Team'!$D$12)&gt;0),'Your Team'!$C$12="G" ),1,0)+IF( AND((COUNTIF(FP$2:FP$33,'Your Team'!$D$13)&gt;0),'Your Team'!$C$13="G" ),1,0)+IF( AND((COUNTIF(FP$2:FP$33,'Your Team'!$D$14)&gt;0),'Your Team'!$C$14="G" ),1,0)+IF( AND((COUNTIF(FP$2:FP$33,'Your Team'!$D$15)&gt;0),'Your Team'!$C$15="G" ),1,0)+IF( AND((COUNTIF(FP$2:FP$33,'Your Team'!$D$16)&gt;0),'Your Team'!$C$16="G" ),1,0)+IF( AND((COUNTIF(FP$2:FP$33,'Your Team'!$D$17)&gt;0),'Your Team'!$C$17="G" ),1,0)+IF( AND((COUNTIF(FP$2:FP$33,'Your Team'!$D$18)&gt;0),'Your Team'!$C$18="G" ),1,0)+IF( AND((COUNTIF(FP$2:FP$33,'Your Team'!$D$19)&gt;0),'Your Team'!$C$19="G" ),1,0)</f>
        <v>0</v>
      </c>
      <c r="FQ41" s="9">
        <f>IF( AND((COUNTIF(FQ$2:FQ$33,'Your Team'!$D$3)&gt;0),'Your Team'!$C$3="G" ),1,0)+IF( AND((COUNTIF(FQ$2:FQ$33,'Your Team'!$D$4)&gt;0),'Your Team'!$C$4="G" ),1,0)+IF( AND((COUNTIF(FQ$2:FQ$33,'Your Team'!$D$5)&gt;0),'Your Team'!$C$5="G" ),1,0)+IF( AND((COUNTIF(FQ$2:FQ$33,'Your Team'!$D$6)&gt;0),'Your Team'!$C$6="G" ),1,0)+IF( AND((COUNTIF(FQ$2:FQ$33,'Your Team'!$D$7)&gt;0),'Your Team'!$C$7="G" ),1,0)+IF( AND((COUNTIF(FQ$2:FQ$33,'Your Team'!$D$8)&gt;0),'Your Team'!$C$8="G" ),1,0)+IF( AND((COUNTIF(FQ$2:FQ$33,'Your Team'!$D$9)&gt;0),'Your Team'!$C$9="G" ),1,0)+IF( AND((COUNTIF(FQ$2:FQ$33,'Your Team'!$D$10)&gt;0),'Your Team'!$C$10="G" ),1,0)+IF( AND((COUNTIF(FQ$2:FQ$33,'Your Team'!$D$11)&gt;0),'Your Team'!$C$11="G" ),1,0)+IF( AND((COUNTIF(FQ$2:FQ$33,'Your Team'!$D$12)&gt;0),'Your Team'!$C$12="G" ),1,0)+IF( AND((COUNTIF(FQ$2:FQ$33,'Your Team'!$D$13)&gt;0),'Your Team'!$C$13="G" ),1,0)+IF( AND((COUNTIF(FQ$2:FQ$33,'Your Team'!$D$14)&gt;0),'Your Team'!$C$14="G" ),1,0)+IF( AND((COUNTIF(FQ$2:FQ$33,'Your Team'!$D$15)&gt;0),'Your Team'!$C$15="G" ),1,0)+IF( AND((COUNTIF(FQ$2:FQ$33,'Your Team'!$D$16)&gt;0),'Your Team'!$C$16="G" ),1,0)+IF( AND((COUNTIF(FQ$2:FQ$33,'Your Team'!$D$17)&gt;0),'Your Team'!$C$17="G" ),1,0)+IF( AND((COUNTIF(FQ$2:FQ$33,'Your Team'!$D$18)&gt;0),'Your Team'!$C$18="G" ),1,0)+IF( AND((COUNTIF(FQ$2:FQ$33,'Your Team'!$D$19)&gt;0),'Your Team'!$C$19="G" ),1,0)</f>
        <v>0</v>
      </c>
      <c r="FR41" s="9">
        <f>IF( AND((COUNTIF(FR$2:FR$33,'Your Team'!$D$3)&gt;0),'Your Team'!$C$3="G" ),1,0)+IF( AND((COUNTIF(FR$2:FR$33,'Your Team'!$D$4)&gt;0),'Your Team'!$C$4="G" ),1,0)+IF( AND((COUNTIF(FR$2:FR$33,'Your Team'!$D$5)&gt;0),'Your Team'!$C$5="G" ),1,0)+IF( AND((COUNTIF(FR$2:FR$33,'Your Team'!$D$6)&gt;0),'Your Team'!$C$6="G" ),1,0)+IF( AND((COUNTIF(FR$2:FR$33,'Your Team'!$D$7)&gt;0),'Your Team'!$C$7="G" ),1,0)+IF( AND((COUNTIF(FR$2:FR$33,'Your Team'!$D$8)&gt;0),'Your Team'!$C$8="G" ),1,0)+IF( AND((COUNTIF(FR$2:FR$33,'Your Team'!$D$9)&gt;0),'Your Team'!$C$9="G" ),1,0)+IF( AND((COUNTIF(FR$2:FR$33,'Your Team'!$D$10)&gt;0),'Your Team'!$C$10="G" ),1,0)+IF( AND((COUNTIF(FR$2:FR$33,'Your Team'!$D$11)&gt;0),'Your Team'!$C$11="G" ),1,0)+IF( AND((COUNTIF(FR$2:FR$33,'Your Team'!$D$12)&gt;0),'Your Team'!$C$12="G" ),1,0)+IF( AND((COUNTIF(FR$2:FR$33,'Your Team'!$D$13)&gt;0),'Your Team'!$C$13="G" ),1,0)+IF( AND((COUNTIF(FR$2:FR$33,'Your Team'!$D$14)&gt;0),'Your Team'!$C$14="G" ),1,0)+IF( AND((COUNTIF(FR$2:FR$33,'Your Team'!$D$15)&gt;0),'Your Team'!$C$15="G" ),1,0)+IF( AND((COUNTIF(FR$2:FR$33,'Your Team'!$D$16)&gt;0),'Your Team'!$C$16="G" ),1,0)+IF( AND((COUNTIF(FR$2:FR$33,'Your Team'!$D$17)&gt;0),'Your Team'!$C$17="G" ),1,0)+IF( AND((COUNTIF(FR$2:FR$33,'Your Team'!$D$18)&gt;0),'Your Team'!$C$18="G" ),1,0)+IF( AND((COUNTIF(FR$2:FR$33,'Your Team'!$D$19)&gt;0),'Your Team'!$C$19="G" ),1,0)</f>
        <v>0</v>
      </c>
      <c r="FS41" s="9">
        <f>IF( AND((COUNTIF(FS$2:FS$33,'Your Team'!$D$3)&gt;0),'Your Team'!$C$3="G" ),1,0)+IF( AND((COUNTIF(FS$2:FS$33,'Your Team'!$D$4)&gt;0),'Your Team'!$C$4="G" ),1,0)+IF( AND((COUNTIF(FS$2:FS$33,'Your Team'!$D$5)&gt;0),'Your Team'!$C$5="G" ),1,0)+IF( AND((COUNTIF(FS$2:FS$33,'Your Team'!$D$6)&gt;0),'Your Team'!$C$6="G" ),1,0)+IF( AND((COUNTIF(FS$2:FS$33,'Your Team'!$D$7)&gt;0),'Your Team'!$C$7="G" ),1,0)+IF( AND((COUNTIF(FS$2:FS$33,'Your Team'!$D$8)&gt;0),'Your Team'!$C$8="G" ),1,0)+IF( AND((COUNTIF(FS$2:FS$33,'Your Team'!$D$9)&gt;0),'Your Team'!$C$9="G" ),1,0)+IF( AND((COUNTIF(FS$2:FS$33,'Your Team'!$D$10)&gt;0),'Your Team'!$C$10="G" ),1,0)+IF( AND((COUNTIF(FS$2:FS$33,'Your Team'!$D$11)&gt;0),'Your Team'!$C$11="G" ),1,0)+IF( AND((COUNTIF(FS$2:FS$33,'Your Team'!$D$12)&gt;0),'Your Team'!$C$12="G" ),1,0)+IF( AND((COUNTIF(FS$2:FS$33,'Your Team'!$D$13)&gt;0),'Your Team'!$C$13="G" ),1,0)+IF( AND((COUNTIF(FS$2:FS$33,'Your Team'!$D$14)&gt;0),'Your Team'!$C$14="G" ),1,0)+IF( AND((COUNTIF(FS$2:FS$33,'Your Team'!$D$15)&gt;0),'Your Team'!$C$15="G" ),1,0)+IF( AND((COUNTIF(FS$2:FS$33,'Your Team'!$D$16)&gt;0),'Your Team'!$C$16="G" ),1,0)+IF( AND((COUNTIF(FS$2:FS$33,'Your Team'!$D$17)&gt;0),'Your Team'!$C$17="G" ),1,0)+IF( AND((COUNTIF(FS$2:FS$33,'Your Team'!$D$18)&gt;0),'Your Team'!$C$18="G" ),1,0)+IF( AND((COUNTIF(FS$2:FS$33,'Your Team'!$D$19)&gt;0),'Your Team'!$C$19="G" ),1,0)</f>
        <v>0</v>
      </c>
      <c r="FT41" s="9">
        <f>IF( AND((COUNTIF(FT$2:FT$33,'Your Team'!$D$3)&gt;0),'Your Team'!$C$3="G" ),1,0)+IF( AND((COUNTIF(FT$2:FT$33,'Your Team'!$D$4)&gt;0),'Your Team'!$C$4="G" ),1,0)+IF( AND((COUNTIF(FT$2:FT$33,'Your Team'!$D$5)&gt;0),'Your Team'!$C$5="G" ),1,0)+IF( AND((COUNTIF(FT$2:FT$33,'Your Team'!$D$6)&gt;0),'Your Team'!$C$6="G" ),1,0)+IF( AND((COUNTIF(FT$2:FT$33,'Your Team'!$D$7)&gt;0),'Your Team'!$C$7="G" ),1,0)+IF( AND((COUNTIF(FT$2:FT$33,'Your Team'!$D$8)&gt;0),'Your Team'!$C$8="G" ),1,0)+IF( AND((COUNTIF(FT$2:FT$33,'Your Team'!$D$9)&gt;0),'Your Team'!$C$9="G" ),1,0)+IF( AND((COUNTIF(FT$2:FT$33,'Your Team'!$D$10)&gt;0),'Your Team'!$C$10="G" ),1,0)+IF( AND((COUNTIF(FT$2:FT$33,'Your Team'!$D$11)&gt;0),'Your Team'!$C$11="G" ),1,0)+IF( AND((COUNTIF(FT$2:FT$33,'Your Team'!$D$12)&gt;0),'Your Team'!$C$12="G" ),1,0)+IF( AND((COUNTIF(FT$2:FT$33,'Your Team'!$D$13)&gt;0),'Your Team'!$C$13="G" ),1,0)+IF( AND((COUNTIF(FT$2:FT$33,'Your Team'!$D$14)&gt;0),'Your Team'!$C$14="G" ),1,0)+IF( AND((COUNTIF(FT$2:FT$33,'Your Team'!$D$15)&gt;0),'Your Team'!$C$15="G" ),1,0)+IF( AND((COUNTIF(FT$2:FT$33,'Your Team'!$D$16)&gt;0),'Your Team'!$C$16="G" ),1,0)+IF( AND((COUNTIF(FT$2:FT$33,'Your Team'!$D$17)&gt;0),'Your Team'!$C$17="G" ),1,0)+IF( AND((COUNTIF(FT$2:FT$33,'Your Team'!$D$18)&gt;0),'Your Team'!$C$18="G" ),1,0)+IF( AND((COUNTIF(FT$2:FT$33,'Your Team'!$D$19)&gt;0),'Your Team'!$C$19="G" ),1,0)</f>
        <v>0</v>
      </c>
      <c r="FU41" s="9">
        <f>IF( AND((COUNTIF(FU$2:FU$33,'Your Team'!$D$3)&gt;0),'Your Team'!$C$3="G" ),1,0)+IF( AND((COUNTIF(FU$2:FU$33,'Your Team'!$D$4)&gt;0),'Your Team'!$C$4="G" ),1,0)+IF( AND((COUNTIF(FU$2:FU$33,'Your Team'!$D$5)&gt;0),'Your Team'!$C$5="G" ),1,0)+IF( AND((COUNTIF(FU$2:FU$33,'Your Team'!$D$6)&gt;0),'Your Team'!$C$6="G" ),1,0)+IF( AND((COUNTIF(FU$2:FU$33,'Your Team'!$D$7)&gt;0),'Your Team'!$C$7="G" ),1,0)+IF( AND((COUNTIF(FU$2:FU$33,'Your Team'!$D$8)&gt;0),'Your Team'!$C$8="G" ),1,0)+IF( AND((COUNTIF(FU$2:FU$33,'Your Team'!$D$9)&gt;0),'Your Team'!$C$9="G" ),1,0)+IF( AND((COUNTIF(FU$2:FU$33,'Your Team'!$D$10)&gt;0),'Your Team'!$C$10="G" ),1,0)+IF( AND((COUNTIF(FU$2:FU$33,'Your Team'!$D$11)&gt;0),'Your Team'!$C$11="G" ),1,0)+IF( AND((COUNTIF(FU$2:FU$33,'Your Team'!$D$12)&gt;0),'Your Team'!$C$12="G" ),1,0)+IF( AND((COUNTIF(FU$2:FU$33,'Your Team'!$D$13)&gt;0),'Your Team'!$C$13="G" ),1,0)+IF( AND((COUNTIF(FU$2:FU$33,'Your Team'!$D$14)&gt;0),'Your Team'!$C$14="G" ),1,0)+IF( AND((COUNTIF(FU$2:FU$33,'Your Team'!$D$15)&gt;0),'Your Team'!$C$15="G" ),1,0)+IF( AND((COUNTIF(FU$2:FU$33,'Your Team'!$D$16)&gt;0),'Your Team'!$C$16="G" ),1,0)+IF( AND((COUNTIF(FU$2:FU$33,'Your Team'!$D$17)&gt;0),'Your Team'!$C$17="G" ),1,0)+IF( AND((COUNTIF(FU$2:FU$33,'Your Team'!$D$18)&gt;0),'Your Team'!$C$18="G" ),1,0)+IF( AND((COUNTIF(FU$2:FU$33,'Your Team'!$D$19)&gt;0),'Your Team'!$C$19="G" ),1,0)</f>
        <v>0</v>
      </c>
      <c r="FV41" s="9">
        <f>IF( AND((COUNTIF(FV$2:FV$33,'Your Team'!$D$3)&gt;0),'Your Team'!$C$3="G" ),1,0)+IF( AND((COUNTIF(FV$2:FV$33,'Your Team'!$D$4)&gt;0),'Your Team'!$C$4="G" ),1,0)+IF( AND((COUNTIF(FV$2:FV$33,'Your Team'!$D$5)&gt;0),'Your Team'!$C$5="G" ),1,0)+IF( AND((COUNTIF(FV$2:FV$33,'Your Team'!$D$6)&gt;0),'Your Team'!$C$6="G" ),1,0)+IF( AND((COUNTIF(FV$2:FV$33,'Your Team'!$D$7)&gt;0),'Your Team'!$C$7="G" ),1,0)+IF( AND((COUNTIF(FV$2:FV$33,'Your Team'!$D$8)&gt;0),'Your Team'!$C$8="G" ),1,0)+IF( AND((COUNTIF(FV$2:FV$33,'Your Team'!$D$9)&gt;0),'Your Team'!$C$9="G" ),1,0)+IF( AND((COUNTIF(FV$2:FV$33,'Your Team'!$D$10)&gt;0),'Your Team'!$C$10="G" ),1,0)+IF( AND((COUNTIF(FV$2:FV$33,'Your Team'!$D$11)&gt;0),'Your Team'!$C$11="G" ),1,0)+IF( AND((COUNTIF(FV$2:FV$33,'Your Team'!$D$12)&gt;0),'Your Team'!$C$12="G" ),1,0)+IF( AND((COUNTIF(FV$2:FV$33,'Your Team'!$D$13)&gt;0),'Your Team'!$C$13="G" ),1,0)+IF( AND((COUNTIF(FV$2:FV$33,'Your Team'!$D$14)&gt;0),'Your Team'!$C$14="G" ),1,0)+IF( AND((COUNTIF(FV$2:FV$33,'Your Team'!$D$15)&gt;0),'Your Team'!$C$15="G" ),1,0)+IF( AND((COUNTIF(FV$2:FV$33,'Your Team'!$D$16)&gt;0),'Your Team'!$C$16="G" ),1,0)+IF( AND((COUNTIF(FV$2:FV$33,'Your Team'!$D$17)&gt;0),'Your Team'!$C$17="G" ),1,0)+IF( AND((COUNTIF(FV$2:FV$33,'Your Team'!$D$18)&gt;0),'Your Team'!$C$18="G" ),1,0)+IF( AND((COUNTIF(FV$2:FV$33,'Your Team'!$D$19)&gt;0),'Your Team'!$C$19="G" ),1,0)</f>
        <v>0</v>
      </c>
      <c r="FW41" s="9">
        <f>IF( AND((COUNTIF(FW$2:FW$33,'Your Team'!$D$3)&gt;0),'Your Team'!$C$3="G" ),1,0)+IF( AND((COUNTIF(FW$2:FW$33,'Your Team'!$D$4)&gt;0),'Your Team'!$C$4="G" ),1,0)+IF( AND((COUNTIF(FW$2:FW$33,'Your Team'!$D$5)&gt;0),'Your Team'!$C$5="G" ),1,0)+IF( AND((COUNTIF(FW$2:FW$33,'Your Team'!$D$6)&gt;0),'Your Team'!$C$6="G" ),1,0)+IF( AND((COUNTIF(FW$2:FW$33,'Your Team'!$D$7)&gt;0),'Your Team'!$C$7="G" ),1,0)+IF( AND((COUNTIF(FW$2:FW$33,'Your Team'!$D$8)&gt;0),'Your Team'!$C$8="G" ),1,0)+IF( AND((COUNTIF(FW$2:FW$33,'Your Team'!$D$9)&gt;0),'Your Team'!$C$9="G" ),1,0)+IF( AND((COUNTIF(FW$2:FW$33,'Your Team'!$D$10)&gt;0),'Your Team'!$C$10="G" ),1,0)+IF( AND((COUNTIF(FW$2:FW$33,'Your Team'!$D$11)&gt;0),'Your Team'!$C$11="G" ),1,0)+IF( AND((COUNTIF(FW$2:FW$33,'Your Team'!$D$12)&gt;0),'Your Team'!$C$12="G" ),1,0)+IF( AND((COUNTIF(FW$2:FW$33,'Your Team'!$D$13)&gt;0),'Your Team'!$C$13="G" ),1,0)+IF( AND((COUNTIF(FW$2:FW$33,'Your Team'!$D$14)&gt;0),'Your Team'!$C$14="G" ),1,0)+IF( AND((COUNTIF(FW$2:FW$33,'Your Team'!$D$15)&gt;0),'Your Team'!$C$15="G" ),1,0)+IF( AND((COUNTIF(FW$2:FW$33,'Your Team'!$D$16)&gt;0),'Your Team'!$C$16="G" ),1,0)+IF( AND((COUNTIF(FW$2:FW$33,'Your Team'!$D$17)&gt;0),'Your Team'!$C$17="G" ),1,0)+IF( AND((COUNTIF(FW$2:FW$33,'Your Team'!$D$18)&gt;0),'Your Team'!$C$18="G" ),1,0)+IF( AND((COUNTIF(FW$2:FW$33,'Your Team'!$D$19)&gt;0),'Your Team'!$C$19="G" ),1,0)</f>
        <v>0</v>
      </c>
      <c r="FX41" s="9">
        <f>IF( AND((COUNTIF(FX$2:FX$33,'Your Team'!$D$3)&gt;0),'Your Team'!$C$3="G" ),1,0)+IF( AND((COUNTIF(FX$2:FX$33,'Your Team'!$D$4)&gt;0),'Your Team'!$C$4="G" ),1,0)+IF( AND((COUNTIF(FX$2:FX$33,'Your Team'!$D$5)&gt;0),'Your Team'!$C$5="G" ),1,0)+IF( AND((COUNTIF(FX$2:FX$33,'Your Team'!$D$6)&gt;0),'Your Team'!$C$6="G" ),1,0)+IF( AND((COUNTIF(FX$2:FX$33,'Your Team'!$D$7)&gt;0),'Your Team'!$C$7="G" ),1,0)+IF( AND((COUNTIF(FX$2:FX$33,'Your Team'!$D$8)&gt;0),'Your Team'!$C$8="G" ),1,0)+IF( AND((COUNTIF(FX$2:FX$33,'Your Team'!$D$9)&gt;0),'Your Team'!$C$9="G" ),1,0)+IF( AND((COUNTIF(FX$2:FX$33,'Your Team'!$D$10)&gt;0),'Your Team'!$C$10="G" ),1,0)+IF( AND((COUNTIF(FX$2:FX$33,'Your Team'!$D$11)&gt;0),'Your Team'!$C$11="G" ),1,0)+IF( AND((COUNTIF(FX$2:FX$33,'Your Team'!$D$12)&gt;0),'Your Team'!$C$12="G" ),1,0)+IF( AND((COUNTIF(FX$2:FX$33,'Your Team'!$D$13)&gt;0),'Your Team'!$C$13="G" ),1,0)+IF( AND((COUNTIF(FX$2:FX$33,'Your Team'!$D$14)&gt;0),'Your Team'!$C$14="G" ),1,0)+IF( AND((COUNTIF(FX$2:FX$33,'Your Team'!$D$15)&gt;0),'Your Team'!$C$15="G" ),1,0)+IF( AND((COUNTIF(FX$2:FX$33,'Your Team'!$D$16)&gt;0),'Your Team'!$C$16="G" ),1,0)+IF( AND((COUNTIF(FX$2:FX$33,'Your Team'!$D$17)&gt;0),'Your Team'!$C$17="G" ),1,0)+IF( AND((COUNTIF(FX$2:FX$33,'Your Team'!$D$18)&gt;0),'Your Team'!$C$18="G" ),1,0)+IF( AND((COUNTIF(FX$2:FX$33,'Your Team'!$D$19)&gt;0),'Your Team'!$C$19="G" ),1,0)</f>
        <v>0</v>
      </c>
      <c r="FY41" s="9">
        <f>IF( AND((COUNTIF(FY$2:FY$33,'Your Team'!$D$3)&gt;0),'Your Team'!$C$3="G" ),1,0)+IF( AND((COUNTIF(FY$2:FY$33,'Your Team'!$D$4)&gt;0),'Your Team'!$C$4="G" ),1,0)+IF( AND((COUNTIF(FY$2:FY$33,'Your Team'!$D$5)&gt;0),'Your Team'!$C$5="G" ),1,0)+IF( AND((COUNTIF(FY$2:FY$33,'Your Team'!$D$6)&gt;0),'Your Team'!$C$6="G" ),1,0)+IF( AND((COUNTIF(FY$2:FY$33,'Your Team'!$D$7)&gt;0),'Your Team'!$C$7="G" ),1,0)+IF( AND((COUNTIF(FY$2:FY$33,'Your Team'!$D$8)&gt;0),'Your Team'!$C$8="G" ),1,0)+IF( AND((COUNTIF(FY$2:FY$33,'Your Team'!$D$9)&gt;0),'Your Team'!$C$9="G" ),1,0)+IF( AND((COUNTIF(FY$2:FY$33,'Your Team'!$D$10)&gt;0),'Your Team'!$C$10="G" ),1,0)+IF( AND((COUNTIF(FY$2:FY$33,'Your Team'!$D$11)&gt;0),'Your Team'!$C$11="G" ),1,0)+IF( AND((COUNTIF(FY$2:FY$33,'Your Team'!$D$12)&gt;0),'Your Team'!$C$12="G" ),1,0)+IF( AND((COUNTIF(FY$2:FY$33,'Your Team'!$D$13)&gt;0),'Your Team'!$C$13="G" ),1,0)+IF( AND((COUNTIF(FY$2:FY$33,'Your Team'!$D$14)&gt;0),'Your Team'!$C$14="G" ),1,0)+IF( AND((COUNTIF(FY$2:FY$33,'Your Team'!$D$15)&gt;0),'Your Team'!$C$15="G" ),1,0)+IF( AND((COUNTIF(FY$2:FY$33,'Your Team'!$D$16)&gt;0),'Your Team'!$C$16="G" ),1,0)+IF( AND((COUNTIF(FY$2:FY$33,'Your Team'!$D$17)&gt;0),'Your Team'!$C$17="G" ),1,0)+IF( AND((COUNTIF(FY$2:FY$33,'Your Team'!$D$18)&gt;0),'Your Team'!$C$18="G" ),1,0)+IF( AND((COUNTIF(FY$2:FY$33,'Your Team'!$D$19)&gt;0),'Your Team'!$C$19="G" ),1,0)</f>
        <v>0</v>
      </c>
      <c r="FZ41" s="9">
        <f>IF( AND((COUNTIF(FZ$2:FZ$33,'Your Team'!$D$3)&gt;0),'Your Team'!$C$3="G" ),1,0)+IF( AND((COUNTIF(FZ$2:FZ$33,'Your Team'!$D$4)&gt;0),'Your Team'!$C$4="G" ),1,0)+IF( AND((COUNTIF(FZ$2:FZ$33,'Your Team'!$D$5)&gt;0),'Your Team'!$C$5="G" ),1,0)+IF( AND((COUNTIF(FZ$2:FZ$33,'Your Team'!$D$6)&gt;0),'Your Team'!$C$6="G" ),1,0)+IF( AND((COUNTIF(FZ$2:FZ$33,'Your Team'!$D$7)&gt;0),'Your Team'!$C$7="G" ),1,0)+IF( AND((COUNTIF(FZ$2:FZ$33,'Your Team'!$D$8)&gt;0),'Your Team'!$C$8="G" ),1,0)+IF( AND((COUNTIF(FZ$2:FZ$33,'Your Team'!$D$9)&gt;0),'Your Team'!$C$9="G" ),1,0)+IF( AND((COUNTIF(FZ$2:FZ$33,'Your Team'!$D$10)&gt;0),'Your Team'!$C$10="G" ),1,0)+IF( AND((COUNTIF(FZ$2:FZ$33,'Your Team'!$D$11)&gt;0),'Your Team'!$C$11="G" ),1,0)+IF( AND((COUNTIF(FZ$2:FZ$33,'Your Team'!$D$12)&gt;0),'Your Team'!$C$12="G" ),1,0)+IF( AND((COUNTIF(FZ$2:FZ$33,'Your Team'!$D$13)&gt;0),'Your Team'!$C$13="G" ),1,0)+IF( AND((COUNTIF(FZ$2:FZ$33,'Your Team'!$D$14)&gt;0),'Your Team'!$C$14="G" ),1,0)+IF( AND((COUNTIF(FZ$2:FZ$33,'Your Team'!$D$15)&gt;0),'Your Team'!$C$15="G" ),1,0)+IF( AND((COUNTIF(FZ$2:FZ$33,'Your Team'!$D$16)&gt;0),'Your Team'!$C$16="G" ),1,0)+IF( AND((COUNTIF(FZ$2:FZ$33,'Your Team'!$D$17)&gt;0),'Your Team'!$C$17="G" ),1,0)+IF( AND((COUNTIF(FZ$2:FZ$33,'Your Team'!$D$18)&gt;0),'Your Team'!$C$18="G" ),1,0)+IF( AND((COUNTIF(FZ$2:FZ$33,'Your Team'!$D$19)&gt;0),'Your Team'!$C$19="G" ),1,0)</f>
        <v>0</v>
      </c>
      <c r="GA41" s="9">
        <f>IF( AND((COUNTIF(GA$2:GA$33,'Your Team'!$D$3)&gt;0),'Your Team'!$C$3="G" ),1,0)+IF( AND((COUNTIF(GA$2:GA$33,'Your Team'!$D$4)&gt;0),'Your Team'!$C$4="G" ),1,0)+IF( AND((COUNTIF(GA$2:GA$33,'Your Team'!$D$5)&gt;0),'Your Team'!$C$5="G" ),1,0)+IF( AND((COUNTIF(GA$2:GA$33,'Your Team'!$D$6)&gt;0),'Your Team'!$C$6="G" ),1,0)+IF( AND((COUNTIF(GA$2:GA$33,'Your Team'!$D$7)&gt;0),'Your Team'!$C$7="G" ),1,0)+IF( AND((COUNTIF(GA$2:GA$33,'Your Team'!$D$8)&gt;0),'Your Team'!$C$8="G" ),1,0)+IF( AND((COUNTIF(GA$2:GA$33,'Your Team'!$D$9)&gt;0),'Your Team'!$C$9="G" ),1,0)+IF( AND((COUNTIF(GA$2:GA$33,'Your Team'!$D$10)&gt;0),'Your Team'!$C$10="G" ),1,0)+IF( AND((COUNTIF(GA$2:GA$33,'Your Team'!$D$11)&gt;0),'Your Team'!$C$11="G" ),1,0)+IF( AND((COUNTIF(GA$2:GA$33,'Your Team'!$D$12)&gt;0),'Your Team'!$C$12="G" ),1,0)+IF( AND((COUNTIF(GA$2:GA$33,'Your Team'!$D$13)&gt;0),'Your Team'!$C$13="G" ),1,0)+IF( AND((COUNTIF(GA$2:GA$33,'Your Team'!$D$14)&gt;0),'Your Team'!$C$14="G" ),1,0)+IF( AND((COUNTIF(GA$2:GA$33,'Your Team'!$D$15)&gt;0),'Your Team'!$C$15="G" ),1,0)+IF( AND((COUNTIF(GA$2:GA$33,'Your Team'!$D$16)&gt;0),'Your Team'!$C$16="G" ),1,0)+IF( AND((COUNTIF(GA$2:GA$33,'Your Team'!$D$17)&gt;0),'Your Team'!$C$17="G" ),1,0)+IF( AND((COUNTIF(GA$2:GA$33,'Your Team'!$D$18)&gt;0),'Your Team'!$C$18="G" ),1,0)+IF( AND((COUNTIF(GA$2:GA$33,'Your Team'!$D$19)&gt;0),'Your Team'!$C$19="G" ),1,0)</f>
        <v>0</v>
      </c>
      <c r="GB41" s="9">
        <f>IF( AND((COUNTIF(GB$2:GB$33,'Your Team'!$D$3)&gt;0),'Your Team'!$C$3="G" ),1,0)+IF( AND((COUNTIF(GB$2:GB$33,'Your Team'!$D$4)&gt;0),'Your Team'!$C$4="G" ),1,0)+IF( AND((COUNTIF(GB$2:GB$33,'Your Team'!$D$5)&gt;0),'Your Team'!$C$5="G" ),1,0)+IF( AND((COUNTIF(GB$2:GB$33,'Your Team'!$D$6)&gt;0),'Your Team'!$C$6="G" ),1,0)+IF( AND((COUNTIF(GB$2:GB$33,'Your Team'!$D$7)&gt;0),'Your Team'!$C$7="G" ),1,0)+IF( AND((COUNTIF(GB$2:GB$33,'Your Team'!$D$8)&gt;0),'Your Team'!$C$8="G" ),1,0)+IF( AND((COUNTIF(GB$2:GB$33,'Your Team'!$D$9)&gt;0),'Your Team'!$C$9="G" ),1,0)+IF( AND((COUNTIF(GB$2:GB$33,'Your Team'!$D$10)&gt;0),'Your Team'!$C$10="G" ),1,0)+IF( AND((COUNTIF(GB$2:GB$33,'Your Team'!$D$11)&gt;0),'Your Team'!$C$11="G" ),1,0)+IF( AND((COUNTIF(GB$2:GB$33,'Your Team'!$D$12)&gt;0),'Your Team'!$C$12="G" ),1,0)+IF( AND((COUNTIF(GB$2:GB$33,'Your Team'!$D$13)&gt;0),'Your Team'!$C$13="G" ),1,0)+IF( AND((COUNTIF(GB$2:GB$33,'Your Team'!$D$14)&gt;0),'Your Team'!$C$14="G" ),1,0)+IF( AND((COUNTIF(GB$2:GB$33,'Your Team'!$D$15)&gt;0),'Your Team'!$C$15="G" ),1,0)+IF( AND((COUNTIF(GB$2:GB$33,'Your Team'!$D$16)&gt;0),'Your Team'!$C$16="G" ),1,0)+IF( AND((COUNTIF(GB$2:GB$33,'Your Team'!$D$17)&gt;0),'Your Team'!$C$17="G" ),1,0)+IF( AND((COUNTIF(GB$2:GB$33,'Your Team'!$D$18)&gt;0),'Your Team'!$C$18="G" ),1,0)+IF( AND((COUNTIF(GB$2:GB$33,'Your Team'!$D$19)&gt;0),'Your Team'!$C$19="G" ),1,0)</f>
        <v>0</v>
      </c>
      <c r="GC41" s="9">
        <f>IF( AND((COUNTIF(GC$2:GC$33,'Your Team'!$D$3)&gt;0),'Your Team'!$C$3="G" ),1,0)+IF( AND((COUNTIF(GC$2:GC$33,'Your Team'!$D$4)&gt;0),'Your Team'!$C$4="G" ),1,0)+IF( AND((COUNTIF(GC$2:GC$33,'Your Team'!$D$5)&gt;0),'Your Team'!$C$5="G" ),1,0)+IF( AND((COUNTIF(GC$2:GC$33,'Your Team'!$D$6)&gt;0),'Your Team'!$C$6="G" ),1,0)+IF( AND((COUNTIF(GC$2:GC$33,'Your Team'!$D$7)&gt;0),'Your Team'!$C$7="G" ),1,0)+IF( AND((COUNTIF(GC$2:GC$33,'Your Team'!$D$8)&gt;0),'Your Team'!$C$8="G" ),1,0)+IF( AND((COUNTIF(GC$2:GC$33,'Your Team'!$D$9)&gt;0),'Your Team'!$C$9="G" ),1,0)+IF( AND((COUNTIF(GC$2:GC$33,'Your Team'!$D$10)&gt;0),'Your Team'!$C$10="G" ),1,0)+IF( AND((COUNTIF(GC$2:GC$33,'Your Team'!$D$11)&gt;0),'Your Team'!$C$11="G" ),1,0)+IF( AND((COUNTIF(GC$2:GC$33,'Your Team'!$D$12)&gt;0),'Your Team'!$C$12="G" ),1,0)+IF( AND((COUNTIF(GC$2:GC$33,'Your Team'!$D$13)&gt;0),'Your Team'!$C$13="G" ),1,0)+IF( AND((COUNTIF(GC$2:GC$33,'Your Team'!$D$14)&gt;0),'Your Team'!$C$14="G" ),1,0)+IF( AND((COUNTIF(GC$2:GC$33,'Your Team'!$D$15)&gt;0),'Your Team'!$C$15="G" ),1,0)+IF( AND((COUNTIF(GC$2:GC$33,'Your Team'!$D$16)&gt;0),'Your Team'!$C$16="G" ),1,0)+IF( AND((COUNTIF(GC$2:GC$33,'Your Team'!$D$17)&gt;0),'Your Team'!$C$17="G" ),1,0)+IF( AND((COUNTIF(GC$2:GC$33,'Your Team'!$D$18)&gt;0),'Your Team'!$C$18="G" ),1,0)+IF( AND((COUNTIF(GC$2:GC$33,'Your Team'!$D$19)&gt;0),'Your Team'!$C$19="G" ),1,0)</f>
        <v>0</v>
      </c>
      <c r="GD41" s="9">
        <f>IF( AND((COUNTIF(GD$2:GD$33,'Your Team'!$D$3)&gt;0),'Your Team'!$C$3="G" ),1,0)+IF( AND((COUNTIF(GD$2:GD$33,'Your Team'!$D$4)&gt;0),'Your Team'!$C$4="G" ),1,0)+IF( AND((COUNTIF(GD$2:GD$33,'Your Team'!$D$5)&gt;0),'Your Team'!$C$5="G" ),1,0)+IF( AND((COUNTIF(GD$2:GD$33,'Your Team'!$D$6)&gt;0),'Your Team'!$C$6="G" ),1,0)+IF( AND((COUNTIF(GD$2:GD$33,'Your Team'!$D$7)&gt;0),'Your Team'!$C$7="G" ),1,0)+IF( AND((COUNTIF(GD$2:GD$33,'Your Team'!$D$8)&gt;0),'Your Team'!$C$8="G" ),1,0)+IF( AND((COUNTIF(GD$2:GD$33,'Your Team'!$D$9)&gt;0),'Your Team'!$C$9="G" ),1,0)+IF( AND((COUNTIF(GD$2:GD$33,'Your Team'!$D$10)&gt;0),'Your Team'!$C$10="G" ),1,0)+IF( AND((COUNTIF(GD$2:GD$33,'Your Team'!$D$11)&gt;0),'Your Team'!$C$11="G" ),1,0)+IF( AND((COUNTIF(GD$2:GD$33,'Your Team'!$D$12)&gt;0),'Your Team'!$C$12="G" ),1,0)+IF( AND((COUNTIF(GD$2:GD$33,'Your Team'!$D$13)&gt;0),'Your Team'!$C$13="G" ),1,0)+IF( AND((COUNTIF(GD$2:GD$33,'Your Team'!$D$14)&gt;0),'Your Team'!$C$14="G" ),1,0)+IF( AND((COUNTIF(GD$2:GD$33,'Your Team'!$D$15)&gt;0),'Your Team'!$C$15="G" ),1,0)+IF( AND((COUNTIF(GD$2:GD$33,'Your Team'!$D$16)&gt;0),'Your Team'!$C$16="G" ),1,0)+IF( AND((COUNTIF(GD$2:GD$33,'Your Team'!$D$17)&gt;0),'Your Team'!$C$17="G" ),1,0)+IF( AND((COUNTIF(GD$2:GD$33,'Your Team'!$D$18)&gt;0),'Your Team'!$C$18="G" ),1,0)+IF( AND((COUNTIF(GD$2:GD$33,'Your Team'!$D$19)&gt;0),'Your Team'!$C$19="G" ),1,0)</f>
        <v>0</v>
      </c>
      <c r="GE41" s="9">
        <f>IF( AND((COUNTIF(GE$2:GE$33,'Your Team'!$D$3)&gt;0),'Your Team'!$C$3="G" ),1,0)+IF( AND((COUNTIF(GE$2:GE$33,'Your Team'!$D$4)&gt;0),'Your Team'!$C$4="G" ),1,0)+IF( AND((COUNTIF(GE$2:GE$33,'Your Team'!$D$5)&gt;0),'Your Team'!$C$5="G" ),1,0)+IF( AND((COUNTIF(GE$2:GE$33,'Your Team'!$D$6)&gt;0),'Your Team'!$C$6="G" ),1,0)+IF( AND((COUNTIF(GE$2:GE$33,'Your Team'!$D$7)&gt;0),'Your Team'!$C$7="G" ),1,0)+IF( AND((COUNTIF(GE$2:GE$33,'Your Team'!$D$8)&gt;0),'Your Team'!$C$8="G" ),1,0)+IF( AND((COUNTIF(GE$2:GE$33,'Your Team'!$D$9)&gt;0),'Your Team'!$C$9="G" ),1,0)+IF( AND((COUNTIF(GE$2:GE$33,'Your Team'!$D$10)&gt;0),'Your Team'!$C$10="G" ),1,0)+IF( AND((COUNTIF(GE$2:GE$33,'Your Team'!$D$11)&gt;0),'Your Team'!$C$11="G" ),1,0)+IF( AND((COUNTIF(GE$2:GE$33,'Your Team'!$D$12)&gt;0),'Your Team'!$C$12="G" ),1,0)+IF( AND((COUNTIF(GE$2:GE$33,'Your Team'!$D$13)&gt;0),'Your Team'!$C$13="G" ),1,0)+IF( AND((COUNTIF(GE$2:GE$33,'Your Team'!$D$14)&gt;0),'Your Team'!$C$14="G" ),1,0)+IF( AND((COUNTIF(GE$2:GE$33,'Your Team'!$D$15)&gt;0),'Your Team'!$C$15="G" ),1,0)+IF( AND((COUNTIF(GE$2:GE$33,'Your Team'!$D$16)&gt;0),'Your Team'!$C$16="G" ),1,0)+IF( AND((COUNTIF(GE$2:GE$33,'Your Team'!$D$17)&gt;0),'Your Team'!$C$17="G" ),1,0)+IF( AND((COUNTIF(GE$2:GE$33,'Your Team'!$D$18)&gt;0),'Your Team'!$C$18="G" ),1,0)+IF( AND((COUNTIF(GE$2:GE$33,'Your Team'!$D$19)&gt;0),'Your Team'!$C$19="G" ),1,0)</f>
        <v>0</v>
      </c>
      <c r="GF41" s="9">
        <f>IF( AND((COUNTIF(GF$2:GF$33,'Your Team'!$D$3)&gt;0),'Your Team'!$C$3="G" ),1,0)+IF( AND((COUNTIF(GF$2:GF$33,'Your Team'!$D$4)&gt;0),'Your Team'!$C$4="G" ),1,0)+IF( AND((COUNTIF(GF$2:GF$33,'Your Team'!$D$5)&gt;0),'Your Team'!$C$5="G" ),1,0)+IF( AND((COUNTIF(GF$2:GF$33,'Your Team'!$D$6)&gt;0),'Your Team'!$C$6="G" ),1,0)+IF( AND((COUNTIF(GF$2:GF$33,'Your Team'!$D$7)&gt;0),'Your Team'!$C$7="G" ),1,0)+IF( AND((COUNTIF(GF$2:GF$33,'Your Team'!$D$8)&gt;0),'Your Team'!$C$8="G" ),1,0)+IF( AND((COUNTIF(GF$2:GF$33,'Your Team'!$D$9)&gt;0),'Your Team'!$C$9="G" ),1,0)+IF( AND((COUNTIF(GF$2:GF$33,'Your Team'!$D$10)&gt;0),'Your Team'!$C$10="G" ),1,0)+IF( AND((COUNTIF(GF$2:GF$33,'Your Team'!$D$11)&gt;0),'Your Team'!$C$11="G" ),1,0)+IF( AND((COUNTIF(GF$2:GF$33,'Your Team'!$D$12)&gt;0),'Your Team'!$C$12="G" ),1,0)+IF( AND((COUNTIF(GF$2:GF$33,'Your Team'!$D$13)&gt;0),'Your Team'!$C$13="G" ),1,0)+IF( AND((COUNTIF(GF$2:GF$33,'Your Team'!$D$14)&gt;0),'Your Team'!$C$14="G" ),1,0)+IF( AND((COUNTIF(GF$2:GF$33,'Your Team'!$D$15)&gt;0),'Your Team'!$C$15="G" ),1,0)+IF( AND((COUNTIF(GF$2:GF$33,'Your Team'!$D$16)&gt;0),'Your Team'!$C$16="G" ),1,0)+IF( AND((COUNTIF(GF$2:GF$33,'Your Team'!$D$17)&gt;0),'Your Team'!$C$17="G" ),1,0)+IF( AND((COUNTIF(GF$2:GF$33,'Your Team'!$D$18)&gt;0),'Your Team'!$C$18="G" ),1,0)+IF( AND((COUNTIF(GF$2:GF$33,'Your Team'!$D$19)&gt;0),'Your Team'!$C$19="G" ),1,0)</f>
        <v>0</v>
      </c>
      <c r="GG41" s="9">
        <f>IF( AND((COUNTIF(GG$2:GG$33,'Your Team'!$D$3)&gt;0),'Your Team'!$C$3="G" ),1,0)+IF( AND((COUNTIF(GG$2:GG$33,'Your Team'!$D$4)&gt;0),'Your Team'!$C$4="G" ),1,0)+IF( AND((COUNTIF(GG$2:GG$33,'Your Team'!$D$5)&gt;0),'Your Team'!$C$5="G" ),1,0)+IF( AND((COUNTIF(GG$2:GG$33,'Your Team'!$D$6)&gt;0),'Your Team'!$C$6="G" ),1,0)+IF( AND((COUNTIF(GG$2:GG$33,'Your Team'!$D$7)&gt;0),'Your Team'!$C$7="G" ),1,0)+IF( AND((COUNTIF(GG$2:GG$33,'Your Team'!$D$8)&gt;0),'Your Team'!$C$8="G" ),1,0)+IF( AND((COUNTIF(GG$2:GG$33,'Your Team'!$D$9)&gt;0),'Your Team'!$C$9="G" ),1,0)+IF( AND((COUNTIF(GG$2:GG$33,'Your Team'!$D$10)&gt;0),'Your Team'!$C$10="G" ),1,0)+IF( AND((COUNTIF(GG$2:GG$33,'Your Team'!$D$11)&gt;0),'Your Team'!$C$11="G" ),1,0)+IF( AND((COUNTIF(GG$2:GG$33,'Your Team'!$D$12)&gt;0),'Your Team'!$C$12="G" ),1,0)+IF( AND((COUNTIF(GG$2:GG$33,'Your Team'!$D$13)&gt;0),'Your Team'!$C$13="G" ),1,0)+IF( AND((COUNTIF(GG$2:GG$33,'Your Team'!$D$14)&gt;0),'Your Team'!$C$14="G" ),1,0)+IF( AND((COUNTIF(GG$2:GG$33,'Your Team'!$D$15)&gt;0),'Your Team'!$C$15="G" ),1,0)+IF( AND((COUNTIF(GG$2:GG$33,'Your Team'!$D$16)&gt;0),'Your Team'!$C$16="G" ),1,0)+IF( AND((COUNTIF(GG$2:GG$33,'Your Team'!$D$17)&gt;0),'Your Team'!$C$17="G" ),1,0)+IF( AND((COUNTIF(GG$2:GG$33,'Your Team'!$D$18)&gt;0),'Your Team'!$C$18="G" ),1,0)+IF( AND((COUNTIF(GG$2:GG$33,'Your Team'!$D$19)&gt;0),'Your Team'!$C$19="G" ),1,0)</f>
        <v>0</v>
      </c>
      <c r="GH41" s="9">
        <f>IF( AND((COUNTIF(GH$2:GH$33,'Your Team'!$D$3)&gt;0),'Your Team'!$C$3="G" ),1,0)+IF( AND((COUNTIF(GH$2:GH$33,'Your Team'!$D$4)&gt;0),'Your Team'!$C$4="G" ),1,0)+IF( AND((COUNTIF(GH$2:GH$33,'Your Team'!$D$5)&gt;0),'Your Team'!$C$5="G" ),1,0)+IF( AND((COUNTIF(GH$2:GH$33,'Your Team'!$D$6)&gt;0),'Your Team'!$C$6="G" ),1,0)+IF( AND((COUNTIF(GH$2:GH$33,'Your Team'!$D$7)&gt;0),'Your Team'!$C$7="G" ),1,0)+IF( AND((COUNTIF(GH$2:GH$33,'Your Team'!$D$8)&gt;0),'Your Team'!$C$8="G" ),1,0)+IF( AND((COUNTIF(GH$2:GH$33,'Your Team'!$D$9)&gt;0),'Your Team'!$C$9="G" ),1,0)+IF( AND((COUNTIF(GH$2:GH$33,'Your Team'!$D$10)&gt;0),'Your Team'!$C$10="G" ),1,0)+IF( AND((COUNTIF(GH$2:GH$33,'Your Team'!$D$11)&gt;0),'Your Team'!$C$11="G" ),1,0)+IF( AND((COUNTIF(GH$2:GH$33,'Your Team'!$D$12)&gt;0),'Your Team'!$C$12="G" ),1,0)+IF( AND((COUNTIF(GH$2:GH$33,'Your Team'!$D$13)&gt;0),'Your Team'!$C$13="G" ),1,0)+IF( AND((COUNTIF(GH$2:GH$33,'Your Team'!$D$14)&gt;0),'Your Team'!$C$14="G" ),1,0)+IF( AND((COUNTIF(GH$2:GH$33,'Your Team'!$D$15)&gt;0),'Your Team'!$C$15="G" ),1,0)+IF( AND((COUNTIF(GH$2:GH$33,'Your Team'!$D$16)&gt;0),'Your Team'!$C$16="G" ),1,0)+IF( AND((COUNTIF(GH$2:GH$33,'Your Team'!$D$17)&gt;0),'Your Team'!$C$17="G" ),1,0)+IF( AND((COUNTIF(GH$2:GH$33,'Your Team'!$D$18)&gt;0),'Your Team'!$C$18="G" ),1,0)+IF( AND((COUNTIF(GH$2:GH$33,'Your Team'!$D$19)&gt;0),'Your Team'!$C$19="G" ),1,0)</f>
        <v>0</v>
      </c>
      <c r="GI41" s="9">
        <f>IF( AND((COUNTIF(GI$2:GI$33,'Your Team'!$D$3)&gt;0),'Your Team'!$C$3="G" ),1,0)+IF( AND((COUNTIF(GI$2:GI$33,'Your Team'!$D$4)&gt;0),'Your Team'!$C$4="G" ),1,0)+IF( AND((COUNTIF(GI$2:GI$33,'Your Team'!$D$5)&gt;0),'Your Team'!$C$5="G" ),1,0)+IF( AND((COUNTIF(GI$2:GI$33,'Your Team'!$D$6)&gt;0),'Your Team'!$C$6="G" ),1,0)+IF( AND((COUNTIF(GI$2:GI$33,'Your Team'!$D$7)&gt;0),'Your Team'!$C$7="G" ),1,0)+IF( AND((COUNTIF(GI$2:GI$33,'Your Team'!$D$8)&gt;0),'Your Team'!$C$8="G" ),1,0)+IF( AND((COUNTIF(GI$2:GI$33,'Your Team'!$D$9)&gt;0),'Your Team'!$C$9="G" ),1,0)+IF( AND((COUNTIF(GI$2:GI$33,'Your Team'!$D$10)&gt;0),'Your Team'!$C$10="G" ),1,0)+IF( AND((COUNTIF(GI$2:GI$33,'Your Team'!$D$11)&gt;0),'Your Team'!$C$11="G" ),1,0)+IF( AND((COUNTIF(GI$2:GI$33,'Your Team'!$D$12)&gt;0),'Your Team'!$C$12="G" ),1,0)+IF( AND((COUNTIF(GI$2:GI$33,'Your Team'!$D$13)&gt;0),'Your Team'!$C$13="G" ),1,0)+IF( AND((COUNTIF(GI$2:GI$33,'Your Team'!$D$14)&gt;0),'Your Team'!$C$14="G" ),1,0)+IF( AND((COUNTIF(GI$2:GI$33,'Your Team'!$D$15)&gt;0),'Your Team'!$C$15="G" ),1,0)+IF( AND((COUNTIF(GI$2:GI$33,'Your Team'!$D$16)&gt;0),'Your Team'!$C$16="G" ),1,0)+IF( AND((COUNTIF(GI$2:GI$33,'Your Team'!$D$17)&gt;0),'Your Team'!$C$17="G" ),1,0)+IF( AND((COUNTIF(GI$2:GI$33,'Your Team'!$D$18)&gt;0),'Your Team'!$C$18="G" ),1,0)+IF( AND((COUNTIF(GI$2:GI$33,'Your Team'!$D$19)&gt;0),'Your Team'!$C$19="G" ),1,0)</f>
        <v>0</v>
      </c>
      <c r="GJ41" s="9">
        <f>IF( AND((COUNTIF(GJ$2:GJ$33,'Your Team'!$D$3)&gt;0),'Your Team'!$C$3="G" ),1,0)+IF( AND((COUNTIF(GJ$2:GJ$33,'Your Team'!$D$4)&gt;0),'Your Team'!$C$4="G" ),1,0)+IF( AND((COUNTIF(GJ$2:GJ$33,'Your Team'!$D$5)&gt;0),'Your Team'!$C$5="G" ),1,0)+IF( AND((COUNTIF(GJ$2:GJ$33,'Your Team'!$D$6)&gt;0),'Your Team'!$C$6="G" ),1,0)+IF( AND((COUNTIF(GJ$2:GJ$33,'Your Team'!$D$7)&gt;0),'Your Team'!$C$7="G" ),1,0)+IF( AND((COUNTIF(GJ$2:GJ$33,'Your Team'!$D$8)&gt;0),'Your Team'!$C$8="G" ),1,0)+IF( AND((COUNTIF(GJ$2:GJ$33,'Your Team'!$D$9)&gt;0),'Your Team'!$C$9="G" ),1,0)+IF( AND((COUNTIF(GJ$2:GJ$33,'Your Team'!$D$10)&gt;0),'Your Team'!$C$10="G" ),1,0)+IF( AND((COUNTIF(GJ$2:GJ$33,'Your Team'!$D$11)&gt;0),'Your Team'!$C$11="G" ),1,0)+IF( AND((COUNTIF(GJ$2:GJ$33,'Your Team'!$D$12)&gt;0),'Your Team'!$C$12="G" ),1,0)+IF( AND((COUNTIF(GJ$2:GJ$33,'Your Team'!$D$13)&gt;0),'Your Team'!$C$13="G" ),1,0)+IF( AND((COUNTIF(GJ$2:GJ$33,'Your Team'!$D$14)&gt;0),'Your Team'!$C$14="G" ),1,0)+IF( AND((COUNTIF(GJ$2:GJ$33,'Your Team'!$D$15)&gt;0),'Your Team'!$C$15="G" ),1,0)+IF( AND((COUNTIF(GJ$2:GJ$33,'Your Team'!$D$16)&gt;0),'Your Team'!$C$16="G" ),1,0)+IF( AND((COUNTIF(GJ$2:GJ$33,'Your Team'!$D$17)&gt;0),'Your Team'!$C$17="G" ),1,0)+IF( AND((COUNTIF(GJ$2:GJ$33,'Your Team'!$D$18)&gt;0),'Your Team'!$C$18="G" ),1,0)+IF( AND((COUNTIF(GJ$2:GJ$33,'Your Team'!$D$19)&gt;0),'Your Team'!$C$19="G" ),1,0)</f>
        <v>0</v>
      </c>
      <c r="GK41" s="9">
        <f>IF( AND((COUNTIF(GK$2:GK$33,'Your Team'!$D$3)&gt;0),'Your Team'!$C$3="G" ),1,0)+IF( AND((COUNTIF(GK$2:GK$33,'Your Team'!$D$4)&gt;0),'Your Team'!$C$4="G" ),1,0)+IF( AND((COUNTIF(GK$2:GK$33,'Your Team'!$D$5)&gt;0),'Your Team'!$C$5="G" ),1,0)+IF( AND((COUNTIF(GK$2:GK$33,'Your Team'!$D$6)&gt;0),'Your Team'!$C$6="G" ),1,0)+IF( AND((COUNTIF(GK$2:GK$33,'Your Team'!$D$7)&gt;0),'Your Team'!$C$7="G" ),1,0)+IF( AND((COUNTIF(GK$2:GK$33,'Your Team'!$D$8)&gt;0),'Your Team'!$C$8="G" ),1,0)+IF( AND((COUNTIF(GK$2:GK$33,'Your Team'!$D$9)&gt;0),'Your Team'!$C$9="G" ),1,0)+IF( AND((COUNTIF(GK$2:GK$33,'Your Team'!$D$10)&gt;0),'Your Team'!$C$10="G" ),1,0)+IF( AND((COUNTIF(GK$2:GK$33,'Your Team'!$D$11)&gt;0),'Your Team'!$C$11="G" ),1,0)+IF( AND((COUNTIF(GK$2:GK$33,'Your Team'!$D$12)&gt;0),'Your Team'!$C$12="G" ),1,0)+IF( AND((COUNTIF(GK$2:GK$33,'Your Team'!$D$13)&gt;0),'Your Team'!$C$13="G" ),1,0)+IF( AND((COUNTIF(GK$2:GK$33,'Your Team'!$D$14)&gt;0),'Your Team'!$C$14="G" ),1,0)+IF( AND((COUNTIF(GK$2:GK$33,'Your Team'!$D$15)&gt;0),'Your Team'!$C$15="G" ),1,0)+IF( AND((COUNTIF(GK$2:GK$33,'Your Team'!$D$16)&gt;0),'Your Team'!$C$16="G" ),1,0)+IF( AND((COUNTIF(GK$2:GK$33,'Your Team'!$D$17)&gt;0),'Your Team'!$C$17="G" ),1,0)+IF( AND((COUNTIF(GK$2:GK$33,'Your Team'!$D$18)&gt;0),'Your Team'!$C$18="G" ),1,0)+IF( AND((COUNTIF(GK$2:GK$33,'Your Team'!$D$19)&gt;0),'Your Team'!$C$19="G" ),1,0)</f>
        <v>0</v>
      </c>
      <c r="GL41" s="9">
        <f>IF( AND((COUNTIF(GL$2:GL$33,'Your Team'!$D$3)&gt;0),'Your Team'!$C$3="G" ),1,0)+IF( AND((COUNTIF(GL$2:GL$33,'Your Team'!$D$4)&gt;0),'Your Team'!$C$4="G" ),1,0)+IF( AND((COUNTIF(GL$2:GL$33,'Your Team'!$D$5)&gt;0),'Your Team'!$C$5="G" ),1,0)+IF( AND((COUNTIF(GL$2:GL$33,'Your Team'!$D$6)&gt;0),'Your Team'!$C$6="G" ),1,0)+IF( AND((COUNTIF(GL$2:GL$33,'Your Team'!$D$7)&gt;0),'Your Team'!$C$7="G" ),1,0)+IF( AND((COUNTIF(GL$2:GL$33,'Your Team'!$D$8)&gt;0),'Your Team'!$C$8="G" ),1,0)+IF( AND((COUNTIF(GL$2:GL$33,'Your Team'!$D$9)&gt;0),'Your Team'!$C$9="G" ),1,0)+IF( AND((COUNTIF(GL$2:GL$33,'Your Team'!$D$10)&gt;0),'Your Team'!$C$10="G" ),1,0)+IF( AND((COUNTIF(GL$2:GL$33,'Your Team'!$D$11)&gt;0),'Your Team'!$C$11="G" ),1,0)+IF( AND((COUNTIF(GL$2:GL$33,'Your Team'!$D$12)&gt;0),'Your Team'!$C$12="G" ),1,0)+IF( AND((COUNTIF(GL$2:GL$33,'Your Team'!$D$13)&gt;0),'Your Team'!$C$13="G" ),1,0)+IF( AND((COUNTIF(GL$2:GL$33,'Your Team'!$D$14)&gt;0),'Your Team'!$C$14="G" ),1,0)+IF( AND((COUNTIF(GL$2:GL$33,'Your Team'!$D$15)&gt;0),'Your Team'!$C$15="G" ),1,0)+IF( AND((COUNTIF(GL$2:GL$33,'Your Team'!$D$16)&gt;0),'Your Team'!$C$16="G" ),1,0)+IF( AND((COUNTIF(GL$2:GL$33,'Your Team'!$D$17)&gt;0),'Your Team'!$C$17="G" ),1,0)+IF( AND((COUNTIF(GL$2:GL$33,'Your Team'!$D$18)&gt;0),'Your Team'!$C$18="G" ),1,0)+IF( AND((COUNTIF(GL$2:GL$33,'Your Team'!$D$19)&gt;0),'Your Team'!$C$19="G" ),1,0)</f>
        <v>0</v>
      </c>
      <c r="GM41" s="9">
        <f>IF( AND((COUNTIF(GM$2:GM$33,'Your Team'!$D$3)&gt;0),'Your Team'!$C$3="G" ),1,0)+IF( AND((COUNTIF(GM$2:GM$33,'Your Team'!$D$4)&gt;0),'Your Team'!$C$4="G" ),1,0)+IF( AND((COUNTIF(GM$2:GM$33,'Your Team'!$D$5)&gt;0),'Your Team'!$C$5="G" ),1,0)+IF( AND((COUNTIF(GM$2:GM$33,'Your Team'!$D$6)&gt;0),'Your Team'!$C$6="G" ),1,0)+IF( AND((COUNTIF(GM$2:GM$33,'Your Team'!$D$7)&gt;0),'Your Team'!$C$7="G" ),1,0)+IF( AND((COUNTIF(GM$2:GM$33,'Your Team'!$D$8)&gt;0),'Your Team'!$C$8="G" ),1,0)+IF( AND((COUNTIF(GM$2:GM$33,'Your Team'!$D$9)&gt;0),'Your Team'!$C$9="G" ),1,0)+IF( AND((COUNTIF(GM$2:GM$33,'Your Team'!$D$10)&gt;0),'Your Team'!$C$10="G" ),1,0)+IF( AND((COUNTIF(GM$2:GM$33,'Your Team'!$D$11)&gt;0),'Your Team'!$C$11="G" ),1,0)+IF( AND((COUNTIF(GM$2:GM$33,'Your Team'!$D$12)&gt;0),'Your Team'!$C$12="G" ),1,0)+IF( AND((COUNTIF(GM$2:GM$33,'Your Team'!$D$13)&gt;0),'Your Team'!$C$13="G" ),1,0)+IF( AND((COUNTIF(GM$2:GM$33,'Your Team'!$D$14)&gt;0),'Your Team'!$C$14="G" ),1,0)+IF( AND((COUNTIF(GM$2:GM$33,'Your Team'!$D$15)&gt;0),'Your Team'!$C$15="G" ),1,0)+IF( AND((COUNTIF(GM$2:GM$33,'Your Team'!$D$16)&gt;0),'Your Team'!$C$16="G" ),1,0)+IF( AND((COUNTIF(GM$2:GM$33,'Your Team'!$D$17)&gt;0),'Your Team'!$C$17="G" ),1,0)+IF( AND((COUNTIF(GM$2:GM$33,'Your Team'!$D$18)&gt;0),'Your Team'!$C$18="G" ),1,0)+IF( AND((COUNTIF(GM$2:GM$33,'Your Team'!$D$19)&gt;0),'Your Team'!$C$19="G" ),1,0)</f>
        <v>0</v>
      </c>
      <c r="GN41" s="9">
        <f>IF( AND((COUNTIF(GN$2:GN$33,'Your Team'!$D$3)&gt;0),'Your Team'!$C$3="G" ),1,0)+IF( AND((COUNTIF(GN$2:GN$33,'Your Team'!$D$4)&gt;0),'Your Team'!$C$4="G" ),1,0)+IF( AND((COUNTIF(GN$2:GN$33,'Your Team'!$D$5)&gt;0),'Your Team'!$C$5="G" ),1,0)+IF( AND((COUNTIF(GN$2:GN$33,'Your Team'!$D$6)&gt;0),'Your Team'!$C$6="G" ),1,0)+IF( AND((COUNTIF(GN$2:GN$33,'Your Team'!$D$7)&gt;0),'Your Team'!$C$7="G" ),1,0)+IF( AND((COUNTIF(GN$2:GN$33,'Your Team'!$D$8)&gt;0),'Your Team'!$C$8="G" ),1,0)+IF( AND((COUNTIF(GN$2:GN$33,'Your Team'!$D$9)&gt;0),'Your Team'!$C$9="G" ),1,0)+IF( AND((COUNTIF(GN$2:GN$33,'Your Team'!$D$10)&gt;0),'Your Team'!$C$10="G" ),1,0)+IF( AND((COUNTIF(GN$2:GN$33,'Your Team'!$D$11)&gt;0),'Your Team'!$C$11="G" ),1,0)+IF( AND((COUNTIF(GN$2:GN$33,'Your Team'!$D$12)&gt;0),'Your Team'!$C$12="G" ),1,0)+IF( AND((COUNTIF(GN$2:GN$33,'Your Team'!$D$13)&gt;0),'Your Team'!$C$13="G" ),1,0)+IF( AND((COUNTIF(GN$2:GN$33,'Your Team'!$D$14)&gt;0),'Your Team'!$C$14="G" ),1,0)+IF( AND((COUNTIF(GN$2:GN$33,'Your Team'!$D$15)&gt;0),'Your Team'!$C$15="G" ),1,0)+IF( AND((COUNTIF(GN$2:GN$33,'Your Team'!$D$16)&gt;0),'Your Team'!$C$16="G" ),1,0)+IF( AND((COUNTIF(GN$2:GN$33,'Your Team'!$D$17)&gt;0),'Your Team'!$C$17="G" ),1,0)+IF( AND((COUNTIF(GN$2:GN$33,'Your Team'!$D$18)&gt;0),'Your Team'!$C$18="G" ),1,0)+IF( AND((COUNTIF(GN$2:GN$33,'Your Team'!$D$19)&gt;0),'Your Team'!$C$19="G" ),1,0)</f>
        <v>0</v>
      </c>
    </row>
  </sheetData>
  <conditionalFormatting sqref="M2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4:GN34">
    <cfRule type="colorScale" priority="1">
      <colorScale>
        <cfvo type="num" val="10"/>
        <cfvo type="percentile" val="50"/>
        <cfvo type="max"/>
        <color rgb="FF00B050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3E7B8-823D-467B-BF03-3292A67A3650}">
  <sheetPr codeName="Sheet2">
    <tabColor rgb="FFFF0000"/>
  </sheetPr>
  <dimension ref="A1:Y1112"/>
  <sheetViews>
    <sheetView tabSelected="1" workbookViewId="0">
      <selection activeCell="P9" sqref="P9"/>
    </sheetView>
  </sheetViews>
  <sheetFormatPr defaultRowHeight="14.4" x14ac:dyDescent="0.3"/>
  <cols>
    <col min="1" max="1" width="4.6640625" customWidth="1"/>
    <col min="2" max="2" width="20" customWidth="1"/>
    <col min="3" max="3" width="5.88671875" customWidth="1"/>
    <col min="4" max="4" width="5.77734375" style="38" customWidth="1"/>
    <col min="5" max="5" width="6.77734375" style="71" customWidth="1"/>
    <col min="6" max="6" width="6.44140625" style="71" hidden="1" customWidth="1"/>
    <col min="7" max="7" width="8.88671875" style="71"/>
    <col min="8" max="8" width="9.109375" style="72" customWidth="1"/>
    <col min="9" max="9" width="8.44140625" style="96" customWidth="1"/>
    <col min="11" max="11" width="8.33203125" style="2" customWidth="1"/>
    <col min="12" max="12" width="8.44140625" style="93" customWidth="1"/>
    <col min="20" max="20" width="5.33203125" customWidth="1"/>
    <col min="21" max="21" width="4.21875" customWidth="1"/>
    <col min="22" max="22" width="17.5546875" customWidth="1"/>
    <col min="23" max="23" width="4.88671875" customWidth="1"/>
    <col min="24" max="24" width="5.6640625" customWidth="1"/>
  </cols>
  <sheetData>
    <row r="1" spans="1:25" x14ac:dyDescent="0.3">
      <c r="B1" t="s">
        <v>991</v>
      </c>
    </row>
    <row r="3" spans="1:25" s="69" customFormat="1" ht="47.4" customHeight="1" x14ac:dyDescent="0.3">
      <c r="A3" s="68" t="s">
        <v>984</v>
      </c>
      <c r="B3" s="68" t="s">
        <v>979</v>
      </c>
      <c r="C3" s="68" t="s">
        <v>8</v>
      </c>
      <c r="D3" s="68" t="s">
        <v>7</v>
      </c>
      <c r="E3" s="73" t="s">
        <v>980</v>
      </c>
      <c r="F3" s="74" t="s">
        <v>961</v>
      </c>
      <c r="G3" s="74" t="s">
        <v>981</v>
      </c>
      <c r="H3" s="70" t="s">
        <v>1219</v>
      </c>
      <c r="I3" s="97" t="s">
        <v>1241</v>
      </c>
      <c r="J3" s="70" t="s">
        <v>1220</v>
      </c>
      <c r="K3" s="91" t="s">
        <v>1223</v>
      </c>
      <c r="L3" s="94" t="s">
        <v>1242</v>
      </c>
      <c r="M3" s="94" t="s">
        <v>1246</v>
      </c>
      <c r="O3" s="98"/>
      <c r="P3" s="98"/>
    </row>
    <row r="4" spans="1:25" ht="15" thickBot="1" x14ac:dyDescent="0.35">
      <c r="A4">
        <f>'score estimates'!$A4</f>
        <v>1</v>
      </c>
      <c r="B4" t="str">
        <f>'score estimates'!$B4</f>
        <v>Connor McDavid</v>
      </c>
      <c r="C4" t="str">
        <f>'score estimates'!$D4</f>
        <v>F</v>
      </c>
      <c r="D4" t="str">
        <f>'score estimates'!$C4</f>
        <v>EDM</v>
      </c>
      <c r="E4" s="75">
        <f>'score estimates'!$F4</f>
        <v>55.987804878048777</v>
      </c>
      <c r="F4" s="71">
        <f>'score estimates'!$G4</f>
        <v>1</v>
      </c>
      <c r="G4" s="71" t="s">
        <v>983</v>
      </c>
      <c r="H4" s="72" cm="1">
        <f t="array" aca="1" ref="H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" s="96">
        <f ca="1">IF(Table2[[#This Row],[Team]]="FA",0,Table2[[#This Row],[Pts/G]]*(1-Table2[[#This Row],[% Pos Overlap]]))</f>
        <v>55.987804878048777</v>
      </c>
      <c r="J4" s="72" cm="1">
        <f t="array" aca="1" ref="J4" ca="1">(INDIRECT(ADDRESS((_xlfn.XMATCH(Table2[[#This Row],[Team]],Schedule!$A$1:$A$33)),5,1,1,"Sched Overlap")))</f>
        <v>0.62026862026862029</v>
      </c>
      <c r="K4" s="92" cm="1">
        <f t="array" aca="1" ref="K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" s="95">
        <f ca="1">IF(Table2[[#This Row],[Team]]="FA",0,Table2[[#This Row],[Pts/G]]*(Table2[[#This Row],[Games Playable]]/82))</f>
        <v>55.987804878048777</v>
      </c>
      <c r="M4" s="95" cm="1">
        <f t="array" aca="1" ref="M4" ca="1">Table2[[#This Row],[Playable x Score]]*_xlfn.IFS(Table2[[#This Row],[Pos]]="D",assumptions!$B$15,Table2[[#This Row],[Pos]]="F", assumptions!$B$14,Table2[[#This Row],[Pos]]="G",assumptions!$B$16)</f>
        <v>55.987804878048777</v>
      </c>
    </row>
    <row r="5" spans="1:25" x14ac:dyDescent="0.3">
      <c r="A5">
        <f>'score estimates'!$A5</f>
        <v>2</v>
      </c>
      <c r="B5" t="str">
        <f>'score estimates'!$B5</f>
        <v>Leon Draisaitl</v>
      </c>
      <c r="C5" t="str">
        <f>'score estimates'!$D5</f>
        <v>F</v>
      </c>
      <c r="D5" t="str">
        <f>'score estimates'!$C5</f>
        <v>EDM</v>
      </c>
      <c r="E5" s="75">
        <f>'score estimates'!$F5</f>
        <v>52.853658536585364</v>
      </c>
      <c r="F5" s="71">
        <f>'score estimates'!$G5</f>
        <v>2</v>
      </c>
      <c r="G5" s="71" t="s">
        <v>983</v>
      </c>
      <c r="H5" s="72" cm="1">
        <f t="array" aca="1" ref="H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" s="96">
        <f ca="1">IF(Table2[[#This Row],[Team]]="FA",0,Table2[[#This Row],[Pts/G]]*(1-Table2[[#This Row],[% Pos Overlap]]))</f>
        <v>52.853658536585364</v>
      </c>
      <c r="J5" s="72" cm="1">
        <f t="array" aca="1" ref="J5" ca="1">(INDIRECT(ADDRESS((_xlfn.XMATCH(Table2[[#This Row],[Team]],Schedule!$A$1:$A$33)),5,1,1,"Sched Overlap")))</f>
        <v>0.62026862026862029</v>
      </c>
      <c r="K5" s="92" cm="1">
        <f t="array" aca="1" ref="K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" s="95">
        <f ca="1">IF(Table2[[#This Row],[Team]]="FA",0,Table2[[#This Row],[Pts/G]]*(Table2[[#This Row],[Games Playable]]/82))</f>
        <v>52.853658536585364</v>
      </c>
      <c r="M5" s="95" cm="1">
        <f t="array" aca="1" ref="M5" ca="1">Table2[[#This Row],[Playable x Score]]*_xlfn.IFS(Table2[[#This Row],[Pos]]="D",assumptions!$B$15,Table2[[#This Row],[Pos]]="F", assumptions!$B$14,Table2[[#This Row],[Pos]]="G",assumptions!$B$16)</f>
        <v>52.853658536585364</v>
      </c>
      <c r="O5" s="99"/>
      <c r="P5" s="99"/>
      <c r="U5" s="103" t="str">
        <f>'Your Team'!A1</f>
        <v>Main Team</v>
      </c>
      <c r="V5" s="104"/>
      <c r="W5" s="104"/>
      <c r="X5" s="104"/>
      <c r="Y5" s="105"/>
    </row>
    <row r="6" spans="1:25" x14ac:dyDescent="0.3">
      <c r="A6">
        <f>'score estimates'!$A6</f>
        <v>3</v>
      </c>
      <c r="B6" t="str">
        <f>'score estimates'!$B6</f>
        <v>Nikita Kucherov</v>
      </c>
      <c r="C6" t="str">
        <f>'score estimates'!$D6</f>
        <v>F</v>
      </c>
      <c r="D6" t="str">
        <f>'score estimates'!$C6</f>
        <v>TB</v>
      </c>
      <c r="E6" s="75">
        <f>'score estimates'!$F6</f>
        <v>45.439024390243901</v>
      </c>
      <c r="F6" s="71">
        <f>'score estimates'!$G6</f>
        <v>8</v>
      </c>
      <c r="G6" s="71" t="s">
        <v>983</v>
      </c>
      <c r="H6" s="72" cm="1">
        <f t="array" aca="1" ref="H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" s="96">
        <f ca="1">IF(Table2[[#This Row],[Team]]="FA",0,Table2[[#This Row],[Pts/G]]*(1-Table2[[#This Row],[% Pos Overlap]]))</f>
        <v>45.439024390243901</v>
      </c>
      <c r="J6" s="72" cm="1">
        <f t="array" aca="1" ref="J6" ca="1">(INDIRECT(ADDRESS((_xlfn.XMATCH(Table2[[#This Row],[Team]],Schedule!$A$1:$A$33)),5,1,1,"Sched Overlap")))</f>
        <v>0.66422466422466431</v>
      </c>
      <c r="K6" s="92" cm="1">
        <f t="array" aca="1" ref="K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" s="95">
        <f ca="1">IF(Table2[[#This Row],[Team]]="FA",0,Table2[[#This Row],[Pts/G]]*(Table2[[#This Row],[Games Playable]]/82))</f>
        <v>45.439024390243901</v>
      </c>
      <c r="M6" s="95" cm="1">
        <f t="array" aca="1" ref="M6" ca="1">Table2[[#This Row],[Playable x Score]]*_xlfn.IFS(Table2[[#This Row],[Pos]]="D",assumptions!$B$15,Table2[[#This Row],[Pos]]="F", assumptions!$B$14,Table2[[#This Row],[Pos]]="G",assumptions!$B$16)</f>
        <v>45.439024390243901</v>
      </c>
      <c r="O6" s="99"/>
      <c r="P6" s="99"/>
      <c r="U6" s="56" t="str">
        <f>'Your Team'!A2</f>
        <v>ID</v>
      </c>
      <c r="V6" s="57" t="str">
        <f>'Your Team'!B2</f>
        <v>Name</v>
      </c>
      <c r="W6" s="57" t="str">
        <f>'Your Team'!C2</f>
        <v>Pos</v>
      </c>
      <c r="X6" s="57" t="str">
        <f>'Your Team'!D2</f>
        <v>Team</v>
      </c>
      <c r="Y6" s="58" t="str">
        <f>'Your Team'!E2</f>
        <v>pts/G</v>
      </c>
    </row>
    <row r="7" spans="1:25" x14ac:dyDescent="0.3">
      <c r="A7">
        <f>'score estimates'!$A7</f>
        <v>4</v>
      </c>
      <c r="B7" t="str">
        <f>'score estimates'!$B7</f>
        <v>Kirill Kaprizov</v>
      </c>
      <c r="C7" t="str">
        <f>'score estimates'!$D7</f>
        <v>F</v>
      </c>
      <c r="D7" t="str">
        <f>'score estimates'!$C7</f>
        <v>MIN</v>
      </c>
      <c r="E7" s="75">
        <f>'score estimates'!$F7</f>
        <v>48.609756097560975</v>
      </c>
      <c r="F7" s="71">
        <f>'score estimates'!$G7</f>
        <v>5</v>
      </c>
      <c r="G7" s="71" t="s">
        <v>983</v>
      </c>
      <c r="H7" s="72" cm="1">
        <f t="array" aca="1" ref="H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" s="96">
        <f ca="1">IF(Table2[[#This Row],[Team]]="FA",0,Table2[[#This Row],[Pts/G]]*(1-Table2[[#This Row],[% Pos Overlap]]))</f>
        <v>48.609756097560975</v>
      </c>
      <c r="J7" s="72" cm="1">
        <f t="array" aca="1" ref="J7" ca="1">(INDIRECT(ADDRESS((_xlfn.XMATCH(Table2[[#This Row],[Team]],Schedule!$A$1:$A$33)),5,1,1,"Sched Overlap")))</f>
        <v>0.62108262108262113</v>
      </c>
      <c r="K7" s="92" cm="1">
        <f t="array" aca="1" ref="K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" s="95">
        <f ca="1">IF(Table2[[#This Row],[Team]]="FA",0,Table2[[#This Row],[Pts/G]]*(Table2[[#This Row],[Games Playable]]/82))</f>
        <v>48.609756097560975</v>
      </c>
      <c r="M7" s="95" cm="1">
        <f t="array" aca="1" ref="M7" ca="1">Table2[[#This Row],[Playable x Score]]*_xlfn.IFS(Table2[[#This Row],[Pos]]="D",assumptions!$B$15,Table2[[#This Row],[Pos]]="F", assumptions!$B$14,Table2[[#This Row],[Pos]]="G",assumptions!$B$16)</f>
        <v>48.609756097560975</v>
      </c>
      <c r="U7" s="52">
        <f>'Your Team'!A3</f>
        <v>0</v>
      </c>
      <c r="V7" s="43">
        <f>'Your Team'!B3</f>
        <v>0</v>
      </c>
      <c r="W7" s="43">
        <f>'Your Team'!C3</f>
        <v>0</v>
      </c>
      <c r="X7" s="43">
        <f>'Your Team'!D3</f>
        <v>0</v>
      </c>
      <c r="Y7" s="82">
        <f>'Your Team'!E3</f>
        <v>0</v>
      </c>
    </row>
    <row r="8" spans="1:25" x14ac:dyDescent="0.3">
      <c r="A8">
        <f>'score estimates'!$A8</f>
        <v>5</v>
      </c>
      <c r="B8" t="str">
        <f>'score estimates'!$B8</f>
        <v>Auston Matthews</v>
      </c>
      <c r="C8" t="str">
        <f>'score estimates'!$D8</f>
        <v>F</v>
      </c>
      <c r="D8" t="str">
        <f>'score estimates'!$C8</f>
        <v>TOR</v>
      </c>
      <c r="E8" s="75">
        <f>'score estimates'!$F8</f>
        <v>50.719512195121951</v>
      </c>
      <c r="F8" s="71">
        <f>'score estimates'!$G8</f>
        <v>3</v>
      </c>
      <c r="G8" s="71" t="s">
        <v>983</v>
      </c>
      <c r="H8" s="72" cm="1">
        <f t="array" aca="1" ref="H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" s="96">
        <f ca="1">IF(Table2[[#This Row],[Team]]="FA",0,Table2[[#This Row],[Pts/G]]*(1-Table2[[#This Row],[% Pos Overlap]]))</f>
        <v>50.719512195121951</v>
      </c>
      <c r="J8" s="72" cm="1">
        <f t="array" aca="1" ref="J8" ca="1">(INDIRECT(ADDRESS((_xlfn.XMATCH(Table2[[#This Row],[Team]],Schedule!$A$1:$A$33)),5,1,1,"Sched Overlap")))</f>
        <v>0.62922262922262928</v>
      </c>
      <c r="K8" s="92" cm="1">
        <f t="array" aca="1" ref="K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" s="95">
        <f ca="1">IF(Table2[[#This Row],[Team]]="FA",0,Table2[[#This Row],[Pts/G]]*(Table2[[#This Row],[Games Playable]]/82))</f>
        <v>50.719512195121951</v>
      </c>
      <c r="M8" s="95" cm="1">
        <f t="array" aca="1" ref="M8" ca="1">Table2[[#This Row],[Playable x Score]]*_xlfn.IFS(Table2[[#This Row],[Pos]]="D",assumptions!$B$15,Table2[[#This Row],[Pos]]="F", assumptions!$B$14,Table2[[#This Row],[Pos]]="G",assumptions!$B$16)</f>
        <v>50.719512195121951</v>
      </c>
      <c r="U8" s="52">
        <f>'Your Team'!A4</f>
        <v>0</v>
      </c>
      <c r="V8" s="43">
        <f>'Your Team'!B4</f>
        <v>0</v>
      </c>
      <c r="W8" s="43">
        <f>'Your Team'!C4</f>
        <v>0</v>
      </c>
      <c r="X8" s="43">
        <f>'Your Team'!D4</f>
        <v>0</v>
      </c>
      <c r="Y8" s="82">
        <f>'Your Team'!E4</f>
        <v>0</v>
      </c>
    </row>
    <row r="9" spans="1:25" x14ac:dyDescent="0.3">
      <c r="A9">
        <f>'score estimates'!$A9</f>
        <v>6</v>
      </c>
      <c r="B9" t="str">
        <f>'score estimates'!$B9</f>
        <v>Jonathan Huberdeau</v>
      </c>
      <c r="C9" t="str">
        <f>'score estimates'!$D9</f>
        <v>F</v>
      </c>
      <c r="D9" t="str">
        <f>'score estimates'!$C9</f>
        <v>CGY</v>
      </c>
      <c r="E9" s="75">
        <f>'score estimates'!$F9</f>
        <v>46.780487804878049</v>
      </c>
      <c r="F9" s="71">
        <f>'score estimates'!$G9</f>
        <v>6</v>
      </c>
      <c r="G9" s="71" t="s">
        <v>983</v>
      </c>
      <c r="H9" s="72" cm="1">
        <f t="array" aca="1" ref="H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" s="96">
        <f ca="1">IF(Table2[[#This Row],[Team]]="FA",0,Table2[[#This Row],[Pts/G]]*(1-Table2[[#This Row],[% Pos Overlap]]))</f>
        <v>46.780487804878049</v>
      </c>
      <c r="J9" s="72" cm="1">
        <f t="array" aca="1" ref="J9" ca="1">(INDIRECT(ADDRESS((_xlfn.XMATCH(Table2[[#This Row],[Team]],Schedule!$A$1:$A$33)),5,1,1,"Sched Overlap")))</f>
        <v>0.63003663003663002</v>
      </c>
      <c r="K9" s="92" cm="1">
        <f t="array" aca="1" ref="K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" s="95">
        <f ca="1">IF(Table2[[#This Row],[Team]]="FA",0,Table2[[#This Row],[Pts/G]]*(Table2[[#This Row],[Games Playable]]/82))</f>
        <v>46.780487804878049</v>
      </c>
      <c r="M9" s="95" cm="1">
        <f t="array" aca="1" ref="M9" ca="1">Table2[[#This Row],[Playable x Score]]*_xlfn.IFS(Table2[[#This Row],[Pos]]="D",assumptions!$B$15,Table2[[#This Row],[Pos]]="F", assumptions!$B$14,Table2[[#This Row],[Pos]]="G",assumptions!$B$16)</f>
        <v>46.780487804878049</v>
      </c>
      <c r="U9" s="52">
        <f>'Your Team'!A5</f>
        <v>0</v>
      </c>
      <c r="V9" s="43">
        <f>'Your Team'!B5</f>
        <v>0</v>
      </c>
      <c r="W9" s="43">
        <f>'Your Team'!C5</f>
        <v>0</v>
      </c>
      <c r="X9" s="43">
        <f>'Your Team'!D5</f>
        <v>0</v>
      </c>
      <c r="Y9" s="82">
        <f>'Your Team'!E5</f>
        <v>0</v>
      </c>
    </row>
    <row r="10" spans="1:25" x14ac:dyDescent="0.3">
      <c r="A10">
        <f>'score estimates'!$A10</f>
        <v>7</v>
      </c>
      <c r="B10" t="str">
        <f>'score estimates'!$B10</f>
        <v>Nathan MacKinnon</v>
      </c>
      <c r="C10" t="str">
        <f>'score estimates'!$D10</f>
        <v>F</v>
      </c>
      <c r="D10" t="str">
        <f>'score estimates'!$C10</f>
        <v>COL</v>
      </c>
      <c r="E10" s="75">
        <f>'score estimates'!$F10</f>
        <v>49.609756097560975</v>
      </c>
      <c r="F10" s="71">
        <f>'score estimates'!$G10</f>
        <v>4</v>
      </c>
      <c r="G10" s="71" t="s">
        <v>983</v>
      </c>
      <c r="H10" s="72" cm="1">
        <f t="array" aca="1" ref="H1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" s="96">
        <f ca="1">IF(Table2[[#This Row],[Team]]="FA",0,Table2[[#This Row],[Pts/G]]*(1-Table2[[#This Row],[% Pos Overlap]]))</f>
        <v>49.609756097560975</v>
      </c>
      <c r="J10" s="72" cm="1">
        <f t="array" aca="1" ref="J10" ca="1">(INDIRECT(ADDRESS((_xlfn.XMATCH(Table2[[#This Row],[Team]],Schedule!$A$1:$A$33)),5,1,1,"Sched Overlap")))</f>
        <v>0.61131461131461151</v>
      </c>
      <c r="K10" s="92" cm="1">
        <f t="array" aca="1" ref="K1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" s="95">
        <f ca="1">IF(Table2[[#This Row],[Team]]="FA",0,Table2[[#This Row],[Pts/G]]*(Table2[[#This Row],[Games Playable]]/82))</f>
        <v>49.609756097560975</v>
      </c>
      <c r="M10" s="95" cm="1">
        <f t="array" aca="1" ref="M10" ca="1">Table2[[#This Row],[Playable x Score]]*_xlfn.IFS(Table2[[#This Row],[Pos]]="D",assumptions!$B$15,Table2[[#This Row],[Pos]]="F", assumptions!$B$14,Table2[[#This Row],[Pos]]="G",assumptions!$B$16)</f>
        <v>49.609756097560975</v>
      </c>
      <c r="U10" s="52">
        <f>'Your Team'!A6</f>
        <v>0</v>
      </c>
      <c r="V10" s="43">
        <f>'Your Team'!B6</f>
        <v>0</v>
      </c>
      <c r="W10" s="43">
        <f>'Your Team'!C6</f>
        <v>0</v>
      </c>
      <c r="X10" s="43">
        <f>'Your Team'!D6</f>
        <v>0</v>
      </c>
      <c r="Y10" s="82">
        <f>'Your Team'!E6</f>
        <v>0</v>
      </c>
    </row>
    <row r="11" spans="1:25" x14ac:dyDescent="0.3">
      <c r="A11">
        <f>'score estimates'!$A11</f>
        <v>8</v>
      </c>
      <c r="B11" t="str">
        <f>'score estimates'!$B11</f>
        <v>Johnny Gaudreau</v>
      </c>
      <c r="C11" t="str">
        <f>'score estimates'!$D11</f>
        <v>F</v>
      </c>
      <c r="D11" t="str">
        <f>'score estimates'!$C11</f>
        <v>CLS</v>
      </c>
      <c r="E11" s="75">
        <f>'score estimates'!$F11</f>
        <v>43.914634146341463</v>
      </c>
      <c r="F11" s="71">
        <f>'score estimates'!$G11</f>
        <v>13</v>
      </c>
      <c r="G11" s="71" t="s">
        <v>983</v>
      </c>
      <c r="H11" s="72" cm="1">
        <f t="array" aca="1" ref="H1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1" s="96">
        <f ca="1">IF(Table2[[#This Row],[Team]]="FA",0,Table2[[#This Row],[Pts/G]]*(1-Table2[[#This Row],[% Pos Overlap]]))</f>
        <v>43.914634146341463</v>
      </c>
      <c r="J11" s="72" cm="1">
        <f t="array" aca="1" ref="J11" ca="1">(INDIRECT(ADDRESS((_xlfn.XMATCH(Table2[[#This Row],[Team]],Schedule!$A$1:$A$33)),5,1,1,"Sched Overlap")))</f>
        <v>0.64875864875864886</v>
      </c>
      <c r="K11" s="92" cm="1">
        <f t="array" aca="1" ref="K1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1" s="95">
        <f ca="1">IF(Table2[[#This Row],[Team]]="FA",0,Table2[[#This Row],[Pts/G]]*(Table2[[#This Row],[Games Playable]]/82))</f>
        <v>43.914634146341463</v>
      </c>
      <c r="M11" s="95" cm="1">
        <f t="array" aca="1" ref="M11" ca="1">Table2[[#This Row],[Playable x Score]]*_xlfn.IFS(Table2[[#This Row],[Pos]]="D",assumptions!$B$15,Table2[[#This Row],[Pos]]="F", assumptions!$B$14,Table2[[#This Row],[Pos]]="G",assumptions!$B$16)</f>
        <v>43.914634146341463</v>
      </c>
      <c r="U11" s="52">
        <f>'Your Team'!A7</f>
        <v>0</v>
      </c>
      <c r="V11" s="43">
        <f>'Your Team'!B7</f>
        <v>0</v>
      </c>
      <c r="W11" s="43">
        <f>'Your Team'!C7</f>
        <v>0</v>
      </c>
      <c r="X11" s="43">
        <f>'Your Team'!D7</f>
        <v>0</v>
      </c>
      <c r="Y11" s="82">
        <f>'Your Team'!E7</f>
        <v>0</v>
      </c>
    </row>
    <row r="12" spans="1:25" x14ac:dyDescent="0.3">
      <c r="A12">
        <f>'score estimates'!$A12</f>
        <v>9</v>
      </c>
      <c r="B12" t="str">
        <f>'score estimates'!$B12</f>
        <v>Mitch Marner</v>
      </c>
      <c r="C12" t="str">
        <f>'score estimates'!$D12</f>
        <v>F</v>
      </c>
      <c r="D12" t="str">
        <f>'score estimates'!$C12</f>
        <v>TOR</v>
      </c>
      <c r="E12" s="75">
        <f>'score estimates'!$F12</f>
        <v>44.024390243902438</v>
      </c>
      <c r="F12" s="71">
        <f>'score estimates'!$G12</f>
        <v>12</v>
      </c>
      <c r="G12" s="71" t="s">
        <v>983</v>
      </c>
      <c r="H12" s="72" cm="1">
        <f t="array" aca="1" ref="H1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2" s="96">
        <f ca="1">IF(Table2[[#This Row],[Team]]="FA",0,Table2[[#This Row],[Pts/G]]*(1-Table2[[#This Row],[% Pos Overlap]]))</f>
        <v>44.024390243902438</v>
      </c>
      <c r="J12" s="72" cm="1">
        <f t="array" aca="1" ref="J12" ca="1">(INDIRECT(ADDRESS((_xlfn.XMATCH(Table2[[#This Row],[Team]],Schedule!$A$1:$A$33)),5,1,1,"Sched Overlap")))</f>
        <v>0.62922262922262928</v>
      </c>
      <c r="K12" s="92" cm="1">
        <f t="array" aca="1" ref="K1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2" s="95">
        <f ca="1">IF(Table2[[#This Row],[Team]]="FA",0,Table2[[#This Row],[Pts/G]]*(Table2[[#This Row],[Games Playable]]/82))</f>
        <v>44.024390243902438</v>
      </c>
      <c r="M12" s="95" cm="1">
        <f t="array" aca="1" ref="M12" ca="1">Table2[[#This Row],[Playable x Score]]*_xlfn.IFS(Table2[[#This Row],[Pos]]="D",assumptions!$B$15,Table2[[#This Row],[Pos]]="F", assumptions!$B$14,Table2[[#This Row],[Pos]]="G",assumptions!$B$16)</f>
        <v>44.024390243902438</v>
      </c>
      <c r="U12" s="52">
        <f>'Your Team'!A8</f>
        <v>0</v>
      </c>
      <c r="V12" s="43">
        <f>'Your Team'!B8</f>
        <v>0</v>
      </c>
      <c r="W12" s="43">
        <f>'Your Team'!C8</f>
        <v>0</v>
      </c>
      <c r="X12" s="43">
        <f>'Your Team'!D8</f>
        <v>0</v>
      </c>
      <c r="Y12" s="82">
        <f>'Your Team'!E8</f>
        <v>0</v>
      </c>
    </row>
    <row r="13" spans="1:25" x14ac:dyDescent="0.3">
      <c r="A13">
        <f>'score estimates'!$A13</f>
        <v>10</v>
      </c>
      <c r="B13" t="str">
        <f>'score estimates'!$B13</f>
        <v>Artemi Panarin</v>
      </c>
      <c r="C13" t="str">
        <f>'score estimates'!$D13</f>
        <v>F</v>
      </c>
      <c r="D13" t="str">
        <f>'score estimates'!$C13</f>
        <v>NYR</v>
      </c>
      <c r="E13" s="75">
        <f>'score estimates'!$F13</f>
        <v>40.609756097560975</v>
      </c>
      <c r="F13" s="71">
        <f>'score estimates'!$G13</f>
        <v>21</v>
      </c>
      <c r="G13" s="71" t="s">
        <v>983</v>
      </c>
      <c r="H13" s="72" cm="1">
        <f t="array" aca="1" ref="H1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3" s="96">
        <f ca="1">IF(Table2[[#This Row],[Team]]="FA",0,Table2[[#This Row],[Pts/G]]*(1-Table2[[#This Row],[% Pos Overlap]]))</f>
        <v>40.609756097560975</v>
      </c>
      <c r="J13" s="72" cm="1">
        <f t="array" aca="1" ref="J13" ca="1">(INDIRECT(ADDRESS((_xlfn.XMATCH(Table2[[#This Row],[Team]],Schedule!$A$1:$A$33)),5,1,1,"Sched Overlap")))</f>
        <v>0.60236060236060229</v>
      </c>
      <c r="K13" s="92" cm="1">
        <f t="array" aca="1" ref="K1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3" s="95">
        <f ca="1">IF(Table2[[#This Row],[Team]]="FA",0,Table2[[#This Row],[Pts/G]]*(Table2[[#This Row],[Games Playable]]/82))</f>
        <v>40.609756097560975</v>
      </c>
      <c r="M13" s="95" cm="1">
        <f t="array" aca="1" ref="M13" ca="1">Table2[[#This Row],[Playable x Score]]*_xlfn.IFS(Table2[[#This Row],[Pos]]="D",assumptions!$B$15,Table2[[#This Row],[Pos]]="F", assumptions!$B$14,Table2[[#This Row],[Pos]]="G",assumptions!$B$16)</f>
        <v>40.609756097560975</v>
      </c>
      <c r="U13" s="52">
        <f>'Your Team'!A9</f>
        <v>0</v>
      </c>
      <c r="V13" s="43">
        <f>'Your Team'!B9</f>
        <v>0</v>
      </c>
      <c r="W13" s="43">
        <f>'Your Team'!C9</f>
        <v>0</v>
      </c>
      <c r="X13" s="43">
        <f>'Your Team'!D9</f>
        <v>0</v>
      </c>
      <c r="Y13" s="82">
        <f>'Your Team'!E9</f>
        <v>0</v>
      </c>
    </row>
    <row r="14" spans="1:25" x14ac:dyDescent="0.3">
      <c r="A14">
        <f>'score estimates'!$A14</f>
        <v>11</v>
      </c>
      <c r="B14" t="str">
        <f>'score estimates'!$B14</f>
        <v>Steven Stamkos</v>
      </c>
      <c r="C14" t="str">
        <f>'score estimates'!$D14</f>
        <v>F</v>
      </c>
      <c r="D14" t="str">
        <f>'score estimates'!$C14</f>
        <v>TB</v>
      </c>
      <c r="E14" s="75">
        <f>'score estimates'!$F14</f>
        <v>44.597560975609753</v>
      </c>
      <c r="F14" s="71">
        <f>'score estimates'!$G14</f>
        <v>10</v>
      </c>
      <c r="G14" s="71" t="s">
        <v>983</v>
      </c>
      <c r="H14" s="72" cm="1">
        <f t="array" aca="1" ref="H1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4" s="96">
        <f ca="1">IF(Table2[[#This Row],[Team]]="FA",0,Table2[[#This Row],[Pts/G]]*(1-Table2[[#This Row],[% Pos Overlap]]))</f>
        <v>44.597560975609753</v>
      </c>
      <c r="J14" s="72" cm="1">
        <f t="array" aca="1" ref="J14" ca="1">(INDIRECT(ADDRESS((_xlfn.XMATCH(Table2[[#This Row],[Team]],Schedule!$A$1:$A$33)),5,1,1,"Sched Overlap")))</f>
        <v>0.66422466422466431</v>
      </c>
      <c r="K14" s="92" cm="1">
        <f t="array" aca="1" ref="K1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4" s="95">
        <f ca="1">IF(Table2[[#This Row],[Team]]="FA",0,Table2[[#This Row],[Pts/G]]*(Table2[[#This Row],[Games Playable]]/82))</f>
        <v>44.597560975609753</v>
      </c>
      <c r="M14" s="95" cm="1">
        <f t="array" aca="1" ref="M14" ca="1">Table2[[#This Row],[Playable x Score]]*_xlfn.IFS(Table2[[#This Row],[Pos]]="D",assumptions!$B$15,Table2[[#This Row],[Pos]]="F", assumptions!$B$14,Table2[[#This Row],[Pos]]="G",assumptions!$B$16)</f>
        <v>44.597560975609753</v>
      </c>
      <c r="U14" s="52">
        <f>'Your Team'!A10</f>
        <v>0</v>
      </c>
      <c r="V14" s="43">
        <f>'Your Team'!B10</f>
        <v>0</v>
      </c>
      <c r="W14" s="43">
        <f>'Your Team'!C10</f>
        <v>0</v>
      </c>
      <c r="X14" s="43">
        <f>'Your Team'!D10</f>
        <v>0</v>
      </c>
      <c r="Y14" s="82">
        <f>'Your Team'!E10</f>
        <v>0</v>
      </c>
    </row>
    <row r="15" spans="1:25" x14ac:dyDescent="0.3">
      <c r="A15">
        <f>'score estimates'!$A15</f>
        <v>12</v>
      </c>
      <c r="B15" t="str">
        <f>'score estimates'!$B15</f>
        <v>Matthew Tkachuk</v>
      </c>
      <c r="C15" t="str">
        <f>'score estimates'!$D15</f>
        <v>F</v>
      </c>
      <c r="D15" t="str">
        <f>'score estimates'!$C15</f>
        <v>FLA</v>
      </c>
      <c r="E15" s="75">
        <f>'score estimates'!$F15</f>
        <v>46.780487804878049</v>
      </c>
      <c r="F15" s="71">
        <f>'score estimates'!$G15</f>
        <v>6</v>
      </c>
      <c r="G15" s="71" t="s">
        <v>983</v>
      </c>
      <c r="H15" s="72" cm="1">
        <f t="array" aca="1" ref="H1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5" s="96">
        <f ca="1">IF(Table2[[#This Row],[Team]]="FA",0,Table2[[#This Row],[Pts/G]]*(1-Table2[[#This Row],[% Pos Overlap]]))</f>
        <v>46.780487804878049</v>
      </c>
      <c r="J15" s="72" cm="1">
        <f t="array" aca="1" ref="J15" ca="1">(INDIRECT(ADDRESS((_xlfn.XMATCH(Table2[[#This Row],[Team]],Schedule!$A$1:$A$33)),5,1,1,"Sched Overlap")))</f>
        <v>0.64387464387464377</v>
      </c>
      <c r="K15" s="92" cm="1">
        <f t="array" aca="1" ref="K1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5" s="95">
        <f ca="1">IF(Table2[[#This Row],[Team]]="FA",0,Table2[[#This Row],[Pts/G]]*(Table2[[#This Row],[Games Playable]]/82))</f>
        <v>46.780487804878049</v>
      </c>
      <c r="M15" s="95" cm="1">
        <f t="array" aca="1" ref="M15" ca="1">Table2[[#This Row],[Playable x Score]]*_xlfn.IFS(Table2[[#This Row],[Pos]]="D",assumptions!$B$15,Table2[[#This Row],[Pos]]="F", assumptions!$B$14,Table2[[#This Row],[Pos]]="G",assumptions!$B$16)</f>
        <v>46.780487804878049</v>
      </c>
      <c r="U15" s="52">
        <f>'Your Team'!A11</f>
        <v>0</v>
      </c>
      <c r="V15" s="43">
        <f>'Your Team'!B11</f>
        <v>0</v>
      </c>
      <c r="W15" s="43">
        <f>'Your Team'!C11</f>
        <v>0</v>
      </c>
      <c r="X15" s="43">
        <f>'Your Team'!D11</f>
        <v>0</v>
      </c>
      <c r="Y15" s="82">
        <f>'Your Team'!E11</f>
        <v>0</v>
      </c>
    </row>
    <row r="16" spans="1:25" x14ac:dyDescent="0.3">
      <c r="A16">
        <f>'score estimates'!$A16</f>
        <v>13</v>
      </c>
      <c r="B16" t="str">
        <f>'score estimates'!$B16</f>
        <v>Aleksander Barkov</v>
      </c>
      <c r="C16" t="str">
        <f>'score estimates'!$D16</f>
        <v>F</v>
      </c>
      <c r="D16" t="str">
        <f>'score estimates'!$C16</f>
        <v>FLA</v>
      </c>
      <c r="E16" s="75">
        <f>'score estimates'!$F16</f>
        <v>44.414634146341463</v>
      </c>
      <c r="F16" s="71">
        <f>'score estimates'!$G16</f>
        <v>11</v>
      </c>
      <c r="G16" s="71" t="s">
        <v>983</v>
      </c>
      <c r="H16" s="72" cm="1">
        <f t="array" aca="1" ref="H1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6" s="96">
        <f ca="1">IF(Table2[[#This Row],[Team]]="FA",0,Table2[[#This Row],[Pts/G]]*(1-Table2[[#This Row],[% Pos Overlap]]))</f>
        <v>44.414634146341463</v>
      </c>
      <c r="J16" s="72" cm="1">
        <f t="array" aca="1" ref="J16" ca="1">(INDIRECT(ADDRESS((_xlfn.XMATCH(Table2[[#This Row],[Team]],Schedule!$A$1:$A$33)),5,1,1,"Sched Overlap")))</f>
        <v>0.64387464387464377</v>
      </c>
      <c r="K16" s="92" cm="1">
        <f t="array" aca="1" ref="K1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6" s="95">
        <f ca="1">IF(Table2[[#This Row],[Team]]="FA",0,Table2[[#This Row],[Pts/G]]*(Table2[[#This Row],[Games Playable]]/82))</f>
        <v>44.414634146341463</v>
      </c>
      <c r="M16" s="95" cm="1">
        <f t="array" aca="1" ref="M16" ca="1">Table2[[#This Row],[Playable x Score]]*_xlfn.IFS(Table2[[#This Row],[Pos]]="D",assumptions!$B$15,Table2[[#This Row],[Pos]]="F", assumptions!$B$14,Table2[[#This Row],[Pos]]="G",assumptions!$B$16)</f>
        <v>44.414634146341463</v>
      </c>
      <c r="U16" s="52">
        <f>'Your Team'!A12</f>
        <v>0</v>
      </c>
      <c r="V16" s="43">
        <f>'Your Team'!B12</f>
        <v>0</v>
      </c>
      <c r="W16" s="43">
        <f>'Your Team'!C12</f>
        <v>0</v>
      </c>
      <c r="X16" s="43">
        <f>'Your Team'!D12</f>
        <v>0</v>
      </c>
      <c r="Y16" s="82">
        <f>'Your Team'!E12</f>
        <v>0</v>
      </c>
    </row>
    <row r="17" spans="1:25" x14ac:dyDescent="0.3">
      <c r="A17">
        <f>'score estimates'!$A17</f>
        <v>14</v>
      </c>
      <c r="B17" t="str">
        <f>'score estimates'!$B17</f>
        <v>Mikko Rantanen</v>
      </c>
      <c r="C17" t="str">
        <f>'score estimates'!$D17</f>
        <v>F</v>
      </c>
      <c r="D17" t="str">
        <f>'score estimates'!$C17</f>
        <v>COL</v>
      </c>
      <c r="E17" s="75">
        <f>'score estimates'!$F17</f>
        <v>44.634146341463413</v>
      </c>
      <c r="F17" s="71">
        <f>'score estimates'!$G17</f>
        <v>9</v>
      </c>
      <c r="G17" s="71" t="s">
        <v>983</v>
      </c>
      <c r="H17" s="72" cm="1">
        <f t="array" aca="1" ref="H1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7" s="96">
        <f ca="1">IF(Table2[[#This Row],[Team]]="FA",0,Table2[[#This Row],[Pts/G]]*(1-Table2[[#This Row],[% Pos Overlap]]))</f>
        <v>44.634146341463413</v>
      </c>
      <c r="J17" s="72" cm="1">
        <f t="array" aca="1" ref="J17" ca="1">(INDIRECT(ADDRESS((_xlfn.XMATCH(Table2[[#This Row],[Team]],Schedule!$A$1:$A$33)),5,1,1,"Sched Overlap")))</f>
        <v>0.61131461131461151</v>
      </c>
      <c r="K17" s="92" cm="1">
        <f t="array" aca="1" ref="K1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7" s="95">
        <f ca="1">IF(Table2[[#This Row],[Team]]="FA",0,Table2[[#This Row],[Pts/G]]*(Table2[[#This Row],[Games Playable]]/82))</f>
        <v>44.634146341463413</v>
      </c>
      <c r="M17" s="95" cm="1">
        <f t="array" aca="1" ref="M17" ca="1">Table2[[#This Row],[Playable x Score]]*_xlfn.IFS(Table2[[#This Row],[Pos]]="D",assumptions!$B$15,Table2[[#This Row],[Pos]]="F", assumptions!$B$14,Table2[[#This Row],[Pos]]="G",assumptions!$B$16)</f>
        <v>44.634146341463413</v>
      </c>
      <c r="U17" s="52">
        <f>'Your Team'!A13</f>
        <v>0</v>
      </c>
      <c r="V17" s="43">
        <f>'Your Team'!B13</f>
        <v>0</v>
      </c>
      <c r="W17" s="43">
        <f>'Your Team'!C13</f>
        <v>0</v>
      </c>
      <c r="X17" s="43">
        <f>'Your Team'!D13</f>
        <v>0</v>
      </c>
      <c r="Y17" s="82">
        <f>'Your Team'!E13</f>
        <v>0</v>
      </c>
    </row>
    <row r="18" spans="1:25" x14ac:dyDescent="0.3">
      <c r="A18">
        <f>'score estimates'!$A18</f>
        <v>15</v>
      </c>
      <c r="B18" t="str">
        <f>'score estimates'!$B18</f>
        <v>Patrick Kane</v>
      </c>
      <c r="C18" t="str">
        <f>'score estimates'!$D18</f>
        <v>F</v>
      </c>
      <c r="D18" t="str">
        <f>'score estimates'!$C18</f>
        <v>CHI</v>
      </c>
      <c r="E18" s="75">
        <f>'score estimates'!$F18</f>
        <v>36.695121951219512</v>
      </c>
      <c r="F18" s="71">
        <f>'score estimates'!$G18</f>
        <v>36</v>
      </c>
      <c r="G18" s="71" t="s">
        <v>983</v>
      </c>
      <c r="H18" s="72" cm="1">
        <f t="array" aca="1" ref="H1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8" s="96">
        <f ca="1">IF(Table2[[#This Row],[Team]]="FA",0,Table2[[#This Row],[Pts/G]]*(1-Table2[[#This Row],[% Pos Overlap]]))</f>
        <v>36.695121951219512</v>
      </c>
      <c r="J18" s="72" cm="1">
        <f t="array" aca="1" ref="J18" ca="1">(INDIRECT(ADDRESS((_xlfn.XMATCH(Table2[[#This Row],[Team]],Schedule!$A$1:$A$33)),5,1,1,"Sched Overlap")))</f>
        <v>0.6243386243386243</v>
      </c>
      <c r="K18" s="92" cm="1">
        <f t="array" aca="1" ref="K1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8" s="95">
        <f ca="1">IF(Table2[[#This Row],[Team]]="FA",0,Table2[[#This Row],[Pts/G]]*(Table2[[#This Row],[Games Playable]]/82))</f>
        <v>36.695121951219512</v>
      </c>
      <c r="M18" s="95" cm="1">
        <f t="array" aca="1" ref="M18" ca="1">Table2[[#This Row],[Playable x Score]]*_xlfn.IFS(Table2[[#This Row],[Pos]]="D",assumptions!$B$15,Table2[[#This Row],[Pos]]="F", assumptions!$B$14,Table2[[#This Row],[Pos]]="G",assumptions!$B$16)</f>
        <v>36.695121951219512</v>
      </c>
      <c r="U18" s="52">
        <f>'Your Team'!A14</f>
        <v>0</v>
      </c>
      <c r="V18" s="43">
        <f>'Your Team'!B14</f>
        <v>0</v>
      </c>
      <c r="W18" s="43">
        <f>'Your Team'!C14</f>
        <v>0</v>
      </c>
      <c r="X18" s="43">
        <f>'Your Team'!D14</f>
        <v>0</v>
      </c>
      <c r="Y18" s="82">
        <f>'Your Team'!E14</f>
        <v>0</v>
      </c>
    </row>
    <row r="19" spans="1:25" x14ac:dyDescent="0.3">
      <c r="A19">
        <f>'score estimates'!$A19</f>
        <v>16</v>
      </c>
      <c r="B19" t="str">
        <f>'score estimates'!$B19</f>
        <v>J.T. Miller</v>
      </c>
      <c r="C19" t="str">
        <f>'score estimates'!$D19</f>
        <v>F</v>
      </c>
      <c r="D19" t="str">
        <f>'score estimates'!$C19</f>
        <v>VAN</v>
      </c>
      <c r="E19" s="75">
        <f>'score estimates'!$F19</f>
        <v>42.073170731707314</v>
      </c>
      <c r="F19" s="71">
        <f>'score estimates'!$G19</f>
        <v>18</v>
      </c>
      <c r="G19" s="71" t="s">
        <v>983</v>
      </c>
      <c r="H19" s="72" cm="1">
        <f t="array" aca="1" ref="H1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9" s="96">
        <f ca="1">IF(Table2[[#This Row],[Team]]="FA",0,Table2[[#This Row],[Pts/G]]*(1-Table2[[#This Row],[% Pos Overlap]]))</f>
        <v>42.073170731707314</v>
      </c>
      <c r="J19" s="72" cm="1">
        <f t="array" aca="1" ref="J19" ca="1">(INDIRECT(ADDRESS((_xlfn.XMATCH(Table2[[#This Row],[Team]],Schedule!$A$1:$A$33)),5,1,1,"Sched Overlap")))</f>
        <v>0.62922262922262917</v>
      </c>
      <c r="K19" s="92" cm="1">
        <f t="array" aca="1" ref="K1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9" s="95">
        <f ca="1">IF(Table2[[#This Row],[Team]]="FA",0,Table2[[#This Row],[Pts/G]]*(Table2[[#This Row],[Games Playable]]/82))</f>
        <v>42.073170731707314</v>
      </c>
      <c r="M19" s="95" cm="1">
        <f t="array" aca="1" ref="M19" ca="1">Table2[[#This Row],[Playable x Score]]*_xlfn.IFS(Table2[[#This Row],[Pos]]="D",assumptions!$B$15,Table2[[#This Row],[Pos]]="F", assumptions!$B$14,Table2[[#This Row],[Pos]]="G",assumptions!$B$16)</f>
        <v>42.073170731707314</v>
      </c>
      <c r="U19" s="52">
        <f>'Your Team'!A15</f>
        <v>0</v>
      </c>
      <c r="V19" s="43">
        <f>'Your Team'!B15</f>
        <v>0</v>
      </c>
      <c r="W19" s="43">
        <f>'Your Team'!C15</f>
        <v>0</v>
      </c>
      <c r="X19" s="43">
        <f>'Your Team'!D15</f>
        <v>0</v>
      </c>
      <c r="Y19" s="82">
        <f>'Your Team'!E15</f>
        <v>0</v>
      </c>
    </row>
    <row r="20" spans="1:25" x14ac:dyDescent="0.3">
      <c r="A20">
        <f>'score estimates'!$A20</f>
        <v>17</v>
      </c>
      <c r="B20" t="str">
        <f>'score estimates'!$B20</f>
        <v>Kyle Connor</v>
      </c>
      <c r="C20" t="str">
        <f>'score estimates'!$D20</f>
        <v>F</v>
      </c>
      <c r="D20" t="str">
        <f>'score estimates'!$C20</f>
        <v>WPG</v>
      </c>
      <c r="E20" s="75">
        <f>'score estimates'!$F20</f>
        <v>39.060975609756099</v>
      </c>
      <c r="F20" s="71">
        <f>'score estimates'!$G20</f>
        <v>25</v>
      </c>
      <c r="G20" s="71" t="s">
        <v>983</v>
      </c>
      <c r="H20" s="72" cm="1">
        <f t="array" aca="1" ref="H2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0" s="96">
        <f ca="1">IF(Table2[[#This Row],[Team]]="FA",0,Table2[[#This Row],[Pts/G]]*(1-Table2[[#This Row],[% Pos Overlap]]))</f>
        <v>39.060975609756099</v>
      </c>
      <c r="J20" s="72" cm="1">
        <f t="array" aca="1" ref="J20" ca="1">(INDIRECT(ADDRESS((_xlfn.XMATCH(Table2[[#This Row],[Team]],Schedule!$A$1:$A$33)),5,1,1,"Sched Overlap")))</f>
        <v>0.61212861212861214</v>
      </c>
      <c r="K20" s="92" cm="1">
        <f t="array" aca="1" ref="K2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0" s="95">
        <f ca="1">IF(Table2[[#This Row],[Team]]="FA",0,Table2[[#This Row],[Pts/G]]*(Table2[[#This Row],[Games Playable]]/82))</f>
        <v>39.060975609756099</v>
      </c>
      <c r="M20" s="95" cm="1">
        <f t="array" aca="1" ref="M20" ca="1">Table2[[#This Row],[Playable x Score]]*_xlfn.IFS(Table2[[#This Row],[Pos]]="D",assumptions!$B$15,Table2[[#This Row],[Pos]]="F", assumptions!$B$14,Table2[[#This Row],[Pos]]="G",assumptions!$B$16)</f>
        <v>39.060975609756099</v>
      </c>
      <c r="U20" s="52">
        <f>'Your Team'!A16</f>
        <v>0</v>
      </c>
      <c r="V20" s="43">
        <f>'Your Team'!B16</f>
        <v>0</v>
      </c>
      <c r="W20" s="43">
        <f>'Your Team'!C16</f>
        <v>0</v>
      </c>
      <c r="X20" s="43">
        <f>'Your Team'!D16</f>
        <v>0</v>
      </c>
      <c r="Y20" s="82">
        <f>'Your Team'!E16</f>
        <v>0</v>
      </c>
    </row>
    <row r="21" spans="1:25" x14ac:dyDescent="0.3">
      <c r="A21">
        <f>'score estimates'!$A21</f>
        <v>18</v>
      </c>
      <c r="B21" t="str">
        <f>'score estimates'!$B21</f>
        <v>Alex Ovechkin</v>
      </c>
      <c r="C21" t="str">
        <f>'score estimates'!$D21</f>
        <v>F</v>
      </c>
      <c r="D21" t="str">
        <f>'score estimates'!$C21</f>
        <v>WAS</v>
      </c>
      <c r="E21" s="75">
        <f>'score estimates'!$F21</f>
        <v>42.109756097560975</v>
      </c>
      <c r="F21" s="71">
        <f>'score estimates'!$G21</f>
        <v>16</v>
      </c>
      <c r="G21" s="71" t="s">
        <v>983</v>
      </c>
      <c r="H21" s="72" cm="1">
        <f t="array" aca="1" ref="H2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1" s="96">
        <f ca="1">IF(Table2[[#This Row],[Team]]="FA",0,Table2[[#This Row],[Pts/G]]*(1-Table2[[#This Row],[% Pos Overlap]]))</f>
        <v>42.109756097560975</v>
      </c>
      <c r="J21" s="72" cm="1">
        <f t="array" aca="1" ref="J21" ca="1">(INDIRECT(ADDRESS((_xlfn.XMATCH(Table2[[#This Row],[Team]],Schedule!$A$1:$A$33)),5,1,1,"Sched Overlap")))</f>
        <v>0.65282865282865288</v>
      </c>
      <c r="K21" s="92" cm="1">
        <f t="array" aca="1" ref="K2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1" s="95">
        <f ca="1">IF(Table2[[#This Row],[Team]]="FA",0,Table2[[#This Row],[Pts/G]]*(Table2[[#This Row],[Games Playable]]/82))</f>
        <v>42.109756097560975</v>
      </c>
      <c r="M21" s="95" cm="1">
        <f t="array" aca="1" ref="M21" ca="1">Table2[[#This Row],[Playable x Score]]*_xlfn.IFS(Table2[[#This Row],[Pos]]="D",assumptions!$B$15,Table2[[#This Row],[Pos]]="F", assumptions!$B$14,Table2[[#This Row],[Pos]]="G",assumptions!$B$16)</f>
        <v>42.109756097560975</v>
      </c>
      <c r="U21" s="52">
        <f>'Your Team'!A17</f>
        <v>0</v>
      </c>
      <c r="V21" s="43">
        <f>'Your Team'!B17</f>
        <v>0</v>
      </c>
      <c r="W21" s="43">
        <f>'Your Team'!C17</f>
        <v>0</v>
      </c>
      <c r="X21" s="43">
        <f>'Your Team'!D17</f>
        <v>0</v>
      </c>
      <c r="Y21" s="82">
        <f>'Your Team'!E17</f>
        <v>0</v>
      </c>
    </row>
    <row r="22" spans="1:25" x14ac:dyDescent="0.3">
      <c r="A22">
        <f>'score estimates'!$A22</f>
        <v>19</v>
      </c>
      <c r="B22" t="str">
        <f>'score estimates'!$B22</f>
        <v>Sebastian Aho</v>
      </c>
      <c r="C22" t="str">
        <f>'score estimates'!$D22</f>
        <v>F</v>
      </c>
      <c r="D22" t="str">
        <f>'score estimates'!$C22</f>
        <v>CAR</v>
      </c>
      <c r="E22" s="75">
        <f>'score estimates'!$F22</f>
        <v>41.146341463414636</v>
      </c>
      <c r="F22" s="71">
        <f>'score estimates'!$G22</f>
        <v>20</v>
      </c>
      <c r="G22" s="71" t="s">
        <v>983</v>
      </c>
      <c r="H22" s="72" cm="1">
        <f t="array" aca="1" ref="H2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2" s="96">
        <f ca="1">IF(Table2[[#This Row],[Team]]="FA",0,Table2[[#This Row],[Pts/G]]*(1-Table2[[#This Row],[% Pos Overlap]]))</f>
        <v>41.146341463414636</v>
      </c>
      <c r="J22" s="72" cm="1">
        <f t="array" aca="1" ref="J22" ca="1">(INDIRECT(ADDRESS((_xlfn.XMATCH(Table2[[#This Row],[Team]],Schedule!$A$1:$A$33)),5,1,1,"Sched Overlap")))</f>
        <v>0.63247863247863245</v>
      </c>
      <c r="K22" s="92" cm="1">
        <f t="array" aca="1" ref="K2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2" s="95">
        <f ca="1">IF(Table2[[#This Row],[Team]]="FA",0,Table2[[#This Row],[Pts/G]]*(Table2[[#This Row],[Games Playable]]/82))</f>
        <v>41.146341463414636</v>
      </c>
      <c r="M22" s="95" cm="1">
        <f t="array" aca="1" ref="M22" ca="1">Table2[[#This Row],[Playable x Score]]*_xlfn.IFS(Table2[[#This Row],[Pos]]="D",assumptions!$B$15,Table2[[#This Row],[Pos]]="F", assumptions!$B$14,Table2[[#This Row],[Pos]]="G",assumptions!$B$16)</f>
        <v>41.146341463414636</v>
      </c>
      <c r="O22" s="101"/>
      <c r="P22" s="101"/>
      <c r="U22" s="52">
        <f>'Your Team'!A18</f>
        <v>0</v>
      </c>
      <c r="V22" s="43">
        <f>'Your Team'!B18</f>
        <v>0</v>
      </c>
      <c r="W22" s="43">
        <f>'Your Team'!C18</f>
        <v>0</v>
      </c>
      <c r="X22" s="43">
        <f>'Your Team'!D18</f>
        <v>0</v>
      </c>
      <c r="Y22" s="82">
        <f>'Your Team'!E18</f>
        <v>0</v>
      </c>
    </row>
    <row r="23" spans="1:25" ht="15" thickBot="1" x14ac:dyDescent="0.35">
      <c r="A23">
        <f>'score estimates'!$A23</f>
        <v>20</v>
      </c>
      <c r="B23" t="str">
        <f>'score estimates'!$B23</f>
        <v>Cale Makar</v>
      </c>
      <c r="C23" t="str">
        <f>'score estimates'!$D23</f>
        <v>D</v>
      </c>
      <c r="D23" t="str">
        <f>'score estimates'!$C23</f>
        <v>COL</v>
      </c>
      <c r="E23" s="75">
        <f>'score estimates'!$F23</f>
        <v>43.231707317073173</v>
      </c>
      <c r="F23" s="71">
        <f>'score estimates'!$G23</f>
        <v>14</v>
      </c>
      <c r="G23" s="71" t="s">
        <v>983</v>
      </c>
      <c r="H23" s="72" cm="1">
        <f t="array" aca="1" ref="H2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3" s="96">
        <f ca="1">IF(Table2[[#This Row],[Team]]="FA",0,Table2[[#This Row],[Pts/G]]*(1-Table2[[#This Row],[% Pos Overlap]]))</f>
        <v>43.231707317073173</v>
      </c>
      <c r="J23" s="72" cm="1">
        <f t="array" aca="1" ref="J23" ca="1">(INDIRECT(ADDRESS((_xlfn.XMATCH(Table2[[#This Row],[Team]],Schedule!$A$1:$A$33)),5,1,1,"Sched Overlap")))</f>
        <v>0.61131461131461151</v>
      </c>
      <c r="K23" s="92" cm="1">
        <f t="array" aca="1" ref="K2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3" s="95">
        <f ca="1">IF(Table2[[#This Row],[Team]]="FA",0,Table2[[#This Row],[Pts/G]]*(Table2[[#This Row],[Games Playable]]/82))</f>
        <v>43.231707317073173</v>
      </c>
      <c r="M23" s="95" cm="1">
        <f t="array" aca="1" ref="M23" ca="1">Table2[[#This Row],[Playable x Score]]*_xlfn.IFS(Table2[[#This Row],[Pos]]="D",assumptions!$B$15,Table2[[#This Row],[Pos]]="F", assumptions!$B$14,Table2[[#This Row],[Pos]]="G",assumptions!$B$16)</f>
        <v>54.03963414634147</v>
      </c>
      <c r="O23" s="101"/>
      <c r="P23" s="101"/>
      <c r="U23" s="53">
        <f>'Your Team'!A19</f>
        <v>0</v>
      </c>
      <c r="V23" s="54">
        <f>'Your Team'!B19</f>
        <v>0</v>
      </c>
      <c r="W23" s="54">
        <f>'Your Team'!C19</f>
        <v>0</v>
      </c>
      <c r="X23" s="54">
        <f>'Your Team'!D19</f>
        <v>0</v>
      </c>
      <c r="Y23" s="83">
        <f>'Your Team'!E19</f>
        <v>0</v>
      </c>
    </row>
    <row r="24" spans="1:25" x14ac:dyDescent="0.3">
      <c r="A24">
        <f>'score estimates'!$A24</f>
        <v>21</v>
      </c>
      <c r="B24" t="str">
        <f>'score estimates'!$B24</f>
        <v>David Pastrnak</v>
      </c>
      <c r="C24" t="str">
        <f>'score estimates'!$D24</f>
        <v>F</v>
      </c>
      <c r="D24" t="str">
        <f>'score estimates'!$C24</f>
        <v>BOS</v>
      </c>
      <c r="E24" s="75">
        <f>'score estimates'!$F24</f>
        <v>40.475609756097562</v>
      </c>
      <c r="F24" s="71">
        <f>'score estimates'!$G24</f>
        <v>22</v>
      </c>
      <c r="G24" s="71" t="s">
        <v>983</v>
      </c>
      <c r="H24" s="72" cm="1">
        <f t="array" aca="1" ref="H2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4" s="96">
        <f ca="1">IF(Table2[[#This Row],[Team]]="FA",0,Table2[[#This Row],[Pts/G]]*(1-Table2[[#This Row],[% Pos Overlap]]))</f>
        <v>40.475609756097562</v>
      </c>
      <c r="J24" s="72" cm="1">
        <f t="array" aca="1" ref="J24" ca="1">(INDIRECT(ADDRESS((_xlfn.XMATCH(Table2[[#This Row],[Team]],Schedule!$A$1:$A$33)),5,1,1,"Sched Overlap")))</f>
        <v>0.67236467236467234</v>
      </c>
      <c r="K24" s="92" cm="1">
        <f t="array" aca="1" ref="K2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4" s="95">
        <f ca="1">IF(Table2[[#This Row],[Team]]="FA",0,Table2[[#This Row],[Pts/G]]*(Table2[[#This Row],[Games Playable]]/82))</f>
        <v>40.475609756097562</v>
      </c>
      <c r="M24" s="95" cm="1">
        <f t="array" aca="1" ref="M24" ca="1">Table2[[#This Row],[Playable x Score]]*_xlfn.IFS(Table2[[#This Row],[Pos]]="D",assumptions!$B$15,Table2[[#This Row],[Pos]]="F", assumptions!$B$14,Table2[[#This Row],[Pos]]="G",assumptions!$B$16)</f>
        <v>40.475609756097562</v>
      </c>
    </row>
    <row r="25" spans="1:25" x14ac:dyDescent="0.3">
      <c r="A25">
        <f>'score estimates'!$A25</f>
        <v>22</v>
      </c>
      <c r="B25" t="str">
        <f>'score estimates'!$B25</f>
        <v>Sidney Crosby</v>
      </c>
      <c r="C25" t="str">
        <f>'score estimates'!$D25</f>
        <v>F</v>
      </c>
      <c r="D25" t="str">
        <f>'score estimates'!$C25</f>
        <v>PIT</v>
      </c>
      <c r="E25" s="75">
        <f>'score estimates'!$F25</f>
        <v>36.926829268292686</v>
      </c>
      <c r="F25" s="71">
        <f>'score estimates'!$G25</f>
        <v>34</v>
      </c>
      <c r="G25" s="71" t="s">
        <v>983</v>
      </c>
      <c r="H25" s="72" cm="1">
        <f t="array" aca="1" ref="H2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5" s="96">
        <f ca="1">IF(Table2[[#This Row],[Team]]="FA",0,Table2[[#This Row],[Pts/G]]*(1-Table2[[#This Row],[% Pos Overlap]]))</f>
        <v>36.926829268292686</v>
      </c>
      <c r="J25" s="72" cm="1">
        <f t="array" aca="1" ref="J25" ca="1">(INDIRECT(ADDRESS((_xlfn.XMATCH(Table2[[#This Row],[Team]],Schedule!$A$1:$A$33)),5,1,1,"Sched Overlap")))</f>
        <v>0.63492063492063477</v>
      </c>
      <c r="K25" s="92" cm="1">
        <f t="array" aca="1" ref="K2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5" s="95">
        <f ca="1">IF(Table2[[#This Row],[Team]]="FA",0,Table2[[#This Row],[Pts/G]]*(Table2[[#This Row],[Games Playable]]/82))</f>
        <v>36.926829268292686</v>
      </c>
      <c r="M25" s="95" cm="1">
        <f t="array" aca="1" ref="M25" ca="1">Table2[[#This Row],[Playable x Score]]*_xlfn.IFS(Table2[[#This Row],[Pos]]="D",assumptions!$B$15,Table2[[#This Row],[Pos]]="F", assumptions!$B$14,Table2[[#This Row],[Pos]]="G",assumptions!$B$16)</f>
        <v>36.926829268292686</v>
      </c>
      <c r="O25" s="100"/>
      <c r="P25" s="100"/>
    </row>
    <row r="26" spans="1:25" ht="15" thickBot="1" x14ac:dyDescent="0.35">
      <c r="A26">
        <f>'score estimates'!$A26</f>
        <v>23</v>
      </c>
      <c r="B26" t="str">
        <f>'score estimates'!$B26</f>
        <v>Roman Josi</v>
      </c>
      <c r="C26" t="str">
        <f>'score estimates'!$D26</f>
        <v>D</v>
      </c>
      <c r="D26" t="str">
        <f>'score estimates'!$C26</f>
        <v>NSH</v>
      </c>
      <c r="E26" s="75">
        <f>'score estimates'!$F26</f>
        <v>40.024390243902438</v>
      </c>
      <c r="F26" s="71">
        <f>'score estimates'!$G26</f>
        <v>23</v>
      </c>
      <c r="G26" s="71" t="s">
        <v>983</v>
      </c>
      <c r="H26" s="72" cm="1">
        <f t="array" aca="1" ref="H2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6" s="96">
        <f ca="1">IF(Table2[[#This Row],[Team]]="FA",0,Table2[[#This Row],[Pts/G]]*(1-Table2[[#This Row],[% Pos Overlap]]))</f>
        <v>40.024390243902438</v>
      </c>
      <c r="J26" s="72" cm="1">
        <f t="array" aca="1" ref="J26" ca="1">(INDIRECT(ADDRESS((_xlfn.XMATCH(Table2[[#This Row],[Team]],Schedule!$A$1:$A$33)),5,1,1,"Sched Overlap")))</f>
        <v>0.67806267806267806</v>
      </c>
      <c r="K26" s="92" cm="1">
        <f t="array" aca="1" ref="K2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6" s="95">
        <f ca="1">IF(Table2[[#This Row],[Team]]="FA",0,Table2[[#This Row],[Pts/G]]*(Table2[[#This Row],[Games Playable]]/82))</f>
        <v>40.024390243902438</v>
      </c>
      <c r="M26" s="95" cm="1">
        <f t="array" aca="1" ref="M26" ca="1">Table2[[#This Row],[Playable x Score]]*_xlfn.IFS(Table2[[#This Row],[Pos]]="D",assumptions!$B$15,Table2[[#This Row],[Pos]]="F", assumptions!$B$14,Table2[[#This Row],[Pos]]="G",assumptions!$B$16)</f>
        <v>50.030487804878049</v>
      </c>
      <c r="O26" s="100"/>
      <c r="P26" s="100"/>
    </row>
    <row r="27" spans="1:25" x14ac:dyDescent="0.3">
      <c r="A27">
        <f>'score estimates'!$A27</f>
        <v>24</v>
      </c>
      <c r="B27" t="str">
        <f>'score estimates'!$B27</f>
        <v>Mika Zibanejad</v>
      </c>
      <c r="C27" t="str">
        <f>'score estimates'!$D27</f>
        <v>F</v>
      </c>
      <c r="D27" t="str">
        <f>'score estimates'!$C27</f>
        <v>NYR</v>
      </c>
      <c r="E27" s="75">
        <f>'score estimates'!$F27</f>
        <v>38.914634146341463</v>
      </c>
      <c r="F27" s="71">
        <f>'score estimates'!$G27</f>
        <v>27</v>
      </c>
      <c r="G27" s="71" t="s">
        <v>983</v>
      </c>
      <c r="H27" s="72" cm="1">
        <f t="array" aca="1" ref="H2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7" s="96">
        <f ca="1">IF(Table2[[#This Row],[Team]]="FA",0,Table2[[#This Row],[Pts/G]]*(1-Table2[[#This Row],[% Pos Overlap]]))</f>
        <v>38.914634146341463</v>
      </c>
      <c r="J27" s="72" cm="1">
        <f t="array" aca="1" ref="J27" ca="1">(INDIRECT(ADDRESS((_xlfn.XMATCH(Table2[[#This Row],[Team]],Schedule!$A$1:$A$33)),5,1,1,"Sched Overlap")))</f>
        <v>0.60236060236060229</v>
      </c>
      <c r="K27" s="92" cm="1">
        <f t="array" aca="1" ref="K2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7" s="95">
        <f ca="1">IF(Table2[[#This Row],[Team]]="FA",0,Table2[[#This Row],[Pts/G]]*(Table2[[#This Row],[Games Playable]]/82))</f>
        <v>38.914634146341463</v>
      </c>
      <c r="M27" s="95" cm="1">
        <f t="array" aca="1" ref="M27" ca="1">Table2[[#This Row],[Playable x Score]]*_xlfn.IFS(Table2[[#This Row],[Pos]]="D",assumptions!$B$15,Table2[[#This Row],[Pos]]="F", assumptions!$B$14,Table2[[#This Row],[Pos]]="G",assumptions!$B$16)</f>
        <v>38.914634146341463</v>
      </c>
      <c r="U27" s="103" t="s">
        <v>1239</v>
      </c>
      <c r="V27" s="104"/>
      <c r="W27" s="104"/>
      <c r="X27" s="104"/>
      <c r="Y27" s="105"/>
    </row>
    <row r="28" spans="1:25" x14ac:dyDescent="0.3">
      <c r="A28">
        <f>'score estimates'!$A28</f>
        <v>25</v>
      </c>
      <c r="B28" t="str">
        <f>'score estimates'!$B28</f>
        <v>Vladimir Tarasenko</v>
      </c>
      <c r="C28" t="str">
        <f>'score estimates'!$D28</f>
        <v>F</v>
      </c>
      <c r="D28" t="str">
        <f>'score estimates'!$C28</f>
        <v>STL</v>
      </c>
      <c r="E28" s="75">
        <f>'score estimates'!$F28</f>
        <v>36.804878048780488</v>
      </c>
      <c r="F28" s="71">
        <f>'score estimates'!$G28</f>
        <v>35</v>
      </c>
      <c r="G28" s="71" t="s">
        <v>983</v>
      </c>
      <c r="H28" s="72" cm="1">
        <f t="array" aca="1" ref="H2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8" s="96">
        <f ca="1">IF(Table2[[#This Row],[Team]]="FA",0,Table2[[#This Row],[Pts/G]]*(1-Table2[[#This Row],[% Pos Overlap]]))</f>
        <v>36.804878048780488</v>
      </c>
      <c r="J28" s="72" cm="1">
        <f t="array" aca="1" ref="J28" ca="1">(INDIRECT(ADDRESS((_xlfn.XMATCH(Table2[[#This Row],[Team]],Schedule!$A$1:$A$33)),5,1,1,"Sched Overlap")))</f>
        <v>0.65120065120065118</v>
      </c>
      <c r="K28" s="92" cm="1">
        <f t="array" aca="1" ref="K2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8" s="95">
        <f ca="1">IF(Table2[[#This Row],[Team]]="FA",0,Table2[[#This Row],[Pts/G]]*(Table2[[#This Row],[Games Playable]]/82))</f>
        <v>36.804878048780488</v>
      </c>
      <c r="M28" s="95" cm="1">
        <f t="array" aca="1" ref="M28" ca="1">Table2[[#This Row],[Playable x Score]]*_xlfn.IFS(Table2[[#This Row],[Pos]]="D",assumptions!$B$15,Table2[[#This Row],[Pos]]="F", assumptions!$B$14,Table2[[#This Row],[Pos]]="G",assumptions!$B$16)</f>
        <v>36.804878048780488</v>
      </c>
      <c r="U28" s="56" t="str" cm="1">
        <f t="array" ref="U28:Y28">'Your Team'!G2:K2</f>
        <v>Players</v>
      </c>
      <c r="V28" s="57" t="str">
        <v>G</v>
      </c>
      <c r="W28" s="57" t="str">
        <v>F</v>
      </c>
      <c r="X28" s="57" t="str">
        <v>D</v>
      </c>
      <c r="Y28" s="58" t="str">
        <v>S</v>
      </c>
    </row>
    <row r="29" spans="1:25" ht="15" thickBot="1" x14ac:dyDescent="0.35">
      <c r="A29">
        <f>'score estimates'!$A29</f>
        <v>26</v>
      </c>
      <c r="B29" t="str">
        <f>'score estimates'!$B29</f>
        <v>Jake Guentzel</v>
      </c>
      <c r="C29" t="str">
        <f>'score estimates'!$D29</f>
        <v>F</v>
      </c>
      <c r="D29" t="str">
        <f>'score estimates'!$C29</f>
        <v>PIT</v>
      </c>
      <c r="E29" s="75">
        <f>'score estimates'!$F29</f>
        <v>37.353658536585364</v>
      </c>
      <c r="F29" s="71">
        <f>'score estimates'!$G29</f>
        <v>31</v>
      </c>
      <c r="G29" s="71" t="s">
        <v>983</v>
      </c>
      <c r="H29" s="72" cm="1">
        <f t="array" aca="1" ref="H2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9" s="96">
        <f ca="1">IF(Table2[[#This Row],[Team]]="FA",0,Table2[[#This Row],[Pts/G]]*(1-Table2[[#This Row],[% Pos Overlap]]))</f>
        <v>37.353658536585364</v>
      </c>
      <c r="J29" s="72" cm="1">
        <f t="array" aca="1" ref="J29" ca="1">(INDIRECT(ADDRESS((_xlfn.XMATCH(Table2[[#This Row],[Team]],Schedule!$A$1:$A$33)),5,1,1,"Sched Overlap")))</f>
        <v>0.63492063492063477</v>
      </c>
      <c r="K29" s="92" cm="1">
        <f t="array" aca="1" ref="K2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9" s="95">
        <f ca="1">IF(Table2[[#This Row],[Team]]="FA",0,Table2[[#This Row],[Pts/G]]*(Table2[[#This Row],[Games Playable]]/82))</f>
        <v>37.353658536585364</v>
      </c>
      <c r="M29" s="95" cm="1">
        <f t="array" aca="1" ref="M29" ca="1">Table2[[#This Row],[Playable x Score]]*_xlfn.IFS(Table2[[#This Row],[Pos]]="D",assumptions!$B$15,Table2[[#This Row],[Pos]]="F", assumptions!$B$14,Table2[[#This Row],[Pos]]="G",assumptions!$B$16)</f>
        <v>37.353658536585364</v>
      </c>
      <c r="U29" s="53" cm="1">
        <f t="array" ref="U29:Y29">'Your Team'!G3:K3</f>
        <v>0</v>
      </c>
      <c r="V29" s="54">
        <v>0</v>
      </c>
      <c r="W29" s="54">
        <v>0</v>
      </c>
      <c r="X29" s="54">
        <v>0</v>
      </c>
      <c r="Y29" s="55">
        <v>0</v>
      </c>
    </row>
    <row r="30" spans="1:25" x14ac:dyDescent="0.3">
      <c r="A30">
        <f>'score estimates'!$A30</f>
        <v>27</v>
      </c>
      <c r="B30" t="str">
        <f>'score estimates'!$B30</f>
        <v>Kevin Fiala</v>
      </c>
      <c r="C30" t="str">
        <f>'score estimates'!$D30</f>
        <v>F</v>
      </c>
      <c r="D30" t="str">
        <f>'score estimates'!$C30</f>
        <v>LA</v>
      </c>
      <c r="E30" s="75">
        <f>'score estimates'!$F30</f>
        <v>37.292682926829265</v>
      </c>
      <c r="F30" s="71">
        <f>'score estimates'!$G30</f>
        <v>32</v>
      </c>
      <c r="G30" s="71" t="s">
        <v>983</v>
      </c>
      <c r="H30" s="72" cm="1">
        <f t="array" aca="1" ref="H3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0" s="96">
        <f ca="1">IF(Table2[[#This Row],[Team]]="FA",0,Table2[[#This Row],[Pts/G]]*(1-Table2[[#This Row],[% Pos Overlap]]))</f>
        <v>37.292682926829265</v>
      </c>
      <c r="J30" s="72" cm="1">
        <f t="array" aca="1" ref="J30" ca="1">(INDIRECT(ADDRESS((_xlfn.XMATCH(Table2[[#This Row],[Team]],Schedule!$A$1:$A$33)),5,1,1,"Sched Overlap")))</f>
        <v>0.65201465201465225</v>
      </c>
      <c r="K30" s="92" cm="1">
        <f t="array" aca="1" ref="K3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0" s="95">
        <f ca="1">IF(Table2[[#This Row],[Team]]="FA",0,Table2[[#This Row],[Pts/G]]*(Table2[[#This Row],[Games Playable]]/82))</f>
        <v>37.292682926829265</v>
      </c>
      <c r="M30" s="95" cm="1">
        <f t="array" aca="1" ref="M30" ca="1">Table2[[#This Row],[Playable x Score]]*_xlfn.IFS(Table2[[#This Row],[Pos]]="D",assumptions!$B$15,Table2[[#This Row],[Pos]]="F", assumptions!$B$14,Table2[[#This Row],[Pos]]="G",assumptions!$B$16)</f>
        <v>37.292682926829265</v>
      </c>
    </row>
    <row r="31" spans="1:25" x14ac:dyDescent="0.3">
      <c r="A31">
        <f>'score estimates'!$A31</f>
        <v>28</v>
      </c>
      <c r="B31" t="str">
        <f>'score estimates'!$B31</f>
        <v>Filip Forsberg</v>
      </c>
      <c r="C31" t="str">
        <f>'score estimates'!$D31</f>
        <v>F</v>
      </c>
      <c r="D31" t="str">
        <f>'score estimates'!$C31</f>
        <v>NSH</v>
      </c>
      <c r="E31" s="75">
        <f>'score estimates'!$F31</f>
        <v>35.902439024390247</v>
      </c>
      <c r="F31" s="71">
        <f>'score estimates'!$G31</f>
        <v>41</v>
      </c>
      <c r="G31" s="71" t="s">
        <v>983</v>
      </c>
      <c r="H31" s="72" cm="1">
        <f t="array" aca="1" ref="H3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1" s="96">
        <f ca="1">IF(Table2[[#This Row],[Team]]="FA",0,Table2[[#This Row],[Pts/G]]*(1-Table2[[#This Row],[% Pos Overlap]]))</f>
        <v>35.902439024390247</v>
      </c>
      <c r="J31" s="72" cm="1">
        <f t="array" aca="1" ref="J31" ca="1">(INDIRECT(ADDRESS((_xlfn.XMATCH(Table2[[#This Row],[Team]],Schedule!$A$1:$A$33)),5,1,1,"Sched Overlap")))</f>
        <v>0.67806267806267806</v>
      </c>
      <c r="K31" s="92" cm="1">
        <f t="array" aca="1" ref="K3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1" s="95">
        <f ca="1">IF(Table2[[#This Row],[Team]]="FA",0,Table2[[#This Row],[Pts/G]]*(Table2[[#This Row],[Games Playable]]/82))</f>
        <v>35.902439024390247</v>
      </c>
      <c r="M31" s="95" cm="1">
        <f t="array" aca="1" ref="M31" ca="1">Table2[[#This Row],[Playable x Score]]*_xlfn.IFS(Table2[[#This Row],[Pos]]="D",assumptions!$B$15,Table2[[#This Row],[Pos]]="F", assumptions!$B$14,Table2[[#This Row],[Pos]]="G",assumptions!$B$16)</f>
        <v>35.902439024390247</v>
      </c>
    </row>
    <row r="32" spans="1:25" x14ac:dyDescent="0.3">
      <c r="A32">
        <f>'score estimates'!$A32</f>
        <v>29</v>
      </c>
      <c r="B32" t="str">
        <f>'score estimates'!$B32</f>
        <v>Victor Hedman</v>
      </c>
      <c r="C32" t="str">
        <f>'score estimates'!$D32</f>
        <v>D</v>
      </c>
      <c r="D32" t="str">
        <f>'score estimates'!$C32</f>
        <v>TB</v>
      </c>
      <c r="E32" s="75">
        <f>'score estimates'!$F32</f>
        <v>38.451219512195124</v>
      </c>
      <c r="F32" s="71">
        <f>'score estimates'!$G32</f>
        <v>28</v>
      </c>
      <c r="G32" s="71" t="s">
        <v>983</v>
      </c>
      <c r="H32" s="72" cm="1">
        <f t="array" aca="1" ref="H3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2" s="96">
        <f ca="1">IF(Table2[[#This Row],[Team]]="FA",0,Table2[[#This Row],[Pts/G]]*(1-Table2[[#This Row],[% Pos Overlap]]))</f>
        <v>38.451219512195124</v>
      </c>
      <c r="J32" s="72" cm="1">
        <f t="array" aca="1" ref="J32" ca="1">(INDIRECT(ADDRESS((_xlfn.XMATCH(Table2[[#This Row],[Team]],Schedule!$A$1:$A$33)),5,1,1,"Sched Overlap")))</f>
        <v>0.66422466422466431</v>
      </c>
      <c r="K32" s="92" cm="1">
        <f t="array" aca="1" ref="K3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2" s="95">
        <f ca="1">IF(Table2[[#This Row],[Team]]="FA",0,Table2[[#This Row],[Pts/G]]*(Table2[[#This Row],[Games Playable]]/82))</f>
        <v>38.451219512195124</v>
      </c>
      <c r="M32" s="95" cm="1">
        <f t="array" aca="1" ref="M32" ca="1">Table2[[#This Row],[Playable x Score]]*_xlfn.IFS(Table2[[#This Row],[Pos]]="D",assumptions!$B$15,Table2[[#This Row],[Pos]]="F", assumptions!$B$14,Table2[[#This Row],[Pos]]="G",assumptions!$B$16)</f>
        <v>48.064024390243901</v>
      </c>
    </row>
    <row r="33" spans="1:13" x14ac:dyDescent="0.3">
      <c r="A33">
        <f>'score estimates'!$A33</f>
        <v>30</v>
      </c>
      <c r="B33" t="str">
        <f>'score estimates'!$B33</f>
        <v>John Tavares</v>
      </c>
      <c r="C33" t="str">
        <f>'score estimates'!$D33</f>
        <v>F</v>
      </c>
      <c r="D33" t="str">
        <f>'score estimates'!$C33</f>
        <v>TOR</v>
      </c>
      <c r="E33" s="75">
        <f>'score estimates'!$F33</f>
        <v>34.378048780487802</v>
      </c>
      <c r="F33" s="71">
        <f>'score estimates'!$G33</f>
        <v>47</v>
      </c>
      <c r="G33" s="71" t="s">
        <v>983</v>
      </c>
      <c r="H33" s="72" cm="1">
        <f t="array" aca="1" ref="H3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3" s="96">
        <f ca="1">IF(Table2[[#This Row],[Team]]="FA",0,Table2[[#This Row],[Pts/G]]*(1-Table2[[#This Row],[% Pos Overlap]]))</f>
        <v>34.378048780487802</v>
      </c>
      <c r="J33" s="72" cm="1">
        <f t="array" aca="1" ref="J33" ca="1">(INDIRECT(ADDRESS((_xlfn.XMATCH(Table2[[#This Row],[Team]],Schedule!$A$1:$A$33)),5,1,1,"Sched Overlap")))</f>
        <v>0.62922262922262928</v>
      </c>
      <c r="K33" s="92" cm="1">
        <f t="array" aca="1" ref="K3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3" s="95">
        <f ca="1">IF(Table2[[#This Row],[Team]]="FA",0,Table2[[#This Row],[Pts/G]]*(Table2[[#This Row],[Games Playable]]/82))</f>
        <v>34.378048780487802</v>
      </c>
      <c r="M33" s="95" cm="1">
        <f t="array" aca="1" ref="M33" ca="1">Table2[[#This Row],[Playable x Score]]*_xlfn.IFS(Table2[[#This Row],[Pos]]="D",assumptions!$B$15,Table2[[#This Row],[Pos]]="F", assumptions!$B$14,Table2[[#This Row],[Pos]]="G",assumptions!$B$16)</f>
        <v>34.378048780487802</v>
      </c>
    </row>
    <row r="34" spans="1:13" x14ac:dyDescent="0.3">
      <c r="A34">
        <f>'score estimates'!$A34</f>
        <v>31</v>
      </c>
      <c r="B34" t="str">
        <f>'score estimates'!$B34</f>
        <v>Mark Scheifele</v>
      </c>
      <c r="C34" t="str">
        <f>'score estimates'!$D34</f>
        <v>F</v>
      </c>
      <c r="D34" t="str">
        <f>'score estimates'!$C34</f>
        <v>WPG</v>
      </c>
      <c r="E34" s="75">
        <f>'score estimates'!$F34</f>
        <v>31.719512195121951</v>
      </c>
      <c r="F34" s="71">
        <f>'score estimates'!$G34</f>
        <v>71</v>
      </c>
      <c r="G34" s="71" t="s">
        <v>983</v>
      </c>
      <c r="H34" s="72" cm="1">
        <f t="array" aca="1" ref="H3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4" s="96">
        <f ca="1">IF(Table2[[#This Row],[Team]]="FA",0,Table2[[#This Row],[Pts/G]]*(1-Table2[[#This Row],[% Pos Overlap]]))</f>
        <v>31.719512195121951</v>
      </c>
      <c r="J34" s="72" cm="1">
        <f t="array" aca="1" ref="J34" ca="1">(INDIRECT(ADDRESS((_xlfn.XMATCH(Table2[[#This Row],[Team]],Schedule!$A$1:$A$33)),5,1,1,"Sched Overlap")))</f>
        <v>0.61212861212861214</v>
      </c>
      <c r="K34" s="92" cm="1">
        <f t="array" aca="1" ref="K3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4" s="95">
        <f ca="1">IF(Table2[[#This Row],[Team]]="FA",0,Table2[[#This Row],[Pts/G]]*(Table2[[#This Row],[Games Playable]]/82))</f>
        <v>31.719512195121951</v>
      </c>
      <c r="M34" s="95" cm="1">
        <f t="array" aca="1" ref="M34" ca="1">Table2[[#This Row],[Playable x Score]]*_xlfn.IFS(Table2[[#This Row],[Pos]]="D",assumptions!$B$15,Table2[[#This Row],[Pos]]="F", assumptions!$B$14,Table2[[#This Row],[Pos]]="G",assumptions!$B$16)</f>
        <v>31.719512195121951</v>
      </c>
    </row>
    <row r="35" spans="1:13" x14ac:dyDescent="0.3">
      <c r="A35">
        <f>'score estimates'!$A35</f>
        <v>32</v>
      </c>
      <c r="B35" t="str">
        <f>'score estimates'!$B35</f>
        <v>William Nylander</v>
      </c>
      <c r="C35" t="str">
        <f>'score estimates'!$D35</f>
        <v>F</v>
      </c>
      <c r="D35" t="str">
        <f>'score estimates'!$C35</f>
        <v>TOR</v>
      </c>
      <c r="E35" s="75">
        <f>'score estimates'!$F35</f>
        <v>33.707317073170735</v>
      </c>
      <c r="F35" s="71">
        <f>'score estimates'!$G35</f>
        <v>53</v>
      </c>
      <c r="G35" s="71" t="s">
        <v>983</v>
      </c>
      <c r="H35" s="72" cm="1">
        <f t="array" aca="1" ref="H3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5" s="96">
        <f ca="1">IF(Table2[[#This Row],[Team]]="FA",0,Table2[[#This Row],[Pts/G]]*(1-Table2[[#This Row],[% Pos Overlap]]))</f>
        <v>33.707317073170735</v>
      </c>
      <c r="J35" s="72" cm="1">
        <f t="array" aca="1" ref="J35" ca="1">(INDIRECT(ADDRESS((_xlfn.XMATCH(Table2[[#This Row],[Team]],Schedule!$A$1:$A$33)),5,1,1,"Sched Overlap")))</f>
        <v>0.62922262922262928</v>
      </c>
      <c r="K35" s="92" cm="1">
        <f t="array" aca="1" ref="K3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5" s="95">
        <f ca="1">IF(Table2[[#This Row],[Team]]="FA",0,Table2[[#This Row],[Pts/G]]*(Table2[[#This Row],[Games Playable]]/82))</f>
        <v>33.707317073170735</v>
      </c>
      <c r="M35" s="95" cm="1">
        <f t="array" aca="1" ref="M35" ca="1">Table2[[#This Row],[Playable x Score]]*_xlfn.IFS(Table2[[#This Row],[Pos]]="D",assumptions!$B$15,Table2[[#This Row],[Pos]]="F", assumptions!$B$14,Table2[[#This Row],[Pos]]="G",assumptions!$B$16)</f>
        <v>33.707317073170735</v>
      </c>
    </row>
    <row r="36" spans="1:13" x14ac:dyDescent="0.3">
      <c r="A36">
        <f>'score estimates'!$A36</f>
        <v>33</v>
      </c>
      <c r="B36" t="str">
        <f>'score estimates'!$B36</f>
        <v>Sam Reinhart</v>
      </c>
      <c r="C36" t="str">
        <f>'score estimates'!$D36</f>
        <v>F</v>
      </c>
      <c r="D36" t="str">
        <f>'score estimates'!$C36</f>
        <v>FLA</v>
      </c>
      <c r="E36" s="75">
        <f>'score estimates'!$F36</f>
        <v>35.926829268292686</v>
      </c>
      <c r="F36" s="71">
        <f>'score estimates'!$G36</f>
        <v>40</v>
      </c>
      <c r="G36" s="71" t="s">
        <v>983</v>
      </c>
      <c r="H36" s="72" cm="1">
        <f t="array" aca="1" ref="H3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6" s="96">
        <f ca="1">IF(Table2[[#This Row],[Team]]="FA",0,Table2[[#This Row],[Pts/G]]*(1-Table2[[#This Row],[% Pos Overlap]]))</f>
        <v>35.926829268292686</v>
      </c>
      <c r="J36" s="72" cm="1">
        <f t="array" aca="1" ref="J36" ca="1">(INDIRECT(ADDRESS((_xlfn.XMATCH(Table2[[#This Row],[Team]],Schedule!$A$1:$A$33)),5,1,1,"Sched Overlap")))</f>
        <v>0.64387464387464377</v>
      </c>
      <c r="K36" s="92" cm="1">
        <f t="array" aca="1" ref="K3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6" s="95">
        <f ca="1">IF(Table2[[#This Row],[Team]]="FA",0,Table2[[#This Row],[Pts/G]]*(Table2[[#This Row],[Games Playable]]/82))</f>
        <v>35.926829268292686</v>
      </c>
      <c r="M36" s="95" cm="1">
        <f t="array" aca="1" ref="M36" ca="1">Table2[[#This Row],[Playable x Score]]*_xlfn.IFS(Table2[[#This Row],[Pos]]="D",assumptions!$B$15,Table2[[#This Row],[Pos]]="F", assumptions!$B$14,Table2[[#This Row],[Pos]]="G",assumptions!$B$16)</f>
        <v>35.926829268292686</v>
      </c>
    </row>
    <row r="37" spans="1:13" x14ac:dyDescent="0.3">
      <c r="A37">
        <f>'score estimates'!$A37</f>
        <v>34</v>
      </c>
      <c r="B37" t="str">
        <f>'score estimates'!$B37</f>
        <v>Pavel Buchnevich</v>
      </c>
      <c r="C37" t="str">
        <f>'score estimates'!$D37</f>
        <v>F</v>
      </c>
      <c r="D37" t="str">
        <f>'score estimates'!$C37</f>
        <v>STL</v>
      </c>
      <c r="E37" s="75">
        <f>'score estimates'!$F37</f>
        <v>36.536585365853661</v>
      </c>
      <c r="F37" s="71">
        <f>'score estimates'!$G37</f>
        <v>38</v>
      </c>
      <c r="G37" s="71" t="s">
        <v>983</v>
      </c>
      <c r="H37" s="72" cm="1">
        <f t="array" aca="1" ref="H3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7" s="96">
        <f ca="1">IF(Table2[[#This Row],[Team]]="FA",0,Table2[[#This Row],[Pts/G]]*(1-Table2[[#This Row],[% Pos Overlap]]))</f>
        <v>36.536585365853661</v>
      </c>
      <c r="J37" s="72" cm="1">
        <f t="array" aca="1" ref="J37" ca="1">(INDIRECT(ADDRESS((_xlfn.XMATCH(Table2[[#This Row],[Team]],Schedule!$A$1:$A$33)),5,1,1,"Sched Overlap")))</f>
        <v>0.65120065120065118</v>
      </c>
      <c r="K37" s="92" cm="1">
        <f t="array" aca="1" ref="K3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7" s="95">
        <f ca="1">IF(Table2[[#This Row],[Team]]="FA",0,Table2[[#This Row],[Pts/G]]*(Table2[[#This Row],[Games Playable]]/82))</f>
        <v>36.536585365853661</v>
      </c>
      <c r="M37" s="95" cm="1">
        <f t="array" aca="1" ref="M37" ca="1">Table2[[#This Row],[Playable x Score]]*_xlfn.IFS(Table2[[#This Row],[Pos]]="D",assumptions!$B$15,Table2[[#This Row],[Pos]]="F", assumptions!$B$14,Table2[[#This Row],[Pos]]="G",assumptions!$B$16)</f>
        <v>36.536585365853661</v>
      </c>
    </row>
    <row r="38" spans="1:13" x14ac:dyDescent="0.3">
      <c r="A38">
        <f>'score estimates'!$A38</f>
        <v>35</v>
      </c>
      <c r="B38" t="str">
        <f>'score estimates'!$B38</f>
        <v>Jason Robertson</v>
      </c>
      <c r="C38" t="str">
        <f>'score estimates'!$D38</f>
        <v>F</v>
      </c>
      <c r="D38" t="str">
        <f>'score estimates'!$C38</f>
        <v>DAL</v>
      </c>
      <c r="E38" s="75">
        <f>'score estimates'!$F38</f>
        <v>35.304878048780488</v>
      </c>
      <c r="F38" s="71">
        <f>'score estimates'!$G38</f>
        <v>43</v>
      </c>
      <c r="G38" s="71" t="s">
        <v>983</v>
      </c>
      <c r="H38" s="72" cm="1">
        <f t="array" aca="1" ref="H3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8" s="96">
        <f ca="1">IF(Table2[[#This Row],[Team]]="FA",0,Table2[[#This Row],[Pts/G]]*(1-Table2[[#This Row],[% Pos Overlap]]))</f>
        <v>35.304878048780488</v>
      </c>
      <c r="J38" s="72" cm="1">
        <f t="array" aca="1" ref="J38" ca="1">(INDIRECT(ADDRESS((_xlfn.XMATCH(Table2[[#This Row],[Team]],Schedule!$A$1:$A$33)),5,1,1,"Sched Overlap")))</f>
        <v>0.65364265364265373</v>
      </c>
      <c r="K38" s="92" cm="1">
        <f t="array" aca="1" ref="K3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8" s="95">
        <f ca="1">IF(Table2[[#This Row],[Team]]="FA",0,Table2[[#This Row],[Pts/G]]*(Table2[[#This Row],[Games Playable]]/82))</f>
        <v>35.304878048780488</v>
      </c>
      <c r="M38" s="95" cm="1">
        <f t="array" aca="1" ref="M38" ca="1">Table2[[#This Row],[Playable x Score]]*_xlfn.IFS(Table2[[#This Row],[Pos]]="D",assumptions!$B$15,Table2[[#This Row],[Pos]]="F", assumptions!$B$14,Table2[[#This Row],[Pos]]="G",assumptions!$B$16)</f>
        <v>35.304878048780488</v>
      </c>
    </row>
    <row r="39" spans="1:13" x14ac:dyDescent="0.3">
      <c r="A39">
        <f>'score estimates'!$A39</f>
        <v>36</v>
      </c>
      <c r="B39" t="str">
        <f>'score estimates'!$B39</f>
        <v>Alex DeBrincat</v>
      </c>
      <c r="C39" t="str">
        <f>'score estimates'!$D39</f>
        <v>F</v>
      </c>
      <c r="D39" t="str">
        <f>'score estimates'!$C39</f>
        <v>OTT</v>
      </c>
      <c r="E39" s="75">
        <f>'score estimates'!$F39</f>
        <v>34.280487804878049</v>
      </c>
      <c r="F39" s="71">
        <f>'score estimates'!$G39</f>
        <v>48</v>
      </c>
      <c r="G39" s="71" t="s">
        <v>983</v>
      </c>
      <c r="H39" s="72" cm="1">
        <f t="array" aca="1" ref="H3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9" s="96">
        <f ca="1">IF(Table2[[#This Row],[Team]]="FA",0,Table2[[#This Row],[Pts/G]]*(1-Table2[[#This Row],[% Pos Overlap]]))</f>
        <v>34.280487804878049</v>
      </c>
      <c r="J39" s="72" cm="1">
        <f t="array" aca="1" ref="J39" ca="1">(INDIRECT(ADDRESS((_xlfn.XMATCH(Table2[[#This Row],[Team]],Schedule!$A$1:$A$33)),5,1,1,"Sched Overlap")))</f>
        <v>0.64306064306064303</v>
      </c>
      <c r="K39" s="92" cm="1">
        <f t="array" aca="1" ref="K3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9" s="95">
        <f ca="1">IF(Table2[[#This Row],[Team]]="FA",0,Table2[[#This Row],[Pts/G]]*(Table2[[#This Row],[Games Playable]]/82))</f>
        <v>34.280487804878049</v>
      </c>
      <c r="M39" s="95" cm="1">
        <f t="array" aca="1" ref="M39" ca="1">Table2[[#This Row],[Playable x Score]]*_xlfn.IFS(Table2[[#This Row],[Pos]]="D",assumptions!$B$15,Table2[[#This Row],[Pos]]="F", assumptions!$B$14,Table2[[#This Row],[Pos]]="G",assumptions!$B$16)</f>
        <v>34.280487804878049</v>
      </c>
    </row>
    <row r="40" spans="1:13" x14ac:dyDescent="0.3">
      <c r="A40">
        <f>'score estimates'!$A40</f>
        <v>37</v>
      </c>
      <c r="B40" t="str">
        <f>'score estimates'!$B40</f>
        <v>Jordan Kyrou</v>
      </c>
      <c r="C40" t="str">
        <f>'score estimates'!$D40</f>
        <v>F</v>
      </c>
      <c r="D40" t="str">
        <f>'score estimates'!$C40</f>
        <v>STL</v>
      </c>
      <c r="E40" s="75">
        <f>'score estimates'!$F40</f>
        <v>31.26829268292683</v>
      </c>
      <c r="F40" s="71">
        <f>'score estimates'!$G40</f>
        <v>74</v>
      </c>
      <c r="G40" s="71" t="s">
        <v>983</v>
      </c>
      <c r="H40" s="72" cm="1">
        <f t="array" aca="1" ref="H4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0" s="96">
        <f ca="1">IF(Table2[[#This Row],[Team]]="FA",0,Table2[[#This Row],[Pts/G]]*(1-Table2[[#This Row],[% Pos Overlap]]))</f>
        <v>31.26829268292683</v>
      </c>
      <c r="J40" s="72" cm="1">
        <f t="array" aca="1" ref="J40" ca="1">(INDIRECT(ADDRESS((_xlfn.XMATCH(Table2[[#This Row],[Team]],Schedule!$A$1:$A$33)),5,1,1,"Sched Overlap")))</f>
        <v>0.65120065120065118</v>
      </c>
      <c r="K40" s="92" cm="1">
        <f t="array" aca="1" ref="K4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0" s="95">
        <f ca="1">IF(Table2[[#This Row],[Team]]="FA",0,Table2[[#This Row],[Pts/G]]*(Table2[[#This Row],[Games Playable]]/82))</f>
        <v>31.26829268292683</v>
      </c>
      <c r="M40" s="95" cm="1">
        <f t="array" aca="1" ref="M40" ca="1">Table2[[#This Row],[Playable x Score]]*_xlfn.IFS(Table2[[#This Row],[Pos]]="D",assumptions!$B$15,Table2[[#This Row],[Pos]]="F", assumptions!$B$14,Table2[[#This Row],[Pos]]="G",assumptions!$B$16)</f>
        <v>31.26829268292683</v>
      </c>
    </row>
    <row r="41" spans="1:13" x14ac:dyDescent="0.3">
      <c r="A41">
        <f>'score estimates'!$A41</f>
        <v>38</v>
      </c>
      <c r="B41" t="str">
        <f>'score estimates'!$B41</f>
        <v>Robert Thomas</v>
      </c>
      <c r="C41" t="str">
        <f>'score estimates'!$D41</f>
        <v>F</v>
      </c>
      <c r="D41" t="str">
        <f>'score estimates'!$C41</f>
        <v>STL</v>
      </c>
      <c r="E41" s="75">
        <f>'score estimates'!$F41</f>
        <v>30.548780487804876</v>
      </c>
      <c r="F41" s="71">
        <f>'score estimates'!$G41</f>
        <v>82</v>
      </c>
      <c r="G41" s="71" t="s">
        <v>983</v>
      </c>
      <c r="H41" s="72" cm="1">
        <f t="array" aca="1" ref="H4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1" s="96">
        <f ca="1">IF(Table2[[#This Row],[Team]]="FA",0,Table2[[#This Row],[Pts/G]]*(1-Table2[[#This Row],[% Pos Overlap]]))</f>
        <v>30.548780487804876</v>
      </c>
      <c r="J41" s="72" cm="1">
        <f t="array" aca="1" ref="J41" ca="1">(INDIRECT(ADDRESS((_xlfn.XMATCH(Table2[[#This Row],[Team]],Schedule!$A$1:$A$33)),5,1,1,"Sched Overlap")))</f>
        <v>0.65120065120065118</v>
      </c>
      <c r="K41" s="92" cm="1">
        <f t="array" aca="1" ref="K4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1" s="95">
        <f ca="1">IF(Table2[[#This Row],[Team]]="FA",0,Table2[[#This Row],[Pts/G]]*(Table2[[#This Row],[Games Playable]]/82))</f>
        <v>30.548780487804876</v>
      </c>
      <c r="M41" s="95" cm="1">
        <f t="array" aca="1" ref="M41" ca="1">Table2[[#This Row],[Playable x Score]]*_xlfn.IFS(Table2[[#This Row],[Pos]]="D",assumptions!$B$15,Table2[[#This Row],[Pos]]="F", assumptions!$B$14,Table2[[#This Row],[Pos]]="G",assumptions!$B$16)</f>
        <v>30.548780487804876</v>
      </c>
    </row>
    <row r="42" spans="1:13" x14ac:dyDescent="0.3">
      <c r="A42">
        <f>'score estimates'!$A42</f>
        <v>39</v>
      </c>
      <c r="B42" t="str">
        <f>'score estimates'!$B42</f>
        <v>Timo Meier</v>
      </c>
      <c r="C42" t="str">
        <f>'score estimates'!$D42</f>
        <v>F</v>
      </c>
      <c r="D42" t="str">
        <f>'score estimates'!$C42</f>
        <v>SJ</v>
      </c>
      <c r="E42" s="75">
        <f>'score estimates'!$F42</f>
        <v>37.268292682926827</v>
      </c>
      <c r="F42" s="71">
        <f>'score estimates'!$G42</f>
        <v>33</v>
      </c>
      <c r="G42" s="71" t="s">
        <v>983</v>
      </c>
      <c r="H42" s="72" cm="1">
        <f t="array" aca="1" ref="H4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2" s="96">
        <f ca="1">IF(Table2[[#This Row],[Team]]="FA",0,Table2[[#This Row],[Pts/G]]*(1-Table2[[#This Row],[% Pos Overlap]]))</f>
        <v>37.268292682926827</v>
      </c>
      <c r="J42" s="72" cm="1">
        <f t="array" aca="1" ref="J42" ca="1">(INDIRECT(ADDRESS((_xlfn.XMATCH(Table2[[#This Row],[Team]],Schedule!$A$1:$A$33)),5,1,1,"Sched Overlap")))</f>
        <v>0.63492063492063477</v>
      </c>
      <c r="K42" s="92" cm="1">
        <f t="array" aca="1" ref="K4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2" s="95">
        <f ca="1">IF(Table2[[#This Row],[Team]]="FA",0,Table2[[#This Row],[Pts/G]]*(Table2[[#This Row],[Games Playable]]/82))</f>
        <v>37.268292682926827</v>
      </c>
      <c r="M42" s="95" cm="1">
        <f t="array" aca="1" ref="M42" ca="1">Table2[[#This Row],[Playable x Score]]*_xlfn.IFS(Table2[[#This Row],[Pos]]="D",assumptions!$B$15,Table2[[#This Row],[Pos]]="F", assumptions!$B$14,Table2[[#This Row],[Pos]]="G",assumptions!$B$16)</f>
        <v>37.268292682926827</v>
      </c>
    </row>
    <row r="43" spans="1:13" x14ac:dyDescent="0.3">
      <c r="A43">
        <f>'score estimates'!$A43</f>
        <v>40</v>
      </c>
      <c r="B43" t="str">
        <f>'score estimates'!$B43</f>
        <v>Elias Lindholm</v>
      </c>
      <c r="C43" t="str">
        <f>'score estimates'!$D43</f>
        <v>F</v>
      </c>
      <c r="D43" t="str">
        <f>'score estimates'!$C43</f>
        <v>CGY</v>
      </c>
      <c r="E43" s="75">
        <f>'score estimates'!$F43</f>
        <v>39.085365853658537</v>
      </c>
      <c r="F43" s="71">
        <f>'score estimates'!$G43</f>
        <v>24</v>
      </c>
      <c r="G43" s="71" t="s">
        <v>983</v>
      </c>
      <c r="H43" s="72" cm="1">
        <f t="array" aca="1" ref="H4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3" s="96">
        <f ca="1">IF(Table2[[#This Row],[Team]]="FA",0,Table2[[#This Row],[Pts/G]]*(1-Table2[[#This Row],[% Pos Overlap]]))</f>
        <v>39.085365853658537</v>
      </c>
      <c r="J43" s="72" cm="1">
        <f t="array" aca="1" ref="J43" ca="1">(INDIRECT(ADDRESS((_xlfn.XMATCH(Table2[[#This Row],[Team]],Schedule!$A$1:$A$33)),5,1,1,"Sched Overlap")))</f>
        <v>0.63003663003663002</v>
      </c>
      <c r="K43" s="92" cm="1">
        <f t="array" aca="1" ref="K4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3" s="95">
        <f ca="1">IF(Table2[[#This Row],[Team]]="FA",0,Table2[[#This Row],[Pts/G]]*(Table2[[#This Row],[Games Playable]]/82))</f>
        <v>39.085365853658537</v>
      </c>
      <c r="M43" s="95" cm="1">
        <f t="array" aca="1" ref="M43" ca="1">Table2[[#This Row],[Playable x Score]]*_xlfn.IFS(Table2[[#This Row],[Pos]]="D",assumptions!$B$15,Table2[[#This Row],[Pos]]="F", assumptions!$B$14,Table2[[#This Row],[Pos]]="G",assumptions!$B$16)</f>
        <v>39.085365853658537</v>
      </c>
    </row>
    <row r="44" spans="1:13" x14ac:dyDescent="0.3">
      <c r="A44">
        <f>'score estimates'!$A44</f>
        <v>41</v>
      </c>
      <c r="B44" t="str">
        <f>'score estimates'!$B44</f>
        <v>Gabriel Landeskog</v>
      </c>
      <c r="C44" t="str">
        <f>'score estimates'!$D44</f>
        <v>F</v>
      </c>
      <c r="D44" t="str">
        <f>'score estimates'!$C44</f>
        <v>COL</v>
      </c>
      <c r="E44" s="75">
        <f>'score estimates'!$F44</f>
        <v>38.207317073170735</v>
      </c>
      <c r="F44" s="71">
        <f>'score estimates'!$G44</f>
        <v>29</v>
      </c>
      <c r="G44" s="71" t="s">
        <v>983</v>
      </c>
      <c r="H44" s="72" cm="1">
        <f t="array" aca="1" ref="H4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4" s="96">
        <f ca="1">IF(Table2[[#This Row],[Team]]="FA",0,Table2[[#This Row],[Pts/G]]*(1-Table2[[#This Row],[% Pos Overlap]]))</f>
        <v>38.207317073170735</v>
      </c>
      <c r="J44" s="72" cm="1">
        <f t="array" aca="1" ref="J44" ca="1">(INDIRECT(ADDRESS((_xlfn.XMATCH(Table2[[#This Row],[Team]],Schedule!$A$1:$A$33)),5,1,1,"Sched Overlap")))</f>
        <v>0.61131461131461151</v>
      </c>
      <c r="K44" s="92" cm="1">
        <f t="array" aca="1" ref="K4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4" s="95">
        <f ca="1">IF(Table2[[#This Row],[Team]]="FA",0,Table2[[#This Row],[Pts/G]]*(Table2[[#This Row],[Games Playable]]/82))</f>
        <v>38.207317073170735</v>
      </c>
      <c r="M44" s="95" cm="1">
        <f t="array" aca="1" ref="M44" ca="1">Table2[[#This Row],[Playable x Score]]*_xlfn.IFS(Table2[[#This Row],[Pos]]="D",assumptions!$B$15,Table2[[#This Row],[Pos]]="F", assumptions!$B$14,Table2[[#This Row],[Pos]]="G",assumptions!$B$16)</f>
        <v>38.207317073170735</v>
      </c>
    </row>
    <row r="45" spans="1:13" x14ac:dyDescent="0.3">
      <c r="A45">
        <f>'score estimates'!$A45</f>
        <v>42</v>
      </c>
      <c r="B45" t="str">
        <f>'score estimates'!$B45</f>
        <v>Evgeny Kuznetsov</v>
      </c>
      <c r="C45" t="str">
        <f>'score estimates'!$D45</f>
        <v>F</v>
      </c>
      <c r="D45" t="str">
        <f>'score estimates'!$C45</f>
        <v>WAS</v>
      </c>
      <c r="E45" s="75">
        <f>'score estimates'!$F45</f>
        <v>32.780487804878049</v>
      </c>
      <c r="F45" s="71">
        <f>'score estimates'!$G45</f>
        <v>61</v>
      </c>
      <c r="G45" s="71" t="s">
        <v>983</v>
      </c>
      <c r="H45" s="72" cm="1">
        <f t="array" aca="1" ref="H4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5" s="96">
        <f ca="1">IF(Table2[[#This Row],[Team]]="FA",0,Table2[[#This Row],[Pts/G]]*(1-Table2[[#This Row],[% Pos Overlap]]))</f>
        <v>32.780487804878049</v>
      </c>
      <c r="J45" s="72" cm="1">
        <f t="array" aca="1" ref="J45" ca="1">(INDIRECT(ADDRESS((_xlfn.XMATCH(Table2[[#This Row],[Team]],Schedule!$A$1:$A$33)),5,1,1,"Sched Overlap")))</f>
        <v>0.65282865282865288</v>
      </c>
      <c r="K45" s="92" cm="1">
        <f t="array" aca="1" ref="K4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5" s="95">
        <f ca="1">IF(Table2[[#This Row],[Team]]="FA",0,Table2[[#This Row],[Pts/G]]*(Table2[[#This Row],[Games Playable]]/82))</f>
        <v>32.780487804878049</v>
      </c>
      <c r="M45" s="95" cm="1">
        <f t="array" aca="1" ref="M45" ca="1">Table2[[#This Row],[Playable x Score]]*_xlfn.IFS(Table2[[#This Row],[Pos]]="D",assumptions!$B$15,Table2[[#This Row],[Pos]]="F", assumptions!$B$14,Table2[[#This Row],[Pos]]="G",assumptions!$B$16)</f>
        <v>32.780487804878049</v>
      </c>
    </row>
    <row r="46" spans="1:13" x14ac:dyDescent="0.3">
      <c r="A46">
        <f>'score estimates'!$A46</f>
        <v>43</v>
      </c>
      <c r="B46" t="str">
        <f>'score estimates'!$B46</f>
        <v>Joe Pavelski</v>
      </c>
      <c r="C46" t="str">
        <f>'score estimates'!$D46</f>
        <v>F</v>
      </c>
      <c r="D46" t="str">
        <f>'score estimates'!$C46</f>
        <v>DAL</v>
      </c>
      <c r="E46" s="75">
        <f>'score estimates'!$F46</f>
        <v>34.878048780487802</v>
      </c>
      <c r="F46" s="71">
        <f>'score estimates'!$G46</f>
        <v>46</v>
      </c>
      <c r="G46" s="71" t="s">
        <v>983</v>
      </c>
      <c r="H46" s="72" cm="1">
        <f t="array" aca="1" ref="H4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6" s="96">
        <f ca="1">IF(Table2[[#This Row],[Team]]="FA",0,Table2[[#This Row],[Pts/G]]*(1-Table2[[#This Row],[% Pos Overlap]]))</f>
        <v>34.878048780487802</v>
      </c>
      <c r="J46" s="72" cm="1">
        <f t="array" aca="1" ref="J46" ca="1">(INDIRECT(ADDRESS((_xlfn.XMATCH(Table2[[#This Row],[Team]],Schedule!$A$1:$A$33)),5,1,1,"Sched Overlap")))</f>
        <v>0.65364265364265373</v>
      </c>
      <c r="K46" s="92" cm="1">
        <f t="array" aca="1" ref="K4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6" s="95">
        <f ca="1">IF(Table2[[#This Row],[Team]]="FA",0,Table2[[#This Row],[Pts/G]]*(Table2[[#This Row],[Games Playable]]/82))</f>
        <v>34.878048780487802</v>
      </c>
      <c r="M46" s="95" cm="1">
        <f t="array" aca="1" ref="M46" ca="1">Table2[[#This Row],[Playable x Score]]*_xlfn.IFS(Table2[[#This Row],[Pos]]="D",assumptions!$B$15,Table2[[#This Row],[Pos]]="F", assumptions!$B$14,Table2[[#This Row],[Pos]]="G",assumptions!$B$16)</f>
        <v>34.878048780487802</v>
      </c>
    </row>
    <row r="47" spans="1:13" x14ac:dyDescent="0.3">
      <c r="A47">
        <f>'score estimates'!$A47</f>
        <v>44</v>
      </c>
      <c r="B47" t="str">
        <f>'score estimates'!$B47</f>
        <v>Matt Duchene</v>
      </c>
      <c r="C47" t="str">
        <f>'score estimates'!$D47</f>
        <v>F</v>
      </c>
      <c r="D47" t="str">
        <f>'score estimates'!$C47</f>
        <v>NSH</v>
      </c>
      <c r="E47" s="75">
        <f>'score estimates'!$F47</f>
        <v>32.487804878048777</v>
      </c>
      <c r="F47" s="71">
        <f>'score estimates'!$G47</f>
        <v>65</v>
      </c>
      <c r="G47" s="71" t="s">
        <v>983</v>
      </c>
      <c r="H47" s="72" cm="1">
        <f t="array" aca="1" ref="H4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7" s="96">
        <f ca="1">IF(Table2[[#This Row],[Team]]="FA",0,Table2[[#This Row],[Pts/G]]*(1-Table2[[#This Row],[% Pos Overlap]]))</f>
        <v>32.487804878048777</v>
      </c>
      <c r="J47" s="72" cm="1">
        <f t="array" aca="1" ref="J47" ca="1">(INDIRECT(ADDRESS((_xlfn.XMATCH(Table2[[#This Row],[Team]],Schedule!$A$1:$A$33)),5,1,1,"Sched Overlap")))</f>
        <v>0.67806267806267806</v>
      </c>
      <c r="K47" s="92" cm="1">
        <f t="array" aca="1" ref="K4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7" s="95">
        <f ca="1">IF(Table2[[#This Row],[Team]]="FA",0,Table2[[#This Row],[Pts/G]]*(Table2[[#This Row],[Games Playable]]/82))</f>
        <v>32.487804878048777</v>
      </c>
      <c r="M47" s="95" cm="1">
        <f t="array" aca="1" ref="M47" ca="1">Table2[[#This Row],[Playable x Score]]*_xlfn.IFS(Table2[[#This Row],[Pos]]="D",assumptions!$B$15,Table2[[#This Row],[Pos]]="F", assumptions!$B$14,Table2[[#This Row],[Pos]]="G",assumptions!$B$16)</f>
        <v>32.487804878048777</v>
      </c>
    </row>
    <row r="48" spans="1:13" x14ac:dyDescent="0.3">
      <c r="A48">
        <f>'score estimates'!$A48</f>
        <v>45</v>
      </c>
      <c r="B48" t="str">
        <f>'score estimates'!$B48</f>
        <v>Brad Marchand</v>
      </c>
      <c r="C48" t="str">
        <f>'score estimates'!$D48</f>
        <v>F</v>
      </c>
      <c r="D48" t="str">
        <f>'score estimates'!$C48</f>
        <v>BOS</v>
      </c>
      <c r="E48" s="75">
        <f>'score estimates'!$F48</f>
        <v>36.536585365853661</v>
      </c>
      <c r="F48" s="71">
        <f>'score estimates'!$G48</f>
        <v>38</v>
      </c>
      <c r="G48" s="71" t="s">
        <v>983</v>
      </c>
      <c r="H48" s="72" cm="1">
        <f t="array" aca="1" ref="H4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8" s="96">
        <f ca="1">IF(Table2[[#This Row],[Team]]="FA",0,Table2[[#This Row],[Pts/G]]*(1-Table2[[#This Row],[% Pos Overlap]]))</f>
        <v>36.536585365853661</v>
      </c>
      <c r="J48" s="72" cm="1">
        <f t="array" aca="1" ref="J48" ca="1">(INDIRECT(ADDRESS((_xlfn.XMATCH(Table2[[#This Row],[Team]],Schedule!$A$1:$A$33)),5,1,1,"Sched Overlap")))</f>
        <v>0.67236467236467234</v>
      </c>
      <c r="K48" s="92" cm="1">
        <f t="array" aca="1" ref="K4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8" s="95">
        <f ca="1">IF(Table2[[#This Row],[Team]]="FA",0,Table2[[#This Row],[Pts/G]]*(Table2[[#This Row],[Games Playable]]/82))</f>
        <v>36.536585365853661</v>
      </c>
      <c r="M48" s="95" cm="1">
        <f t="array" aca="1" ref="M48" ca="1">Table2[[#This Row],[Playable x Score]]*_xlfn.IFS(Table2[[#This Row],[Pos]]="D",assumptions!$B$15,Table2[[#This Row],[Pos]]="F", assumptions!$B$14,Table2[[#This Row],[Pos]]="G",assumptions!$B$16)</f>
        <v>36.536585365853661</v>
      </c>
    </row>
    <row r="49" spans="1:13" x14ac:dyDescent="0.3">
      <c r="A49">
        <f>'score estimates'!$A49</f>
        <v>46</v>
      </c>
      <c r="B49" t="str">
        <f>'score estimates'!$B49</f>
        <v>Patrik Laine</v>
      </c>
      <c r="C49" t="str">
        <f>'score estimates'!$D49</f>
        <v>F</v>
      </c>
      <c r="D49" t="str">
        <f>'score estimates'!$C49</f>
        <v>CLS</v>
      </c>
      <c r="E49" s="75">
        <f>'score estimates'!$F49</f>
        <v>33.060975609756099</v>
      </c>
      <c r="F49" s="71">
        <f>'score estimates'!$G49</f>
        <v>60</v>
      </c>
      <c r="G49" s="71" t="s">
        <v>983</v>
      </c>
      <c r="H49" s="72" cm="1">
        <f t="array" aca="1" ref="H4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9" s="96">
        <f ca="1">IF(Table2[[#This Row],[Team]]="FA",0,Table2[[#This Row],[Pts/G]]*(1-Table2[[#This Row],[% Pos Overlap]]))</f>
        <v>33.060975609756099</v>
      </c>
      <c r="J49" s="72" cm="1">
        <f t="array" aca="1" ref="J49" ca="1">(INDIRECT(ADDRESS((_xlfn.XMATCH(Table2[[#This Row],[Team]],Schedule!$A$1:$A$33)),5,1,1,"Sched Overlap")))</f>
        <v>0.64875864875864886</v>
      </c>
      <c r="K49" s="92" cm="1">
        <f t="array" aca="1" ref="K4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9" s="95">
        <f ca="1">IF(Table2[[#This Row],[Team]]="FA",0,Table2[[#This Row],[Pts/G]]*(Table2[[#This Row],[Games Playable]]/82))</f>
        <v>33.060975609756099</v>
      </c>
      <c r="M49" s="95" cm="1">
        <f t="array" aca="1" ref="M49" ca="1">Table2[[#This Row],[Playable x Score]]*_xlfn.IFS(Table2[[#This Row],[Pos]]="D",assumptions!$B$15,Table2[[#This Row],[Pos]]="F", assumptions!$B$14,Table2[[#This Row],[Pos]]="G",assumptions!$B$16)</f>
        <v>33.060975609756099</v>
      </c>
    </row>
    <row r="50" spans="1:13" x14ac:dyDescent="0.3">
      <c r="A50">
        <f>'score estimates'!$A50</f>
        <v>47</v>
      </c>
      <c r="B50" t="str">
        <f>'score estimates'!$B50</f>
        <v>Adam Fox</v>
      </c>
      <c r="C50" t="str">
        <f>'score estimates'!$D50</f>
        <v>D</v>
      </c>
      <c r="D50" t="str">
        <f>'score estimates'!$C50</f>
        <v>NYR</v>
      </c>
      <c r="E50" s="75">
        <f>'score estimates'!$F50</f>
        <v>33.731707317073173</v>
      </c>
      <c r="F50" s="71">
        <f>'score estimates'!$G50</f>
        <v>52</v>
      </c>
      <c r="G50" s="71" t="s">
        <v>983</v>
      </c>
      <c r="H50" s="72" cm="1">
        <f t="array" aca="1" ref="H5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0" s="96">
        <f ca="1">IF(Table2[[#This Row],[Team]]="FA",0,Table2[[#This Row],[Pts/G]]*(1-Table2[[#This Row],[% Pos Overlap]]))</f>
        <v>33.731707317073173</v>
      </c>
      <c r="J50" s="72" cm="1">
        <f t="array" aca="1" ref="J50" ca="1">(INDIRECT(ADDRESS((_xlfn.XMATCH(Table2[[#This Row],[Team]],Schedule!$A$1:$A$33)),5,1,1,"Sched Overlap")))</f>
        <v>0.60236060236060229</v>
      </c>
      <c r="K50" s="92" cm="1">
        <f t="array" aca="1" ref="K5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0" s="95">
        <f ca="1">IF(Table2[[#This Row],[Team]]="FA",0,Table2[[#This Row],[Pts/G]]*(Table2[[#This Row],[Games Playable]]/82))</f>
        <v>33.731707317073173</v>
      </c>
      <c r="M50" s="95" cm="1">
        <f t="array" aca="1" ref="M50" ca="1">Table2[[#This Row],[Playable x Score]]*_xlfn.IFS(Table2[[#This Row],[Pos]]="D",assumptions!$B$15,Table2[[#This Row],[Pos]]="F", assumptions!$B$14,Table2[[#This Row],[Pos]]="G",assumptions!$B$16)</f>
        <v>42.16463414634147</v>
      </c>
    </row>
    <row r="51" spans="1:13" x14ac:dyDescent="0.3">
      <c r="A51">
        <f>'score estimates'!$A51</f>
        <v>48</v>
      </c>
      <c r="B51" t="str">
        <f>'score estimates'!$B51</f>
        <v>Andrei Svechnikov</v>
      </c>
      <c r="C51" t="str">
        <f>'score estimates'!$D51</f>
        <v>F</v>
      </c>
      <c r="D51" t="str">
        <f>'score estimates'!$C51</f>
        <v>CAR</v>
      </c>
      <c r="E51" s="75">
        <f>'score estimates'!$F51</f>
        <v>37.804878048780488</v>
      </c>
      <c r="F51" s="71">
        <f>'score estimates'!$G51</f>
        <v>30</v>
      </c>
      <c r="G51" s="71" t="s">
        <v>983</v>
      </c>
      <c r="H51" s="72" cm="1">
        <f t="array" aca="1" ref="H5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1" s="96">
        <f ca="1">IF(Table2[[#This Row],[Team]]="FA",0,Table2[[#This Row],[Pts/G]]*(1-Table2[[#This Row],[% Pos Overlap]]))</f>
        <v>37.804878048780488</v>
      </c>
      <c r="J51" s="72" cm="1">
        <f t="array" aca="1" ref="J51" ca="1">(INDIRECT(ADDRESS((_xlfn.XMATCH(Table2[[#This Row],[Team]],Schedule!$A$1:$A$33)),5,1,1,"Sched Overlap")))</f>
        <v>0.63247863247863245</v>
      </c>
      <c r="K51" s="92" cm="1">
        <f t="array" aca="1" ref="K5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1" s="95">
        <f ca="1">IF(Table2[[#This Row],[Team]]="FA",0,Table2[[#This Row],[Pts/G]]*(Table2[[#This Row],[Games Playable]]/82))</f>
        <v>37.804878048780488</v>
      </c>
      <c r="M51" s="95" cm="1">
        <f t="array" aca="1" ref="M51" ca="1">Table2[[#This Row],[Playable x Score]]*_xlfn.IFS(Table2[[#This Row],[Pos]]="D",assumptions!$B$15,Table2[[#This Row],[Pos]]="F", assumptions!$B$14,Table2[[#This Row],[Pos]]="G",assumptions!$B$16)</f>
        <v>37.804878048780488</v>
      </c>
    </row>
    <row r="52" spans="1:13" x14ac:dyDescent="0.3">
      <c r="A52">
        <f>'score estimates'!$A52</f>
        <v>49</v>
      </c>
      <c r="B52" t="str">
        <f>'score estimates'!$B52</f>
        <v>Dylan Larkin</v>
      </c>
      <c r="C52" t="str">
        <f>'score estimates'!$D52</f>
        <v>F</v>
      </c>
      <c r="D52" t="str">
        <f>'score estimates'!$C52</f>
        <v>DET</v>
      </c>
      <c r="E52" s="75">
        <f>'score estimates'!$F52</f>
        <v>31.292682926829269</v>
      </c>
      <c r="F52" s="71">
        <f>'score estimates'!$G52</f>
        <v>73</v>
      </c>
      <c r="G52" s="71" t="s">
        <v>983</v>
      </c>
      <c r="H52" s="72" cm="1">
        <f t="array" aca="1" ref="H5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2" s="96">
        <f ca="1">IF(Table2[[#This Row],[Team]]="FA",0,Table2[[#This Row],[Pts/G]]*(1-Table2[[#This Row],[% Pos Overlap]]))</f>
        <v>31.292682926829269</v>
      </c>
      <c r="J52" s="72" cm="1">
        <f t="array" aca="1" ref="J52" ca="1">(INDIRECT(ADDRESS((_xlfn.XMATCH(Table2[[#This Row],[Team]],Schedule!$A$1:$A$33)),5,1,1,"Sched Overlap")))</f>
        <v>0.64550264550264547</v>
      </c>
      <c r="K52" s="92" cm="1">
        <f t="array" aca="1" ref="K5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2" s="95">
        <f ca="1">IF(Table2[[#This Row],[Team]]="FA",0,Table2[[#This Row],[Pts/G]]*(Table2[[#This Row],[Games Playable]]/82))</f>
        <v>31.292682926829269</v>
      </c>
      <c r="M52" s="95" cm="1">
        <f t="array" aca="1" ref="M52" ca="1">Table2[[#This Row],[Playable x Score]]*_xlfn.IFS(Table2[[#This Row],[Pos]]="D",assumptions!$B$15,Table2[[#This Row],[Pos]]="F", assumptions!$B$14,Table2[[#This Row],[Pos]]="G",assumptions!$B$16)</f>
        <v>31.292682926829269</v>
      </c>
    </row>
    <row r="53" spans="1:13" x14ac:dyDescent="0.3">
      <c r="A53">
        <f>'score estimates'!$A53</f>
        <v>50</v>
      </c>
      <c r="B53" t="str">
        <f>'score estimates'!$B53</f>
        <v>Bryan Rust</v>
      </c>
      <c r="C53" t="str">
        <f>'score estimates'!$D53</f>
        <v>F</v>
      </c>
      <c r="D53" t="str">
        <f>'score estimates'!$C53</f>
        <v>PIT</v>
      </c>
      <c r="E53" s="75">
        <f>'score estimates'!$F53</f>
        <v>31.890243902439025</v>
      </c>
      <c r="F53" s="71">
        <f>'score estimates'!$G53</f>
        <v>69</v>
      </c>
      <c r="G53" s="71" t="s">
        <v>983</v>
      </c>
      <c r="H53" s="72" cm="1">
        <f t="array" aca="1" ref="H5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3" s="96">
        <f ca="1">IF(Table2[[#This Row],[Team]]="FA",0,Table2[[#This Row],[Pts/G]]*(1-Table2[[#This Row],[% Pos Overlap]]))</f>
        <v>31.890243902439025</v>
      </c>
      <c r="J53" s="72" cm="1">
        <f t="array" aca="1" ref="J53" ca="1">(INDIRECT(ADDRESS((_xlfn.XMATCH(Table2[[#This Row],[Team]],Schedule!$A$1:$A$33)),5,1,1,"Sched Overlap")))</f>
        <v>0.63492063492063477</v>
      </c>
      <c r="K53" s="92" cm="1">
        <f t="array" aca="1" ref="K5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3" s="95">
        <f ca="1">IF(Table2[[#This Row],[Team]]="FA",0,Table2[[#This Row],[Pts/G]]*(Table2[[#This Row],[Games Playable]]/82))</f>
        <v>31.890243902439025</v>
      </c>
      <c r="M53" s="95" cm="1">
        <f t="array" aca="1" ref="M53" ca="1">Table2[[#This Row],[Playable x Score]]*_xlfn.IFS(Table2[[#This Row],[Pos]]="D",assumptions!$B$15,Table2[[#This Row],[Pos]]="F", assumptions!$B$14,Table2[[#This Row],[Pos]]="G",assumptions!$B$16)</f>
        <v>31.890243902439025</v>
      </c>
    </row>
    <row r="54" spans="1:13" x14ac:dyDescent="0.3">
      <c r="A54">
        <f>'score estimates'!$A54</f>
        <v>51</v>
      </c>
      <c r="B54" t="str">
        <f>'score estimates'!$B54</f>
        <v>John Carlson</v>
      </c>
      <c r="C54" t="str">
        <f>'score estimates'!$D54</f>
        <v>D</v>
      </c>
      <c r="D54" t="str">
        <f>'score estimates'!$C54</f>
        <v>WAS</v>
      </c>
      <c r="E54" s="75">
        <f>'score estimates'!$F54</f>
        <v>33.085365853658537</v>
      </c>
      <c r="F54" s="71">
        <f>'score estimates'!$G54</f>
        <v>59</v>
      </c>
      <c r="G54" s="71" t="s">
        <v>983</v>
      </c>
      <c r="H54" s="72" cm="1">
        <f t="array" aca="1" ref="H5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4" s="96">
        <f ca="1">IF(Table2[[#This Row],[Team]]="FA",0,Table2[[#This Row],[Pts/G]]*(1-Table2[[#This Row],[% Pos Overlap]]))</f>
        <v>33.085365853658537</v>
      </c>
      <c r="J54" s="72" cm="1">
        <f t="array" aca="1" ref="J54" ca="1">(INDIRECT(ADDRESS((_xlfn.XMATCH(Table2[[#This Row],[Team]],Schedule!$A$1:$A$33)),5,1,1,"Sched Overlap")))</f>
        <v>0.65282865282865288</v>
      </c>
      <c r="K54" s="92" cm="1">
        <f t="array" aca="1" ref="K5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4" s="95">
        <f ca="1">IF(Table2[[#This Row],[Team]]="FA",0,Table2[[#This Row],[Pts/G]]*(Table2[[#This Row],[Games Playable]]/82))</f>
        <v>33.085365853658537</v>
      </c>
      <c r="M54" s="95" cm="1">
        <f t="array" aca="1" ref="M54" ca="1">Table2[[#This Row],[Playable x Score]]*_xlfn.IFS(Table2[[#This Row],[Pos]]="D",assumptions!$B$15,Table2[[#This Row],[Pos]]="F", assumptions!$B$14,Table2[[#This Row],[Pos]]="G",assumptions!$B$16)</f>
        <v>41.356707317073173</v>
      </c>
    </row>
    <row r="55" spans="1:13" x14ac:dyDescent="0.3">
      <c r="A55">
        <f>'score estimates'!$A55</f>
        <v>52</v>
      </c>
      <c r="B55" t="str">
        <f>'score estimates'!$B55</f>
        <v>Evander Kane</v>
      </c>
      <c r="C55" t="str">
        <f>'score estimates'!$D55</f>
        <v>F</v>
      </c>
      <c r="D55" t="str">
        <f>'score estimates'!$C55</f>
        <v>EDM</v>
      </c>
      <c r="E55" s="75">
        <f>'score estimates'!$F55</f>
        <v>41.987804878048777</v>
      </c>
      <c r="F55" s="71">
        <f>'score estimates'!$G55</f>
        <v>19</v>
      </c>
      <c r="G55" s="71" t="s">
        <v>983</v>
      </c>
      <c r="H55" s="72" cm="1">
        <f t="array" aca="1" ref="H5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5" s="96">
        <f ca="1">IF(Table2[[#This Row],[Team]]="FA",0,Table2[[#This Row],[Pts/G]]*(1-Table2[[#This Row],[% Pos Overlap]]))</f>
        <v>41.987804878048777</v>
      </c>
      <c r="J55" s="72" cm="1">
        <f t="array" aca="1" ref="J55" ca="1">(INDIRECT(ADDRESS((_xlfn.XMATCH(Table2[[#This Row],[Team]],Schedule!$A$1:$A$33)),5,1,1,"Sched Overlap")))</f>
        <v>0.62026862026862029</v>
      </c>
      <c r="K55" s="92" cm="1">
        <f t="array" aca="1" ref="K5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5" s="95">
        <f ca="1">IF(Table2[[#This Row],[Team]]="FA",0,Table2[[#This Row],[Pts/G]]*(Table2[[#This Row],[Games Playable]]/82))</f>
        <v>41.987804878048777</v>
      </c>
      <c r="M55" s="95" cm="1">
        <f t="array" aca="1" ref="M55" ca="1">Table2[[#This Row],[Playable x Score]]*_xlfn.IFS(Table2[[#This Row],[Pos]]="D",assumptions!$B$15,Table2[[#This Row],[Pos]]="F", assumptions!$B$14,Table2[[#This Row],[Pos]]="G",assumptions!$B$16)</f>
        <v>41.987804878048777</v>
      </c>
    </row>
    <row r="56" spans="1:13" x14ac:dyDescent="0.3">
      <c r="A56">
        <f>'score estimates'!$A56</f>
        <v>53</v>
      </c>
      <c r="B56" t="str">
        <f>'score estimates'!$B56</f>
        <v>Anze Kopitar</v>
      </c>
      <c r="C56" t="str">
        <f>'score estimates'!$D56</f>
        <v>F</v>
      </c>
      <c r="D56" t="str">
        <f>'score estimates'!$C56</f>
        <v>LA</v>
      </c>
      <c r="E56" s="75">
        <f>'score estimates'!$F56</f>
        <v>31.23170731707317</v>
      </c>
      <c r="F56" s="71">
        <f>'score estimates'!$G56</f>
        <v>75</v>
      </c>
      <c r="G56" s="71" t="s">
        <v>983</v>
      </c>
      <c r="H56" s="72" cm="1">
        <f t="array" aca="1" ref="H5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6" s="96">
        <f ca="1">IF(Table2[[#This Row],[Team]]="FA",0,Table2[[#This Row],[Pts/G]]*(1-Table2[[#This Row],[% Pos Overlap]]))</f>
        <v>31.23170731707317</v>
      </c>
      <c r="J56" s="72" cm="1">
        <f t="array" aca="1" ref="J56" ca="1">(INDIRECT(ADDRESS((_xlfn.XMATCH(Table2[[#This Row],[Team]],Schedule!$A$1:$A$33)),5,1,1,"Sched Overlap")))</f>
        <v>0.65201465201465225</v>
      </c>
      <c r="K56" s="92" cm="1">
        <f t="array" aca="1" ref="K5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6" s="95">
        <f ca="1">IF(Table2[[#This Row],[Team]]="FA",0,Table2[[#This Row],[Pts/G]]*(Table2[[#This Row],[Games Playable]]/82))</f>
        <v>31.23170731707317</v>
      </c>
      <c r="M56" s="95" cm="1">
        <f t="array" aca="1" ref="M56" ca="1">Table2[[#This Row],[Playable x Score]]*_xlfn.IFS(Table2[[#This Row],[Pos]]="D",assumptions!$B$15,Table2[[#This Row],[Pos]]="F", assumptions!$B$14,Table2[[#This Row],[Pos]]="G",assumptions!$B$16)</f>
        <v>31.23170731707317</v>
      </c>
    </row>
    <row r="57" spans="1:13" x14ac:dyDescent="0.3">
      <c r="A57">
        <f>'score estimates'!$A57</f>
        <v>54</v>
      </c>
      <c r="B57" t="str">
        <f>'score estimates'!$B57</f>
        <v>Brady Tkachuk</v>
      </c>
      <c r="C57" t="str">
        <f>'score estimates'!$D57</f>
        <v>F</v>
      </c>
      <c r="D57" t="str">
        <f>'score estimates'!$C57</f>
        <v>OTT</v>
      </c>
      <c r="E57" s="75">
        <f>'score estimates'!$F57</f>
        <v>39.060975609756099</v>
      </c>
      <c r="F57" s="71">
        <f>'score estimates'!$G57</f>
        <v>25</v>
      </c>
      <c r="G57" s="71" t="s">
        <v>983</v>
      </c>
      <c r="H57" s="72" cm="1">
        <f t="array" aca="1" ref="H5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7" s="96">
        <f ca="1">IF(Table2[[#This Row],[Team]]="FA",0,Table2[[#This Row],[Pts/G]]*(1-Table2[[#This Row],[% Pos Overlap]]))</f>
        <v>39.060975609756099</v>
      </c>
      <c r="J57" s="72" cm="1">
        <f t="array" aca="1" ref="J57" ca="1">(INDIRECT(ADDRESS((_xlfn.XMATCH(Table2[[#This Row],[Team]],Schedule!$A$1:$A$33)),5,1,1,"Sched Overlap")))</f>
        <v>0.64306064306064303</v>
      </c>
      <c r="K57" s="92" cm="1">
        <f t="array" aca="1" ref="K5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7" s="95">
        <f ca="1">IF(Table2[[#This Row],[Team]]="FA",0,Table2[[#This Row],[Pts/G]]*(Table2[[#This Row],[Games Playable]]/82))</f>
        <v>39.060975609756099</v>
      </c>
      <c r="M57" s="95" cm="1">
        <f t="array" aca="1" ref="M57" ca="1">Table2[[#This Row],[Playable x Score]]*_xlfn.IFS(Table2[[#This Row],[Pos]]="D",assumptions!$B$15,Table2[[#This Row],[Pos]]="F", assumptions!$B$14,Table2[[#This Row],[Pos]]="G",assumptions!$B$16)</f>
        <v>39.060975609756099</v>
      </c>
    </row>
    <row r="58" spans="1:13" x14ac:dyDescent="0.3">
      <c r="A58">
        <f>'score estimates'!$A58</f>
        <v>55</v>
      </c>
      <c r="B58" t="str">
        <f>'score estimates'!$B58</f>
        <v>Quinn Hughes</v>
      </c>
      <c r="C58" t="str">
        <f>'score estimates'!$D58</f>
        <v>D</v>
      </c>
      <c r="D58" t="str">
        <f>'score estimates'!$C58</f>
        <v>VAN</v>
      </c>
      <c r="E58" s="75">
        <f>'score estimates'!$F58</f>
        <v>28.670731707317074</v>
      </c>
      <c r="F58" s="71">
        <f>'score estimates'!$G58</f>
        <v>102</v>
      </c>
      <c r="G58" s="71" t="s">
        <v>983</v>
      </c>
      <c r="H58" s="72" cm="1">
        <f t="array" aca="1" ref="H5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8" s="96">
        <f ca="1">IF(Table2[[#This Row],[Team]]="FA",0,Table2[[#This Row],[Pts/G]]*(1-Table2[[#This Row],[% Pos Overlap]]))</f>
        <v>28.670731707317074</v>
      </c>
      <c r="J58" s="72" cm="1">
        <f t="array" aca="1" ref="J58" ca="1">(INDIRECT(ADDRESS((_xlfn.XMATCH(Table2[[#This Row],[Team]],Schedule!$A$1:$A$33)),5,1,1,"Sched Overlap")))</f>
        <v>0.62922262922262917</v>
      </c>
      <c r="K58" s="92" cm="1">
        <f t="array" aca="1" ref="K5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8" s="95">
        <f ca="1">IF(Table2[[#This Row],[Team]]="FA",0,Table2[[#This Row],[Pts/G]]*(Table2[[#This Row],[Games Playable]]/82))</f>
        <v>28.670731707317074</v>
      </c>
      <c r="M58" s="95" cm="1">
        <f t="array" aca="1" ref="M58" ca="1">Table2[[#This Row],[Playable x Score]]*_xlfn.IFS(Table2[[#This Row],[Pos]]="D",assumptions!$B$15,Table2[[#This Row],[Pos]]="F", assumptions!$B$14,Table2[[#This Row],[Pos]]="G",assumptions!$B$16)</f>
        <v>35.838414634146346</v>
      </c>
    </row>
    <row r="59" spans="1:13" x14ac:dyDescent="0.3">
      <c r="A59">
        <f>'score estimates'!$A59</f>
        <v>56</v>
      </c>
      <c r="B59" t="str">
        <f>'score estimates'!$B59</f>
        <v>Jack Hughes</v>
      </c>
      <c r="C59" t="str">
        <f>'score estimates'!$D59</f>
        <v>F</v>
      </c>
      <c r="D59" t="str">
        <f>'score estimates'!$C59</f>
        <v>NJ</v>
      </c>
      <c r="E59" s="75">
        <f>'score estimates'!$F59</f>
        <v>28.634146341463413</v>
      </c>
      <c r="F59" s="71">
        <f>'score estimates'!$G59</f>
        <v>103</v>
      </c>
      <c r="G59" s="71" t="s">
        <v>983</v>
      </c>
      <c r="H59" s="72" cm="1">
        <f t="array" aca="1" ref="H5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9" s="96">
        <f ca="1">IF(Table2[[#This Row],[Team]]="FA",0,Table2[[#This Row],[Pts/G]]*(1-Table2[[#This Row],[% Pos Overlap]]))</f>
        <v>28.634146341463413</v>
      </c>
      <c r="J59" s="72" cm="1">
        <f t="array" aca="1" ref="J59" ca="1">(INDIRECT(ADDRESS((_xlfn.XMATCH(Table2[[#This Row],[Team]],Schedule!$A$1:$A$33)),5,1,1,"Sched Overlap")))</f>
        <v>0.66259666259666272</v>
      </c>
      <c r="K59" s="92" cm="1">
        <f t="array" aca="1" ref="K5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9" s="95">
        <f ca="1">IF(Table2[[#This Row],[Team]]="FA",0,Table2[[#This Row],[Pts/G]]*(Table2[[#This Row],[Games Playable]]/82))</f>
        <v>28.634146341463413</v>
      </c>
      <c r="M59" s="95" cm="1">
        <f t="array" aca="1" ref="M59" ca="1">Table2[[#This Row],[Playable x Score]]*_xlfn.IFS(Table2[[#This Row],[Pos]]="D",assumptions!$B$15,Table2[[#This Row],[Pos]]="F", assumptions!$B$14,Table2[[#This Row],[Pos]]="G",assumptions!$B$16)</f>
        <v>28.634146341463413</v>
      </c>
    </row>
    <row r="60" spans="1:13" x14ac:dyDescent="0.3">
      <c r="A60">
        <f>'score estimates'!$A60</f>
        <v>57</v>
      </c>
      <c r="B60" t="str">
        <f>'score estimates'!$B60</f>
        <v>Jesper Bratt</v>
      </c>
      <c r="C60" t="str">
        <f>'score estimates'!$D60</f>
        <v>F</v>
      </c>
      <c r="D60" t="str">
        <f>'score estimates'!$C60</f>
        <v>NJ</v>
      </c>
      <c r="E60" s="75">
        <f>'score estimates'!$F60</f>
        <v>29.695121951219512</v>
      </c>
      <c r="F60" s="71">
        <f>'score estimates'!$G60</f>
        <v>91</v>
      </c>
      <c r="G60" s="71" t="s">
        <v>983</v>
      </c>
      <c r="H60" s="72" cm="1">
        <f t="array" aca="1" ref="H6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0" s="96">
        <f ca="1">IF(Table2[[#This Row],[Team]]="FA",0,Table2[[#This Row],[Pts/G]]*(1-Table2[[#This Row],[% Pos Overlap]]))</f>
        <v>29.695121951219512</v>
      </c>
      <c r="J60" s="72" cm="1">
        <f t="array" aca="1" ref="J60" ca="1">(INDIRECT(ADDRESS((_xlfn.XMATCH(Table2[[#This Row],[Team]],Schedule!$A$1:$A$33)),5,1,1,"Sched Overlap")))</f>
        <v>0.66259666259666272</v>
      </c>
      <c r="K60" s="92" cm="1">
        <f t="array" aca="1" ref="K6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0" s="95">
        <f ca="1">IF(Table2[[#This Row],[Team]]="FA",0,Table2[[#This Row],[Pts/G]]*(Table2[[#This Row],[Games Playable]]/82))</f>
        <v>29.695121951219512</v>
      </c>
      <c r="M60" s="95" cm="1">
        <f t="array" aca="1" ref="M60" ca="1">Table2[[#This Row],[Playable x Score]]*_xlfn.IFS(Table2[[#This Row],[Pos]]="D",assumptions!$B$15,Table2[[#This Row],[Pos]]="F", assumptions!$B$14,Table2[[#This Row],[Pos]]="G",assumptions!$B$16)</f>
        <v>29.695121951219512</v>
      </c>
    </row>
    <row r="61" spans="1:13" x14ac:dyDescent="0.3">
      <c r="A61">
        <f>'score estimates'!$A61</f>
        <v>58</v>
      </c>
      <c r="B61" t="str">
        <f>'score estimates'!$B61</f>
        <v>Elias Pettersson</v>
      </c>
      <c r="C61" t="str">
        <f>'score estimates'!$D61</f>
        <v>F</v>
      </c>
      <c r="D61" t="str">
        <f>'score estimates'!$C61</f>
        <v>VAN</v>
      </c>
      <c r="E61" s="75">
        <f>'score estimates'!$F61</f>
        <v>30.792682926829269</v>
      </c>
      <c r="F61" s="71">
        <f>'score estimates'!$G61</f>
        <v>78</v>
      </c>
      <c r="G61" s="71" t="s">
        <v>983</v>
      </c>
      <c r="H61" s="72" cm="1">
        <f t="array" aca="1" ref="H6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1" s="96">
        <f ca="1">IF(Table2[[#This Row],[Team]]="FA",0,Table2[[#This Row],[Pts/G]]*(1-Table2[[#This Row],[% Pos Overlap]]))</f>
        <v>30.792682926829269</v>
      </c>
      <c r="J61" s="72" cm="1">
        <f t="array" aca="1" ref="J61" ca="1">(INDIRECT(ADDRESS((_xlfn.XMATCH(Table2[[#This Row],[Team]],Schedule!$A$1:$A$33)),5,1,1,"Sched Overlap")))</f>
        <v>0.62922262922262917</v>
      </c>
      <c r="K61" s="92" cm="1">
        <f t="array" aca="1" ref="K6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1" s="95">
        <f ca="1">IF(Table2[[#This Row],[Team]]="FA",0,Table2[[#This Row],[Pts/G]]*(Table2[[#This Row],[Games Playable]]/82))</f>
        <v>30.792682926829269</v>
      </c>
      <c r="M61" s="95" cm="1">
        <f t="array" aca="1" ref="M61" ca="1">Table2[[#This Row],[Playable x Score]]*_xlfn.IFS(Table2[[#This Row],[Pos]]="D",assumptions!$B$15,Table2[[#This Row],[Pos]]="F", assumptions!$B$14,Table2[[#This Row],[Pos]]="G",assumptions!$B$16)</f>
        <v>30.792682926829269</v>
      </c>
    </row>
    <row r="62" spans="1:13" x14ac:dyDescent="0.3">
      <c r="A62">
        <f>'score estimates'!$A62</f>
        <v>59</v>
      </c>
      <c r="B62" t="str">
        <f>'score estimates'!$B62</f>
        <v>Claude Giroux</v>
      </c>
      <c r="C62" t="str">
        <f>'score estimates'!$D62</f>
        <v>F</v>
      </c>
      <c r="D62" t="str">
        <f>'score estimates'!$C62</f>
        <v>OTT</v>
      </c>
      <c r="E62" s="75">
        <f>'score estimates'!$F62</f>
        <v>29.256097560975611</v>
      </c>
      <c r="F62" s="71">
        <f>'score estimates'!$G62</f>
        <v>96</v>
      </c>
      <c r="G62" s="71" t="s">
        <v>983</v>
      </c>
      <c r="H62" s="72" cm="1">
        <f t="array" aca="1" ref="H6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2" s="96">
        <f ca="1">IF(Table2[[#This Row],[Team]]="FA",0,Table2[[#This Row],[Pts/G]]*(1-Table2[[#This Row],[% Pos Overlap]]))</f>
        <v>29.256097560975611</v>
      </c>
      <c r="J62" s="72" cm="1">
        <f t="array" aca="1" ref="J62" ca="1">(INDIRECT(ADDRESS((_xlfn.XMATCH(Table2[[#This Row],[Team]],Schedule!$A$1:$A$33)),5,1,1,"Sched Overlap")))</f>
        <v>0.64306064306064303</v>
      </c>
      <c r="K62" s="92" cm="1">
        <f t="array" aca="1" ref="K6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2" s="95">
        <f ca="1">IF(Table2[[#This Row],[Team]]="FA",0,Table2[[#This Row],[Pts/G]]*(Table2[[#This Row],[Games Playable]]/82))</f>
        <v>29.256097560975611</v>
      </c>
      <c r="M62" s="95" cm="1">
        <f t="array" aca="1" ref="M62" ca="1">Table2[[#This Row],[Playable x Score]]*_xlfn.IFS(Table2[[#This Row],[Pos]]="D",assumptions!$B$15,Table2[[#This Row],[Pos]]="F", assumptions!$B$14,Table2[[#This Row],[Pos]]="G",assumptions!$B$16)</f>
        <v>29.256097560975611</v>
      </c>
    </row>
    <row r="63" spans="1:13" x14ac:dyDescent="0.3">
      <c r="A63">
        <f>'score estimates'!$A63</f>
        <v>60</v>
      </c>
      <c r="B63" t="str">
        <f>'score estimates'!$B63</f>
        <v>Brayden Point</v>
      </c>
      <c r="C63" t="str">
        <f>'score estimates'!$D63</f>
        <v>F</v>
      </c>
      <c r="D63" t="str">
        <f>'score estimates'!$C63</f>
        <v>TB</v>
      </c>
      <c r="E63" s="75">
        <f>'score estimates'!$F63</f>
        <v>31.548780487804876</v>
      </c>
      <c r="F63" s="71">
        <f>'score estimates'!$G63</f>
        <v>72</v>
      </c>
      <c r="G63" s="71" t="s">
        <v>983</v>
      </c>
      <c r="H63" s="72" cm="1">
        <f t="array" aca="1" ref="H6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3" s="96">
        <f ca="1">IF(Table2[[#This Row],[Team]]="FA",0,Table2[[#This Row],[Pts/G]]*(1-Table2[[#This Row],[% Pos Overlap]]))</f>
        <v>31.548780487804876</v>
      </c>
      <c r="J63" s="72" cm="1">
        <f t="array" aca="1" ref="J63" ca="1">(INDIRECT(ADDRESS((_xlfn.XMATCH(Table2[[#This Row],[Team]],Schedule!$A$1:$A$33)),5,1,1,"Sched Overlap")))</f>
        <v>0.66422466422466431</v>
      </c>
      <c r="K63" s="92" cm="1">
        <f t="array" aca="1" ref="K6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3" s="95">
        <f ca="1">IF(Table2[[#This Row],[Team]]="FA",0,Table2[[#This Row],[Pts/G]]*(Table2[[#This Row],[Games Playable]]/82))</f>
        <v>31.548780487804876</v>
      </c>
      <c r="M63" s="95" cm="1">
        <f t="array" aca="1" ref="M63" ca="1">Table2[[#This Row],[Playable x Score]]*_xlfn.IFS(Table2[[#This Row],[Pos]]="D",assumptions!$B$15,Table2[[#This Row],[Pos]]="F", assumptions!$B$14,Table2[[#This Row],[Pos]]="G",assumptions!$B$16)</f>
        <v>31.548780487804876</v>
      </c>
    </row>
    <row r="64" spans="1:13" x14ac:dyDescent="0.3">
      <c r="A64">
        <f>'score estimates'!$A64</f>
        <v>61</v>
      </c>
      <c r="B64" t="str">
        <f>'score estimates'!$B64</f>
        <v>Jack Eichel</v>
      </c>
      <c r="C64" t="str">
        <f>'score estimates'!$D64</f>
        <v>F</v>
      </c>
      <c r="D64" t="str">
        <f>'score estimates'!$C64</f>
        <v>VGK</v>
      </c>
      <c r="E64" s="75">
        <f>'score estimates'!$F64</f>
        <v>32.743902439024389</v>
      </c>
      <c r="F64" s="71">
        <f>'score estimates'!$G64</f>
        <v>62</v>
      </c>
      <c r="G64" s="71" t="s">
        <v>983</v>
      </c>
      <c r="H64" s="72" cm="1">
        <f t="array" aca="1" ref="H6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4" s="96">
        <f ca="1">IF(Table2[[#This Row],[Team]]="FA",0,Table2[[#This Row],[Pts/G]]*(1-Table2[[#This Row],[% Pos Overlap]]))</f>
        <v>32.743902439024389</v>
      </c>
      <c r="J64" s="72" cm="1">
        <f t="array" aca="1" ref="J64" ca="1">(INDIRECT(ADDRESS((_xlfn.XMATCH(Table2[[#This Row],[Team]],Schedule!$A$1:$A$33)),5,1,1,"Sched Overlap")))</f>
        <v>0.66992266992266991</v>
      </c>
      <c r="K64" s="92" cm="1">
        <f t="array" aca="1" ref="K6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4" s="95">
        <f ca="1">IF(Table2[[#This Row],[Team]]="FA",0,Table2[[#This Row],[Pts/G]]*(Table2[[#This Row],[Games Playable]]/82))</f>
        <v>32.743902439024389</v>
      </c>
      <c r="M64" s="95" cm="1">
        <f t="array" aca="1" ref="M64" ca="1">Table2[[#This Row],[Playable x Score]]*_xlfn.IFS(Table2[[#This Row],[Pos]]="D",assumptions!$B$15,Table2[[#This Row],[Pos]]="F", assumptions!$B$14,Table2[[#This Row],[Pos]]="G",assumptions!$B$16)</f>
        <v>32.743902439024389</v>
      </c>
    </row>
    <row r="65" spans="1:13" x14ac:dyDescent="0.3">
      <c r="A65">
        <f>'score estimates'!$A65</f>
        <v>62</v>
      </c>
      <c r="B65" t="str">
        <f>'score estimates'!$B65</f>
        <v>Nazem Kadri</v>
      </c>
      <c r="C65" t="str">
        <f>'score estimates'!$D65</f>
        <v>F</v>
      </c>
      <c r="D65" t="str">
        <f>'score estimates'!$C65</f>
        <v>CGY</v>
      </c>
      <c r="E65" s="75">
        <f>'score estimates'!$F65</f>
        <v>33.487804878048777</v>
      </c>
      <c r="F65" s="71">
        <f>'score estimates'!$G65</f>
        <v>54</v>
      </c>
      <c r="G65" s="71" t="s">
        <v>983</v>
      </c>
      <c r="H65" s="72" cm="1">
        <f t="array" aca="1" ref="H6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5" s="96">
        <f ca="1">IF(Table2[[#This Row],[Team]]="FA",0,Table2[[#This Row],[Pts/G]]*(1-Table2[[#This Row],[% Pos Overlap]]))</f>
        <v>33.487804878048777</v>
      </c>
      <c r="J65" s="72" cm="1">
        <f t="array" aca="1" ref="J65" ca="1">(INDIRECT(ADDRESS((_xlfn.XMATCH(Table2[[#This Row],[Team]],Schedule!$A$1:$A$33)),5,1,1,"Sched Overlap")))</f>
        <v>0.63003663003663002</v>
      </c>
      <c r="K65" s="92" cm="1">
        <f t="array" aca="1" ref="K6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5" s="95">
        <f ca="1">IF(Table2[[#This Row],[Team]]="FA",0,Table2[[#This Row],[Pts/G]]*(Table2[[#This Row],[Games Playable]]/82))</f>
        <v>33.487804878048777</v>
      </c>
      <c r="M65" s="95" cm="1">
        <f t="array" aca="1" ref="M65" ca="1">Table2[[#This Row],[Playable x Score]]*_xlfn.IFS(Table2[[#This Row],[Pos]]="D",assumptions!$B$15,Table2[[#This Row],[Pos]]="F", assumptions!$B$14,Table2[[#This Row],[Pos]]="G",assumptions!$B$16)</f>
        <v>33.487804878048777</v>
      </c>
    </row>
    <row r="66" spans="1:13" x14ac:dyDescent="0.3">
      <c r="A66">
        <f>'score estimates'!$A66</f>
        <v>63</v>
      </c>
      <c r="B66" t="str">
        <f>'score estimates'!$B66</f>
        <v>Mats Zuccarello</v>
      </c>
      <c r="C66" t="str">
        <f>'score estimates'!$D66</f>
        <v>F</v>
      </c>
      <c r="D66" t="str">
        <f>'score estimates'!$C66</f>
        <v>MIN</v>
      </c>
      <c r="E66" s="75">
        <f>'score estimates'!$F66</f>
        <v>30.414634146341463</v>
      </c>
      <c r="F66" s="71">
        <f>'score estimates'!$G66</f>
        <v>84</v>
      </c>
      <c r="G66" s="71" t="s">
        <v>983</v>
      </c>
      <c r="H66" s="72" cm="1">
        <f t="array" aca="1" ref="H6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6" s="96">
        <f ca="1">IF(Table2[[#This Row],[Team]]="FA",0,Table2[[#This Row],[Pts/G]]*(1-Table2[[#This Row],[% Pos Overlap]]))</f>
        <v>30.414634146341463</v>
      </c>
      <c r="J66" s="72" cm="1">
        <f t="array" aca="1" ref="J66" ca="1">(INDIRECT(ADDRESS((_xlfn.XMATCH(Table2[[#This Row],[Team]],Schedule!$A$1:$A$33)),5,1,1,"Sched Overlap")))</f>
        <v>0.62108262108262113</v>
      </c>
      <c r="K66" s="92" cm="1">
        <f t="array" aca="1" ref="K6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6" s="95">
        <f ca="1">IF(Table2[[#This Row],[Team]]="FA",0,Table2[[#This Row],[Pts/G]]*(Table2[[#This Row],[Games Playable]]/82))</f>
        <v>30.414634146341463</v>
      </c>
      <c r="M66" s="95" cm="1">
        <f t="array" aca="1" ref="M66" ca="1">Table2[[#This Row],[Playable x Score]]*_xlfn.IFS(Table2[[#This Row],[Pos]]="D",assumptions!$B$15,Table2[[#This Row],[Pos]]="F", assumptions!$B$14,Table2[[#This Row],[Pos]]="G",assumptions!$B$16)</f>
        <v>30.414634146341463</v>
      </c>
    </row>
    <row r="67" spans="1:13" x14ac:dyDescent="0.3">
      <c r="A67">
        <f>'score estimates'!$A67</f>
        <v>64</v>
      </c>
      <c r="B67" t="str">
        <f>'score estimates'!$B67</f>
        <v>Ryan O'Reilly</v>
      </c>
      <c r="C67" t="str">
        <f>'score estimates'!$D67</f>
        <v>F</v>
      </c>
      <c r="D67" t="str">
        <f>'score estimates'!$C67</f>
        <v>STL</v>
      </c>
      <c r="E67" s="75">
        <f>'score estimates'!$F67</f>
        <v>30.560975609756099</v>
      </c>
      <c r="F67" s="71">
        <f>'score estimates'!$G67</f>
        <v>80</v>
      </c>
      <c r="G67" s="71" t="s">
        <v>983</v>
      </c>
      <c r="H67" s="72" cm="1">
        <f t="array" aca="1" ref="H6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7" s="96">
        <f ca="1">IF(Table2[[#This Row],[Team]]="FA",0,Table2[[#This Row],[Pts/G]]*(1-Table2[[#This Row],[% Pos Overlap]]))</f>
        <v>30.560975609756099</v>
      </c>
      <c r="J67" s="72" cm="1">
        <f t="array" aca="1" ref="J67" ca="1">(INDIRECT(ADDRESS((_xlfn.XMATCH(Table2[[#This Row],[Team]],Schedule!$A$1:$A$33)),5,1,1,"Sched Overlap")))</f>
        <v>0.65120065120065118</v>
      </c>
      <c r="K67" s="92" cm="1">
        <f t="array" aca="1" ref="K6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7" s="95">
        <f ca="1">IF(Table2[[#This Row],[Team]]="FA",0,Table2[[#This Row],[Pts/G]]*(Table2[[#This Row],[Games Playable]]/82))</f>
        <v>30.560975609756099</v>
      </c>
      <c r="M67" s="95" cm="1">
        <f t="array" aca="1" ref="M67" ca="1">Table2[[#This Row],[Playable x Score]]*_xlfn.IFS(Table2[[#This Row],[Pos]]="D",assumptions!$B$15,Table2[[#This Row],[Pos]]="F", assumptions!$B$14,Table2[[#This Row],[Pos]]="G",assumptions!$B$16)</f>
        <v>30.560975609756099</v>
      </c>
    </row>
    <row r="68" spans="1:13" x14ac:dyDescent="0.3">
      <c r="A68">
        <f>'score estimates'!$A68</f>
        <v>65</v>
      </c>
      <c r="B68" t="str">
        <f>'score estimates'!$B68</f>
        <v>Kris Letang</v>
      </c>
      <c r="C68" t="str">
        <f>'score estimates'!$D68</f>
        <v>D</v>
      </c>
      <c r="D68" t="str">
        <f>'score estimates'!$C68</f>
        <v>PIT</v>
      </c>
      <c r="E68" s="75">
        <f>'score estimates'!$F68</f>
        <v>35.158536585365852</v>
      </c>
      <c r="F68" s="71">
        <f>'score estimates'!$G68</f>
        <v>45</v>
      </c>
      <c r="G68" s="71" t="s">
        <v>983</v>
      </c>
      <c r="H68" s="72" cm="1">
        <f t="array" aca="1" ref="H6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8" s="96">
        <f ca="1">IF(Table2[[#This Row],[Team]]="FA",0,Table2[[#This Row],[Pts/G]]*(1-Table2[[#This Row],[% Pos Overlap]]))</f>
        <v>35.158536585365852</v>
      </c>
      <c r="J68" s="72" cm="1">
        <f t="array" aca="1" ref="J68" ca="1">(INDIRECT(ADDRESS((_xlfn.XMATCH(Table2[[#This Row],[Team]],Schedule!$A$1:$A$33)),5,1,1,"Sched Overlap")))</f>
        <v>0.63492063492063477</v>
      </c>
      <c r="K68" s="92" cm="1">
        <f t="array" aca="1" ref="K6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8" s="95">
        <f ca="1">IF(Table2[[#This Row],[Team]]="FA",0,Table2[[#This Row],[Pts/G]]*(Table2[[#This Row],[Games Playable]]/82))</f>
        <v>35.158536585365852</v>
      </c>
      <c r="M68" s="95" cm="1">
        <f t="array" aca="1" ref="M68" ca="1">Table2[[#This Row],[Playable x Score]]*_xlfn.IFS(Table2[[#This Row],[Pos]]="D",assumptions!$B$15,Table2[[#This Row],[Pos]]="F", assumptions!$B$14,Table2[[#This Row],[Pos]]="G",assumptions!$B$16)</f>
        <v>43.948170731707314</v>
      </c>
    </row>
    <row r="69" spans="1:13" x14ac:dyDescent="0.3">
      <c r="A69">
        <f>'score estimates'!$A69</f>
        <v>66</v>
      </c>
      <c r="B69" t="str">
        <f>'score estimates'!$B69</f>
        <v>Roope Hintz</v>
      </c>
      <c r="C69" t="str">
        <f>'score estimates'!$D69</f>
        <v>F</v>
      </c>
      <c r="D69" t="str">
        <f>'score estimates'!$C69</f>
        <v>DAL</v>
      </c>
      <c r="E69" s="75">
        <f>'score estimates'!$F69</f>
        <v>33.378048780487802</v>
      </c>
      <c r="F69" s="71">
        <f>'score estimates'!$G69</f>
        <v>56</v>
      </c>
      <c r="G69" s="71" t="s">
        <v>983</v>
      </c>
      <c r="H69" s="72" cm="1">
        <f t="array" aca="1" ref="H6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9" s="96">
        <f ca="1">IF(Table2[[#This Row],[Team]]="FA",0,Table2[[#This Row],[Pts/G]]*(1-Table2[[#This Row],[% Pos Overlap]]))</f>
        <v>33.378048780487802</v>
      </c>
      <c r="J69" s="72" cm="1">
        <f t="array" aca="1" ref="J69" ca="1">(INDIRECT(ADDRESS((_xlfn.XMATCH(Table2[[#This Row],[Team]],Schedule!$A$1:$A$33)),5,1,1,"Sched Overlap")))</f>
        <v>0.65364265364265373</v>
      </c>
      <c r="K69" s="92" cm="1">
        <f t="array" aca="1" ref="K6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9" s="95">
        <f ca="1">IF(Table2[[#This Row],[Team]]="FA",0,Table2[[#This Row],[Pts/G]]*(Table2[[#This Row],[Games Playable]]/82))</f>
        <v>33.378048780487802</v>
      </c>
      <c r="M69" s="95" cm="1">
        <f t="array" aca="1" ref="M69" ca="1">Table2[[#This Row],[Playable x Score]]*_xlfn.IFS(Table2[[#This Row],[Pos]]="D",assumptions!$B$15,Table2[[#This Row],[Pos]]="F", assumptions!$B$14,Table2[[#This Row],[Pos]]="G",assumptions!$B$16)</f>
        <v>33.378048780487802</v>
      </c>
    </row>
    <row r="70" spans="1:13" x14ac:dyDescent="0.3">
      <c r="A70">
        <f>'score estimates'!$A70</f>
        <v>67</v>
      </c>
      <c r="B70" t="str">
        <f>'score estimates'!$B70</f>
        <v>Clayton Keller</v>
      </c>
      <c r="C70" t="str">
        <f>'score estimates'!$D70</f>
        <v>F</v>
      </c>
      <c r="D70" t="str">
        <f>'score estimates'!$C70</f>
        <v>ARI</v>
      </c>
      <c r="E70" s="75">
        <f>'score estimates'!$F70</f>
        <v>29.670731707317074</v>
      </c>
      <c r="F70" s="71">
        <f>'score estimates'!$G70</f>
        <v>92</v>
      </c>
      <c r="G70" s="71" t="s">
        <v>983</v>
      </c>
      <c r="H70" s="72" cm="1">
        <f t="array" aca="1" ref="H7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0" s="96">
        <f ca="1">IF(Table2[[#This Row],[Team]]="FA",0,Table2[[#This Row],[Pts/G]]*(1-Table2[[#This Row],[% Pos Overlap]]))</f>
        <v>29.670731707317074</v>
      </c>
      <c r="J70" s="72" cm="1">
        <f t="array" aca="1" ref="J70" ca="1">(INDIRECT(ADDRESS((_xlfn.XMATCH(Table2[[#This Row],[Team]],Schedule!$A$1:$A$33)),5,1,1,"Sched Overlap")))</f>
        <v>0.63247863247863279</v>
      </c>
      <c r="K70" s="92" cm="1">
        <f t="array" aca="1" ref="K7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0" s="95">
        <f ca="1">IF(Table2[[#This Row],[Team]]="FA",0,Table2[[#This Row],[Pts/G]]*(Table2[[#This Row],[Games Playable]]/82))</f>
        <v>29.670731707317074</v>
      </c>
      <c r="M70" s="95" cm="1">
        <f t="array" aca="1" ref="M70" ca="1">Table2[[#This Row],[Playable x Score]]*_xlfn.IFS(Table2[[#This Row],[Pos]]="D",assumptions!$B$15,Table2[[#This Row],[Pos]]="F", assumptions!$B$14,Table2[[#This Row],[Pos]]="G",assumptions!$B$16)</f>
        <v>29.670731707317074</v>
      </c>
    </row>
    <row r="71" spans="1:13" x14ac:dyDescent="0.3">
      <c r="A71">
        <f>'score estimates'!$A71</f>
        <v>68</v>
      </c>
      <c r="B71" t="str">
        <f>'score estimates'!$B71</f>
        <v>Trevor Zegras</v>
      </c>
      <c r="C71" t="str">
        <f>'score estimates'!$D71</f>
        <v>F</v>
      </c>
      <c r="D71" t="str">
        <f>'score estimates'!$C71</f>
        <v>ANH</v>
      </c>
      <c r="E71" s="75">
        <f>'score estimates'!$F71</f>
        <v>28.426829268292682</v>
      </c>
      <c r="F71" s="71">
        <f>'score estimates'!$G71</f>
        <v>107</v>
      </c>
      <c r="G71" s="71" t="s">
        <v>983</v>
      </c>
      <c r="H71" s="72" cm="1">
        <f t="array" aca="1" ref="H7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1" s="96">
        <f ca="1">IF(Table2[[#This Row],[Team]]="FA",0,Table2[[#This Row],[Pts/G]]*(1-Table2[[#This Row],[% Pos Overlap]]))</f>
        <v>28.426829268292682</v>
      </c>
      <c r="J71" s="72" cm="1">
        <f t="array" aca="1" ref="J71" ca="1">(INDIRECT(ADDRESS((_xlfn.XMATCH(Table2[[#This Row],[Team]],Schedule!$A$1:$A$33)),5,1,1,"Sched Overlap")))</f>
        <v>0.56410256410256399</v>
      </c>
      <c r="K71" s="92" cm="1">
        <f t="array" aca="1" ref="K7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1" s="95">
        <f ca="1">IF(Table2[[#This Row],[Team]]="FA",0,Table2[[#This Row],[Pts/G]]*(Table2[[#This Row],[Games Playable]]/82))</f>
        <v>28.426829268292682</v>
      </c>
      <c r="M71" s="95" cm="1">
        <f t="array" aca="1" ref="M71" ca="1">Table2[[#This Row],[Playable x Score]]*_xlfn.IFS(Table2[[#This Row],[Pos]]="D",assumptions!$B$15,Table2[[#This Row],[Pos]]="F", assumptions!$B$14,Table2[[#This Row],[Pos]]="G",assumptions!$B$16)</f>
        <v>28.426829268292682</v>
      </c>
    </row>
    <row r="72" spans="1:13" x14ac:dyDescent="0.3">
      <c r="A72">
        <f>'score estimates'!$A72</f>
        <v>69</v>
      </c>
      <c r="B72" t="str">
        <f>'score estimates'!$B72</f>
        <v>Evgeni Malkin</v>
      </c>
      <c r="C72" t="str">
        <f>'score estimates'!$D72</f>
        <v>F</v>
      </c>
      <c r="D72" t="str">
        <f>'score estimates'!$C72</f>
        <v>PIT</v>
      </c>
      <c r="E72" s="75">
        <f>'score estimates'!$F72</f>
        <v>30.024390243902438</v>
      </c>
      <c r="F72" s="71">
        <f>'score estimates'!$G72</f>
        <v>87</v>
      </c>
      <c r="G72" s="71" t="s">
        <v>983</v>
      </c>
      <c r="H72" s="72" cm="1">
        <f t="array" aca="1" ref="H7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2" s="96">
        <f ca="1">IF(Table2[[#This Row],[Team]]="FA",0,Table2[[#This Row],[Pts/G]]*(1-Table2[[#This Row],[% Pos Overlap]]))</f>
        <v>30.024390243902438</v>
      </c>
      <c r="J72" s="72" cm="1">
        <f t="array" aca="1" ref="J72" ca="1">(INDIRECT(ADDRESS((_xlfn.XMATCH(Table2[[#This Row],[Team]],Schedule!$A$1:$A$33)),5,1,1,"Sched Overlap")))</f>
        <v>0.63492063492063477</v>
      </c>
      <c r="K72" s="92" cm="1">
        <f t="array" aca="1" ref="K7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2" s="95">
        <f ca="1">IF(Table2[[#This Row],[Team]]="FA",0,Table2[[#This Row],[Pts/G]]*(Table2[[#This Row],[Games Playable]]/82))</f>
        <v>30.024390243902438</v>
      </c>
      <c r="M72" s="95" cm="1">
        <f t="array" aca="1" ref="M72" ca="1">Table2[[#This Row],[Playable x Score]]*_xlfn.IFS(Table2[[#This Row],[Pos]]="D",assumptions!$B$15,Table2[[#This Row],[Pos]]="F", assumptions!$B$14,Table2[[#This Row],[Pos]]="G",assumptions!$B$16)</f>
        <v>30.024390243902438</v>
      </c>
    </row>
    <row r="73" spans="1:13" x14ac:dyDescent="0.3">
      <c r="A73">
        <f>'score estimates'!$A73</f>
        <v>70</v>
      </c>
      <c r="B73" t="str">
        <f>'score estimates'!$B73</f>
        <v>Michael Bunting</v>
      </c>
      <c r="C73" t="str">
        <f>'score estimates'!$D73</f>
        <v>F</v>
      </c>
      <c r="D73" t="str">
        <f>'score estimates'!$C73</f>
        <v>TOR</v>
      </c>
      <c r="E73" s="75">
        <f>'score estimates'!$F73</f>
        <v>32.378048780487802</v>
      </c>
      <c r="F73" s="71">
        <f>'score estimates'!$G73</f>
        <v>66</v>
      </c>
      <c r="G73" s="71" t="s">
        <v>983</v>
      </c>
      <c r="H73" s="72" cm="1">
        <f t="array" aca="1" ref="H7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3" s="96">
        <f ca="1">IF(Table2[[#This Row],[Team]]="FA",0,Table2[[#This Row],[Pts/G]]*(1-Table2[[#This Row],[% Pos Overlap]]))</f>
        <v>32.378048780487802</v>
      </c>
      <c r="J73" s="72" cm="1">
        <f t="array" aca="1" ref="J73" ca="1">(INDIRECT(ADDRESS((_xlfn.XMATCH(Table2[[#This Row],[Team]],Schedule!$A$1:$A$33)),5,1,1,"Sched Overlap")))</f>
        <v>0.62922262922262928</v>
      </c>
      <c r="K73" s="92" cm="1">
        <f t="array" aca="1" ref="K7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3" s="95">
        <f ca="1">IF(Table2[[#This Row],[Team]]="FA",0,Table2[[#This Row],[Pts/G]]*(Table2[[#This Row],[Games Playable]]/82))</f>
        <v>32.378048780487802</v>
      </c>
      <c r="M73" s="95" cm="1">
        <f t="array" aca="1" ref="M73" ca="1">Table2[[#This Row],[Playable x Score]]*_xlfn.IFS(Table2[[#This Row],[Pos]]="D",assumptions!$B$15,Table2[[#This Row],[Pos]]="F", assumptions!$B$14,Table2[[#This Row],[Pos]]="G",assumptions!$B$16)</f>
        <v>32.378048780487802</v>
      </c>
    </row>
    <row r="74" spans="1:13" x14ac:dyDescent="0.3">
      <c r="A74">
        <f>'score estimates'!$A74</f>
        <v>71</v>
      </c>
      <c r="B74" t="str">
        <f>'score estimates'!$B74</f>
        <v>Nick Suzuki</v>
      </c>
      <c r="C74" t="str">
        <f>'score estimates'!$D74</f>
        <v>F</v>
      </c>
      <c r="D74" t="str">
        <f>'score estimates'!$C74</f>
        <v>MON</v>
      </c>
      <c r="E74" s="75">
        <f>'score estimates'!$F74</f>
        <v>27.682926829268293</v>
      </c>
      <c r="F74" s="71">
        <f>'score estimates'!$G74</f>
        <v>115</v>
      </c>
      <c r="G74" s="71" t="s">
        <v>983</v>
      </c>
      <c r="H74" s="72" cm="1">
        <f t="array" aca="1" ref="H7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4" s="96">
        <f ca="1">IF(Table2[[#This Row],[Team]]="FA",0,Table2[[#This Row],[Pts/G]]*(1-Table2[[#This Row],[% Pos Overlap]]))</f>
        <v>27.682926829268293</v>
      </c>
      <c r="J74" s="72" cm="1">
        <f t="array" aca="1" ref="J74" ca="1">(INDIRECT(ADDRESS((_xlfn.XMATCH(Table2[[#This Row],[Team]],Schedule!$A$1:$A$33)),5,1,1,"Sched Overlap")))</f>
        <v>0.66666666666666685</v>
      </c>
      <c r="K74" s="92" cm="1">
        <f t="array" aca="1" ref="K7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4" s="95">
        <f ca="1">IF(Table2[[#This Row],[Team]]="FA",0,Table2[[#This Row],[Pts/G]]*(Table2[[#This Row],[Games Playable]]/82))</f>
        <v>27.682926829268293</v>
      </c>
      <c r="M74" s="95" cm="1">
        <f t="array" aca="1" ref="M74" ca="1">Table2[[#This Row],[Playable x Score]]*_xlfn.IFS(Table2[[#This Row],[Pos]]="D",assumptions!$B$15,Table2[[#This Row],[Pos]]="F", assumptions!$B$14,Table2[[#This Row],[Pos]]="G",assumptions!$B$16)</f>
        <v>27.682926829268293</v>
      </c>
    </row>
    <row r="75" spans="1:13" x14ac:dyDescent="0.3">
      <c r="A75">
        <f>'score estimates'!$A75</f>
        <v>72</v>
      </c>
      <c r="B75" t="str">
        <f>'score estimates'!$B75</f>
        <v>Blake Wheeler</v>
      </c>
      <c r="C75" t="str">
        <f>'score estimates'!$D75</f>
        <v>F</v>
      </c>
      <c r="D75" t="str">
        <f>'score estimates'!$C75</f>
        <v>WPG</v>
      </c>
      <c r="E75" s="75">
        <f>'score estimates'!$F75</f>
        <v>26.26829268292683</v>
      </c>
      <c r="F75" s="71">
        <f>'score estimates'!$G75</f>
        <v>135</v>
      </c>
      <c r="G75" s="71" t="s">
        <v>983</v>
      </c>
      <c r="H75" s="72" cm="1">
        <f t="array" aca="1" ref="H7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5" s="96">
        <f ca="1">IF(Table2[[#This Row],[Team]]="FA",0,Table2[[#This Row],[Pts/G]]*(1-Table2[[#This Row],[% Pos Overlap]]))</f>
        <v>26.26829268292683</v>
      </c>
      <c r="J75" s="72" cm="1">
        <f t="array" aca="1" ref="J75" ca="1">(INDIRECT(ADDRESS((_xlfn.XMATCH(Table2[[#This Row],[Team]],Schedule!$A$1:$A$33)),5,1,1,"Sched Overlap")))</f>
        <v>0.61212861212861214</v>
      </c>
      <c r="K75" s="92" cm="1">
        <f t="array" aca="1" ref="K7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5" s="95">
        <f ca="1">IF(Table2[[#This Row],[Team]]="FA",0,Table2[[#This Row],[Pts/G]]*(Table2[[#This Row],[Games Playable]]/82))</f>
        <v>26.26829268292683</v>
      </c>
      <c r="M75" s="95" cm="1">
        <f t="array" aca="1" ref="M75" ca="1">Table2[[#This Row],[Playable x Score]]*_xlfn.IFS(Table2[[#This Row],[Pos]]="D",assumptions!$B$15,Table2[[#This Row],[Pos]]="F", assumptions!$B$14,Table2[[#This Row],[Pos]]="G",assumptions!$B$16)</f>
        <v>26.26829268292683</v>
      </c>
    </row>
    <row r="76" spans="1:13" x14ac:dyDescent="0.3">
      <c r="A76">
        <f>'score estimates'!$A76</f>
        <v>73</v>
      </c>
      <c r="B76" t="str">
        <f>'score estimates'!$B76</f>
        <v>Morgan Rielly</v>
      </c>
      <c r="C76" t="str">
        <f>'score estimates'!$D76</f>
        <v>D</v>
      </c>
      <c r="D76" t="str">
        <f>'score estimates'!$C76</f>
        <v>TOR</v>
      </c>
      <c r="E76" s="75">
        <f>'score estimates'!$F76</f>
        <v>31.792682926829269</v>
      </c>
      <c r="F76" s="71">
        <f>'score estimates'!$G76</f>
        <v>70</v>
      </c>
      <c r="G76" s="71" t="s">
        <v>983</v>
      </c>
      <c r="H76" s="72" cm="1">
        <f t="array" aca="1" ref="H7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6" s="96">
        <f ca="1">IF(Table2[[#This Row],[Team]]="FA",0,Table2[[#This Row],[Pts/G]]*(1-Table2[[#This Row],[% Pos Overlap]]))</f>
        <v>31.792682926829269</v>
      </c>
      <c r="J76" s="72" cm="1">
        <f t="array" aca="1" ref="J76" ca="1">(INDIRECT(ADDRESS((_xlfn.XMATCH(Table2[[#This Row],[Team]],Schedule!$A$1:$A$33)),5,1,1,"Sched Overlap")))</f>
        <v>0.62922262922262928</v>
      </c>
      <c r="K76" s="92" cm="1">
        <f t="array" aca="1" ref="K7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6" s="95">
        <f ca="1">IF(Table2[[#This Row],[Team]]="FA",0,Table2[[#This Row],[Pts/G]]*(Table2[[#This Row],[Games Playable]]/82))</f>
        <v>31.792682926829269</v>
      </c>
      <c r="M76" s="95" cm="1">
        <f t="array" aca="1" ref="M76" ca="1">Table2[[#This Row],[Playable x Score]]*_xlfn.IFS(Table2[[#This Row],[Pos]]="D",assumptions!$B$15,Table2[[#This Row],[Pos]]="F", assumptions!$B$14,Table2[[#This Row],[Pos]]="G",assumptions!$B$16)</f>
        <v>39.740853658536587</v>
      </c>
    </row>
    <row r="77" spans="1:13" x14ac:dyDescent="0.3">
      <c r="A77">
        <f>'score estimates'!$A77</f>
        <v>74</v>
      </c>
      <c r="B77" t="str">
        <f>'score estimates'!$B77</f>
        <v>Mathew Barzal</v>
      </c>
      <c r="C77" t="str">
        <f>'score estimates'!$D77</f>
        <v>F</v>
      </c>
      <c r="D77" t="str">
        <f>'score estimates'!$C77</f>
        <v>NYI</v>
      </c>
      <c r="E77" s="75">
        <f>'score estimates'!$F77</f>
        <v>25.621951219512194</v>
      </c>
      <c r="F77" s="71">
        <f>'score estimates'!$G77</f>
        <v>149</v>
      </c>
      <c r="G77" s="71" t="s">
        <v>983</v>
      </c>
      <c r="H77" s="72" cm="1">
        <f t="array" aca="1" ref="H7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7" s="96">
        <f ca="1">IF(Table2[[#This Row],[Team]]="FA",0,Table2[[#This Row],[Pts/G]]*(1-Table2[[#This Row],[% Pos Overlap]]))</f>
        <v>25.621951219512194</v>
      </c>
      <c r="J77" s="72" cm="1">
        <f t="array" aca="1" ref="J77" ca="1">(INDIRECT(ADDRESS((_xlfn.XMATCH(Table2[[#This Row],[Team]],Schedule!$A$1:$A$33)),5,1,1,"Sched Overlap")))</f>
        <v>0.63166463166463194</v>
      </c>
      <c r="K77" s="92" cm="1">
        <f t="array" aca="1" ref="K7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7" s="95">
        <f ca="1">IF(Table2[[#This Row],[Team]]="FA",0,Table2[[#This Row],[Pts/G]]*(Table2[[#This Row],[Games Playable]]/82))</f>
        <v>25.621951219512194</v>
      </c>
      <c r="M77" s="95" cm="1">
        <f t="array" aca="1" ref="M77" ca="1">Table2[[#This Row],[Playable x Score]]*_xlfn.IFS(Table2[[#This Row],[Pos]]="D",assumptions!$B$15,Table2[[#This Row],[Pos]]="F", assumptions!$B$14,Table2[[#This Row],[Pos]]="G",assumptions!$B$16)</f>
        <v>25.621951219512194</v>
      </c>
    </row>
    <row r="78" spans="1:13" x14ac:dyDescent="0.3">
      <c r="A78">
        <f>'score estimates'!$A78</f>
        <v>75</v>
      </c>
      <c r="B78" t="str">
        <f>'score estimates'!$B78</f>
        <v>Teuvo Teravainen</v>
      </c>
      <c r="C78" t="str">
        <f>'score estimates'!$D78</f>
        <v>F</v>
      </c>
      <c r="D78" t="str">
        <f>'score estimates'!$C78</f>
        <v>CAR</v>
      </c>
      <c r="E78" s="75">
        <f>'score estimates'!$F78</f>
        <v>30.695121951219512</v>
      </c>
      <c r="F78" s="71">
        <f>'score estimates'!$G78</f>
        <v>79</v>
      </c>
      <c r="G78" s="71" t="s">
        <v>983</v>
      </c>
      <c r="H78" s="72" cm="1">
        <f t="array" aca="1" ref="H7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8" s="96">
        <f ca="1">IF(Table2[[#This Row],[Team]]="FA",0,Table2[[#This Row],[Pts/G]]*(1-Table2[[#This Row],[% Pos Overlap]]))</f>
        <v>30.695121951219512</v>
      </c>
      <c r="J78" s="72" cm="1">
        <f t="array" aca="1" ref="J78" ca="1">(INDIRECT(ADDRESS((_xlfn.XMATCH(Table2[[#This Row],[Team]],Schedule!$A$1:$A$33)),5,1,1,"Sched Overlap")))</f>
        <v>0.63247863247863245</v>
      </c>
      <c r="K78" s="92" cm="1">
        <f t="array" aca="1" ref="K7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8" s="95">
        <f ca="1">IF(Table2[[#This Row],[Team]]="FA",0,Table2[[#This Row],[Pts/G]]*(Table2[[#This Row],[Games Playable]]/82))</f>
        <v>30.695121951219512</v>
      </c>
      <c r="M78" s="95" cm="1">
        <f t="array" aca="1" ref="M78" ca="1">Table2[[#This Row],[Playable x Score]]*_xlfn.IFS(Table2[[#This Row],[Pos]]="D",assumptions!$B$15,Table2[[#This Row],[Pos]]="F", assumptions!$B$14,Table2[[#This Row],[Pos]]="G",assumptions!$B$16)</f>
        <v>30.695121951219512</v>
      </c>
    </row>
    <row r="79" spans="1:13" x14ac:dyDescent="0.3">
      <c r="A79">
        <f>'score estimates'!$A79</f>
        <v>76</v>
      </c>
      <c r="B79" t="str">
        <f>'score estimates'!$B79</f>
        <v>Jonathan Marchessault</v>
      </c>
      <c r="C79" t="str">
        <f>'score estimates'!$D79</f>
        <v>F</v>
      </c>
      <c r="D79" t="str">
        <f>'score estimates'!$C79</f>
        <v>VGK</v>
      </c>
      <c r="E79" s="75">
        <f>'score estimates'!$F79</f>
        <v>31.036585365853657</v>
      </c>
      <c r="F79" s="71">
        <f>'score estimates'!$G79</f>
        <v>77</v>
      </c>
      <c r="G79" s="71" t="s">
        <v>983</v>
      </c>
      <c r="H79" s="72" cm="1">
        <f t="array" aca="1" ref="H7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9" s="96">
        <f ca="1">IF(Table2[[#This Row],[Team]]="FA",0,Table2[[#This Row],[Pts/G]]*(1-Table2[[#This Row],[% Pos Overlap]]))</f>
        <v>31.036585365853657</v>
      </c>
      <c r="J79" s="72" cm="1">
        <f t="array" aca="1" ref="J79" ca="1">(INDIRECT(ADDRESS((_xlfn.XMATCH(Table2[[#This Row],[Team]],Schedule!$A$1:$A$33)),5,1,1,"Sched Overlap")))</f>
        <v>0.66992266992266991</v>
      </c>
      <c r="K79" s="92" cm="1">
        <f t="array" aca="1" ref="K7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9" s="95">
        <f ca="1">IF(Table2[[#This Row],[Team]]="FA",0,Table2[[#This Row],[Pts/G]]*(Table2[[#This Row],[Games Playable]]/82))</f>
        <v>31.036585365853657</v>
      </c>
      <c r="M79" s="95" cm="1">
        <f t="array" aca="1" ref="M79" ca="1">Table2[[#This Row],[Playable x Score]]*_xlfn.IFS(Table2[[#This Row],[Pos]]="D",assumptions!$B$15,Table2[[#This Row],[Pos]]="F", assumptions!$B$14,Table2[[#This Row],[Pos]]="G",assumptions!$B$16)</f>
        <v>31.036585365853657</v>
      </c>
    </row>
    <row r="80" spans="1:13" x14ac:dyDescent="0.3">
      <c r="A80">
        <f>'score estimates'!$A80</f>
        <v>77</v>
      </c>
      <c r="B80" t="str">
        <f>'score estimates'!$B80</f>
        <v>Pierre-Luc Dubois</v>
      </c>
      <c r="C80" t="str">
        <f>'score estimates'!$D80</f>
        <v>F</v>
      </c>
      <c r="D80" t="str">
        <f>'score estimates'!$C80</f>
        <v>WPG</v>
      </c>
      <c r="E80" s="75">
        <f>'score estimates'!$F80</f>
        <v>33.121951219512198</v>
      </c>
      <c r="F80" s="71">
        <f>'score estimates'!$G80</f>
        <v>58</v>
      </c>
      <c r="G80" s="71" t="s">
        <v>983</v>
      </c>
      <c r="H80" s="72" cm="1">
        <f t="array" aca="1" ref="H8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0" s="96">
        <f ca="1">IF(Table2[[#This Row],[Team]]="FA",0,Table2[[#This Row],[Pts/G]]*(1-Table2[[#This Row],[% Pos Overlap]]))</f>
        <v>33.121951219512198</v>
      </c>
      <c r="J80" s="72" cm="1">
        <f t="array" aca="1" ref="J80" ca="1">(INDIRECT(ADDRESS((_xlfn.XMATCH(Table2[[#This Row],[Team]],Schedule!$A$1:$A$33)),5,1,1,"Sched Overlap")))</f>
        <v>0.61212861212861214</v>
      </c>
      <c r="K80" s="92" cm="1">
        <f t="array" aca="1" ref="K8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0" s="95">
        <f ca="1">IF(Table2[[#This Row],[Team]]="FA",0,Table2[[#This Row],[Pts/G]]*(Table2[[#This Row],[Games Playable]]/82))</f>
        <v>33.121951219512198</v>
      </c>
      <c r="M80" s="95" cm="1">
        <f t="array" aca="1" ref="M80" ca="1">Table2[[#This Row],[Playable x Score]]*_xlfn.IFS(Table2[[#This Row],[Pos]]="D",assumptions!$B$15,Table2[[#This Row],[Pos]]="F", assumptions!$B$14,Table2[[#This Row],[Pos]]="G",assumptions!$B$16)</f>
        <v>33.121951219512198</v>
      </c>
    </row>
    <row r="81" spans="1:13" x14ac:dyDescent="0.3">
      <c r="A81">
        <f>'score estimates'!$A81</f>
        <v>78</v>
      </c>
      <c r="B81" t="str">
        <f>'score estimates'!$B81</f>
        <v>Tim Stutzle</v>
      </c>
      <c r="C81" t="str">
        <f>'score estimates'!$D81</f>
        <v>F</v>
      </c>
      <c r="D81" t="str">
        <f>'score estimates'!$C81</f>
        <v>OTT</v>
      </c>
      <c r="E81" s="75">
        <f>'score estimates'!$F81</f>
        <v>26.853658536585368</v>
      </c>
      <c r="F81" s="71">
        <f>'score estimates'!$G81</f>
        <v>123</v>
      </c>
      <c r="G81" s="71" t="s">
        <v>983</v>
      </c>
      <c r="H81" s="72" cm="1">
        <f t="array" aca="1" ref="H8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1" s="96">
        <f ca="1">IF(Table2[[#This Row],[Team]]="FA",0,Table2[[#This Row],[Pts/G]]*(1-Table2[[#This Row],[% Pos Overlap]]))</f>
        <v>26.853658536585368</v>
      </c>
      <c r="J81" s="72" cm="1">
        <f t="array" aca="1" ref="J81" ca="1">(INDIRECT(ADDRESS((_xlfn.XMATCH(Table2[[#This Row],[Team]],Schedule!$A$1:$A$33)),5,1,1,"Sched Overlap")))</f>
        <v>0.64306064306064303</v>
      </c>
      <c r="K81" s="92" cm="1">
        <f t="array" aca="1" ref="K8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1" s="95">
        <f ca="1">IF(Table2[[#This Row],[Team]]="FA",0,Table2[[#This Row],[Pts/G]]*(Table2[[#This Row],[Games Playable]]/82))</f>
        <v>26.853658536585368</v>
      </c>
      <c r="M81" s="95" cm="1">
        <f t="array" aca="1" ref="M81" ca="1">Table2[[#This Row],[Playable x Score]]*_xlfn.IFS(Table2[[#This Row],[Pos]]="D",assumptions!$B$15,Table2[[#This Row],[Pos]]="F", assumptions!$B$14,Table2[[#This Row],[Pos]]="G",assumptions!$B$16)</f>
        <v>26.853658536585368</v>
      </c>
    </row>
    <row r="82" spans="1:13" x14ac:dyDescent="0.3">
      <c r="A82">
        <f>'score estimates'!$A82</f>
        <v>79</v>
      </c>
      <c r="B82" t="str">
        <f>'score estimates'!$B82</f>
        <v>Lucas Raymond</v>
      </c>
      <c r="C82" t="str">
        <f>'score estimates'!$D82</f>
        <v>F</v>
      </c>
      <c r="D82" t="str">
        <f>'score estimates'!$C82</f>
        <v>DET</v>
      </c>
      <c r="E82" s="75">
        <f>'score estimates'!$F82</f>
        <v>24.304878048780488</v>
      </c>
      <c r="F82" s="71">
        <f>'score estimates'!$G82</f>
        <v>171</v>
      </c>
      <c r="G82" s="71" t="s">
        <v>983</v>
      </c>
      <c r="H82" s="72" cm="1">
        <f t="array" aca="1" ref="H8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2" s="96">
        <f ca="1">IF(Table2[[#This Row],[Team]]="FA",0,Table2[[#This Row],[Pts/G]]*(1-Table2[[#This Row],[% Pos Overlap]]))</f>
        <v>24.304878048780488</v>
      </c>
      <c r="J82" s="72" cm="1">
        <f t="array" aca="1" ref="J82" ca="1">(INDIRECT(ADDRESS((_xlfn.XMATCH(Table2[[#This Row],[Team]],Schedule!$A$1:$A$33)),5,1,1,"Sched Overlap")))</f>
        <v>0.64550264550264547</v>
      </c>
      <c r="K82" s="92" cm="1">
        <f t="array" aca="1" ref="K8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2" s="95">
        <f ca="1">IF(Table2[[#This Row],[Team]]="FA",0,Table2[[#This Row],[Pts/G]]*(Table2[[#This Row],[Games Playable]]/82))</f>
        <v>24.304878048780488</v>
      </c>
      <c r="M82" s="95" cm="1">
        <f t="array" aca="1" ref="M82" ca="1">Table2[[#This Row],[Playable x Score]]*_xlfn.IFS(Table2[[#This Row],[Pos]]="D",assumptions!$B$15,Table2[[#This Row],[Pos]]="F", assumptions!$B$14,Table2[[#This Row],[Pos]]="G",assumptions!$B$16)</f>
        <v>24.304878048780488</v>
      </c>
    </row>
    <row r="83" spans="1:13" x14ac:dyDescent="0.3">
      <c r="A83">
        <f>'score estimates'!$A83</f>
        <v>80</v>
      </c>
      <c r="B83" t="str">
        <f>'score estimates'!$B83</f>
        <v>Jakub Voracek</v>
      </c>
      <c r="C83" t="str">
        <f>'score estimates'!$D83</f>
        <v>F</v>
      </c>
      <c r="D83" t="str">
        <f>'score estimates'!$C83</f>
        <v>CLS</v>
      </c>
      <c r="E83" s="75">
        <f>'score estimates'!$F83</f>
        <v>25.451219512195124</v>
      </c>
      <c r="F83" s="71">
        <f>'score estimates'!$G83</f>
        <v>153</v>
      </c>
      <c r="G83" s="71" t="s">
        <v>983</v>
      </c>
      <c r="H83" s="72" cm="1">
        <f t="array" aca="1" ref="H8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3" s="96">
        <f ca="1">IF(Table2[[#This Row],[Team]]="FA",0,Table2[[#This Row],[Pts/G]]*(1-Table2[[#This Row],[% Pos Overlap]]))</f>
        <v>25.451219512195124</v>
      </c>
      <c r="J83" s="72" cm="1">
        <f t="array" aca="1" ref="J83" ca="1">(INDIRECT(ADDRESS((_xlfn.XMATCH(Table2[[#This Row],[Team]],Schedule!$A$1:$A$33)),5,1,1,"Sched Overlap")))</f>
        <v>0.64875864875864886</v>
      </c>
      <c r="K83" s="92" cm="1">
        <f t="array" aca="1" ref="K8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3" s="95">
        <f ca="1">IF(Table2[[#This Row],[Team]]="FA",0,Table2[[#This Row],[Pts/G]]*(Table2[[#This Row],[Games Playable]]/82))</f>
        <v>25.451219512195124</v>
      </c>
      <c r="M83" s="95" cm="1">
        <f t="array" aca="1" ref="M83" ca="1">Table2[[#This Row],[Playable x Score]]*_xlfn.IFS(Table2[[#This Row],[Pos]]="D",assumptions!$B$15,Table2[[#This Row],[Pos]]="F", assumptions!$B$14,Table2[[#This Row],[Pos]]="G",assumptions!$B$16)</f>
        <v>25.451219512195124</v>
      </c>
    </row>
    <row r="84" spans="1:13" x14ac:dyDescent="0.3">
      <c r="A84">
        <f>'score estimates'!$A84</f>
        <v>81</v>
      </c>
      <c r="B84" t="str">
        <f>'score estimates'!$B84</f>
        <v>Chris Kreider</v>
      </c>
      <c r="C84" t="str">
        <f>'score estimates'!$D84</f>
        <v>F</v>
      </c>
      <c r="D84" t="str">
        <f>'score estimates'!$C84</f>
        <v>NYR</v>
      </c>
      <c r="E84" s="75">
        <f>'score estimates'!$F84</f>
        <v>34.231707317073173</v>
      </c>
      <c r="F84" s="71">
        <f>'score estimates'!$G84</f>
        <v>49</v>
      </c>
      <c r="G84" s="71" t="s">
        <v>983</v>
      </c>
      <c r="H84" s="72" cm="1">
        <f t="array" aca="1" ref="H8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4" s="96">
        <f ca="1">IF(Table2[[#This Row],[Team]]="FA",0,Table2[[#This Row],[Pts/G]]*(1-Table2[[#This Row],[% Pos Overlap]]))</f>
        <v>34.231707317073173</v>
      </c>
      <c r="J84" s="72" cm="1">
        <f t="array" aca="1" ref="J84" ca="1">(INDIRECT(ADDRESS((_xlfn.XMATCH(Table2[[#This Row],[Team]],Schedule!$A$1:$A$33)),5,1,1,"Sched Overlap")))</f>
        <v>0.60236060236060229</v>
      </c>
      <c r="K84" s="92" cm="1">
        <f t="array" aca="1" ref="K8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4" s="95">
        <f ca="1">IF(Table2[[#This Row],[Team]]="FA",0,Table2[[#This Row],[Pts/G]]*(Table2[[#This Row],[Games Playable]]/82))</f>
        <v>34.231707317073173</v>
      </c>
      <c r="M84" s="95" cm="1">
        <f t="array" aca="1" ref="M84" ca="1">Table2[[#This Row],[Playable x Score]]*_xlfn.IFS(Table2[[#This Row],[Pos]]="D",assumptions!$B$15,Table2[[#This Row],[Pos]]="F", assumptions!$B$14,Table2[[#This Row],[Pos]]="G",assumptions!$B$16)</f>
        <v>34.231707317073173</v>
      </c>
    </row>
    <row r="85" spans="1:13" x14ac:dyDescent="0.3">
      <c r="A85">
        <f>'score estimates'!$A85</f>
        <v>82</v>
      </c>
      <c r="B85" t="str">
        <f>'score estimates'!$B85</f>
        <v>Ryan Nugent-Hopkins</v>
      </c>
      <c r="C85" t="str">
        <f>'score estimates'!$D85</f>
        <v>F</v>
      </c>
      <c r="D85" t="str">
        <f>'score estimates'!$C85</f>
        <v>EDM</v>
      </c>
      <c r="E85" s="75">
        <f>'score estimates'!$F85</f>
        <v>27.585365853658537</v>
      </c>
      <c r="F85" s="71">
        <f>'score estimates'!$G85</f>
        <v>116</v>
      </c>
      <c r="G85" s="71" t="s">
        <v>983</v>
      </c>
      <c r="H85" s="72" cm="1">
        <f t="array" aca="1" ref="H8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5" s="96">
        <f ca="1">IF(Table2[[#This Row],[Team]]="FA",0,Table2[[#This Row],[Pts/G]]*(1-Table2[[#This Row],[% Pos Overlap]]))</f>
        <v>27.585365853658537</v>
      </c>
      <c r="J85" s="72" cm="1">
        <f t="array" aca="1" ref="J85" ca="1">(INDIRECT(ADDRESS((_xlfn.XMATCH(Table2[[#This Row],[Team]],Schedule!$A$1:$A$33)),5,1,1,"Sched Overlap")))</f>
        <v>0.62026862026862029</v>
      </c>
      <c r="K85" s="92" cm="1">
        <f t="array" aca="1" ref="K8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5" s="95">
        <f ca="1">IF(Table2[[#This Row],[Team]]="FA",0,Table2[[#This Row],[Pts/G]]*(Table2[[#This Row],[Games Playable]]/82))</f>
        <v>27.585365853658537</v>
      </c>
      <c r="M85" s="95" cm="1">
        <f t="array" aca="1" ref="M85" ca="1">Table2[[#This Row],[Playable x Score]]*_xlfn.IFS(Table2[[#This Row],[Pos]]="D",assumptions!$B$15,Table2[[#This Row],[Pos]]="F", assumptions!$B$14,Table2[[#This Row],[Pos]]="G",assumptions!$B$16)</f>
        <v>27.585365853658537</v>
      </c>
    </row>
    <row r="86" spans="1:13" x14ac:dyDescent="0.3">
      <c r="A86">
        <f>'score estimates'!$A86</f>
        <v>83</v>
      </c>
      <c r="B86" t="str">
        <f>'score estimates'!$B86</f>
        <v>Tomas Hertl</v>
      </c>
      <c r="C86" t="str">
        <f>'score estimates'!$D86</f>
        <v>F</v>
      </c>
      <c r="D86" t="str">
        <f>'score estimates'!$C86</f>
        <v>SJ</v>
      </c>
      <c r="E86" s="75">
        <f>'score estimates'!$F86</f>
        <v>28.548780487804876</v>
      </c>
      <c r="F86" s="71">
        <f>'score estimates'!$G86</f>
        <v>104</v>
      </c>
      <c r="G86" s="71" t="s">
        <v>983</v>
      </c>
      <c r="H86" s="72" cm="1">
        <f t="array" aca="1" ref="H8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6" s="96">
        <f ca="1">IF(Table2[[#This Row],[Team]]="FA",0,Table2[[#This Row],[Pts/G]]*(1-Table2[[#This Row],[% Pos Overlap]]))</f>
        <v>28.548780487804876</v>
      </c>
      <c r="J86" s="72" cm="1">
        <f t="array" aca="1" ref="J86" ca="1">(INDIRECT(ADDRESS((_xlfn.XMATCH(Table2[[#This Row],[Team]],Schedule!$A$1:$A$33)),5,1,1,"Sched Overlap")))</f>
        <v>0.63492063492063477</v>
      </c>
      <c r="K86" s="92" cm="1">
        <f t="array" aca="1" ref="K8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6" s="95">
        <f ca="1">IF(Table2[[#This Row],[Team]]="FA",0,Table2[[#This Row],[Pts/G]]*(Table2[[#This Row],[Games Playable]]/82))</f>
        <v>28.548780487804876</v>
      </c>
      <c r="M86" s="95" cm="1">
        <f t="array" aca="1" ref="M86" ca="1">Table2[[#This Row],[Playable x Score]]*_xlfn.IFS(Table2[[#This Row],[Pos]]="D",assumptions!$B$15,Table2[[#This Row],[Pos]]="F", assumptions!$B$14,Table2[[#This Row],[Pos]]="G",assumptions!$B$16)</f>
        <v>28.548780487804876</v>
      </c>
    </row>
    <row r="87" spans="1:13" x14ac:dyDescent="0.3">
      <c r="A87">
        <f>'score estimates'!$A87</f>
        <v>84</v>
      </c>
      <c r="B87" t="str">
        <f>'score estimates'!$B87</f>
        <v>Nick Schmaltz</v>
      </c>
      <c r="C87" t="str">
        <f>'score estimates'!$D87</f>
        <v>F</v>
      </c>
      <c r="D87" t="str">
        <f>'score estimates'!$C87</f>
        <v>ARI</v>
      </c>
      <c r="E87" s="75">
        <f>'score estimates'!$F87</f>
        <v>25.536585365853657</v>
      </c>
      <c r="F87" s="71">
        <f>'score estimates'!$G87</f>
        <v>151</v>
      </c>
      <c r="G87" s="71" t="s">
        <v>983</v>
      </c>
      <c r="H87" s="72" cm="1">
        <f t="array" aca="1" ref="H8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7" s="96">
        <f ca="1">IF(Table2[[#This Row],[Team]]="FA",0,Table2[[#This Row],[Pts/G]]*(1-Table2[[#This Row],[% Pos Overlap]]))</f>
        <v>25.536585365853657</v>
      </c>
      <c r="J87" s="72" cm="1">
        <f t="array" aca="1" ref="J87" ca="1">(INDIRECT(ADDRESS((_xlfn.XMATCH(Table2[[#This Row],[Team]],Schedule!$A$1:$A$33)),5,1,1,"Sched Overlap")))</f>
        <v>0.63247863247863279</v>
      </c>
      <c r="K87" s="92" cm="1">
        <f t="array" aca="1" ref="K8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7" s="95">
        <f ca="1">IF(Table2[[#This Row],[Team]]="FA",0,Table2[[#This Row],[Pts/G]]*(Table2[[#This Row],[Games Playable]]/82))</f>
        <v>25.536585365853657</v>
      </c>
      <c r="M87" s="95" cm="1">
        <f t="array" aca="1" ref="M87" ca="1">Table2[[#This Row],[Playable x Score]]*_xlfn.IFS(Table2[[#This Row],[Pos]]="D",assumptions!$B$15,Table2[[#This Row],[Pos]]="F", assumptions!$B$14,Table2[[#This Row],[Pos]]="G",assumptions!$B$16)</f>
        <v>25.536585365853657</v>
      </c>
    </row>
    <row r="88" spans="1:13" x14ac:dyDescent="0.3">
      <c r="A88">
        <f>'score estimates'!$A88</f>
        <v>85</v>
      </c>
      <c r="B88" t="str">
        <f>'score estimates'!$B88</f>
        <v>Josh Norris</v>
      </c>
      <c r="C88" t="str">
        <f>'score estimates'!$D88</f>
        <v>F</v>
      </c>
      <c r="D88" t="str">
        <f>'score estimates'!$C88</f>
        <v>OTT</v>
      </c>
      <c r="E88" s="75">
        <f>'score estimates'!$F88</f>
        <v>28.475609756097562</v>
      </c>
      <c r="F88" s="71">
        <f>'score estimates'!$G88</f>
        <v>106</v>
      </c>
      <c r="G88" s="71" t="s">
        <v>983</v>
      </c>
      <c r="H88" s="72" cm="1">
        <f t="array" aca="1" ref="H8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8" s="96">
        <f ca="1">IF(Table2[[#This Row],[Team]]="FA",0,Table2[[#This Row],[Pts/G]]*(1-Table2[[#This Row],[% Pos Overlap]]))</f>
        <v>28.475609756097562</v>
      </c>
      <c r="J88" s="72" cm="1">
        <f t="array" aca="1" ref="J88" ca="1">(INDIRECT(ADDRESS((_xlfn.XMATCH(Table2[[#This Row],[Team]],Schedule!$A$1:$A$33)),5,1,1,"Sched Overlap")))</f>
        <v>0.64306064306064303</v>
      </c>
      <c r="K88" s="92" cm="1">
        <f t="array" aca="1" ref="K8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8" s="95">
        <f ca="1">IF(Table2[[#This Row],[Team]]="FA",0,Table2[[#This Row],[Pts/G]]*(Table2[[#This Row],[Games Playable]]/82))</f>
        <v>28.475609756097562</v>
      </c>
      <c r="M88" s="95" cm="1">
        <f t="array" aca="1" ref="M88" ca="1">Table2[[#This Row],[Playable x Score]]*_xlfn.IFS(Table2[[#This Row],[Pos]]="D",assumptions!$B$15,Table2[[#This Row],[Pos]]="F", assumptions!$B$14,Table2[[#This Row],[Pos]]="G",assumptions!$B$16)</f>
        <v>28.475609756097562</v>
      </c>
    </row>
    <row r="89" spans="1:13" x14ac:dyDescent="0.3">
      <c r="A89">
        <f>'score estimates'!$A89</f>
        <v>86</v>
      </c>
      <c r="B89" t="str">
        <f>'score estimates'!$B89</f>
        <v>Drake Batherson</v>
      </c>
      <c r="C89" t="str">
        <f>'score estimates'!$D89</f>
        <v>F</v>
      </c>
      <c r="D89" t="str">
        <f>'score estimates'!$C89</f>
        <v>OTT</v>
      </c>
      <c r="E89" s="75">
        <f>'score estimates'!$F89</f>
        <v>27.463414634146343</v>
      </c>
      <c r="F89" s="71">
        <f>'score estimates'!$G89</f>
        <v>117</v>
      </c>
      <c r="G89" s="71" t="s">
        <v>983</v>
      </c>
      <c r="H89" s="72" cm="1">
        <f t="array" aca="1" ref="H8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9" s="96">
        <f ca="1">IF(Table2[[#This Row],[Team]]="FA",0,Table2[[#This Row],[Pts/G]]*(1-Table2[[#This Row],[% Pos Overlap]]))</f>
        <v>27.463414634146343</v>
      </c>
      <c r="J89" s="72" cm="1">
        <f t="array" aca="1" ref="J89" ca="1">(INDIRECT(ADDRESS((_xlfn.XMATCH(Table2[[#This Row],[Team]],Schedule!$A$1:$A$33)),5,1,1,"Sched Overlap")))</f>
        <v>0.64306064306064303</v>
      </c>
      <c r="K89" s="92" cm="1">
        <f t="array" aca="1" ref="K8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9" s="95">
        <f ca="1">IF(Table2[[#This Row],[Team]]="FA",0,Table2[[#This Row],[Pts/G]]*(Table2[[#This Row],[Games Playable]]/82))</f>
        <v>27.463414634146343</v>
      </c>
      <c r="M89" s="95" cm="1">
        <f t="array" aca="1" ref="M89" ca="1">Table2[[#This Row],[Playable x Score]]*_xlfn.IFS(Table2[[#This Row],[Pos]]="D",assumptions!$B$15,Table2[[#This Row],[Pos]]="F", assumptions!$B$14,Table2[[#This Row],[Pos]]="G",assumptions!$B$16)</f>
        <v>27.463414634146343</v>
      </c>
    </row>
    <row r="90" spans="1:13" x14ac:dyDescent="0.3">
      <c r="A90">
        <f>'score estimates'!$A90</f>
        <v>87</v>
      </c>
      <c r="B90" t="str">
        <f>'score estimates'!$B90</f>
        <v>Aaron Ekblad</v>
      </c>
      <c r="C90" t="str">
        <f>'score estimates'!$D90</f>
        <v>D</v>
      </c>
      <c r="D90" t="str">
        <f>'score estimates'!$C90</f>
        <v>FLA</v>
      </c>
      <c r="E90" s="75">
        <f>'score estimates'!$F90</f>
        <v>31.914634146341463</v>
      </c>
      <c r="F90" s="71">
        <f>'score estimates'!$G90</f>
        <v>68</v>
      </c>
      <c r="G90" s="71" t="s">
        <v>983</v>
      </c>
      <c r="H90" s="72" cm="1">
        <f t="array" aca="1" ref="H9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0" s="96">
        <f ca="1">IF(Table2[[#This Row],[Team]]="FA",0,Table2[[#This Row],[Pts/G]]*(1-Table2[[#This Row],[% Pos Overlap]]))</f>
        <v>31.914634146341463</v>
      </c>
      <c r="J90" s="72" cm="1">
        <f t="array" aca="1" ref="J90" ca="1">(INDIRECT(ADDRESS((_xlfn.XMATCH(Table2[[#This Row],[Team]],Schedule!$A$1:$A$33)),5,1,1,"Sched Overlap")))</f>
        <v>0.64387464387464377</v>
      </c>
      <c r="K90" s="92" cm="1">
        <f t="array" aca="1" ref="K9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0" s="95">
        <f ca="1">IF(Table2[[#This Row],[Team]]="FA",0,Table2[[#This Row],[Pts/G]]*(Table2[[#This Row],[Games Playable]]/82))</f>
        <v>31.914634146341463</v>
      </c>
      <c r="M90" s="95" cm="1">
        <f t="array" aca="1" ref="M90" ca="1">Table2[[#This Row],[Playable x Score]]*_xlfn.IFS(Table2[[#This Row],[Pos]]="D",assumptions!$B$15,Table2[[#This Row],[Pos]]="F", assumptions!$B$14,Table2[[#This Row],[Pos]]="G",assumptions!$B$16)</f>
        <v>39.893292682926827</v>
      </c>
    </row>
    <row r="91" spans="1:13" x14ac:dyDescent="0.3">
      <c r="A91">
        <f>'score estimates'!$A91</f>
        <v>88</v>
      </c>
      <c r="B91" t="str">
        <f>'score estimates'!$B91</f>
        <v>Mark Stone</v>
      </c>
      <c r="C91" t="str">
        <f>'score estimates'!$D91</f>
        <v>F</v>
      </c>
      <c r="D91" t="str">
        <f>'score estimates'!$C91</f>
        <v>VGK</v>
      </c>
      <c r="E91" s="75">
        <f>'score estimates'!$F91</f>
        <v>28.5</v>
      </c>
      <c r="F91" s="71">
        <f>'score estimates'!$G91</f>
        <v>105</v>
      </c>
      <c r="G91" s="71" t="s">
        <v>983</v>
      </c>
      <c r="H91" s="72" cm="1">
        <f t="array" aca="1" ref="H9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1" s="96">
        <f ca="1">IF(Table2[[#This Row],[Team]]="FA",0,Table2[[#This Row],[Pts/G]]*(1-Table2[[#This Row],[% Pos Overlap]]))</f>
        <v>28.5</v>
      </c>
      <c r="J91" s="72" cm="1">
        <f t="array" aca="1" ref="J91" ca="1">(INDIRECT(ADDRESS((_xlfn.XMATCH(Table2[[#This Row],[Team]],Schedule!$A$1:$A$33)),5,1,1,"Sched Overlap")))</f>
        <v>0.66992266992266991</v>
      </c>
      <c r="K91" s="92" cm="1">
        <f t="array" aca="1" ref="K9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1" s="95">
        <f ca="1">IF(Table2[[#This Row],[Team]]="FA",0,Table2[[#This Row],[Pts/G]]*(Table2[[#This Row],[Games Playable]]/82))</f>
        <v>28.5</v>
      </c>
      <c r="M91" s="95" cm="1">
        <f t="array" aca="1" ref="M91" ca="1">Table2[[#This Row],[Playable x Score]]*_xlfn.IFS(Table2[[#This Row],[Pos]]="D",assumptions!$B$15,Table2[[#This Row],[Pos]]="F", assumptions!$B$14,Table2[[#This Row],[Pos]]="G",assumptions!$B$16)</f>
        <v>28.5</v>
      </c>
    </row>
    <row r="92" spans="1:13" x14ac:dyDescent="0.3">
      <c r="A92">
        <f>'score estimates'!$A92</f>
        <v>89</v>
      </c>
      <c r="B92" t="str">
        <f>'score estimates'!$B92</f>
        <v>Mikael Granlund</v>
      </c>
      <c r="C92" t="str">
        <f>'score estimates'!$D92</f>
        <v>F</v>
      </c>
      <c r="D92" t="str">
        <f>'score estimates'!$C92</f>
        <v>NSH</v>
      </c>
      <c r="E92" s="75">
        <f>'score estimates'!$F92</f>
        <v>24.975609756097562</v>
      </c>
      <c r="F92" s="71">
        <f>'score estimates'!$G92</f>
        <v>157</v>
      </c>
      <c r="G92" s="71" t="s">
        <v>983</v>
      </c>
      <c r="H92" s="72" cm="1">
        <f t="array" aca="1" ref="H9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2" s="96">
        <f ca="1">IF(Table2[[#This Row],[Team]]="FA",0,Table2[[#This Row],[Pts/G]]*(1-Table2[[#This Row],[% Pos Overlap]]))</f>
        <v>24.975609756097562</v>
      </c>
      <c r="J92" s="72" cm="1">
        <f t="array" aca="1" ref="J92" ca="1">(INDIRECT(ADDRESS((_xlfn.XMATCH(Table2[[#This Row],[Team]],Schedule!$A$1:$A$33)),5,1,1,"Sched Overlap")))</f>
        <v>0.67806267806267806</v>
      </c>
      <c r="K92" s="92" cm="1">
        <f t="array" aca="1" ref="K9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2" s="95">
        <f ca="1">IF(Table2[[#This Row],[Team]]="FA",0,Table2[[#This Row],[Pts/G]]*(Table2[[#This Row],[Games Playable]]/82))</f>
        <v>24.975609756097562</v>
      </c>
      <c r="M92" s="95" cm="1">
        <f t="array" aca="1" ref="M92" ca="1">Table2[[#This Row],[Playable x Score]]*_xlfn.IFS(Table2[[#This Row],[Pos]]="D",assumptions!$B$15,Table2[[#This Row],[Pos]]="F", assumptions!$B$14,Table2[[#This Row],[Pos]]="G",assumptions!$B$16)</f>
        <v>24.975609756097562</v>
      </c>
    </row>
    <row r="93" spans="1:13" x14ac:dyDescent="0.3">
      <c r="A93">
        <f>'score estimates'!$A93</f>
        <v>90</v>
      </c>
      <c r="B93" t="str">
        <f>'score estimates'!$B93</f>
        <v>David Perron</v>
      </c>
      <c r="C93" t="str">
        <f>'score estimates'!$D93</f>
        <v>F</v>
      </c>
      <c r="D93" t="str">
        <f>'score estimates'!$C93</f>
        <v>DET</v>
      </c>
      <c r="E93" s="75">
        <f>'score estimates'!$F93</f>
        <v>28.134146341463413</v>
      </c>
      <c r="F93" s="71">
        <f>'score estimates'!$G93</f>
        <v>111</v>
      </c>
      <c r="G93" s="71" t="s">
        <v>983</v>
      </c>
      <c r="H93" s="72" cm="1">
        <f t="array" aca="1" ref="H9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3" s="96">
        <f ca="1">IF(Table2[[#This Row],[Team]]="FA",0,Table2[[#This Row],[Pts/G]]*(1-Table2[[#This Row],[% Pos Overlap]]))</f>
        <v>28.134146341463413</v>
      </c>
      <c r="J93" s="72" cm="1">
        <f t="array" aca="1" ref="J93" ca="1">(INDIRECT(ADDRESS((_xlfn.XMATCH(Table2[[#This Row],[Team]],Schedule!$A$1:$A$33)),5,1,1,"Sched Overlap")))</f>
        <v>0.64550264550264547</v>
      </c>
      <c r="K93" s="92" cm="1">
        <f t="array" aca="1" ref="K9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3" s="95">
        <f ca="1">IF(Table2[[#This Row],[Team]]="FA",0,Table2[[#This Row],[Pts/G]]*(Table2[[#This Row],[Games Playable]]/82))</f>
        <v>28.134146341463413</v>
      </c>
      <c r="M93" s="95" cm="1">
        <f t="array" aca="1" ref="M93" ca="1">Table2[[#This Row],[Playable x Score]]*_xlfn.IFS(Table2[[#This Row],[Pos]]="D",assumptions!$B$15,Table2[[#This Row],[Pos]]="F", assumptions!$B$14,Table2[[#This Row],[Pos]]="G",assumptions!$B$16)</f>
        <v>28.134146341463413</v>
      </c>
    </row>
    <row r="94" spans="1:13" x14ac:dyDescent="0.3">
      <c r="A94">
        <f>'score estimates'!$A94</f>
        <v>91</v>
      </c>
      <c r="B94" t="str">
        <f>'score estimates'!$B94</f>
        <v>Patrice Bergeron</v>
      </c>
      <c r="C94" t="str">
        <f>'score estimates'!$D94</f>
        <v>F</v>
      </c>
      <c r="D94" t="str">
        <f>'score estimates'!$C94</f>
        <v>BOS</v>
      </c>
      <c r="E94" s="75">
        <f>'score estimates'!$F94</f>
        <v>34.134146341463413</v>
      </c>
      <c r="F94" s="71">
        <f>'score estimates'!$G94</f>
        <v>50</v>
      </c>
      <c r="G94" s="71" t="s">
        <v>983</v>
      </c>
      <c r="H94" s="72" cm="1">
        <f t="array" aca="1" ref="H9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4" s="96">
        <f ca="1">IF(Table2[[#This Row],[Team]]="FA",0,Table2[[#This Row],[Pts/G]]*(1-Table2[[#This Row],[% Pos Overlap]]))</f>
        <v>34.134146341463413</v>
      </c>
      <c r="J94" s="72" cm="1">
        <f t="array" aca="1" ref="J94" ca="1">(INDIRECT(ADDRESS((_xlfn.XMATCH(Table2[[#This Row],[Team]],Schedule!$A$1:$A$33)),5,1,1,"Sched Overlap")))</f>
        <v>0.67236467236467234</v>
      </c>
      <c r="K94" s="92" cm="1">
        <f t="array" aca="1" ref="K9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4" s="95">
        <f ca="1">IF(Table2[[#This Row],[Team]]="FA",0,Table2[[#This Row],[Pts/G]]*(Table2[[#This Row],[Games Playable]]/82))</f>
        <v>34.134146341463413</v>
      </c>
      <c r="M94" s="95" cm="1">
        <f t="array" aca="1" ref="M94" ca="1">Table2[[#This Row],[Playable x Score]]*_xlfn.IFS(Table2[[#This Row],[Pos]]="D",assumptions!$B$15,Table2[[#This Row],[Pos]]="F", assumptions!$B$14,Table2[[#This Row],[Pos]]="G",assumptions!$B$16)</f>
        <v>34.134146341463413</v>
      </c>
    </row>
    <row r="95" spans="1:13" x14ac:dyDescent="0.3">
      <c r="A95">
        <f>'score estimates'!$A95</f>
        <v>92</v>
      </c>
      <c r="B95" t="str">
        <f>'score estimates'!$B95</f>
        <v>Chandler Stephenson</v>
      </c>
      <c r="C95" t="str">
        <f>'score estimates'!$D95</f>
        <v>F</v>
      </c>
      <c r="D95" t="str">
        <f>'score estimates'!$C95</f>
        <v>VGK</v>
      </c>
      <c r="E95" s="75">
        <f>'score estimates'!$F95</f>
        <v>26.780487804878049</v>
      </c>
      <c r="F95" s="71">
        <f>'score estimates'!$G95</f>
        <v>126</v>
      </c>
      <c r="G95" s="71" t="s">
        <v>983</v>
      </c>
      <c r="H95" s="72" cm="1">
        <f t="array" aca="1" ref="H9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5" s="96">
        <f ca="1">IF(Table2[[#This Row],[Team]]="FA",0,Table2[[#This Row],[Pts/G]]*(1-Table2[[#This Row],[% Pos Overlap]]))</f>
        <v>26.780487804878049</v>
      </c>
      <c r="J95" s="72" cm="1">
        <f t="array" aca="1" ref="J95" ca="1">(INDIRECT(ADDRESS((_xlfn.XMATCH(Table2[[#This Row],[Team]],Schedule!$A$1:$A$33)),5,1,1,"Sched Overlap")))</f>
        <v>0.66992266992266991</v>
      </c>
      <c r="K95" s="92" cm="1">
        <f t="array" aca="1" ref="K9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5" s="95">
        <f ca="1">IF(Table2[[#This Row],[Team]]="FA",0,Table2[[#This Row],[Pts/G]]*(Table2[[#This Row],[Games Playable]]/82))</f>
        <v>26.780487804878049</v>
      </c>
      <c r="M95" s="95" cm="1">
        <f t="array" aca="1" ref="M95" ca="1">Table2[[#This Row],[Playable x Score]]*_xlfn.IFS(Table2[[#This Row],[Pos]]="D",assumptions!$B$15,Table2[[#This Row],[Pos]]="F", assumptions!$B$14,Table2[[#This Row],[Pos]]="G",assumptions!$B$16)</f>
        <v>26.780487804878049</v>
      </c>
    </row>
    <row r="96" spans="1:13" x14ac:dyDescent="0.3">
      <c r="A96">
        <f>'score estimates'!$A96</f>
        <v>93</v>
      </c>
      <c r="B96" t="str">
        <f>'score estimates'!$B96</f>
        <v>Nikolaj Ehlers</v>
      </c>
      <c r="C96" t="str">
        <f>'score estimates'!$D96</f>
        <v>F</v>
      </c>
      <c r="D96" t="str">
        <f>'score estimates'!$C96</f>
        <v>WPG</v>
      </c>
      <c r="E96" s="75">
        <f>'score estimates'!$F96</f>
        <v>29.707317073170731</v>
      </c>
      <c r="F96" s="71">
        <f>'score estimates'!$G96</f>
        <v>90</v>
      </c>
      <c r="G96" s="71" t="s">
        <v>983</v>
      </c>
      <c r="H96" s="72" cm="1">
        <f t="array" aca="1" ref="H9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6" s="96">
        <f ca="1">IF(Table2[[#This Row],[Team]]="FA",0,Table2[[#This Row],[Pts/G]]*(1-Table2[[#This Row],[% Pos Overlap]]))</f>
        <v>29.707317073170731</v>
      </c>
      <c r="J96" s="72" cm="1">
        <f t="array" aca="1" ref="J96" ca="1">(INDIRECT(ADDRESS((_xlfn.XMATCH(Table2[[#This Row],[Team]],Schedule!$A$1:$A$33)),5,1,1,"Sched Overlap")))</f>
        <v>0.61212861212861214</v>
      </c>
      <c r="K96" s="92" cm="1">
        <f t="array" aca="1" ref="K9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6" s="95">
        <f ca="1">IF(Table2[[#This Row],[Team]]="FA",0,Table2[[#This Row],[Pts/G]]*(Table2[[#This Row],[Games Playable]]/82))</f>
        <v>29.707317073170731</v>
      </c>
      <c r="M96" s="95" cm="1">
        <f t="array" aca="1" ref="M96" ca="1">Table2[[#This Row],[Playable x Score]]*_xlfn.IFS(Table2[[#This Row],[Pos]]="D",assumptions!$B$15,Table2[[#This Row],[Pos]]="F", assumptions!$B$14,Table2[[#This Row],[Pos]]="G",assumptions!$B$16)</f>
        <v>29.707317073170731</v>
      </c>
    </row>
    <row r="97" spans="1:13" x14ac:dyDescent="0.3">
      <c r="A97">
        <f>'score estimates'!$A97</f>
        <v>94</v>
      </c>
      <c r="B97" t="str">
        <f>'score estimates'!$B97</f>
        <v>Alex Tuch</v>
      </c>
      <c r="C97" t="str">
        <f>'score estimates'!$D97</f>
        <v>F</v>
      </c>
      <c r="D97" t="str">
        <f>'score estimates'!$C97</f>
        <v>BUF</v>
      </c>
      <c r="E97" s="75">
        <f>'score estimates'!$F97</f>
        <v>26.76829268292683</v>
      </c>
      <c r="F97" s="71">
        <f>'score estimates'!$G97</f>
        <v>127</v>
      </c>
      <c r="G97" s="71" t="s">
        <v>983</v>
      </c>
      <c r="H97" s="72" cm="1">
        <f t="array" aca="1" ref="H9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7" s="96">
        <f ca="1">IF(Table2[[#This Row],[Team]]="FA",0,Table2[[#This Row],[Pts/G]]*(1-Table2[[#This Row],[% Pos Overlap]]))</f>
        <v>26.76829268292683</v>
      </c>
      <c r="J97" s="72" cm="1">
        <f t="array" aca="1" ref="J97" ca="1">(INDIRECT(ADDRESS((_xlfn.XMATCH(Table2[[#This Row],[Team]],Schedule!$A$1:$A$33)),5,1,1,"Sched Overlap")))</f>
        <v>0.63573463573463573</v>
      </c>
      <c r="K97" s="92" cm="1">
        <f t="array" aca="1" ref="K9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7" s="95">
        <f ca="1">IF(Table2[[#This Row],[Team]]="FA",0,Table2[[#This Row],[Pts/G]]*(Table2[[#This Row],[Games Playable]]/82))</f>
        <v>26.76829268292683</v>
      </c>
      <c r="M97" s="95" cm="1">
        <f t="array" aca="1" ref="M97" ca="1">Table2[[#This Row],[Playable x Score]]*_xlfn.IFS(Table2[[#This Row],[Pos]]="D",assumptions!$B$15,Table2[[#This Row],[Pos]]="F", assumptions!$B$14,Table2[[#This Row],[Pos]]="G",assumptions!$B$16)</f>
        <v>26.76829268292683</v>
      </c>
    </row>
    <row r="98" spans="1:13" x14ac:dyDescent="0.3">
      <c r="A98">
        <f>'score estimates'!$A98</f>
        <v>95</v>
      </c>
      <c r="B98" t="str">
        <f>'score estimates'!$B98</f>
        <v>Taylor Hall</v>
      </c>
      <c r="C98" t="str">
        <f>'score estimates'!$D98</f>
        <v>F</v>
      </c>
      <c r="D98" t="str">
        <f>'score estimates'!$C98</f>
        <v>BOS</v>
      </c>
      <c r="E98" s="75">
        <f>'score estimates'!$F98</f>
        <v>28.378048780487806</v>
      </c>
      <c r="F98" s="71">
        <f>'score estimates'!$G98</f>
        <v>109</v>
      </c>
      <c r="G98" s="71" t="s">
        <v>983</v>
      </c>
      <c r="H98" s="72" cm="1">
        <f t="array" aca="1" ref="H9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8" s="96">
        <f ca="1">IF(Table2[[#This Row],[Team]]="FA",0,Table2[[#This Row],[Pts/G]]*(1-Table2[[#This Row],[% Pos Overlap]]))</f>
        <v>28.378048780487806</v>
      </c>
      <c r="J98" s="72" cm="1">
        <f t="array" aca="1" ref="J98" ca="1">(INDIRECT(ADDRESS((_xlfn.XMATCH(Table2[[#This Row],[Team]],Schedule!$A$1:$A$33)),5,1,1,"Sched Overlap")))</f>
        <v>0.67236467236467234</v>
      </c>
      <c r="K98" s="92" cm="1">
        <f t="array" aca="1" ref="K9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8" s="95">
        <f ca="1">IF(Table2[[#This Row],[Team]]="FA",0,Table2[[#This Row],[Pts/G]]*(Table2[[#This Row],[Games Playable]]/82))</f>
        <v>28.378048780487806</v>
      </c>
      <c r="M98" s="95" cm="1">
        <f t="array" aca="1" ref="M98" ca="1">Table2[[#This Row],[Playable x Score]]*_xlfn.IFS(Table2[[#This Row],[Pos]]="D",assumptions!$B$15,Table2[[#This Row],[Pos]]="F", assumptions!$B$14,Table2[[#This Row],[Pos]]="G",assumptions!$B$16)</f>
        <v>28.378048780487806</v>
      </c>
    </row>
    <row r="99" spans="1:13" x14ac:dyDescent="0.3">
      <c r="A99">
        <f>'score estimates'!$A99</f>
        <v>96</v>
      </c>
      <c r="B99" t="str">
        <f>'score estimates'!$B99</f>
        <v>Troy Terry</v>
      </c>
      <c r="C99" t="str">
        <f>'score estimates'!$D99</f>
        <v>F</v>
      </c>
      <c r="D99" t="str">
        <f>'score estimates'!$C99</f>
        <v>ANH</v>
      </c>
      <c r="E99" s="75">
        <f>'score estimates'!$F99</f>
        <v>24.585365853658537</v>
      </c>
      <c r="F99" s="71">
        <f>'score estimates'!$G99</f>
        <v>163</v>
      </c>
      <c r="G99" s="71" t="s">
        <v>983</v>
      </c>
      <c r="H99" s="72" cm="1">
        <f t="array" aca="1" ref="H9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9" s="96">
        <f ca="1">IF(Table2[[#This Row],[Team]]="FA",0,Table2[[#This Row],[Pts/G]]*(1-Table2[[#This Row],[% Pos Overlap]]))</f>
        <v>24.585365853658537</v>
      </c>
      <c r="J99" s="72" cm="1">
        <f t="array" aca="1" ref="J99" ca="1">(INDIRECT(ADDRESS((_xlfn.XMATCH(Table2[[#This Row],[Team]],Schedule!$A$1:$A$33)),5,1,1,"Sched Overlap")))</f>
        <v>0.56410256410256399</v>
      </c>
      <c r="K99" s="92" cm="1">
        <f t="array" aca="1" ref="K9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9" s="95">
        <f ca="1">IF(Table2[[#This Row],[Team]]="FA",0,Table2[[#This Row],[Pts/G]]*(Table2[[#This Row],[Games Playable]]/82))</f>
        <v>24.585365853658537</v>
      </c>
      <c r="M99" s="95" cm="1">
        <f t="array" aca="1" ref="M99" ca="1">Table2[[#This Row],[Playable x Score]]*_xlfn.IFS(Table2[[#This Row],[Pos]]="D",assumptions!$B$15,Table2[[#This Row],[Pos]]="F", assumptions!$B$14,Table2[[#This Row],[Pos]]="G",assumptions!$B$16)</f>
        <v>24.585365853658537</v>
      </c>
    </row>
    <row r="100" spans="1:13" x14ac:dyDescent="0.3">
      <c r="A100">
        <f>'score estimates'!$A100</f>
        <v>97</v>
      </c>
      <c r="B100" t="str">
        <f>'score estimates'!$B100</f>
        <v>Nico Hischier</v>
      </c>
      <c r="C100" t="str">
        <f>'score estimates'!$D100</f>
        <v>F</v>
      </c>
      <c r="D100" t="str">
        <f>'score estimates'!$C100</f>
        <v>NJ</v>
      </c>
      <c r="E100" s="75">
        <f>'score estimates'!$F100</f>
        <v>24.939024390243901</v>
      </c>
      <c r="F100" s="71">
        <f>'score estimates'!$G100</f>
        <v>158</v>
      </c>
      <c r="G100" s="71" t="s">
        <v>983</v>
      </c>
      <c r="H100" s="72" cm="1">
        <f t="array" aca="1" ref="H10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0" s="96">
        <f ca="1">IF(Table2[[#This Row],[Team]]="FA",0,Table2[[#This Row],[Pts/G]]*(1-Table2[[#This Row],[% Pos Overlap]]))</f>
        <v>24.939024390243901</v>
      </c>
      <c r="J100" s="72" cm="1">
        <f t="array" aca="1" ref="J100" ca="1">(INDIRECT(ADDRESS((_xlfn.XMATCH(Table2[[#This Row],[Team]],Schedule!$A$1:$A$33)),5,1,1,"Sched Overlap")))</f>
        <v>0.66259666259666272</v>
      </c>
      <c r="K100" s="92" cm="1">
        <f t="array" aca="1" ref="K10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0" s="95">
        <f ca="1">IF(Table2[[#This Row],[Team]]="FA",0,Table2[[#This Row],[Pts/G]]*(Table2[[#This Row],[Games Playable]]/82))</f>
        <v>24.939024390243901</v>
      </c>
      <c r="M100" s="95" cm="1">
        <f t="array" aca="1" ref="M100" ca="1">Table2[[#This Row],[Playable x Score]]*_xlfn.IFS(Table2[[#This Row],[Pos]]="D",assumptions!$B$15,Table2[[#This Row],[Pos]]="F", assumptions!$B$14,Table2[[#This Row],[Pos]]="G",assumptions!$B$16)</f>
        <v>24.939024390243901</v>
      </c>
    </row>
    <row r="101" spans="1:13" x14ac:dyDescent="0.3">
      <c r="A101">
        <f>'score estimates'!$A101</f>
        <v>98</v>
      </c>
      <c r="B101" t="str">
        <f>'score estimates'!$B101</f>
        <v>Tage Thompson</v>
      </c>
      <c r="C101" t="str">
        <f>'score estimates'!$D101</f>
        <v>F</v>
      </c>
      <c r="D101" t="str">
        <f>'score estimates'!$C101</f>
        <v>BUF</v>
      </c>
      <c r="E101" s="75">
        <f>'score estimates'!$F101</f>
        <v>26.878048780487806</v>
      </c>
      <c r="F101" s="71">
        <f>'score estimates'!$G101</f>
        <v>122</v>
      </c>
      <c r="G101" s="71" t="s">
        <v>983</v>
      </c>
      <c r="H101" s="72" cm="1">
        <f t="array" aca="1" ref="H10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1" s="96">
        <f ca="1">IF(Table2[[#This Row],[Team]]="FA",0,Table2[[#This Row],[Pts/G]]*(1-Table2[[#This Row],[% Pos Overlap]]))</f>
        <v>26.878048780487806</v>
      </c>
      <c r="J101" s="72" cm="1">
        <f t="array" aca="1" ref="J101" ca="1">(INDIRECT(ADDRESS((_xlfn.XMATCH(Table2[[#This Row],[Team]],Schedule!$A$1:$A$33)),5,1,1,"Sched Overlap")))</f>
        <v>0.63573463573463573</v>
      </c>
      <c r="K101" s="92" cm="1">
        <f t="array" aca="1" ref="K10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1" s="95">
        <f ca="1">IF(Table2[[#This Row],[Team]]="FA",0,Table2[[#This Row],[Pts/G]]*(Table2[[#This Row],[Games Playable]]/82))</f>
        <v>26.878048780487806</v>
      </c>
      <c r="M101" s="95" cm="1">
        <f t="array" aca="1" ref="M101" ca="1">Table2[[#This Row],[Playable x Score]]*_xlfn.IFS(Table2[[#This Row],[Pos]]="D",assumptions!$B$15,Table2[[#This Row],[Pos]]="F", assumptions!$B$14,Table2[[#This Row],[Pos]]="G",assumptions!$B$16)</f>
        <v>26.878048780487806</v>
      </c>
    </row>
    <row r="102" spans="1:13" x14ac:dyDescent="0.3">
      <c r="A102">
        <f>'score estimates'!$A102</f>
        <v>99</v>
      </c>
      <c r="B102" t="str">
        <f>'score estimates'!$B102</f>
        <v>Matthew Boldy</v>
      </c>
      <c r="C102" t="str">
        <f>'score estimates'!$D102</f>
        <v>F</v>
      </c>
      <c r="D102" t="str">
        <f>'score estimates'!$C102</f>
        <v>MIN</v>
      </c>
      <c r="E102" s="75">
        <f>'score estimates'!$F102</f>
        <v>28.951219512195124</v>
      </c>
      <c r="F102" s="71">
        <f>'score estimates'!$G102</f>
        <v>100</v>
      </c>
      <c r="G102" s="71" t="s">
        <v>983</v>
      </c>
      <c r="H102" s="72" cm="1">
        <f t="array" aca="1" ref="H10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2" s="96">
        <f ca="1">IF(Table2[[#This Row],[Team]]="FA",0,Table2[[#This Row],[Pts/G]]*(1-Table2[[#This Row],[% Pos Overlap]]))</f>
        <v>28.951219512195124</v>
      </c>
      <c r="J102" s="72" cm="1">
        <f t="array" aca="1" ref="J102" ca="1">(INDIRECT(ADDRESS((_xlfn.XMATCH(Table2[[#This Row],[Team]],Schedule!$A$1:$A$33)),5,1,1,"Sched Overlap")))</f>
        <v>0.62108262108262113</v>
      </c>
      <c r="K102" s="92" cm="1">
        <f t="array" aca="1" ref="K10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2" s="95">
        <f ca="1">IF(Table2[[#This Row],[Team]]="FA",0,Table2[[#This Row],[Pts/G]]*(Table2[[#This Row],[Games Playable]]/82))</f>
        <v>28.951219512195124</v>
      </c>
      <c r="M102" s="95" cm="1">
        <f t="array" aca="1" ref="M102" ca="1">Table2[[#This Row],[Playable x Score]]*_xlfn.IFS(Table2[[#This Row],[Pos]]="D",assumptions!$B$15,Table2[[#This Row],[Pos]]="F", assumptions!$B$14,Table2[[#This Row],[Pos]]="G",assumptions!$B$16)</f>
        <v>28.951219512195124</v>
      </c>
    </row>
    <row r="103" spans="1:13" x14ac:dyDescent="0.3">
      <c r="A103">
        <f>'score estimates'!$A103</f>
        <v>100</v>
      </c>
      <c r="B103" t="str">
        <f>'score estimates'!$B103</f>
        <v>Moritz Seider</v>
      </c>
      <c r="C103" t="str">
        <f>'score estimates'!$D103</f>
        <v>D</v>
      </c>
      <c r="D103" t="str">
        <f>'score estimates'!$C103</f>
        <v>DET</v>
      </c>
      <c r="E103" s="75">
        <f>'score estimates'!$F103</f>
        <v>30.024390243902438</v>
      </c>
      <c r="F103" s="71">
        <f>'score estimates'!$G103</f>
        <v>87</v>
      </c>
      <c r="G103" s="71" t="s">
        <v>983</v>
      </c>
      <c r="H103" s="72" cm="1">
        <f t="array" aca="1" ref="H10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3" s="96">
        <f ca="1">IF(Table2[[#This Row],[Team]]="FA",0,Table2[[#This Row],[Pts/G]]*(1-Table2[[#This Row],[% Pos Overlap]]))</f>
        <v>30.024390243902438</v>
      </c>
      <c r="J103" s="72" cm="1">
        <f t="array" aca="1" ref="J103" ca="1">(INDIRECT(ADDRESS((_xlfn.XMATCH(Table2[[#This Row],[Team]],Schedule!$A$1:$A$33)),5,1,1,"Sched Overlap")))</f>
        <v>0.64550264550264547</v>
      </c>
      <c r="K103" s="92" cm="1">
        <f t="array" aca="1" ref="K10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3" s="95">
        <f ca="1">IF(Table2[[#This Row],[Team]]="FA",0,Table2[[#This Row],[Pts/G]]*(Table2[[#This Row],[Games Playable]]/82))</f>
        <v>30.024390243902438</v>
      </c>
      <c r="M103" s="95" cm="1">
        <f t="array" aca="1" ref="M103" ca="1">Table2[[#This Row],[Playable x Score]]*_xlfn.IFS(Table2[[#This Row],[Pos]]="D",assumptions!$B$15,Table2[[#This Row],[Pos]]="F", assumptions!$B$14,Table2[[#This Row],[Pos]]="G",assumptions!$B$16)</f>
        <v>37.530487804878049</v>
      </c>
    </row>
    <row r="104" spans="1:13" x14ac:dyDescent="0.3">
      <c r="A104">
        <f>'score estimates'!$A104</f>
        <v>101</v>
      </c>
      <c r="B104" t="str">
        <f>'score estimates'!$B104</f>
        <v>Sean Couturier</v>
      </c>
      <c r="C104" t="str">
        <f>'score estimates'!$D104</f>
        <v>F</v>
      </c>
      <c r="D104" t="str">
        <f>'score estimates'!$C104</f>
        <v>PHI</v>
      </c>
      <c r="E104" s="75">
        <f>'score estimates'!$F104</f>
        <v>26.158536585365855</v>
      </c>
      <c r="F104" s="71">
        <f>'score estimates'!$G104</f>
        <v>137</v>
      </c>
      <c r="G104" s="71" t="s">
        <v>983</v>
      </c>
      <c r="H104" s="72" cm="1">
        <f t="array" aca="1" ref="H10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4" s="96">
        <f ca="1">IF(Table2[[#This Row],[Team]]="FA",0,Table2[[#This Row],[Pts/G]]*(1-Table2[[#This Row],[% Pos Overlap]]))</f>
        <v>26.158536585365855</v>
      </c>
      <c r="J104" s="72" cm="1">
        <f t="array" aca="1" ref="J104" ca="1">(INDIRECT(ADDRESS((_xlfn.XMATCH(Table2[[#This Row],[Team]],Schedule!$A$1:$A$33)),5,1,1,"Sched Overlap")))</f>
        <v>0.66910866910866917</v>
      </c>
      <c r="K104" s="92" cm="1">
        <f t="array" aca="1" ref="K10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4" s="95">
        <f ca="1">IF(Table2[[#This Row],[Team]]="FA",0,Table2[[#This Row],[Pts/G]]*(Table2[[#This Row],[Games Playable]]/82))</f>
        <v>26.158536585365855</v>
      </c>
      <c r="M104" s="95" cm="1">
        <f t="array" aca="1" ref="M104" ca="1">Table2[[#This Row],[Playable x Score]]*_xlfn.IFS(Table2[[#This Row],[Pos]]="D",assumptions!$B$15,Table2[[#This Row],[Pos]]="F", assumptions!$B$14,Table2[[#This Row],[Pos]]="G",assumptions!$B$16)</f>
        <v>26.158536585365855</v>
      </c>
    </row>
    <row r="105" spans="1:13" x14ac:dyDescent="0.3">
      <c r="A105">
        <f>'score estimates'!$A105</f>
        <v>102</v>
      </c>
      <c r="B105" t="str">
        <f>'score estimates'!$B105</f>
        <v>Brent Burns</v>
      </c>
      <c r="C105" t="str">
        <f>'score estimates'!$D105</f>
        <v>D</v>
      </c>
      <c r="D105" t="str">
        <f>'score estimates'!$C105</f>
        <v>CAR</v>
      </c>
      <c r="E105" s="75">
        <f>'score estimates'!$F105</f>
        <v>29.792682926829269</v>
      </c>
      <c r="F105" s="71">
        <f>'score estimates'!$G105</f>
        <v>89</v>
      </c>
      <c r="G105" s="71" t="s">
        <v>983</v>
      </c>
      <c r="H105" s="72" cm="1">
        <f t="array" aca="1" ref="H10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5" s="96">
        <f ca="1">IF(Table2[[#This Row],[Team]]="FA",0,Table2[[#This Row],[Pts/G]]*(1-Table2[[#This Row],[% Pos Overlap]]))</f>
        <v>29.792682926829269</v>
      </c>
      <c r="J105" s="72" cm="1">
        <f t="array" aca="1" ref="J105" ca="1">(INDIRECT(ADDRESS((_xlfn.XMATCH(Table2[[#This Row],[Team]],Schedule!$A$1:$A$33)),5,1,1,"Sched Overlap")))</f>
        <v>0.63247863247863245</v>
      </c>
      <c r="K105" s="92" cm="1">
        <f t="array" aca="1" ref="K10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5" s="95">
        <f ca="1">IF(Table2[[#This Row],[Team]]="FA",0,Table2[[#This Row],[Pts/G]]*(Table2[[#This Row],[Games Playable]]/82))</f>
        <v>29.792682926829269</v>
      </c>
      <c r="M105" s="95" cm="1">
        <f t="array" aca="1" ref="M105" ca="1">Table2[[#This Row],[Playable x Score]]*_xlfn.IFS(Table2[[#This Row],[Pos]]="D",assumptions!$B$15,Table2[[#This Row],[Pos]]="F", assumptions!$B$14,Table2[[#This Row],[Pos]]="G",assumptions!$B$16)</f>
        <v>37.240853658536587</v>
      </c>
    </row>
    <row r="106" spans="1:13" x14ac:dyDescent="0.3">
      <c r="A106">
        <f>'score estimates'!$A106</f>
        <v>103</v>
      </c>
      <c r="B106" t="str">
        <f>'score estimates'!$B106</f>
        <v>Tyler Bertuzzi</v>
      </c>
      <c r="C106" t="str">
        <f>'score estimates'!$D106</f>
        <v>F</v>
      </c>
      <c r="D106" t="str">
        <f>'score estimates'!$C106</f>
        <v>DET</v>
      </c>
      <c r="E106" s="75">
        <f>'score estimates'!$F106</f>
        <v>25.682926829268293</v>
      </c>
      <c r="F106" s="71">
        <f>'score estimates'!$G106</f>
        <v>145</v>
      </c>
      <c r="G106" s="71" t="s">
        <v>983</v>
      </c>
      <c r="H106" s="72" cm="1">
        <f t="array" aca="1" ref="H10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6" s="96">
        <f ca="1">IF(Table2[[#This Row],[Team]]="FA",0,Table2[[#This Row],[Pts/G]]*(1-Table2[[#This Row],[% Pos Overlap]]))</f>
        <v>25.682926829268293</v>
      </c>
      <c r="J106" s="72" cm="1">
        <f t="array" aca="1" ref="J106" ca="1">(INDIRECT(ADDRESS((_xlfn.XMATCH(Table2[[#This Row],[Team]],Schedule!$A$1:$A$33)),5,1,1,"Sched Overlap")))</f>
        <v>0.64550264550264547</v>
      </c>
      <c r="K106" s="92" cm="1">
        <f t="array" aca="1" ref="K10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6" s="95">
        <f ca="1">IF(Table2[[#This Row],[Team]]="FA",0,Table2[[#This Row],[Pts/G]]*(Table2[[#This Row],[Games Playable]]/82))</f>
        <v>25.682926829268293</v>
      </c>
      <c r="M106" s="95" cm="1">
        <f t="array" aca="1" ref="M106" ca="1">Table2[[#This Row],[Playable x Score]]*_xlfn.IFS(Table2[[#This Row],[Pos]]="D",assumptions!$B$15,Table2[[#This Row],[Pos]]="F", assumptions!$B$14,Table2[[#This Row],[Pos]]="G",assumptions!$B$16)</f>
        <v>25.682926829268293</v>
      </c>
    </row>
    <row r="107" spans="1:13" x14ac:dyDescent="0.3">
      <c r="A107">
        <f>'score estimates'!$A107</f>
        <v>104</v>
      </c>
      <c r="B107" t="str">
        <f>'score estimates'!$B107</f>
        <v>Andrew Mangiapane</v>
      </c>
      <c r="C107" t="str">
        <f>'score estimates'!$D107</f>
        <v>F</v>
      </c>
      <c r="D107" t="str">
        <f>'score estimates'!$C107</f>
        <v>CGY</v>
      </c>
      <c r="E107" s="75">
        <f>'score estimates'!$F107</f>
        <v>29.207317073170731</v>
      </c>
      <c r="F107" s="71">
        <f>'score estimates'!$G107</f>
        <v>97</v>
      </c>
      <c r="G107" s="71" t="s">
        <v>983</v>
      </c>
      <c r="H107" s="72" cm="1">
        <f t="array" aca="1" ref="H10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7" s="96">
        <f ca="1">IF(Table2[[#This Row],[Team]]="FA",0,Table2[[#This Row],[Pts/G]]*(1-Table2[[#This Row],[% Pos Overlap]]))</f>
        <v>29.207317073170731</v>
      </c>
      <c r="J107" s="72" cm="1">
        <f t="array" aca="1" ref="J107" ca="1">(INDIRECT(ADDRESS((_xlfn.XMATCH(Table2[[#This Row],[Team]],Schedule!$A$1:$A$33)),5,1,1,"Sched Overlap")))</f>
        <v>0.63003663003663002</v>
      </c>
      <c r="K107" s="92" cm="1">
        <f t="array" aca="1" ref="K10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7" s="95">
        <f ca="1">IF(Table2[[#This Row],[Team]]="FA",0,Table2[[#This Row],[Pts/G]]*(Table2[[#This Row],[Games Playable]]/82))</f>
        <v>29.207317073170731</v>
      </c>
      <c r="M107" s="95" cm="1">
        <f t="array" aca="1" ref="M107" ca="1">Table2[[#This Row],[Playable x Score]]*_xlfn.IFS(Table2[[#This Row],[Pos]]="D",assumptions!$B$15,Table2[[#This Row],[Pos]]="F", assumptions!$B$14,Table2[[#This Row],[Pos]]="G",assumptions!$B$16)</f>
        <v>29.207317073170731</v>
      </c>
    </row>
    <row r="108" spans="1:13" x14ac:dyDescent="0.3">
      <c r="A108">
        <f>'score estimates'!$A108</f>
        <v>105</v>
      </c>
      <c r="B108" t="str">
        <f>'score estimates'!$B108</f>
        <v>Bo Horvat</v>
      </c>
      <c r="C108" t="str">
        <f>'score estimates'!$D108</f>
        <v>F</v>
      </c>
      <c r="D108" t="str">
        <f>'score estimates'!$C108</f>
        <v>VAN</v>
      </c>
      <c r="E108" s="75">
        <f>'score estimates'!$F108</f>
        <v>29.597560975609756</v>
      </c>
      <c r="F108" s="71">
        <f>'score estimates'!$G108</f>
        <v>95</v>
      </c>
      <c r="G108" s="71" t="s">
        <v>983</v>
      </c>
      <c r="H108" s="72" cm="1">
        <f t="array" aca="1" ref="H10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8" s="96">
        <f ca="1">IF(Table2[[#This Row],[Team]]="FA",0,Table2[[#This Row],[Pts/G]]*(1-Table2[[#This Row],[% Pos Overlap]]))</f>
        <v>29.597560975609756</v>
      </c>
      <c r="J108" s="72" cm="1">
        <f t="array" aca="1" ref="J108" ca="1">(INDIRECT(ADDRESS((_xlfn.XMATCH(Table2[[#This Row],[Team]],Schedule!$A$1:$A$33)),5,1,1,"Sched Overlap")))</f>
        <v>0.62922262922262917</v>
      </c>
      <c r="K108" s="92" cm="1">
        <f t="array" aca="1" ref="K10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8" s="95">
        <f ca="1">IF(Table2[[#This Row],[Team]]="FA",0,Table2[[#This Row],[Pts/G]]*(Table2[[#This Row],[Games Playable]]/82))</f>
        <v>29.597560975609756</v>
      </c>
      <c r="M108" s="95" cm="1">
        <f t="array" aca="1" ref="M108" ca="1">Table2[[#This Row],[Playable x Score]]*_xlfn.IFS(Table2[[#This Row],[Pos]]="D",assumptions!$B$15,Table2[[#This Row],[Pos]]="F", assumptions!$B$14,Table2[[#This Row],[Pos]]="G",assumptions!$B$16)</f>
        <v>29.597560975609756</v>
      </c>
    </row>
    <row r="109" spans="1:13" x14ac:dyDescent="0.3">
      <c r="A109">
        <f>'score estimates'!$A109</f>
        <v>106</v>
      </c>
      <c r="B109" t="str">
        <f>'score estimates'!$B109</f>
        <v>Andre Burakovsky</v>
      </c>
      <c r="C109" t="str">
        <f>'score estimates'!$D109</f>
        <v>F</v>
      </c>
      <c r="D109" t="str">
        <f>'score estimates'!$C109</f>
        <v>SEA</v>
      </c>
      <c r="E109" s="75">
        <f>'score estimates'!$F109</f>
        <v>24.560975609756099</v>
      </c>
      <c r="F109" s="71">
        <f>'score estimates'!$G109</f>
        <v>164</v>
      </c>
      <c r="G109" s="71" t="s">
        <v>983</v>
      </c>
      <c r="H109" s="72" cm="1">
        <f t="array" aca="1" ref="H10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9" s="96">
        <f ca="1">IF(Table2[[#This Row],[Team]]="FA",0,Table2[[#This Row],[Pts/G]]*(1-Table2[[#This Row],[% Pos Overlap]]))</f>
        <v>24.560975609756099</v>
      </c>
      <c r="J109" s="72" cm="1">
        <f t="array" aca="1" ref="J109" ca="1">(INDIRECT(ADDRESS((_xlfn.XMATCH(Table2[[#This Row],[Team]],Schedule!$A$1:$A$33)),5,1,1,"Sched Overlap")))</f>
        <v>0.63085063085063087</v>
      </c>
      <c r="K109" s="92" cm="1">
        <f t="array" aca="1" ref="K10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9" s="95">
        <f ca="1">IF(Table2[[#This Row],[Team]]="FA",0,Table2[[#This Row],[Pts/G]]*(Table2[[#This Row],[Games Playable]]/82))</f>
        <v>24.560975609756099</v>
      </c>
      <c r="M109" s="95" cm="1">
        <f t="array" aca="1" ref="M109" ca="1">Table2[[#This Row],[Playable x Score]]*_xlfn.IFS(Table2[[#This Row],[Pos]]="D",assumptions!$B$15,Table2[[#This Row],[Pos]]="F", assumptions!$B$14,Table2[[#This Row],[Pos]]="G",assumptions!$B$16)</f>
        <v>24.560975609756099</v>
      </c>
    </row>
    <row r="110" spans="1:13" x14ac:dyDescent="0.3">
      <c r="A110">
        <f>'score estimates'!$A110</f>
        <v>107</v>
      </c>
      <c r="B110" t="str">
        <f>'score estimates'!$B110</f>
        <v>Vincent Trocheck</v>
      </c>
      <c r="C110" t="str">
        <f>'score estimates'!$D110</f>
        <v>F</v>
      </c>
      <c r="D110" t="str">
        <f>'score estimates'!$C110</f>
        <v>NYR</v>
      </c>
      <c r="E110" s="75">
        <f>'score estimates'!$F110</f>
        <v>30.560975609756099</v>
      </c>
      <c r="F110" s="71">
        <f>'score estimates'!$G110</f>
        <v>80</v>
      </c>
      <c r="G110" s="71" t="s">
        <v>983</v>
      </c>
      <c r="H110" s="72" cm="1">
        <f t="array" aca="1" ref="H11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10" s="96">
        <f ca="1">IF(Table2[[#This Row],[Team]]="FA",0,Table2[[#This Row],[Pts/G]]*(1-Table2[[#This Row],[% Pos Overlap]]))</f>
        <v>30.560975609756099</v>
      </c>
      <c r="J110" s="72" cm="1">
        <f t="array" aca="1" ref="J110" ca="1">(INDIRECT(ADDRESS((_xlfn.XMATCH(Table2[[#This Row],[Team]],Schedule!$A$1:$A$33)),5,1,1,"Sched Overlap")))</f>
        <v>0.60236060236060229</v>
      </c>
      <c r="K110" s="92" cm="1">
        <f t="array" aca="1" ref="K11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10" s="95">
        <f ca="1">IF(Table2[[#This Row],[Team]]="FA",0,Table2[[#This Row],[Pts/G]]*(Table2[[#This Row],[Games Playable]]/82))</f>
        <v>30.560975609756099</v>
      </c>
      <c r="M110" s="95" cm="1">
        <f t="array" aca="1" ref="M110" ca="1">Table2[[#This Row],[Playable x Score]]*_xlfn.IFS(Table2[[#This Row],[Pos]]="D",assumptions!$B$15,Table2[[#This Row],[Pos]]="F", assumptions!$B$14,Table2[[#This Row],[Pos]]="G",assumptions!$B$16)</f>
        <v>30.560975609756099</v>
      </c>
    </row>
    <row r="111" spans="1:13" x14ac:dyDescent="0.3">
      <c r="A111">
        <f>'score estimates'!$A111</f>
        <v>108</v>
      </c>
      <c r="B111" t="str">
        <f>'score estimates'!$B111</f>
        <v>Rasmus Dahlin</v>
      </c>
      <c r="C111" t="str">
        <f>'score estimates'!$D111</f>
        <v>D</v>
      </c>
      <c r="D111" t="str">
        <f>'score estimates'!$C111</f>
        <v>BUF</v>
      </c>
      <c r="E111" s="75">
        <f>'score estimates'!$F111</f>
        <v>25.939024390243901</v>
      </c>
      <c r="F111" s="71">
        <f>'score estimates'!$G111</f>
        <v>140</v>
      </c>
      <c r="G111" s="71" t="s">
        <v>983</v>
      </c>
      <c r="H111" s="72" cm="1">
        <f t="array" aca="1" ref="H11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11" s="96">
        <f ca="1">IF(Table2[[#This Row],[Team]]="FA",0,Table2[[#This Row],[Pts/G]]*(1-Table2[[#This Row],[% Pos Overlap]]))</f>
        <v>25.939024390243901</v>
      </c>
      <c r="J111" s="72" cm="1">
        <f t="array" aca="1" ref="J111" ca="1">(INDIRECT(ADDRESS((_xlfn.XMATCH(Table2[[#This Row],[Team]],Schedule!$A$1:$A$33)),5,1,1,"Sched Overlap")))</f>
        <v>0.63573463573463573</v>
      </c>
      <c r="K111" s="92" cm="1">
        <f t="array" aca="1" ref="K11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11" s="95">
        <f ca="1">IF(Table2[[#This Row],[Team]]="FA",0,Table2[[#This Row],[Pts/G]]*(Table2[[#This Row],[Games Playable]]/82))</f>
        <v>25.939024390243901</v>
      </c>
      <c r="M111" s="95" cm="1">
        <f t="array" aca="1" ref="M111" ca="1">Table2[[#This Row],[Playable x Score]]*_xlfn.IFS(Table2[[#This Row],[Pos]]="D",assumptions!$B$15,Table2[[#This Row],[Pos]]="F", assumptions!$B$14,Table2[[#This Row],[Pos]]="G",assumptions!$B$16)</f>
        <v>32.423780487804876</v>
      </c>
    </row>
    <row r="112" spans="1:13" x14ac:dyDescent="0.3">
      <c r="A112">
        <f>'score estimates'!$A112</f>
        <v>109</v>
      </c>
      <c r="B112" t="str">
        <f>'score estimates'!$B112</f>
        <v>Conor Garland</v>
      </c>
      <c r="C112" t="str">
        <f>'score estimates'!$D112</f>
        <v>F</v>
      </c>
      <c r="D112" t="str">
        <f>'score estimates'!$C112</f>
        <v>VAN</v>
      </c>
      <c r="E112" s="75">
        <f>'score estimates'!$F112</f>
        <v>27.024390243902438</v>
      </c>
      <c r="F112" s="71">
        <f>'score estimates'!$G112</f>
        <v>121</v>
      </c>
      <c r="G112" s="71" t="s">
        <v>983</v>
      </c>
      <c r="H112" s="72" cm="1">
        <f t="array" aca="1" ref="H11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12" s="96">
        <f ca="1">IF(Table2[[#This Row],[Team]]="FA",0,Table2[[#This Row],[Pts/G]]*(1-Table2[[#This Row],[% Pos Overlap]]))</f>
        <v>27.024390243902438</v>
      </c>
      <c r="J112" s="72" cm="1">
        <f t="array" aca="1" ref="J112" ca="1">(INDIRECT(ADDRESS((_xlfn.XMATCH(Table2[[#This Row],[Team]],Schedule!$A$1:$A$33)),5,1,1,"Sched Overlap")))</f>
        <v>0.62922262922262917</v>
      </c>
      <c r="K112" s="92" cm="1">
        <f t="array" aca="1" ref="K11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12" s="95">
        <f ca="1">IF(Table2[[#This Row],[Team]]="FA",0,Table2[[#This Row],[Pts/G]]*(Table2[[#This Row],[Games Playable]]/82))</f>
        <v>27.024390243902438</v>
      </c>
      <c r="M112" s="95" cm="1">
        <f t="array" aca="1" ref="M112" ca="1">Table2[[#This Row],[Playable x Score]]*_xlfn.IFS(Table2[[#This Row],[Pos]]="D",assumptions!$B$15,Table2[[#This Row],[Pos]]="F", assumptions!$B$14,Table2[[#This Row],[Pos]]="G",assumptions!$B$16)</f>
        <v>27.024390243902438</v>
      </c>
    </row>
    <row r="113" spans="1:13" x14ac:dyDescent="0.3">
      <c r="A113">
        <f>'score estimates'!$A113</f>
        <v>110</v>
      </c>
      <c r="B113" t="str">
        <f>'score estimates'!$B113</f>
        <v>Ryan Strome</v>
      </c>
      <c r="C113" t="str">
        <f>'score estimates'!$D113</f>
        <v>F</v>
      </c>
      <c r="D113" t="str">
        <f>'score estimates'!$C113</f>
        <v>ANH</v>
      </c>
      <c r="E113" s="75">
        <f>'score estimates'!$F113</f>
        <v>26.512195121951219</v>
      </c>
      <c r="F113" s="71">
        <f>'score estimates'!$G113</f>
        <v>131</v>
      </c>
      <c r="G113" s="71" t="s">
        <v>983</v>
      </c>
      <c r="H113" s="72" cm="1">
        <f t="array" aca="1" ref="H11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13" s="96">
        <f ca="1">IF(Table2[[#This Row],[Team]]="FA",0,Table2[[#This Row],[Pts/G]]*(1-Table2[[#This Row],[% Pos Overlap]]))</f>
        <v>26.512195121951219</v>
      </c>
      <c r="J113" s="72" cm="1">
        <f t="array" aca="1" ref="J113" ca="1">(INDIRECT(ADDRESS((_xlfn.XMATCH(Table2[[#This Row],[Team]],Schedule!$A$1:$A$33)),5,1,1,"Sched Overlap")))</f>
        <v>0.56410256410256399</v>
      </c>
      <c r="K113" s="92" cm="1">
        <f t="array" aca="1" ref="K11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13" s="95">
        <f ca="1">IF(Table2[[#This Row],[Team]]="FA",0,Table2[[#This Row],[Pts/G]]*(Table2[[#This Row],[Games Playable]]/82))</f>
        <v>26.512195121951219</v>
      </c>
      <c r="M113" s="95" cm="1">
        <f t="array" aca="1" ref="M113" ca="1">Table2[[#This Row],[Playable x Score]]*_xlfn.IFS(Table2[[#This Row],[Pos]]="D",assumptions!$B$15,Table2[[#This Row],[Pos]]="F", assumptions!$B$14,Table2[[#This Row],[Pos]]="G",assumptions!$B$16)</f>
        <v>26.512195121951219</v>
      </c>
    </row>
    <row r="114" spans="1:13" x14ac:dyDescent="0.3">
      <c r="A114">
        <f>'score estimates'!$A114</f>
        <v>111</v>
      </c>
      <c r="B114" t="str">
        <f>'score estimates'!$B114</f>
        <v>Alex Killorn</v>
      </c>
      <c r="C114" t="str">
        <f>'score estimates'!$D114</f>
        <v>F</v>
      </c>
      <c r="D114" t="str">
        <f>'score estimates'!$C114</f>
        <v>TB</v>
      </c>
      <c r="E114" s="75">
        <f>'score estimates'!$F114</f>
        <v>26.621951219512194</v>
      </c>
      <c r="F114" s="71">
        <f>'score estimates'!$G114</f>
        <v>129</v>
      </c>
      <c r="G114" s="71" t="s">
        <v>983</v>
      </c>
      <c r="H114" s="72" cm="1">
        <f t="array" aca="1" ref="H11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14" s="96">
        <f ca="1">IF(Table2[[#This Row],[Team]]="FA",0,Table2[[#This Row],[Pts/G]]*(1-Table2[[#This Row],[% Pos Overlap]]))</f>
        <v>26.621951219512194</v>
      </c>
      <c r="J114" s="72" cm="1">
        <f t="array" aca="1" ref="J114" ca="1">(INDIRECT(ADDRESS((_xlfn.XMATCH(Table2[[#This Row],[Team]],Schedule!$A$1:$A$33)),5,1,1,"Sched Overlap")))</f>
        <v>0.66422466422466431</v>
      </c>
      <c r="K114" s="92" cm="1">
        <f t="array" aca="1" ref="K11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14" s="95">
        <f ca="1">IF(Table2[[#This Row],[Team]]="FA",0,Table2[[#This Row],[Pts/G]]*(Table2[[#This Row],[Games Playable]]/82))</f>
        <v>26.621951219512194</v>
      </c>
      <c r="M114" s="95" cm="1">
        <f t="array" aca="1" ref="M114" ca="1">Table2[[#This Row],[Playable x Score]]*_xlfn.IFS(Table2[[#This Row],[Pos]]="D",assumptions!$B$15,Table2[[#This Row],[Pos]]="F", assumptions!$B$14,Table2[[#This Row],[Pos]]="G",assumptions!$B$16)</f>
        <v>26.621951219512194</v>
      </c>
    </row>
    <row r="115" spans="1:13" x14ac:dyDescent="0.3">
      <c r="A115">
        <f>'score estimates'!$A115</f>
        <v>112</v>
      </c>
      <c r="B115" t="str">
        <f>'score estimates'!$B115</f>
        <v>Ryan Johansen</v>
      </c>
      <c r="C115" t="str">
        <f>'score estimates'!$D115</f>
        <v>F</v>
      </c>
      <c r="D115" t="str">
        <f>'score estimates'!$C115</f>
        <v>NSH</v>
      </c>
      <c r="E115" s="75">
        <f>'score estimates'!$F115</f>
        <v>25.524390243902438</v>
      </c>
      <c r="F115" s="71">
        <f>'score estimates'!$G115</f>
        <v>152</v>
      </c>
      <c r="G115" s="71" t="s">
        <v>983</v>
      </c>
      <c r="H115" s="72" cm="1">
        <f t="array" aca="1" ref="H11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15" s="96">
        <f ca="1">IF(Table2[[#This Row],[Team]]="FA",0,Table2[[#This Row],[Pts/G]]*(1-Table2[[#This Row],[% Pos Overlap]]))</f>
        <v>25.524390243902438</v>
      </c>
      <c r="J115" s="72" cm="1">
        <f t="array" aca="1" ref="J115" ca="1">(INDIRECT(ADDRESS((_xlfn.XMATCH(Table2[[#This Row],[Team]],Schedule!$A$1:$A$33)),5,1,1,"Sched Overlap")))</f>
        <v>0.67806267806267806</v>
      </c>
      <c r="K115" s="92" cm="1">
        <f t="array" aca="1" ref="K11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15" s="95">
        <f ca="1">IF(Table2[[#This Row],[Team]]="FA",0,Table2[[#This Row],[Pts/G]]*(Table2[[#This Row],[Games Playable]]/82))</f>
        <v>25.524390243902438</v>
      </c>
      <c r="M115" s="95" cm="1">
        <f t="array" aca="1" ref="M115" ca="1">Table2[[#This Row],[Playable x Score]]*_xlfn.IFS(Table2[[#This Row],[Pos]]="D",assumptions!$B$15,Table2[[#This Row],[Pos]]="F", assumptions!$B$14,Table2[[#This Row],[Pos]]="G",assumptions!$B$16)</f>
        <v>25.524390243902438</v>
      </c>
    </row>
    <row r="116" spans="1:13" x14ac:dyDescent="0.3">
      <c r="A116">
        <f>'score estimates'!$A116</f>
        <v>113</v>
      </c>
      <c r="B116" t="str">
        <f>'score estimates'!$B116</f>
        <v>Logan Couture</v>
      </c>
      <c r="C116" t="str">
        <f>'score estimates'!$D116</f>
        <v>F</v>
      </c>
      <c r="D116" t="str">
        <f>'score estimates'!$C116</f>
        <v>SJ</v>
      </c>
      <c r="E116" s="75">
        <f>'score estimates'!$F116</f>
        <v>25.646341463414632</v>
      </c>
      <c r="F116" s="71">
        <f>'score estimates'!$G116</f>
        <v>146</v>
      </c>
      <c r="G116" s="71" t="s">
        <v>983</v>
      </c>
      <c r="H116" s="72" cm="1">
        <f t="array" aca="1" ref="H11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16" s="96">
        <f ca="1">IF(Table2[[#This Row],[Team]]="FA",0,Table2[[#This Row],[Pts/G]]*(1-Table2[[#This Row],[% Pos Overlap]]))</f>
        <v>25.646341463414632</v>
      </c>
      <c r="J116" s="72" cm="1">
        <f t="array" aca="1" ref="J116" ca="1">(INDIRECT(ADDRESS((_xlfn.XMATCH(Table2[[#This Row],[Team]],Schedule!$A$1:$A$33)),5,1,1,"Sched Overlap")))</f>
        <v>0.63492063492063477</v>
      </c>
      <c r="K116" s="92" cm="1">
        <f t="array" aca="1" ref="K11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16" s="95">
        <f ca="1">IF(Table2[[#This Row],[Team]]="FA",0,Table2[[#This Row],[Pts/G]]*(Table2[[#This Row],[Games Playable]]/82))</f>
        <v>25.646341463414632</v>
      </c>
      <c r="M116" s="95" cm="1">
        <f t="array" aca="1" ref="M116" ca="1">Table2[[#This Row],[Playable x Score]]*_xlfn.IFS(Table2[[#This Row],[Pos]]="D",assumptions!$B$15,Table2[[#This Row],[Pos]]="F", assumptions!$B$14,Table2[[#This Row],[Pos]]="G",assumptions!$B$16)</f>
        <v>25.646341463414632</v>
      </c>
    </row>
    <row r="117" spans="1:13" x14ac:dyDescent="0.3">
      <c r="A117">
        <f>'score estimates'!$A117</f>
        <v>114</v>
      </c>
      <c r="B117" t="str">
        <f>'score estimates'!$B117</f>
        <v>Tyler Seguin</v>
      </c>
      <c r="C117" t="str">
        <f>'score estimates'!$D117</f>
        <v>F</v>
      </c>
      <c r="D117" t="str">
        <f>'score estimates'!$C117</f>
        <v>DAL</v>
      </c>
      <c r="E117" s="75">
        <f>'score estimates'!$F117</f>
        <v>25.853658536585368</v>
      </c>
      <c r="F117" s="71">
        <f>'score estimates'!$G117</f>
        <v>143</v>
      </c>
      <c r="G117" s="71" t="s">
        <v>983</v>
      </c>
      <c r="H117" s="72" cm="1">
        <f t="array" aca="1" ref="H11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17" s="96">
        <f ca="1">IF(Table2[[#This Row],[Team]]="FA",0,Table2[[#This Row],[Pts/G]]*(1-Table2[[#This Row],[% Pos Overlap]]))</f>
        <v>25.853658536585368</v>
      </c>
      <c r="J117" s="72" cm="1">
        <f t="array" aca="1" ref="J117" ca="1">(INDIRECT(ADDRESS((_xlfn.XMATCH(Table2[[#This Row],[Team]],Schedule!$A$1:$A$33)),5,1,1,"Sched Overlap")))</f>
        <v>0.65364265364265373</v>
      </c>
      <c r="K117" s="92" cm="1">
        <f t="array" aca="1" ref="K11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17" s="95">
        <f ca="1">IF(Table2[[#This Row],[Team]]="FA",0,Table2[[#This Row],[Pts/G]]*(Table2[[#This Row],[Games Playable]]/82))</f>
        <v>25.853658536585368</v>
      </c>
      <c r="M117" s="95" cm="1">
        <f t="array" aca="1" ref="M117" ca="1">Table2[[#This Row],[Playable x Score]]*_xlfn.IFS(Table2[[#This Row],[Pos]]="D",assumptions!$B$15,Table2[[#This Row],[Pos]]="F", assumptions!$B$14,Table2[[#This Row],[Pos]]="G",assumptions!$B$16)</f>
        <v>25.853658536585368</v>
      </c>
    </row>
    <row r="118" spans="1:13" x14ac:dyDescent="0.3">
      <c r="A118">
        <f>'score estimates'!$A118</f>
        <v>115</v>
      </c>
      <c r="B118" t="str">
        <f>'score estimates'!$B118</f>
        <v>Brock Nelson</v>
      </c>
      <c r="C118" t="str">
        <f>'score estimates'!$D118</f>
        <v>F</v>
      </c>
      <c r="D118" t="str">
        <f>'score estimates'!$C118</f>
        <v>NYI</v>
      </c>
      <c r="E118" s="75">
        <f>'score estimates'!$F118</f>
        <v>25.329268292682926</v>
      </c>
      <c r="F118" s="71">
        <f>'score estimates'!$G118</f>
        <v>154</v>
      </c>
      <c r="G118" s="71" t="s">
        <v>983</v>
      </c>
      <c r="H118" s="72" cm="1">
        <f t="array" aca="1" ref="H11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18" s="96">
        <f ca="1">IF(Table2[[#This Row],[Team]]="FA",0,Table2[[#This Row],[Pts/G]]*(1-Table2[[#This Row],[% Pos Overlap]]))</f>
        <v>25.329268292682926</v>
      </c>
      <c r="J118" s="72" cm="1">
        <f t="array" aca="1" ref="J118" ca="1">(INDIRECT(ADDRESS((_xlfn.XMATCH(Table2[[#This Row],[Team]],Schedule!$A$1:$A$33)),5,1,1,"Sched Overlap")))</f>
        <v>0.63166463166463194</v>
      </c>
      <c r="K118" s="92" cm="1">
        <f t="array" aca="1" ref="K11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18" s="95">
        <f ca="1">IF(Table2[[#This Row],[Team]]="FA",0,Table2[[#This Row],[Pts/G]]*(Table2[[#This Row],[Games Playable]]/82))</f>
        <v>25.329268292682926</v>
      </c>
      <c r="M118" s="95" cm="1">
        <f t="array" aca="1" ref="M118" ca="1">Table2[[#This Row],[Playable x Score]]*_xlfn.IFS(Table2[[#This Row],[Pos]]="D",assumptions!$B$15,Table2[[#This Row],[Pos]]="F", assumptions!$B$14,Table2[[#This Row],[Pos]]="G",assumptions!$B$16)</f>
        <v>25.329268292682926</v>
      </c>
    </row>
    <row r="119" spans="1:13" x14ac:dyDescent="0.3">
      <c r="A119">
        <f>'score estimates'!$A119</f>
        <v>116</v>
      </c>
      <c r="B119" t="str">
        <f>'score estimates'!$B119</f>
        <v>Oliver Bjorkstrand</v>
      </c>
      <c r="C119" t="str">
        <f>'score estimates'!$D119</f>
        <v>F</v>
      </c>
      <c r="D119" t="str">
        <f>'score estimates'!$C119</f>
        <v>SEA</v>
      </c>
      <c r="E119" s="75">
        <f>'score estimates'!$F119</f>
        <v>22.878048780487806</v>
      </c>
      <c r="F119" s="71">
        <f>'score estimates'!$G119</f>
        <v>187</v>
      </c>
      <c r="G119" s="71" t="s">
        <v>983</v>
      </c>
      <c r="H119" s="72" cm="1">
        <f t="array" aca="1" ref="H11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19" s="96">
        <f ca="1">IF(Table2[[#This Row],[Team]]="FA",0,Table2[[#This Row],[Pts/G]]*(1-Table2[[#This Row],[% Pos Overlap]]))</f>
        <v>22.878048780487806</v>
      </c>
      <c r="J119" s="72" cm="1">
        <f t="array" aca="1" ref="J119" ca="1">(INDIRECT(ADDRESS((_xlfn.XMATCH(Table2[[#This Row],[Team]],Schedule!$A$1:$A$33)),5,1,1,"Sched Overlap")))</f>
        <v>0.63085063085063087</v>
      </c>
      <c r="K119" s="92" cm="1">
        <f t="array" aca="1" ref="K11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19" s="95">
        <f ca="1">IF(Table2[[#This Row],[Team]]="FA",0,Table2[[#This Row],[Pts/G]]*(Table2[[#This Row],[Games Playable]]/82))</f>
        <v>22.878048780487806</v>
      </c>
      <c r="M119" s="95" cm="1">
        <f t="array" aca="1" ref="M119" ca="1">Table2[[#This Row],[Playable x Score]]*_xlfn.IFS(Table2[[#This Row],[Pos]]="D",assumptions!$B$15,Table2[[#This Row],[Pos]]="F", assumptions!$B$14,Table2[[#This Row],[Pos]]="G",assumptions!$B$16)</f>
        <v>22.878048780487806</v>
      </c>
    </row>
    <row r="120" spans="1:13" x14ac:dyDescent="0.3">
      <c r="A120">
        <f>'score estimates'!$A120</f>
        <v>117</v>
      </c>
      <c r="B120" t="str">
        <f>'score estimates'!$B120</f>
        <v>Travis Konecny</v>
      </c>
      <c r="C120" t="str">
        <f>'score estimates'!$D120</f>
        <v>F</v>
      </c>
      <c r="D120" t="str">
        <f>'score estimates'!$C120</f>
        <v>PHI</v>
      </c>
      <c r="E120" s="75">
        <f>'score estimates'!$F120</f>
        <v>25.048780487804876</v>
      </c>
      <c r="F120" s="71">
        <f>'score estimates'!$G120</f>
        <v>155</v>
      </c>
      <c r="G120" s="71" t="s">
        <v>983</v>
      </c>
      <c r="H120" s="72" cm="1">
        <f t="array" aca="1" ref="H12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20" s="96">
        <f ca="1">IF(Table2[[#This Row],[Team]]="FA",0,Table2[[#This Row],[Pts/G]]*(1-Table2[[#This Row],[% Pos Overlap]]))</f>
        <v>25.048780487804876</v>
      </c>
      <c r="J120" s="72" cm="1">
        <f t="array" aca="1" ref="J120" ca="1">(INDIRECT(ADDRESS((_xlfn.XMATCH(Table2[[#This Row],[Team]],Schedule!$A$1:$A$33)),5,1,1,"Sched Overlap")))</f>
        <v>0.66910866910866917</v>
      </c>
      <c r="K120" s="92" cm="1">
        <f t="array" aca="1" ref="K12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20" s="95">
        <f ca="1">IF(Table2[[#This Row],[Team]]="FA",0,Table2[[#This Row],[Pts/G]]*(Table2[[#This Row],[Games Playable]]/82))</f>
        <v>25.048780487804876</v>
      </c>
      <c r="M120" s="95" cm="1">
        <f t="array" aca="1" ref="M120" ca="1">Table2[[#This Row],[Playable x Score]]*_xlfn.IFS(Table2[[#This Row],[Pos]]="D",assumptions!$B$15,Table2[[#This Row],[Pos]]="F", assumptions!$B$14,Table2[[#This Row],[Pos]]="G",assumptions!$B$16)</f>
        <v>25.048780487804876</v>
      </c>
    </row>
    <row r="121" spans="1:13" x14ac:dyDescent="0.3">
      <c r="A121">
        <f>'score estimates'!$A121</f>
        <v>118</v>
      </c>
      <c r="B121" t="str">
        <f>'score estimates'!$B121</f>
        <v>Devon Toews</v>
      </c>
      <c r="C121" t="str">
        <f>'score estimates'!$D121</f>
        <v>D</v>
      </c>
      <c r="D121" t="str">
        <f>'score estimates'!$C121</f>
        <v>COL</v>
      </c>
      <c r="E121" s="75">
        <f>'score estimates'!$F121</f>
        <v>30.23170731707317</v>
      </c>
      <c r="F121" s="71">
        <f>'score estimates'!$G121</f>
        <v>86</v>
      </c>
      <c r="G121" s="71" t="s">
        <v>983</v>
      </c>
      <c r="H121" s="72" cm="1">
        <f t="array" aca="1" ref="H12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21" s="96">
        <f ca="1">IF(Table2[[#This Row],[Team]]="FA",0,Table2[[#This Row],[Pts/G]]*(1-Table2[[#This Row],[% Pos Overlap]]))</f>
        <v>30.23170731707317</v>
      </c>
      <c r="J121" s="72" cm="1">
        <f t="array" aca="1" ref="J121" ca="1">(INDIRECT(ADDRESS((_xlfn.XMATCH(Table2[[#This Row],[Team]],Schedule!$A$1:$A$33)),5,1,1,"Sched Overlap")))</f>
        <v>0.61131461131461151</v>
      </c>
      <c r="K121" s="92" cm="1">
        <f t="array" aca="1" ref="K12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21" s="95">
        <f ca="1">IF(Table2[[#This Row],[Team]]="FA",0,Table2[[#This Row],[Pts/G]]*(Table2[[#This Row],[Games Playable]]/82))</f>
        <v>30.23170731707317</v>
      </c>
      <c r="M121" s="95" cm="1">
        <f t="array" aca="1" ref="M121" ca="1">Table2[[#This Row],[Playable x Score]]*_xlfn.IFS(Table2[[#This Row],[Pos]]="D",assumptions!$B$15,Table2[[#This Row],[Pos]]="F", assumptions!$B$14,Table2[[#This Row],[Pos]]="G",assumptions!$B$16)</f>
        <v>37.789634146341463</v>
      </c>
    </row>
    <row r="122" spans="1:13" x14ac:dyDescent="0.3">
      <c r="A122">
        <f>'score estimates'!$A122</f>
        <v>119</v>
      </c>
      <c r="B122" t="str">
        <f>'score estimates'!$B122</f>
        <v>Zach Hyman</v>
      </c>
      <c r="C122" t="str">
        <f>'score estimates'!$D122</f>
        <v>F</v>
      </c>
      <c r="D122" t="str">
        <f>'score estimates'!$C122</f>
        <v>EDM</v>
      </c>
      <c r="E122" s="75">
        <f>'score estimates'!$F122</f>
        <v>27.036585365853657</v>
      </c>
      <c r="F122" s="71">
        <f>'score estimates'!$G122</f>
        <v>120</v>
      </c>
      <c r="G122" s="71" t="s">
        <v>983</v>
      </c>
      <c r="H122" s="72" cm="1">
        <f t="array" aca="1" ref="H12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22" s="96">
        <f ca="1">IF(Table2[[#This Row],[Team]]="FA",0,Table2[[#This Row],[Pts/G]]*(1-Table2[[#This Row],[% Pos Overlap]]))</f>
        <v>27.036585365853657</v>
      </c>
      <c r="J122" s="72" cm="1">
        <f t="array" aca="1" ref="J122" ca="1">(INDIRECT(ADDRESS((_xlfn.XMATCH(Table2[[#This Row],[Team]],Schedule!$A$1:$A$33)),5,1,1,"Sched Overlap")))</f>
        <v>0.62026862026862029</v>
      </c>
      <c r="K122" s="92" cm="1">
        <f t="array" aca="1" ref="K12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22" s="95">
        <f ca="1">IF(Table2[[#This Row],[Team]]="FA",0,Table2[[#This Row],[Pts/G]]*(Table2[[#This Row],[Games Playable]]/82))</f>
        <v>27.036585365853657</v>
      </c>
      <c r="M122" s="95" cm="1">
        <f t="array" aca="1" ref="M122" ca="1">Table2[[#This Row],[Playable x Score]]*_xlfn.IFS(Table2[[#This Row],[Pos]]="D",assumptions!$B$15,Table2[[#This Row],[Pos]]="F", assumptions!$B$14,Table2[[#This Row],[Pos]]="G",assumptions!$B$16)</f>
        <v>27.036585365853657</v>
      </c>
    </row>
    <row r="123" spans="1:13" x14ac:dyDescent="0.3">
      <c r="A123">
        <f>'score estimates'!$A123</f>
        <v>120</v>
      </c>
      <c r="B123" t="str">
        <f>'score estimates'!$B123</f>
        <v>Victor Olofsson</v>
      </c>
      <c r="C123" t="str">
        <f>'score estimates'!$D123</f>
        <v>F</v>
      </c>
      <c r="D123" t="str">
        <f>'score estimates'!$C123</f>
        <v>BUF</v>
      </c>
      <c r="E123" s="75">
        <f>'score estimates'!$F123</f>
        <v>21.304878048780488</v>
      </c>
      <c r="F123" s="71">
        <f>'score estimates'!$G123</f>
        <v>215</v>
      </c>
      <c r="G123" s="71" t="s">
        <v>983</v>
      </c>
      <c r="H123" s="72" cm="1">
        <f t="array" aca="1" ref="H12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23" s="96">
        <f ca="1">IF(Table2[[#This Row],[Team]]="FA",0,Table2[[#This Row],[Pts/G]]*(1-Table2[[#This Row],[% Pos Overlap]]))</f>
        <v>21.304878048780488</v>
      </c>
      <c r="J123" s="72" cm="1">
        <f t="array" aca="1" ref="J123" ca="1">(INDIRECT(ADDRESS((_xlfn.XMATCH(Table2[[#This Row],[Team]],Schedule!$A$1:$A$33)),5,1,1,"Sched Overlap")))</f>
        <v>0.63573463573463573</v>
      </c>
      <c r="K123" s="92" cm="1">
        <f t="array" aca="1" ref="K12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23" s="95">
        <f ca="1">IF(Table2[[#This Row],[Team]]="FA",0,Table2[[#This Row],[Pts/G]]*(Table2[[#This Row],[Games Playable]]/82))</f>
        <v>21.304878048780488</v>
      </c>
      <c r="M123" s="95" cm="1">
        <f t="array" aca="1" ref="M123" ca="1">Table2[[#This Row],[Playable x Score]]*_xlfn.IFS(Table2[[#This Row],[Pos]]="D",assumptions!$B$15,Table2[[#This Row],[Pos]]="F", assumptions!$B$14,Table2[[#This Row],[Pos]]="G",assumptions!$B$16)</f>
        <v>21.304878048780488</v>
      </c>
    </row>
    <row r="124" spans="1:13" x14ac:dyDescent="0.3">
      <c r="A124">
        <f>'score estimates'!$A124</f>
        <v>121</v>
      </c>
      <c r="B124" t="str">
        <f>'score estimates'!$B124</f>
        <v>Ryan Hartman</v>
      </c>
      <c r="C124" t="str">
        <f>'score estimates'!$D124</f>
        <v>F</v>
      </c>
      <c r="D124" t="str">
        <f>'score estimates'!$C124</f>
        <v>MIN</v>
      </c>
      <c r="E124" s="75">
        <f>'score estimates'!$F124</f>
        <v>31.195121951219512</v>
      </c>
      <c r="F124" s="71">
        <f>'score estimates'!$G124</f>
        <v>76</v>
      </c>
      <c r="G124" s="71" t="s">
        <v>983</v>
      </c>
      <c r="H124" s="72" cm="1">
        <f t="array" aca="1" ref="H12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24" s="96">
        <f ca="1">IF(Table2[[#This Row],[Team]]="FA",0,Table2[[#This Row],[Pts/G]]*(1-Table2[[#This Row],[% Pos Overlap]]))</f>
        <v>31.195121951219512</v>
      </c>
      <c r="J124" s="72" cm="1">
        <f t="array" aca="1" ref="J124" ca="1">(INDIRECT(ADDRESS((_xlfn.XMATCH(Table2[[#This Row],[Team]],Schedule!$A$1:$A$33)),5,1,1,"Sched Overlap")))</f>
        <v>0.62108262108262113</v>
      </c>
      <c r="K124" s="92" cm="1">
        <f t="array" aca="1" ref="K12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24" s="95">
        <f ca="1">IF(Table2[[#This Row],[Team]]="FA",0,Table2[[#This Row],[Pts/G]]*(Table2[[#This Row],[Games Playable]]/82))</f>
        <v>31.195121951219512</v>
      </c>
      <c r="M124" s="95" cm="1">
        <f t="array" aca="1" ref="M124" ca="1">Table2[[#This Row],[Playable x Score]]*_xlfn.IFS(Table2[[#This Row],[Pos]]="D",assumptions!$B$15,Table2[[#This Row],[Pos]]="F", assumptions!$B$14,Table2[[#This Row],[Pos]]="G",assumptions!$B$16)</f>
        <v>31.195121951219512</v>
      </c>
    </row>
    <row r="125" spans="1:13" x14ac:dyDescent="0.3">
      <c r="A125">
        <f>'score estimates'!$A125</f>
        <v>122</v>
      </c>
      <c r="B125" t="str">
        <f>'score estimates'!$B125</f>
        <v>Connor Brown</v>
      </c>
      <c r="C125" t="str">
        <f>'score estimates'!$D125</f>
        <v>F</v>
      </c>
      <c r="D125" t="str">
        <f>'score estimates'!$C125</f>
        <v>WAS</v>
      </c>
      <c r="E125" s="75">
        <f>'score estimates'!$F125</f>
        <v>24.719512195121951</v>
      </c>
      <c r="F125" s="71">
        <f>'score estimates'!$G125</f>
        <v>161</v>
      </c>
      <c r="G125" s="71" t="s">
        <v>983</v>
      </c>
      <c r="H125" s="72" cm="1">
        <f t="array" aca="1" ref="H12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25" s="96">
        <f ca="1">IF(Table2[[#This Row],[Team]]="FA",0,Table2[[#This Row],[Pts/G]]*(1-Table2[[#This Row],[% Pos Overlap]]))</f>
        <v>24.719512195121951</v>
      </c>
      <c r="J125" s="72" cm="1">
        <f t="array" aca="1" ref="J125" ca="1">(INDIRECT(ADDRESS((_xlfn.XMATCH(Table2[[#This Row],[Team]],Schedule!$A$1:$A$33)),5,1,1,"Sched Overlap")))</f>
        <v>0.65282865282865288</v>
      </c>
      <c r="K125" s="92" cm="1">
        <f t="array" aca="1" ref="K12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25" s="95">
        <f ca="1">IF(Table2[[#This Row],[Team]]="FA",0,Table2[[#This Row],[Pts/G]]*(Table2[[#This Row],[Games Playable]]/82))</f>
        <v>24.719512195121951</v>
      </c>
      <c r="M125" s="95" cm="1">
        <f t="array" aca="1" ref="M125" ca="1">Table2[[#This Row],[Playable x Score]]*_xlfn.IFS(Table2[[#This Row],[Pos]]="D",assumptions!$B$15,Table2[[#This Row],[Pos]]="F", assumptions!$B$14,Table2[[#This Row],[Pos]]="G",assumptions!$B$16)</f>
        <v>24.719512195121951</v>
      </c>
    </row>
    <row r="126" spans="1:13" x14ac:dyDescent="0.3">
      <c r="A126">
        <f>'score estimates'!$A126</f>
        <v>123</v>
      </c>
      <c r="B126" t="str">
        <f>'score estimates'!$B126</f>
        <v>Tyler Toffoli</v>
      </c>
      <c r="C126" t="str">
        <f>'score estimates'!$D126</f>
        <v>F</v>
      </c>
      <c r="D126" t="str">
        <f>'score estimates'!$C126</f>
        <v>CGY</v>
      </c>
      <c r="E126" s="75">
        <f>'score estimates'!$F126</f>
        <v>26.292682926829269</v>
      </c>
      <c r="F126" s="71">
        <f>'score estimates'!$G126</f>
        <v>134</v>
      </c>
      <c r="G126" s="71" t="s">
        <v>983</v>
      </c>
      <c r="H126" s="72" cm="1">
        <f t="array" aca="1" ref="H12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26" s="96">
        <f ca="1">IF(Table2[[#This Row],[Team]]="FA",0,Table2[[#This Row],[Pts/G]]*(1-Table2[[#This Row],[% Pos Overlap]]))</f>
        <v>26.292682926829269</v>
      </c>
      <c r="J126" s="72" cm="1">
        <f t="array" aca="1" ref="J126" ca="1">(INDIRECT(ADDRESS((_xlfn.XMATCH(Table2[[#This Row],[Team]],Schedule!$A$1:$A$33)),5,1,1,"Sched Overlap")))</f>
        <v>0.63003663003663002</v>
      </c>
      <c r="K126" s="92" cm="1">
        <f t="array" aca="1" ref="K12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26" s="95">
        <f ca="1">IF(Table2[[#This Row],[Team]]="FA",0,Table2[[#This Row],[Pts/G]]*(Table2[[#This Row],[Games Playable]]/82))</f>
        <v>26.292682926829269</v>
      </c>
      <c r="M126" s="95" cm="1">
        <f t="array" aca="1" ref="M126" ca="1">Table2[[#This Row],[Playable x Score]]*_xlfn.IFS(Table2[[#This Row],[Pos]]="D",assumptions!$B$15,Table2[[#This Row],[Pos]]="F", assumptions!$B$14,Table2[[#This Row],[Pos]]="G",assumptions!$B$16)</f>
        <v>26.292682926829269</v>
      </c>
    </row>
    <row r="127" spans="1:13" x14ac:dyDescent="0.3">
      <c r="A127">
        <f>'score estimates'!$A127</f>
        <v>124</v>
      </c>
      <c r="B127" t="str">
        <f>'score estimates'!$B127</f>
        <v>Gustav Nyquist</v>
      </c>
      <c r="C127" t="str">
        <f>'score estimates'!$D127</f>
        <v>F</v>
      </c>
      <c r="D127" t="str">
        <f>'score estimates'!$C127</f>
        <v>CLS</v>
      </c>
      <c r="E127" s="75">
        <f>'score estimates'!$F127</f>
        <v>22.707317073170731</v>
      </c>
      <c r="F127" s="71">
        <f>'score estimates'!$G127</f>
        <v>191</v>
      </c>
      <c r="G127" s="71" t="s">
        <v>983</v>
      </c>
      <c r="H127" s="72" cm="1">
        <f t="array" aca="1" ref="H12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27" s="96">
        <f ca="1">IF(Table2[[#This Row],[Team]]="FA",0,Table2[[#This Row],[Pts/G]]*(1-Table2[[#This Row],[% Pos Overlap]]))</f>
        <v>22.707317073170731</v>
      </c>
      <c r="J127" s="72" cm="1">
        <f t="array" aca="1" ref="J127" ca="1">(INDIRECT(ADDRESS((_xlfn.XMATCH(Table2[[#This Row],[Team]],Schedule!$A$1:$A$33)),5,1,1,"Sched Overlap")))</f>
        <v>0.64875864875864886</v>
      </c>
      <c r="K127" s="92" cm="1">
        <f t="array" aca="1" ref="K12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27" s="95">
        <f ca="1">IF(Table2[[#This Row],[Team]]="FA",0,Table2[[#This Row],[Pts/G]]*(Table2[[#This Row],[Games Playable]]/82))</f>
        <v>22.707317073170731</v>
      </c>
      <c r="M127" s="95" cm="1">
        <f t="array" aca="1" ref="M127" ca="1">Table2[[#This Row],[Playable x Score]]*_xlfn.IFS(Table2[[#This Row],[Pos]]="D",assumptions!$B$15,Table2[[#This Row],[Pos]]="F", assumptions!$B$14,Table2[[#This Row],[Pos]]="G",assumptions!$B$16)</f>
        <v>22.707317073170731</v>
      </c>
    </row>
    <row r="128" spans="1:13" x14ac:dyDescent="0.3">
      <c r="A128">
        <f>'score estimates'!$A128</f>
        <v>125</v>
      </c>
      <c r="B128" t="str">
        <f>'score estimates'!$B128</f>
        <v>Phil Kessel</v>
      </c>
      <c r="C128" t="str">
        <f>'score estimates'!$D128</f>
        <v>F</v>
      </c>
      <c r="D128" t="str">
        <f>'score estimates'!$C128</f>
        <v>VGK</v>
      </c>
      <c r="E128" s="75">
        <f>'score estimates'!$F128</f>
        <v>20.987804878048781</v>
      </c>
      <c r="F128" s="71">
        <f>'score estimates'!$G128</f>
        <v>224</v>
      </c>
      <c r="G128" s="71" t="s">
        <v>983</v>
      </c>
      <c r="H128" s="72" cm="1">
        <f t="array" aca="1" ref="H12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28" s="96">
        <f ca="1">IF(Table2[[#This Row],[Team]]="FA",0,Table2[[#This Row],[Pts/G]]*(1-Table2[[#This Row],[% Pos Overlap]]))</f>
        <v>20.987804878048781</v>
      </c>
      <c r="J128" s="72" cm="1">
        <f t="array" aca="1" ref="J128" ca="1">(INDIRECT(ADDRESS((_xlfn.XMATCH(Table2[[#This Row],[Team]],Schedule!$A$1:$A$33)),5,1,1,"Sched Overlap")))</f>
        <v>0.66992266992266991</v>
      </c>
      <c r="K128" s="92" cm="1">
        <f t="array" aca="1" ref="K12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28" s="95">
        <f ca="1">IF(Table2[[#This Row],[Team]]="FA",0,Table2[[#This Row],[Pts/G]]*(Table2[[#This Row],[Games Playable]]/82))</f>
        <v>20.987804878048781</v>
      </c>
      <c r="M128" s="95" cm="1">
        <f t="array" aca="1" ref="M128" ca="1">Table2[[#This Row],[Playable x Score]]*_xlfn.IFS(Table2[[#This Row],[Pos]]="D",assumptions!$B$15,Table2[[#This Row],[Pos]]="F", assumptions!$B$14,Table2[[#This Row],[Pos]]="G",assumptions!$B$16)</f>
        <v>20.987804878048781</v>
      </c>
    </row>
    <row r="129" spans="1:13" x14ac:dyDescent="0.3">
      <c r="A129">
        <f>'score estimates'!$A129</f>
        <v>126</v>
      </c>
      <c r="B129" t="str">
        <f>'score estimates'!$B129</f>
        <v>Drew Doughty</v>
      </c>
      <c r="C129" t="str">
        <f>'score estimates'!$D129</f>
        <v>D</v>
      </c>
      <c r="D129" t="str">
        <f>'score estimates'!$C129</f>
        <v>LA</v>
      </c>
      <c r="E129" s="75">
        <f>'score estimates'!$F129</f>
        <v>27.878048780487806</v>
      </c>
      <c r="F129" s="71">
        <f>'score estimates'!$G129</f>
        <v>112</v>
      </c>
      <c r="G129" s="71" t="s">
        <v>983</v>
      </c>
      <c r="H129" s="72" cm="1">
        <f t="array" aca="1" ref="H12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29" s="96">
        <f ca="1">IF(Table2[[#This Row],[Team]]="FA",0,Table2[[#This Row],[Pts/G]]*(1-Table2[[#This Row],[% Pos Overlap]]))</f>
        <v>27.878048780487806</v>
      </c>
      <c r="J129" s="72" cm="1">
        <f t="array" aca="1" ref="J129" ca="1">(INDIRECT(ADDRESS((_xlfn.XMATCH(Table2[[#This Row],[Team]],Schedule!$A$1:$A$33)),5,1,1,"Sched Overlap")))</f>
        <v>0.65201465201465225</v>
      </c>
      <c r="K129" s="92" cm="1">
        <f t="array" aca="1" ref="K12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29" s="95">
        <f ca="1">IF(Table2[[#This Row],[Team]]="FA",0,Table2[[#This Row],[Pts/G]]*(Table2[[#This Row],[Games Playable]]/82))</f>
        <v>27.878048780487806</v>
      </c>
      <c r="M129" s="95" cm="1">
        <f t="array" aca="1" ref="M129" ca="1">Table2[[#This Row],[Playable x Score]]*_xlfn.IFS(Table2[[#This Row],[Pos]]="D",assumptions!$B$15,Table2[[#This Row],[Pos]]="F", assumptions!$B$14,Table2[[#This Row],[Pos]]="G",assumptions!$B$16)</f>
        <v>34.84756097560976</v>
      </c>
    </row>
    <row r="130" spans="1:13" x14ac:dyDescent="0.3">
      <c r="A130">
        <f>'score estimates'!$A130</f>
        <v>127</v>
      </c>
      <c r="B130" t="str">
        <f>'score estimates'!$B130</f>
        <v>Brayden Schenn</v>
      </c>
      <c r="C130" t="str">
        <f>'score estimates'!$D130</f>
        <v>F</v>
      </c>
      <c r="D130" t="str">
        <f>'score estimates'!$C130</f>
        <v>STL</v>
      </c>
      <c r="E130" s="75">
        <f>'score estimates'!$F130</f>
        <v>25.646341463414632</v>
      </c>
      <c r="F130" s="71">
        <f>'score estimates'!$G130</f>
        <v>146</v>
      </c>
      <c r="G130" s="71" t="s">
        <v>983</v>
      </c>
      <c r="H130" s="72" cm="1">
        <f t="array" aca="1" ref="H13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30" s="96">
        <f ca="1">IF(Table2[[#This Row],[Team]]="FA",0,Table2[[#This Row],[Pts/G]]*(1-Table2[[#This Row],[% Pos Overlap]]))</f>
        <v>25.646341463414632</v>
      </c>
      <c r="J130" s="72" cm="1">
        <f t="array" aca="1" ref="J130" ca="1">(INDIRECT(ADDRESS((_xlfn.XMATCH(Table2[[#This Row],[Team]],Schedule!$A$1:$A$33)),5,1,1,"Sched Overlap")))</f>
        <v>0.65120065120065118</v>
      </c>
      <c r="K130" s="92" cm="1">
        <f t="array" aca="1" ref="K13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30" s="95">
        <f ca="1">IF(Table2[[#This Row],[Team]]="FA",0,Table2[[#This Row],[Pts/G]]*(Table2[[#This Row],[Games Playable]]/82))</f>
        <v>25.646341463414632</v>
      </c>
      <c r="M130" s="95" cm="1">
        <f t="array" aca="1" ref="M130" ca="1">Table2[[#This Row],[Playable x Score]]*_xlfn.IFS(Table2[[#This Row],[Pos]]="D",assumptions!$B$15,Table2[[#This Row],[Pos]]="F", assumptions!$B$14,Table2[[#This Row],[Pos]]="G",assumptions!$B$16)</f>
        <v>25.646341463414632</v>
      </c>
    </row>
    <row r="131" spans="1:13" x14ac:dyDescent="0.3">
      <c r="A131">
        <f>'score estimates'!$A131</f>
        <v>128</v>
      </c>
      <c r="B131" t="str">
        <f>'score estimates'!$B131</f>
        <v>Jeff Skinner</v>
      </c>
      <c r="C131" t="str">
        <f>'score estimates'!$D131</f>
        <v>F</v>
      </c>
      <c r="D131" t="str">
        <f>'score estimates'!$C131</f>
        <v>BUF</v>
      </c>
      <c r="E131" s="75">
        <f>'score estimates'!$F131</f>
        <v>24.341463414634145</v>
      </c>
      <c r="F131" s="71">
        <f>'score estimates'!$G131</f>
        <v>169</v>
      </c>
      <c r="G131" s="71" t="s">
        <v>983</v>
      </c>
      <c r="H131" s="72" cm="1">
        <f t="array" aca="1" ref="H13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31" s="96">
        <f ca="1">IF(Table2[[#This Row],[Team]]="FA",0,Table2[[#This Row],[Pts/G]]*(1-Table2[[#This Row],[% Pos Overlap]]))</f>
        <v>24.341463414634145</v>
      </c>
      <c r="J131" s="72" cm="1">
        <f t="array" aca="1" ref="J131" ca="1">(INDIRECT(ADDRESS((_xlfn.XMATCH(Table2[[#This Row],[Team]],Schedule!$A$1:$A$33)),5,1,1,"Sched Overlap")))</f>
        <v>0.63573463573463573</v>
      </c>
      <c r="K131" s="92" cm="1">
        <f t="array" aca="1" ref="K13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31" s="95">
        <f ca="1">IF(Table2[[#This Row],[Team]]="FA",0,Table2[[#This Row],[Pts/G]]*(Table2[[#This Row],[Games Playable]]/82))</f>
        <v>24.341463414634145</v>
      </c>
      <c r="M131" s="95" cm="1">
        <f t="array" aca="1" ref="M131" ca="1">Table2[[#This Row],[Playable x Score]]*_xlfn.IFS(Table2[[#This Row],[Pos]]="D",assumptions!$B$15,Table2[[#This Row],[Pos]]="F", assumptions!$B$14,Table2[[#This Row],[Pos]]="G",assumptions!$B$16)</f>
        <v>24.341463414634145</v>
      </c>
    </row>
    <row r="132" spans="1:13" x14ac:dyDescent="0.3">
      <c r="A132">
        <f>'score estimates'!$A132</f>
        <v>129</v>
      </c>
      <c r="B132" t="str">
        <f>'score estimates'!$B132</f>
        <v>Ondrej Palat</v>
      </c>
      <c r="C132" t="str">
        <f>'score estimates'!$D132</f>
        <v>F</v>
      </c>
      <c r="D132" t="str">
        <f>'score estimates'!$C132</f>
        <v>NJ</v>
      </c>
      <c r="E132" s="75">
        <f>'score estimates'!$F132</f>
        <v>25.865853658536587</v>
      </c>
      <c r="F132" s="71">
        <f>'score estimates'!$G132</f>
        <v>142</v>
      </c>
      <c r="G132" s="71" t="s">
        <v>983</v>
      </c>
      <c r="H132" s="72" cm="1">
        <f t="array" aca="1" ref="H13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32" s="96">
        <f ca="1">IF(Table2[[#This Row],[Team]]="FA",0,Table2[[#This Row],[Pts/G]]*(1-Table2[[#This Row],[% Pos Overlap]]))</f>
        <v>25.865853658536587</v>
      </c>
      <c r="J132" s="72" cm="1">
        <f t="array" aca="1" ref="J132" ca="1">(INDIRECT(ADDRESS((_xlfn.XMATCH(Table2[[#This Row],[Team]],Schedule!$A$1:$A$33)),5,1,1,"Sched Overlap")))</f>
        <v>0.66259666259666272</v>
      </c>
      <c r="K132" s="92" cm="1">
        <f t="array" aca="1" ref="K13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32" s="95">
        <f ca="1">IF(Table2[[#This Row],[Team]]="FA",0,Table2[[#This Row],[Pts/G]]*(Table2[[#This Row],[Games Playable]]/82))</f>
        <v>25.865853658536587</v>
      </c>
      <c r="M132" s="95" cm="1">
        <f t="array" aca="1" ref="M132" ca="1">Table2[[#This Row],[Playable x Score]]*_xlfn.IFS(Table2[[#This Row],[Pos]]="D",assumptions!$B$15,Table2[[#This Row],[Pos]]="F", assumptions!$B$14,Table2[[#This Row],[Pos]]="G",assumptions!$B$16)</f>
        <v>25.865853658536587</v>
      </c>
    </row>
    <row r="133" spans="1:13" x14ac:dyDescent="0.3">
      <c r="A133">
        <f>'score estimates'!$A133</f>
        <v>130</v>
      </c>
      <c r="B133" t="str">
        <f>'score estimates'!$B133</f>
        <v>Anders Lee</v>
      </c>
      <c r="C133" t="str">
        <f>'score estimates'!$D133</f>
        <v>F</v>
      </c>
      <c r="D133" t="str">
        <f>'score estimates'!$C133</f>
        <v>NYI</v>
      </c>
      <c r="E133" s="75">
        <f>'score estimates'!$F133</f>
        <v>25.012195121951219</v>
      </c>
      <c r="F133" s="71">
        <f>'score estimates'!$G133</f>
        <v>156</v>
      </c>
      <c r="G133" s="71" t="s">
        <v>983</v>
      </c>
      <c r="H133" s="72" cm="1">
        <f t="array" aca="1" ref="H13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33" s="96">
        <f ca="1">IF(Table2[[#This Row],[Team]]="FA",0,Table2[[#This Row],[Pts/G]]*(1-Table2[[#This Row],[% Pos Overlap]]))</f>
        <v>25.012195121951219</v>
      </c>
      <c r="J133" s="72" cm="1">
        <f t="array" aca="1" ref="J133" ca="1">(INDIRECT(ADDRESS((_xlfn.XMATCH(Table2[[#This Row],[Team]],Schedule!$A$1:$A$33)),5,1,1,"Sched Overlap")))</f>
        <v>0.63166463166463194</v>
      </c>
      <c r="K133" s="92" cm="1">
        <f t="array" aca="1" ref="K13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33" s="95">
        <f ca="1">IF(Table2[[#This Row],[Team]]="FA",0,Table2[[#This Row],[Pts/G]]*(Table2[[#This Row],[Games Playable]]/82))</f>
        <v>25.012195121951219</v>
      </c>
      <c r="M133" s="95" cm="1">
        <f t="array" aca="1" ref="M133" ca="1">Table2[[#This Row],[Playable x Score]]*_xlfn.IFS(Table2[[#This Row],[Pos]]="D",assumptions!$B$15,Table2[[#This Row],[Pos]]="F", assumptions!$B$14,Table2[[#This Row],[Pos]]="G",assumptions!$B$16)</f>
        <v>25.012195121951219</v>
      </c>
    </row>
    <row r="134" spans="1:13" x14ac:dyDescent="0.3">
      <c r="A134">
        <f>'score estimates'!$A134</f>
        <v>131</v>
      </c>
      <c r="B134" t="str">
        <f>'score estimates'!$B134</f>
        <v>Yanni Gourde</v>
      </c>
      <c r="C134" t="str">
        <f>'score estimates'!$D134</f>
        <v>F</v>
      </c>
      <c r="D134" t="str">
        <f>'score estimates'!$C134</f>
        <v>SEA</v>
      </c>
      <c r="E134" s="75">
        <f>'score estimates'!$F134</f>
        <v>23.756097560975611</v>
      </c>
      <c r="F134" s="71">
        <f>'score estimates'!$G134</f>
        <v>174</v>
      </c>
      <c r="G134" s="71" t="s">
        <v>983</v>
      </c>
      <c r="H134" s="72" cm="1">
        <f t="array" aca="1" ref="H13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34" s="96">
        <f ca="1">IF(Table2[[#This Row],[Team]]="FA",0,Table2[[#This Row],[Pts/G]]*(1-Table2[[#This Row],[% Pos Overlap]]))</f>
        <v>23.756097560975611</v>
      </c>
      <c r="J134" s="72" cm="1">
        <f t="array" aca="1" ref="J134" ca="1">(INDIRECT(ADDRESS((_xlfn.XMATCH(Table2[[#This Row],[Team]],Schedule!$A$1:$A$33)),5,1,1,"Sched Overlap")))</f>
        <v>0.63085063085063087</v>
      </c>
      <c r="K134" s="92" cm="1">
        <f t="array" aca="1" ref="K13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34" s="95">
        <f ca="1">IF(Table2[[#This Row],[Team]]="FA",0,Table2[[#This Row],[Pts/G]]*(Table2[[#This Row],[Games Playable]]/82))</f>
        <v>23.756097560975611</v>
      </c>
      <c r="M134" s="95" cm="1">
        <f t="array" aca="1" ref="M134" ca="1">Table2[[#This Row],[Playable x Score]]*_xlfn.IFS(Table2[[#This Row],[Pos]]="D",assumptions!$B$15,Table2[[#This Row],[Pos]]="F", assumptions!$B$14,Table2[[#This Row],[Pos]]="G",assumptions!$B$16)</f>
        <v>23.756097560975611</v>
      </c>
    </row>
    <row r="135" spans="1:13" x14ac:dyDescent="0.3">
      <c r="A135">
        <f>'score estimates'!$A135</f>
        <v>132</v>
      </c>
      <c r="B135" t="str">
        <f>'score estimates'!$B135</f>
        <v>Shea Theodore</v>
      </c>
      <c r="C135" t="str">
        <f>'score estimates'!$D135</f>
        <v>D</v>
      </c>
      <c r="D135" t="str">
        <f>'score estimates'!$C135</f>
        <v>VGK</v>
      </c>
      <c r="E135" s="75">
        <f>'score estimates'!$F135</f>
        <v>27.097560975609756</v>
      </c>
      <c r="F135" s="71">
        <f>'score estimates'!$G135</f>
        <v>119</v>
      </c>
      <c r="G135" s="71" t="s">
        <v>983</v>
      </c>
      <c r="H135" s="72" cm="1">
        <f t="array" aca="1" ref="H13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35" s="96">
        <f ca="1">IF(Table2[[#This Row],[Team]]="FA",0,Table2[[#This Row],[Pts/G]]*(1-Table2[[#This Row],[% Pos Overlap]]))</f>
        <v>27.097560975609756</v>
      </c>
      <c r="J135" s="72" cm="1">
        <f t="array" aca="1" ref="J135" ca="1">(INDIRECT(ADDRESS((_xlfn.XMATCH(Table2[[#This Row],[Team]],Schedule!$A$1:$A$33)),5,1,1,"Sched Overlap")))</f>
        <v>0.66992266992266991</v>
      </c>
      <c r="K135" s="92" cm="1">
        <f t="array" aca="1" ref="K13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35" s="95">
        <f ca="1">IF(Table2[[#This Row],[Team]]="FA",0,Table2[[#This Row],[Pts/G]]*(Table2[[#This Row],[Games Playable]]/82))</f>
        <v>27.097560975609756</v>
      </c>
      <c r="M135" s="95" cm="1">
        <f t="array" aca="1" ref="M135" ca="1">Table2[[#This Row],[Playable x Score]]*_xlfn.IFS(Table2[[#This Row],[Pos]]="D",assumptions!$B$15,Table2[[#This Row],[Pos]]="F", assumptions!$B$14,Table2[[#This Row],[Pos]]="G",assumptions!$B$16)</f>
        <v>33.871951219512198</v>
      </c>
    </row>
    <row r="136" spans="1:13" x14ac:dyDescent="0.3">
      <c r="A136">
        <f>'score estimates'!$A136</f>
        <v>133</v>
      </c>
      <c r="B136" t="str">
        <f>'score estimates'!$B136</f>
        <v>Carter Verhaeghe</v>
      </c>
      <c r="C136" t="str">
        <f>'score estimates'!$D136</f>
        <v>F</v>
      </c>
      <c r="D136" t="str">
        <f>'score estimates'!$C136</f>
        <v>FLA</v>
      </c>
      <c r="E136" s="75">
        <f>'score estimates'!$F136</f>
        <v>26.378048780487806</v>
      </c>
      <c r="F136" s="71">
        <f>'score estimates'!$G136</f>
        <v>133</v>
      </c>
      <c r="G136" s="71" t="s">
        <v>983</v>
      </c>
      <c r="H136" s="72" cm="1">
        <f t="array" aca="1" ref="H13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36" s="96">
        <f ca="1">IF(Table2[[#This Row],[Team]]="FA",0,Table2[[#This Row],[Pts/G]]*(1-Table2[[#This Row],[% Pos Overlap]]))</f>
        <v>26.378048780487806</v>
      </c>
      <c r="J136" s="72" cm="1">
        <f t="array" aca="1" ref="J136" ca="1">(INDIRECT(ADDRESS((_xlfn.XMATCH(Table2[[#This Row],[Team]],Schedule!$A$1:$A$33)),5,1,1,"Sched Overlap")))</f>
        <v>0.64387464387464377</v>
      </c>
      <c r="K136" s="92" cm="1">
        <f t="array" aca="1" ref="K13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36" s="95">
        <f ca="1">IF(Table2[[#This Row],[Team]]="FA",0,Table2[[#This Row],[Pts/G]]*(Table2[[#This Row],[Games Playable]]/82))</f>
        <v>26.378048780487806</v>
      </c>
      <c r="M136" s="95" cm="1">
        <f t="array" aca="1" ref="M136" ca="1">Table2[[#This Row],[Playable x Score]]*_xlfn.IFS(Table2[[#This Row],[Pos]]="D",assumptions!$B$15,Table2[[#This Row],[Pos]]="F", assumptions!$B$14,Table2[[#This Row],[Pos]]="G",assumptions!$B$16)</f>
        <v>26.378048780487806</v>
      </c>
    </row>
    <row r="137" spans="1:13" x14ac:dyDescent="0.3">
      <c r="A137">
        <f>'score estimates'!$A137</f>
        <v>134</v>
      </c>
      <c r="B137" t="str">
        <f>'score estimates'!$B137</f>
        <v>Brock Boeser</v>
      </c>
      <c r="C137" t="str">
        <f>'score estimates'!$D137</f>
        <v>F</v>
      </c>
      <c r="D137" t="str">
        <f>'score estimates'!$C137</f>
        <v>VAN</v>
      </c>
      <c r="E137" s="75">
        <f>'score estimates'!$F137</f>
        <v>25.634146341463413</v>
      </c>
      <c r="F137" s="71">
        <f>'score estimates'!$G137</f>
        <v>148</v>
      </c>
      <c r="G137" s="71" t="s">
        <v>983</v>
      </c>
      <c r="H137" s="72" cm="1">
        <f t="array" aca="1" ref="H13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37" s="96">
        <f ca="1">IF(Table2[[#This Row],[Team]]="FA",0,Table2[[#This Row],[Pts/G]]*(1-Table2[[#This Row],[% Pos Overlap]]))</f>
        <v>25.634146341463413</v>
      </c>
      <c r="J137" s="72" cm="1">
        <f t="array" aca="1" ref="J137" ca="1">(INDIRECT(ADDRESS((_xlfn.XMATCH(Table2[[#This Row],[Team]],Schedule!$A$1:$A$33)),5,1,1,"Sched Overlap")))</f>
        <v>0.62922262922262917</v>
      </c>
      <c r="K137" s="92" cm="1">
        <f t="array" aca="1" ref="K13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37" s="95">
        <f ca="1">IF(Table2[[#This Row],[Team]]="FA",0,Table2[[#This Row],[Pts/G]]*(Table2[[#This Row],[Games Playable]]/82))</f>
        <v>25.634146341463413</v>
      </c>
      <c r="M137" s="95" cm="1">
        <f t="array" aca="1" ref="M137" ca="1">Table2[[#This Row],[Playable x Score]]*_xlfn.IFS(Table2[[#This Row],[Pos]]="D",assumptions!$B$15,Table2[[#This Row],[Pos]]="F", assumptions!$B$14,Table2[[#This Row],[Pos]]="G",assumptions!$B$16)</f>
        <v>25.634146341463413</v>
      </c>
    </row>
    <row r="138" spans="1:13" x14ac:dyDescent="0.3">
      <c r="A138">
        <f>'score estimates'!$A138</f>
        <v>135</v>
      </c>
      <c r="B138" t="str">
        <f>'score estimates'!$B138</f>
        <v>Cole Caufield</v>
      </c>
      <c r="C138" t="str">
        <f>'score estimates'!$D138</f>
        <v>F</v>
      </c>
      <c r="D138" t="str">
        <f>'score estimates'!$C138</f>
        <v>MON</v>
      </c>
      <c r="E138" s="75">
        <f>'score estimates'!$F138</f>
        <v>21.292682926829269</v>
      </c>
      <c r="F138" s="71">
        <f>'score estimates'!$G138</f>
        <v>216</v>
      </c>
      <c r="G138" s="71" t="s">
        <v>983</v>
      </c>
      <c r="H138" s="72" cm="1">
        <f t="array" aca="1" ref="H13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38" s="96">
        <f ca="1">IF(Table2[[#This Row],[Team]]="FA",0,Table2[[#This Row],[Pts/G]]*(1-Table2[[#This Row],[% Pos Overlap]]))</f>
        <v>21.292682926829269</v>
      </c>
      <c r="J138" s="72" cm="1">
        <f t="array" aca="1" ref="J138" ca="1">(INDIRECT(ADDRESS((_xlfn.XMATCH(Table2[[#This Row],[Team]],Schedule!$A$1:$A$33)),5,1,1,"Sched Overlap")))</f>
        <v>0.66666666666666685</v>
      </c>
      <c r="K138" s="92" cm="1">
        <f t="array" aca="1" ref="K13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38" s="95">
        <f ca="1">IF(Table2[[#This Row],[Team]]="FA",0,Table2[[#This Row],[Pts/G]]*(Table2[[#This Row],[Games Playable]]/82))</f>
        <v>21.292682926829269</v>
      </c>
      <c r="M138" s="95" cm="1">
        <f t="array" aca="1" ref="M138" ca="1">Table2[[#This Row],[Playable x Score]]*_xlfn.IFS(Table2[[#This Row],[Pos]]="D",assumptions!$B$15,Table2[[#This Row],[Pos]]="F", assumptions!$B$14,Table2[[#This Row],[Pos]]="G",assumptions!$B$16)</f>
        <v>21.292682926829269</v>
      </c>
    </row>
    <row r="139" spans="1:13" x14ac:dyDescent="0.3">
      <c r="A139">
        <f>'score estimates'!$A139</f>
        <v>136</v>
      </c>
      <c r="B139" t="str">
        <f>'score estimates'!$B139</f>
        <v>Noah Dobson</v>
      </c>
      <c r="C139" t="str">
        <f>'score estimates'!$D139</f>
        <v>D</v>
      </c>
      <c r="D139" t="str">
        <f>'score estimates'!$C139</f>
        <v>NYI</v>
      </c>
      <c r="E139" s="75">
        <f>'score estimates'!$F139</f>
        <v>26.26829268292683</v>
      </c>
      <c r="F139" s="71">
        <f>'score estimates'!$G139</f>
        <v>135</v>
      </c>
      <c r="G139" s="71" t="s">
        <v>983</v>
      </c>
      <c r="H139" s="72" cm="1">
        <f t="array" aca="1" ref="H13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39" s="96">
        <f ca="1">IF(Table2[[#This Row],[Team]]="FA",0,Table2[[#This Row],[Pts/G]]*(1-Table2[[#This Row],[% Pos Overlap]]))</f>
        <v>26.26829268292683</v>
      </c>
      <c r="J139" s="72" cm="1">
        <f t="array" aca="1" ref="J139" ca="1">(INDIRECT(ADDRESS((_xlfn.XMATCH(Table2[[#This Row],[Team]],Schedule!$A$1:$A$33)),5,1,1,"Sched Overlap")))</f>
        <v>0.63166463166463194</v>
      </c>
      <c r="K139" s="92" cm="1">
        <f t="array" aca="1" ref="K13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39" s="95">
        <f ca="1">IF(Table2[[#This Row],[Team]]="FA",0,Table2[[#This Row],[Pts/G]]*(Table2[[#This Row],[Games Playable]]/82))</f>
        <v>26.26829268292683</v>
      </c>
      <c r="M139" s="95" cm="1">
        <f t="array" aca="1" ref="M139" ca="1">Table2[[#This Row],[Playable x Score]]*_xlfn.IFS(Table2[[#This Row],[Pos]]="D",assumptions!$B$15,Table2[[#This Row],[Pos]]="F", assumptions!$B$14,Table2[[#This Row],[Pos]]="G",assumptions!$B$16)</f>
        <v>32.835365853658537</v>
      </c>
    </row>
    <row r="140" spans="1:13" x14ac:dyDescent="0.3">
      <c r="A140">
        <f>'score estimates'!$A140</f>
        <v>137</v>
      </c>
      <c r="B140" t="str">
        <f>'score estimates'!$B140</f>
        <v>Anton Lundell</v>
      </c>
      <c r="C140" t="str">
        <f>'score estimates'!$D140</f>
        <v>F</v>
      </c>
      <c r="D140" t="str">
        <f>'score estimates'!$C140</f>
        <v>FLA</v>
      </c>
      <c r="E140" s="75">
        <f>'score estimates'!$F140</f>
        <v>27.317073170731707</v>
      </c>
      <c r="F140" s="71">
        <f>'score estimates'!$G140</f>
        <v>118</v>
      </c>
      <c r="G140" s="71" t="s">
        <v>983</v>
      </c>
      <c r="H140" s="72" cm="1">
        <f t="array" aca="1" ref="H14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40" s="96">
        <f ca="1">IF(Table2[[#This Row],[Team]]="FA",0,Table2[[#This Row],[Pts/G]]*(1-Table2[[#This Row],[% Pos Overlap]]))</f>
        <v>27.317073170731707</v>
      </c>
      <c r="J140" s="72" cm="1">
        <f t="array" aca="1" ref="J140" ca="1">(INDIRECT(ADDRESS((_xlfn.XMATCH(Table2[[#This Row],[Team]],Schedule!$A$1:$A$33)),5,1,1,"Sched Overlap")))</f>
        <v>0.64387464387464377</v>
      </c>
      <c r="K140" s="92" cm="1">
        <f t="array" aca="1" ref="K14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40" s="95">
        <f ca="1">IF(Table2[[#This Row],[Team]]="FA",0,Table2[[#This Row],[Pts/G]]*(Table2[[#This Row],[Games Playable]]/82))</f>
        <v>27.317073170731707</v>
      </c>
      <c r="M140" s="95" cm="1">
        <f t="array" aca="1" ref="M140" ca="1">Table2[[#This Row],[Playable x Score]]*_xlfn.IFS(Table2[[#This Row],[Pos]]="D",assumptions!$B$15,Table2[[#This Row],[Pos]]="F", assumptions!$B$14,Table2[[#This Row],[Pos]]="G",assumptions!$B$16)</f>
        <v>27.317073170731707</v>
      </c>
    </row>
    <row r="141" spans="1:13" x14ac:dyDescent="0.3">
      <c r="A141">
        <f>'score estimates'!$A141</f>
        <v>138</v>
      </c>
      <c r="B141" t="str">
        <f>'score estimates'!$B141</f>
        <v>Jack Roslovic</v>
      </c>
      <c r="C141" t="str">
        <f>'score estimates'!$D141</f>
        <v>F</v>
      </c>
      <c r="D141" t="str">
        <f>'score estimates'!$C141</f>
        <v>CLS</v>
      </c>
      <c r="E141" s="75">
        <f>'score estimates'!$F141</f>
        <v>23.402439024390244</v>
      </c>
      <c r="F141" s="71">
        <f>'score estimates'!$G141</f>
        <v>176</v>
      </c>
      <c r="G141" s="71" t="s">
        <v>983</v>
      </c>
      <c r="H141" s="72" cm="1">
        <f t="array" aca="1" ref="H14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41" s="96">
        <f ca="1">IF(Table2[[#This Row],[Team]]="FA",0,Table2[[#This Row],[Pts/G]]*(1-Table2[[#This Row],[% Pos Overlap]]))</f>
        <v>23.402439024390244</v>
      </c>
      <c r="J141" s="72" cm="1">
        <f t="array" aca="1" ref="J141" ca="1">(INDIRECT(ADDRESS((_xlfn.XMATCH(Table2[[#This Row],[Team]],Schedule!$A$1:$A$33)),5,1,1,"Sched Overlap")))</f>
        <v>0.64875864875864886</v>
      </c>
      <c r="K141" s="92" cm="1">
        <f t="array" aca="1" ref="K14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41" s="95">
        <f ca="1">IF(Table2[[#This Row],[Team]]="FA",0,Table2[[#This Row],[Pts/G]]*(Table2[[#This Row],[Games Playable]]/82))</f>
        <v>23.402439024390244</v>
      </c>
      <c r="M141" s="95" cm="1">
        <f t="array" aca="1" ref="M141" ca="1">Table2[[#This Row],[Playable x Score]]*_xlfn.IFS(Table2[[#This Row],[Pos]]="D",assumptions!$B$15,Table2[[#This Row],[Pos]]="F", assumptions!$B$14,Table2[[#This Row],[Pos]]="G",assumptions!$B$16)</f>
        <v>23.402439024390244</v>
      </c>
    </row>
    <row r="142" spans="1:13" x14ac:dyDescent="0.3">
      <c r="A142">
        <f>'score estimates'!$A142</f>
        <v>139</v>
      </c>
      <c r="B142" t="str">
        <f>'score estimates'!$B142</f>
        <v>Dylan Strome</v>
      </c>
      <c r="C142" t="str">
        <f>'score estimates'!$D142</f>
        <v>F</v>
      </c>
      <c r="D142" t="str">
        <f>'score estimates'!$C142</f>
        <v>WAS</v>
      </c>
      <c r="E142" s="75">
        <f>'score estimates'!$F142</f>
        <v>23.243902439024389</v>
      </c>
      <c r="F142" s="71">
        <f>'score estimates'!$G142</f>
        <v>179</v>
      </c>
      <c r="G142" s="71" t="s">
        <v>983</v>
      </c>
      <c r="H142" s="72" cm="1">
        <f t="array" aca="1" ref="H14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42" s="96">
        <f ca="1">IF(Table2[[#This Row],[Team]]="FA",0,Table2[[#This Row],[Pts/G]]*(1-Table2[[#This Row],[% Pos Overlap]]))</f>
        <v>23.243902439024389</v>
      </c>
      <c r="J142" s="72" cm="1">
        <f t="array" aca="1" ref="J142" ca="1">(INDIRECT(ADDRESS((_xlfn.XMATCH(Table2[[#This Row],[Team]],Schedule!$A$1:$A$33)),5,1,1,"Sched Overlap")))</f>
        <v>0.65282865282865288</v>
      </c>
      <c r="K142" s="92" cm="1">
        <f t="array" aca="1" ref="K14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42" s="95">
        <f ca="1">IF(Table2[[#This Row],[Team]]="FA",0,Table2[[#This Row],[Pts/G]]*(Table2[[#This Row],[Games Playable]]/82))</f>
        <v>23.243902439024389</v>
      </c>
      <c r="M142" s="95" cm="1">
        <f t="array" aca="1" ref="M142" ca="1">Table2[[#This Row],[Playable x Score]]*_xlfn.IFS(Table2[[#This Row],[Pos]]="D",assumptions!$B$15,Table2[[#This Row],[Pos]]="F", assumptions!$B$14,Table2[[#This Row],[Pos]]="G",assumptions!$B$16)</f>
        <v>23.243902439024389</v>
      </c>
    </row>
    <row r="143" spans="1:13" x14ac:dyDescent="0.3">
      <c r="A143">
        <f>'score estimates'!$A143</f>
        <v>140</v>
      </c>
      <c r="B143" t="str">
        <f>'score estimates'!$B143</f>
        <v>Andrew Copp</v>
      </c>
      <c r="C143" t="str">
        <f>'score estimates'!$D143</f>
        <v>F</v>
      </c>
      <c r="D143" t="str">
        <f>'score estimates'!$C143</f>
        <v>DET</v>
      </c>
      <c r="E143" s="75">
        <f>'score estimates'!$F143</f>
        <v>24.926829268292682</v>
      </c>
      <c r="F143" s="71">
        <f>'score estimates'!$G143</f>
        <v>159</v>
      </c>
      <c r="G143" s="71" t="s">
        <v>983</v>
      </c>
      <c r="H143" s="72" cm="1">
        <f t="array" aca="1" ref="H14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43" s="96">
        <f ca="1">IF(Table2[[#This Row],[Team]]="FA",0,Table2[[#This Row],[Pts/G]]*(1-Table2[[#This Row],[% Pos Overlap]]))</f>
        <v>24.926829268292682</v>
      </c>
      <c r="J143" s="72" cm="1">
        <f t="array" aca="1" ref="J143" ca="1">(INDIRECT(ADDRESS((_xlfn.XMATCH(Table2[[#This Row],[Team]],Schedule!$A$1:$A$33)),5,1,1,"Sched Overlap")))</f>
        <v>0.64550264550264547</v>
      </c>
      <c r="K143" s="92" cm="1">
        <f t="array" aca="1" ref="K14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43" s="95">
        <f ca="1">IF(Table2[[#This Row],[Team]]="FA",0,Table2[[#This Row],[Pts/G]]*(Table2[[#This Row],[Games Playable]]/82))</f>
        <v>24.926829268292682</v>
      </c>
      <c r="M143" s="95" cm="1">
        <f t="array" aca="1" ref="M143" ca="1">Table2[[#This Row],[Playable x Score]]*_xlfn.IFS(Table2[[#This Row],[Pos]]="D",assumptions!$B$15,Table2[[#This Row],[Pos]]="F", assumptions!$B$14,Table2[[#This Row],[Pos]]="G",assumptions!$B$16)</f>
        <v>24.926829268292682</v>
      </c>
    </row>
    <row r="144" spans="1:13" x14ac:dyDescent="0.3">
      <c r="A144">
        <f>'score estimates'!$A144</f>
        <v>141</v>
      </c>
      <c r="B144" t="str">
        <f>'score estimates'!$B144</f>
        <v>Jakub Vrana</v>
      </c>
      <c r="C144" t="str">
        <f>'score estimates'!$D144</f>
        <v>F</v>
      </c>
      <c r="D144" t="str">
        <f>'score estimates'!$C144</f>
        <v>DET</v>
      </c>
      <c r="E144" s="75">
        <f>'score estimates'!$F144</f>
        <v>22.121951219512194</v>
      </c>
      <c r="F144" s="71">
        <f>'score estimates'!$G144</f>
        <v>199</v>
      </c>
      <c r="G144" s="71" t="s">
        <v>983</v>
      </c>
      <c r="H144" s="72" cm="1">
        <f t="array" aca="1" ref="H14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44" s="96">
        <f ca="1">IF(Table2[[#This Row],[Team]]="FA",0,Table2[[#This Row],[Pts/G]]*(1-Table2[[#This Row],[% Pos Overlap]]))</f>
        <v>22.121951219512194</v>
      </c>
      <c r="J144" s="72" cm="1">
        <f t="array" aca="1" ref="J144" ca="1">(INDIRECT(ADDRESS((_xlfn.XMATCH(Table2[[#This Row],[Team]],Schedule!$A$1:$A$33)),5,1,1,"Sched Overlap")))</f>
        <v>0.64550264550264547</v>
      </c>
      <c r="K144" s="92" cm="1">
        <f t="array" aca="1" ref="K14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44" s="95">
        <f ca="1">IF(Table2[[#This Row],[Team]]="FA",0,Table2[[#This Row],[Pts/G]]*(Table2[[#This Row],[Games Playable]]/82))</f>
        <v>22.121951219512194</v>
      </c>
      <c r="M144" s="95" cm="1">
        <f t="array" aca="1" ref="M144" ca="1">Table2[[#This Row],[Playable x Score]]*_xlfn.IFS(Table2[[#This Row],[Pos]]="D",assumptions!$B$15,Table2[[#This Row],[Pos]]="F", assumptions!$B$14,Table2[[#This Row],[Pos]]="G",assumptions!$B$16)</f>
        <v>22.121951219512194</v>
      </c>
    </row>
    <row r="145" spans="1:13" x14ac:dyDescent="0.3">
      <c r="A145">
        <f>'score estimates'!$A145</f>
        <v>142</v>
      </c>
      <c r="B145" t="str">
        <f>'score estimates'!$B145</f>
        <v>Miro Heiskanen</v>
      </c>
      <c r="C145" t="str">
        <f>'score estimates'!$D145</f>
        <v>D</v>
      </c>
      <c r="D145" t="str">
        <f>'score estimates'!$C145</f>
        <v>DAL</v>
      </c>
      <c r="E145" s="75">
        <f>'score estimates'!$F145</f>
        <v>26.012195121951219</v>
      </c>
      <c r="F145" s="71">
        <f>'score estimates'!$G145</f>
        <v>139</v>
      </c>
      <c r="G145" s="71" t="s">
        <v>983</v>
      </c>
      <c r="H145" s="72" cm="1">
        <f t="array" aca="1" ref="H14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45" s="96">
        <f ca="1">IF(Table2[[#This Row],[Team]]="FA",0,Table2[[#This Row],[Pts/G]]*(1-Table2[[#This Row],[% Pos Overlap]]))</f>
        <v>26.012195121951219</v>
      </c>
      <c r="J145" s="72" cm="1">
        <f t="array" aca="1" ref="J145" ca="1">(INDIRECT(ADDRESS((_xlfn.XMATCH(Table2[[#This Row],[Team]],Schedule!$A$1:$A$33)),5,1,1,"Sched Overlap")))</f>
        <v>0.65364265364265373</v>
      </c>
      <c r="K145" s="92" cm="1">
        <f t="array" aca="1" ref="K14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45" s="95">
        <f ca="1">IF(Table2[[#This Row],[Team]]="FA",0,Table2[[#This Row],[Pts/G]]*(Table2[[#This Row],[Games Playable]]/82))</f>
        <v>26.012195121951219</v>
      </c>
      <c r="M145" s="95" cm="1">
        <f t="array" aca="1" ref="M145" ca="1">Table2[[#This Row],[Playable x Score]]*_xlfn.IFS(Table2[[#This Row],[Pos]]="D",assumptions!$B$15,Table2[[#This Row],[Pos]]="F", assumptions!$B$14,Table2[[#This Row],[Pos]]="G",assumptions!$B$16)</f>
        <v>32.515243902439025</v>
      </c>
    </row>
    <row r="146" spans="1:13" x14ac:dyDescent="0.3">
      <c r="A146">
        <f>'score estimates'!$A146</f>
        <v>143</v>
      </c>
      <c r="B146" t="str">
        <f>'score estimates'!$B146</f>
        <v>Alex Kerfoot</v>
      </c>
      <c r="C146" t="str">
        <f>'score estimates'!$D146</f>
        <v>F</v>
      </c>
      <c r="D146" t="str">
        <f>'score estimates'!$C146</f>
        <v>TOR</v>
      </c>
      <c r="E146" s="75">
        <f>'score estimates'!$F146</f>
        <v>23.207317073170731</v>
      </c>
      <c r="F146" s="71">
        <f>'score estimates'!$G146</f>
        <v>181</v>
      </c>
      <c r="G146" s="71" t="s">
        <v>983</v>
      </c>
      <c r="H146" s="72" cm="1">
        <f t="array" aca="1" ref="H14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46" s="96">
        <f ca="1">IF(Table2[[#This Row],[Team]]="FA",0,Table2[[#This Row],[Pts/G]]*(1-Table2[[#This Row],[% Pos Overlap]]))</f>
        <v>23.207317073170731</v>
      </c>
      <c r="J146" s="72" cm="1">
        <f t="array" aca="1" ref="J146" ca="1">(INDIRECT(ADDRESS((_xlfn.XMATCH(Table2[[#This Row],[Team]],Schedule!$A$1:$A$33)),5,1,1,"Sched Overlap")))</f>
        <v>0.62922262922262928</v>
      </c>
      <c r="K146" s="92" cm="1">
        <f t="array" aca="1" ref="K14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46" s="95">
        <f ca="1">IF(Table2[[#This Row],[Team]]="FA",0,Table2[[#This Row],[Pts/G]]*(Table2[[#This Row],[Games Playable]]/82))</f>
        <v>23.207317073170731</v>
      </c>
      <c r="M146" s="95" cm="1">
        <f t="array" aca="1" ref="M146" ca="1">Table2[[#This Row],[Playable x Score]]*_xlfn.IFS(Table2[[#This Row],[Pos]]="D",assumptions!$B$15,Table2[[#This Row],[Pos]]="F", assumptions!$B$14,Table2[[#This Row],[Pos]]="G",assumptions!$B$16)</f>
        <v>23.207317073170731</v>
      </c>
    </row>
    <row r="147" spans="1:13" x14ac:dyDescent="0.3">
      <c r="A147">
        <f>'score estimates'!$A147</f>
        <v>144</v>
      </c>
      <c r="B147" t="str">
        <f>'score estimates'!$B147</f>
        <v>Joel Eriksson Ek</v>
      </c>
      <c r="C147" t="str">
        <f>'score estimates'!$D147</f>
        <v>F</v>
      </c>
      <c r="D147" t="str">
        <f>'score estimates'!$C147</f>
        <v>MIN</v>
      </c>
      <c r="E147" s="75">
        <f>'score estimates'!$F147</f>
        <v>28.426829268292682</v>
      </c>
      <c r="F147" s="71">
        <f>'score estimates'!$G147</f>
        <v>107</v>
      </c>
      <c r="G147" s="71" t="s">
        <v>983</v>
      </c>
      <c r="H147" s="72" cm="1">
        <f t="array" aca="1" ref="H14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47" s="96">
        <f ca="1">IF(Table2[[#This Row],[Team]]="FA",0,Table2[[#This Row],[Pts/G]]*(1-Table2[[#This Row],[% Pos Overlap]]))</f>
        <v>28.426829268292682</v>
      </c>
      <c r="J147" s="72" cm="1">
        <f t="array" aca="1" ref="J147" ca="1">(INDIRECT(ADDRESS((_xlfn.XMATCH(Table2[[#This Row],[Team]],Schedule!$A$1:$A$33)),5,1,1,"Sched Overlap")))</f>
        <v>0.62108262108262113</v>
      </c>
      <c r="K147" s="92" cm="1">
        <f t="array" aca="1" ref="K14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47" s="95">
        <f ca="1">IF(Table2[[#This Row],[Team]]="FA",0,Table2[[#This Row],[Pts/G]]*(Table2[[#This Row],[Games Playable]]/82))</f>
        <v>28.426829268292682</v>
      </c>
      <c r="M147" s="95" cm="1">
        <f t="array" aca="1" ref="M147" ca="1">Table2[[#This Row],[Playable x Score]]*_xlfn.IFS(Table2[[#This Row],[Pos]]="D",assumptions!$B$15,Table2[[#This Row],[Pos]]="F", assumptions!$B$14,Table2[[#This Row],[Pos]]="G",assumptions!$B$16)</f>
        <v>28.426829268292682</v>
      </c>
    </row>
    <row r="148" spans="1:13" x14ac:dyDescent="0.3">
      <c r="A148">
        <f>'score estimates'!$A148</f>
        <v>145</v>
      </c>
      <c r="B148" t="str">
        <f>'score estimates'!$B148</f>
        <v>Yegor Sharangovich</v>
      </c>
      <c r="C148" t="str">
        <f>'score estimates'!$D148</f>
        <v>F</v>
      </c>
      <c r="D148" t="str">
        <f>'score estimates'!$C148</f>
        <v>NJ</v>
      </c>
      <c r="E148" s="75">
        <f>'score estimates'!$F148</f>
        <v>21.865853658536587</v>
      </c>
      <c r="F148" s="71">
        <f>'score estimates'!$G148</f>
        <v>203</v>
      </c>
      <c r="G148" s="71" t="s">
        <v>983</v>
      </c>
      <c r="H148" s="72" cm="1">
        <f t="array" aca="1" ref="H14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48" s="96">
        <f ca="1">IF(Table2[[#This Row],[Team]]="FA",0,Table2[[#This Row],[Pts/G]]*(1-Table2[[#This Row],[% Pos Overlap]]))</f>
        <v>21.865853658536587</v>
      </c>
      <c r="J148" s="72" cm="1">
        <f t="array" aca="1" ref="J148" ca="1">(INDIRECT(ADDRESS((_xlfn.XMATCH(Table2[[#This Row],[Team]],Schedule!$A$1:$A$33)),5,1,1,"Sched Overlap")))</f>
        <v>0.66259666259666272</v>
      </c>
      <c r="K148" s="92" cm="1">
        <f t="array" aca="1" ref="K14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48" s="95">
        <f ca="1">IF(Table2[[#This Row],[Team]]="FA",0,Table2[[#This Row],[Pts/G]]*(Table2[[#This Row],[Games Playable]]/82))</f>
        <v>21.865853658536587</v>
      </c>
      <c r="M148" s="95" cm="1">
        <f t="array" aca="1" ref="M148" ca="1">Table2[[#This Row],[Playable x Score]]*_xlfn.IFS(Table2[[#This Row],[Pos]]="D",assumptions!$B$15,Table2[[#This Row],[Pos]]="F", assumptions!$B$14,Table2[[#This Row],[Pos]]="G",assumptions!$B$16)</f>
        <v>21.865853658536587</v>
      </c>
    </row>
    <row r="149" spans="1:13" x14ac:dyDescent="0.3">
      <c r="A149">
        <f>'score estimates'!$A149</f>
        <v>146</v>
      </c>
      <c r="B149" t="str">
        <f>'score estimates'!$B149</f>
        <v>Tony DeAngelo</v>
      </c>
      <c r="C149" t="str">
        <f>'score estimates'!$D149</f>
        <v>D</v>
      </c>
      <c r="D149" t="str">
        <f>'score estimates'!$C149</f>
        <v>PHI</v>
      </c>
      <c r="E149" s="75">
        <f>'score estimates'!$F149</f>
        <v>24.73170731707317</v>
      </c>
      <c r="F149" s="71">
        <f>'score estimates'!$G149</f>
        <v>160</v>
      </c>
      <c r="G149" s="71" t="s">
        <v>983</v>
      </c>
      <c r="H149" s="72" cm="1">
        <f t="array" aca="1" ref="H14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49" s="96">
        <f ca="1">IF(Table2[[#This Row],[Team]]="FA",0,Table2[[#This Row],[Pts/G]]*(1-Table2[[#This Row],[% Pos Overlap]]))</f>
        <v>24.73170731707317</v>
      </c>
      <c r="J149" s="72" cm="1">
        <f t="array" aca="1" ref="J149" ca="1">(INDIRECT(ADDRESS((_xlfn.XMATCH(Table2[[#This Row],[Team]],Schedule!$A$1:$A$33)),5,1,1,"Sched Overlap")))</f>
        <v>0.66910866910866917</v>
      </c>
      <c r="K149" s="92" cm="1">
        <f t="array" aca="1" ref="K14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49" s="95">
        <f ca="1">IF(Table2[[#This Row],[Team]]="FA",0,Table2[[#This Row],[Pts/G]]*(Table2[[#This Row],[Games Playable]]/82))</f>
        <v>24.73170731707317</v>
      </c>
      <c r="M149" s="95" cm="1">
        <f t="array" aca="1" ref="M149" ca="1">Table2[[#This Row],[Playable x Score]]*_xlfn.IFS(Table2[[#This Row],[Pos]]="D",assumptions!$B$15,Table2[[#This Row],[Pos]]="F", assumptions!$B$14,Table2[[#This Row],[Pos]]="G",assumptions!$B$16)</f>
        <v>30.914634146341463</v>
      </c>
    </row>
    <row r="150" spans="1:13" x14ac:dyDescent="0.3">
      <c r="A150">
        <f>'score estimates'!$A150</f>
        <v>147</v>
      </c>
      <c r="B150" t="str">
        <f>'score estimates'!$B150</f>
        <v>Sam Bennett</v>
      </c>
      <c r="C150" t="str">
        <f>'score estimates'!$D150</f>
        <v>F</v>
      </c>
      <c r="D150" t="str">
        <f>'score estimates'!$C150</f>
        <v>FLA</v>
      </c>
      <c r="E150" s="75">
        <f>'score estimates'!$F150</f>
        <v>30.524390243902438</v>
      </c>
      <c r="F150" s="71">
        <f>'score estimates'!$G150</f>
        <v>83</v>
      </c>
      <c r="G150" s="71" t="s">
        <v>983</v>
      </c>
      <c r="H150" s="72" cm="1">
        <f t="array" aca="1" ref="H15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50" s="96">
        <f ca="1">IF(Table2[[#This Row],[Team]]="FA",0,Table2[[#This Row],[Pts/G]]*(1-Table2[[#This Row],[% Pos Overlap]]))</f>
        <v>30.524390243902438</v>
      </c>
      <c r="J150" s="72" cm="1">
        <f t="array" aca="1" ref="J150" ca="1">(INDIRECT(ADDRESS((_xlfn.XMATCH(Table2[[#This Row],[Team]],Schedule!$A$1:$A$33)),5,1,1,"Sched Overlap")))</f>
        <v>0.64387464387464377</v>
      </c>
      <c r="K150" s="92" cm="1">
        <f t="array" aca="1" ref="K15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50" s="95">
        <f ca="1">IF(Table2[[#This Row],[Team]]="FA",0,Table2[[#This Row],[Pts/G]]*(Table2[[#This Row],[Games Playable]]/82))</f>
        <v>30.524390243902438</v>
      </c>
      <c r="M150" s="95" cm="1">
        <f t="array" aca="1" ref="M150" ca="1">Table2[[#This Row],[Playable x Score]]*_xlfn.IFS(Table2[[#This Row],[Pos]]="D",assumptions!$B$15,Table2[[#This Row],[Pos]]="F", assumptions!$B$14,Table2[[#This Row],[Pos]]="G",assumptions!$B$16)</f>
        <v>30.524390243902438</v>
      </c>
    </row>
    <row r="151" spans="1:13" x14ac:dyDescent="0.3">
      <c r="A151">
        <f>'score estimates'!$A151</f>
        <v>148</v>
      </c>
      <c r="B151" t="str">
        <f>'score estimates'!$B151</f>
        <v>Valeri Nichushkin</v>
      </c>
      <c r="C151" t="str">
        <f>'score estimates'!$D151</f>
        <v>F</v>
      </c>
      <c r="D151" t="str">
        <f>'score estimates'!$C151</f>
        <v>COL</v>
      </c>
      <c r="E151" s="75">
        <f>'score estimates'!$F151</f>
        <v>26.841463414634145</v>
      </c>
      <c r="F151" s="71">
        <f>'score estimates'!$G151</f>
        <v>124</v>
      </c>
      <c r="G151" s="71" t="s">
        <v>983</v>
      </c>
      <c r="H151" s="72" cm="1">
        <f t="array" aca="1" ref="H15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51" s="96">
        <f ca="1">IF(Table2[[#This Row],[Team]]="FA",0,Table2[[#This Row],[Pts/G]]*(1-Table2[[#This Row],[% Pos Overlap]]))</f>
        <v>26.841463414634145</v>
      </c>
      <c r="J151" s="72" cm="1">
        <f t="array" aca="1" ref="J151" ca="1">(INDIRECT(ADDRESS((_xlfn.XMATCH(Table2[[#This Row],[Team]],Schedule!$A$1:$A$33)),5,1,1,"Sched Overlap")))</f>
        <v>0.61131461131461151</v>
      </c>
      <c r="K151" s="92" cm="1">
        <f t="array" aca="1" ref="K15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51" s="95">
        <f ca="1">IF(Table2[[#This Row],[Team]]="FA",0,Table2[[#This Row],[Pts/G]]*(Table2[[#This Row],[Games Playable]]/82))</f>
        <v>26.841463414634145</v>
      </c>
      <c r="M151" s="95" cm="1">
        <f t="array" aca="1" ref="M151" ca="1">Table2[[#This Row],[Playable x Score]]*_xlfn.IFS(Table2[[#This Row],[Pos]]="D",assumptions!$B$15,Table2[[#This Row],[Pos]]="F", assumptions!$B$14,Table2[[#This Row],[Pos]]="G",assumptions!$B$16)</f>
        <v>26.841463414634145</v>
      </c>
    </row>
    <row r="152" spans="1:13" x14ac:dyDescent="0.3">
      <c r="A152">
        <f>'score estimates'!$A152</f>
        <v>149</v>
      </c>
      <c r="B152" t="str">
        <f>'score estimates'!$B152</f>
        <v>Phillip Danault</v>
      </c>
      <c r="C152" t="str">
        <f>'score estimates'!$D152</f>
        <v>F</v>
      </c>
      <c r="D152" t="str">
        <f>'score estimates'!$C152</f>
        <v>LA</v>
      </c>
      <c r="E152" s="75">
        <f>'score estimates'!$F152</f>
        <v>26.5</v>
      </c>
      <c r="F152" s="71">
        <f>'score estimates'!$G152</f>
        <v>132</v>
      </c>
      <c r="G152" s="71" t="s">
        <v>983</v>
      </c>
      <c r="H152" s="72" cm="1">
        <f t="array" aca="1" ref="H15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52" s="96">
        <f ca="1">IF(Table2[[#This Row],[Team]]="FA",0,Table2[[#This Row],[Pts/G]]*(1-Table2[[#This Row],[% Pos Overlap]]))</f>
        <v>26.5</v>
      </c>
      <c r="J152" s="72" cm="1">
        <f t="array" aca="1" ref="J152" ca="1">(INDIRECT(ADDRESS((_xlfn.XMATCH(Table2[[#This Row],[Team]],Schedule!$A$1:$A$33)),5,1,1,"Sched Overlap")))</f>
        <v>0.65201465201465225</v>
      </c>
      <c r="K152" s="92" cm="1">
        <f t="array" aca="1" ref="K15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52" s="95">
        <f ca="1">IF(Table2[[#This Row],[Team]]="FA",0,Table2[[#This Row],[Pts/G]]*(Table2[[#This Row],[Games Playable]]/82))</f>
        <v>26.5</v>
      </c>
      <c r="M152" s="95" cm="1">
        <f t="array" aca="1" ref="M152" ca="1">Table2[[#This Row],[Playable x Score]]*_xlfn.IFS(Table2[[#This Row],[Pos]]="D",assumptions!$B$15,Table2[[#This Row],[Pos]]="F", assumptions!$B$14,Table2[[#This Row],[Pos]]="G",assumptions!$B$16)</f>
        <v>26.5</v>
      </c>
    </row>
    <row r="153" spans="1:13" x14ac:dyDescent="0.3">
      <c r="A153">
        <f>'score estimates'!$A153</f>
        <v>150</v>
      </c>
      <c r="B153" t="str">
        <f>'score estimates'!$B153</f>
        <v>Reilly Smith</v>
      </c>
      <c r="C153" t="str">
        <f>'score estimates'!$D153</f>
        <v>F</v>
      </c>
      <c r="D153" t="str">
        <f>'score estimates'!$C153</f>
        <v>VGK</v>
      </c>
      <c r="E153" s="75">
        <f>'score estimates'!$F153</f>
        <v>24.5</v>
      </c>
      <c r="F153" s="71">
        <f>'score estimates'!$G153</f>
        <v>165</v>
      </c>
      <c r="G153" s="71" t="s">
        <v>983</v>
      </c>
      <c r="H153" s="72" cm="1">
        <f t="array" aca="1" ref="H15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53" s="96">
        <f ca="1">IF(Table2[[#This Row],[Team]]="FA",0,Table2[[#This Row],[Pts/G]]*(1-Table2[[#This Row],[% Pos Overlap]]))</f>
        <v>24.5</v>
      </c>
      <c r="J153" s="72" cm="1">
        <f t="array" aca="1" ref="J153" ca="1">(INDIRECT(ADDRESS((_xlfn.XMATCH(Table2[[#This Row],[Team]],Schedule!$A$1:$A$33)),5,1,1,"Sched Overlap")))</f>
        <v>0.66992266992266991</v>
      </c>
      <c r="K153" s="92" cm="1">
        <f t="array" aca="1" ref="K15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53" s="95">
        <f ca="1">IF(Table2[[#This Row],[Team]]="FA",0,Table2[[#This Row],[Pts/G]]*(Table2[[#This Row],[Games Playable]]/82))</f>
        <v>24.5</v>
      </c>
      <c r="M153" s="95" cm="1">
        <f t="array" aca="1" ref="M153" ca="1">Table2[[#This Row],[Playable x Score]]*_xlfn.IFS(Table2[[#This Row],[Pos]]="D",assumptions!$B$15,Table2[[#This Row],[Pos]]="F", assumptions!$B$14,Table2[[#This Row],[Pos]]="G",assumptions!$B$16)</f>
        <v>24.5</v>
      </c>
    </row>
    <row r="154" spans="1:13" x14ac:dyDescent="0.3">
      <c r="A154">
        <f>'score estimates'!$A154</f>
        <v>151</v>
      </c>
      <c r="B154" t="str">
        <f>'score estimates'!$B154</f>
        <v>Cam Atkinson</v>
      </c>
      <c r="C154" t="str">
        <f>'score estimates'!$D154</f>
        <v>F</v>
      </c>
      <c r="D154" t="str">
        <f>'score estimates'!$C154</f>
        <v>PHI</v>
      </c>
      <c r="E154" s="75">
        <f>'score estimates'!$F154</f>
        <v>22.829268292682926</v>
      </c>
      <c r="F154" s="71">
        <f>'score estimates'!$G154</f>
        <v>189</v>
      </c>
      <c r="G154" s="71" t="s">
        <v>983</v>
      </c>
      <c r="H154" s="72" cm="1">
        <f t="array" aca="1" ref="H15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54" s="96">
        <f ca="1">IF(Table2[[#This Row],[Team]]="FA",0,Table2[[#This Row],[Pts/G]]*(1-Table2[[#This Row],[% Pos Overlap]]))</f>
        <v>22.829268292682926</v>
      </c>
      <c r="J154" s="72" cm="1">
        <f t="array" aca="1" ref="J154" ca="1">(INDIRECT(ADDRESS((_xlfn.XMATCH(Table2[[#This Row],[Team]],Schedule!$A$1:$A$33)),5,1,1,"Sched Overlap")))</f>
        <v>0.66910866910866917</v>
      </c>
      <c r="K154" s="92" cm="1">
        <f t="array" aca="1" ref="K15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54" s="95">
        <f ca="1">IF(Table2[[#This Row],[Team]]="FA",0,Table2[[#This Row],[Pts/G]]*(Table2[[#This Row],[Games Playable]]/82))</f>
        <v>22.829268292682926</v>
      </c>
      <c r="M154" s="95" cm="1">
        <f t="array" aca="1" ref="M154" ca="1">Table2[[#This Row],[Playable x Score]]*_xlfn.IFS(Table2[[#This Row],[Pos]]="D",assumptions!$B$15,Table2[[#This Row],[Pos]]="F", assumptions!$B$14,Table2[[#This Row],[Pos]]="G",assumptions!$B$16)</f>
        <v>22.829268292682926</v>
      </c>
    </row>
    <row r="155" spans="1:13" x14ac:dyDescent="0.3">
      <c r="A155">
        <f>'score estimates'!$A155</f>
        <v>152</v>
      </c>
      <c r="B155" t="str">
        <f>'score estimates'!$B155</f>
        <v>Jamie Benn</v>
      </c>
      <c r="C155" t="str">
        <f>'score estimates'!$D155</f>
        <v>F</v>
      </c>
      <c r="D155" t="str">
        <f>'score estimates'!$C155</f>
        <v>DAL</v>
      </c>
      <c r="E155" s="75">
        <f>'score estimates'!$F155</f>
        <v>25.841463414634145</v>
      </c>
      <c r="F155" s="71">
        <f>'score estimates'!$G155</f>
        <v>144</v>
      </c>
      <c r="G155" s="71" t="s">
        <v>983</v>
      </c>
      <c r="H155" s="72" cm="1">
        <f t="array" aca="1" ref="H15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55" s="96">
        <f ca="1">IF(Table2[[#This Row],[Team]]="FA",0,Table2[[#This Row],[Pts/G]]*(1-Table2[[#This Row],[% Pos Overlap]]))</f>
        <v>25.841463414634145</v>
      </c>
      <c r="J155" s="72" cm="1">
        <f t="array" aca="1" ref="J155" ca="1">(INDIRECT(ADDRESS((_xlfn.XMATCH(Table2[[#This Row],[Team]],Schedule!$A$1:$A$33)),5,1,1,"Sched Overlap")))</f>
        <v>0.65364265364265373</v>
      </c>
      <c r="K155" s="92" cm="1">
        <f t="array" aca="1" ref="K15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55" s="95">
        <f ca="1">IF(Table2[[#This Row],[Team]]="FA",0,Table2[[#This Row],[Pts/G]]*(Table2[[#This Row],[Games Playable]]/82))</f>
        <v>25.841463414634145</v>
      </c>
      <c r="M155" s="95" cm="1">
        <f t="array" aca="1" ref="M155" ca="1">Table2[[#This Row],[Playable x Score]]*_xlfn.IFS(Table2[[#This Row],[Pos]]="D",assumptions!$B$15,Table2[[#This Row],[Pos]]="F", assumptions!$B$14,Table2[[#This Row],[Pos]]="G",assumptions!$B$16)</f>
        <v>25.841463414634145</v>
      </c>
    </row>
    <row r="156" spans="1:13" x14ac:dyDescent="0.3">
      <c r="A156">
        <f>'score estimates'!$A156</f>
        <v>153</v>
      </c>
      <c r="B156" t="str">
        <f>'score estimates'!$B156</f>
        <v>John Klingberg</v>
      </c>
      <c r="C156" t="str">
        <f>'score estimates'!$D156</f>
        <v>D</v>
      </c>
      <c r="D156" t="str">
        <f>'score estimates'!$C156</f>
        <v>ANH</v>
      </c>
      <c r="E156" s="75">
        <f>'score estimates'!$F156</f>
        <v>19.560975609756099</v>
      </c>
      <c r="F156" s="71">
        <f>'score estimates'!$G156</f>
        <v>259</v>
      </c>
      <c r="G156" s="71" t="s">
        <v>983</v>
      </c>
      <c r="H156" s="72" cm="1">
        <f t="array" aca="1" ref="H15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56" s="96">
        <f ca="1">IF(Table2[[#This Row],[Team]]="FA",0,Table2[[#This Row],[Pts/G]]*(1-Table2[[#This Row],[% Pos Overlap]]))</f>
        <v>19.560975609756099</v>
      </c>
      <c r="J156" s="72" cm="1">
        <f t="array" aca="1" ref="J156" ca="1">(INDIRECT(ADDRESS((_xlfn.XMATCH(Table2[[#This Row],[Team]],Schedule!$A$1:$A$33)),5,1,1,"Sched Overlap")))</f>
        <v>0.56410256410256399</v>
      </c>
      <c r="K156" s="92" cm="1">
        <f t="array" aca="1" ref="K15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56" s="95">
        <f ca="1">IF(Table2[[#This Row],[Team]]="FA",0,Table2[[#This Row],[Pts/G]]*(Table2[[#This Row],[Games Playable]]/82))</f>
        <v>19.560975609756099</v>
      </c>
      <c r="M156" s="95" cm="1">
        <f t="array" aca="1" ref="M156" ca="1">Table2[[#This Row],[Playable x Score]]*_xlfn.IFS(Table2[[#This Row],[Pos]]="D",assumptions!$B$15,Table2[[#This Row],[Pos]]="F", assumptions!$B$14,Table2[[#This Row],[Pos]]="G",assumptions!$B$16)</f>
        <v>24.451219512195124</v>
      </c>
    </row>
    <row r="157" spans="1:13" x14ac:dyDescent="0.3">
      <c r="A157">
        <f>'score estimates'!$A157</f>
        <v>154</v>
      </c>
      <c r="B157" t="str">
        <f>'score estimates'!$B157</f>
        <v>Seth Jones</v>
      </c>
      <c r="C157" t="str">
        <f>'score estimates'!$D157</f>
        <v>D</v>
      </c>
      <c r="D157" t="str">
        <f>'score estimates'!$C157</f>
        <v>CHI</v>
      </c>
      <c r="E157" s="75">
        <f>'score estimates'!$F157</f>
        <v>22.512195121951219</v>
      </c>
      <c r="F157" s="71">
        <f>'score estimates'!$G157</f>
        <v>192</v>
      </c>
      <c r="G157" s="71" t="s">
        <v>983</v>
      </c>
      <c r="H157" s="72" cm="1">
        <f t="array" aca="1" ref="H15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57" s="96">
        <f ca="1">IF(Table2[[#This Row],[Team]]="FA",0,Table2[[#This Row],[Pts/G]]*(1-Table2[[#This Row],[% Pos Overlap]]))</f>
        <v>22.512195121951219</v>
      </c>
      <c r="J157" s="72" cm="1">
        <f t="array" aca="1" ref="J157" ca="1">(INDIRECT(ADDRESS((_xlfn.XMATCH(Table2[[#This Row],[Team]],Schedule!$A$1:$A$33)),5,1,1,"Sched Overlap")))</f>
        <v>0.6243386243386243</v>
      </c>
      <c r="K157" s="92" cm="1">
        <f t="array" aca="1" ref="K15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57" s="95">
        <f ca="1">IF(Table2[[#This Row],[Team]]="FA",0,Table2[[#This Row],[Pts/G]]*(Table2[[#This Row],[Games Playable]]/82))</f>
        <v>22.512195121951219</v>
      </c>
      <c r="M157" s="95" cm="1">
        <f t="array" aca="1" ref="M157" ca="1">Table2[[#This Row],[Playable x Score]]*_xlfn.IFS(Table2[[#This Row],[Pos]]="D",assumptions!$B$15,Table2[[#This Row],[Pos]]="F", assumptions!$B$14,Table2[[#This Row],[Pos]]="G",assumptions!$B$16)</f>
        <v>28.140243902439025</v>
      </c>
    </row>
    <row r="158" spans="1:13" x14ac:dyDescent="0.3">
      <c r="A158">
        <f>'score estimates'!$A158</f>
        <v>155</v>
      </c>
      <c r="B158" t="str">
        <f>'score estimates'!$B158</f>
        <v>Jared McCann</v>
      </c>
      <c r="C158" t="str">
        <f>'score estimates'!$D158</f>
        <v>F</v>
      </c>
      <c r="D158" t="str">
        <f>'score estimates'!$C158</f>
        <v>SEA</v>
      </c>
      <c r="E158" s="75">
        <f>'score estimates'!$F158</f>
        <v>22.329268292682926</v>
      </c>
      <c r="F158" s="71">
        <f>'score estimates'!$G158</f>
        <v>197</v>
      </c>
      <c r="G158" s="71" t="s">
        <v>983</v>
      </c>
      <c r="H158" s="72" cm="1">
        <f t="array" aca="1" ref="H15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58" s="96">
        <f ca="1">IF(Table2[[#This Row],[Team]]="FA",0,Table2[[#This Row],[Pts/G]]*(1-Table2[[#This Row],[% Pos Overlap]]))</f>
        <v>22.329268292682926</v>
      </c>
      <c r="J158" s="72" cm="1">
        <f t="array" aca="1" ref="J158" ca="1">(INDIRECT(ADDRESS((_xlfn.XMATCH(Table2[[#This Row],[Team]],Schedule!$A$1:$A$33)),5,1,1,"Sched Overlap")))</f>
        <v>0.63085063085063087</v>
      </c>
      <c r="K158" s="92" cm="1">
        <f t="array" aca="1" ref="K15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58" s="95">
        <f ca="1">IF(Table2[[#This Row],[Team]]="FA",0,Table2[[#This Row],[Pts/G]]*(Table2[[#This Row],[Games Playable]]/82))</f>
        <v>22.329268292682926</v>
      </c>
      <c r="M158" s="95" cm="1">
        <f t="array" aca="1" ref="M158" ca="1">Table2[[#This Row],[Playable x Score]]*_xlfn.IFS(Table2[[#This Row],[Pos]]="D",assumptions!$B$15,Table2[[#This Row],[Pos]]="F", assumptions!$B$14,Table2[[#This Row],[Pos]]="G",assumptions!$B$16)</f>
        <v>22.329268292682926</v>
      </c>
    </row>
    <row r="159" spans="1:13" x14ac:dyDescent="0.3">
      <c r="A159">
        <f>'score estimates'!$A159</f>
        <v>156</v>
      </c>
      <c r="B159" t="str">
        <f>'score estimates'!$B159</f>
        <v>Zach Werenski</v>
      </c>
      <c r="C159" t="str">
        <f>'score estimates'!$D159</f>
        <v>D</v>
      </c>
      <c r="D159" t="str">
        <f>'score estimates'!$C159</f>
        <v>CLS</v>
      </c>
      <c r="E159" s="75">
        <f>'score estimates'!$F159</f>
        <v>23.341463414634145</v>
      </c>
      <c r="F159" s="71">
        <f>'score estimates'!$G159</f>
        <v>177</v>
      </c>
      <c r="G159" s="71" t="s">
        <v>983</v>
      </c>
      <c r="H159" s="72" cm="1">
        <f t="array" aca="1" ref="H15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59" s="96">
        <f ca="1">IF(Table2[[#This Row],[Team]]="FA",0,Table2[[#This Row],[Pts/G]]*(1-Table2[[#This Row],[% Pos Overlap]]))</f>
        <v>23.341463414634145</v>
      </c>
      <c r="J159" s="72" cm="1">
        <f t="array" aca="1" ref="J159" ca="1">(INDIRECT(ADDRESS((_xlfn.XMATCH(Table2[[#This Row],[Team]],Schedule!$A$1:$A$33)),5,1,1,"Sched Overlap")))</f>
        <v>0.64875864875864886</v>
      </c>
      <c r="K159" s="92" cm="1">
        <f t="array" aca="1" ref="K15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59" s="95">
        <f ca="1">IF(Table2[[#This Row],[Team]]="FA",0,Table2[[#This Row],[Pts/G]]*(Table2[[#This Row],[Games Playable]]/82))</f>
        <v>23.341463414634145</v>
      </c>
      <c r="M159" s="95" cm="1">
        <f t="array" aca="1" ref="M159" ca="1">Table2[[#This Row],[Playable x Score]]*_xlfn.IFS(Table2[[#This Row],[Pos]]="D",assumptions!$B$15,Table2[[#This Row],[Pos]]="F", assumptions!$B$14,Table2[[#This Row],[Pos]]="G",assumptions!$B$16)</f>
        <v>29.176829268292682</v>
      </c>
    </row>
    <row r="160" spans="1:13" x14ac:dyDescent="0.3">
      <c r="A160">
        <f>'score estimates'!$A160</f>
        <v>157</v>
      </c>
      <c r="B160" t="str">
        <f>'score estimates'!$B160</f>
        <v>Dawson Mercer</v>
      </c>
      <c r="C160" t="str">
        <f>'score estimates'!$D160</f>
        <v>F</v>
      </c>
      <c r="D160" t="str">
        <f>'score estimates'!$C160</f>
        <v>NJ</v>
      </c>
      <c r="E160" s="75">
        <f>'score estimates'!$F160</f>
        <v>20.5</v>
      </c>
      <c r="F160" s="71">
        <f>'score estimates'!$G160</f>
        <v>234</v>
      </c>
      <c r="G160" s="71" t="s">
        <v>983</v>
      </c>
      <c r="H160" s="72" cm="1">
        <f t="array" aca="1" ref="H16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60" s="96">
        <f ca="1">IF(Table2[[#This Row],[Team]]="FA",0,Table2[[#This Row],[Pts/G]]*(1-Table2[[#This Row],[% Pos Overlap]]))</f>
        <v>20.5</v>
      </c>
      <c r="J160" s="72" cm="1">
        <f t="array" aca="1" ref="J160" ca="1">(INDIRECT(ADDRESS((_xlfn.XMATCH(Table2[[#This Row],[Team]],Schedule!$A$1:$A$33)),5,1,1,"Sched Overlap")))</f>
        <v>0.66259666259666272</v>
      </c>
      <c r="K160" s="92" cm="1">
        <f t="array" aca="1" ref="K16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60" s="95">
        <f ca="1">IF(Table2[[#This Row],[Team]]="FA",0,Table2[[#This Row],[Pts/G]]*(Table2[[#This Row],[Games Playable]]/82))</f>
        <v>20.5</v>
      </c>
      <c r="M160" s="95" cm="1">
        <f t="array" aca="1" ref="M160" ca="1">Table2[[#This Row],[Playable x Score]]*_xlfn.IFS(Table2[[#This Row],[Pos]]="D",assumptions!$B$15,Table2[[#This Row],[Pos]]="F", assumptions!$B$14,Table2[[#This Row],[Pos]]="G",assumptions!$B$16)</f>
        <v>20.5</v>
      </c>
    </row>
    <row r="161" spans="1:13" x14ac:dyDescent="0.3">
      <c r="A161">
        <f>'score estimates'!$A161</f>
        <v>158</v>
      </c>
      <c r="B161" t="str">
        <f>'score estimates'!$B161</f>
        <v>Rasmus Andersson</v>
      </c>
      <c r="C161" t="str">
        <f>'score estimates'!$D161</f>
        <v>D</v>
      </c>
      <c r="D161" t="str">
        <f>'score estimates'!$C161</f>
        <v>CGY</v>
      </c>
      <c r="E161" s="75">
        <f>'score estimates'!$F161</f>
        <v>26.792682926829269</v>
      </c>
      <c r="F161" s="71">
        <f>'score estimates'!$G161</f>
        <v>125</v>
      </c>
      <c r="G161" s="71" t="s">
        <v>983</v>
      </c>
      <c r="H161" s="72" cm="1">
        <f t="array" aca="1" ref="H16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61" s="96">
        <f ca="1">IF(Table2[[#This Row],[Team]]="FA",0,Table2[[#This Row],[Pts/G]]*(1-Table2[[#This Row],[% Pos Overlap]]))</f>
        <v>26.792682926829269</v>
      </c>
      <c r="J161" s="72" cm="1">
        <f t="array" aca="1" ref="J161" ca="1">(INDIRECT(ADDRESS((_xlfn.XMATCH(Table2[[#This Row],[Team]],Schedule!$A$1:$A$33)),5,1,1,"Sched Overlap")))</f>
        <v>0.63003663003663002</v>
      </c>
      <c r="K161" s="92" cm="1">
        <f t="array" aca="1" ref="K16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61" s="95">
        <f ca="1">IF(Table2[[#This Row],[Team]]="FA",0,Table2[[#This Row],[Pts/G]]*(Table2[[#This Row],[Games Playable]]/82))</f>
        <v>26.792682926829269</v>
      </c>
      <c r="M161" s="95" cm="1">
        <f t="array" aca="1" ref="M161" ca="1">Table2[[#This Row],[Playable x Score]]*_xlfn.IFS(Table2[[#This Row],[Pos]]="D",assumptions!$B$15,Table2[[#This Row],[Pos]]="F", assumptions!$B$14,Table2[[#This Row],[Pos]]="G",assumptions!$B$16)</f>
        <v>33.490853658536587</v>
      </c>
    </row>
    <row r="162" spans="1:13" x14ac:dyDescent="0.3">
      <c r="A162">
        <f>'score estimates'!$A162</f>
        <v>159</v>
      </c>
      <c r="B162" t="str">
        <f>'score estimates'!$B162</f>
        <v>Matty Beniers</v>
      </c>
      <c r="C162" t="str">
        <f>'score estimates'!$D162</f>
        <v>F</v>
      </c>
      <c r="D162" t="str">
        <f>'score estimates'!$C162</f>
        <v>SEA</v>
      </c>
      <c r="E162" s="75">
        <f>'score estimates'!$F162</f>
        <v>19.439024390243901</v>
      </c>
      <c r="F162" s="71">
        <f>'score estimates'!$G162</f>
        <v>261</v>
      </c>
      <c r="G162" s="71" t="s">
        <v>983</v>
      </c>
      <c r="H162" s="72" cm="1">
        <f t="array" aca="1" ref="H16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62" s="96">
        <f ca="1">IF(Table2[[#This Row],[Team]]="FA",0,Table2[[#This Row],[Pts/G]]*(1-Table2[[#This Row],[% Pos Overlap]]))</f>
        <v>19.439024390243901</v>
      </c>
      <c r="J162" s="72" cm="1">
        <f t="array" aca="1" ref="J162" ca="1">(INDIRECT(ADDRESS((_xlfn.XMATCH(Table2[[#This Row],[Team]],Schedule!$A$1:$A$33)),5,1,1,"Sched Overlap")))</f>
        <v>0.63085063085063087</v>
      </c>
      <c r="K162" s="92" cm="1">
        <f t="array" aca="1" ref="K16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62" s="95">
        <f ca="1">IF(Table2[[#This Row],[Team]]="FA",0,Table2[[#This Row],[Pts/G]]*(Table2[[#This Row],[Games Playable]]/82))</f>
        <v>19.439024390243901</v>
      </c>
      <c r="M162" s="95" cm="1">
        <f t="array" aca="1" ref="M162" ca="1">Table2[[#This Row],[Playable x Score]]*_xlfn.IFS(Table2[[#This Row],[Pos]]="D",assumptions!$B$15,Table2[[#This Row],[Pos]]="F", assumptions!$B$14,Table2[[#This Row],[Pos]]="G",assumptions!$B$16)</f>
        <v>19.439024390243901</v>
      </c>
    </row>
    <row r="163" spans="1:13" x14ac:dyDescent="0.3">
      <c r="A163">
        <f>'score estimates'!$A163</f>
        <v>160</v>
      </c>
      <c r="B163" t="str">
        <f>'score estimates'!$B163</f>
        <v>Evan Bouchard</v>
      </c>
      <c r="C163" t="str">
        <f>'score estimates'!$D163</f>
        <v>D</v>
      </c>
      <c r="D163" t="str">
        <f>'score estimates'!$C163</f>
        <v>EDM</v>
      </c>
      <c r="E163" s="75">
        <f>'score estimates'!$F163</f>
        <v>25.878048780487806</v>
      </c>
      <c r="F163" s="71">
        <f>'score estimates'!$G163</f>
        <v>141</v>
      </c>
      <c r="G163" s="71" t="s">
        <v>983</v>
      </c>
      <c r="H163" s="72" cm="1">
        <f t="array" aca="1" ref="H16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63" s="96">
        <f ca="1">IF(Table2[[#This Row],[Team]]="FA",0,Table2[[#This Row],[Pts/G]]*(1-Table2[[#This Row],[% Pos Overlap]]))</f>
        <v>25.878048780487806</v>
      </c>
      <c r="J163" s="72" cm="1">
        <f t="array" aca="1" ref="J163" ca="1">(INDIRECT(ADDRESS((_xlfn.XMATCH(Table2[[#This Row],[Team]],Schedule!$A$1:$A$33)),5,1,1,"Sched Overlap")))</f>
        <v>0.62026862026862029</v>
      </c>
      <c r="K163" s="92" cm="1">
        <f t="array" aca="1" ref="K16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63" s="95">
        <f ca="1">IF(Table2[[#This Row],[Team]]="FA",0,Table2[[#This Row],[Pts/G]]*(Table2[[#This Row],[Games Playable]]/82))</f>
        <v>25.878048780487806</v>
      </c>
      <c r="M163" s="95" cm="1">
        <f t="array" aca="1" ref="M163" ca="1">Table2[[#This Row],[Playable x Score]]*_xlfn.IFS(Table2[[#This Row],[Pos]]="D",assumptions!$B$15,Table2[[#This Row],[Pos]]="F", assumptions!$B$14,Table2[[#This Row],[Pos]]="G",assumptions!$B$16)</f>
        <v>32.34756097560976</v>
      </c>
    </row>
    <row r="164" spans="1:13" x14ac:dyDescent="0.3">
      <c r="A164">
        <f>'score estimates'!$A164</f>
        <v>161</v>
      </c>
      <c r="B164" t="str">
        <f>'score estimates'!$B164</f>
        <v>Trevor Moore</v>
      </c>
      <c r="C164" t="str">
        <f>'score estimates'!$D164</f>
        <v>F</v>
      </c>
      <c r="D164" t="str">
        <f>'score estimates'!$C164</f>
        <v>LA</v>
      </c>
      <c r="E164" s="75">
        <f>'score estimates'!$F164</f>
        <v>24.390243902439025</v>
      </c>
      <c r="F164" s="71">
        <f>'score estimates'!$G164</f>
        <v>167</v>
      </c>
      <c r="G164" s="71" t="s">
        <v>983</v>
      </c>
      <c r="H164" s="72" cm="1">
        <f t="array" aca="1" ref="H16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64" s="96">
        <f ca="1">IF(Table2[[#This Row],[Team]]="FA",0,Table2[[#This Row],[Pts/G]]*(1-Table2[[#This Row],[% Pos Overlap]]))</f>
        <v>24.390243902439025</v>
      </c>
      <c r="J164" s="72" cm="1">
        <f t="array" aca="1" ref="J164" ca="1">(INDIRECT(ADDRESS((_xlfn.XMATCH(Table2[[#This Row],[Team]],Schedule!$A$1:$A$33)),5,1,1,"Sched Overlap")))</f>
        <v>0.65201465201465225</v>
      </c>
      <c r="K164" s="92" cm="1">
        <f t="array" aca="1" ref="K16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64" s="95">
        <f ca="1">IF(Table2[[#This Row],[Team]]="FA",0,Table2[[#This Row],[Pts/G]]*(Table2[[#This Row],[Games Playable]]/82))</f>
        <v>24.390243902439025</v>
      </c>
      <c r="M164" s="95" cm="1">
        <f t="array" aca="1" ref="M164" ca="1">Table2[[#This Row],[Playable x Score]]*_xlfn.IFS(Table2[[#This Row],[Pos]]="D",assumptions!$B$15,Table2[[#This Row],[Pos]]="F", assumptions!$B$14,Table2[[#This Row],[Pos]]="G",assumptions!$B$16)</f>
        <v>24.390243902439025</v>
      </c>
    </row>
    <row r="165" spans="1:13" x14ac:dyDescent="0.3">
      <c r="A165">
        <f>'score estimates'!$A165</f>
        <v>162</v>
      </c>
      <c r="B165" t="str">
        <f>'score estimates'!$B165</f>
        <v>Viktor Arvidsson</v>
      </c>
      <c r="C165" t="str">
        <f>'score estimates'!$D165</f>
        <v>F</v>
      </c>
      <c r="D165" t="str">
        <f>'score estimates'!$C165</f>
        <v>LA</v>
      </c>
      <c r="E165" s="75">
        <f>'score estimates'!$F165</f>
        <v>22.780487804878049</v>
      </c>
      <c r="F165" s="71">
        <f>'score estimates'!$G165</f>
        <v>190</v>
      </c>
      <c r="G165" s="71" t="s">
        <v>983</v>
      </c>
      <c r="H165" s="72" cm="1">
        <f t="array" aca="1" ref="H16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65" s="96">
        <f ca="1">IF(Table2[[#This Row],[Team]]="FA",0,Table2[[#This Row],[Pts/G]]*(1-Table2[[#This Row],[% Pos Overlap]]))</f>
        <v>22.780487804878049</v>
      </c>
      <c r="J165" s="72" cm="1">
        <f t="array" aca="1" ref="J165" ca="1">(INDIRECT(ADDRESS((_xlfn.XMATCH(Table2[[#This Row],[Team]],Schedule!$A$1:$A$33)),5,1,1,"Sched Overlap")))</f>
        <v>0.65201465201465225</v>
      </c>
      <c r="K165" s="92" cm="1">
        <f t="array" aca="1" ref="K16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65" s="95">
        <f ca="1">IF(Table2[[#This Row],[Team]]="FA",0,Table2[[#This Row],[Pts/G]]*(Table2[[#This Row],[Games Playable]]/82))</f>
        <v>22.780487804878049</v>
      </c>
      <c r="M165" s="95" cm="1">
        <f t="array" aca="1" ref="M165" ca="1">Table2[[#This Row],[Playable x Score]]*_xlfn.IFS(Table2[[#This Row],[Pos]]="D",assumptions!$B$15,Table2[[#This Row],[Pos]]="F", assumptions!$B$14,Table2[[#This Row],[Pos]]="G",assumptions!$B$16)</f>
        <v>22.780487804878049</v>
      </c>
    </row>
    <row r="166" spans="1:13" x14ac:dyDescent="0.3">
      <c r="A166">
        <f>'score estimates'!$A166</f>
        <v>163</v>
      </c>
      <c r="B166" t="str">
        <f>'score estimates'!$B166</f>
        <v>Alex Pietrangelo</v>
      </c>
      <c r="C166" t="str">
        <f>'score estimates'!$D166</f>
        <v>D</v>
      </c>
      <c r="D166" t="str">
        <f>'score estimates'!$C166</f>
        <v>VGK</v>
      </c>
      <c r="E166" s="75">
        <f>'score estimates'!$F166</f>
        <v>28.158536585365855</v>
      </c>
      <c r="F166" s="71">
        <f>'score estimates'!$G166</f>
        <v>110</v>
      </c>
      <c r="G166" s="71" t="s">
        <v>983</v>
      </c>
      <c r="H166" s="72" cm="1">
        <f t="array" aca="1" ref="H16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66" s="96">
        <f ca="1">IF(Table2[[#This Row],[Team]]="FA",0,Table2[[#This Row],[Pts/G]]*(1-Table2[[#This Row],[% Pos Overlap]]))</f>
        <v>28.158536585365855</v>
      </c>
      <c r="J166" s="72" cm="1">
        <f t="array" aca="1" ref="J166" ca="1">(INDIRECT(ADDRESS((_xlfn.XMATCH(Table2[[#This Row],[Team]],Schedule!$A$1:$A$33)),5,1,1,"Sched Overlap")))</f>
        <v>0.66992266992266991</v>
      </c>
      <c r="K166" s="92" cm="1">
        <f t="array" aca="1" ref="K16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66" s="95">
        <f ca="1">IF(Table2[[#This Row],[Team]]="FA",0,Table2[[#This Row],[Pts/G]]*(Table2[[#This Row],[Games Playable]]/82))</f>
        <v>28.158536585365855</v>
      </c>
      <c r="M166" s="95" cm="1">
        <f t="array" aca="1" ref="M166" ca="1">Table2[[#This Row],[Playable x Score]]*_xlfn.IFS(Table2[[#This Row],[Pos]]="D",assumptions!$B$15,Table2[[#This Row],[Pos]]="F", assumptions!$B$14,Table2[[#This Row],[Pos]]="G",assumptions!$B$16)</f>
        <v>35.198170731707322</v>
      </c>
    </row>
    <row r="167" spans="1:13" x14ac:dyDescent="0.3">
      <c r="A167">
        <f>'score estimates'!$A167</f>
        <v>164</v>
      </c>
      <c r="B167" t="str">
        <f>'score estimates'!$B167</f>
        <v>Josh Bailey</v>
      </c>
      <c r="C167" t="str">
        <f>'score estimates'!$D167</f>
        <v>F</v>
      </c>
      <c r="D167" t="str">
        <f>'score estimates'!$C167</f>
        <v>NYI</v>
      </c>
      <c r="E167" s="75">
        <f>'score estimates'!$F167</f>
        <v>17.548780487804876</v>
      </c>
      <c r="F167" s="71">
        <f>'score estimates'!$G167</f>
        <v>315</v>
      </c>
      <c r="G167" s="71" t="s">
        <v>983</v>
      </c>
      <c r="H167" s="72" cm="1">
        <f t="array" aca="1" ref="H16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67" s="96">
        <f ca="1">IF(Table2[[#This Row],[Team]]="FA",0,Table2[[#This Row],[Pts/G]]*(1-Table2[[#This Row],[% Pos Overlap]]))</f>
        <v>17.548780487804876</v>
      </c>
      <c r="J167" s="72" cm="1">
        <f t="array" aca="1" ref="J167" ca="1">(INDIRECT(ADDRESS((_xlfn.XMATCH(Table2[[#This Row],[Team]],Schedule!$A$1:$A$33)),5,1,1,"Sched Overlap")))</f>
        <v>0.63166463166463194</v>
      </c>
      <c r="K167" s="92" cm="1">
        <f t="array" aca="1" ref="K16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67" s="95">
        <f ca="1">IF(Table2[[#This Row],[Team]]="FA",0,Table2[[#This Row],[Pts/G]]*(Table2[[#This Row],[Games Playable]]/82))</f>
        <v>17.548780487804876</v>
      </c>
      <c r="M167" s="95" cm="1">
        <f t="array" aca="1" ref="M167" ca="1">Table2[[#This Row],[Playable x Score]]*_xlfn.IFS(Table2[[#This Row],[Pos]]="D",assumptions!$B$15,Table2[[#This Row],[Pos]]="F", assumptions!$B$14,Table2[[#This Row],[Pos]]="G",assumptions!$B$16)</f>
        <v>17.548780487804876</v>
      </c>
    </row>
    <row r="168" spans="1:13" x14ac:dyDescent="0.3">
      <c r="A168">
        <f>'score estimates'!$A168</f>
        <v>165</v>
      </c>
      <c r="B168" t="str">
        <f>'score estimates'!$B168</f>
        <v>Jordan Eberle</v>
      </c>
      <c r="C168" t="str">
        <f>'score estimates'!$D168</f>
        <v>F</v>
      </c>
      <c r="D168" t="str">
        <f>'score estimates'!$C168</f>
        <v>SEA</v>
      </c>
      <c r="E168" s="75">
        <f>'score estimates'!$F168</f>
        <v>18.926829268292682</v>
      </c>
      <c r="F168" s="71">
        <f>'score estimates'!$G168</f>
        <v>275</v>
      </c>
      <c r="G168" s="71" t="s">
        <v>983</v>
      </c>
      <c r="H168" s="72" cm="1">
        <f t="array" aca="1" ref="H16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68" s="96">
        <f ca="1">IF(Table2[[#This Row],[Team]]="FA",0,Table2[[#This Row],[Pts/G]]*(1-Table2[[#This Row],[% Pos Overlap]]))</f>
        <v>18.926829268292682</v>
      </c>
      <c r="J168" s="72" cm="1">
        <f t="array" aca="1" ref="J168" ca="1">(INDIRECT(ADDRESS((_xlfn.XMATCH(Table2[[#This Row],[Team]],Schedule!$A$1:$A$33)),5,1,1,"Sched Overlap")))</f>
        <v>0.63085063085063087</v>
      </c>
      <c r="K168" s="92" cm="1">
        <f t="array" aca="1" ref="K16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68" s="95">
        <f ca="1">IF(Table2[[#This Row],[Team]]="FA",0,Table2[[#This Row],[Pts/G]]*(Table2[[#This Row],[Games Playable]]/82))</f>
        <v>18.926829268292682</v>
      </c>
      <c r="M168" s="95" cm="1">
        <f t="array" aca="1" ref="M168" ca="1">Table2[[#This Row],[Playable x Score]]*_xlfn.IFS(Table2[[#This Row],[Pos]]="D",assumptions!$B$15,Table2[[#This Row],[Pos]]="F", assumptions!$B$14,Table2[[#This Row],[Pos]]="G",assumptions!$B$16)</f>
        <v>18.926829268292682</v>
      </c>
    </row>
    <row r="169" spans="1:13" x14ac:dyDescent="0.3">
      <c r="A169">
        <f>'score estimates'!$A169</f>
        <v>166</v>
      </c>
      <c r="B169" t="str">
        <f>'score estimates'!$B169</f>
        <v>Rickard Rakell</v>
      </c>
      <c r="C169" t="str">
        <f>'score estimates'!$D169</f>
        <v>F</v>
      </c>
      <c r="D169" t="str">
        <f>'score estimates'!$C169</f>
        <v>PIT</v>
      </c>
      <c r="E169" s="75">
        <f>'score estimates'!$F169</f>
        <v>21.743902439024389</v>
      </c>
      <c r="F169" s="71">
        <f>'score estimates'!$G169</f>
        <v>205</v>
      </c>
      <c r="G169" s="71" t="s">
        <v>983</v>
      </c>
      <c r="H169" s="72" cm="1">
        <f t="array" aca="1" ref="H16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69" s="96">
        <f ca="1">IF(Table2[[#This Row],[Team]]="FA",0,Table2[[#This Row],[Pts/G]]*(1-Table2[[#This Row],[% Pos Overlap]]))</f>
        <v>21.743902439024389</v>
      </c>
      <c r="J169" s="72" cm="1">
        <f t="array" aca="1" ref="J169" ca="1">(INDIRECT(ADDRESS((_xlfn.XMATCH(Table2[[#This Row],[Team]],Schedule!$A$1:$A$33)),5,1,1,"Sched Overlap")))</f>
        <v>0.63492063492063477</v>
      </c>
      <c r="K169" s="92" cm="1">
        <f t="array" aca="1" ref="K16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69" s="95">
        <f ca="1">IF(Table2[[#This Row],[Team]]="FA",0,Table2[[#This Row],[Pts/G]]*(Table2[[#This Row],[Games Playable]]/82))</f>
        <v>21.743902439024389</v>
      </c>
      <c r="M169" s="95" cm="1">
        <f t="array" aca="1" ref="M169" ca="1">Table2[[#This Row],[Playable x Score]]*_xlfn.IFS(Table2[[#This Row],[Pos]]="D",assumptions!$B$15,Table2[[#This Row],[Pos]]="F", assumptions!$B$14,Table2[[#This Row],[Pos]]="G",assumptions!$B$16)</f>
        <v>21.743902439024389</v>
      </c>
    </row>
    <row r="170" spans="1:13" x14ac:dyDescent="0.3">
      <c r="A170">
        <f>'score estimates'!$A170</f>
        <v>167</v>
      </c>
      <c r="B170" t="str">
        <f>'score estimates'!$B170</f>
        <v>Evgenii Dadonov</v>
      </c>
      <c r="C170" t="str">
        <f>'score estimates'!$D170</f>
        <v>F</v>
      </c>
      <c r="D170" t="str">
        <f>'score estimates'!$C170</f>
        <v>MON</v>
      </c>
      <c r="E170" s="75">
        <f>'score estimates'!$F170</f>
        <v>21.024390243902438</v>
      </c>
      <c r="F170" s="71">
        <f>'score estimates'!$G170</f>
        <v>223</v>
      </c>
      <c r="G170" s="71" t="s">
        <v>983</v>
      </c>
      <c r="H170" s="72" cm="1">
        <f t="array" aca="1" ref="H17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70" s="96">
        <f ca="1">IF(Table2[[#This Row],[Team]]="FA",0,Table2[[#This Row],[Pts/G]]*(1-Table2[[#This Row],[% Pos Overlap]]))</f>
        <v>21.024390243902438</v>
      </c>
      <c r="J170" s="72" cm="1">
        <f t="array" aca="1" ref="J170" ca="1">(INDIRECT(ADDRESS((_xlfn.XMATCH(Table2[[#This Row],[Team]],Schedule!$A$1:$A$33)),5,1,1,"Sched Overlap")))</f>
        <v>0.66666666666666685</v>
      </c>
      <c r="K170" s="92" cm="1">
        <f t="array" aca="1" ref="K17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70" s="95">
        <f ca="1">IF(Table2[[#This Row],[Team]]="FA",0,Table2[[#This Row],[Pts/G]]*(Table2[[#This Row],[Games Playable]]/82))</f>
        <v>21.024390243902438</v>
      </c>
      <c r="M170" s="95" cm="1">
        <f t="array" aca="1" ref="M170" ca="1">Table2[[#This Row],[Playable x Score]]*_xlfn.IFS(Table2[[#This Row],[Pos]]="D",assumptions!$B$15,Table2[[#This Row],[Pos]]="F", assumptions!$B$14,Table2[[#This Row],[Pos]]="G",assumptions!$B$16)</f>
        <v>21.024390243902438</v>
      </c>
    </row>
    <row r="171" spans="1:13" x14ac:dyDescent="0.3">
      <c r="A171">
        <f>'score estimates'!$A171</f>
        <v>168</v>
      </c>
      <c r="B171" t="str">
        <f>'score estimates'!$B171</f>
        <v>Kevin Hayes</v>
      </c>
      <c r="C171" t="str">
        <f>'score estimates'!$D171</f>
        <v>F</v>
      </c>
      <c r="D171" t="str">
        <f>'score estimates'!$C171</f>
        <v>PHI</v>
      </c>
      <c r="E171" s="75">
        <f>'score estimates'!$F171</f>
        <v>20.158536585365855</v>
      </c>
      <c r="F171" s="71">
        <f>'score estimates'!$G171</f>
        <v>243</v>
      </c>
      <c r="G171" s="71" t="s">
        <v>983</v>
      </c>
      <c r="H171" s="72" cm="1">
        <f t="array" aca="1" ref="H17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71" s="96">
        <f ca="1">IF(Table2[[#This Row],[Team]]="FA",0,Table2[[#This Row],[Pts/G]]*(1-Table2[[#This Row],[% Pos Overlap]]))</f>
        <v>20.158536585365855</v>
      </c>
      <c r="J171" s="72" cm="1">
        <f t="array" aca="1" ref="J171" ca="1">(INDIRECT(ADDRESS((_xlfn.XMATCH(Table2[[#This Row],[Team]],Schedule!$A$1:$A$33)),5,1,1,"Sched Overlap")))</f>
        <v>0.66910866910866917</v>
      </c>
      <c r="K171" s="92" cm="1">
        <f t="array" aca="1" ref="K17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71" s="95">
        <f ca="1">IF(Table2[[#This Row],[Team]]="FA",0,Table2[[#This Row],[Pts/G]]*(Table2[[#This Row],[Games Playable]]/82))</f>
        <v>20.158536585365855</v>
      </c>
      <c r="M171" s="95" cm="1">
        <f t="array" aca="1" ref="M171" ca="1">Table2[[#This Row],[Playable x Score]]*_xlfn.IFS(Table2[[#This Row],[Pos]]="D",assumptions!$B$15,Table2[[#This Row],[Pos]]="F", assumptions!$B$14,Table2[[#This Row],[Pos]]="G",assumptions!$B$16)</f>
        <v>20.158536585365855</v>
      </c>
    </row>
    <row r="172" spans="1:13" x14ac:dyDescent="0.3">
      <c r="A172">
        <f>'score estimates'!$A172</f>
        <v>169</v>
      </c>
      <c r="B172" t="str">
        <f>'score estimates'!$B172</f>
        <v>Tyson Barrie</v>
      </c>
      <c r="C172" t="str">
        <f>'score estimates'!$D172</f>
        <v>D</v>
      </c>
      <c r="D172" t="str">
        <f>'score estimates'!$C172</f>
        <v>EDM</v>
      </c>
      <c r="E172" s="75">
        <f>'score estimates'!$F172</f>
        <v>21.426829268292682</v>
      </c>
      <c r="F172" s="71">
        <f>'score estimates'!$G172</f>
        <v>212</v>
      </c>
      <c r="G172" s="71" t="s">
        <v>983</v>
      </c>
      <c r="H172" s="72" cm="1">
        <f t="array" aca="1" ref="H17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72" s="96">
        <f ca="1">IF(Table2[[#This Row],[Team]]="FA",0,Table2[[#This Row],[Pts/G]]*(1-Table2[[#This Row],[% Pos Overlap]]))</f>
        <v>21.426829268292682</v>
      </c>
      <c r="J172" s="72" cm="1">
        <f t="array" aca="1" ref="J172" ca="1">(INDIRECT(ADDRESS((_xlfn.XMATCH(Table2[[#This Row],[Team]],Schedule!$A$1:$A$33)),5,1,1,"Sched Overlap")))</f>
        <v>0.62026862026862029</v>
      </c>
      <c r="K172" s="92" cm="1">
        <f t="array" aca="1" ref="K17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72" s="95">
        <f ca="1">IF(Table2[[#This Row],[Team]]="FA",0,Table2[[#This Row],[Pts/G]]*(Table2[[#This Row],[Games Playable]]/82))</f>
        <v>21.426829268292682</v>
      </c>
      <c r="M172" s="95" cm="1">
        <f t="array" aca="1" ref="M172" ca="1">Table2[[#This Row],[Playable x Score]]*_xlfn.IFS(Table2[[#This Row],[Pos]]="D",assumptions!$B$15,Table2[[#This Row],[Pos]]="F", assumptions!$B$14,Table2[[#This Row],[Pos]]="G",assumptions!$B$16)</f>
        <v>26.783536585365852</v>
      </c>
    </row>
    <row r="173" spans="1:13" x14ac:dyDescent="0.3">
      <c r="A173">
        <f>'score estimates'!$A173</f>
        <v>170</v>
      </c>
      <c r="B173" t="str">
        <f>'score estimates'!$B173</f>
        <v>Nino Niederreiter</v>
      </c>
      <c r="C173" t="str">
        <f>'score estimates'!$D173</f>
        <v>F</v>
      </c>
      <c r="D173" t="str">
        <f>'score estimates'!$C173</f>
        <v>NSH</v>
      </c>
      <c r="E173" s="75">
        <f>'score estimates'!$F173</f>
        <v>23.890243902439025</v>
      </c>
      <c r="F173" s="71">
        <f>'score estimates'!$G173</f>
        <v>173</v>
      </c>
      <c r="G173" s="71" t="s">
        <v>983</v>
      </c>
      <c r="H173" s="72" cm="1">
        <f t="array" aca="1" ref="H17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73" s="96">
        <f ca="1">IF(Table2[[#This Row],[Team]]="FA",0,Table2[[#This Row],[Pts/G]]*(1-Table2[[#This Row],[% Pos Overlap]]))</f>
        <v>23.890243902439025</v>
      </c>
      <c r="J173" s="72" cm="1">
        <f t="array" aca="1" ref="J173" ca="1">(INDIRECT(ADDRESS((_xlfn.XMATCH(Table2[[#This Row],[Team]],Schedule!$A$1:$A$33)),5,1,1,"Sched Overlap")))</f>
        <v>0.67806267806267806</v>
      </c>
      <c r="K173" s="92" cm="1">
        <f t="array" aca="1" ref="K17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73" s="95">
        <f ca="1">IF(Table2[[#This Row],[Team]]="FA",0,Table2[[#This Row],[Pts/G]]*(Table2[[#This Row],[Games Playable]]/82))</f>
        <v>23.890243902439025</v>
      </c>
      <c r="M173" s="95" cm="1">
        <f t="array" aca="1" ref="M173" ca="1">Table2[[#This Row],[Playable x Score]]*_xlfn.IFS(Table2[[#This Row],[Pos]]="D",assumptions!$B$15,Table2[[#This Row],[Pos]]="F", assumptions!$B$14,Table2[[#This Row],[Pos]]="G",assumptions!$B$16)</f>
        <v>23.890243902439025</v>
      </c>
    </row>
    <row r="174" spans="1:13" x14ac:dyDescent="0.3">
      <c r="A174">
        <f>'score estimates'!$A174</f>
        <v>171</v>
      </c>
      <c r="B174" t="str">
        <f>'score estimates'!$B174</f>
        <v>Torey Krug</v>
      </c>
      <c r="C174" t="str">
        <f>'score estimates'!$D174</f>
        <v>D</v>
      </c>
      <c r="D174" t="str">
        <f>'score estimates'!$C174</f>
        <v>STL</v>
      </c>
      <c r="E174" s="75">
        <f>'score estimates'!$F174</f>
        <v>24.646341463414632</v>
      </c>
      <c r="F174" s="71">
        <f>'score estimates'!$G174</f>
        <v>162</v>
      </c>
      <c r="G174" s="71" t="s">
        <v>983</v>
      </c>
      <c r="H174" s="72" cm="1">
        <f t="array" aca="1" ref="H17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74" s="96">
        <f ca="1">IF(Table2[[#This Row],[Team]]="FA",0,Table2[[#This Row],[Pts/G]]*(1-Table2[[#This Row],[% Pos Overlap]]))</f>
        <v>24.646341463414632</v>
      </c>
      <c r="J174" s="72" cm="1">
        <f t="array" aca="1" ref="J174" ca="1">(INDIRECT(ADDRESS((_xlfn.XMATCH(Table2[[#This Row],[Team]],Schedule!$A$1:$A$33)),5,1,1,"Sched Overlap")))</f>
        <v>0.65120065120065118</v>
      </c>
      <c r="K174" s="92" cm="1">
        <f t="array" aca="1" ref="K17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74" s="95">
        <f ca="1">IF(Table2[[#This Row],[Team]]="FA",0,Table2[[#This Row],[Pts/G]]*(Table2[[#This Row],[Games Playable]]/82))</f>
        <v>24.646341463414632</v>
      </c>
      <c r="M174" s="95" cm="1">
        <f t="array" aca="1" ref="M174" ca="1">Table2[[#This Row],[Playable x Score]]*_xlfn.IFS(Table2[[#This Row],[Pos]]="D",assumptions!$B$15,Table2[[#This Row],[Pos]]="F", assumptions!$B$14,Table2[[#This Row],[Pos]]="G",assumptions!$B$16)</f>
        <v>30.80792682926829</v>
      </c>
    </row>
    <row r="175" spans="1:13" x14ac:dyDescent="0.3">
      <c r="A175">
        <f>'score estimates'!$A175</f>
        <v>172</v>
      </c>
      <c r="B175" t="str">
        <f>'score estimates'!$B175</f>
        <v>Paul Stastny</v>
      </c>
      <c r="C175" t="str">
        <f>'score estimates'!$D175</f>
        <v>F</v>
      </c>
      <c r="D175" t="str">
        <f>'score estimates'!$C175</f>
        <v>CAR</v>
      </c>
      <c r="E175" s="75">
        <f>'score estimates'!$F175</f>
        <v>21.548780487804876</v>
      </c>
      <c r="F175" s="71">
        <f>'score estimates'!$G175</f>
        <v>209</v>
      </c>
      <c r="G175" s="71" t="s">
        <v>983</v>
      </c>
      <c r="H175" s="72" cm="1">
        <f t="array" aca="1" ref="H17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75" s="96">
        <f ca="1">IF(Table2[[#This Row],[Team]]="FA",0,Table2[[#This Row],[Pts/G]]*(1-Table2[[#This Row],[% Pos Overlap]]))</f>
        <v>21.548780487804876</v>
      </c>
      <c r="J175" s="72" cm="1">
        <f t="array" aca="1" ref="J175" ca="1">(INDIRECT(ADDRESS((_xlfn.XMATCH(Table2[[#This Row],[Team]],Schedule!$A$1:$A$33)),5,1,1,"Sched Overlap")))</f>
        <v>0.63247863247863245</v>
      </c>
      <c r="K175" s="92" cm="1">
        <f t="array" aca="1" ref="K17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75" s="95">
        <f ca="1">IF(Table2[[#This Row],[Team]]="FA",0,Table2[[#This Row],[Pts/G]]*(Table2[[#This Row],[Games Playable]]/82))</f>
        <v>21.548780487804876</v>
      </c>
      <c r="M175" s="95" cm="1">
        <f t="array" aca="1" ref="M175" ca="1">Table2[[#This Row],[Playable x Score]]*_xlfn.IFS(Table2[[#This Row],[Pos]]="D",assumptions!$B$15,Table2[[#This Row],[Pos]]="F", assumptions!$B$14,Table2[[#This Row],[Pos]]="G",assumptions!$B$16)</f>
        <v>21.548780487804876</v>
      </c>
    </row>
    <row r="176" spans="1:13" x14ac:dyDescent="0.3">
      <c r="A176">
        <f>'score estimates'!$A176</f>
        <v>173</v>
      </c>
      <c r="B176" t="str">
        <f>'score estimates'!$B176</f>
        <v>Adrian Kempe</v>
      </c>
      <c r="C176" t="str">
        <f>'score estimates'!$D176</f>
        <v>F</v>
      </c>
      <c r="D176" t="str">
        <f>'score estimates'!$C176</f>
        <v>LA</v>
      </c>
      <c r="E176" s="75">
        <f>'score estimates'!$F176</f>
        <v>24.378048780487806</v>
      </c>
      <c r="F176" s="71">
        <f>'score estimates'!$G176</f>
        <v>168</v>
      </c>
      <c r="G176" s="71" t="s">
        <v>983</v>
      </c>
      <c r="H176" s="72" cm="1">
        <f t="array" aca="1" ref="H17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76" s="96">
        <f ca="1">IF(Table2[[#This Row],[Team]]="FA",0,Table2[[#This Row],[Pts/G]]*(1-Table2[[#This Row],[% Pos Overlap]]))</f>
        <v>24.378048780487806</v>
      </c>
      <c r="J176" s="72" cm="1">
        <f t="array" aca="1" ref="J176" ca="1">(INDIRECT(ADDRESS((_xlfn.XMATCH(Table2[[#This Row],[Team]],Schedule!$A$1:$A$33)),5,1,1,"Sched Overlap")))</f>
        <v>0.65201465201465225</v>
      </c>
      <c r="K176" s="92" cm="1">
        <f t="array" aca="1" ref="K17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76" s="95">
        <f ca="1">IF(Table2[[#This Row],[Team]]="FA",0,Table2[[#This Row],[Pts/G]]*(Table2[[#This Row],[Games Playable]]/82))</f>
        <v>24.378048780487806</v>
      </c>
      <c r="M176" s="95" cm="1">
        <f t="array" aca="1" ref="M176" ca="1">Table2[[#This Row],[Playable x Score]]*_xlfn.IFS(Table2[[#This Row],[Pos]]="D",assumptions!$B$15,Table2[[#This Row],[Pos]]="F", assumptions!$B$14,Table2[[#This Row],[Pos]]="G",assumptions!$B$16)</f>
        <v>24.378048780487806</v>
      </c>
    </row>
    <row r="177" spans="1:13" x14ac:dyDescent="0.3">
      <c r="A177">
        <f>'score estimates'!$A177</f>
        <v>174</v>
      </c>
      <c r="B177" t="str">
        <f>'score estimates'!$B177</f>
        <v>Shayne Gostisbehere</v>
      </c>
      <c r="C177" t="str">
        <f>'score estimates'!$D177</f>
        <v>D</v>
      </c>
      <c r="D177" t="str">
        <f>'score estimates'!$C177</f>
        <v>ARI</v>
      </c>
      <c r="E177" s="75">
        <f>'score estimates'!$F177</f>
        <v>20.353658536585368</v>
      </c>
      <c r="F177" s="71">
        <f>'score estimates'!$G177</f>
        <v>238</v>
      </c>
      <c r="G177" s="71" t="s">
        <v>983</v>
      </c>
      <c r="H177" s="72" cm="1">
        <f t="array" aca="1" ref="H17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77" s="96">
        <f ca="1">IF(Table2[[#This Row],[Team]]="FA",0,Table2[[#This Row],[Pts/G]]*(1-Table2[[#This Row],[% Pos Overlap]]))</f>
        <v>20.353658536585368</v>
      </c>
      <c r="J177" s="72" cm="1">
        <f t="array" aca="1" ref="J177" ca="1">(INDIRECT(ADDRESS((_xlfn.XMATCH(Table2[[#This Row],[Team]],Schedule!$A$1:$A$33)),5,1,1,"Sched Overlap")))</f>
        <v>0.63247863247863279</v>
      </c>
      <c r="K177" s="92" cm="1">
        <f t="array" aca="1" ref="K17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77" s="95">
        <f ca="1">IF(Table2[[#This Row],[Team]]="FA",0,Table2[[#This Row],[Pts/G]]*(Table2[[#This Row],[Games Playable]]/82))</f>
        <v>20.353658536585368</v>
      </c>
      <c r="M177" s="95" cm="1">
        <f t="array" aca="1" ref="M177" ca="1">Table2[[#This Row],[Playable x Score]]*_xlfn.IFS(Table2[[#This Row],[Pos]]="D",assumptions!$B$15,Table2[[#This Row],[Pos]]="F", assumptions!$B$14,Table2[[#This Row],[Pos]]="G",assumptions!$B$16)</f>
        <v>25.44207317073171</v>
      </c>
    </row>
    <row r="178" spans="1:13" x14ac:dyDescent="0.3">
      <c r="A178">
        <f>'score estimates'!$A178</f>
        <v>175</v>
      </c>
      <c r="B178" t="str">
        <f>'score estimates'!$B178</f>
        <v>Ivan Barbashev</v>
      </c>
      <c r="C178" t="str">
        <f>'score estimates'!$D178</f>
        <v>F</v>
      </c>
      <c r="D178" t="str">
        <f>'score estimates'!$C178</f>
        <v>STL</v>
      </c>
      <c r="E178" s="75">
        <f>'score estimates'!$F178</f>
        <v>21.317073170731707</v>
      </c>
      <c r="F178" s="71">
        <f>'score estimates'!$G178</f>
        <v>214</v>
      </c>
      <c r="G178" s="71" t="s">
        <v>983</v>
      </c>
      <c r="H178" s="72" cm="1">
        <f t="array" aca="1" ref="H17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78" s="96">
        <f ca="1">IF(Table2[[#This Row],[Team]]="FA",0,Table2[[#This Row],[Pts/G]]*(1-Table2[[#This Row],[% Pos Overlap]]))</f>
        <v>21.317073170731707</v>
      </c>
      <c r="J178" s="72" cm="1">
        <f t="array" aca="1" ref="J178" ca="1">(INDIRECT(ADDRESS((_xlfn.XMATCH(Table2[[#This Row],[Team]],Schedule!$A$1:$A$33)),5,1,1,"Sched Overlap")))</f>
        <v>0.65120065120065118</v>
      </c>
      <c r="K178" s="92" cm="1">
        <f t="array" aca="1" ref="K17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78" s="95">
        <f ca="1">IF(Table2[[#This Row],[Team]]="FA",0,Table2[[#This Row],[Pts/G]]*(Table2[[#This Row],[Games Playable]]/82))</f>
        <v>21.317073170731707</v>
      </c>
      <c r="M178" s="95" cm="1">
        <f t="array" aca="1" ref="M178" ca="1">Table2[[#This Row],[Playable x Score]]*_xlfn.IFS(Table2[[#This Row],[Pos]]="D",assumptions!$B$15,Table2[[#This Row],[Pos]]="F", assumptions!$B$14,Table2[[#This Row],[Pos]]="G",assumptions!$B$16)</f>
        <v>21.317073170731707</v>
      </c>
    </row>
    <row r="179" spans="1:13" x14ac:dyDescent="0.3">
      <c r="A179">
        <f>'score estimates'!$A179</f>
        <v>176</v>
      </c>
      <c r="B179" t="str">
        <f>'score estimates'!$B179</f>
        <v>Thomas Chabot</v>
      </c>
      <c r="C179" t="str">
        <f>'score estimates'!$D179</f>
        <v>D</v>
      </c>
      <c r="D179" t="str">
        <f>'score estimates'!$C179</f>
        <v>OTT</v>
      </c>
      <c r="E179" s="75">
        <f>'score estimates'!$F179</f>
        <v>22.865853658536587</v>
      </c>
      <c r="F179" s="71">
        <f>'score estimates'!$G179</f>
        <v>188</v>
      </c>
      <c r="G179" s="71" t="s">
        <v>983</v>
      </c>
      <c r="H179" s="72" cm="1">
        <f t="array" aca="1" ref="H17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79" s="96">
        <f ca="1">IF(Table2[[#This Row],[Team]]="FA",0,Table2[[#This Row],[Pts/G]]*(1-Table2[[#This Row],[% Pos Overlap]]))</f>
        <v>22.865853658536587</v>
      </c>
      <c r="J179" s="72" cm="1">
        <f t="array" aca="1" ref="J179" ca="1">(INDIRECT(ADDRESS((_xlfn.XMATCH(Table2[[#This Row],[Team]],Schedule!$A$1:$A$33)),5,1,1,"Sched Overlap")))</f>
        <v>0.64306064306064303</v>
      </c>
      <c r="K179" s="92" cm="1">
        <f t="array" aca="1" ref="K17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79" s="95">
        <f ca="1">IF(Table2[[#This Row],[Team]]="FA",0,Table2[[#This Row],[Pts/G]]*(Table2[[#This Row],[Games Playable]]/82))</f>
        <v>22.865853658536587</v>
      </c>
      <c r="M179" s="95" cm="1">
        <f t="array" aca="1" ref="M179" ca="1">Table2[[#This Row],[Playable x Score]]*_xlfn.IFS(Table2[[#This Row],[Pos]]="D",assumptions!$B$15,Table2[[#This Row],[Pos]]="F", assumptions!$B$14,Table2[[#This Row],[Pos]]="G",assumptions!$B$16)</f>
        <v>28.582317073170735</v>
      </c>
    </row>
    <row r="180" spans="1:13" x14ac:dyDescent="0.3">
      <c r="A180">
        <f>'score estimates'!$A180</f>
        <v>177</v>
      </c>
      <c r="B180" t="str">
        <f>'score estimates'!$B180</f>
        <v>Jeff Carter</v>
      </c>
      <c r="C180" t="str">
        <f>'score estimates'!$D180</f>
        <v>F</v>
      </c>
      <c r="D180" t="str">
        <f>'score estimates'!$C180</f>
        <v>PIT</v>
      </c>
      <c r="E180" s="75">
        <f>'score estimates'!$F180</f>
        <v>22.341463414634145</v>
      </c>
      <c r="F180" s="71">
        <f>'score estimates'!$G180</f>
        <v>196</v>
      </c>
      <c r="G180" s="71" t="s">
        <v>983</v>
      </c>
      <c r="H180" s="72" cm="1">
        <f t="array" aca="1" ref="H18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80" s="96">
        <f ca="1">IF(Table2[[#This Row],[Team]]="FA",0,Table2[[#This Row],[Pts/G]]*(1-Table2[[#This Row],[% Pos Overlap]]))</f>
        <v>22.341463414634145</v>
      </c>
      <c r="J180" s="72" cm="1">
        <f t="array" aca="1" ref="J180" ca="1">(INDIRECT(ADDRESS((_xlfn.XMATCH(Table2[[#This Row],[Team]],Schedule!$A$1:$A$33)),5,1,1,"Sched Overlap")))</f>
        <v>0.63492063492063477</v>
      </c>
      <c r="K180" s="92" cm="1">
        <f t="array" aca="1" ref="K18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80" s="95">
        <f ca="1">IF(Table2[[#This Row],[Team]]="FA",0,Table2[[#This Row],[Pts/G]]*(Table2[[#This Row],[Games Playable]]/82))</f>
        <v>22.341463414634145</v>
      </c>
      <c r="M180" s="95" cm="1">
        <f t="array" aca="1" ref="M180" ca="1">Table2[[#This Row],[Playable x Score]]*_xlfn.IFS(Table2[[#This Row],[Pos]]="D",assumptions!$B$15,Table2[[#This Row],[Pos]]="F", assumptions!$B$14,Table2[[#This Row],[Pos]]="G",assumptions!$B$16)</f>
        <v>22.341463414634145</v>
      </c>
    </row>
    <row r="181" spans="1:13" x14ac:dyDescent="0.3">
      <c r="A181">
        <f>'score estimates'!$A181</f>
        <v>178</v>
      </c>
      <c r="B181" t="str">
        <f>'score estimates'!$B181</f>
        <v>Brandon Saad</v>
      </c>
      <c r="C181" t="str">
        <f>'score estimates'!$D181</f>
        <v>F</v>
      </c>
      <c r="D181" t="str">
        <f>'score estimates'!$C181</f>
        <v>STL</v>
      </c>
      <c r="E181" s="75">
        <f>'score estimates'!$F181</f>
        <v>20.865853658536587</v>
      </c>
      <c r="F181" s="71">
        <f>'score estimates'!$G181</f>
        <v>227</v>
      </c>
      <c r="G181" s="71" t="s">
        <v>983</v>
      </c>
      <c r="H181" s="72" cm="1">
        <f t="array" aca="1" ref="H18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81" s="96">
        <f ca="1">IF(Table2[[#This Row],[Team]]="FA",0,Table2[[#This Row],[Pts/G]]*(1-Table2[[#This Row],[% Pos Overlap]]))</f>
        <v>20.865853658536587</v>
      </c>
      <c r="J181" s="72" cm="1">
        <f t="array" aca="1" ref="J181" ca="1">(INDIRECT(ADDRESS((_xlfn.XMATCH(Table2[[#This Row],[Team]],Schedule!$A$1:$A$33)),5,1,1,"Sched Overlap")))</f>
        <v>0.65120065120065118</v>
      </c>
      <c r="K181" s="92" cm="1">
        <f t="array" aca="1" ref="K18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81" s="95">
        <f ca="1">IF(Table2[[#This Row],[Team]]="FA",0,Table2[[#This Row],[Pts/G]]*(Table2[[#This Row],[Games Playable]]/82))</f>
        <v>20.865853658536587</v>
      </c>
      <c r="M181" s="95" cm="1">
        <f t="array" aca="1" ref="M181" ca="1">Table2[[#This Row],[Playable x Score]]*_xlfn.IFS(Table2[[#This Row],[Pos]]="D",assumptions!$B$15,Table2[[#This Row],[Pos]]="F", assumptions!$B$14,Table2[[#This Row],[Pos]]="G",assumptions!$B$16)</f>
        <v>20.865853658536587</v>
      </c>
    </row>
    <row r="182" spans="1:13" x14ac:dyDescent="0.3">
      <c r="A182">
        <f>'score estimates'!$A182</f>
        <v>179</v>
      </c>
      <c r="B182" t="str">
        <f>'score estimates'!$B182</f>
        <v>Justin Faulk</v>
      </c>
      <c r="C182" t="str">
        <f>'score estimates'!$D182</f>
        <v>D</v>
      </c>
      <c r="D182" t="str">
        <f>'score estimates'!$C182</f>
        <v>STL</v>
      </c>
      <c r="E182" s="75">
        <f>'score estimates'!$F182</f>
        <v>28.914634146341463</v>
      </c>
      <c r="F182" s="71">
        <f>'score estimates'!$G182</f>
        <v>101</v>
      </c>
      <c r="G182" s="71" t="s">
        <v>983</v>
      </c>
      <c r="H182" s="72" cm="1">
        <f t="array" aca="1" ref="H18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82" s="96">
        <f ca="1">IF(Table2[[#This Row],[Team]]="FA",0,Table2[[#This Row],[Pts/G]]*(1-Table2[[#This Row],[% Pos Overlap]]))</f>
        <v>28.914634146341463</v>
      </c>
      <c r="J182" s="72" cm="1">
        <f t="array" aca="1" ref="J182" ca="1">(INDIRECT(ADDRESS((_xlfn.XMATCH(Table2[[#This Row],[Team]],Schedule!$A$1:$A$33)),5,1,1,"Sched Overlap")))</f>
        <v>0.65120065120065118</v>
      </c>
      <c r="K182" s="92" cm="1">
        <f t="array" aca="1" ref="K18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82" s="95">
        <f ca="1">IF(Table2[[#This Row],[Team]]="FA",0,Table2[[#This Row],[Pts/G]]*(Table2[[#This Row],[Games Playable]]/82))</f>
        <v>28.914634146341463</v>
      </c>
      <c r="M182" s="95" cm="1">
        <f t="array" aca="1" ref="M182" ca="1">Table2[[#This Row],[Playable x Score]]*_xlfn.IFS(Table2[[#This Row],[Pos]]="D",assumptions!$B$15,Table2[[#This Row],[Pos]]="F", assumptions!$B$14,Table2[[#This Row],[Pos]]="G",assumptions!$B$16)</f>
        <v>36.143292682926827</v>
      </c>
    </row>
    <row r="183" spans="1:13" x14ac:dyDescent="0.3">
      <c r="A183">
        <f>'score estimates'!$A183</f>
        <v>180</v>
      </c>
      <c r="B183" t="str">
        <f>'score estimates'!$B183</f>
        <v>Jaden Schwartz</v>
      </c>
      <c r="C183" t="str">
        <f>'score estimates'!$D183</f>
        <v>F</v>
      </c>
      <c r="D183" t="str">
        <f>'score estimates'!$C183</f>
        <v>SEA</v>
      </c>
      <c r="E183" s="75">
        <f>'score estimates'!$F183</f>
        <v>19.024390243902438</v>
      </c>
      <c r="F183" s="71">
        <f>'score estimates'!$G183</f>
        <v>274</v>
      </c>
      <c r="G183" s="71" t="s">
        <v>983</v>
      </c>
      <c r="H183" s="72" cm="1">
        <f t="array" aca="1" ref="H18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83" s="96">
        <f ca="1">IF(Table2[[#This Row],[Team]]="FA",0,Table2[[#This Row],[Pts/G]]*(1-Table2[[#This Row],[% Pos Overlap]]))</f>
        <v>19.024390243902438</v>
      </c>
      <c r="J183" s="72" cm="1">
        <f t="array" aca="1" ref="J183" ca="1">(INDIRECT(ADDRESS((_xlfn.XMATCH(Table2[[#This Row],[Team]],Schedule!$A$1:$A$33)),5,1,1,"Sched Overlap")))</f>
        <v>0.63085063085063087</v>
      </c>
      <c r="K183" s="92" cm="1">
        <f t="array" aca="1" ref="K18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83" s="95">
        <f ca="1">IF(Table2[[#This Row],[Team]]="FA",0,Table2[[#This Row],[Pts/G]]*(Table2[[#This Row],[Games Playable]]/82))</f>
        <v>19.024390243902438</v>
      </c>
      <c r="M183" s="95" cm="1">
        <f t="array" aca="1" ref="M183" ca="1">Table2[[#This Row],[Playable x Score]]*_xlfn.IFS(Table2[[#This Row],[Pos]]="D",assumptions!$B$15,Table2[[#This Row],[Pos]]="F", assumptions!$B$14,Table2[[#This Row],[Pos]]="G",assumptions!$B$16)</f>
        <v>19.024390243902438</v>
      </c>
    </row>
    <row r="184" spans="1:13" x14ac:dyDescent="0.3">
      <c r="A184">
        <f>'score estimates'!$A184</f>
        <v>181</v>
      </c>
      <c r="B184" t="str">
        <f>'score estimates'!$B184</f>
        <v>Mike Hoffman</v>
      </c>
      <c r="C184" t="str">
        <f>'score estimates'!$D184</f>
        <v>F</v>
      </c>
      <c r="D184" t="str">
        <f>'score estimates'!$C184</f>
        <v>MON</v>
      </c>
      <c r="E184" s="75">
        <f>'score estimates'!$F184</f>
        <v>19.280487804878049</v>
      </c>
      <c r="F184" s="71">
        <f>'score estimates'!$G184</f>
        <v>268</v>
      </c>
      <c r="G184" s="71" t="s">
        <v>983</v>
      </c>
      <c r="H184" s="72" cm="1">
        <f t="array" aca="1" ref="H18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84" s="96">
        <f ca="1">IF(Table2[[#This Row],[Team]]="FA",0,Table2[[#This Row],[Pts/G]]*(1-Table2[[#This Row],[% Pos Overlap]]))</f>
        <v>19.280487804878049</v>
      </c>
      <c r="J184" s="72" cm="1">
        <f t="array" aca="1" ref="J184" ca="1">(INDIRECT(ADDRESS((_xlfn.XMATCH(Table2[[#This Row],[Team]],Schedule!$A$1:$A$33)),5,1,1,"Sched Overlap")))</f>
        <v>0.66666666666666685</v>
      </c>
      <c r="K184" s="92" cm="1">
        <f t="array" aca="1" ref="K18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84" s="95">
        <f ca="1">IF(Table2[[#This Row],[Team]]="FA",0,Table2[[#This Row],[Pts/G]]*(Table2[[#This Row],[Games Playable]]/82))</f>
        <v>19.280487804878049</v>
      </c>
      <c r="M184" s="95" cm="1">
        <f t="array" aca="1" ref="M184" ca="1">Table2[[#This Row],[Playable x Score]]*_xlfn.IFS(Table2[[#This Row],[Pos]]="D",assumptions!$B$15,Table2[[#This Row],[Pos]]="F", assumptions!$B$14,Table2[[#This Row],[Pos]]="G",assumptions!$B$16)</f>
        <v>19.280487804878049</v>
      </c>
    </row>
    <row r="185" spans="1:13" x14ac:dyDescent="0.3">
      <c r="A185">
        <f>'score estimates'!$A185</f>
        <v>182</v>
      </c>
      <c r="B185" t="str">
        <f>'score estimates'!$B185</f>
        <v>Dougie Hamilton</v>
      </c>
      <c r="C185" t="str">
        <f>'score estimates'!$D185</f>
        <v>D</v>
      </c>
      <c r="D185" t="str">
        <f>'score estimates'!$C185</f>
        <v>NJ</v>
      </c>
      <c r="E185" s="75">
        <f>'score estimates'!$F185</f>
        <v>24.085365853658537</v>
      </c>
      <c r="F185" s="71">
        <f>'score estimates'!$G185</f>
        <v>172</v>
      </c>
      <c r="G185" s="71" t="s">
        <v>983</v>
      </c>
      <c r="H185" s="72" cm="1">
        <f t="array" aca="1" ref="H18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85" s="96">
        <f ca="1">IF(Table2[[#This Row],[Team]]="FA",0,Table2[[#This Row],[Pts/G]]*(1-Table2[[#This Row],[% Pos Overlap]]))</f>
        <v>24.085365853658537</v>
      </c>
      <c r="J185" s="72" cm="1">
        <f t="array" aca="1" ref="J185" ca="1">(INDIRECT(ADDRESS((_xlfn.XMATCH(Table2[[#This Row],[Team]],Schedule!$A$1:$A$33)),5,1,1,"Sched Overlap")))</f>
        <v>0.66259666259666272</v>
      </c>
      <c r="K185" s="92" cm="1">
        <f t="array" aca="1" ref="K18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85" s="95">
        <f ca="1">IF(Table2[[#This Row],[Team]]="FA",0,Table2[[#This Row],[Pts/G]]*(Table2[[#This Row],[Games Playable]]/82))</f>
        <v>24.085365853658537</v>
      </c>
      <c r="M185" s="95" cm="1">
        <f t="array" aca="1" ref="M185" ca="1">Table2[[#This Row],[Playable x Score]]*_xlfn.IFS(Table2[[#This Row],[Pos]]="D",assumptions!$B$15,Table2[[#This Row],[Pos]]="F", assumptions!$B$14,Table2[[#This Row],[Pos]]="G",assumptions!$B$16)</f>
        <v>30.106707317073173</v>
      </c>
    </row>
    <row r="186" spans="1:13" x14ac:dyDescent="0.3">
      <c r="A186">
        <f>'score estimates'!$A186</f>
        <v>183</v>
      </c>
      <c r="B186" t="str">
        <f>'score estimates'!$B186</f>
        <v>William Karlsson</v>
      </c>
      <c r="C186" t="str">
        <f>'score estimates'!$D186</f>
        <v>F</v>
      </c>
      <c r="D186" t="str">
        <f>'score estimates'!$C186</f>
        <v>VGK</v>
      </c>
      <c r="E186" s="75">
        <f>'score estimates'!$F186</f>
        <v>20.792682926829269</v>
      </c>
      <c r="F186" s="71">
        <f>'score estimates'!$G186</f>
        <v>229</v>
      </c>
      <c r="G186" s="71" t="s">
        <v>983</v>
      </c>
      <c r="H186" s="72" cm="1">
        <f t="array" aca="1" ref="H18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86" s="96">
        <f ca="1">IF(Table2[[#This Row],[Team]]="FA",0,Table2[[#This Row],[Pts/G]]*(1-Table2[[#This Row],[% Pos Overlap]]))</f>
        <v>20.792682926829269</v>
      </c>
      <c r="J186" s="72" cm="1">
        <f t="array" aca="1" ref="J186" ca="1">(INDIRECT(ADDRESS((_xlfn.XMATCH(Table2[[#This Row],[Team]],Schedule!$A$1:$A$33)),5,1,1,"Sched Overlap")))</f>
        <v>0.66992266992266991</v>
      </c>
      <c r="K186" s="92" cm="1">
        <f t="array" aca="1" ref="K18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86" s="95">
        <f ca="1">IF(Table2[[#This Row],[Team]]="FA",0,Table2[[#This Row],[Pts/G]]*(Table2[[#This Row],[Games Playable]]/82))</f>
        <v>20.792682926829269</v>
      </c>
      <c r="M186" s="95" cm="1">
        <f t="array" aca="1" ref="M186" ca="1">Table2[[#This Row],[Playable x Score]]*_xlfn.IFS(Table2[[#This Row],[Pos]]="D",assumptions!$B$15,Table2[[#This Row],[Pos]]="F", assumptions!$B$14,Table2[[#This Row],[Pos]]="G",assumptions!$B$16)</f>
        <v>20.792682926829269</v>
      </c>
    </row>
    <row r="187" spans="1:13" x14ac:dyDescent="0.3">
      <c r="A187">
        <f>'score estimates'!$A187</f>
        <v>184</v>
      </c>
      <c r="B187" t="str">
        <f>'score estimates'!$B187</f>
        <v>Mason Marchment</v>
      </c>
      <c r="C187" t="str">
        <f>'score estimates'!$D187</f>
        <v>F</v>
      </c>
      <c r="D187" t="str">
        <f>'score estimates'!$C187</f>
        <v>DAL</v>
      </c>
      <c r="E187" s="75">
        <f>'score estimates'!$F187</f>
        <v>23.243902439024389</v>
      </c>
      <c r="F187" s="71">
        <f>'score estimates'!$G187</f>
        <v>179</v>
      </c>
      <c r="G187" s="71" t="s">
        <v>983</v>
      </c>
      <c r="H187" s="72" cm="1">
        <f t="array" aca="1" ref="H18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87" s="96">
        <f ca="1">IF(Table2[[#This Row],[Team]]="FA",0,Table2[[#This Row],[Pts/G]]*(1-Table2[[#This Row],[% Pos Overlap]]))</f>
        <v>23.243902439024389</v>
      </c>
      <c r="J187" s="72" cm="1">
        <f t="array" aca="1" ref="J187" ca="1">(INDIRECT(ADDRESS((_xlfn.XMATCH(Table2[[#This Row],[Team]],Schedule!$A$1:$A$33)),5,1,1,"Sched Overlap")))</f>
        <v>0.65364265364265373</v>
      </c>
      <c r="K187" s="92" cm="1">
        <f t="array" aca="1" ref="K18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87" s="95">
        <f ca="1">IF(Table2[[#This Row],[Team]]="FA",0,Table2[[#This Row],[Pts/G]]*(Table2[[#This Row],[Games Playable]]/82))</f>
        <v>23.243902439024389</v>
      </c>
      <c r="M187" s="95" cm="1">
        <f t="array" aca="1" ref="M187" ca="1">Table2[[#This Row],[Playable x Score]]*_xlfn.IFS(Table2[[#This Row],[Pos]]="D",assumptions!$B$15,Table2[[#This Row],[Pos]]="F", assumptions!$B$14,Table2[[#This Row],[Pos]]="G",assumptions!$B$16)</f>
        <v>23.243902439024389</v>
      </c>
    </row>
    <row r="188" spans="1:13" x14ac:dyDescent="0.3">
      <c r="A188">
        <f>'score estimates'!$A188</f>
        <v>185</v>
      </c>
      <c r="B188" t="str">
        <f>'score estimates'!$B188</f>
        <v>Cole Sillinger</v>
      </c>
      <c r="C188" t="str">
        <f>'score estimates'!$D188</f>
        <v>F</v>
      </c>
      <c r="D188" t="str">
        <f>'score estimates'!$C188</f>
        <v>CLS</v>
      </c>
      <c r="E188" s="75">
        <f>'score estimates'!$F188</f>
        <v>20.378048780487806</v>
      </c>
      <c r="F188" s="71">
        <f>'score estimates'!$G188</f>
        <v>237</v>
      </c>
      <c r="G188" s="71" t="s">
        <v>983</v>
      </c>
      <c r="H188" s="72" cm="1">
        <f t="array" aca="1" ref="H18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88" s="96">
        <f ca="1">IF(Table2[[#This Row],[Team]]="FA",0,Table2[[#This Row],[Pts/G]]*(1-Table2[[#This Row],[% Pos Overlap]]))</f>
        <v>20.378048780487806</v>
      </c>
      <c r="J188" s="72" cm="1">
        <f t="array" aca="1" ref="J188" ca="1">(INDIRECT(ADDRESS((_xlfn.XMATCH(Table2[[#This Row],[Team]],Schedule!$A$1:$A$33)),5,1,1,"Sched Overlap")))</f>
        <v>0.64875864875864886</v>
      </c>
      <c r="K188" s="92" cm="1">
        <f t="array" aca="1" ref="K18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88" s="95">
        <f ca="1">IF(Table2[[#This Row],[Team]]="FA",0,Table2[[#This Row],[Pts/G]]*(Table2[[#This Row],[Games Playable]]/82))</f>
        <v>20.378048780487806</v>
      </c>
      <c r="M188" s="95" cm="1">
        <f t="array" aca="1" ref="M188" ca="1">Table2[[#This Row],[Playable x Score]]*_xlfn.IFS(Table2[[#This Row],[Pos]]="D",assumptions!$B$15,Table2[[#This Row],[Pos]]="F", assumptions!$B$14,Table2[[#This Row],[Pos]]="G",assumptions!$B$16)</f>
        <v>20.378048780487806</v>
      </c>
    </row>
    <row r="189" spans="1:13" x14ac:dyDescent="0.3">
      <c r="A189">
        <f>'score estimates'!$A189</f>
        <v>186</v>
      </c>
      <c r="B189" t="str">
        <f>'score estimates'!$B189</f>
        <v>Seth Jarvis</v>
      </c>
      <c r="C189" t="str">
        <f>'score estimates'!$D189</f>
        <v>F</v>
      </c>
      <c r="D189" t="str">
        <f>'score estimates'!$C189</f>
        <v>CAR</v>
      </c>
      <c r="E189" s="75">
        <f>'score estimates'!$F189</f>
        <v>20.841463414634145</v>
      </c>
      <c r="F189" s="71">
        <f>'score estimates'!$G189</f>
        <v>228</v>
      </c>
      <c r="G189" s="71" t="s">
        <v>983</v>
      </c>
      <c r="H189" s="72" cm="1">
        <f t="array" aca="1" ref="H18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89" s="96">
        <f ca="1">IF(Table2[[#This Row],[Team]]="FA",0,Table2[[#This Row],[Pts/G]]*(1-Table2[[#This Row],[% Pos Overlap]]))</f>
        <v>20.841463414634145</v>
      </c>
      <c r="J189" s="72" cm="1">
        <f t="array" aca="1" ref="J189" ca="1">(INDIRECT(ADDRESS((_xlfn.XMATCH(Table2[[#This Row],[Team]],Schedule!$A$1:$A$33)),5,1,1,"Sched Overlap")))</f>
        <v>0.63247863247863245</v>
      </c>
      <c r="K189" s="92" cm="1">
        <f t="array" aca="1" ref="K18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89" s="95">
        <f ca="1">IF(Table2[[#This Row],[Team]]="FA",0,Table2[[#This Row],[Pts/G]]*(Table2[[#This Row],[Games Playable]]/82))</f>
        <v>20.841463414634145</v>
      </c>
      <c r="M189" s="95" cm="1">
        <f t="array" aca="1" ref="M189" ca="1">Table2[[#This Row],[Playable x Score]]*_xlfn.IFS(Table2[[#This Row],[Pos]]="D",assumptions!$B$15,Table2[[#This Row],[Pos]]="F", assumptions!$B$14,Table2[[#This Row],[Pos]]="G",assumptions!$B$16)</f>
        <v>20.841463414634145</v>
      </c>
    </row>
    <row r="190" spans="1:13" x14ac:dyDescent="0.3">
      <c r="A190">
        <f>'score estimates'!$A190</f>
        <v>187</v>
      </c>
      <c r="B190" t="str">
        <f>'score estimates'!$B190</f>
        <v>Alexander Barabanov</v>
      </c>
      <c r="C190" t="str">
        <f>'score estimates'!$D190</f>
        <v>F</v>
      </c>
      <c r="D190" t="str">
        <f>'score estimates'!$C190</f>
        <v>SJ</v>
      </c>
      <c r="E190" s="75">
        <f>'score estimates'!$F190</f>
        <v>17.756097560975611</v>
      </c>
      <c r="F190" s="71">
        <f>'score estimates'!$G190</f>
        <v>309</v>
      </c>
      <c r="G190" s="71" t="s">
        <v>983</v>
      </c>
      <c r="H190" s="72" cm="1">
        <f t="array" aca="1" ref="H19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90" s="96">
        <f ca="1">IF(Table2[[#This Row],[Team]]="FA",0,Table2[[#This Row],[Pts/G]]*(1-Table2[[#This Row],[% Pos Overlap]]))</f>
        <v>17.756097560975611</v>
      </c>
      <c r="J190" s="72" cm="1">
        <f t="array" aca="1" ref="J190" ca="1">(INDIRECT(ADDRESS((_xlfn.XMATCH(Table2[[#This Row],[Team]],Schedule!$A$1:$A$33)),5,1,1,"Sched Overlap")))</f>
        <v>0.63492063492063477</v>
      </c>
      <c r="K190" s="92" cm="1">
        <f t="array" aca="1" ref="K19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90" s="95">
        <f ca="1">IF(Table2[[#This Row],[Team]]="FA",0,Table2[[#This Row],[Pts/G]]*(Table2[[#This Row],[Games Playable]]/82))</f>
        <v>17.756097560975611</v>
      </c>
      <c r="M190" s="95" cm="1">
        <f t="array" aca="1" ref="M190" ca="1">Table2[[#This Row],[Playable x Score]]*_xlfn.IFS(Table2[[#This Row],[Pos]]="D",assumptions!$B$15,Table2[[#This Row],[Pos]]="F", assumptions!$B$14,Table2[[#This Row],[Pos]]="G",assumptions!$B$16)</f>
        <v>17.756097560975611</v>
      </c>
    </row>
    <row r="191" spans="1:13" x14ac:dyDescent="0.3">
      <c r="A191">
        <f>'score estimates'!$A191</f>
        <v>188</v>
      </c>
      <c r="B191" t="str">
        <f>'score estimates'!$B191</f>
        <v>Boone Jenner</v>
      </c>
      <c r="C191" t="str">
        <f>'score estimates'!$D191</f>
        <v>F</v>
      </c>
      <c r="D191" t="str">
        <f>'score estimates'!$C191</f>
        <v>CLS</v>
      </c>
      <c r="E191" s="75">
        <f>'score estimates'!$F191</f>
        <v>21.646341463414632</v>
      </c>
      <c r="F191" s="71">
        <f>'score estimates'!$G191</f>
        <v>208</v>
      </c>
      <c r="G191" s="71" t="s">
        <v>983</v>
      </c>
      <c r="H191" s="72" cm="1">
        <f t="array" aca="1" ref="H19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91" s="96">
        <f ca="1">IF(Table2[[#This Row],[Team]]="FA",0,Table2[[#This Row],[Pts/G]]*(1-Table2[[#This Row],[% Pos Overlap]]))</f>
        <v>21.646341463414632</v>
      </c>
      <c r="J191" s="72" cm="1">
        <f t="array" aca="1" ref="J191" ca="1">(INDIRECT(ADDRESS((_xlfn.XMATCH(Table2[[#This Row],[Team]],Schedule!$A$1:$A$33)),5,1,1,"Sched Overlap")))</f>
        <v>0.64875864875864886</v>
      </c>
      <c r="K191" s="92" cm="1">
        <f t="array" aca="1" ref="K19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91" s="95">
        <f ca="1">IF(Table2[[#This Row],[Team]]="FA",0,Table2[[#This Row],[Pts/G]]*(Table2[[#This Row],[Games Playable]]/82))</f>
        <v>21.646341463414632</v>
      </c>
      <c r="M191" s="95" cm="1">
        <f t="array" aca="1" ref="M191" ca="1">Table2[[#This Row],[Playable x Score]]*_xlfn.IFS(Table2[[#This Row],[Pos]]="D",assumptions!$B$15,Table2[[#This Row],[Pos]]="F", assumptions!$B$14,Table2[[#This Row],[Pos]]="G",assumptions!$B$16)</f>
        <v>21.646341463414632</v>
      </c>
    </row>
    <row r="192" spans="1:13" x14ac:dyDescent="0.3">
      <c r="A192">
        <f>'score estimates'!$A192</f>
        <v>189</v>
      </c>
      <c r="B192" t="str">
        <f>'score estimates'!$B192</f>
        <v>Charlie Coyle</v>
      </c>
      <c r="C192" t="str">
        <f>'score estimates'!$D192</f>
        <v>F</v>
      </c>
      <c r="D192" t="str">
        <f>'score estimates'!$C192</f>
        <v>BOS</v>
      </c>
      <c r="E192" s="75">
        <f>'score estimates'!$F192</f>
        <v>19.975609756097562</v>
      </c>
      <c r="F192" s="71">
        <f>'score estimates'!$G192</f>
        <v>248</v>
      </c>
      <c r="G192" s="71" t="s">
        <v>983</v>
      </c>
      <c r="H192" s="72" cm="1">
        <f t="array" aca="1" ref="H19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92" s="96">
        <f ca="1">IF(Table2[[#This Row],[Team]]="FA",0,Table2[[#This Row],[Pts/G]]*(1-Table2[[#This Row],[% Pos Overlap]]))</f>
        <v>19.975609756097562</v>
      </c>
      <c r="J192" s="72" cm="1">
        <f t="array" aca="1" ref="J192" ca="1">(INDIRECT(ADDRESS((_xlfn.XMATCH(Table2[[#This Row],[Team]],Schedule!$A$1:$A$33)),5,1,1,"Sched Overlap")))</f>
        <v>0.67236467236467234</v>
      </c>
      <c r="K192" s="92" cm="1">
        <f t="array" aca="1" ref="K19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92" s="95">
        <f ca="1">IF(Table2[[#This Row],[Team]]="FA",0,Table2[[#This Row],[Pts/G]]*(Table2[[#This Row],[Games Playable]]/82))</f>
        <v>19.975609756097562</v>
      </c>
      <c r="M192" s="95" cm="1">
        <f t="array" aca="1" ref="M192" ca="1">Table2[[#This Row],[Playable x Score]]*_xlfn.IFS(Table2[[#This Row],[Pos]]="D",assumptions!$B$15,Table2[[#This Row],[Pos]]="F", assumptions!$B$14,Table2[[#This Row],[Pos]]="G",assumptions!$B$16)</f>
        <v>19.975609756097562</v>
      </c>
    </row>
    <row r="193" spans="1:13" x14ac:dyDescent="0.3">
      <c r="A193">
        <f>'score estimates'!$A193</f>
        <v>190</v>
      </c>
      <c r="B193" t="str">
        <f>'score estimates'!$B193</f>
        <v>T.J. Oshie</v>
      </c>
      <c r="C193" t="str">
        <f>'score estimates'!$D193</f>
        <v>F</v>
      </c>
      <c r="D193" t="str">
        <f>'score estimates'!$C193</f>
        <v>WAS</v>
      </c>
      <c r="E193" s="75">
        <f>'score estimates'!$F193</f>
        <v>19.975609756097562</v>
      </c>
      <c r="F193" s="71">
        <f>'score estimates'!$G193</f>
        <v>248</v>
      </c>
      <c r="G193" s="71" t="s">
        <v>983</v>
      </c>
      <c r="H193" s="72" cm="1">
        <f t="array" aca="1" ref="H19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93" s="96">
        <f ca="1">IF(Table2[[#This Row],[Team]]="FA",0,Table2[[#This Row],[Pts/G]]*(1-Table2[[#This Row],[% Pos Overlap]]))</f>
        <v>19.975609756097562</v>
      </c>
      <c r="J193" s="72" cm="1">
        <f t="array" aca="1" ref="J193" ca="1">(INDIRECT(ADDRESS((_xlfn.XMATCH(Table2[[#This Row],[Team]],Schedule!$A$1:$A$33)),5,1,1,"Sched Overlap")))</f>
        <v>0.65282865282865288</v>
      </c>
      <c r="K193" s="92" cm="1">
        <f t="array" aca="1" ref="K19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93" s="95">
        <f ca="1">IF(Table2[[#This Row],[Team]]="FA",0,Table2[[#This Row],[Pts/G]]*(Table2[[#This Row],[Games Playable]]/82))</f>
        <v>19.975609756097562</v>
      </c>
      <c r="M193" s="95" cm="1">
        <f t="array" aca="1" ref="M193" ca="1">Table2[[#This Row],[Playable x Score]]*_xlfn.IFS(Table2[[#This Row],[Pos]]="D",assumptions!$B$15,Table2[[#This Row],[Pos]]="F", assumptions!$B$14,Table2[[#This Row],[Pos]]="G",assumptions!$B$16)</f>
        <v>19.975609756097562</v>
      </c>
    </row>
    <row r="194" spans="1:13" x14ac:dyDescent="0.3">
      <c r="A194">
        <f>'score estimates'!$A194</f>
        <v>191</v>
      </c>
      <c r="B194" t="str">
        <f>'score estimates'!$B194</f>
        <v>Jeff Petry</v>
      </c>
      <c r="C194" t="str">
        <f>'score estimates'!$D194</f>
        <v>D</v>
      </c>
      <c r="D194" t="str">
        <f>'score estimates'!$C194</f>
        <v>PIT</v>
      </c>
      <c r="E194" s="75">
        <f>'score estimates'!$F194</f>
        <v>21.658536585365855</v>
      </c>
      <c r="F194" s="71">
        <f>'score estimates'!$G194</f>
        <v>207</v>
      </c>
      <c r="G194" s="71" t="s">
        <v>983</v>
      </c>
      <c r="H194" s="72" cm="1">
        <f t="array" aca="1" ref="H19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94" s="96">
        <f ca="1">IF(Table2[[#This Row],[Team]]="FA",0,Table2[[#This Row],[Pts/G]]*(1-Table2[[#This Row],[% Pos Overlap]]))</f>
        <v>21.658536585365855</v>
      </c>
      <c r="J194" s="72" cm="1">
        <f t="array" aca="1" ref="J194" ca="1">(INDIRECT(ADDRESS((_xlfn.XMATCH(Table2[[#This Row],[Team]],Schedule!$A$1:$A$33)),5,1,1,"Sched Overlap")))</f>
        <v>0.63492063492063477</v>
      </c>
      <c r="K194" s="92" cm="1">
        <f t="array" aca="1" ref="K19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94" s="95">
        <f ca="1">IF(Table2[[#This Row],[Team]]="FA",0,Table2[[#This Row],[Pts/G]]*(Table2[[#This Row],[Games Playable]]/82))</f>
        <v>21.658536585365855</v>
      </c>
      <c r="M194" s="95" cm="1">
        <f t="array" aca="1" ref="M194" ca="1">Table2[[#This Row],[Playable x Score]]*_xlfn.IFS(Table2[[#This Row],[Pos]]="D",assumptions!$B$15,Table2[[#This Row],[Pos]]="F", assumptions!$B$14,Table2[[#This Row],[Pos]]="G",assumptions!$B$16)</f>
        <v>27.073170731707318</v>
      </c>
    </row>
    <row r="195" spans="1:13" x14ac:dyDescent="0.3">
      <c r="A195">
        <f>'score estimates'!$A195</f>
        <v>192</v>
      </c>
      <c r="B195" t="str">
        <f>'score estimates'!$B195</f>
        <v>Anthony Mantha</v>
      </c>
      <c r="C195" t="str">
        <f>'score estimates'!$D195</f>
        <v>F</v>
      </c>
      <c r="D195" t="str">
        <f>'score estimates'!$C195</f>
        <v>WAS</v>
      </c>
      <c r="E195" s="75">
        <f>'score estimates'!$F195</f>
        <v>20.463414634146343</v>
      </c>
      <c r="F195" s="71">
        <f>'score estimates'!$G195</f>
        <v>236</v>
      </c>
      <c r="G195" s="71" t="s">
        <v>983</v>
      </c>
      <c r="H195" s="72" cm="1">
        <f t="array" aca="1" ref="H19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95" s="96">
        <f ca="1">IF(Table2[[#This Row],[Team]]="FA",0,Table2[[#This Row],[Pts/G]]*(1-Table2[[#This Row],[% Pos Overlap]]))</f>
        <v>20.463414634146343</v>
      </c>
      <c r="J195" s="72" cm="1">
        <f t="array" aca="1" ref="J195" ca="1">(INDIRECT(ADDRESS((_xlfn.XMATCH(Table2[[#This Row],[Team]],Schedule!$A$1:$A$33)),5,1,1,"Sched Overlap")))</f>
        <v>0.65282865282865288</v>
      </c>
      <c r="K195" s="92" cm="1">
        <f t="array" aca="1" ref="K19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95" s="95">
        <f ca="1">IF(Table2[[#This Row],[Team]]="FA",0,Table2[[#This Row],[Pts/G]]*(Table2[[#This Row],[Games Playable]]/82))</f>
        <v>20.463414634146343</v>
      </c>
      <c r="M195" s="95" cm="1">
        <f t="array" aca="1" ref="M195" ca="1">Table2[[#This Row],[Playable x Score]]*_xlfn.IFS(Table2[[#This Row],[Pos]]="D",assumptions!$B$15,Table2[[#This Row],[Pos]]="F", assumptions!$B$14,Table2[[#This Row],[Pos]]="G",assumptions!$B$16)</f>
        <v>20.463414634146343</v>
      </c>
    </row>
    <row r="196" spans="1:13" x14ac:dyDescent="0.3">
      <c r="A196">
        <f>'score estimates'!$A196</f>
        <v>193</v>
      </c>
      <c r="B196" t="str">
        <f>'score estimates'!$B196</f>
        <v>Jonathan Drouin</v>
      </c>
      <c r="C196" t="str">
        <f>'score estimates'!$D196</f>
        <v>F</v>
      </c>
      <c r="D196" t="str">
        <f>'score estimates'!$C196</f>
        <v>MON</v>
      </c>
      <c r="E196" s="75">
        <f>'score estimates'!$F196</f>
        <v>16.512195121951219</v>
      </c>
      <c r="F196" s="71">
        <f>'score estimates'!$G196</f>
        <v>342</v>
      </c>
      <c r="G196" s="71" t="s">
        <v>983</v>
      </c>
      <c r="H196" s="72" cm="1">
        <f t="array" aca="1" ref="H19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96" s="96">
        <f ca="1">IF(Table2[[#This Row],[Team]]="FA",0,Table2[[#This Row],[Pts/G]]*(1-Table2[[#This Row],[% Pos Overlap]]))</f>
        <v>16.512195121951219</v>
      </c>
      <c r="J196" s="72" cm="1">
        <f t="array" aca="1" ref="J196" ca="1">(INDIRECT(ADDRESS((_xlfn.XMATCH(Table2[[#This Row],[Team]],Schedule!$A$1:$A$33)),5,1,1,"Sched Overlap")))</f>
        <v>0.66666666666666685</v>
      </c>
      <c r="K196" s="92" cm="1">
        <f t="array" aca="1" ref="K19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96" s="95">
        <f ca="1">IF(Table2[[#This Row],[Team]]="FA",0,Table2[[#This Row],[Pts/G]]*(Table2[[#This Row],[Games Playable]]/82))</f>
        <v>16.512195121951219</v>
      </c>
      <c r="M196" s="95" cm="1">
        <f t="array" aca="1" ref="M196" ca="1">Table2[[#This Row],[Playable x Score]]*_xlfn.IFS(Table2[[#This Row],[Pos]]="D",assumptions!$B$15,Table2[[#This Row],[Pos]]="F", assumptions!$B$14,Table2[[#This Row],[Pos]]="G",assumptions!$B$16)</f>
        <v>16.512195121951219</v>
      </c>
    </row>
    <row r="197" spans="1:13" x14ac:dyDescent="0.3">
      <c r="A197">
        <f>'score estimates'!$A197</f>
        <v>194</v>
      </c>
      <c r="B197" t="str">
        <f>'score estimates'!$B197</f>
        <v>Alexander Wennberg</v>
      </c>
      <c r="C197" t="str">
        <f>'score estimates'!$D197</f>
        <v>F</v>
      </c>
      <c r="D197" t="str">
        <f>'score estimates'!$C197</f>
        <v>SEA</v>
      </c>
      <c r="E197" s="75">
        <f>'score estimates'!$F197</f>
        <v>16.439024390243901</v>
      </c>
      <c r="F197" s="71">
        <f>'score estimates'!$G197</f>
        <v>345</v>
      </c>
      <c r="G197" s="71" t="s">
        <v>983</v>
      </c>
      <c r="H197" s="72" cm="1">
        <f t="array" aca="1" ref="H19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97" s="96">
        <f ca="1">IF(Table2[[#This Row],[Team]]="FA",0,Table2[[#This Row],[Pts/G]]*(1-Table2[[#This Row],[% Pos Overlap]]))</f>
        <v>16.439024390243901</v>
      </c>
      <c r="J197" s="72" cm="1">
        <f t="array" aca="1" ref="J197" ca="1">(INDIRECT(ADDRESS((_xlfn.XMATCH(Table2[[#This Row],[Team]],Schedule!$A$1:$A$33)),5,1,1,"Sched Overlap")))</f>
        <v>0.63085063085063087</v>
      </c>
      <c r="K197" s="92" cm="1">
        <f t="array" aca="1" ref="K19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97" s="95">
        <f ca="1">IF(Table2[[#This Row],[Team]]="FA",0,Table2[[#This Row],[Pts/G]]*(Table2[[#This Row],[Games Playable]]/82))</f>
        <v>16.439024390243901</v>
      </c>
      <c r="M197" s="95" cm="1">
        <f t="array" aca="1" ref="M197" ca="1">Table2[[#This Row],[Playable x Score]]*_xlfn.IFS(Table2[[#This Row],[Pos]]="D",assumptions!$B$15,Table2[[#This Row],[Pos]]="F", assumptions!$B$14,Table2[[#This Row],[Pos]]="G",assumptions!$B$16)</f>
        <v>16.439024390243901</v>
      </c>
    </row>
    <row r="198" spans="1:13" x14ac:dyDescent="0.3">
      <c r="A198">
        <f>'score estimates'!$A198</f>
        <v>195</v>
      </c>
      <c r="B198" t="str">
        <f>'score estimates'!$B198</f>
        <v>Damon Severson</v>
      </c>
      <c r="C198" t="str">
        <f>'score estimates'!$D198</f>
        <v>D</v>
      </c>
      <c r="D198" t="str">
        <f>'score estimates'!$C198</f>
        <v>NJ</v>
      </c>
      <c r="E198" s="75">
        <f>'score estimates'!$F198</f>
        <v>21.109756097560975</v>
      </c>
      <c r="F198" s="71">
        <f>'score estimates'!$G198</f>
        <v>221</v>
      </c>
      <c r="G198" s="71" t="s">
        <v>983</v>
      </c>
      <c r="H198" s="72" cm="1">
        <f t="array" aca="1" ref="H19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98" s="96">
        <f ca="1">IF(Table2[[#This Row],[Team]]="FA",0,Table2[[#This Row],[Pts/G]]*(1-Table2[[#This Row],[% Pos Overlap]]))</f>
        <v>21.109756097560975</v>
      </c>
      <c r="J198" s="72" cm="1">
        <f t="array" aca="1" ref="J198" ca="1">(INDIRECT(ADDRESS((_xlfn.XMATCH(Table2[[#This Row],[Team]],Schedule!$A$1:$A$33)),5,1,1,"Sched Overlap")))</f>
        <v>0.66259666259666272</v>
      </c>
      <c r="K198" s="92" cm="1">
        <f t="array" aca="1" ref="K19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98" s="95">
        <f ca="1">IF(Table2[[#This Row],[Team]]="FA",0,Table2[[#This Row],[Pts/G]]*(Table2[[#This Row],[Games Playable]]/82))</f>
        <v>21.109756097560975</v>
      </c>
      <c r="M198" s="95" cm="1">
        <f t="array" aca="1" ref="M198" ca="1">Table2[[#This Row],[Playable x Score]]*_xlfn.IFS(Table2[[#This Row],[Pos]]="D",assumptions!$B$15,Table2[[#This Row],[Pos]]="F", assumptions!$B$14,Table2[[#This Row],[Pos]]="G",assumptions!$B$16)</f>
        <v>26.387195121951219</v>
      </c>
    </row>
    <row r="199" spans="1:13" x14ac:dyDescent="0.3">
      <c r="A199">
        <f>'score estimates'!$A199</f>
        <v>196</v>
      </c>
      <c r="B199" t="str">
        <f>'score estimates'!$B199</f>
        <v>Noah Hanifin</v>
      </c>
      <c r="C199" t="str">
        <f>'score estimates'!$D199</f>
        <v>D</v>
      </c>
      <c r="D199" t="str">
        <f>'score estimates'!$C199</f>
        <v>CGY</v>
      </c>
      <c r="E199" s="75">
        <f>'score estimates'!$F199</f>
        <v>22.914634146341463</v>
      </c>
      <c r="F199" s="71">
        <f>'score estimates'!$G199</f>
        <v>185</v>
      </c>
      <c r="G199" s="71" t="s">
        <v>983</v>
      </c>
      <c r="H199" s="72" cm="1">
        <f t="array" aca="1" ref="H19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99" s="96">
        <f ca="1">IF(Table2[[#This Row],[Team]]="FA",0,Table2[[#This Row],[Pts/G]]*(1-Table2[[#This Row],[% Pos Overlap]]))</f>
        <v>22.914634146341463</v>
      </c>
      <c r="J199" s="72" cm="1">
        <f t="array" aca="1" ref="J199" ca="1">(INDIRECT(ADDRESS((_xlfn.XMATCH(Table2[[#This Row],[Team]],Schedule!$A$1:$A$33)),5,1,1,"Sched Overlap")))</f>
        <v>0.63003663003663002</v>
      </c>
      <c r="K199" s="92" cm="1">
        <f t="array" aca="1" ref="K19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99" s="95">
        <f ca="1">IF(Table2[[#This Row],[Team]]="FA",0,Table2[[#This Row],[Pts/G]]*(Table2[[#This Row],[Games Playable]]/82))</f>
        <v>22.914634146341463</v>
      </c>
      <c r="M199" s="95" cm="1">
        <f t="array" aca="1" ref="M199" ca="1">Table2[[#This Row],[Playable x Score]]*_xlfn.IFS(Table2[[#This Row],[Pos]]="D",assumptions!$B$15,Table2[[#This Row],[Pos]]="F", assumptions!$B$14,Table2[[#This Row],[Pos]]="G",assumptions!$B$16)</f>
        <v>28.643292682926827</v>
      </c>
    </row>
    <row r="200" spans="1:13" x14ac:dyDescent="0.3">
      <c r="A200">
        <f>'score estimates'!$A200</f>
        <v>197</v>
      </c>
      <c r="B200" t="str">
        <f>'score estimates'!$B200</f>
        <v>Mikael Backlund</v>
      </c>
      <c r="C200" t="str">
        <f>'score estimates'!$D200</f>
        <v>F</v>
      </c>
      <c r="D200" t="str">
        <f>'score estimates'!$C200</f>
        <v>CGY</v>
      </c>
      <c r="E200" s="75">
        <f>'score estimates'!$F200</f>
        <v>22.463414634146343</v>
      </c>
      <c r="F200" s="71">
        <f>'score estimates'!$G200</f>
        <v>193</v>
      </c>
      <c r="G200" s="71" t="s">
        <v>983</v>
      </c>
      <c r="H200" s="72" cm="1">
        <f t="array" aca="1" ref="H20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00" s="96">
        <f ca="1">IF(Table2[[#This Row],[Team]]="FA",0,Table2[[#This Row],[Pts/G]]*(1-Table2[[#This Row],[% Pos Overlap]]))</f>
        <v>22.463414634146343</v>
      </c>
      <c r="J200" s="72" cm="1">
        <f t="array" aca="1" ref="J200" ca="1">(INDIRECT(ADDRESS((_xlfn.XMATCH(Table2[[#This Row],[Team]],Schedule!$A$1:$A$33)),5,1,1,"Sched Overlap")))</f>
        <v>0.63003663003663002</v>
      </c>
      <c r="K200" s="92" cm="1">
        <f t="array" aca="1" ref="K20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00" s="95">
        <f ca="1">IF(Table2[[#This Row],[Team]]="FA",0,Table2[[#This Row],[Pts/G]]*(Table2[[#This Row],[Games Playable]]/82))</f>
        <v>22.463414634146343</v>
      </c>
      <c r="M200" s="95" cm="1">
        <f t="array" aca="1" ref="M200" ca="1">Table2[[#This Row],[Playable x Score]]*_xlfn.IFS(Table2[[#This Row],[Pos]]="D",assumptions!$B$15,Table2[[#This Row],[Pos]]="F", assumptions!$B$14,Table2[[#This Row],[Pos]]="G",assumptions!$B$16)</f>
        <v>22.463414634146343</v>
      </c>
    </row>
    <row r="201" spans="1:13" x14ac:dyDescent="0.3">
      <c r="A201">
        <f>'score estimates'!$A201</f>
        <v>198</v>
      </c>
      <c r="B201" t="str">
        <f>'score estimates'!$B201</f>
        <v>Adam Henrique</v>
      </c>
      <c r="C201" t="str">
        <f>'score estimates'!$D201</f>
        <v>F</v>
      </c>
      <c r="D201" t="str">
        <f>'score estimates'!$C201</f>
        <v>ANH</v>
      </c>
      <c r="E201" s="75">
        <f>'score estimates'!$F201</f>
        <v>18.817073170731707</v>
      </c>
      <c r="F201" s="71">
        <f>'score estimates'!$G201</f>
        <v>277</v>
      </c>
      <c r="G201" s="71" t="s">
        <v>983</v>
      </c>
      <c r="H201" s="72" cm="1">
        <f t="array" aca="1" ref="H20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01" s="96">
        <f ca="1">IF(Table2[[#This Row],[Team]]="FA",0,Table2[[#This Row],[Pts/G]]*(1-Table2[[#This Row],[% Pos Overlap]]))</f>
        <v>18.817073170731707</v>
      </c>
      <c r="J201" s="72" cm="1">
        <f t="array" aca="1" ref="J201" ca="1">(INDIRECT(ADDRESS((_xlfn.XMATCH(Table2[[#This Row],[Team]],Schedule!$A$1:$A$33)),5,1,1,"Sched Overlap")))</f>
        <v>0.56410256410256399</v>
      </c>
      <c r="K201" s="92" cm="1">
        <f t="array" aca="1" ref="K20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01" s="95">
        <f ca="1">IF(Table2[[#This Row],[Team]]="FA",0,Table2[[#This Row],[Pts/G]]*(Table2[[#This Row],[Games Playable]]/82))</f>
        <v>18.817073170731707</v>
      </c>
      <c r="M201" s="95" cm="1">
        <f t="array" aca="1" ref="M201" ca="1">Table2[[#This Row],[Playable x Score]]*_xlfn.IFS(Table2[[#This Row],[Pos]]="D",assumptions!$B$15,Table2[[#This Row],[Pos]]="F", assumptions!$B$14,Table2[[#This Row],[Pos]]="G",assumptions!$B$16)</f>
        <v>18.817073170731707</v>
      </c>
    </row>
    <row r="202" spans="1:13" x14ac:dyDescent="0.3">
      <c r="A202">
        <f>'score estimates'!$A202</f>
        <v>199</v>
      </c>
      <c r="B202" t="str">
        <f>'score estimates'!$B202</f>
        <v>Dylan Cozens</v>
      </c>
      <c r="C202" t="str">
        <f>'score estimates'!$D202</f>
        <v>F</v>
      </c>
      <c r="D202" t="str">
        <f>'score estimates'!$C202</f>
        <v>BUF</v>
      </c>
      <c r="E202" s="75">
        <f>'score estimates'!$F202</f>
        <v>18.73170731707317</v>
      </c>
      <c r="F202" s="71">
        <f>'score estimates'!$G202</f>
        <v>281</v>
      </c>
      <c r="G202" s="71" t="s">
        <v>983</v>
      </c>
      <c r="H202" s="72" cm="1">
        <f t="array" aca="1" ref="H20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02" s="96">
        <f ca="1">IF(Table2[[#This Row],[Team]]="FA",0,Table2[[#This Row],[Pts/G]]*(1-Table2[[#This Row],[% Pos Overlap]]))</f>
        <v>18.73170731707317</v>
      </c>
      <c r="J202" s="72" cm="1">
        <f t="array" aca="1" ref="J202" ca="1">(INDIRECT(ADDRESS((_xlfn.XMATCH(Table2[[#This Row],[Team]],Schedule!$A$1:$A$33)),5,1,1,"Sched Overlap")))</f>
        <v>0.63573463573463573</v>
      </c>
      <c r="K202" s="92" cm="1">
        <f t="array" aca="1" ref="K20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02" s="95">
        <f ca="1">IF(Table2[[#This Row],[Team]]="FA",0,Table2[[#This Row],[Pts/G]]*(Table2[[#This Row],[Games Playable]]/82))</f>
        <v>18.73170731707317</v>
      </c>
      <c r="M202" s="95" cm="1">
        <f t="array" aca="1" ref="M202" ca="1">Table2[[#This Row],[Playable x Score]]*_xlfn.IFS(Table2[[#This Row],[Pos]]="D",assumptions!$B$15,Table2[[#This Row],[Pos]]="F", assumptions!$B$14,Table2[[#This Row],[Pos]]="G",assumptions!$B$16)</f>
        <v>18.73170731707317</v>
      </c>
    </row>
    <row r="203" spans="1:13" x14ac:dyDescent="0.3">
      <c r="A203">
        <f>'score estimates'!$A203</f>
        <v>200</v>
      </c>
      <c r="B203" t="str">
        <f>'score estimates'!$B203</f>
        <v>Kailer Yamamoto</v>
      </c>
      <c r="C203" t="str">
        <f>'score estimates'!$D203</f>
        <v>F</v>
      </c>
      <c r="D203" t="str">
        <f>'score estimates'!$C203</f>
        <v>EDM</v>
      </c>
      <c r="E203" s="75">
        <f>'score estimates'!$F203</f>
        <v>21.219512195121951</v>
      </c>
      <c r="F203" s="71">
        <f>'score estimates'!$G203</f>
        <v>217</v>
      </c>
      <c r="G203" s="71" t="s">
        <v>983</v>
      </c>
      <c r="H203" s="72" cm="1">
        <f t="array" aca="1" ref="H20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03" s="96">
        <f ca="1">IF(Table2[[#This Row],[Team]]="FA",0,Table2[[#This Row],[Pts/G]]*(1-Table2[[#This Row],[% Pos Overlap]]))</f>
        <v>21.219512195121951</v>
      </c>
      <c r="J203" s="72" cm="1">
        <f t="array" aca="1" ref="J203" ca="1">(INDIRECT(ADDRESS((_xlfn.XMATCH(Table2[[#This Row],[Team]],Schedule!$A$1:$A$33)),5,1,1,"Sched Overlap")))</f>
        <v>0.62026862026862029</v>
      </c>
      <c r="K203" s="92" cm="1">
        <f t="array" aca="1" ref="K20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03" s="95">
        <f ca="1">IF(Table2[[#This Row],[Team]]="FA",0,Table2[[#This Row],[Pts/G]]*(Table2[[#This Row],[Games Playable]]/82))</f>
        <v>21.219512195121951</v>
      </c>
      <c r="M203" s="95" cm="1">
        <f t="array" aca="1" ref="M203" ca="1">Table2[[#This Row],[Playable x Score]]*_xlfn.IFS(Table2[[#This Row],[Pos]]="D",assumptions!$B$15,Table2[[#This Row],[Pos]]="F", assumptions!$B$14,Table2[[#This Row],[Pos]]="G",assumptions!$B$16)</f>
        <v>21.219512195121951</v>
      </c>
    </row>
    <row r="204" spans="1:13" x14ac:dyDescent="0.3">
      <c r="A204">
        <f>'score estimates'!$A204</f>
        <v>201</v>
      </c>
      <c r="B204" t="str">
        <f>'score estimates'!$B204</f>
        <v>Cam Fowler</v>
      </c>
      <c r="C204" t="str">
        <f>'score estimates'!$D204</f>
        <v>D</v>
      </c>
      <c r="D204" t="str">
        <f>'score estimates'!$C204</f>
        <v>ANH</v>
      </c>
      <c r="E204" s="75">
        <f>'score estimates'!$F204</f>
        <v>18.280487804878049</v>
      </c>
      <c r="F204" s="71">
        <f>'score estimates'!$G204</f>
        <v>291</v>
      </c>
      <c r="G204" s="71" t="s">
        <v>983</v>
      </c>
      <c r="H204" s="72" cm="1">
        <f t="array" aca="1" ref="H20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04" s="96">
        <f ca="1">IF(Table2[[#This Row],[Team]]="FA",0,Table2[[#This Row],[Pts/G]]*(1-Table2[[#This Row],[% Pos Overlap]]))</f>
        <v>18.280487804878049</v>
      </c>
      <c r="J204" s="72" cm="1">
        <f t="array" aca="1" ref="J204" ca="1">(INDIRECT(ADDRESS((_xlfn.XMATCH(Table2[[#This Row],[Team]],Schedule!$A$1:$A$33)),5,1,1,"Sched Overlap")))</f>
        <v>0.56410256410256399</v>
      </c>
      <c r="K204" s="92" cm="1">
        <f t="array" aca="1" ref="K20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04" s="95">
        <f ca="1">IF(Table2[[#This Row],[Team]]="FA",0,Table2[[#This Row],[Pts/G]]*(Table2[[#This Row],[Games Playable]]/82))</f>
        <v>18.280487804878049</v>
      </c>
      <c r="M204" s="95" cm="1">
        <f t="array" aca="1" ref="M204" ca="1">Table2[[#This Row],[Playable x Score]]*_xlfn.IFS(Table2[[#This Row],[Pos]]="D",assumptions!$B$15,Table2[[#This Row],[Pos]]="F", assumptions!$B$14,Table2[[#This Row],[Pos]]="G",assumptions!$B$16)</f>
        <v>22.850609756097562</v>
      </c>
    </row>
    <row r="205" spans="1:13" x14ac:dyDescent="0.3">
      <c r="A205">
        <f>'score estimates'!$A205</f>
        <v>202</v>
      </c>
      <c r="B205" t="str">
        <f>'score estimates'!$B205</f>
        <v>Jean-Gabriel Pageau</v>
      </c>
      <c r="C205" t="str">
        <f>'score estimates'!$D205</f>
        <v>F</v>
      </c>
      <c r="D205" t="str">
        <f>'score estimates'!$C205</f>
        <v>NYI</v>
      </c>
      <c r="E205" s="75">
        <f>'score estimates'!$F205</f>
        <v>22.158536585365855</v>
      </c>
      <c r="F205" s="71">
        <f>'score estimates'!$G205</f>
        <v>198</v>
      </c>
      <c r="G205" s="71" t="s">
        <v>983</v>
      </c>
      <c r="H205" s="72" cm="1">
        <f t="array" aca="1" ref="H20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05" s="96">
        <f ca="1">IF(Table2[[#This Row],[Team]]="FA",0,Table2[[#This Row],[Pts/G]]*(1-Table2[[#This Row],[% Pos Overlap]]))</f>
        <v>22.158536585365855</v>
      </c>
      <c r="J205" s="72" cm="1">
        <f t="array" aca="1" ref="J205" ca="1">(INDIRECT(ADDRESS((_xlfn.XMATCH(Table2[[#This Row],[Team]],Schedule!$A$1:$A$33)),5,1,1,"Sched Overlap")))</f>
        <v>0.63166463166463194</v>
      </c>
      <c r="K205" s="92" cm="1">
        <f t="array" aca="1" ref="K20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05" s="95">
        <f ca="1">IF(Table2[[#This Row],[Team]]="FA",0,Table2[[#This Row],[Pts/G]]*(Table2[[#This Row],[Games Playable]]/82))</f>
        <v>22.158536585365855</v>
      </c>
      <c r="M205" s="95" cm="1">
        <f t="array" aca="1" ref="M205" ca="1">Table2[[#This Row],[Playable x Score]]*_xlfn.IFS(Table2[[#This Row],[Pos]]="D",assumptions!$B$15,Table2[[#This Row],[Pos]]="F", assumptions!$B$14,Table2[[#This Row],[Pos]]="G",assumptions!$B$16)</f>
        <v>22.158536585365855</v>
      </c>
    </row>
    <row r="206" spans="1:13" x14ac:dyDescent="0.3">
      <c r="A206">
        <f>'score estimates'!$A206</f>
        <v>203</v>
      </c>
      <c r="B206" t="str">
        <f>'score estimates'!$B206</f>
        <v>Jonathan Toews</v>
      </c>
      <c r="C206" t="str">
        <f>'score estimates'!$D206</f>
        <v>F</v>
      </c>
      <c r="D206" t="str">
        <f>'score estimates'!$C206</f>
        <v>CHI</v>
      </c>
      <c r="E206" s="75">
        <f>'score estimates'!$F206</f>
        <v>17.451219512195124</v>
      </c>
      <c r="F206" s="71">
        <f>'score estimates'!$G206</f>
        <v>318</v>
      </c>
      <c r="G206" s="71" t="s">
        <v>983</v>
      </c>
      <c r="H206" s="72" cm="1">
        <f t="array" aca="1" ref="H20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06" s="96">
        <f ca="1">IF(Table2[[#This Row],[Team]]="FA",0,Table2[[#This Row],[Pts/G]]*(1-Table2[[#This Row],[% Pos Overlap]]))</f>
        <v>17.451219512195124</v>
      </c>
      <c r="J206" s="72" cm="1">
        <f t="array" aca="1" ref="J206" ca="1">(INDIRECT(ADDRESS((_xlfn.XMATCH(Table2[[#This Row],[Team]],Schedule!$A$1:$A$33)),5,1,1,"Sched Overlap")))</f>
        <v>0.6243386243386243</v>
      </c>
      <c r="K206" s="92" cm="1">
        <f t="array" aca="1" ref="K20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06" s="95">
        <f ca="1">IF(Table2[[#This Row],[Team]]="FA",0,Table2[[#This Row],[Pts/G]]*(Table2[[#This Row],[Games Playable]]/82))</f>
        <v>17.451219512195124</v>
      </c>
      <c r="M206" s="95" cm="1">
        <f t="array" aca="1" ref="M206" ca="1">Table2[[#This Row],[Playable x Score]]*_xlfn.IFS(Table2[[#This Row],[Pos]]="D",assumptions!$B$15,Table2[[#This Row],[Pos]]="F", assumptions!$B$14,Table2[[#This Row],[Pos]]="G",assumptions!$B$16)</f>
        <v>17.451219512195124</v>
      </c>
    </row>
    <row r="207" spans="1:13" x14ac:dyDescent="0.3">
      <c r="A207">
        <f>'score estimates'!$A207</f>
        <v>204</v>
      </c>
      <c r="B207" t="str">
        <f>'score estimates'!$B207</f>
        <v>James van Riemsdyk</v>
      </c>
      <c r="C207" t="str">
        <f>'score estimates'!$D207</f>
        <v>F</v>
      </c>
      <c r="D207" t="str">
        <f>'score estimates'!$C207</f>
        <v>PHI</v>
      </c>
      <c r="E207" s="75">
        <f>'score estimates'!$F207</f>
        <v>17.975609756097562</v>
      </c>
      <c r="F207" s="71">
        <f>'score estimates'!$G207</f>
        <v>302</v>
      </c>
      <c r="G207" s="71" t="s">
        <v>983</v>
      </c>
      <c r="H207" s="72" cm="1">
        <f t="array" aca="1" ref="H20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07" s="96">
        <f ca="1">IF(Table2[[#This Row],[Team]]="FA",0,Table2[[#This Row],[Pts/G]]*(1-Table2[[#This Row],[% Pos Overlap]]))</f>
        <v>17.975609756097562</v>
      </c>
      <c r="J207" s="72" cm="1">
        <f t="array" aca="1" ref="J207" ca="1">(INDIRECT(ADDRESS((_xlfn.XMATCH(Table2[[#This Row],[Team]],Schedule!$A$1:$A$33)),5,1,1,"Sched Overlap")))</f>
        <v>0.66910866910866917</v>
      </c>
      <c r="K207" s="92" cm="1">
        <f t="array" aca="1" ref="K20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07" s="95">
        <f ca="1">IF(Table2[[#This Row],[Team]]="FA",0,Table2[[#This Row],[Pts/G]]*(Table2[[#This Row],[Games Playable]]/82))</f>
        <v>17.975609756097562</v>
      </c>
      <c r="M207" s="95" cm="1">
        <f t="array" aca="1" ref="M207" ca="1">Table2[[#This Row],[Playable x Score]]*_xlfn.IFS(Table2[[#This Row],[Pos]]="D",assumptions!$B$15,Table2[[#This Row],[Pos]]="F", assumptions!$B$14,Table2[[#This Row],[Pos]]="G",assumptions!$B$16)</f>
        <v>17.975609756097562</v>
      </c>
    </row>
    <row r="208" spans="1:13" x14ac:dyDescent="0.3">
      <c r="A208">
        <f>'score estimates'!$A208</f>
        <v>205</v>
      </c>
      <c r="B208" t="str">
        <f>'score estimates'!$B208</f>
        <v>Darnell Nurse</v>
      </c>
      <c r="C208" t="str">
        <f>'score estimates'!$D208</f>
        <v>D</v>
      </c>
      <c r="D208" t="str">
        <f>'score estimates'!$C208</f>
        <v>EDM</v>
      </c>
      <c r="E208" s="75">
        <f>'score estimates'!$F208</f>
        <v>29.036585365853657</v>
      </c>
      <c r="F208" s="71">
        <f>'score estimates'!$G208</f>
        <v>99</v>
      </c>
      <c r="G208" s="71" t="s">
        <v>983</v>
      </c>
      <c r="H208" s="72" cm="1">
        <f t="array" aca="1" ref="H20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08" s="96">
        <f ca="1">IF(Table2[[#This Row],[Team]]="FA",0,Table2[[#This Row],[Pts/G]]*(1-Table2[[#This Row],[% Pos Overlap]]))</f>
        <v>29.036585365853657</v>
      </c>
      <c r="J208" s="72" cm="1">
        <f t="array" aca="1" ref="J208" ca="1">(INDIRECT(ADDRESS((_xlfn.XMATCH(Table2[[#This Row],[Team]],Schedule!$A$1:$A$33)),5,1,1,"Sched Overlap")))</f>
        <v>0.62026862026862029</v>
      </c>
      <c r="K208" s="92" cm="1">
        <f t="array" aca="1" ref="K20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08" s="95">
        <f ca="1">IF(Table2[[#This Row],[Team]]="FA",0,Table2[[#This Row],[Pts/G]]*(Table2[[#This Row],[Games Playable]]/82))</f>
        <v>29.036585365853657</v>
      </c>
      <c r="M208" s="95" cm="1">
        <f t="array" aca="1" ref="M208" ca="1">Table2[[#This Row],[Playable x Score]]*_xlfn.IFS(Table2[[#This Row],[Pos]]="D",assumptions!$B$15,Table2[[#This Row],[Pos]]="F", assumptions!$B$14,Table2[[#This Row],[Pos]]="G",assumptions!$B$16)</f>
        <v>36.295731707317074</v>
      </c>
    </row>
    <row r="209" spans="1:13" x14ac:dyDescent="0.3">
      <c r="A209">
        <f>'score estimates'!$A209</f>
        <v>206</v>
      </c>
      <c r="B209" t="str">
        <f>'score estimates'!$B209</f>
        <v>Jaccob Slavin</v>
      </c>
      <c r="C209" t="str">
        <f>'score estimates'!$D209</f>
        <v>D</v>
      </c>
      <c r="D209" t="str">
        <f>'score estimates'!$C209</f>
        <v>CAR</v>
      </c>
      <c r="E209" s="75">
        <f>'score estimates'!$F209</f>
        <v>24.341463414634145</v>
      </c>
      <c r="F209" s="71">
        <f>'score estimates'!$G209</f>
        <v>169</v>
      </c>
      <c r="G209" s="71" t="s">
        <v>983</v>
      </c>
      <c r="H209" s="72" cm="1">
        <f t="array" aca="1" ref="H20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09" s="96">
        <f ca="1">IF(Table2[[#This Row],[Team]]="FA",0,Table2[[#This Row],[Pts/G]]*(1-Table2[[#This Row],[% Pos Overlap]]))</f>
        <v>24.341463414634145</v>
      </c>
      <c r="J209" s="72" cm="1">
        <f t="array" aca="1" ref="J209" ca="1">(INDIRECT(ADDRESS((_xlfn.XMATCH(Table2[[#This Row],[Team]],Schedule!$A$1:$A$33)),5,1,1,"Sched Overlap")))</f>
        <v>0.63247863247863245</v>
      </c>
      <c r="K209" s="92" cm="1">
        <f t="array" aca="1" ref="K20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09" s="95">
        <f ca="1">IF(Table2[[#This Row],[Team]]="FA",0,Table2[[#This Row],[Pts/G]]*(Table2[[#This Row],[Games Playable]]/82))</f>
        <v>24.341463414634145</v>
      </c>
      <c r="M209" s="95" cm="1">
        <f t="array" aca="1" ref="M209" ca="1">Table2[[#This Row],[Playable x Score]]*_xlfn.IFS(Table2[[#This Row],[Pos]]="D",assumptions!$B$15,Table2[[#This Row],[Pos]]="F", assumptions!$B$14,Table2[[#This Row],[Pos]]="G",assumptions!$B$16)</f>
        <v>30.426829268292682</v>
      </c>
    </row>
    <row r="210" spans="1:13" x14ac:dyDescent="0.3">
      <c r="A210">
        <f>'score estimates'!$A210</f>
        <v>207</v>
      </c>
      <c r="B210" t="str">
        <f>'score estimates'!$B210</f>
        <v>MacKenzie Weegar</v>
      </c>
      <c r="C210" t="str">
        <f>'score estimates'!$D210</f>
        <v>D</v>
      </c>
      <c r="D210" t="str">
        <f>'score estimates'!$C210</f>
        <v>CGY</v>
      </c>
      <c r="E210" s="75">
        <f>'score estimates'!$F210</f>
        <v>29.621951219512194</v>
      </c>
      <c r="F210" s="71">
        <f>'score estimates'!$G210</f>
        <v>94</v>
      </c>
      <c r="G210" s="71" t="s">
        <v>983</v>
      </c>
      <c r="H210" s="72" cm="1">
        <f t="array" aca="1" ref="H21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10" s="96">
        <f ca="1">IF(Table2[[#This Row],[Team]]="FA",0,Table2[[#This Row],[Pts/G]]*(1-Table2[[#This Row],[% Pos Overlap]]))</f>
        <v>29.621951219512194</v>
      </c>
      <c r="J210" s="72" cm="1">
        <f t="array" aca="1" ref="J210" ca="1">(INDIRECT(ADDRESS((_xlfn.XMATCH(Table2[[#This Row],[Team]],Schedule!$A$1:$A$33)),5,1,1,"Sched Overlap")))</f>
        <v>0.63003663003663002</v>
      </c>
      <c r="K210" s="92" cm="1">
        <f t="array" aca="1" ref="K21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10" s="95">
        <f ca="1">IF(Table2[[#This Row],[Team]]="FA",0,Table2[[#This Row],[Pts/G]]*(Table2[[#This Row],[Games Playable]]/82))</f>
        <v>29.621951219512194</v>
      </c>
      <c r="M210" s="95" cm="1">
        <f t="array" aca="1" ref="M210" ca="1">Table2[[#This Row],[Playable x Score]]*_xlfn.IFS(Table2[[#This Row],[Pos]]="D",assumptions!$B$15,Table2[[#This Row],[Pos]]="F", assumptions!$B$14,Table2[[#This Row],[Pos]]="G",assumptions!$B$16)</f>
        <v>37.02743902439024</v>
      </c>
    </row>
    <row r="211" spans="1:13" x14ac:dyDescent="0.3">
      <c r="A211">
        <f>'score estimates'!$A211</f>
        <v>208</v>
      </c>
      <c r="B211" t="str">
        <f>'score estimates'!$B211</f>
        <v>Jake DeBrusk</v>
      </c>
      <c r="C211" t="str">
        <f>'score estimates'!$D211</f>
        <v>F</v>
      </c>
      <c r="D211" t="str">
        <f>'score estimates'!$C211</f>
        <v>BOS</v>
      </c>
      <c r="E211" s="75">
        <f>'score estimates'!$F211</f>
        <v>20.341463414634145</v>
      </c>
      <c r="F211" s="71">
        <f>'score estimates'!$G211</f>
        <v>239</v>
      </c>
      <c r="G211" s="71" t="s">
        <v>983</v>
      </c>
      <c r="H211" s="72" cm="1">
        <f t="array" aca="1" ref="H21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11" s="96">
        <f ca="1">IF(Table2[[#This Row],[Team]]="FA",0,Table2[[#This Row],[Pts/G]]*(1-Table2[[#This Row],[% Pos Overlap]]))</f>
        <v>20.341463414634145</v>
      </c>
      <c r="J211" s="72" cm="1">
        <f t="array" aca="1" ref="J211" ca="1">(INDIRECT(ADDRESS((_xlfn.XMATCH(Table2[[#This Row],[Team]],Schedule!$A$1:$A$33)),5,1,1,"Sched Overlap")))</f>
        <v>0.67236467236467234</v>
      </c>
      <c r="K211" s="92" cm="1">
        <f t="array" aca="1" ref="K21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11" s="95">
        <f ca="1">IF(Table2[[#This Row],[Team]]="FA",0,Table2[[#This Row],[Pts/G]]*(Table2[[#This Row],[Games Playable]]/82))</f>
        <v>20.341463414634145</v>
      </c>
      <c r="M211" s="95" cm="1">
        <f t="array" aca="1" ref="M211" ca="1">Table2[[#This Row],[Playable x Score]]*_xlfn.IFS(Table2[[#This Row],[Pos]]="D",assumptions!$B$15,Table2[[#This Row],[Pos]]="F", assumptions!$B$14,Table2[[#This Row],[Pos]]="G",assumptions!$B$16)</f>
        <v>20.341463414634145</v>
      </c>
    </row>
    <row r="212" spans="1:13" x14ac:dyDescent="0.3">
      <c r="A212">
        <f>'score estimates'!$A212</f>
        <v>209</v>
      </c>
      <c r="B212" t="str">
        <f>'score estimates'!$B212</f>
        <v>Denis Gurianov</v>
      </c>
      <c r="C212" t="str">
        <f>'score estimates'!$D212</f>
        <v>F</v>
      </c>
      <c r="D212" t="str">
        <f>'score estimates'!$C212</f>
        <v>DAL</v>
      </c>
      <c r="E212" s="75">
        <f>'score estimates'!$F212</f>
        <v>19.792682926829269</v>
      </c>
      <c r="F212" s="71">
        <f>'score estimates'!$G212</f>
        <v>254</v>
      </c>
      <c r="G212" s="71" t="s">
        <v>983</v>
      </c>
      <c r="H212" s="72" cm="1">
        <f t="array" aca="1" ref="H21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12" s="96">
        <f ca="1">IF(Table2[[#This Row],[Team]]="FA",0,Table2[[#This Row],[Pts/G]]*(1-Table2[[#This Row],[% Pos Overlap]]))</f>
        <v>19.792682926829269</v>
      </c>
      <c r="J212" s="72" cm="1">
        <f t="array" aca="1" ref="J212" ca="1">(INDIRECT(ADDRESS((_xlfn.XMATCH(Table2[[#This Row],[Team]],Schedule!$A$1:$A$33)),5,1,1,"Sched Overlap")))</f>
        <v>0.65364265364265373</v>
      </c>
      <c r="K212" s="92" cm="1">
        <f t="array" aca="1" ref="K21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12" s="95">
        <f ca="1">IF(Table2[[#This Row],[Team]]="FA",0,Table2[[#This Row],[Pts/G]]*(Table2[[#This Row],[Games Playable]]/82))</f>
        <v>19.792682926829269</v>
      </c>
      <c r="M212" s="95" cm="1">
        <f t="array" aca="1" ref="M212" ca="1">Table2[[#This Row],[Playable x Score]]*_xlfn.IFS(Table2[[#This Row],[Pos]]="D",assumptions!$B$15,Table2[[#This Row],[Pos]]="F", assumptions!$B$14,Table2[[#This Row],[Pos]]="G",assumptions!$B$16)</f>
        <v>19.792682926829269</v>
      </c>
    </row>
    <row r="213" spans="1:13" x14ac:dyDescent="0.3">
      <c r="A213">
        <f>'score estimates'!$A213</f>
        <v>210</v>
      </c>
      <c r="B213" t="str">
        <f>'score estimates'!$B213</f>
        <v>Christian Dvorak</v>
      </c>
      <c r="C213" t="str">
        <f>'score estimates'!$D213</f>
        <v>F</v>
      </c>
      <c r="D213" t="str">
        <f>'score estimates'!$C213</f>
        <v>MON</v>
      </c>
      <c r="E213" s="75">
        <f>'score estimates'!$F213</f>
        <v>16.890243902439025</v>
      </c>
      <c r="F213" s="71">
        <f>'score estimates'!$G213</f>
        <v>333</v>
      </c>
      <c r="G213" s="71" t="s">
        <v>983</v>
      </c>
      <c r="H213" s="72" cm="1">
        <f t="array" aca="1" ref="H21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13" s="96">
        <f ca="1">IF(Table2[[#This Row],[Team]]="FA",0,Table2[[#This Row],[Pts/G]]*(1-Table2[[#This Row],[% Pos Overlap]]))</f>
        <v>16.890243902439025</v>
      </c>
      <c r="J213" s="72" cm="1">
        <f t="array" aca="1" ref="J213" ca="1">(INDIRECT(ADDRESS((_xlfn.XMATCH(Table2[[#This Row],[Team]],Schedule!$A$1:$A$33)),5,1,1,"Sched Overlap")))</f>
        <v>0.66666666666666685</v>
      </c>
      <c r="K213" s="92" cm="1">
        <f t="array" aca="1" ref="K21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13" s="95">
        <f ca="1">IF(Table2[[#This Row],[Team]]="FA",0,Table2[[#This Row],[Pts/G]]*(Table2[[#This Row],[Games Playable]]/82))</f>
        <v>16.890243902439025</v>
      </c>
      <c r="M213" s="95" cm="1">
        <f t="array" aca="1" ref="M213" ca="1">Table2[[#This Row],[Playable x Score]]*_xlfn.IFS(Table2[[#This Row],[Pos]]="D",assumptions!$B$15,Table2[[#This Row],[Pos]]="F", assumptions!$B$14,Table2[[#This Row],[Pos]]="G",assumptions!$B$16)</f>
        <v>16.890243902439025</v>
      </c>
    </row>
    <row r="214" spans="1:13" x14ac:dyDescent="0.3">
      <c r="A214">
        <f>'score estimates'!$A214</f>
        <v>211</v>
      </c>
      <c r="B214" t="str">
        <f>'score estimates'!$B214</f>
        <v>Jared Spurgeon</v>
      </c>
      <c r="C214" t="str">
        <f>'score estimates'!$D214</f>
        <v>D</v>
      </c>
      <c r="D214" t="str">
        <f>'score estimates'!$C214</f>
        <v>MIN</v>
      </c>
      <c r="E214" s="75">
        <f>'score estimates'!$F214</f>
        <v>22.414634146341463</v>
      </c>
      <c r="F214" s="71">
        <f>'score estimates'!$G214</f>
        <v>195</v>
      </c>
      <c r="G214" s="71" t="s">
        <v>983</v>
      </c>
      <c r="H214" s="72" cm="1">
        <f t="array" aca="1" ref="H21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14" s="96">
        <f ca="1">IF(Table2[[#This Row],[Team]]="FA",0,Table2[[#This Row],[Pts/G]]*(1-Table2[[#This Row],[% Pos Overlap]]))</f>
        <v>22.414634146341463</v>
      </c>
      <c r="J214" s="72" cm="1">
        <f t="array" aca="1" ref="J214" ca="1">(INDIRECT(ADDRESS((_xlfn.XMATCH(Table2[[#This Row],[Team]],Schedule!$A$1:$A$33)),5,1,1,"Sched Overlap")))</f>
        <v>0.62108262108262113</v>
      </c>
      <c r="K214" s="92" cm="1">
        <f t="array" aca="1" ref="K21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14" s="95">
        <f ca="1">IF(Table2[[#This Row],[Team]]="FA",0,Table2[[#This Row],[Pts/G]]*(Table2[[#This Row],[Games Playable]]/82))</f>
        <v>22.414634146341463</v>
      </c>
      <c r="M214" s="95" cm="1">
        <f t="array" aca="1" ref="M214" ca="1">Table2[[#This Row],[Playable x Score]]*_xlfn.IFS(Table2[[#This Row],[Pos]]="D",assumptions!$B$15,Table2[[#This Row],[Pos]]="F", assumptions!$B$14,Table2[[#This Row],[Pos]]="G",assumptions!$B$16)</f>
        <v>28.018292682926827</v>
      </c>
    </row>
    <row r="215" spans="1:13" x14ac:dyDescent="0.3">
      <c r="A215">
        <f>'score estimates'!$A215</f>
        <v>212</v>
      </c>
      <c r="B215" t="str">
        <f>'score estimates'!$B215</f>
        <v>Pius Suter</v>
      </c>
      <c r="C215" t="str">
        <f>'score estimates'!$D215</f>
        <v>F</v>
      </c>
      <c r="D215" t="str">
        <f>'score estimates'!$C215</f>
        <v>DET</v>
      </c>
      <c r="E215" s="75">
        <f>'score estimates'!$F215</f>
        <v>17.646341463414632</v>
      </c>
      <c r="F215" s="71">
        <f>'score estimates'!$G215</f>
        <v>312</v>
      </c>
      <c r="G215" s="71" t="s">
        <v>983</v>
      </c>
      <c r="H215" s="72" cm="1">
        <f t="array" aca="1" ref="H21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15" s="96">
        <f ca="1">IF(Table2[[#This Row],[Team]]="FA",0,Table2[[#This Row],[Pts/G]]*(1-Table2[[#This Row],[% Pos Overlap]]))</f>
        <v>17.646341463414632</v>
      </c>
      <c r="J215" s="72" cm="1">
        <f t="array" aca="1" ref="J215" ca="1">(INDIRECT(ADDRESS((_xlfn.XMATCH(Table2[[#This Row],[Team]],Schedule!$A$1:$A$33)),5,1,1,"Sched Overlap")))</f>
        <v>0.64550264550264547</v>
      </c>
      <c r="K215" s="92" cm="1">
        <f t="array" aca="1" ref="K21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15" s="95">
        <f ca="1">IF(Table2[[#This Row],[Team]]="FA",0,Table2[[#This Row],[Pts/G]]*(Table2[[#This Row],[Games Playable]]/82))</f>
        <v>17.646341463414632</v>
      </c>
      <c r="M215" s="95" cm="1">
        <f t="array" aca="1" ref="M215" ca="1">Table2[[#This Row],[Playable x Score]]*_xlfn.IFS(Table2[[#This Row],[Pos]]="D",assumptions!$B$15,Table2[[#This Row],[Pos]]="F", assumptions!$B$14,Table2[[#This Row],[Pos]]="G",assumptions!$B$16)</f>
        <v>17.646341463414632</v>
      </c>
    </row>
    <row r="216" spans="1:13" x14ac:dyDescent="0.3">
      <c r="A216">
        <f>'score estimates'!$A216</f>
        <v>213</v>
      </c>
      <c r="B216" t="str">
        <f>'score estimates'!$B216</f>
        <v>Charlie McAvoy</v>
      </c>
      <c r="C216" t="str">
        <f>'score estimates'!$D216</f>
        <v>D</v>
      </c>
      <c r="D216" t="str">
        <f>'score estimates'!$C216</f>
        <v>BOS</v>
      </c>
      <c r="E216" s="75">
        <f>'score estimates'!$F216</f>
        <v>23.182926829268293</v>
      </c>
      <c r="F216" s="71">
        <f>'score estimates'!$G216</f>
        <v>182</v>
      </c>
      <c r="G216" s="71" t="s">
        <v>983</v>
      </c>
      <c r="H216" s="72" cm="1">
        <f t="array" aca="1" ref="H21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16" s="96">
        <f ca="1">IF(Table2[[#This Row],[Team]]="FA",0,Table2[[#This Row],[Pts/G]]*(1-Table2[[#This Row],[% Pos Overlap]]))</f>
        <v>23.182926829268293</v>
      </c>
      <c r="J216" s="72" cm="1">
        <f t="array" aca="1" ref="J216" ca="1">(INDIRECT(ADDRESS((_xlfn.XMATCH(Table2[[#This Row],[Team]],Schedule!$A$1:$A$33)),5,1,1,"Sched Overlap")))</f>
        <v>0.67236467236467234</v>
      </c>
      <c r="K216" s="92" cm="1">
        <f t="array" aca="1" ref="K21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16" s="95">
        <f ca="1">IF(Table2[[#This Row],[Team]]="FA",0,Table2[[#This Row],[Pts/G]]*(Table2[[#This Row],[Games Playable]]/82))</f>
        <v>23.182926829268293</v>
      </c>
      <c r="M216" s="95" cm="1">
        <f t="array" aca="1" ref="M216" ca="1">Table2[[#This Row],[Playable x Score]]*_xlfn.IFS(Table2[[#This Row],[Pos]]="D",assumptions!$B$15,Table2[[#This Row],[Pos]]="F", assumptions!$B$14,Table2[[#This Row],[Pos]]="G",assumptions!$B$16)</f>
        <v>28.978658536585368</v>
      </c>
    </row>
    <row r="217" spans="1:13" x14ac:dyDescent="0.3">
      <c r="A217">
        <f>'score estimates'!$A217</f>
        <v>214</v>
      </c>
      <c r="B217" t="str">
        <f>'score estimates'!$B217</f>
        <v>Anthony Cirelli</v>
      </c>
      <c r="C217" t="str">
        <f>'score estimates'!$D217</f>
        <v>F</v>
      </c>
      <c r="D217" t="str">
        <f>'score estimates'!$C217</f>
        <v>TB</v>
      </c>
      <c r="E217" s="75">
        <f>'score estimates'!$F217</f>
        <v>21.73170731707317</v>
      </c>
      <c r="F217" s="71">
        <f>'score estimates'!$G217</f>
        <v>206</v>
      </c>
      <c r="G217" s="71" t="s">
        <v>983</v>
      </c>
      <c r="H217" s="72" cm="1">
        <f t="array" aca="1" ref="H21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17" s="96">
        <f ca="1">IF(Table2[[#This Row],[Team]]="FA",0,Table2[[#This Row],[Pts/G]]*(1-Table2[[#This Row],[% Pos Overlap]]))</f>
        <v>21.73170731707317</v>
      </c>
      <c r="J217" s="72" cm="1">
        <f t="array" aca="1" ref="J217" ca="1">(INDIRECT(ADDRESS((_xlfn.XMATCH(Table2[[#This Row],[Team]],Schedule!$A$1:$A$33)),5,1,1,"Sched Overlap")))</f>
        <v>0.66422466422466431</v>
      </c>
      <c r="K217" s="92" cm="1">
        <f t="array" aca="1" ref="K21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17" s="95">
        <f ca="1">IF(Table2[[#This Row],[Team]]="FA",0,Table2[[#This Row],[Pts/G]]*(Table2[[#This Row],[Games Playable]]/82))</f>
        <v>21.73170731707317</v>
      </c>
      <c r="M217" s="95" cm="1">
        <f t="array" aca="1" ref="M217" ca="1">Table2[[#This Row],[Playable x Score]]*_xlfn.IFS(Table2[[#This Row],[Pos]]="D",assumptions!$B$15,Table2[[#This Row],[Pos]]="F", assumptions!$B$14,Table2[[#This Row],[Pos]]="G",assumptions!$B$16)</f>
        <v>21.73170731707317</v>
      </c>
    </row>
    <row r="218" spans="1:13" x14ac:dyDescent="0.3">
      <c r="A218">
        <f>'score estimates'!$A218</f>
        <v>215</v>
      </c>
      <c r="B218" t="str">
        <f>'score estimates'!$B218</f>
        <v>Neal Pionk</v>
      </c>
      <c r="C218" t="str">
        <f>'score estimates'!$D218</f>
        <v>D</v>
      </c>
      <c r="D218" t="str">
        <f>'score estimates'!$C218</f>
        <v>WPG</v>
      </c>
      <c r="E218" s="75">
        <f>'score estimates'!$F218</f>
        <v>22.439024390243901</v>
      </c>
      <c r="F218" s="71">
        <f>'score estimates'!$G218</f>
        <v>194</v>
      </c>
      <c r="G218" s="71" t="s">
        <v>983</v>
      </c>
      <c r="H218" s="72" cm="1">
        <f t="array" aca="1" ref="H21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18" s="96">
        <f ca="1">IF(Table2[[#This Row],[Team]]="FA",0,Table2[[#This Row],[Pts/G]]*(1-Table2[[#This Row],[% Pos Overlap]]))</f>
        <v>22.439024390243901</v>
      </c>
      <c r="J218" s="72" cm="1">
        <f t="array" aca="1" ref="J218" ca="1">(INDIRECT(ADDRESS((_xlfn.XMATCH(Table2[[#This Row],[Team]],Schedule!$A$1:$A$33)),5,1,1,"Sched Overlap")))</f>
        <v>0.61212861212861214</v>
      </c>
      <c r="K218" s="92" cm="1">
        <f t="array" aca="1" ref="K21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18" s="95">
        <f ca="1">IF(Table2[[#This Row],[Team]]="FA",0,Table2[[#This Row],[Pts/G]]*(Table2[[#This Row],[Games Playable]]/82))</f>
        <v>22.439024390243901</v>
      </c>
      <c r="M218" s="95" cm="1">
        <f t="array" aca="1" ref="M218" ca="1">Table2[[#This Row],[Playable x Score]]*_xlfn.IFS(Table2[[#This Row],[Pos]]="D",assumptions!$B$15,Table2[[#This Row],[Pos]]="F", assumptions!$B$14,Table2[[#This Row],[Pos]]="G",assumptions!$B$16)</f>
        <v>28.048780487804876</v>
      </c>
    </row>
    <row r="219" spans="1:13" x14ac:dyDescent="0.3">
      <c r="A219">
        <f>'score estimates'!$A219</f>
        <v>216</v>
      </c>
      <c r="B219" t="str">
        <f>'score estimates'!$B219</f>
        <v>Alex Iafallo</v>
      </c>
      <c r="C219" t="str">
        <f>'score estimates'!$D219</f>
        <v>F</v>
      </c>
      <c r="D219" t="str">
        <f>'score estimates'!$C219</f>
        <v>LA</v>
      </c>
      <c r="E219" s="75">
        <f>'score estimates'!$F219</f>
        <v>20.073170731707318</v>
      </c>
      <c r="F219" s="71">
        <f>'score estimates'!$G219</f>
        <v>246</v>
      </c>
      <c r="G219" s="71" t="s">
        <v>983</v>
      </c>
      <c r="H219" s="72" cm="1">
        <f t="array" aca="1" ref="H21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19" s="96">
        <f ca="1">IF(Table2[[#This Row],[Team]]="FA",0,Table2[[#This Row],[Pts/G]]*(1-Table2[[#This Row],[% Pos Overlap]]))</f>
        <v>20.073170731707318</v>
      </c>
      <c r="J219" s="72" cm="1">
        <f t="array" aca="1" ref="J219" ca="1">(INDIRECT(ADDRESS((_xlfn.XMATCH(Table2[[#This Row],[Team]],Schedule!$A$1:$A$33)),5,1,1,"Sched Overlap")))</f>
        <v>0.65201465201465225</v>
      </c>
      <c r="K219" s="92" cm="1">
        <f t="array" aca="1" ref="K21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19" s="95">
        <f ca="1">IF(Table2[[#This Row],[Team]]="FA",0,Table2[[#This Row],[Pts/G]]*(Table2[[#This Row],[Games Playable]]/82))</f>
        <v>20.073170731707318</v>
      </c>
      <c r="M219" s="95" cm="1">
        <f t="array" aca="1" ref="M219" ca="1">Table2[[#This Row],[Playable x Score]]*_xlfn.IFS(Table2[[#This Row],[Pos]]="D",assumptions!$B$15,Table2[[#This Row],[Pos]]="F", assumptions!$B$14,Table2[[#This Row],[Pos]]="G",assumptions!$B$16)</f>
        <v>20.073170731707318</v>
      </c>
    </row>
    <row r="220" spans="1:13" x14ac:dyDescent="0.3">
      <c r="A220">
        <f>'score estimates'!$A220</f>
        <v>217</v>
      </c>
      <c r="B220" t="str">
        <f>'score estimates'!$B220</f>
        <v>Dominik Kubalik</v>
      </c>
      <c r="C220" t="str">
        <f>'score estimates'!$D220</f>
        <v>F</v>
      </c>
      <c r="D220" t="str">
        <f>'score estimates'!$C220</f>
        <v>DET</v>
      </c>
      <c r="E220" s="75">
        <f>'score estimates'!$F220</f>
        <v>17.365853658536587</v>
      </c>
      <c r="F220" s="71">
        <f>'score estimates'!$G220</f>
        <v>320</v>
      </c>
      <c r="G220" s="71" t="s">
        <v>983</v>
      </c>
      <c r="H220" s="72" cm="1">
        <f t="array" aca="1" ref="H22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20" s="96">
        <f ca="1">IF(Table2[[#This Row],[Team]]="FA",0,Table2[[#This Row],[Pts/G]]*(1-Table2[[#This Row],[% Pos Overlap]]))</f>
        <v>17.365853658536587</v>
      </c>
      <c r="J220" s="72" cm="1">
        <f t="array" aca="1" ref="J220" ca="1">(INDIRECT(ADDRESS((_xlfn.XMATCH(Table2[[#This Row],[Team]],Schedule!$A$1:$A$33)),5,1,1,"Sched Overlap")))</f>
        <v>0.64550264550264547</v>
      </c>
      <c r="K220" s="92" cm="1">
        <f t="array" aca="1" ref="K22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20" s="95">
        <f ca="1">IF(Table2[[#This Row],[Team]]="FA",0,Table2[[#This Row],[Pts/G]]*(Table2[[#This Row],[Games Playable]]/82))</f>
        <v>17.365853658536587</v>
      </c>
      <c r="M220" s="95" cm="1">
        <f t="array" aca="1" ref="M220" ca="1">Table2[[#This Row],[Playable x Score]]*_xlfn.IFS(Table2[[#This Row],[Pos]]="D",assumptions!$B$15,Table2[[#This Row],[Pos]]="F", assumptions!$B$14,Table2[[#This Row],[Pos]]="G",assumptions!$B$16)</f>
        <v>17.365853658536587</v>
      </c>
    </row>
    <row r="221" spans="1:13" x14ac:dyDescent="0.3">
      <c r="A221">
        <f>'score estimates'!$A221</f>
        <v>218</v>
      </c>
      <c r="B221" t="str">
        <f>'score estimates'!$B221</f>
        <v>Brandon Hagel</v>
      </c>
      <c r="C221" t="str">
        <f>'score estimates'!$D221</f>
        <v>F</v>
      </c>
      <c r="D221" t="str">
        <f>'score estimates'!$C221</f>
        <v>TB</v>
      </c>
      <c r="E221" s="75">
        <f>'score estimates'!$F221</f>
        <v>18.23170731707317</v>
      </c>
      <c r="F221" s="71">
        <f>'score estimates'!$G221</f>
        <v>292</v>
      </c>
      <c r="G221" s="71" t="s">
        <v>983</v>
      </c>
      <c r="H221" s="72" cm="1">
        <f t="array" aca="1" ref="H22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21" s="96">
        <f ca="1">IF(Table2[[#This Row],[Team]]="FA",0,Table2[[#This Row],[Pts/G]]*(1-Table2[[#This Row],[% Pos Overlap]]))</f>
        <v>18.23170731707317</v>
      </c>
      <c r="J221" s="72" cm="1">
        <f t="array" aca="1" ref="J221" ca="1">(INDIRECT(ADDRESS((_xlfn.XMATCH(Table2[[#This Row],[Team]],Schedule!$A$1:$A$33)),5,1,1,"Sched Overlap")))</f>
        <v>0.66422466422466431</v>
      </c>
      <c r="K221" s="92" cm="1">
        <f t="array" aca="1" ref="K22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21" s="95">
        <f ca="1">IF(Table2[[#This Row],[Team]]="FA",0,Table2[[#This Row],[Pts/G]]*(Table2[[#This Row],[Games Playable]]/82))</f>
        <v>18.23170731707317</v>
      </c>
      <c r="M221" s="95" cm="1">
        <f t="array" aca="1" ref="M221" ca="1">Table2[[#This Row],[Playable x Score]]*_xlfn.IFS(Table2[[#This Row],[Pos]]="D",assumptions!$B$15,Table2[[#This Row],[Pos]]="F", assumptions!$B$14,Table2[[#This Row],[Pos]]="G",assumptions!$B$16)</f>
        <v>18.23170731707317</v>
      </c>
    </row>
    <row r="222" spans="1:13" x14ac:dyDescent="0.3">
      <c r="A222">
        <f>'score estimates'!$A222</f>
        <v>219</v>
      </c>
      <c r="B222" t="str">
        <f>'score estimates'!$B222</f>
        <v>Andrei Kuzmenko</v>
      </c>
      <c r="C222" t="str">
        <f>'score estimates'!$D222</f>
        <v>F</v>
      </c>
      <c r="D222" t="str">
        <f>'score estimates'!$C222</f>
        <v>VAN</v>
      </c>
      <c r="E222" s="75">
        <f>'score estimates'!$F222</f>
        <v>17.341463414634145</v>
      </c>
      <c r="F222" s="71">
        <f>'score estimates'!$G222</f>
        <v>323</v>
      </c>
      <c r="G222" s="71" t="s">
        <v>983</v>
      </c>
      <c r="H222" s="72" cm="1">
        <f t="array" aca="1" ref="H22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22" s="96">
        <f ca="1">IF(Table2[[#This Row],[Team]]="FA",0,Table2[[#This Row],[Pts/G]]*(1-Table2[[#This Row],[% Pos Overlap]]))</f>
        <v>17.341463414634145</v>
      </c>
      <c r="J222" s="72" cm="1">
        <f t="array" aca="1" ref="J222" ca="1">(INDIRECT(ADDRESS((_xlfn.XMATCH(Table2[[#This Row],[Team]],Schedule!$A$1:$A$33)),5,1,1,"Sched Overlap")))</f>
        <v>0.62922262922262917</v>
      </c>
      <c r="K222" s="92" cm="1">
        <f t="array" aca="1" ref="K22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22" s="95">
        <f ca="1">IF(Table2[[#This Row],[Team]]="FA",0,Table2[[#This Row],[Pts/G]]*(Table2[[#This Row],[Games Playable]]/82))</f>
        <v>17.341463414634145</v>
      </c>
      <c r="M222" s="95" cm="1">
        <f t="array" aca="1" ref="M222" ca="1">Table2[[#This Row],[Playable x Score]]*_xlfn.IFS(Table2[[#This Row],[Pos]]="D",assumptions!$B$15,Table2[[#This Row],[Pos]]="F", assumptions!$B$14,Table2[[#This Row],[Pos]]="G",assumptions!$B$16)</f>
        <v>17.341463414634145</v>
      </c>
    </row>
    <row r="223" spans="1:13" x14ac:dyDescent="0.3">
      <c r="A223">
        <f>'score estimates'!$A223</f>
        <v>220</v>
      </c>
      <c r="B223" t="str">
        <f>'score estimates'!$B223</f>
        <v>David Krejci</v>
      </c>
      <c r="C223" t="str">
        <f>'score estimates'!$D223</f>
        <v>F</v>
      </c>
      <c r="D223" t="str">
        <f>'score estimates'!$C223</f>
        <v>BOS</v>
      </c>
      <c r="E223" s="75">
        <f>'score estimates'!$F223</f>
        <v>12.865853658536585</v>
      </c>
      <c r="F223" s="71">
        <f>'score estimates'!$G223</f>
        <v>464</v>
      </c>
      <c r="G223" s="71" t="s">
        <v>983</v>
      </c>
      <c r="H223" s="72" cm="1">
        <f t="array" aca="1" ref="H22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23" s="96">
        <f ca="1">IF(Table2[[#This Row],[Team]]="FA",0,Table2[[#This Row],[Pts/G]]*(1-Table2[[#This Row],[% Pos Overlap]]))</f>
        <v>12.865853658536585</v>
      </c>
      <c r="J223" s="72" cm="1">
        <f t="array" aca="1" ref="J223" ca="1">(INDIRECT(ADDRESS((_xlfn.XMATCH(Table2[[#This Row],[Team]],Schedule!$A$1:$A$33)),5,1,1,"Sched Overlap")))</f>
        <v>0.67236467236467234</v>
      </c>
      <c r="K223" s="92" cm="1">
        <f t="array" aca="1" ref="K22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23" s="95">
        <f ca="1">IF(Table2[[#This Row],[Team]]="FA",0,Table2[[#This Row],[Pts/G]]*(Table2[[#This Row],[Games Playable]]/82))</f>
        <v>12.865853658536585</v>
      </c>
      <c r="M223" s="95" cm="1">
        <f t="array" aca="1" ref="M223" ca="1">Table2[[#This Row],[Playable x Score]]*_xlfn.IFS(Table2[[#This Row],[Pos]]="D",assumptions!$B$15,Table2[[#This Row],[Pos]]="F", assumptions!$B$14,Table2[[#This Row],[Pos]]="G",assumptions!$B$16)</f>
        <v>12.865853658536585</v>
      </c>
    </row>
    <row r="224" spans="1:13" x14ac:dyDescent="0.3">
      <c r="A224">
        <f>'score estimates'!$A224</f>
        <v>221</v>
      </c>
      <c r="B224" t="str">
        <f>'score estimates'!$B224</f>
        <v>Erik Karlsson</v>
      </c>
      <c r="C224" t="str">
        <f>'score estimates'!$D224</f>
        <v>D</v>
      </c>
      <c r="D224" t="str">
        <f>'score estimates'!$C224</f>
        <v>SJ</v>
      </c>
      <c r="E224" s="75">
        <f>'score estimates'!$F224</f>
        <v>15.963414634146341</v>
      </c>
      <c r="F224" s="71">
        <f>'score estimates'!$G224</f>
        <v>364</v>
      </c>
      <c r="G224" s="71" t="s">
        <v>983</v>
      </c>
      <c r="H224" s="72" cm="1">
        <f t="array" aca="1" ref="H22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24" s="96">
        <f ca="1">IF(Table2[[#This Row],[Team]]="FA",0,Table2[[#This Row],[Pts/G]]*(1-Table2[[#This Row],[% Pos Overlap]]))</f>
        <v>15.963414634146341</v>
      </c>
      <c r="J224" s="72" cm="1">
        <f t="array" aca="1" ref="J224" ca="1">(INDIRECT(ADDRESS((_xlfn.XMATCH(Table2[[#This Row],[Team]],Schedule!$A$1:$A$33)),5,1,1,"Sched Overlap")))</f>
        <v>0.63492063492063477</v>
      </c>
      <c r="K224" s="92" cm="1">
        <f t="array" aca="1" ref="K22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24" s="95">
        <f ca="1">IF(Table2[[#This Row],[Team]]="FA",0,Table2[[#This Row],[Pts/G]]*(Table2[[#This Row],[Games Playable]]/82))</f>
        <v>15.963414634146341</v>
      </c>
      <c r="M224" s="95" cm="1">
        <f t="array" aca="1" ref="M224" ca="1">Table2[[#This Row],[Playable x Score]]*_xlfn.IFS(Table2[[#This Row],[Pos]]="D",assumptions!$B$15,Table2[[#This Row],[Pos]]="F", assumptions!$B$14,Table2[[#This Row],[Pos]]="G",assumptions!$B$16)</f>
        <v>19.954268292682926</v>
      </c>
    </row>
    <row r="225" spans="1:13" x14ac:dyDescent="0.3">
      <c r="A225">
        <f>'score estimates'!$A225</f>
        <v>222</v>
      </c>
      <c r="B225" t="str">
        <f>'score estimates'!$B225</f>
        <v>Anthony Beauvillier</v>
      </c>
      <c r="C225" t="str">
        <f>'score estimates'!$D225</f>
        <v>F</v>
      </c>
      <c r="D225" t="str">
        <f>'score estimates'!$C225</f>
        <v>NYI</v>
      </c>
      <c r="E225" s="75">
        <f>'score estimates'!$F225</f>
        <v>17.170731707317074</v>
      </c>
      <c r="F225" s="71">
        <f>'score estimates'!$G225</f>
        <v>327</v>
      </c>
      <c r="G225" s="71" t="s">
        <v>983</v>
      </c>
      <c r="H225" s="72" cm="1">
        <f t="array" aca="1" ref="H22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25" s="96">
        <f ca="1">IF(Table2[[#This Row],[Team]]="FA",0,Table2[[#This Row],[Pts/G]]*(1-Table2[[#This Row],[% Pos Overlap]]))</f>
        <v>17.170731707317074</v>
      </c>
      <c r="J225" s="72" cm="1">
        <f t="array" aca="1" ref="J225" ca="1">(INDIRECT(ADDRESS((_xlfn.XMATCH(Table2[[#This Row],[Team]],Schedule!$A$1:$A$33)),5,1,1,"Sched Overlap")))</f>
        <v>0.63166463166463194</v>
      </c>
      <c r="K225" s="92" cm="1">
        <f t="array" aca="1" ref="K22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25" s="95">
        <f ca="1">IF(Table2[[#This Row],[Team]]="FA",0,Table2[[#This Row],[Pts/G]]*(Table2[[#This Row],[Games Playable]]/82))</f>
        <v>17.170731707317074</v>
      </c>
      <c r="M225" s="95" cm="1">
        <f t="array" aca="1" ref="M225" ca="1">Table2[[#This Row],[Playable x Score]]*_xlfn.IFS(Table2[[#This Row],[Pos]]="D",assumptions!$B$15,Table2[[#This Row],[Pos]]="F", assumptions!$B$14,Table2[[#This Row],[Pos]]="G",assumptions!$B$16)</f>
        <v>17.170731707317074</v>
      </c>
    </row>
    <row r="226" spans="1:13" x14ac:dyDescent="0.3">
      <c r="A226">
        <f>'score estimates'!$A226</f>
        <v>223</v>
      </c>
      <c r="B226" t="str">
        <f>'score estimates'!$B226</f>
        <v>Andreas Athanasiou</v>
      </c>
      <c r="C226" t="str">
        <f>'score estimates'!$D226</f>
        <v>F</v>
      </c>
      <c r="D226" t="str">
        <f>'score estimates'!$C226</f>
        <v>CHI</v>
      </c>
      <c r="E226" s="75">
        <f>'score estimates'!$F226</f>
        <v>16.085365853658537</v>
      </c>
      <c r="F226" s="71">
        <f>'score estimates'!$G226</f>
        <v>359</v>
      </c>
      <c r="G226" s="71" t="s">
        <v>983</v>
      </c>
      <c r="H226" s="72" cm="1">
        <f t="array" aca="1" ref="H22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26" s="96">
        <f ca="1">IF(Table2[[#This Row],[Team]]="FA",0,Table2[[#This Row],[Pts/G]]*(1-Table2[[#This Row],[% Pos Overlap]]))</f>
        <v>16.085365853658537</v>
      </c>
      <c r="J226" s="72" cm="1">
        <f t="array" aca="1" ref="J226" ca="1">(INDIRECT(ADDRESS((_xlfn.XMATCH(Table2[[#This Row],[Team]],Schedule!$A$1:$A$33)),5,1,1,"Sched Overlap")))</f>
        <v>0.6243386243386243</v>
      </c>
      <c r="K226" s="92" cm="1">
        <f t="array" aca="1" ref="K22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26" s="95">
        <f ca="1">IF(Table2[[#This Row],[Team]]="FA",0,Table2[[#This Row],[Pts/G]]*(Table2[[#This Row],[Games Playable]]/82))</f>
        <v>16.085365853658537</v>
      </c>
      <c r="M226" s="95" cm="1">
        <f t="array" aca="1" ref="M226" ca="1">Table2[[#This Row],[Playable x Score]]*_xlfn.IFS(Table2[[#This Row],[Pos]]="D",assumptions!$B$15,Table2[[#This Row],[Pos]]="F", assumptions!$B$14,Table2[[#This Row],[Pos]]="G",assumptions!$B$16)</f>
        <v>16.085365853658537</v>
      </c>
    </row>
    <row r="227" spans="1:13" x14ac:dyDescent="0.3">
      <c r="A227">
        <f>'score estimates'!$A227</f>
        <v>224</v>
      </c>
      <c r="B227" t="str">
        <f>'score estimates'!$B227</f>
        <v>Tanner Pearson</v>
      </c>
      <c r="C227" t="str">
        <f>'score estimates'!$D227</f>
        <v>F</v>
      </c>
      <c r="D227" t="str">
        <f>'score estimates'!$C227</f>
        <v>VAN</v>
      </c>
      <c r="E227" s="75">
        <f>'score estimates'!$F227</f>
        <v>20.182926829268293</v>
      </c>
      <c r="F227" s="71">
        <f>'score estimates'!$G227</f>
        <v>242</v>
      </c>
      <c r="G227" s="71" t="s">
        <v>983</v>
      </c>
      <c r="H227" s="72" cm="1">
        <f t="array" aca="1" ref="H22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27" s="96">
        <f ca="1">IF(Table2[[#This Row],[Team]]="FA",0,Table2[[#This Row],[Pts/G]]*(1-Table2[[#This Row],[% Pos Overlap]]))</f>
        <v>20.182926829268293</v>
      </c>
      <c r="J227" s="72" cm="1">
        <f t="array" aca="1" ref="J227" ca="1">(INDIRECT(ADDRESS((_xlfn.XMATCH(Table2[[#This Row],[Team]],Schedule!$A$1:$A$33)),5,1,1,"Sched Overlap")))</f>
        <v>0.62922262922262917</v>
      </c>
      <c r="K227" s="92" cm="1">
        <f t="array" aca="1" ref="K22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27" s="95">
        <f ca="1">IF(Table2[[#This Row],[Team]]="FA",0,Table2[[#This Row],[Pts/G]]*(Table2[[#This Row],[Games Playable]]/82))</f>
        <v>20.182926829268293</v>
      </c>
      <c r="M227" s="95" cm="1">
        <f t="array" aca="1" ref="M227" ca="1">Table2[[#This Row],[Playable x Score]]*_xlfn.IFS(Table2[[#This Row],[Pos]]="D",assumptions!$B$15,Table2[[#This Row],[Pos]]="F", assumptions!$B$14,Table2[[#This Row],[Pos]]="G",assumptions!$B$16)</f>
        <v>20.182926829268293</v>
      </c>
    </row>
    <row r="228" spans="1:13" x14ac:dyDescent="0.3">
      <c r="A228">
        <f>'score estimates'!$A228</f>
        <v>225</v>
      </c>
      <c r="B228" t="str">
        <f>'score estimates'!$B228</f>
        <v>Artturi Lehkonen</v>
      </c>
      <c r="C228" t="str">
        <f>'score estimates'!$D228</f>
        <v>F</v>
      </c>
      <c r="D228" t="str">
        <f>'score estimates'!$C228</f>
        <v>COL</v>
      </c>
      <c r="E228" s="75">
        <f>'score estimates'!$F228</f>
        <v>20.195121951219512</v>
      </c>
      <c r="F228" s="71">
        <f>'score estimates'!$G228</f>
        <v>240</v>
      </c>
      <c r="G228" s="71" t="s">
        <v>983</v>
      </c>
      <c r="H228" s="72" cm="1">
        <f t="array" aca="1" ref="H22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28" s="96">
        <f ca="1">IF(Table2[[#This Row],[Team]]="FA",0,Table2[[#This Row],[Pts/G]]*(1-Table2[[#This Row],[% Pos Overlap]]))</f>
        <v>20.195121951219512</v>
      </c>
      <c r="J228" s="72" cm="1">
        <f t="array" aca="1" ref="J228" ca="1">(INDIRECT(ADDRESS((_xlfn.XMATCH(Table2[[#This Row],[Team]],Schedule!$A$1:$A$33)),5,1,1,"Sched Overlap")))</f>
        <v>0.61131461131461151</v>
      </c>
      <c r="K228" s="92" cm="1">
        <f t="array" aca="1" ref="K22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28" s="95">
        <f ca="1">IF(Table2[[#This Row],[Team]]="FA",0,Table2[[#This Row],[Pts/G]]*(Table2[[#This Row],[Games Playable]]/82))</f>
        <v>20.195121951219512</v>
      </c>
      <c r="M228" s="95" cm="1">
        <f t="array" aca="1" ref="M228" ca="1">Table2[[#This Row],[Playable x Score]]*_xlfn.IFS(Table2[[#This Row],[Pos]]="D",assumptions!$B$15,Table2[[#This Row],[Pos]]="F", assumptions!$B$14,Table2[[#This Row],[Pos]]="G",assumptions!$B$16)</f>
        <v>20.195121951219512</v>
      </c>
    </row>
    <row r="229" spans="1:13" x14ac:dyDescent="0.3">
      <c r="A229">
        <f>'score estimates'!$A229</f>
        <v>226</v>
      </c>
      <c r="B229" t="str">
        <f>'score estimates'!$B229</f>
        <v>Nicolas Roy</v>
      </c>
      <c r="C229" t="str">
        <f>'score estimates'!$D229</f>
        <v>F</v>
      </c>
      <c r="D229" t="str">
        <f>'score estimates'!$C229</f>
        <v>VGK</v>
      </c>
      <c r="E229" s="75">
        <f>'score estimates'!$F229</f>
        <v>20.76829268292683</v>
      </c>
      <c r="F229" s="71">
        <f>'score estimates'!$G229</f>
        <v>230</v>
      </c>
      <c r="G229" s="71" t="s">
        <v>983</v>
      </c>
      <c r="H229" s="72" cm="1">
        <f t="array" aca="1" ref="H22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29" s="96">
        <f ca="1">IF(Table2[[#This Row],[Team]]="FA",0,Table2[[#This Row],[Pts/G]]*(1-Table2[[#This Row],[% Pos Overlap]]))</f>
        <v>20.76829268292683</v>
      </c>
      <c r="J229" s="72" cm="1">
        <f t="array" aca="1" ref="J229" ca="1">(INDIRECT(ADDRESS((_xlfn.XMATCH(Table2[[#This Row],[Team]],Schedule!$A$1:$A$33)),5,1,1,"Sched Overlap")))</f>
        <v>0.66992266992266991</v>
      </c>
      <c r="K229" s="92" cm="1">
        <f t="array" aca="1" ref="K22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29" s="95">
        <f ca="1">IF(Table2[[#This Row],[Team]]="FA",0,Table2[[#This Row],[Pts/G]]*(Table2[[#This Row],[Games Playable]]/82))</f>
        <v>20.76829268292683</v>
      </c>
      <c r="M229" s="95" cm="1">
        <f t="array" aca="1" ref="M229" ca="1">Table2[[#This Row],[Playable x Score]]*_xlfn.IFS(Table2[[#This Row],[Pos]]="D",assumptions!$B$15,Table2[[#This Row],[Pos]]="F", assumptions!$B$14,Table2[[#This Row],[Pos]]="G",assumptions!$B$16)</f>
        <v>20.76829268292683</v>
      </c>
    </row>
    <row r="230" spans="1:13" x14ac:dyDescent="0.3">
      <c r="A230">
        <f>'score estimates'!$A230</f>
        <v>227</v>
      </c>
      <c r="B230" t="str">
        <f>'score estimates'!$B230</f>
        <v>Evan Rodrigues</v>
      </c>
      <c r="C230" t="str">
        <f>'score estimates'!$D230</f>
        <v>F</v>
      </c>
      <c r="D230" t="str">
        <f>'score estimates'!$C230</f>
        <v>COL</v>
      </c>
      <c r="E230" s="75">
        <f>'score estimates'!$F230</f>
        <v>19.390243902439025</v>
      </c>
      <c r="F230" s="71">
        <f>'score estimates'!$G230</f>
        <v>264</v>
      </c>
      <c r="G230" s="71" t="s">
        <v>983</v>
      </c>
      <c r="H230" s="72" cm="1">
        <f t="array" aca="1" ref="H23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30" s="96">
        <f ca="1">IF(Table2[[#This Row],[Team]]="FA",0,Table2[[#This Row],[Pts/G]]*(1-Table2[[#This Row],[% Pos Overlap]]))</f>
        <v>19.390243902439025</v>
      </c>
      <c r="J230" s="72" cm="1">
        <f t="array" aca="1" ref="J230" ca="1">(INDIRECT(ADDRESS((_xlfn.XMATCH(Table2[[#This Row],[Team]],Schedule!$A$1:$A$33)),5,1,1,"Sched Overlap")))</f>
        <v>0.61131461131461151</v>
      </c>
      <c r="K230" s="92" cm="1">
        <f t="array" aca="1" ref="K23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30" s="95">
        <f ca="1">IF(Table2[[#This Row],[Team]]="FA",0,Table2[[#This Row],[Pts/G]]*(Table2[[#This Row],[Games Playable]]/82))</f>
        <v>19.390243902439025</v>
      </c>
      <c r="M230" s="95" cm="1">
        <f t="array" aca="1" ref="M230" ca="1">Table2[[#This Row],[Playable x Score]]*_xlfn.IFS(Table2[[#This Row],[Pos]]="D",assumptions!$B$15,Table2[[#This Row],[Pos]]="F", assumptions!$B$14,Table2[[#This Row],[Pos]]="G",assumptions!$B$16)</f>
        <v>19.390243902439025</v>
      </c>
    </row>
    <row r="231" spans="1:13" x14ac:dyDescent="0.3">
      <c r="A231">
        <f>'score estimates'!$A231</f>
        <v>228</v>
      </c>
      <c r="B231" t="str">
        <f>'score estimates'!$B231</f>
        <v>Craig Smith</v>
      </c>
      <c r="C231" t="str">
        <f>'score estimates'!$D231</f>
        <v>F</v>
      </c>
      <c r="D231" t="str">
        <f>'score estimates'!$C231</f>
        <v>BOS</v>
      </c>
      <c r="E231" s="75">
        <f>'score estimates'!$F231</f>
        <v>20.195121951219512</v>
      </c>
      <c r="F231" s="71">
        <f>'score estimates'!$G231</f>
        <v>240</v>
      </c>
      <c r="G231" s="71" t="s">
        <v>983</v>
      </c>
      <c r="H231" s="72" cm="1">
        <f t="array" aca="1" ref="H23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31" s="96">
        <f ca="1">IF(Table2[[#This Row],[Team]]="FA",0,Table2[[#This Row],[Pts/G]]*(1-Table2[[#This Row],[% Pos Overlap]]))</f>
        <v>20.195121951219512</v>
      </c>
      <c r="J231" s="72" cm="1">
        <f t="array" aca="1" ref="J231" ca="1">(INDIRECT(ADDRESS((_xlfn.XMATCH(Table2[[#This Row],[Team]],Schedule!$A$1:$A$33)),5,1,1,"Sched Overlap")))</f>
        <v>0.67236467236467234</v>
      </c>
      <c r="K231" s="92" cm="1">
        <f t="array" aca="1" ref="K23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31" s="95">
        <f ca="1">IF(Table2[[#This Row],[Team]]="FA",0,Table2[[#This Row],[Pts/G]]*(Table2[[#This Row],[Games Playable]]/82))</f>
        <v>20.195121951219512</v>
      </c>
      <c r="M231" s="95" cm="1">
        <f t="array" aca="1" ref="M231" ca="1">Table2[[#This Row],[Playable x Score]]*_xlfn.IFS(Table2[[#This Row],[Pos]]="D",assumptions!$B$15,Table2[[#This Row],[Pos]]="F", assumptions!$B$14,Table2[[#This Row],[Pos]]="G",assumptions!$B$16)</f>
        <v>20.195121951219512</v>
      </c>
    </row>
    <row r="232" spans="1:13" x14ac:dyDescent="0.3">
      <c r="A232">
        <f>'score estimates'!$A232</f>
        <v>229</v>
      </c>
      <c r="B232" t="str">
        <f>'score estimates'!$B232</f>
        <v>Kent Johnson</v>
      </c>
      <c r="C232" t="str">
        <f>'score estimates'!$D232</f>
        <v>F</v>
      </c>
      <c r="D232" t="str">
        <f>'score estimates'!$C232</f>
        <v>CLS</v>
      </c>
      <c r="E232" s="75">
        <f>'score estimates'!$F232</f>
        <v>14.25609756097561</v>
      </c>
      <c r="F232" s="71">
        <f>'score estimates'!$G232</f>
        <v>416</v>
      </c>
      <c r="G232" s="71" t="s">
        <v>983</v>
      </c>
      <c r="H232" s="72" cm="1">
        <f t="array" aca="1" ref="H23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32" s="96">
        <f ca="1">IF(Table2[[#This Row],[Team]]="FA",0,Table2[[#This Row],[Pts/G]]*(1-Table2[[#This Row],[% Pos Overlap]]))</f>
        <v>14.25609756097561</v>
      </c>
      <c r="J232" s="72" cm="1">
        <f t="array" aca="1" ref="J232" ca="1">(INDIRECT(ADDRESS((_xlfn.XMATCH(Table2[[#This Row],[Team]],Schedule!$A$1:$A$33)),5,1,1,"Sched Overlap")))</f>
        <v>0.64875864875864886</v>
      </c>
      <c r="K232" s="92" cm="1">
        <f t="array" aca="1" ref="K23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32" s="95">
        <f ca="1">IF(Table2[[#This Row],[Team]]="FA",0,Table2[[#This Row],[Pts/G]]*(Table2[[#This Row],[Games Playable]]/82))</f>
        <v>14.25609756097561</v>
      </c>
      <c r="M232" s="95" cm="1">
        <f t="array" aca="1" ref="M232" ca="1">Table2[[#This Row],[Playable x Score]]*_xlfn.IFS(Table2[[#This Row],[Pos]]="D",assumptions!$B$15,Table2[[#This Row],[Pos]]="F", assumptions!$B$14,Table2[[#This Row],[Pos]]="G",assumptions!$B$16)</f>
        <v>14.25609756097561</v>
      </c>
    </row>
    <row r="233" spans="1:13" x14ac:dyDescent="0.3">
      <c r="A233">
        <f>'score estimates'!$A233</f>
        <v>230</v>
      </c>
      <c r="B233" t="str">
        <f>'score estimates'!$B233</f>
        <v>Ross Colton</v>
      </c>
      <c r="C233" t="str">
        <f>'score estimates'!$D233</f>
        <v>F</v>
      </c>
      <c r="D233" t="str">
        <f>'score estimates'!$C233</f>
        <v>TB</v>
      </c>
      <c r="E233" s="75">
        <f>'score estimates'!$F233</f>
        <v>20.146341463414632</v>
      </c>
      <c r="F233" s="71">
        <f>'score estimates'!$G233</f>
        <v>244</v>
      </c>
      <c r="G233" s="71" t="s">
        <v>983</v>
      </c>
      <c r="H233" s="72" cm="1">
        <f t="array" aca="1" ref="H23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33" s="96">
        <f ca="1">IF(Table2[[#This Row],[Team]]="FA",0,Table2[[#This Row],[Pts/G]]*(1-Table2[[#This Row],[% Pos Overlap]]))</f>
        <v>20.146341463414632</v>
      </c>
      <c r="J233" s="72" cm="1">
        <f t="array" aca="1" ref="J233" ca="1">(INDIRECT(ADDRESS((_xlfn.XMATCH(Table2[[#This Row],[Team]],Schedule!$A$1:$A$33)),5,1,1,"Sched Overlap")))</f>
        <v>0.66422466422466431</v>
      </c>
      <c r="K233" s="92" cm="1">
        <f t="array" aca="1" ref="K23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33" s="95">
        <f ca="1">IF(Table2[[#This Row],[Team]]="FA",0,Table2[[#This Row],[Pts/G]]*(Table2[[#This Row],[Games Playable]]/82))</f>
        <v>20.146341463414632</v>
      </c>
      <c r="M233" s="95" cm="1">
        <f t="array" aca="1" ref="M233" ca="1">Table2[[#This Row],[Playable x Score]]*_xlfn.IFS(Table2[[#This Row],[Pos]]="D",assumptions!$B$15,Table2[[#This Row],[Pos]]="F", assumptions!$B$14,Table2[[#This Row],[Pos]]="G",assumptions!$B$16)</f>
        <v>20.146341463414632</v>
      </c>
    </row>
    <row r="234" spans="1:13" x14ac:dyDescent="0.3">
      <c r="A234">
        <f>'score estimates'!$A234</f>
        <v>231</v>
      </c>
      <c r="B234" t="str">
        <f>'score estimates'!$B234</f>
        <v>Alexis Lafreniere</v>
      </c>
      <c r="C234" t="str">
        <f>'score estimates'!$D234</f>
        <v>F</v>
      </c>
      <c r="D234" t="str">
        <f>'score estimates'!$C234</f>
        <v>NYR</v>
      </c>
      <c r="E234" s="75">
        <f>'score estimates'!$F234</f>
        <v>19.5</v>
      </c>
      <c r="F234" s="71">
        <f>'score estimates'!$G234</f>
        <v>260</v>
      </c>
      <c r="G234" s="71" t="s">
        <v>983</v>
      </c>
      <c r="H234" s="72" cm="1">
        <f t="array" aca="1" ref="H23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34" s="96">
        <f ca="1">IF(Table2[[#This Row],[Team]]="FA",0,Table2[[#This Row],[Pts/G]]*(1-Table2[[#This Row],[% Pos Overlap]]))</f>
        <v>19.5</v>
      </c>
      <c r="J234" s="72" cm="1">
        <f t="array" aca="1" ref="J234" ca="1">(INDIRECT(ADDRESS((_xlfn.XMATCH(Table2[[#This Row],[Team]],Schedule!$A$1:$A$33)),5,1,1,"Sched Overlap")))</f>
        <v>0.60236060236060229</v>
      </c>
      <c r="K234" s="92" cm="1">
        <f t="array" aca="1" ref="K23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34" s="95">
        <f ca="1">IF(Table2[[#This Row],[Team]]="FA",0,Table2[[#This Row],[Pts/G]]*(Table2[[#This Row],[Games Playable]]/82))</f>
        <v>19.5</v>
      </c>
      <c r="M234" s="95" cm="1">
        <f t="array" aca="1" ref="M234" ca="1">Table2[[#This Row],[Playable x Score]]*_xlfn.IFS(Table2[[#This Row],[Pos]]="D",assumptions!$B$15,Table2[[#This Row],[Pos]]="F", assumptions!$B$14,Table2[[#This Row],[Pos]]="G",assumptions!$B$16)</f>
        <v>19.5</v>
      </c>
    </row>
    <row r="235" spans="1:13" x14ac:dyDescent="0.3">
      <c r="A235">
        <f>'score estimates'!$A235</f>
        <v>232</v>
      </c>
      <c r="B235" t="str">
        <f>'score estimates'!$B235</f>
        <v>Tanner Jeannot</v>
      </c>
      <c r="C235" t="str">
        <f>'score estimates'!$D235</f>
        <v>F</v>
      </c>
      <c r="D235" t="str">
        <f>'score estimates'!$C235</f>
        <v>NSH</v>
      </c>
      <c r="E235" s="75">
        <f>'score estimates'!$F235</f>
        <v>26.621951219512194</v>
      </c>
      <c r="F235" s="71">
        <f>'score estimates'!$G235</f>
        <v>129</v>
      </c>
      <c r="G235" s="71" t="s">
        <v>983</v>
      </c>
      <c r="H235" s="72" cm="1">
        <f t="array" aca="1" ref="H23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35" s="96">
        <f ca="1">IF(Table2[[#This Row],[Team]]="FA",0,Table2[[#This Row],[Pts/G]]*(1-Table2[[#This Row],[% Pos Overlap]]))</f>
        <v>26.621951219512194</v>
      </c>
      <c r="J235" s="72" cm="1">
        <f t="array" aca="1" ref="J235" ca="1">(INDIRECT(ADDRESS((_xlfn.XMATCH(Table2[[#This Row],[Team]],Schedule!$A$1:$A$33)),5,1,1,"Sched Overlap")))</f>
        <v>0.67806267806267806</v>
      </c>
      <c r="K235" s="92" cm="1">
        <f t="array" aca="1" ref="K23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35" s="95">
        <f ca="1">IF(Table2[[#This Row],[Team]]="FA",0,Table2[[#This Row],[Pts/G]]*(Table2[[#This Row],[Games Playable]]/82))</f>
        <v>26.621951219512194</v>
      </c>
      <c r="M235" s="95" cm="1">
        <f t="array" aca="1" ref="M235" ca="1">Table2[[#This Row],[Playable x Score]]*_xlfn.IFS(Table2[[#This Row],[Pos]]="D",assumptions!$B$15,Table2[[#This Row],[Pos]]="F", assumptions!$B$14,Table2[[#This Row],[Pos]]="G",assumptions!$B$16)</f>
        <v>26.621951219512194</v>
      </c>
    </row>
    <row r="236" spans="1:13" x14ac:dyDescent="0.3">
      <c r="A236">
        <f>'score estimates'!$A236</f>
        <v>233</v>
      </c>
      <c r="B236" t="str">
        <f>'score estimates'!$B236</f>
        <v>Mikhail Sergachev</v>
      </c>
      <c r="C236" t="str">
        <f>'score estimates'!$D236</f>
        <v>D</v>
      </c>
      <c r="D236" t="str">
        <f>'score estimates'!$C236</f>
        <v>TB</v>
      </c>
      <c r="E236" s="75">
        <f>'score estimates'!$F236</f>
        <v>23.146341463414632</v>
      </c>
      <c r="F236" s="71">
        <f>'score estimates'!$G236</f>
        <v>183</v>
      </c>
      <c r="G236" s="71" t="s">
        <v>983</v>
      </c>
      <c r="H236" s="72" cm="1">
        <f t="array" aca="1" ref="H23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36" s="96">
        <f ca="1">IF(Table2[[#This Row],[Team]]="FA",0,Table2[[#This Row],[Pts/G]]*(1-Table2[[#This Row],[% Pos Overlap]]))</f>
        <v>23.146341463414632</v>
      </c>
      <c r="J236" s="72" cm="1">
        <f t="array" aca="1" ref="J236" ca="1">(INDIRECT(ADDRESS((_xlfn.XMATCH(Table2[[#This Row],[Team]],Schedule!$A$1:$A$33)),5,1,1,"Sched Overlap")))</f>
        <v>0.66422466422466431</v>
      </c>
      <c r="K236" s="92" cm="1">
        <f t="array" aca="1" ref="K23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36" s="95">
        <f ca="1">IF(Table2[[#This Row],[Team]]="FA",0,Table2[[#This Row],[Pts/G]]*(Table2[[#This Row],[Games Playable]]/82))</f>
        <v>23.146341463414632</v>
      </c>
      <c r="M236" s="95" cm="1">
        <f t="array" aca="1" ref="M236" ca="1">Table2[[#This Row],[Playable x Score]]*_xlfn.IFS(Table2[[#This Row],[Pos]]="D",assumptions!$B$15,Table2[[#This Row],[Pos]]="F", assumptions!$B$14,Table2[[#This Row],[Pos]]="G",assumptions!$B$16)</f>
        <v>28.93292682926829</v>
      </c>
    </row>
    <row r="237" spans="1:13" x14ac:dyDescent="0.3">
      <c r="A237">
        <f>'score estimates'!$A237</f>
        <v>234</v>
      </c>
      <c r="B237" t="str">
        <f>'score estimates'!$B237</f>
        <v>Dillon Dube</v>
      </c>
      <c r="C237" t="str">
        <f>'score estimates'!$D237</f>
        <v>F</v>
      </c>
      <c r="D237" t="str">
        <f>'score estimates'!$C237</f>
        <v>CGY</v>
      </c>
      <c r="E237" s="75">
        <f>'score estimates'!$F237</f>
        <v>18.048780487804876</v>
      </c>
      <c r="F237" s="71">
        <f>'score estimates'!$G237</f>
        <v>298</v>
      </c>
      <c r="G237" s="71" t="s">
        <v>983</v>
      </c>
      <c r="H237" s="72" cm="1">
        <f t="array" aca="1" ref="H23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37" s="96">
        <f ca="1">IF(Table2[[#This Row],[Team]]="FA",0,Table2[[#This Row],[Pts/G]]*(1-Table2[[#This Row],[% Pos Overlap]]))</f>
        <v>18.048780487804876</v>
      </c>
      <c r="J237" s="72" cm="1">
        <f t="array" aca="1" ref="J237" ca="1">(INDIRECT(ADDRESS((_xlfn.XMATCH(Table2[[#This Row],[Team]],Schedule!$A$1:$A$33)),5,1,1,"Sched Overlap")))</f>
        <v>0.63003663003663002</v>
      </c>
      <c r="K237" s="92" cm="1">
        <f t="array" aca="1" ref="K23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37" s="95">
        <f ca="1">IF(Table2[[#This Row],[Team]]="FA",0,Table2[[#This Row],[Pts/G]]*(Table2[[#This Row],[Games Playable]]/82))</f>
        <v>18.048780487804876</v>
      </c>
      <c r="M237" s="95" cm="1">
        <f t="array" aca="1" ref="M237" ca="1">Table2[[#This Row],[Playable x Score]]*_xlfn.IFS(Table2[[#This Row],[Pos]]="D",assumptions!$B$15,Table2[[#This Row],[Pos]]="F", assumptions!$B$14,Table2[[#This Row],[Pos]]="G",assumptions!$B$16)</f>
        <v>18.048780487804876</v>
      </c>
    </row>
    <row r="238" spans="1:13" x14ac:dyDescent="0.3">
      <c r="A238">
        <f>'score estimates'!$A238</f>
        <v>235</v>
      </c>
      <c r="B238" t="str">
        <f>'score estimates'!$B238</f>
        <v>Filip Hronek</v>
      </c>
      <c r="C238" t="str">
        <f>'score estimates'!$D238</f>
        <v>D</v>
      </c>
      <c r="D238" t="str">
        <f>'score estimates'!$C238</f>
        <v>DET</v>
      </c>
      <c r="E238" s="75">
        <f>'score estimates'!$F238</f>
        <v>15.451219512195122</v>
      </c>
      <c r="F238" s="71">
        <f>'score estimates'!$G238</f>
        <v>379</v>
      </c>
      <c r="G238" s="71" t="s">
        <v>983</v>
      </c>
      <c r="H238" s="72" cm="1">
        <f t="array" aca="1" ref="H23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38" s="96">
        <f ca="1">IF(Table2[[#This Row],[Team]]="FA",0,Table2[[#This Row],[Pts/G]]*(1-Table2[[#This Row],[% Pos Overlap]]))</f>
        <v>15.451219512195122</v>
      </c>
      <c r="J238" s="72" cm="1">
        <f t="array" aca="1" ref="J238" ca="1">(INDIRECT(ADDRESS((_xlfn.XMATCH(Table2[[#This Row],[Team]],Schedule!$A$1:$A$33)),5,1,1,"Sched Overlap")))</f>
        <v>0.64550264550264547</v>
      </c>
      <c r="K238" s="92" cm="1">
        <f t="array" aca="1" ref="K23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38" s="95">
        <f ca="1">IF(Table2[[#This Row],[Team]]="FA",0,Table2[[#This Row],[Pts/G]]*(Table2[[#This Row],[Games Playable]]/82))</f>
        <v>15.451219512195122</v>
      </c>
      <c r="M238" s="95" cm="1">
        <f t="array" aca="1" ref="M238" ca="1">Table2[[#This Row],[Playable x Score]]*_xlfn.IFS(Table2[[#This Row],[Pos]]="D",assumptions!$B$15,Table2[[#This Row],[Pos]]="F", assumptions!$B$14,Table2[[#This Row],[Pos]]="G",assumptions!$B$16)</f>
        <v>19.314024390243901</v>
      </c>
    </row>
    <row r="239" spans="1:13" x14ac:dyDescent="0.3">
      <c r="A239">
        <f>'score estimates'!$A239</f>
        <v>236</v>
      </c>
      <c r="B239" t="str">
        <f>'score estimates'!$B239</f>
        <v>Frank Vatrano</v>
      </c>
      <c r="C239" t="str">
        <f>'score estimates'!$D239</f>
        <v>F</v>
      </c>
      <c r="D239" t="str">
        <f>'score estimates'!$C239</f>
        <v>ANH</v>
      </c>
      <c r="E239" s="75">
        <f>'score estimates'!$F239</f>
        <v>19.280487804878049</v>
      </c>
      <c r="F239" s="71">
        <f>'score estimates'!$G239</f>
        <v>268</v>
      </c>
      <c r="G239" s="71" t="s">
        <v>983</v>
      </c>
      <c r="H239" s="72" cm="1">
        <f t="array" aca="1" ref="H23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39" s="96">
        <f ca="1">IF(Table2[[#This Row],[Team]]="FA",0,Table2[[#This Row],[Pts/G]]*(1-Table2[[#This Row],[% Pos Overlap]]))</f>
        <v>19.280487804878049</v>
      </c>
      <c r="J239" s="72" cm="1">
        <f t="array" aca="1" ref="J239" ca="1">(INDIRECT(ADDRESS((_xlfn.XMATCH(Table2[[#This Row],[Team]],Schedule!$A$1:$A$33)),5,1,1,"Sched Overlap")))</f>
        <v>0.56410256410256399</v>
      </c>
      <c r="K239" s="92" cm="1">
        <f t="array" aca="1" ref="K23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39" s="95">
        <f ca="1">IF(Table2[[#This Row],[Team]]="FA",0,Table2[[#This Row],[Pts/G]]*(Table2[[#This Row],[Games Playable]]/82))</f>
        <v>19.280487804878049</v>
      </c>
      <c r="M239" s="95" cm="1">
        <f t="array" aca="1" ref="M239" ca="1">Table2[[#This Row],[Playable x Score]]*_xlfn.IFS(Table2[[#This Row],[Pos]]="D",assumptions!$B$15,Table2[[#This Row],[Pos]]="F", assumptions!$B$14,Table2[[#This Row],[Pos]]="G",assumptions!$B$16)</f>
        <v>19.280487804878049</v>
      </c>
    </row>
    <row r="240" spans="1:13" x14ac:dyDescent="0.3">
      <c r="A240">
        <f>'score estimates'!$A240</f>
        <v>237</v>
      </c>
      <c r="B240" t="str">
        <f>'score estimates'!$B240</f>
        <v>Martin Necas</v>
      </c>
      <c r="C240" t="str">
        <f>'score estimates'!$D240</f>
        <v>F</v>
      </c>
      <c r="D240" t="str">
        <f>'score estimates'!$C240</f>
        <v>CAR</v>
      </c>
      <c r="E240" s="75">
        <f>'score estimates'!$F240</f>
        <v>19.695121951219512</v>
      </c>
      <c r="F240" s="71">
        <f>'score estimates'!$G240</f>
        <v>257</v>
      </c>
      <c r="G240" s="71" t="s">
        <v>983</v>
      </c>
      <c r="H240" s="72" cm="1">
        <f t="array" aca="1" ref="H24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40" s="96">
        <f ca="1">IF(Table2[[#This Row],[Team]]="FA",0,Table2[[#This Row],[Pts/G]]*(1-Table2[[#This Row],[% Pos Overlap]]))</f>
        <v>19.695121951219512</v>
      </c>
      <c r="J240" s="72" cm="1">
        <f t="array" aca="1" ref="J240" ca="1">(INDIRECT(ADDRESS((_xlfn.XMATCH(Table2[[#This Row],[Team]],Schedule!$A$1:$A$33)),5,1,1,"Sched Overlap")))</f>
        <v>0.63247863247863245</v>
      </c>
      <c r="K240" s="92" cm="1">
        <f t="array" aca="1" ref="K24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40" s="95">
        <f ca="1">IF(Table2[[#This Row],[Team]]="FA",0,Table2[[#This Row],[Pts/G]]*(Table2[[#This Row],[Games Playable]]/82))</f>
        <v>19.695121951219512</v>
      </c>
      <c r="M240" s="95" cm="1">
        <f t="array" aca="1" ref="M240" ca="1">Table2[[#This Row],[Playable x Score]]*_xlfn.IFS(Table2[[#This Row],[Pos]]="D",assumptions!$B$15,Table2[[#This Row],[Pos]]="F", assumptions!$B$14,Table2[[#This Row],[Pos]]="G",assumptions!$B$16)</f>
        <v>19.695121951219512</v>
      </c>
    </row>
    <row r="241" spans="1:13" x14ac:dyDescent="0.3">
      <c r="A241">
        <f>'score estimates'!$A241</f>
        <v>238</v>
      </c>
      <c r="B241" t="str">
        <f>'score estimates'!$B241</f>
        <v>Joel Farabee</v>
      </c>
      <c r="C241" t="str">
        <f>'score estimates'!$D241</f>
        <v>F</v>
      </c>
      <c r="D241" t="str">
        <f>'score estimates'!$C241</f>
        <v>PHI</v>
      </c>
      <c r="E241" s="75">
        <f>'score estimates'!$F241</f>
        <v>17.573170731707318</v>
      </c>
      <c r="F241" s="71">
        <f>'score estimates'!$G241</f>
        <v>313</v>
      </c>
      <c r="G241" s="71" t="s">
        <v>983</v>
      </c>
      <c r="H241" s="72" cm="1">
        <f t="array" aca="1" ref="H24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41" s="96">
        <f ca="1">IF(Table2[[#This Row],[Team]]="FA",0,Table2[[#This Row],[Pts/G]]*(1-Table2[[#This Row],[% Pos Overlap]]))</f>
        <v>17.573170731707318</v>
      </c>
      <c r="J241" s="72" cm="1">
        <f t="array" aca="1" ref="J241" ca="1">(INDIRECT(ADDRESS((_xlfn.XMATCH(Table2[[#This Row],[Team]],Schedule!$A$1:$A$33)),5,1,1,"Sched Overlap")))</f>
        <v>0.66910866910866917</v>
      </c>
      <c r="K241" s="92" cm="1">
        <f t="array" aca="1" ref="K24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41" s="95">
        <f ca="1">IF(Table2[[#This Row],[Team]]="FA",0,Table2[[#This Row],[Pts/G]]*(Table2[[#This Row],[Games Playable]]/82))</f>
        <v>17.573170731707318</v>
      </c>
      <c r="M241" s="95" cm="1">
        <f t="array" aca="1" ref="M241" ca="1">Table2[[#This Row],[Playable x Score]]*_xlfn.IFS(Table2[[#This Row],[Pos]]="D",assumptions!$B$15,Table2[[#This Row],[Pos]]="F", assumptions!$B$14,Table2[[#This Row],[Pos]]="G",assumptions!$B$16)</f>
        <v>17.573170731707318</v>
      </c>
    </row>
    <row r="242" spans="1:13" x14ac:dyDescent="0.3">
      <c r="A242">
        <f>'score estimates'!$A242</f>
        <v>239</v>
      </c>
      <c r="B242" t="str">
        <f>'score estimates'!$B242</f>
        <v>Kyle Palmieri</v>
      </c>
      <c r="C242" t="str">
        <f>'score estimates'!$D242</f>
        <v>F</v>
      </c>
      <c r="D242" t="str">
        <f>'score estimates'!$C242</f>
        <v>NYI</v>
      </c>
      <c r="E242" s="75">
        <f>'score estimates'!$F242</f>
        <v>19.292682926829269</v>
      </c>
      <c r="F242" s="71">
        <f>'score estimates'!$G242</f>
        <v>267</v>
      </c>
      <c r="G242" s="71" t="s">
        <v>983</v>
      </c>
      <c r="H242" s="72" cm="1">
        <f t="array" aca="1" ref="H24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42" s="96">
        <f ca="1">IF(Table2[[#This Row],[Team]]="FA",0,Table2[[#This Row],[Pts/G]]*(1-Table2[[#This Row],[% Pos Overlap]]))</f>
        <v>19.292682926829269</v>
      </c>
      <c r="J242" s="72" cm="1">
        <f t="array" aca="1" ref="J242" ca="1">(INDIRECT(ADDRESS((_xlfn.XMATCH(Table2[[#This Row],[Team]],Schedule!$A$1:$A$33)),5,1,1,"Sched Overlap")))</f>
        <v>0.63166463166463194</v>
      </c>
      <c r="K242" s="92" cm="1">
        <f t="array" aca="1" ref="K24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42" s="95">
        <f ca="1">IF(Table2[[#This Row],[Team]]="FA",0,Table2[[#This Row],[Pts/G]]*(Table2[[#This Row],[Games Playable]]/82))</f>
        <v>19.292682926829269</v>
      </c>
      <c r="M242" s="95" cm="1">
        <f t="array" aca="1" ref="M242" ca="1">Table2[[#This Row],[Playable x Score]]*_xlfn.IFS(Table2[[#This Row],[Pos]]="D",assumptions!$B$15,Table2[[#This Row],[Pos]]="F", assumptions!$B$14,Table2[[#This Row],[Pos]]="G",assumptions!$B$16)</f>
        <v>19.292682926829269</v>
      </c>
    </row>
    <row r="243" spans="1:13" x14ac:dyDescent="0.3">
      <c r="A243">
        <f>'score estimates'!$A243</f>
        <v>240</v>
      </c>
      <c r="B243" t="str">
        <f>'score estimates'!$B243</f>
        <v>Jordan Staal</v>
      </c>
      <c r="C243" t="str">
        <f>'score estimates'!$D243</f>
        <v>F</v>
      </c>
      <c r="D243" t="str">
        <f>'score estimates'!$C243</f>
        <v>CAR</v>
      </c>
      <c r="E243" s="75">
        <f>'score estimates'!$F243</f>
        <v>20.585365853658537</v>
      </c>
      <c r="F243" s="71">
        <f>'score estimates'!$G243</f>
        <v>232</v>
      </c>
      <c r="G243" s="71" t="s">
        <v>983</v>
      </c>
      <c r="H243" s="72" cm="1">
        <f t="array" aca="1" ref="H24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43" s="96">
        <f ca="1">IF(Table2[[#This Row],[Team]]="FA",0,Table2[[#This Row],[Pts/G]]*(1-Table2[[#This Row],[% Pos Overlap]]))</f>
        <v>20.585365853658537</v>
      </c>
      <c r="J243" s="72" cm="1">
        <f t="array" aca="1" ref="J243" ca="1">(INDIRECT(ADDRESS((_xlfn.XMATCH(Table2[[#This Row],[Team]],Schedule!$A$1:$A$33)),5,1,1,"Sched Overlap")))</f>
        <v>0.63247863247863245</v>
      </c>
      <c r="K243" s="92" cm="1">
        <f t="array" aca="1" ref="K24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43" s="95">
        <f ca="1">IF(Table2[[#This Row],[Team]]="FA",0,Table2[[#This Row],[Pts/G]]*(Table2[[#This Row],[Games Playable]]/82))</f>
        <v>20.585365853658537</v>
      </c>
      <c r="M243" s="95" cm="1">
        <f t="array" aca="1" ref="M243" ca="1">Table2[[#This Row],[Playable x Score]]*_xlfn.IFS(Table2[[#This Row],[Pos]]="D",assumptions!$B$15,Table2[[#This Row],[Pos]]="F", assumptions!$B$14,Table2[[#This Row],[Pos]]="G",assumptions!$B$16)</f>
        <v>20.585365853658537</v>
      </c>
    </row>
    <row r="244" spans="1:13" x14ac:dyDescent="0.3">
      <c r="A244">
        <f>'score estimates'!$A244</f>
        <v>241</v>
      </c>
      <c r="B244" t="str">
        <f>'score estimates'!$B244</f>
        <v>Ivan Provorov</v>
      </c>
      <c r="C244" t="str">
        <f>'score estimates'!$D244</f>
        <v>D</v>
      </c>
      <c r="D244" t="str">
        <f>'score estimates'!$C244</f>
        <v>PHI</v>
      </c>
      <c r="E244" s="75">
        <f>'score estimates'!$F244</f>
        <v>21.146341463414632</v>
      </c>
      <c r="F244" s="71">
        <f>'score estimates'!$G244</f>
        <v>219</v>
      </c>
      <c r="G244" s="71" t="s">
        <v>983</v>
      </c>
      <c r="H244" s="72" cm="1">
        <f t="array" aca="1" ref="H24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44" s="96">
        <f ca="1">IF(Table2[[#This Row],[Team]]="FA",0,Table2[[#This Row],[Pts/G]]*(1-Table2[[#This Row],[% Pos Overlap]]))</f>
        <v>21.146341463414632</v>
      </c>
      <c r="J244" s="72" cm="1">
        <f t="array" aca="1" ref="J244" ca="1">(INDIRECT(ADDRESS((_xlfn.XMATCH(Table2[[#This Row],[Team]],Schedule!$A$1:$A$33)),5,1,1,"Sched Overlap")))</f>
        <v>0.66910866910866917</v>
      </c>
      <c r="K244" s="92" cm="1">
        <f t="array" aca="1" ref="K24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44" s="95">
        <f ca="1">IF(Table2[[#This Row],[Team]]="FA",0,Table2[[#This Row],[Pts/G]]*(Table2[[#This Row],[Games Playable]]/82))</f>
        <v>21.146341463414632</v>
      </c>
      <c r="M244" s="95" cm="1">
        <f t="array" aca="1" ref="M244" ca="1">Table2[[#This Row],[Playable x Score]]*_xlfn.IFS(Table2[[#This Row],[Pos]]="D",assumptions!$B$15,Table2[[#This Row],[Pos]]="F", assumptions!$B$14,Table2[[#This Row],[Pos]]="G",assumptions!$B$16)</f>
        <v>26.43292682926829</v>
      </c>
    </row>
    <row r="245" spans="1:13" x14ac:dyDescent="0.3">
      <c r="A245">
        <f>'score estimates'!$A245</f>
        <v>242</v>
      </c>
      <c r="B245" t="str">
        <f>'score estimates'!$B245</f>
        <v>Jacob Trouba</v>
      </c>
      <c r="C245" t="str">
        <f>'score estimates'!$D245</f>
        <v>D</v>
      </c>
      <c r="D245" t="str">
        <f>'score estimates'!$C245</f>
        <v>NYR</v>
      </c>
      <c r="E245" s="75">
        <f>'score estimates'!$F245</f>
        <v>27.878048780487806</v>
      </c>
      <c r="F245" s="71">
        <f>'score estimates'!$G245</f>
        <v>112</v>
      </c>
      <c r="G245" s="71" t="s">
        <v>983</v>
      </c>
      <c r="H245" s="72" cm="1">
        <f t="array" aca="1" ref="H24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45" s="96">
        <f ca="1">IF(Table2[[#This Row],[Team]]="FA",0,Table2[[#This Row],[Pts/G]]*(1-Table2[[#This Row],[% Pos Overlap]]))</f>
        <v>27.878048780487806</v>
      </c>
      <c r="J245" s="72" cm="1">
        <f t="array" aca="1" ref="J245" ca="1">(INDIRECT(ADDRESS((_xlfn.XMATCH(Table2[[#This Row],[Team]],Schedule!$A$1:$A$33)),5,1,1,"Sched Overlap")))</f>
        <v>0.60236060236060229</v>
      </c>
      <c r="K245" s="92" cm="1">
        <f t="array" aca="1" ref="K24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45" s="95">
        <f ca="1">IF(Table2[[#This Row],[Team]]="FA",0,Table2[[#This Row],[Pts/G]]*(Table2[[#This Row],[Games Playable]]/82))</f>
        <v>27.878048780487806</v>
      </c>
      <c r="M245" s="95" cm="1">
        <f t="array" aca="1" ref="M245" ca="1">Table2[[#This Row],[Playable x Score]]*_xlfn.IFS(Table2[[#This Row],[Pos]]="D",assumptions!$B$15,Table2[[#This Row],[Pos]]="F", assumptions!$B$14,Table2[[#This Row],[Pos]]="G",assumptions!$B$16)</f>
        <v>34.84756097560976</v>
      </c>
    </row>
    <row r="246" spans="1:13" x14ac:dyDescent="0.3">
      <c r="A246">
        <f>'score estimates'!$A246</f>
        <v>243</v>
      </c>
      <c r="B246" t="str">
        <f>'score estimates'!$B246</f>
        <v>Josh Morrissey</v>
      </c>
      <c r="C246" t="str">
        <f>'score estimates'!$D246</f>
        <v>D</v>
      </c>
      <c r="D246" t="str">
        <f>'score estimates'!$C246</f>
        <v>WPG</v>
      </c>
      <c r="E246" s="75">
        <f>'score estimates'!$F246</f>
        <v>22.060975609756099</v>
      </c>
      <c r="F246" s="71">
        <f>'score estimates'!$G246</f>
        <v>200</v>
      </c>
      <c r="G246" s="71" t="s">
        <v>983</v>
      </c>
      <c r="H246" s="72" cm="1">
        <f t="array" aca="1" ref="H24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46" s="96">
        <f ca="1">IF(Table2[[#This Row],[Team]]="FA",0,Table2[[#This Row],[Pts/G]]*(1-Table2[[#This Row],[% Pos Overlap]]))</f>
        <v>22.060975609756099</v>
      </c>
      <c r="J246" s="72" cm="1">
        <f t="array" aca="1" ref="J246" ca="1">(INDIRECT(ADDRESS((_xlfn.XMATCH(Table2[[#This Row],[Team]],Schedule!$A$1:$A$33)),5,1,1,"Sched Overlap")))</f>
        <v>0.61212861212861214</v>
      </c>
      <c r="K246" s="92" cm="1">
        <f t="array" aca="1" ref="K24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46" s="95">
        <f ca="1">IF(Table2[[#This Row],[Team]]="FA",0,Table2[[#This Row],[Pts/G]]*(Table2[[#This Row],[Games Playable]]/82))</f>
        <v>22.060975609756099</v>
      </c>
      <c r="M246" s="95" cm="1">
        <f t="array" aca="1" ref="M246" ca="1">Table2[[#This Row],[Playable x Score]]*_xlfn.IFS(Table2[[#This Row],[Pos]]="D",assumptions!$B$15,Table2[[#This Row],[Pos]]="F", assumptions!$B$14,Table2[[#This Row],[Pos]]="G",assumptions!$B$16)</f>
        <v>27.576219512195124</v>
      </c>
    </row>
    <row r="247" spans="1:13" x14ac:dyDescent="0.3">
      <c r="A247">
        <f>'score estimates'!$A247</f>
        <v>244</v>
      </c>
      <c r="B247" t="str">
        <f>'score estimates'!$B247</f>
        <v>Max Domi</v>
      </c>
      <c r="C247" t="str">
        <f>'score estimates'!$D247</f>
        <v>F</v>
      </c>
      <c r="D247" t="str">
        <f>'score estimates'!$C247</f>
        <v>CHI</v>
      </c>
      <c r="E247" s="75">
        <f>'score estimates'!$F247</f>
        <v>14.609756097560975</v>
      </c>
      <c r="F247" s="71">
        <f>'score estimates'!$G247</f>
        <v>403</v>
      </c>
      <c r="G247" s="71" t="s">
        <v>983</v>
      </c>
      <c r="H247" s="72" cm="1">
        <f t="array" aca="1" ref="H24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47" s="96">
        <f ca="1">IF(Table2[[#This Row],[Team]]="FA",0,Table2[[#This Row],[Pts/G]]*(1-Table2[[#This Row],[% Pos Overlap]]))</f>
        <v>14.609756097560975</v>
      </c>
      <c r="J247" s="72" cm="1">
        <f t="array" aca="1" ref="J247" ca="1">(INDIRECT(ADDRESS((_xlfn.XMATCH(Table2[[#This Row],[Team]],Schedule!$A$1:$A$33)),5,1,1,"Sched Overlap")))</f>
        <v>0.6243386243386243</v>
      </c>
      <c r="K247" s="92" cm="1">
        <f t="array" aca="1" ref="K24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47" s="95">
        <f ca="1">IF(Table2[[#This Row],[Team]]="FA",0,Table2[[#This Row],[Pts/G]]*(Table2[[#This Row],[Games Playable]]/82))</f>
        <v>14.609756097560975</v>
      </c>
      <c r="M247" s="95" cm="1">
        <f t="array" aca="1" ref="M247" ca="1">Table2[[#This Row],[Playable x Score]]*_xlfn.IFS(Table2[[#This Row],[Pos]]="D",assumptions!$B$15,Table2[[#This Row],[Pos]]="F", assumptions!$B$14,Table2[[#This Row],[Pos]]="G",assumptions!$B$16)</f>
        <v>14.609756097560975</v>
      </c>
    </row>
    <row r="248" spans="1:13" x14ac:dyDescent="0.3">
      <c r="A248">
        <f>'score estimates'!$A248</f>
        <v>245</v>
      </c>
      <c r="B248" t="str">
        <f>'score estimates'!$B248</f>
        <v>Jordan Greenway</v>
      </c>
      <c r="C248" t="str">
        <f>'score estimates'!$D248</f>
        <v>F</v>
      </c>
      <c r="D248" t="str">
        <f>'score estimates'!$C248</f>
        <v>MIN</v>
      </c>
      <c r="E248" s="75">
        <f>'score estimates'!$F248</f>
        <v>23</v>
      </c>
      <c r="F248" s="71">
        <f>'score estimates'!$G248</f>
        <v>184</v>
      </c>
      <c r="G248" s="71" t="s">
        <v>983</v>
      </c>
      <c r="H248" s="72" cm="1">
        <f t="array" aca="1" ref="H24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48" s="96">
        <f ca="1">IF(Table2[[#This Row],[Team]]="FA",0,Table2[[#This Row],[Pts/G]]*(1-Table2[[#This Row],[% Pos Overlap]]))</f>
        <v>23</v>
      </c>
      <c r="J248" s="72" cm="1">
        <f t="array" aca="1" ref="J248" ca="1">(INDIRECT(ADDRESS((_xlfn.XMATCH(Table2[[#This Row],[Team]],Schedule!$A$1:$A$33)),5,1,1,"Sched Overlap")))</f>
        <v>0.62108262108262113</v>
      </c>
      <c r="K248" s="92" cm="1">
        <f t="array" aca="1" ref="K24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48" s="95">
        <f ca="1">IF(Table2[[#This Row],[Team]]="FA",0,Table2[[#This Row],[Pts/G]]*(Table2[[#This Row],[Games Playable]]/82))</f>
        <v>23</v>
      </c>
      <c r="M248" s="95" cm="1">
        <f t="array" aca="1" ref="M248" ca="1">Table2[[#This Row],[Playable x Score]]*_xlfn.IFS(Table2[[#This Row],[Pos]]="D",assumptions!$B$15,Table2[[#This Row],[Pos]]="F", assumptions!$B$14,Table2[[#This Row],[Pos]]="G",assumptions!$B$16)</f>
        <v>23</v>
      </c>
    </row>
    <row r="249" spans="1:13" x14ac:dyDescent="0.3">
      <c r="A249">
        <f>'score estimates'!$A249</f>
        <v>246</v>
      </c>
      <c r="B249" t="str">
        <f>'score estimates'!$B249</f>
        <v>Frederick Gaudreau</v>
      </c>
      <c r="C249" t="str">
        <f>'score estimates'!$D249</f>
        <v>F</v>
      </c>
      <c r="D249" t="str">
        <f>'score estimates'!$C249</f>
        <v>MIN</v>
      </c>
      <c r="E249" s="75">
        <f>'score estimates'!$F249</f>
        <v>18.317073170731707</v>
      </c>
      <c r="F249" s="71">
        <f>'score estimates'!$G249</f>
        <v>289</v>
      </c>
      <c r="G249" s="71" t="s">
        <v>983</v>
      </c>
      <c r="H249" s="72" cm="1">
        <f t="array" aca="1" ref="H24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49" s="96">
        <f ca="1">IF(Table2[[#This Row],[Team]]="FA",0,Table2[[#This Row],[Pts/G]]*(1-Table2[[#This Row],[% Pos Overlap]]))</f>
        <v>18.317073170731707</v>
      </c>
      <c r="J249" s="72" cm="1">
        <f t="array" aca="1" ref="J249" ca="1">(INDIRECT(ADDRESS((_xlfn.XMATCH(Table2[[#This Row],[Team]],Schedule!$A$1:$A$33)),5,1,1,"Sched Overlap")))</f>
        <v>0.62108262108262113</v>
      </c>
      <c r="K249" s="92" cm="1">
        <f t="array" aca="1" ref="K24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49" s="95">
        <f ca="1">IF(Table2[[#This Row],[Team]]="FA",0,Table2[[#This Row],[Pts/G]]*(Table2[[#This Row],[Games Playable]]/82))</f>
        <v>18.317073170731707</v>
      </c>
      <c r="M249" s="95" cm="1">
        <f t="array" aca="1" ref="M249" ca="1">Table2[[#This Row],[Playable x Score]]*_xlfn.IFS(Table2[[#This Row],[Pos]]="D",assumptions!$B$15,Table2[[#This Row],[Pos]]="F", assumptions!$B$14,Table2[[#This Row],[Pos]]="G",assumptions!$B$16)</f>
        <v>18.317073170731707</v>
      </c>
    </row>
    <row r="250" spans="1:13" x14ac:dyDescent="0.3">
      <c r="A250">
        <f>'score estimates'!$A250</f>
        <v>247</v>
      </c>
      <c r="B250" t="str">
        <f>'score estimates'!$B250</f>
        <v>Ryan Suter</v>
      </c>
      <c r="C250" t="str">
        <f>'score estimates'!$D250</f>
        <v>D</v>
      </c>
      <c r="D250" t="str">
        <f>'score estimates'!$C250</f>
        <v>DAL</v>
      </c>
      <c r="E250" s="75">
        <f>'score estimates'!$F250</f>
        <v>18.402439024390244</v>
      </c>
      <c r="F250" s="71">
        <f>'score estimates'!$G250</f>
        <v>288</v>
      </c>
      <c r="G250" s="71" t="s">
        <v>983</v>
      </c>
      <c r="H250" s="72" cm="1">
        <f t="array" aca="1" ref="H25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50" s="96">
        <f ca="1">IF(Table2[[#This Row],[Team]]="FA",0,Table2[[#This Row],[Pts/G]]*(1-Table2[[#This Row],[% Pos Overlap]]))</f>
        <v>18.402439024390244</v>
      </c>
      <c r="J250" s="72" cm="1">
        <f t="array" aca="1" ref="J250" ca="1">(INDIRECT(ADDRESS((_xlfn.XMATCH(Table2[[#This Row],[Team]],Schedule!$A$1:$A$33)),5,1,1,"Sched Overlap")))</f>
        <v>0.65364265364265373</v>
      </c>
      <c r="K250" s="92" cm="1">
        <f t="array" aca="1" ref="K25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50" s="95">
        <f ca="1">IF(Table2[[#This Row],[Team]]="FA",0,Table2[[#This Row],[Pts/G]]*(Table2[[#This Row],[Games Playable]]/82))</f>
        <v>18.402439024390244</v>
      </c>
      <c r="M250" s="95" cm="1">
        <f t="array" aca="1" ref="M250" ca="1">Table2[[#This Row],[Playable x Score]]*_xlfn.IFS(Table2[[#This Row],[Pos]]="D",assumptions!$B$15,Table2[[#This Row],[Pos]]="F", assumptions!$B$14,Table2[[#This Row],[Pos]]="G",assumptions!$B$16)</f>
        <v>23.003048780487806</v>
      </c>
    </row>
    <row r="251" spans="1:13" x14ac:dyDescent="0.3">
      <c r="A251">
        <f>'score estimates'!$A251</f>
        <v>248</v>
      </c>
      <c r="B251" t="str">
        <f>'score estimates'!$B251</f>
        <v>Erik Haula</v>
      </c>
      <c r="C251" t="str">
        <f>'score estimates'!$D251</f>
        <v>F</v>
      </c>
      <c r="D251" t="str">
        <f>'score estimates'!$C251</f>
        <v>NJ</v>
      </c>
      <c r="E251" s="75">
        <f>'score estimates'!$F251</f>
        <v>19.304878048780488</v>
      </c>
      <c r="F251" s="71">
        <f>'score estimates'!$G251</f>
        <v>265</v>
      </c>
      <c r="G251" s="71" t="s">
        <v>983</v>
      </c>
      <c r="H251" s="72" cm="1">
        <f t="array" aca="1" ref="H25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51" s="96">
        <f ca="1">IF(Table2[[#This Row],[Team]]="FA",0,Table2[[#This Row],[Pts/G]]*(1-Table2[[#This Row],[% Pos Overlap]]))</f>
        <v>19.304878048780488</v>
      </c>
      <c r="J251" s="72" cm="1">
        <f t="array" aca="1" ref="J251" ca="1">(INDIRECT(ADDRESS((_xlfn.XMATCH(Table2[[#This Row],[Team]],Schedule!$A$1:$A$33)),5,1,1,"Sched Overlap")))</f>
        <v>0.66259666259666272</v>
      </c>
      <c r="K251" s="92" cm="1">
        <f t="array" aca="1" ref="K25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51" s="95">
        <f ca="1">IF(Table2[[#This Row],[Team]]="FA",0,Table2[[#This Row],[Pts/G]]*(Table2[[#This Row],[Games Playable]]/82))</f>
        <v>19.304878048780488</v>
      </c>
      <c r="M251" s="95" cm="1">
        <f t="array" aca="1" ref="M251" ca="1">Table2[[#This Row],[Playable x Score]]*_xlfn.IFS(Table2[[#This Row],[Pos]]="D",assumptions!$B$15,Table2[[#This Row],[Pos]]="F", assumptions!$B$14,Table2[[#This Row],[Pos]]="G",assumptions!$B$16)</f>
        <v>19.304878048780488</v>
      </c>
    </row>
    <row r="252" spans="1:13" x14ac:dyDescent="0.3">
      <c r="A252">
        <f>'score estimates'!$A252</f>
        <v>249</v>
      </c>
      <c r="B252" t="str">
        <f>'score estimates'!$B252</f>
        <v>Philip Tomasino</v>
      </c>
      <c r="C252" t="str">
        <f>'score estimates'!$D252</f>
        <v>F</v>
      </c>
      <c r="D252" t="str">
        <f>'score estimates'!$C252</f>
        <v>NSH</v>
      </c>
      <c r="E252" s="75">
        <f>'score estimates'!$F252</f>
        <v>16.463414634146343</v>
      </c>
      <c r="F252" s="71">
        <f>'score estimates'!$G252</f>
        <v>343</v>
      </c>
      <c r="G252" s="71" t="s">
        <v>983</v>
      </c>
      <c r="H252" s="72" cm="1">
        <f t="array" aca="1" ref="H25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52" s="96">
        <f ca="1">IF(Table2[[#This Row],[Team]]="FA",0,Table2[[#This Row],[Pts/G]]*(1-Table2[[#This Row],[% Pos Overlap]]))</f>
        <v>16.463414634146343</v>
      </c>
      <c r="J252" s="72" cm="1">
        <f t="array" aca="1" ref="J252" ca="1">(INDIRECT(ADDRESS((_xlfn.XMATCH(Table2[[#This Row],[Team]],Schedule!$A$1:$A$33)),5,1,1,"Sched Overlap")))</f>
        <v>0.67806267806267806</v>
      </c>
      <c r="K252" s="92" cm="1">
        <f t="array" aca="1" ref="K25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52" s="95">
        <f ca="1">IF(Table2[[#This Row],[Team]]="FA",0,Table2[[#This Row],[Pts/G]]*(Table2[[#This Row],[Games Playable]]/82))</f>
        <v>16.463414634146343</v>
      </c>
      <c r="M252" s="95" cm="1">
        <f t="array" aca="1" ref="M252" ca="1">Table2[[#This Row],[Playable x Score]]*_xlfn.IFS(Table2[[#This Row],[Pos]]="D",assumptions!$B$15,Table2[[#This Row],[Pos]]="F", assumptions!$B$14,Table2[[#This Row],[Pos]]="G",assumptions!$B$16)</f>
        <v>16.463414634146343</v>
      </c>
    </row>
    <row r="253" spans="1:13" x14ac:dyDescent="0.3">
      <c r="A253">
        <f>'score estimates'!$A253</f>
        <v>250</v>
      </c>
      <c r="B253" t="str">
        <f>'score estimates'!$B253</f>
        <v>Ilya Mikheyev</v>
      </c>
      <c r="C253" t="str">
        <f>'score estimates'!$D253</f>
        <v>F</v>
      </c>
      <c r="D253" t="str">
        <f>'score estimates'!$C253</f>
        <v>VAN</v>
      </c>
      <c r="E253" s="75">
        <f>'score estimates'!$F253</f>
        <v>20.036585365853657</v>
      </c>
      <c r="F253" s="71">
        <f>'score estimates'!$G253</f>
        <v>247</v>
      </c>
      <c r="G253" s="71" t="s">
        <v>983</v>
      </c>
      <c r="H253" s="72" cm="1">
        <f t="array" aca="1" ref="H25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53" s="96">
        <f ca="1">IF(Table2[[#This Row],[Team]]="FA",0,Table2[[#This Row],[Pts/G]]*(1-Table2[[#This Row],[% Pos Overlap]]))</f>
        <v>20.036585365853657</v>
      </c>
      <c r="J253" s="72" cm="1">
        <f t="array" aca="1" ref="J253" ca="1">(INDIRECT(ADDRESS((_xlfn.XMATCH(Table2[[#This Row],[Team]],Schedule!$A$1:$A$33)),5,1,1,"Sched Overlap")))</f>
        <v>0.62922262922262917</v>
      </c>
      <c r="K253" s="92" cm="1">
        <f t="array" aca="1" ref="K25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53" s="95">
        <f ca="1">IF(Table2[[#This Row],[Team]]="FA",0,Table2[[#This Row],[Pts/G]]*(Table2[[#This Row],[Games Playable]]/82))</f>
        <v>20.036585365853657</v>
      </c>
      <c r="M253" s="95" cm="1">
        <f t="array" aca="1" ref="M253" ca="1">Table2[[#This Row],[Playable x Score]]*_xlfn.IFS(Table2[[#This Row],[Pos]]="D",assumptions!$B$15,Table2[[#This Row],[Pos]]="F", assumptions!$B$14,Table2[[#This Row],[Pos]]="G",assumptions!$B$16)</f>
        <v>20.036585365853657</v>
      </c>
    </row>
    <row r="254" spans="1:13" x14ac:dyDescent="0.3">
      <c r="A254">
        <f>'score estimates'!$A254</f>
        <v>251</v>
      </c>
      <c r="B254" t="str">
        <f>'score estimates'!$B254</f>
        <v>Jamie Drysdale</v>
      </c>
      <c r="C254" t="str">
        <f>'score estimates'!$D254</f>
        <v>D</v>
      </c>
      <c r="D254" t="str">
        <f>'score estimates'!$C254</f>
        <v>ANH</v>
      </c>
      <c r="E254" s="75">
        <f>'score estimates'!$F254</f>
        <v>14.25609756097561</v>
      </c>
      <c r="F254" s="71">
        <f>'score estimates'!$G254</f>
        <v>416</v>
      </c>
      <c r="G254" s="71" t="s">
        <v>983</v>
      </c>
      <c r="H254" s="72" cm="1">
        <f t="array" aca="1" ref="H25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54" s="96">
        <f ca="1">IF(Table2[[#This Row],[Team]]="FA",0,Table2[[#This Row],[Pts/G]]*(1-Table2[[#This Row],[% Pos Overlap]]))</f>
        <v>14.25609756097561</v>
      </c>
      <c r="J254" s="72" cm="1">
        <f t="array" aca="1" ref="J254" ca="1">(INDIRECT(ADDRESS((_xlfn.XMATCH(Table2[[#This Row],[Team]],Schedule!$A$1:$A$33)),5,1,1,"Sched Overlap")))</f>
        <v>0.56410256410256399</v>
      </c>
      <c r="K254" s="92" cm="1">
        <f t="array" aca="1" ref="K25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54" s="95">
        <f ca="1">IF(Table2[[#This Row],[Team]]="FA",0,Table2[[#This Row],[Pts/G]]*(Table2[[#This Row],[Games Playable]]/82))</f>
        <v>14.25609756097561</v>
      </c>
      <c r="M254" s="95" cm="1">
        <f t="array" aca="1" ref="M254" ca="1">Table2[[#This Row],[Playable x Score]]*_xlfn.IFS(Table2[[#This Row],[Pos]]="D",assumptions!$B$15,Table2[[#This Row],[Pos]]="F", assumptions!$B$14,Table2[[#This Row],[Pos]]="G",assumptions!$B$16)</f>
        <v>17.820121951219512</v>
      </c>
    </row>
    <row r="255" spans="1:13" x14ac:dyDescent="0.3">
      <c r="A255">
        <f>'score estimates'!$A255</f>
        <v>252</v>
      </c>
      <c r="B255" t="str">
        <f>'score estimates'!$B255</f>
        <v>Shane Wright</v>
      </c>
      <c r="C255" t="str">
        <f>'score estimates'!$D255</f>
        <v>F</v>
      </c>
      <c r="D255" t="str">
        <f>'score estimates'!$C255</f>
        <v>SEA</v>
      </c>
      <c r="E255" s="75">
        <f>'score estimates'!$F255</f>
        <v>11.804878048780488</v>
      </c>
      <c r="F255" s="71">
        <f>'score estimates'!$G255</f>
        <v>502</v>
      </c>
      <c r="G255" s="71" t="s">
        <v>983</v>
      </c>
      <c r="H255" s="72" cm="1">
        <f t="array" aca="1" ref="H25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55" s="96">
        <f ca="1">IF(Table2[[#This Row],[Team]]="FA",0,Table2[[#This Row],[Pts/G]]*(1-Table2[[#This Row],[% Pos Overlap]]))</f>
        <v>11.804878048780488</v>
      </c>
      <c r="J255" s="72" cm="1">
        <f t="array" aca="1" ref="J255" ca="1">(INDIRECT(ADDRESS((_xlfn.XMATCH(Table2[[#This Row],[Team]],Schedule!$A$1:$A$33)),5,1,1,"Sched Overlap")))</f>
        <v>0.63085063085063087</v>
      </c>
      <c r="K255" s="92" cm="1">
        <f t="array" aca="1" ref="K25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55" s="95">
        <f ca="1">IF(Table2[[#This Row],[Team]]="FA",0,Table2[[#This Row],[Pts/G]]*(Table2[[#This Row],[Games Playable]]/82))</f>
        <v>11.804878048780488</v>
      </c>
      <c r="M255" s="95" cm="1">
        <f t="array" aca="1" ref="M255" ca="1">Table2[[#This Row],[Playable x Score]]*_xlfn.IFS(Table2[[#This Row],[Pos]]="D",assumptions!$B$15,Table2[[#This Row],[Pos]]="F", assumptions!$B$14,Table2[[#This Row],[Pos]]="G",assumptions!$B$16)</f>
        <v>11.804878048780488</v>
      </c>
    </row>
    <row r="256" spans="1:13" x14ac:dyDescent="0.3">
      <c r="A256">
        <f>'score estimates'!$A256</f>
        <v>253</v>
      </c>
      <c r="B256" t="str">
        <f>'score estimates'!$B256</f>
        <v>Conor Sheary</v>
      </c>
      <c r="C256" t="str">
        <f>'score estimates'!$D256</f>
        <v>F</v>
      </c>
      <c r="D256" t="str">
        <f>'score estimates'!$C256</f>
        <v>WAS</v>
      </c>
      <c r="E256" s="75">
        <f>'score estimates'!$F256</f>
        <v>17.573170731707318</v>
      </c>
      <c r="F256" s="71">
        <f>'score estimates'!$G256</f>
        <v>313</v>
      </c>
      <c r="G256" s="71" t="s">
        <v>983</v>
      </c>
      <c r="H256" s="72" cm="1">
        <f t="array" aca="1" ref="H25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56" s="96">
        <f ca="1">IF(Table2[[#This Row],[Team]]="FA",0,Table2[[#This Row],[Pts/G]]*(1-Table2[[#This Row],[% Pos Overlap]]))</f>
        <v>17.573170731707318</v>
      </c>
      <c r="J256" s="72" cm="1">
        <f t="array" aca="1" ref="J256" ca="1">(INDIRECT(ADDRESS((_xlfn.XMATCH(Table2[[#This Row],[Team]],Schedule!$A$1:$A$33)),5,1,1,"Sched Overlap")))</f>
        <v>0.65282865282865288</v>
      </c>
      <c r="K256" s="92" cm="1">
        <f t="array" aca="1" ref="K25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56" s="95">
        <f ca="1">IF(Table2[[#This Row],[Team]]="FA",0,Table2[[#This Row],[Pts/G]]*(Table2[[#This Row],[Games Playable]]/82))</f>
        <v>17.573170731707318</v>
      </c>
      <c r="M256" s="95" cm="1">
        <f t="array" aca="1" ref="M256" ca="1">Table2[[#This Row],[Playable x Score]]*_xlfn.IFS(Table2[[#This Row],[Pos]]="D",assumptions!$B$15,Table2[[#This Row],[Pos]]="F", assumptions!$B$14,Table2[[#This Row],[Pos]]="G",assumptions!$B$16)</f>
        <v>17.573170731707318</v>
      </c>
    </row>
    <row r="257" spans="1:13" x14ac:dyDescent="0.3">
      <c r="A257">
        <f>'score estimates'!$A257</f>
        <v>254</v>
      </c>
      <c r="B257" t="str">
        <f>'score estimates'!$B257</f>
        <v>Vince Dunn</v>
      </c>
      <c r="C257" t="str">
        <f>'score estimates'!$D257</f>
        <v>D</v>
      </c>
      <c r="D257" t="str">
        <f>'score estimates'!$C257</f>
        <v>SEA</v>
      </c>
      <c r="E257" s="75">
        <f>'score estimates'!$F257</f>
        <v>17.780487804878049</v>
      </c>
      <c r="F257" s="71">
        <f>'score estimates'!$G257</f>
        <v>306</v>
      </c>
      <c r="G257" s="71" t="s">
        <v>983</v>
      </c>
      <c r="H257" s="72" cm="1">
        <f t="array" aca="1" ref="H25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57" s="96">
        <f ca="1">IF(Table2[[#This Row],[Team]]="FA",0,Table2[[#This Row],[Pts/G]]*(1-Table2[[#This Row],[% Pos Overlap]]))</f>
        <v>17.780487804878049</v>
      </c>
      <c r="J257" s="72" cm="1">
        <f t="array" aca="1" ref="J257" ca="1">(INDIRECT(ADDRESS((_xlfn.XMATCH(Table2[[#This Row],[Team]],Schedule!$A$1:$A$33)),5,1,1,"Sched Overlap")))</f>
        <v>0.63085063085063087</v>
      </c>
      <c r="K257" s="92" cm="1">
        <f t="array" aca="1" ref="K25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57" s="95">
        <f ca="1">IF(Table2[[#This Row],[Team]]="FA",0,Table2[[#This Row],[Pts/G]]*(Table2[[#This Row],[Games Playable]]/82))</f>
        <v>17.780487804878049</v>
      </c>
      <c r="M257" s="95" cm="1">
        <f t="array" aca="1" ref="M257" ca="1">Table2[[#This Row],[Playable x Score]]*_xlfn.IFS(Table2[[#This Row],[Pos]]="D",assumptions!$B$15,Table2[[#This Row],[Pos]]="F", assumptions!$B$14,Table2[[#This Row],[Pos]]="G",assumptions!$B$16)</f>
        <v>22.225609756097562</v>
      </c>
    </row>
    <row r="258" spans="1:13" x14ac:dyDescent="0.3">
      <c r="A258">
        <f>'score estimates'!$A258</f>
        <v>255</v>
      </c>
      <c r="B258" t="str">
        <f>'score estimates'!$B258</f>
        <v>Jesse Puljujarvi</v>
      </c>
      <c r="C258" t="str">
        <f>'score estimates'!$D258</f>
        <v>F</v>
      </c>
      <c r="D258" t="str">
        <f>'score estimates'!$C258</f>
        <v>EDM</v>
      </c>
      <c r="E258" s="75">
        <f>'score estimates'!$F258</f>
        <v>19.646341463414632</v>
      </c>
      <c r="F258" s="71">
        <f>'score estimates'!$G258</f>
        <v>258</v>
      </c>
      <c r="G258" s="71" t="s">
        <v>983</v>
      </c>
      <c r="H258" s="72" cm="1">
        <f t="array" aca="1" ref="H25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58" s="96">
        <f ca="1">IF(Table2[[#This Row],[Team]]="FA",0,Table2[[#This Row],[Pts/G]]*(1-Table2[[#This Row],[% Pos Overlap]]))</f>
        <v>19.646341463414632</v>
      </c>
      <c r="J258" s="72" cm="1">
        <f t="array" aca="1" ref="J258" ca="1">(INDIRECT(ADDRESS((_xlfn.XMATCH(Table2[[#This Row],[Team]],Schedule!$A$1:$A$33)),5,1,1,"Sched Overlap")))</f>
        <v>0.62026862026862029</v>
      </c>
      <c r="K258" s="92" cm="1">
        <f t="array" aca="1" ref="K25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58" s="95">
        <f ca="1">IF(Table2[[#This Row],[Team]]="FA",0,Table2[[#This Row],[Pts/G]]*(Table2[[#This Row],[Games Playable]]/82))</f>
        <v>19.646341463414632</v>
      </c>
      <c r="M258" s="95" cm="1">
        <f t="array" aca="1" ref="M258" ca="1">Table2[[#This Row],[Playable x Score]]*_xlfn.IFS(Table2[[#This Row],[Pos]]="D",assumptions!$B$15,Table2[[#This Row],[Pos]]="F", assumptions!$B$14,Table2[[#This Row],[Pos]]="G",assumptions!$B$16)</f>
        <v>19.646341463414632</v>
      </c>
    </row>
    <row r="259" spans="1:13" x14ac:dyDescent="0.3">
      <c r="A259">
        <f>'score estimates'!$A259</f>
        <v>256</v>
      </c>
      <c r="B259" t="str">
        <f>'score estimates'!$B259</f>
        <v>Mathieu Joseph</v>
      </c>
      <c r="C259" t="str">
        <f>'score estimates'!$D259</f>
        <v>F</v>
      </c>
      <c r="D259" t="str">
        <f>'score estimates'!$C259</f>
        <v>OTT</v>
      </c>
      <c r="E259" s="75">
        <f>'score estimates'!$F259</f>
        <v>17.463414634146343</v>
      </c>
      <c r="F259" s="71">
        <f>'score estimates'!$G259</f>
        <v>317</v>
      </c>
      <c r="G259" s="71" t="s">
        <v>983</v>
      </c>
      <c r="H259" s="72" cm="1">
        <f t="array" aca="1" ref="H25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59" s="96">
        <f ca="1">IF(Table2[[#This Row],[Team]]="FA",0,Table2[[#This Row],[Pts/G]]*(1-Table2[[#This Row],[% Pos Overlap]]))</f>
        <v>17.463414634146343</v>
      </c>
      <c r="J259" s="72" cm="1">
        <f t="array" aca="1" ref="J259" ca="1">(INDIRECT(ADDRESS((_xlfn.XMATCH(Table2[[#This Row],[Team]],Schedule!$A$1:$A$33)),5,1,1,"Sched Overlap")))</f>
        <v>0.64306064306064303</v>
      </c>
      <c r="K259" s="92" cm="1">
        <f t="array" aca="1" ref="K25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59" s="95">
        <f ca="1">IF(Table2[[#This Row],[Team]]="FA",0,Table2[[#This Row],[Pts/G]]*(Table2[[#This Row],[Games Playable]]/82))</f>
        <v>17.463414634146343</v>
      </c>
      <c r="M259" s="95" cm="1">
        <f t="array" aca="1" ref="M259" ca="1">Table2[[#This Row],[Playable x Score]]*_xlfn.IFS(Table2[[#This Row],[Pos]]="D",assumptions!$B$15,Table2[[#This Row],[Pos]]="F", assumptions!$B$14,Table2[[#This Row],[Pos]]="G",assumptions!$B$16)</f>
        <v>17.463414634146343</v>
      </c>
    </row>
    <row r="260" spans="1:13" x14ac:dyDescent="0.3">
      <c r="A260">
        <f>'score estimates'!$A260</f>
        <v>257</v>
      </c>
      <c r="B260" t="str">
        <f>'score estimates'!$B260</f>
        <v>Cole Perfetti</v>
      </c>
      <c r="C260" t="str">
        <f>'score estimates'!$D260</f>
        <v>F</v>
      </c>
      <c r="D260" t="str">
        <f>'score estimates'!$C260</f>
        <v>WPG</v>
      </c>
      <c r="E260" s="75">
        <f>'score estimates'!$F260</f>
        <v>15.731707317073171</v>
      </c>
      <c r="F260" s="71">
        <f>'score estimates'!$G260</f>
        <v>372</v>
      </c>
      <c r="G260" s="71" t="s">
        <v>983</v>
      </c>
      <c r="H260" s="72" cm="1">
        <f t="array" aca="1" ref="H26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60" s="96">
        <f ca="1">IF(Table2[[#This Row],[Team]]="FA",0,Table2[[#This Row],[Pts/G]]*(1-Table2[[#This Row],[% Pos Overlap]]))</f>
        <v>15.731707317073171</v>
      </c>
      <c r="J260" s="72" cm="1">
        <f t="array" aca="1" ref="J260" ca="1">(INDIRECT(ADDRESS((_xlfn.XMATCH(Table2[[#This Row],[Team]],Schedule!$A$1:$A$33)),5,1,1,"Sched Overlap")))</f>
        <v>0.61212861212861214</v>
      </c>
      <c r="K260" s="92" cm="1">
        <f t="array" aca="1" ref="K26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60" s="95">
        <f ca="1">IF(Table2[[#This Row],[Team]]="FA",0,Table2[[#This Row],[Pts/G]]*(Table2[[#This Row],[Games Playable]]/82))</f>
        <v>15.731707317073171</v>
      </c>
      <c r="M260" s="95" cm="1">
        <f t="array" aca="1" ref="M260" ca="1">Table2[[#This Row],[Playable x Score]]*_xlfn.IFS(Table2[[#This Row],[Pos]]="D",assumptions!$B$15,Table2[[#This Row],[Pos]]="F", assumptions!$B$14,Table2[[#This Row],[Pos]]="G",assumptions!$B$16)</f>
        <v>15.731707317073171</v>
      </c>
    </row>
    <row r="261" spans="1:13" x14ac:dyDescent="0.3">
      <c r="A261">
        <f>'score estimates'!$A261</f>
        <v>258</v>
      </c>
      <c r="B261" t="str">
        <f>'score estimates'!$B261</f>
        <v>Brendan Gallagher</v>
      </c>
      <c r="C261" t="str">
        <f>'score estimates'!$D261</f>
        <v>F</v>
      </c>
      <c r="D261" t="str">
        <f>'score estimates'!$C261</f>
        <v>MON</v>
      </c>
      <c r="E261" s="75">
        <f>'score estimates'!$F261</f>
        <v>19.402439024390244</v>
      </c>
      <c r="F261" s="71">
        <f>'score estimates'!$G261</f>
        <v>263</v>
      </c>
      <c r="G261" s="71" t="s">
        <v>983</v>
      </c>
      <c r="H261" s="72" cm="1">
        <f t="array" aca="1" ref="H26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61" s="96">
        <f ca="1">IF(Table2[[#This Row],[Team]]="FA",0,Table2[[#This Row],[Pts/G]]*(1-Table2[[#This Row],[% Pos Overlap]]))</f>
        <v>19.402439024390244</v>
      </c>
      <c r="J261" s="72" cm="1">
        <f t="array" aca="1" ref="J261" ca="1">(INDIRECT(ADDRESS((_xlfn.XMATCH(Table2[[#This Row],[Team]],Schedule!$A$1:$A$33)),5,1,1,"Sched Overlap")))</f>
        <v>0.66666666666666685</v>
      </c>
      <c r="K261" s="92" cm="1">
        <f t="array" aca="1" ref="K26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61" s="95">
        <f ca="1">IF(Table2[[#This Row],[Team]]="FA",0,Table2[[#This Row],[Pts/G]]*(Table2[[#This Row],[Games Playable]]/82))</f>
        <v>19.402439024390244</v>
      </c>
      <c r="M261" s="95" cm="1">
        <f t="array" aca="1" ref="M261" ca="1">Table2[[#This Row],[Playable x Score]]*_xlfn.IFS(Table2[[#This Row],[Pos]]="D",assumptions!$B$15,Table2[[#This Row],[Pos]]="F", assumptions!$B$14,Table2[[#This Row],[Pos]]="G",assumptions!$B$16)</f>
        <v>19.402439024390244</v>
      </c>
    </row>
    <row r="262" spans="1:13" x14ac:dyDescent="0.3">
      <c r="A262">
        <f>'score estimates'!$A262</f>
        <v>259</v>
      </c>
      <c r="B262" t="str">
        <f>'score estimates'!$B262</f>
        <v>Mattias Ekholm</v>
      </c>
      <c r="C262" t="str">
        <f>'score estimates'!$D262</f>
        <v>D</v>
      </c>
      <c r="D262" t="str">
        <f>'score estimates'!$C262</f>
        <v>NSH</v>
      </c>
      <c r="E262" s="75">
        <f>'score estimates'!$F262</f>
        <v>21.036585365853657</v>
      </c>
      <c r="F262" s="71">
        <f>'score estimates'!$G262</f>
        <v>222</v>
      </c>
      <c r="G262" s="71" t="s">
        <v>983</v>
      </c>
      <c r="H262" s="72" cm="1">
        <f t="array" aca="1" ref="H26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62" s="96">
        <f ca="1">IF(Table2[[#This Row],[Team]]="FA",0,Table2[[#This Row],[Pts/G]]*(1-Table2[[#This Row],[% Pos Overlap]]))</f>
        <v>21.036585365853657</v>
      </c>
      <c r="J262" s="72" cm="1">
        <f t="array" aca="1" ref="J262" ca="1">(INDIRECT(ADDRESS((_xlfn.XMATCH(Table2[[#This Row],[Team]],Schedule!$A$1:$A$33)),5,1,1,"Sched Overlap")))</f>
        <v>0.67806267806267806</v>
      </c>
      <c r="K262" s="92" cm="1">
        <f t="array" aca="1" ref="K26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62" s="95">
        <f ca="1">IF(Table2[[#This Row],[Team]]="FA",0,Table2[[#This Row],[Pts/G]]*(Table2[[#This Row],[Games Playable]]/82))</f>
        <v>21.036585365853657</v>
      </c>
      <c r="M262" s="95" cm="1">
        <f t="array" aca="1" ref="M262" ca="1">Table2[[#This Row],[Playable x Score]]*_xlfn.IFS(Table2[[#This Row],[Pos]]="D",assumptions!$B$15,Table2[[#This Row],[Pos]]="F", assumptions!$B$14,Table2[[#This Row],[Pos]]="G",assumptions!$B$16)</f>
        <v>26.295731707317071</v>
      </c>
    </row>
    <row r="263" spans="1:13" x14ac:dyDescent="0.3">
      <c r="A263">
        <f>'score estimates'!$A263</f>
        <v>260</v>
      </c>
      <c r="B263" t="str">
        <f>'score estimates'!$B263</f>
        <v>Marcus Foligno</v>
      </c>
      <c r="C263" t="str">
        <f>'score estimates'!$D263</f>
        <v>F</v>
      </c>
      <c r="D263" t="str">
        <f>'score estimates'!$C263</f>
        <v>MIN</v>
      </c>
      <c r="E263" s="75">
        <f>'score estimates'!$F263</f>
        <v>24.402439024390244</v>
      </c>
      <c r="F263" s="71">
        <f>'score estimates'!$G263</f>
        <v>166</v>
      </c>
      <c r="G263" s="71" t="s">
        <v>983</v>
      </c>
      <c r="H263" s="72" cm="1">
        <f t="array" aca="1" ref="H26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63" s="96">
        <f ca="1">IF(Table2[[#This Row],[Team]]="FA",0,Table2[[#This Row],[Pts/G]]*(1-Table2[[#This Row],[% Pos Overlap]]))</f>
        <v>24.402439024390244</v>
      </c>
      <c r="J263" s="72" cm="1">
        <f t="array" aca="1" ref="J263" ca="1">(INDIRECT(ADDRESS((_xlfn.XMATCH(Table2[[#This Row],[Team]],Schedule!$A$1:$A$33)),5,1,1,"Sched Overlap")))</f>
        <v>0.62108262108262113</v>
      </c>
      <c r="K263" s="92" cm="1">
        <f t="array" aca="1" ref="K26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63" s="95">
        <f ca="1">IF(Table2[[#This Row],[Team]]="FA",0,Table2[[#This Row],[Pts/G]]*(Table2[[#This Row],[Games Playable]]/82))</f>
        <v>24.402439024390244</v>
      </c>
      <c r="M263" s="95" cm="1">
        <f t="array" aca="1" ref="M263" ca="1">Table2[[#This Row],[Playable x Score]]*_xlfn.IFS(Table2[[#This Row],[Pos]]="D",assumptions!$B$15,Table2[[#This Row],[Pos]]="F", assumptions!$B$14,Table2[[#This Row],[Pos]]="G",assumptions!$B$16)</f>
        <v>24.402439024390244</v>
      </c>
    </row>
    <row r="264" spans="1:13" x14ac:dyDescent="0.3">
      <c r="A264">
        <f>'score estimates'!$A264</f>
        <v>261</v>
      </c>
      <c r="B264" t="str">
        <f>'score estimates'!$B264</f>
        <v>Nick Paul</v>
      </c>
      <c r="C264" t="str">
        <f>'score estimates'!$D264</f>
        <v>F</v>
      </c>
      <c r="D264" t="str">
        <f>'score estimates'!$C264</f>
        <v>TB</v>
      </c>
      <c r="E264" s="75">
        <f>'score estimates'!$F264</f>
        <v>19.963414634146343</v>
      </c>
      <c r="F264" s="71">
        <f>'score estimates'!$G264</f>
        <v>251</v>
      </c>
      <c r="G264" s="71" t="s">
        <v>983</v>
      </c>
      <c r="H264" s="72" cm="1">
        <f t="array" aca="1" ref="H26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64" s="96">
        <f ca="1">IF(Table2[[#This Row],[Team]]="FA",0,Table2[[#This Row],[Pts/G]]*(1-Table2[[#This Row],[% Pos Overlap]]))</f>
        <v>19.963414634146343</v>
      </c>
      <c r="J264" s="72" cm="1">
        <f t="array" aca="1" ref="J264" ca="1">(INDIRECT(ADDRESS((_xlfn.XMATCH(Table2[[#This Row],[Team]],Schedule!$A$1:$A$33)),5,1,1,"Sched Overlap")))</f>
        <v>0.66422466422466431</v>
      </c>
      <c r="K264" s="92" cm="1">
        <f t="array" aca="1" ref="K26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64" s="95">
        <f ca="1">IF(Table2[[#This Row],[Team]]="FA",0,Table2[[#This Row],[Pts/G]]*(Table2[[#This Row],[Games Playable]]/82))</f>
        <v>19.963414634146343</v>
      </c>
      <c r="M264" s="95" cm="1">
        <f t="array" aca="1" ref="M264" ca="1">Table2[[#This Row],[Playable x Score]]*_xlfn.IFS(Table2[[#This Row],[Pos]]="D",assumptions!$B$15,Table2[[#This Row],[Pos]]="F", assumptions!$B$14,Table2[[#This Row],[Pos]]="G",assumptions!$B$16)</f>
        <v>19.963414634146343</v>
      </c>
    </row>
    <row r="265" spans="1:13" x14ac:dyDescent="0.3">
      <c r="A265">
        <f>'score estimates'!$A265</f>
        <v>262</v>
      </c>
      <c r="B265" t="str">
        <f>'score estimates'!$B265</f>
        <v>Gustav Forsling</v>
      </c>
      <c r="C265" t="str">
        <f>'score estimates'!$D265</f>
        <v>D</v>
      </c>
      <c r="D265" t="str">
        <f>'score estimates'!$C265</f>
        <v>FLA</v>
      </c>
      <c r="E265" s="75">
        <f>'score estimates'!$F265</f>
        <v>21.487804878048781</v>
      </c>
      <c r="F265" s="71">
        <f>'score estimates'!$G265</f>
        <v>211</v>
      </c>
      <c r="G265" s="71" t="s">
        <v>983</v>
      </c>
      <c r="H265" s="72" cm="1">
        <f t="array" aca="1" ref="H26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65" s="96">
        <f ca="1">IF(Table2[[#This Row],[Team]]="FA",0,Table2[[#This Row],[Pts/G]]*(1-Table2[[#This Row],[% Pos Overlap]]))</f>
        <v>21.487804878048781</v>
      </c>
      <c r="J265" s="72" cm="1">
        <f t="array" aca="1" ref="J265" ca="1">(INDIRECT(ADDRESS((_xlfn.XMATCH(Table2[[#This Row],[Team]],Schedule!$A$1:$A$33)),5,1,1,"Sched Overlap")))</f>
        <v>0.64387464387464377</v>
      </c>
      <c r="K265" s="92" cm="1">
        <f t="array" aca="1" ref="K26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65" s="95">
        <f ca="1">IF(Table2[[#This Row],[Team]]="FA",0,Table2[[#This Row],[Pts/G]]*(Table2[[#This Row],[Games Playable]]/82))</f>
        <v>21.487804878048781</v>
      </c>
      <c r="M265" s="95" cm="1">
        <f t="array" aca="1" ref="M265" ca="1">Table2[[#This Row],[Playable x Score]]*_xlfn.IFS(Table2[[#This Row],[Pos]]="D",assumptions!$B$15,Table2[[#This Row],[Pos]]="F", assumptions!$B$14,Table2[[#This Row],[Pos]]="G",assumptions!$B$16)</f>
        <v>26.859756097560975</v>
      </c>
    </row>
    <row r="266" spans="1:13" x14ac:dyDescent="0.3">
      <c r="A266">
        <f>'score estimates'!$A266</f>
        <v>263</v>
      </c>
      <c r="B266" t="str">
        <f>'score estimates'!$B266</f>
        <v>Colton Parayko</v>
      </c>
      <c r="C266" t="str">
        <f>'score estimates'!$D266</f>
        <v>D</v>
      </c>
      <c r="D266" t="str">
        <f>'score estimates'!$C266</f>
        <v>STL</v>
      </c>
      <c r="E266" s="75">
        <f>'score estimates'!$F266</f>
        <v>21.158536585365855</v>
      </c>
      <c r="F266" s="71">
        <f>'score estimates'!$G266</f>
        <v>218</v>
      </c>
      <c r="G266" s="71" t="s">
        <v>983</v>
      </c>
      <c r="H266" s="72" cm="1">
        <f t="array" aca="1" ref="H26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66" s="96">
        <f ca="1">IF(Table2[[#This Row],[Team]]="FA",0,Table2[[#This Row],[Pts/G]]*(1-Table2[[#This Row],[% Pos Overlap]]))</f>
        <v>21.158536585365855</v>
      </c>
      <c r="J266" s="72" cm="1">
        <f t="array" aca="1" ref="J266" ca="1">(INDIRECT(ADDRESS((_xlfn.XMATCH(Table2[[#This Row],[Team]],Schedule!$A$1:$A$33)),5,1,1,"Sched Overlap")))</f>
        <v>0.65120065120065118</v>
      </c>
      <c r="K266" s="92" cm="1">
        <f t="array" aca="1" ref="K26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66" s="95">
        <f ca="1">IF(Table2[[#This Row],[Team]]="FA",0,Table2[[#This Row],[Pts/G]]*(Table2[[#This Row],[Games Playable]]/82))</f>
        <v>21.158536585365855</v>
      </c>
      <c r="M266" s="95" cm="1">
        <f t="array" aca="1" ref="M266" ca="1">Table2[[#This Row],[Playable x Score]]*_xlfn.IFS(Table2[[#This Row],[Pos]]="D",assumptions!$B$15,Table2[[#This Row],[Pos]]="F", assumptions!$B$14,Table2[[#This Row],[Pos]]="G",assumptions!$B$16)</f>
        <v>26.448170731707318</v>
      </c>
    </row>
    <row r="267" spans="1:13" x14ac:dyDescent="0.3">
      <c r="A267">
        <f>'score estimates'!$A267</f>
        <v>264</v>
      </c>
      <c r="B267" t="str">
        <f>'score estimates'!$B267</f>
        <v>Lawson Crouse</v>
      </c>
      <c r="C267" t="str">
        <f>'score estimates'!$D267</f>
        <v>F</v>
      </c>
      <c r="D267" t="str">
        <f>'score estimates'!$C267</f>
        <v>ARI</v>
      </c>
      <c r="E267" s="75">
        <f>'score estimates'!$F267</f>
        <v>19.219512195121951</v>
      </c>
      <c r="F267" s="71">
        <f>'score estimates'!$G267</f>
        <v>271</v>
      </c>
      <c r="G267" s="71" t="s">
        <v>983</v>
      </c>
      <c r="H267" s="72" cm="1">
        <f t="array" aca="1" ref="H26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67" s="96">
        <f ca="1">IF(Table2[[#This Row],[Team]]="FA",0,Table2[[#This Row],[Pts/G]]*(1-Table2[[#This Row],[% Pos Overlap]]))</f>
        <v>19.219512195121951</v>
      </c>
      <c r="J267" s="72" cm="1">
        <f t="array" aca="1" ref="J267" ca="1">(INDIRECT(ADDRESS((_xlfn.XMATCH(Table2[[#This Row],[Team]],Schedule!$A$1:$A$33)),5,1,1,"Sched Overlap")))</f>
        <v>0.63247863247863279</v>
      </c>
      <c r="K267" s="92" cm="1">
        <f t="array" aca="1" ref="K26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67" s="95">
        <f ca="1">IF(Table2[[#This Row],[Team]]="FA",0,Table2[[#This Row],[Pts/G]]*(Table2[[#This Row],[Games Playable]]/82))</f>
        <v>19.219512195121951</v>
      </c>
      <c r="M267" s="95" cm="1">
        <f t="array" aca="1" ref="M267" ca="1">Table2[[#This Row],[Playable x Score]]*_xlfn.IFS(Table2[[#This Row],[Pos]]="D",assumptions!$B$15,Table2[[#This Row],[Pos]]="F", assumptions!$B$14,Table2[[#This Row],[Pos]]="G",assumptions!$B$16)</f>
        <v>19.219512195121951</v>
      </c>
    </row>
    <row r="268" spans="1:13" x14ac:dyDescent="0.3">
      <c r="A268">
        <f>'score estimates'!$A268</f>
        <v>265</v>
      </c>
      <c r="B268" t="str">
        <f>'score estimates'!$B268</f>
        <v>Kasperi Kapanen</v>
      </c>
      <c r="C268" t="str">
        <f>'score estimates'!$D268</f>
        <v>F</v>
      </c>
      <c r="D268" t="str">
        <f>'score estimates'!$C268</f>
        <v>PIT</v>
      </c>
      <c r="E268" s="75">
        <f>'score estimates'!$F268</f>
        <v>16.658536585365855</v>
      </c>
      <c r="F268" s="71">
        <f>'score estimates'!$G268</f>
        <v>337</v>
      </c>
      <c r="G268" s="71" t="s">
        <v>983</v>
      </c>
      <c r="H268" s="72" cm="1">
        <f t="array" aca="1" ref="H26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68" s="96">
        <f ca="1">IF(Table2[[#This Row],[Team]]="FA",0,Table2[[#This Row],[Pts/G]]*(1-Table2[[#This Row],[% Pos Overlap]]))</f>
        <v>16.658536585365855</v>
      </c>
      <c r="J268" s="72" cm="1">
        <f t="array" aca="1" ref="J268" ca="1">(INDIRECT(ADDRESS((_xlfn.XMATCH(Table2[[#This Row],[Team]],Schedule!$A$1:$A$33)),5,1,1,"Sched Overlap")))</f>
        <v>0.63492063492063477</v>
      </c>
      <c r="K268" s="92" cm="1">
        <f t="array" aca="1" ref="K26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68" s="95">
        <f ca="1">IF(Table2[[#This Row],[Team]]="FA",0,Table2[[#This Row],[Pts/G]]*(Table2[[#This Row],[Games Playable]]/82))</f>
        <v>16.658536585365855</v>
      </c>
      <c r="M268" s="95" cm="1">
        <f t="array" aca="1" ref="M268" ca="1">Table2[[#This Row],[Playable x Score]]*_xlfn.IFS(Table2[[#This Row],[Pos]]="D",assumptions!$B$15,Table2[[#This Row],[Pos]]="F", assumptions!$B$14,Table2[[#This Row],[Pos]]="G",assumptions!$B$16)</f>
        <v>16.658536585365855</v>
      </c>
    </row>
    <row r="269" spans="1:13" x14ac:dyDescent="0.3">
      <c r="A269">
        <f>'score estimates'!$A269</f>
        <v>266</v>
      </c>
      <c r="B269" t="str">
        <f>'score estimates'!$B269</f>
        <v>Tom Wilson</v>
      </c>
      <c r="C269" t="str">
        <f>'score estimates'!$D269</f>
        <v>F</v>
      </c>
      <c r="D269" t="str">
        <f>'score estimates'!$C269</f>
        <v>WAS</v>
      </c>
      <c r="E269" s="75">
        <f>'score estimates'!$F269</f>
        <v>20.951219512195124</v>
      </c>
      <c r="F269" s="71">
        <f>'score estimates'!$G269</f>
        <v>225</v>
      </c>
      <c r="G269" s="71" t="s">
        <v>983</v>
      </c>
      <c r="H269" s="72" cm="1">
        <f t="array" aca="1" ref="H26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69" s="96">
        <f ca="1">IF(Table2[[#This Row],[Team]]="FA",0,Table2[[#This Row],[Pts/G]]*(1-Table2[[#This Row],[% Pos Overlap]]))</f>
        <v>20.951219512195124</v>
      </c>
      <c r="J269" s="72" cm="1">
        <f t="array" aca="1" ref="J269" ca="1">(INDIRECT(ADDRESS((_xlfn.XMATCH(Table2[[#This Row],[Team]],Schedule!$A$1:$A$33)),5,1,1,"Sched Overlap")))</f>
        <v>0.65282865282865288</v>
      </c>
      <c r="K269" s="92" cm="1">
        <f t="array" aca="1" ref="K26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69" s="95">
        <f ca="1">IF(Table2[[#This Row],[Team]]="FA",0,Table2[[#This Row],[Pts/G]]*(Table2[[#This Row],[Games Playable]]/82))</f>
        <v>20.951219512195124</v>
      </c>
      <c r="M269" s="95" cm="1">
        <f t="array" aca="1" ref="M269" ca="1">Table2[[#This Row],[Playable x Score]]*_xlfn.IFS(Table2[[#This Row],[Pos]]="D",assumptions!$B$15,Table2[[#This Row],[Pos]]="F", assumptions!$B$14,Table2[[#This Row],[Pos]]="G",assumptions!$B$16)</f>
        <v>20.951219512195124</v>
      </c>
    </row>
    <row r="270" spans="1:13" x14ac:dyDescent="0.3">
      <c r="A270">
        <f>'score estimates'!$A270</f>
        <v>267</v>
      </c>
      <c r="B270" t="str">
        <f>'score estimates'!$B270</f>
        <v>J.T. Compher</v>
      </c>
      <c r="C270" t="str">
        <f>'score estimates'!$D270</f>
        <v>F</v>
      </c>
      <c r="D270" t="str">
        <f>'score estimates'!$C270</f>
        <v>COL</v>
      </c>
      <c r="E270" s="75">
        <f>'score estimates'!$F270</f>
        <v>18.048780487804876</v>
      </c>
      <c r="F270" s="71">
        <f>'score estimates'!$G270</f>
        <v>298</v>
      </c>
      <c r="G270" s="71" t="s">
        <v>983</v>
      </c>
      <c r="H270" s="72" cm="1">
        <f t="array" aca="1" ref="H27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70" s="96">
        <f ca="1">IF(Table2[[#This Row],[Team]]="FA",0,Table2[[#This Row],[Pts/G]]*(1-Table2[[#This Row],[% Pos Overlap]]))</f>
        <v>18.048780487804876</v>
      </c>
      <c r="J270" s="72" cm="1">
        <f t="array" aca="1" ref="J270" ca="1">(INDIRECT(ADDRESS((_xlfn.XMATCH(Table2[[#This Row],[Team]],Schedule!$A$1:$A$33)),5,1,1,"Sched Overlap")))</f>
        <v>0.61131461131461151</v>
      </c>
      <c r="K270" s="92" cm="1">
        <f t="array" aca="1" ref="K27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70" s="95">
        <f ca="1">IF(Table2[[#This Row],[Team]]="FA",0,Table2[[#This Row],[Pts/G]]*(Table2[[#This Row],[Games Playable]]/82))</f>
        <v>18.048780487804876</v>
      </c>
      <c r="M270" s="95" cm="1">
        <f t="array" aca="1" ref="M270" ca="1">Table2[[#This Row],[Playable x Score]]*_xlfn.IFS(Table2[[#This Row],[Pos]]="D",assumptions!$B$15,Table2[[#This Row],[Pos]]="F", assumptions!$B$14,Table2[[#This Row],[Pos]]="G",assumptions!$B$16)</f>
        <v>18.048780487804876</v>
      </c>
    </row>
    <row r="271" spans="1:13" x14ac:dyDescent="0.3">
      <c r="A271">
        <f>'score estimates'!$A271</f>
        <v>268</v>
      </c>
      <c r="B271" t="str">
        <f>'score estimates'!$B271</f>
        <v>Anthony Duclair</v>
      </c>
      <c r="C271" t="str">
        <f>'score estimates'!$D271</f>
        <v>F</v>
      </c>
      <c r="D271" t="str">
        <f>'score estimates'!$C271</f>
        <v>FLA</v>
      </c>
      <c r="E271" s="75">
        <f>'score estimates'!$F271</f>
        <v>16.902439024390244</v>
      </c>
      <c r="F271" s="71">
        <f>'score estimates'!$G271</f>
        <v>332</v>
      </c>
      <c r="G271" s="71" t="s">
        <v>983</v>
      </c>
      <c r="H271" s="72" cm="1">
        <f t="array" aca="1" ref="H27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71" s="96">
        <f ca="1">IF(Table2[[#This Row],[Team]]="FA",0,Table2[[#This Row],[Pts/G]]*(1-Table2[[#This Row],[% Pos Overlap]]))</f>
        <v>16.902439024390244</v>
      </c>
      <c r="J271" s="72" cm="1">
        <f t="array" aca="1" ref="J271" ca="1">(INDIRECT(ADDRESS((_xlfn.XMATCH(Table2[[#This Row],[Team]],Schedule!$A$1:$A$33)),5,1,1,"Sched Overlap")))</f>
        <v>0.64387464387464377</v>
      </c>
      <c r="K271" s="92" cm="1">
        <f t="array" aca="1" ref="K27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71" s="95">
        <f ca="1">IF(Table2[[#This Row],[Team]]="FA",0,Table2[[#This Row],[Pts/G]]*(Table2[[#This Row],[Games Playable]]/82))</f>
        <v>16.902439024390244</v>
      </c>
      <c r="M271" s="95" cm="1">
        <f t="array" aca="1" ref="M271" ca="1">Table2[[#This Row],[Playable x Score]]*_xlfn.IFS(Table2[[#This Row],[Pos]]="D",assumptions!$B$15,Table2[[#This Row],[Pos]]="F", assumptions!$B$14,Table2[[#This Row],[Pos]]="G",assumptions!$B$16)</f>
        <v>16.902439024390244</v>
      </c>
    </row>
    <row r="272" spans="1:13" x14ac:dyDescent="0.3">
      <c r="A272">
        <f>'score estimates'!$A272</f>
        <v>269</v>
      </c>
      <c r="B272" t="str">
        <f>'score estimates'!$B272</f>
        <v>Blake Coleman</v>
      </c>
      <c r="C272" t="str">
        <f>'score estimates'!$D272</f>
        <v>F</v>
      </c>
      <c r="D272" t="str">
        <f>'score estimates'!$C272</f>
        <v>CGY</v>
      </c>
      <c r="E272" s="75">
        <f>'score estimates'!$F272</f>
        <v>22.890243902439025</v>
      </c>
      <c r="F272" s="71">
        <f>'score estimates'!$G272</f>
        <v>186</v>
      </c>
      <c r="G272" s="71" t="s">
        <v>983</v>
      </c>
      <c r="H272" s="72" cm="1">
        <f t="array" aca="1" ref="H27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72" s="96">
        <f ca="1">IF(Table2[[#This Row],[Team]]="FA",0,Table2[[#This Row],[Pts/G]]*(1-Table2[[#This Row],[% Pos Overlap]]))</f>
        <v>22.890243902439025</v>
      </c>
      <c r="J272" s="72" cm="1">
        <f t="array" aca="1" ref="J272" ca="1">(INDIRECT(ADDRESS((_xlfn.XMATCH(Table2[[#This Row],[Team]],Schedule!$A$1:$A$33)),5,1,1,"Sched Overlap")))</f>
        <v>0.63003663003663002</v>
      </c>
      <c r="K272" s="92" cm="1">
        <f t="array" aca="1" ref="K27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72" s="95">
        <f ca="1">IF(Table2[[#This Row],[Team]]="FA",0,Table2[[#This Row],[Pts/G]]*(Table2[[#This Row],[Games Playable]]/82))</f>
        <v>22.890243902439025</v>
      </c>
      <c r="M272" s="95" cm="1">
        <f t="array" aca="1" ref="M272" ca="1">Table2[[#This Row],[Playable x Score]]*_xlfn.IFS(Table2[[#This Row],[Pos]]="D",assumptions!$B$15,Table2[[#This Row],[Pos]]="F", assumptions!$B$14,Table2[[#This Row],[Pos]]="G",assumptions!$B$16)</f>
        <v>22.890243902439025</v>
      </c>
    </row>
    <row r="273" spans="1:13" x14ac:dyDescent="0.3">
      <c r="A273">
        <f>'score estimates'!$A273</f>
        <v>270</v>
      </c>
      <c r="B273" t="str">
        <f>'score estimates'!$B273</f>
        <v>Tomas Tatar</v>
      </c>
      <c r="C273" t="str">
        <f>'score estimates'!$D273</f>
        <v>F</v>
      </c>
      <c r="D273" t="str">
        <f>'score estimates'!$C273</f>
        <v>NJ</v>
      </c>
      <c r="E273" s="75">
        <f>'score estimates'!$F273</f>
        <v>14.292682926829269</v>
      </c>
      <c r="F273" s="71">
        <f>'score estimates'!$G273</f>
        <v>413</v>
      </c>
      <c r="G273" s="71" t="s">
        <v>983</v>
      </c>
      <c r="H273" s="72" cm="1">
        <f t="array" aca="1" ref="H27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73" s="96">
        <f ca="1">IF(Table2[[#This Row],[Team]]="FA",0,Table2[[#This Row],[Pts/G]]*(1-Table2[[#This Row],[% Pos Overlap]]))</f>
        <v>14.292682926829269</v>
      </c>
      <c r="J273" s="72" cm="1">
        <f t="array" aca="1" ref="J273" ca="1">(INDIRECT(ADDRESS((_xlfn.XMATCH(Table2[[#This Row],[Team]],Schedule!$A$1:$A$33)),5,1,1,"Sched Overlap")))</f>
        <v>0.66259666259666272</v>
      </c>
      <c r="K273" s="92" cm="1">
        <f t="array" aca="1" ref="K27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73" s="95">
        <f ca="1">IF(Table2[[#This Row],[Team]]="FA",0,Table2[[#This Row],[Pts/G]]*(Table2[[#This Row],[Games Playable]]/82))</f>
        <v>14.292682926829269</v>
      </c>
      <c r="M273" s="95" cm="1">
        <f t="array" aca="1" ref="M273" ca="1">Table2[[#This Row],[Playable x Score]]*_xlfn.IFS(Table2[[#This Row],[Pos]]="D",assumptions!$B$15,Table2[[#This Row],[Pos]]="F", assumptions!$B$14,Table2[[#This Row],[Pos]]="G",assumptions!$B$16)</f>
        <v>14.292682926829269</v>
      </c>
    </row>
    <row r="274" spans="1:13" x14ac:dyDescent="0.3">
      <c r="A274">
        <f>'score estimates'!$A274</f>
        <v>271</v>
      </c>
      <c r="B274" t="str">
        <f>'score estimates'!$B274</f>
        <v>Dmitry Orlov</v>
      </c>
      <c r="C274" t="str">
        <f>'score estimates'!$D274</f>
        <v>D</v>
      </c>
      <c r="D274" t="str">
        <f>'score estimates'!$C274</f>
        <v>WAS</v>
      </c>
      <c r="E274" s="75">
        <f>'score estimates'!$F274</f>
        <v>21.792682926829269</v>
      </c>
      <c r="F274" s="71">
        <f>'score estimates'!$G274</f>
        <v>204</v>
      </c>
      <c r="G274" s="71" t="s">
        <v>983</v>
      </c>
      <c r="H274" s="72" cm="1">
        <f t="array" aca="1" ref="H27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74" s="96">
        <f ca="1">IF(Table2[[#This Row],[Team]]="FA",0,Table2[[#This Row],[Pts/G]]*(1-Table2[[#This Row],[% Pos Overlap]]))</f>
        <v>21.792682926829269</v>
      </c>
      <c r="J274" s="72" cm="1">
        <f t="array" aca="1" ref="J274" ca="1">(INDIRECT(ADDRESS((_xlfn.XMATCH(Table2[[#This Row],[Team]],Schedule!$A$1:$A$33)),5,1,1,"Sched Overlap")))</f>
        <v>0.65282865282865288</v>
      </c>
      <c r="K274" s="92" cm="1">
        <f t="array" aca="1" ref="K27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74" s="95">
        <f ca="1">IF(Table2[[#This Row],[Team]]="FA",0,Table2[[#This Row],[Pts/G]]*(Table2[[#This Row],[Games Playable]]/82))</f>
        <v>21.792682926829269</v>
      </c>
      <c r="M274" s="95" cm="1">
        <f t="array" aca="1" ref="M274" ca="1">Table2[[#This Row],[Playable x Score]]*_xlfn.IFS(Table2[[#This Row],[Pos]]="D",assumptions!$B$15,Table2[[#This Row],[Pos]]="F", assumptions!$B$14,Table2[[#This Row],[Pos]]="G",assumptions!$B$16)</f>
        <v>27.240853658536587</v>
      </c>
    </row>
    <row r="275" spans="1:13" x14ac:dyDescent="0.3">
      <c r="A275">
        <f>'score estimates'!$A275</f>
        <v>272</v>
      </c>
      <c r="B275" t="str">
        <f>'score estimates'!$B275</f>
        <v>Corey Perry</v>
      </c>
      <c r="C275" t="str">
        <f>'score estimates'!$D275</f>
        <v>F</v>
      </c>
      <c r="D275" t="str">
        <f>'score estimates'!$C275</f>
        <v>TB</v>
      </c>
      <c r="E275" s="75">
        <f>'score estimates'!$F275</f>
        <v>19.182926829268293</v>
      </c>
      <c r="F275" s="71">
        <f>'score estimates'!$G275</f>
        <v>272</v>
      </c>
      <c r="G275" s="71" t="s">
        <v>983</v>
      </c>
      <c r="H275" s="72" cm="1">
        <f t="array" aca="1" ref="H27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75" s="96">
        <f ca="1">IF(Table2[[#This Row],[Team]]="FA",0,Table2[[#This Row],[Pts/G]]*(1-Table2[[#This Row],[% Pos Overlap]]))</f>
        <v>19.182926829268293</v>
      </c>
      <c r="J275" s="72" cm="1">
        <f t="array" aca="1" ref="J275" ca="1">(INDIRECT(ADDRESS((_xlfn.XMATCH(Table2[[#This Row],[Team]],Schedule!$A$1:$A$33)),5,1,1,"Sched Overlap")))</f>
        <v>0.66422466422466431</v>
      </c>
      <c r="K275" s="92" cm="1">
        <f t="array" aca="1" ref="K27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75" s="95">
        <f ca="1">IF(Table2[[#This Row],[Team]]="FA",0,Table2[[#This Row],[Pts/G]]*(Table2[[#This Row],[Games Playable]]/82))</f>
        <v>19.182926829268293</v>
      </c>
      <c r="M275" s="95" cm="1">
        <f t="array" aca="1" ref="M275" ca="1">Table2[[#This Row],[Playable x Score]]*_xlfn.IFS(Table2[[#This Row],[Pos]]="D",assumptions!$B$15,Table2[[#This Row],[Pos]]="F", assumptions!$B$14,Table2[[#This Row],[Pos]]="G",assumptions!$B$16)</f>
        <v>19.182926829268293</v>
      </c>
    </row>
    <row r="276" spans="1:13" x14ac:dyDescent="0.3">
      <c r="A276">
        <f>'score estimates'!$A276</f>
        <v>273</v>
      </c>
      <c r="B276" t="str">
        <f>'score estimates'!$B276</f>
        <v>Mark Giordano</v>
      </c>
      <c r="C276" t="str">
        <f>'score estimates'!$D276</f>
        <v>D</v>
      </c>
      <c r="D276" t="str">
        <f>'score estimates'!$C276</f>
        <v>TOR</v>
      </c>
      <c r="E276" s="75">
        <f>'score estimates'!$F276</f>
        <v>20.951219512195124</v>
      </c>
      <c r="F276" s="71">
        <f>'score estimates'!$G276</f>
        <v>225</v>
      </c>
      <c r="G276" s="71" t="s">
        <v>983</v>
      </c>
      <c r="H276" s="72" cm="1">
        <f t="array" aca="1" ref="H27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76" s="96">
        <f ca="1">IF(Table2[[#This Row],[Team]]="FA",0,Table2[[#This Row],[Pts/G]]*(1-Table2[[#This Row],[% Pos Overlap]]))</f>
        <v>20.951219512195124</v>
      </c>
      <c r="J276" s="72" cm="1">
        <f t="array" aca="1" ref="J276" ca="1">(INDIRECT(ADDRESS((_xlfn.XMATCH(Table2[[#This Row],[Team]],Schedule!$A$1:$A$33)),5,1,1,"Sched Overlap")))</f>
        <v>0.62922262922262928</v>
      </c>
      <c r="K276" s="92" cm="1">
        <f t="array" aca="1" ref="K27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76" s="95">
        <f ca="1">IF(Table2[[#This Row],[Team]]="FA",0,Table2[[#This Row],[Pts/G]]*(Table2[[#This Row],[Games Playable]]/82))</f>
        <v>20.951219512195124</v>
      </c>
      <c r="M276" s="95" cm="1">
        <f t="array" aca="1" ref="M276" ca="1">Table2[[#This Row],[Playable x Score]]*_xlfn.IFS(Table2[[#This Row],[Pos]]="D",assumptions!$B$15,Table2[[#This Row],[Pos]]="F", assumptions!$B$14,Table2[[#This Row],[Pos]]="G",assumptions!$B$16)</f>
        <v>26.189024390243905</v>
      </c>
    </row>
    <row r="277" spans="1:13" x14ac:dyDescent="0.3">
      <c r="A277">
        <f>'score estimates'!$A277</f>
        <v>274</v>
      </c>
      <c r="B277" t="str">
        <f>'score estimates'!$B277</f>
        <v>Jesperi Kotkaniemi</v>
      </c>
      <c r="C277" t="str">
        <f>'score estimates'!$D277</f>
        <v>F</v>
      </c>
      <c r="D277" t="str">
        <f>'score estimates'!$C277</f>
        <v>CAR</v>
      </c>
      <c r="E277" s="75">
        <f>'score estimates'!$F277</f>
        <v>16.682926829268293</v>
      </c>
      <c r="F277" s="71">
        <f>'score estimates'!$G277</f>
        <v>336</v>
      </c>
      <c r="G277" s="71" t="s">
        <v>983</v>
      </c>
      <c r="H277" s="72" cm="1">
        <f t="array" aca="1" ref="H27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77" s="96">
        <f ca="1">IF(Table2[[#This Row],[Team]]="FA",0,Table2[[#This Row],[Pts/G]]*(1-Table2[[#This Row],[% Pos Overlap]]))</f>
        <v>16.682926829268293</v>
      </c>
      <c r="J277" s="72" cm="1">
        <f t="array" aca="1" ref="J277" ca="1">(INDIRECT(ADDRESS((_xlfn.XMATCH(Table2[[#This Row],[Team]],Schedule!$A$1:$A$33)),5,1,1,"Sched Overlap")))</f>
        <v>0.63247863247863245</v>
      </c>
      <c r="K277" s="92" cm="1">
        <f t="array" aca="1" ref="K27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77" s="95">
        <f ca="1">IF(Table2[[#This Row],[Team]]="FA",0,Table2[[#This Row],[Pts/G]]*(Table2[[#This Row],[Games Playable]]/82))</f>
        <v>16.682926829268293</v>
      </c>
      <c r="M277" s="95" cm="1">
        <f t="array" aca="1" ref="M277" ca="1">Table2[[#This Row],[Playable x Score]]*_xlfn.IFS(Table2[[#This Row],[Pos]]="D",assumptions!$B$15,Table2[[#This Row],[Pos]]="F", assumptions!$B$14,Table2[[#This Row],[Pos]]="G",assumptions!$B$16)</f>
        <v>16.682926829268293</v>
      </c>
    </row>
    <row r="278" spans="1:13" x14ac:dyDescent="0.3">
      <c r="A278">
        <f>'score estimates'!$A278</f>
        <v>275</v>
      </c>
      <c r="B278" t="str">
        <f>'score estimates'!$B278</f>
        <v>Ondrej Kase</v>
      </c>
      <c r="C278" t="str">
        <f>'score estimates'!$D278</f>
        <v>F</v>
      </c>
      <c r="D278" t="str">
        <f>'score estimates'!$C278</f>
        <v>CAR</v>
      </c>
      <c r="E278" s="75">
        <f>'score estimates'!$F278</f>
        <v>17.317073170731707</v>
      </c>
      <c r="F278" s="71">
        <f>'score estimates'!$G278</f>
        <v>324</v>
      </c>
      <c r="G278" s="71" t="s">
        <v>983</v>
      </c>
      <c r="H278" s="72" cm="1">
        <f t="array" aca="1" ref="H27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78" s="96">
        <f ca="1">IF(Table2[[#This Row],[Team]]="FA",0,Table2[[#This Row],[Pts/G]]*(1-Table2[[#This Row],[% Pos Overlap]]))</f>
        <v>17.317073170731707</v>
      </c>
      <c r="J278" s="72" cm="1">
        <f t="array" aca="1" ref="J278" ca="1">(INDIRECT(ADDRESS((_xlfn.XMATCH(Table2[[#This Row],[Team]],Schedule!$A$1:$A$33)),5,1,1,"Sched Overlap")))</f>
        <v>0.63247863247863245</v>
      </c>
      <c r="K278" s="92" cm="1">
        <f t="array" aca="1" ref="K27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78" s="95">
        <f ca="1">IF(Table2[[#This Row],[Team]]="FA",0,Table2[[#This Row],[Pts/G]]*(Table2[[#This Row],[Games Playable]]/82))</f>
        <v>17.317073170731707</v>
      </c>
      <c r="M278" s="95" cm="1">
        <f t="array" aca="1" ref="M278" ca="1">Table2[[#This Row],[Playable x Score]]*_xlfn.IFS(Table2[[#This Row],[Pos]]="D",assumptions!$B$15,Table2[[#This Row],[Pos]]="F", assumptions!$B$14,Table2[[#This Row],[Pos]]="G",assumptions!$B$16)</f>
        <v>17.317073170731707</v>
      </c>
    </row>
    <row r="279" spans="1:13" x14ac:dyDescent="0.3">
      <c r="A279">
        <f>'score estimates'!$A279</f>
        <v>276</v>
      </c>
      <c r="B279" t="str">
        <f>'score estimates'!$B279</f>
        <v>Andreas Johnsson</v>
      </c>
      <c r="C279" t="str">
        <f>'score estimates'!$D279</f>
        <v>F</v>
      </c>
      <c r="D279" t="str">
        <f>'score estimates'!$C279</f>
        <v>NJ</v>
      </c>
      <c r="E279" s="75">
        <f>'score estimates'!$F279</f>
        <v>15.609756097560975</v>
      </c>
      <c r="F279" s="71">
        <f>'score estimates'!$G279</f>
        <v>374</v>
      </c>
      <c r="G279" s="71" t="s">
        <v>983</v>
      </c>
      <c r="H279" s="72" cm="1">
        <f t="array" aca="1" ref="H27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79" s="96">
        <f ca="1">IF(Table2[[#This Row],[Team]]="FA",0,Table2[[#This Row],[Pts/G]]*(1-Table2[[#This Row],[% Pos Overlap]]))</f>
        <v>15.609756097560975</v>
      </c>
      <c r="J279" s="72" cm="1">
        <f t="array" aca="1" ref="J279" ca="1">(INDIRECT(ADDRESS((_xlfn.XMATCH(Table2[[#This Row],[Team]],Schedule!$A$1:$A$33)),5,1,1,"Sched Overlap")))</f>
        <v>0.66259666259666272</v>
      </c>
      <c r="K279" s="92" cm="1">
        <f t="array" aca="1" ref="K27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79" s="95">
        <f ca="1">IF(Table2[[#This Row],[Team]]="FA",0,Table2[[#This Row],[Pts/G]]*(Table2[[#This Row],[Games Playable]]/82))</f>
        <v>15.609756097560975</v>
      </c>
      <c r="M279" s="95" cm="1">
        <f t="array" aca="1" ref="M279" ca="1">Table2[[#This Row],[Playable x Score]]*_xlfn.IFS(Table2[[#This Row],[Pos]]="D",assumptions!$B$15,Table2[[#This Row],[Pos]]="F", assumptions!$B$14,Table2[[#This Row],[Pos]]="G",assumptions!$B$16)</f>
        <v>15.609756097560975</v>
      </c>
    </row>
    <row r="280" spans="1:13" x14ac:dyDescent="0.3">
      <c r="A280">
        <f>'score estimates'!$A280</f>
        <v>277</v>
      </c>
      <c r="B280" t="str">
        <f>'score estimates'!$B280</f>
        <v>Sean Durzi</v>
      </c>
      <c r="C280" t="str">
        <f>'score estimates'!$D280</f>
        <v>D</v>
      </c>
      <c r="D280" t="str">
        <f>'score estimates'!$C280</f>
        <v>LA</v>
      </c>
      <c r="E280" s="75">
        <f>'score estimates'!$F280</f>
        <v>19.109756097560975</v>
      </c>
      <c r="F280" s="71">
        <f>'score estimates'!$G280</f>
        <v>273</v>
      </c>
      <c r="G280" s="71" t="s">
        <v>983</v>
      </c>
      <c r="H280" s="72" cm="1">
        <f t="array" aca="1" ref="H28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80" s="96">
        <f ca="1">IF(Table2[[#This Row],[Team]]="FA",0,Table2[[#This Row],[Pts/G]]*(1-Table2[[#This Row],[% Pos Overlap]]))</f>
        <v>19.109756097560975</v>
      </c>
      <c r="J280" s="72" cm="1">
        <f t="array" aca="1" ref="J280" ca="1">(INDIRECT(ADDRESS((_xlfn.XMATCH(Table2[[#This Row],[Team]],Schedule!$A$1:$A$33)),5,1,1,"Sched Overlap")))</f>
        <v>0.65201465201465225</v>
      </c>
      <c r="K280" s="92" cm="1">
        <f t="array" aca="1" ref="K28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80" s="95">
        <f ca="1">IF(Table2[[#This Row],[Team]]="FA",0,Table2[[#This Row],[Pts/G]]*(Table2[[#This Row],[Games Playable]]/82))</f>
        <v>19.109756097560975</v>
      </c>
      <c r="M280" s="95" cm="1">
        <f t="array" aca="1" ref="M280" ca="1">Table2[[#This Row],[Playable x Score]]*_xlfn.IFS(Table2[[#This Row],[Pos]]="D",assumptions!$B$15,Table2[[#This Row],[Pos]]="F", assumptions!$B$14,Table2[[#This Row],[Pos]]="G",assumptions!$B$16)</f>
        <v>23.887195121951219</v>
      </c>
    </row>
    <row r="281" spans="1:13" x14ac:dyDescent="0.3">
      <c r="A281">
        <f>'score estimates'!$A281</f>
        <v>278</v>
      </c>
      <c r="B281" t="str">
        <f>'score estimates'!$B281</f>
        <v>Pierre Engvall</v>
      </c>
      <c r="C281" t="str">
        <f>'score estimates'!$D281</f>
        <v>F</v>
      </c>
      <c r="D281" t="str">
        <f>'score estimates'!$C281</f>
        <v>TOR</v>
      </c>
      <c r="E281" s="75">
        <f>'score estimates'!$F281</f>
        <v>17.829268292682926</v>
      </c>
      <c r="F281" s="71">
        <f>'score estimates'!$G281</f>
        <v>305</v>
      </c>
      <c r="G281" s="71" t="s">
        <v>983</v>
      </c>
      <c r="H281" s="72" cm="1">
        <f t="array" aca="1" ref="H28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81" s="96">
        <f ca="1">IF(Table2[[#This Row],[Team]]="FA",0,Table2[[#This Row],[Pts/G]]*(1-Table2[[#This Row],[% Pos Overlap]]))</f>
        <v>17.829268292682926</v>
      </c>
      <c r="J281" s="72" cm="1">
        <f t="array" aca="1" ref="J281" ca="1">(INDIRECT(ADDRESS((_xlfn.XMATCH(Table2[[#This Row],[Team]],Schedule!$A$1:$A$33)),5,1,1,"Sched Overlap")))</f>
        <v>0.62922262922262928</v>
      </c>
      <c r="K281" s="92" cm="1">
        <f t="array" aca="1" ref="K28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81" s="95">
        <f ca="1">IF(Table2[[#This Row],[Team]]="FA",0,Table2[[#This Row],[Pts/G]]*(Table2[[#This Row],[Games Playable]]/82))</f>
        <v>17.829268292682926</v>
      </c>
      <c r="M281" s="95" cm="1">
        <f t="array" aca="1" ref="M281" ca="1">Table2[[#This Row],[Playable x Score]]*_xlfn.IFS(Table2[[#This Row],[Pos]]="D",assumptions!$B$15,Table2[[#This Row],[Pos]]="F", assumptions!$B$14,Table2[[#This Row],[Pos]]="G",assumptions!$B$16)</f>
        <v>17.829268292682926</v>
      </c>
    </row>
    <row r="282" spans="1:13" x14ac:dyDescent="0.3">
      <c r="A282">
        <f>'score estimates'!$A282</f>
        <v>279</v>
      </c>
      <c r="B282" t="str">
        <f>'score estimates'!$B282</f>
        <v>Bowen Byram</v>
      </c>
      <c r="C282" t="str">
        <f>'score estimates'!$D282</f>
        <v>D</v>
      </c>
      <c r="D282" t="str">
        <f>'score estimates'!$C282</f>
        <v>COL</v>
      </c>
      <c r="E282" s="75">
        <f>'score estimates'!$F282</f>
        <v>18.219512195121951</v>
      </c>
      <c r="F282" s="71">
        <f>'score estimates'!$G282</f>
        <v>294</v>
      </c>
      <c r="G282" s="71" t="s">
        <v>983</v>
      </c>
      <c r="H282" s="72" cm="1">
        <f t="array" aca="1" ref="H28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82" s="96">
        <f ca="1">IF(Table2[[#This Row],[Team]]="FA",0,Table2[[#This Row],[Pts/G]]*(1-Table2[[#This Row],[% Pos Overlap]]))</f>
        <v>18.219512195121951</v>
      </c>
      <c r="J282" s="72" cm="1">
        <f t="array" aca="1" ref="J282" ca="1">(INDIRECT(ADDRESS((_xlfn.XMATCH(Table2[[#This Row],[Team]],Schedule!$A$1:$A$33)),5,1,1,"Sched Overlap")))</f>
        <v>0.61131461131461151</v>
      </c>
      <c r="K282" s="92" cm="1">
        <f t="array" aca="1" ref="K28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82" s="95">
        <f ca="1">IF(Table2[[#This Row],[Team]]="FA",0,Table2[[#This Row],[Pts/G]]*(Table2[[#This Row],[Games Playable]]/82))</f>
        <v>18.219512195121951</v>
      </c>
      <c r="M282" s="95" cm="1">
        <f t="array" aca="1" ref="M282" ca="1">Table2[[#This Row],[Playable x Score]]*_xlfn.IFS(Table2[[#This Row],[Pos]]="D",assumptions!$B$15,Table2[[#This Row],[Pos]]="F", assumptions!$B$14,Table2[[#This Row],[Pos]]="G",assumptions!$B$16)</f>
        <v>22.774390243902438</v>
      </c>
    </row>
    <row r="283" spans="1:13" x14ac:dyDescent="0.3">
      <c r="A283">
        <f>'score estimates'!$A283</f>
        <v>280</v>
      </c>
      <c r="B283" t="str">
        <f>'score estimates'!$B283</f>
        <v>Peyton Krebs</v>
      </c>
      <c r="C283" t="str">
        <f>'score estimates'!$D283</f>
        <v>F</v>
      </c>
      <c r="D283" t="str">
        <f>'score estimates'!$C283</f>
        <v>BUF</v>
      </c>
      <c r="E283" s="75">
        <f>'score estimates'!$F283</f>
        <v>12.073170731707316</v>
      </c>
      <c r="F283" s="71">
        <f>'score estimates'!$G283</f>
        <v>492</v>
      </c>
      <c r="G283" s="71" t="s">
        <v>983</v>
      </c>
      <c r="H283" s="72" cm="1">
        <f t="array" aca="1" ref="H28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83" s="96">
        <f ca="1">IF(Table2[[#This Row],[Team]]="FA",0,Table2[[#This Row],[Pts/G]]*(1-Table2[[#This Row],[% Pos Overlap]]))</f>
        <v>12.073170731707316</v>
      </c>
      <c r="J283" s="72" cm="1">
        <f t="array" aca="1" ref="J283" ca="1">(INDIRECT(ADDRESS((_xlfn.XMATCH(Table2[[#This Row],[Team]],Schedule!$A$1:$A$33)),5,1,1,"Sched Overlap")))</f>
        <v>0.63573463573463573</v>
      </c>
      <c r="K283" s="92" cm="1">
        <f t="array" aca="1" ref="K28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83" s="95">
        <f ca="1">IF(Table2[[#This Row],[Team]]="FA",0,Table2[[#This Row],[Pts/G]]*(Table2[[#This Row],[Games Playable]]/82))</f>
        <v>12.073170731707316</v>
      </c>
      <c r="M283" s="95" cm="1">
        <f t="array" aca="1" ref="M283" ca="1">Table2[[#This Row],[Playable x Score]]*_xlfn.IFS(Table2[[#This Row],[Pos]]="D",assumptions!$B$15,Table2[[#This Row],[Pos]]="F", assumptions!$B$14,Table2[[#This Row],[Pos]]="G",assumptions!$B$16)</f>
        <v>12.073170731707316</v>
      </c>
    </row>
    <row r="284" spans="1:13" x14ac:dyDescent="0.3">
      <c r="A284">
        <f>'score estimates'!$A284</f>
        <v>281</v>
      </c>
      <c r="B284" t="str">
        <f>'score estimates'!$B284</f>
        <v>Kirby Dach</v>
      </c>
      <c r="C284" t="str">
        <f>'score estimates'!$D284</f>
        <v>F</v>
      </c>
      <c r="D284" t="str">
        <f>'score estimates'!$C284</f>
        <v>MON</v>
      </c>
      <c r="E284" s="75">
        <f>'score estimates'!$F284</f>
        <v>14.536585365853659</v>
      </c>
      <c r="F284" s="71">
        <f>'score estimates'!$G284</f>
        <v>404</v>
      </c>
      <c r="G284" s="71" t="s">
        <v>983</v>
      </c>
      <c r="H284" s="72" cm="1">
        <f t="array" aca="1" ref="H28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84" s="96">
        <f ca="1">IF(Table2[[#This Row],[Team]]="FA",0,Table2[[#This Row],[Pts/G]]*(1-Table2[[#This Row],[% Pos Overlap]]))</f>
        <v>14.536585365853659</v>
      </c>
      <c r="J284" s="72" cm="1">
        <f t="array" aca="1" ref="J284" ca="1">(INDIRECT(ADDRESS((_xlfn.XMATCH(Table2[[#This Row],[Team]],Schedule!$A$1:$A$33)),5,1,1,"Sched Overlap")))</f>
        <v>0.66666666666666685</v>
      </c>
      <c r="K284" s="92" cm="1">
        <f t="array" aca="1" ref="K28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84" s="95">
        <f ca="1">IF(Table2[[#This Row],[Team]]="FA",0,Table2[[#This Row],[Pts/G]]*(Table2[[#This Row],[Games Playable]]/82))</f>
        <v>14.536585365853659</v>
      </c>
      <c r="M284" s="95" cm="1">
        <f t="array" aca="1" ref="M284" ca="1">Table2[[#This Row],[Playable x Score]]*_xlfn.IFS(Table2[[#This Row],[Pos]]="D",assumptions!$B$15,Table2[[#This Row],[Pos]]="F", assumptions!$B$14,Table2[[#This Row],[Pos]]="G",assumptions!$B$16)</f>
        <v>14.536585365853659</v>
      </c>
    </row>
    <row r="285" spans="1:13" x14ac:dyDescent="0.3">
      <c r="A285">
        <f>'score estimates'!$A285</f>
        <v>282</v>
      </c>
      <c r="B285" t="str">
        <f>'score estimates'!$B285</f>
        <v>Lukas Reichel</v>
      </c>
      <c r="C285" t="str">
        <f>'score estimates'!$D285</f>
        <v>F</v>
      </c>
      <c r="D285" t="str">
        <f>'score estimates'!$C285</f>
        <v>CHI</v>
      </c>
      <c r="E285" s="75">
        <f>'score estimates'!$F285</f>
        <v>12.597560975609756</v>
      </c>
      <c r="F285" s="71">
        <f>'score estimates'!$G285</f>
        <v>471</v>
      </c>
      <c r="G285" s="71" t="s">
        <v>983</v>
      </c>
      <c r="H285" s="72" cm="1">
        <f t="array" aca="1" ref="H28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85" s="96">
        <f ca="1">IF(Table2[[#This Row],[Team]]="FA",0,Table2[[#This Row],[Pts/G]]*(1-Table2[[#This Row],[% Pos Overlap]]))</f>
        <v>12.597560975609756</v>
      </c>
      <c r="J285" s="72" cm="1">
        <f t="array" aca="1" ref="J285" ca="1">(INDIRECT(ADDRESS((_xlfn.XMATCH(Table2[[#This Row],[Team]],Schedule!$A$1:$A$33)),5,1,1,"Sched Overlap")))</f>
        <v>0.6243386243386243</v>
      </c>
      <c r="K285" s="92" cm="1">
        <f t="array" aca="1" ref="K28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85" s="95">
        <f ca="1">IF(Table2[[#This Row],[Team]]="FA",0,Table2[[#This Row],[Pts/G]]*(Table2[[#This Row],[Games Playable]]/82))</f>
        <v>12.597560975609756</v>
      </c>
      <c r="M285" s="95" cm="1">
        <f t="array" aca="1" ref="M285" ca="1">Table2[[#This Row],[Playable x Score]]*_xlfn.IFS(Table2[[#This Row],[Pos]]="D",assumptions!$B$15,Table2[[#This Row],[Pos]]="F", assumptions!$B$14,Table2[[#This Row],[Pos]]="G",assumptions!$B$16)</f>
        <v>12.597560975609756</v>
      </c>
    </row>
    <row r="286" spans="1:13" x14ac:dyDescent="0.3">
      <c r="A286">
        <f>'score estimates'!$A286</f>
        <v>283</v>
      </c>
      <c r="B286" t="str">
        <f>'score estimates'!$B286</f>
        <v>Lars Eller</v>
      </c>
      <c r="C286" t="str">
        <f>'score estimates'!$D286</f>
        <v>F</v>
      </c>
      <c r="D286" t="str">
        <f>'score estimates'!$C286</f>
        <v>WAS</v>
      </c>
      <c r="E286" s="75">
        <f>'score estimates'!$F286</f>
        <v>16.378048780487806</v>
      </c>
      <c r="F286" s="71">
        <f>'score estimates'!$G286</f>
        <v>347</v>
      </c>
      <c r="G286" s="71" t="s">
        <v>983</v>
      </c>
      <c r="H286" s="72" cm="1">
        <f t="array" aca="1" ref="H28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86" s="96">
        <f ca="1">IF(Table2[[#This Row],[Team]]="FA",0,Table2[[#This Row],[Pts/G]]*(1-Table2[[#This Row],[% Pos Overlap]]))</f>
        <v>16.378048780487806</v>
      </c>
      <c r="J286" s="72" cm="1">
        <f t="array" aca="1" ref="J286" ca="1">(INDIRECT(ADDRESS((_xlfn.XMATCH(Table2[[#This Row],[Team]],Schedule!$A$1:$A$33)),5,1,1,"Sched Overlap")))</f>
        <v>0.65282865282865288</v>
      </c>
      <c r="K286" s="92" cm="1">
        <f t="array" aca="1" ref="K28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86" s="95">
        <f ca="1">IF(Table2[[#This Row],[Team]]="FA",0,Table2[[#This Row],[Pts/G]]*(Table2[[#This Row],[Games Playable]]/82))</f>
        <v>16.378048780487806</v>
      </c>
      <c r="M286" s="95" cm="1">
        <f t="array" aca="1" ref="M286" ca="1">Table2[[#This Row],[Playable x Score]]*_xlfn.IFS(Table2[[#This Row],[Pos]]="D",assumptions!$B$15,Table2[[#This Row],[Pos]]="F", assumptions!$B$14,Table2[[#This Row],[Pos]]="G",assumptions!$B$16)</f>
        <v>16.378048780487806</v>
      </c>
    </row>
    <row r="287" spans="1:13" x14ac:dyDescent="0.3">
      <c r="A287">
        <f>'score estimates'!$A287</f>
        <v>284</v>
      </c>
      <c r="B287" t="str">
        <f>'score estimates'!$B287</f>
        <v>Kevin Shattenkirk</v>
      </c>
      <c r="C287" t="str">
        <f>'score estimates'!$D287</f>
        <v>D</v>
      </c>
      <c r="D287" t="str">
        <f>'score estimates'!$C287</f>
        <v>ANH</v>
      </c>
      <c r="E287" s="75">
        <f>'score estimates'!$F287</f>
        <v>17.987804878048781</v>
      </c>
      <c r="F287" s="71">
        <f>'score estimates'!$G287</f>
        <v>301</v>
      </c>
      <c r="G287" s="71" t="s">
        <v>983</v>
      </c>
      <c r="H287" s="72" cm="1">
        <f t="array" aca="1" ref="H28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87" s="96">
        <f ca="1">IF(Table2[[#This Row],[Team]]="FA",0,Table2[[#This Row],[Pts/G]]*(1-Table2[[#This Row],[% Pos Overlap]]))</f>
        <v>17.987804878048781</v>
      </c>
      <c r="J287" s="72" cm="1">
        <f t="array" aca="1" ref="J287" ca="1">(INDIRECT(ADDRESS((_xlfn.XMATCH(Table2[[#This Row],[Team]],Schedule!$A$1:$A$33)),5,1,1,"Sched Overlap")))</f>
        <v>0.56410256410256399</v>
      </c>
      <c r="K287" s="92" cm="1">
        <f t="array" aca="1" ref="K28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87" s="95">
        <f ca="1">IF(Table2[[#This Row],[Team]]="FA",0,Table2[[#This Row],[Pts/G]]*(Table2[[#This Row],[Games Playable]]/82))</f>
        <v>17.987804878048781</v>
      </c>
      <c r="M287" s="95" cm="1">
        <f t="array" aca="1" ref="M287" ca="1">Table2[[#This Row],[Playable x Score]]*_xlfn.IFS(Table2[[#This Row],[Pos]]="D",assumptions!$B$15,Table2[[#This Row],[Pos]]="F", assumptions!$B$14,Table2[[#This Row],[Pos]]="G",assumptions!$B$16)</f>
        <v>22.484756097560975</v>
      </c>
    </row>
    <row r="288" spans="1:13" x14ac:dyDescent="0.3">
      <c r="A288">
        <f>'score estimates'!$A288</f>
        <v>285</v>
      </c>
      <c r="B288" t="str">
        <f>'score estimates'!$B288</f>
        <v>Zach Parise</v>
      </c>
      <c r="C288" t="str">
        <f>'score estimates'!$D288</f>
        <v>F</v>
      </c>
      <c r="D288" t="str">
        <f>'score estimates'!$C288</f>
        <v>NYI</v>
      </c>
      <c r="E288" s="75">
        <f>'score estimates'!$F288</f>
        <v>15.890243902439025</v>
      </c>
      <c r="F288" s="71">
        <f>'score estimates'!$G288</f>
        <v>367</v>
      </c>
      <c r="G288" s="71" t="s">
        <v>983</v>
      </c>
      <c r="H288" s="72" cm="1">
        <f t="array" aca="1" ref="H28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88" s="96">
        <f ca="1">IF(Table2[[#This Row],[Team]]="FA",0,Table2[[#This Row],[Pts/G]]*(1-Table2[[#This Row],[% Pos Overlap]]))</f>
        <v>15.890243902439025</v>
      </c>
      <c r="J288" s="72" cm="1">
        <f t="array" aca="1" ref="J288" ca="1">(INDIRECT(ADDRESS((_xlfn.XMATCH(Table2[[#This Row],[Team]],Schedule!$A$1:$A$33)),5,1,1,"Sched Overlap")))</f>
        <v>0.63166463166463194</v>
      </c>
      <c r="K288" s="92" cm="1">
        <f t="array" aca="1" ref="K28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88" s="95">
        <f ca="1">IF(Table2[[#This Row],[Team]]="FA",0,Table2[[#This Row],[Pts/G]]*(Table2[[#This Row],[Games Playable]]/82))</f>
        <v>15.890243902439025</v>
      </c>
      <c r="M288" s="95" cm="1">
        <f t="array" aca="1" ref="M288" ca="1">Table2[[#This Row],[Playable x Score]]*_xlfn.IFS(Table2[[#This Row],[Pos]]="D",assumptions!$B$15,Table2[[#This Row],[Pos]]="F", assumptions!$B$14,Table2[[#This Row],[Pos]]="G",assumptions!$B$16)</f>
        <v>15.890243902439025</v>
      </c>
    </row>
    <row r="289" spans="1:13" x14ac:dyDescent="0.3">
      <c r="A289">
        <f>'score estimates'!$A289</f>
        <v>286</v>
      </c>
      <c r="B289" t="str">
        <f>'score estimates'!$B289</f>
        <v>Jonas Brodin</v>
      </c>
      <c r="C289" t="str">
        <f>'score estimates'!$D289</f>
        <v>D</v>
      </c>
      <c r="D289" t="str">
        <f>'score estimates'!$C289</f>
        <v>MIN</v>
      </c>
      <c r="E289" s="75">
        <f>'score estimates'!$F289</f>
        <v>19.256097560975611</v>
      </c>
      <c r="F289" s="71">
        <f>'score estimates'!$G289</f>
        <v>270</v>
      </c>
      <c r="G289" s="71" t="s">
        <v>983</v>
      </c>
      <c r="H289" s="72" cm="1">
        <f t="array" aca="1" ref="H28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89" s="96">
        <f ca="1">IF(Table2[[#This Row],[Team]]="FA",0,Table2[[#This Row],[Pts/G]]*(1-Table2[[#This Row],[% Pos Overlap]]))</f>
        <v>19.256097560975611</v>
      </c>
      <c r="J289" s="72" cm="1">
        <f t="array" aca="1" ref="J289" ca="1">(INDIRECT(ADDRESS((_xlfn.XMATCH(Table2[[#This Row],[Team]],Schedule!$A$1:$A$33)),5,1,1,"Sched Overlap")))</f>
        <v>0.62108262108262113</v>
      </c>
      <c r="K289" s="92" cm="1">
        <f t="array" aca="1" ref="K28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89" s="95">
        <f ca="1">IF(Table2[[#This Row],[Team]]="FA",0,Table2[[#This Row],[Pts/G]]*(Table2[[#This Row],[Games Playable]]/82))</f>
        <v>19.256097560975611</v>
      </c>
      <c r="M289" s="95" cm="1">
        <f t="array" aca="1" ref="M289" ca="1">Table2[[#This Row],[Playable x Score]]*_xlfn.IFS(Table2[[#This Row],[Pos]]="D",assumptions!$B$15,Table2[[#This Row],[Pos]]="F", assumptions!$B$14,Table2[[#This Row],[Pos]]="G",assumptions!$B$16)</f>
        <v>24.070121951219512</v>
      </c>
    </row>
    <row r="290" spans="1:13" x14ac:dyDescent="0.3">
      <c r="A290">
        <f>'score estimates'!$A290</f>
        <v>287</v>
      </c>
      <c r="B290" t="str">
        <f>'score estimates'!$B290</f>
        <v>Jason Zucker</v>
      </c>
      <c r="C290" t="str">
        <f>'score estimates'!$D290</f>
        <v>F</v>
      </c>
      <c r="D290" t="str">
        <f>'score estimates'!$C290</f>
        <v>PIT</v>
      </c>
      <c r="E290" s="75">
        <f>'score estimates'!$F290</f>
        <v>16.451219512195124</v>
      </c>
      <c r="F290" s="71">
        <f>'score estimates'!$G290</f>
        <v>344</v>
      </c>
      <c r="G290" s="71" t="s">
        <v>983</v>
      </c>
      <c r="H290" s="72" cm="1">
        <f t="array" aca="1" ref="H29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90" s="96">
        <f ca="1">IF(Table2[[#This Row],[Team]]="FA",0,Table2[[#This Row],[Pts/G]]*(1-Table2[[#This Row],[% Pos Overlap]]))</f>
        <v>16.451219512195124</v>
      </c>
      <c r="J290" s="72" cm="1">
        <f t="array" aca="1" ref="J290" ca="1">(INDIRECT(ADDRESS((_xlfn.XMATCH(Table2[[#This Row],[Team]],Schedule!$A$1:$A$33)),5,1,1,"Sched Overlap")))</f>
        <v>0.63492063492063477</v>
      </c>
      <c r="K290" s="92" cm="1">
        <f t="array" aca="1" ref="K29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90" s="95">
        <f ca="1">IF(Table2[[#This Row],[Team]]="FA",0,Table2[[#This Row],[Pts/G]]*(Table2[[#This Row],[Games Playable]]/82))</f>
        <v>16.451219512195124</v>
      </c>
      <c r="M290" s="95" cm="1">
        <f t="array" aca="1" ref="M290" ca="1">Table2[[#This Row],[Playable x Score]]*_xlfn.IFS(Table2[[#This Row],[Pos]]="D",assumptions!$B$15,Table2[[#This Row],[Pos]]="F", assumptions!$B$14,Table2[[#This Row],[Pos]]="G",assumptions!$B$16)</f>
        <v>16.451219512195124</v>
      </c>
    </row>
    <row r="291" spans="1:13" x14ac:dyDescent="0.3">
      <c r="A291">
        <f>'score estimates'!$A291</f>
        <v>288</v>
      </c>
      <c r="B291" t="str">
        <f>'score estimates'!$B291</f>
        <v>Brady Skjei</v>
      </c>
      <c r="C291" t="str">
        <f>'score estimates'!$D291</f>
        <v>D</v>
      </c>
      <c r="D291" t="str">
        <f>'score estimates'!$C291</f>
        <v>CAR</v>
      </c>
      <c r="E291" s="75">
        <f>'score estimates'!$F291</f>
        <v>20.5</v>
      </c>
      <c r="F291" s="71">
        <f>'score estimates'!$G291</f>
        <v>234</v>
      </c>
      <c r="G291" s="71" t="s">
        <v>983</v>
      </c>
      <c r="H291" s="72" cm="1">
        <f t="array" aca="1" ref="H29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91" s="96">
        <f ca="1">IF(Table2[[#This Row],[Team]]="FA",0,Table2[[#This Row],[Pts/G]]*(1-Table2[[#This Row],[% Pos Overlap]]))</f>
        <v>20.5</v>
      </c>
      <c r="J291" s="72" cm="1">
        <f t="array" aca="1" ref="J291" ca="1">(INDIRECT(ADDRESS((_xlfn.XMATCH(Table2[[#This Row],[Team]],Schedule!$A$1:$A$33)),5,1,1,"Sched Overlap")))</f>
        <v>0.63247863247863245</v>
      </c>
      <c r="K291" s="92" cm="1">
        <f t="array" aca="1" ref="K29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91" s="95">
        <f ca="1">IF(Table2[[#This Row],[Team]]="FA",0,Table2[[#This Row],[Pts/G]]*(Table2[[#This Row],[Games Playable]]/82))</f>
        <v>20.5</v>
      </c>
      <c r="M291" s="95" cm="1">
        <f t="array" aca="1" ref="M291" ca="1">Table2[[#This Row],[Playable x Score]]*_xlfn.IFS(Table2[[#This Row],[Pos]]="D",assumptions!$B$15,Table2[[#This Row],[Pos]]="F", assumptions!$B$14,Table2[[#This Row],[Pos]]="G",assumptions!$B$16)</f>
        <v>25.625</v>
      </c>
    </row>
    <row r="292" spans="1:13" x14ac:dyDescent="0.3">
      <c r="A292">
        <f>'score estimates'!$A292</f>
        <v>289</v>
      </c>
      <c r="B292" t="str">
        <f>'score estimates'!$B292</f>
        <v>Jesper Fast</v>
      </c>
      <c r="C292" t="str">
        <f>'score estimates'!$D292</f>
        <v>F</v>
      </c>
      <c r="D292" t="str">
        <f>'score estimates'!$C292</f>
        <v>CAR</v>
      </c>
      <c r="E292" s="75">
        <f>'score estimates'!$F292</f>
        <v>17.76829268292683</v>
      </c>
      <c r="F292" s="71">
        <f>'score estimates'!$G292</f>
        <v>307</v>
      </c>
      <c r="G292" s="71" t="s">
        <v>983</v>
      </c>
      <c r="H292" s="72" cm="1">
        <f t="array" aca="1" ref="H29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92" s="96">
        <f ca="1">IF(Table2[[#This Row],[Team]]="FA",0,Table2[[#This Row],[Pts/G]]*(1-Table2[[#This Row],[% Pos Overlap]]))</f>
        <v>17.76829268292683</v>
      </c>
      <c r="J292" s="72" cm="1">
        <f t="array" aca="1" ref="J292" ca="1">(INDIRECT(ADDRESS((_xlfn.XMATCH(Table2[[#This Row],[Team]],Schedule!$A$1:$A$33)),5,1,1,"Sched Overlap")))</f>
        <v>0.63247863247863245</v>
      </c>
      <c r="K292" s="92" cm="1">
        <f t="array" aca="1" ref="K29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92" s="95">
        <f ca="1">IF(Table2[[#This Row],[Team]]="FA",0,Table2[[#This Row],[Pts/G]]*(Table2[[#This Row],[Games Playable]]/82))</f>
        <v>17.76829268292683</v>
      </c>
      <c r="M292" s="95" cm="1">
        <f t="array" aca="1" ref="M292" ca="1">Table2[[#This Row],[Playable x Score]]*_xlfn.IFS(Table2[[#This Row],[Pos]]="D",assumptions!$B$15,Table2[[#This Row],[Pos]]="F", assumptions!$B$14,Table2[[#This Row],[Pos]]="G",assumptions!$B$16)</f>
        <v>17.76829268292683</v>
      </c>
    </row>
    <row r="293" spans="1:13" x14ac:dyDescent="0.3">
      <c r="A293">
        <f>'score estimates'!$A293</f>
        <v>290</v>
      </c>
      <c r="B293" t="str">
        <f>'score estimates'!$B293</f>
        <v>Travis Sanheim</v>
      </c>
      <c r="C293" t="str">
        <f>'score estimates'!$D293</f>
        <v>D</v>
      </c>
      <c r="D293" t="str">
        <f>'score estimates'!$C293</f>
        <v>PHI</v>
      </c>
      <c r="E293" s="75">
        <f>'score estimates'!$F293</f>
        <v>18.780487804878049</v>
      </c>
      <c r="F293" s="71">
        <f>'score estimates'!$G293</f>
        <v>279</v>
      </c>
      <c r="G293" s="71" t="s">
        <v>983</v>
      </c>
      <c r="H293" s="72" cm="1">
        <f t="array" aca="1" ref="H29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93" s="96">
        <f ca="1">IF(Table2[[#This Row],[Team]]="FA",0,Table2[[#This Row],[Pts/G]]*(1-Table2[[#This Row],[% Pos Overlap]]))</f>
        <v>18.780487804878049</v>
      </c>
      <c r="J293" s="72" cm="1">
        <f t="array" aca="1" ref="J293" ca="1">(INDIRECT(ADDRESS((_xlfn.XMATCH(Table2[[#This Row],[Team]],Schedule!$A$1:$A$33)),5,1,1,"Sched Overlap")))</f>
        <v>0.66910866910866917</v>
      </c>
      <c r="K293" s="92" cm="1">
        <f t="array" aca="1" ref="K29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93" s="95">
        <f ca="1">IF(Table2[[#This Row],[Team]]="FA",0,Table2[[#This Row],[Pts/G]]*(Table2[[#This Row],[Games Playable]]/82))</f>
        <v>18.780487804878049</v>
      </c>
      <c r="M293" s="95" cm="1">
        <f t="array" aca="1" ref="M293" ca="1">Table2[[#This Row],[Playable x Score]]*_xlfn.IFS(Table2[[#This Row],[Pos]]="D",assumptions!$B$15,Table2[[#This Row],[Pos]]="F", assumptions!$B$14,Table2[[#This Row],[Pos]]="G",assumptions!$B$16)</f>
        <v>23.475609756097562</v>
      </c>
    </row>
    <row r="294" spans="1:13" x14ac:dyDescent="0.3">
      <c r="A294">
        <f>'score estimates'!$A294</f>
        <v>291</v>
      </c>
      <c r="B294" t="str">
        <f>'score estimates'!$B294</f>
        <v>Chris Wideman</v>
      </c>
      <c r="C294" t="str">
        <f>'score estimates'!$D294</f>
        <v>D</v>
      </c>
      <c r="D294" t="str">
        <f>'score estimates'!$C294</f>
        <v>MON</v>
      </c>
      <c r="E294" s="75">
        <f>'score estimates'!$F294</f>
        <v>13.865853658536585</v>
      </c>
      <c r="F294" s="71">
        <f>'score estimates'!$G294</f>
        <v>429</v>
      </c>
      <c r="G294" s="71" t="s">
        <v>983</v>
      </c>
      <c r="H294" s="72" cm="1">
        <f t="array" aca="1" ref="H29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94" s="96">
        <f ca="1">IF(Table2[[#This Row],[Team]]="FA",0,Table2[[#This Row],[Pts/G]]*(1-Table2[[#This Row],[% Pos Overlap]]))</f>
        <v>13.865853658536585</v>
      </c>
      <c r="J294" s="72" cm="1">
        <f t="array" aca="1" ref="J294" ca="1">(INDIRECT(ADDRESS((_xlfn.XMATCH(Table2[[#This Row],[Team]],Schedule!$A$1:$A$33)),5,1,1,"Sched Overlap")))</f>
        <v>0.66666666666666685</v>
      </c>
      <c r="K294" s="92" cm="1">
        <f t="array" aca="1" ref="K29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94" s="95">
        <f ca="1">IF(Table2[[#This Row],[Team]]="FA",0,Table2[[#This Row],[Pts/G]]*(Table2[[#This Row],[Games Playable]]/82))</f>
        <v>13.865853658536585</v>
      </c>
      <c r="M294" s="95" cm="1">
        <f t="array" aca="1" ref="M294" ca="1">Table2[[#This Row],[Playable x Score]]*_xlfn.IFS(Table2[[#This Row],[Pos]]="D",assumptions!$B$15,Table2[[#This Row],[Pos]]="F", assumptions!$B$14,Table2[[#This Row],[Pos]]="G",assumptions!$B$16)</f>
        <v>17.332317073170731</v>
      </c>
    </row>
    <row r="295" spans="1:13" x14ac:dyDescent="0.3">
      <c r="A295">
        <f>'score estimates'!$A295</f>
        <v>292</v>
      </c>
      <c r="B295" t="str">
        <f>'score estimates'!$B295</f>
        <v>Brandon Montour</v>
      </c>
      <c r="C295" t="str">
        <f>'score estimates'!$D295</f>
        <v>D</v>
      </c>
      <c r="D295" t="str">
        <f>'score estimates'!$C295</f>
        <v>FLA</v>
      </c>
      <c r="E295" s="75">
        <f>'score estimates'!$F295</f>
        <v>19.804878048780488</v>
      </c>
      <c r="F295" s="71">
        <f>'score estimates'!$G295</f>
        <v>253</v>
      </c>
      <c r="G295" s="71" t="s">
        <v>983</v>
      </c>
      <c r="H295" s="72" cm="1">
        <f t="array" aca="1" ref="H29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95" s="96">
        <f ca="1">IF(Table2[[#This Row],[Team]]="FA",0,Table2[[#This Row],[Pts/G]]*(1-Table2[[#This Row],[% Pos Overlap]]))</f>
        <v>19.804878048780488</v>
      </c>
      <c r="J295" s="72" cm="1">
        <f t="array" aca="1" ref="J295" ca="1">(INDIRECT(ADDRESS((_xlfn.XMATCH(Table2[[#This Row],[Team]],Schedule!$A$1:$A$33)),5,1,1,"Sched Overlap")))</f>
        <v>0.64387464387464377</v>
      </c>
      <c r="K295" s="92" cm="1">
        <f t="array" aca="1" ref="K29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95" s="95">
        <f ca="1">IF(Table2[[#This Row],[Team]]="FA",0,Table2[[#This Row],[Pts/G]]*(Table2[[#This Row],[Games Playable]]/82))</f>
        <v>19.804878048780488</v>
      </c>
      <c r="M295" s="95" cm="1">
        <f t="array" aca="1" ref="M295" ca="1">Table2[[#This Row],[Playable x Score]]*_xlfn.IFS(Table2[[#This Row],[Pos]]="D",assumptions!$B$15,Table2[[#This Row],[Pos]]="F", assumptions!$B$14,Table2[[#This Row],[Pos]]="G",assumptions!$B$16)</f>
        <v>24.756097560975611</v>
      </c>
    </row>
    <row r="296" spans="1:13" x14ac:dyDescent="0.3">
      <c r="A296">
        <f>'score estimates'!$A296</f>
        <v>293</v>
      </c>
      <c r="B296" t="str">
        <f>'score estimates'!$B296</f>
        <v>Pavel Zacha</v>
      </c>
      <c r="C296" t="str">
        <f>'score estimates'!$D296</f>
        <v>F</v>
      </c>
      <c r="D296" t="str">
        <f>'score estimates'!$C296</f>
        <v>BOS</v>
      </c>
      <c r="E296" s="75">
        <f>'score estimates'!$F296</f>
        <v>15.475609756097562</v>
      </c>
      <c r="F296" s="71">
        <f>'score estimates'!$G296</f>
        <v>378</v>
      </c>
      <c r="G296" s="71" t="s">
        <v>983</v>
      </c>
      <c r="H296" s="72" cm="1">
        <f t="array" aca="1" ref="H29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96" s="96">
        <f ca="1">IF(Table2[[#This Row],[Team]]="FA",0,Table2[[#This Row],[Pts/G]]*(1-Table2[[#This Row],[% Pos Overlap]]))</f>
        <v>15.475609756097562</v>
      </c>
      <c r="J296" s="72" cm="1">
        <f t="array" aca="1" ref="J296" ca="1">(INDIRECT(ADDRESS((_xlfn.XMATCH(Table2[[#This Row],[Team]],Schedule!$A$1:$A$33)),5,1,1,"Sched Overlap")))</f>
        <v>0.67236467236467234</v>
      </c>
      <c r="K296" s="92" cm="1">
        <f t="array" aca="1" ref="K29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96" s="95">
        <f ca="1">IF(Table2[[#This Row],[Team]]="FA",0,Table2[[#This Row],[Pts/G]]*(Table2[[#This Row],[Games Playable]]/82))</f>
        <v>15.475609756097562</v>
      </c>
      <c r="M296" s="95" cm="1">
        <f t="array" aca="1" ref="M296" ca="1">Table2[[#This Row],[Playable x Score]]*_xlfn.IFS(Table2[[#This Row],[Pos]]="D",assumptions!$B$15,Table2[[#This Row],[Pos]]="F", assumptions!$B$14,Table2[[#This Row],[Pos]]="G",assumptions!$B$16)</f>
        <v>15.475609756097562</v>
      </c>
    </row>
    <row r="297" spans="1:13" x14ac:dyDescent="0.3">
      <c r="A297">
        <f>'score estimates'!$A297</f>
        <v>294</v>
      </c>
      <c r="B297" t="str">
        <f>'score estimates'!$B297</f>
        <v>Ryan Pulock</v>
      </c>
      <c r="C297" t="str">
        <f>'score estimates'!$D297</f>
        <v>D</v>
      </c>
      <c r="D297" t="str">
        <f>'score estimates'!$C297</f>
        <v>NYI</v>
      </c>
      <c r="E297" s="75">
        <f>'score estimates'!$F297</f>
        <v>21.134146341463413</v>
      </c>
      <c r="F297" s="71">
        <f>'score estimates'!$G297</f>
        <v>220</v>
      </c>
      <c r="G297" s="71" t="s">
        <v>983</v>
      </c>
      <c r="H297" s="72" cm="1">
        <f t="array" aca="1" ref="H29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97" s="96">
        <f ca="1">IF(Table2[[#This Row],[Team]]="FA",0,Table2[[#This Row],[Pts/G]]*(1-Table2[[#This Row],[% Pos Overlap]]))</f>
        <v>21.134146341463413</v>
      </c>
      <c r="J297" s="72" cm="1">
        <f t="array" aca="1" ref="J297" ca="1">(INDIRECT(ADDRESS((_xlfn.XMATCH(Table2[[#This Row],[Team]],Schedule!$A$1:$A$33)),5,1,1,"Sched Overlap")))</f>
        <v>0.63166463166463194</v>
      </c>
      <c r="K297" s="92" cm="1">
        <f t="array" aca="1" ref="K29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97" s="95">
        <f ca="1">IF(Table2[[#This Row],[Team]]="FA",0,Table2[[#This Row],[Pts/G]]*(Table2[[#This Row],[Games Playable]]/82))</f>
        <v>21.134146341463413</v>
      </c>
      <c r="M297" s="95" cm="1">
        <f t="array" aca="1" ref="M297" ca="1">Table2[[#This Row],[Playable x Score]]*_xlfn.IFS(Table2[[#This Row],[Pos]]="D",assumptions!$B$15,Table2[[#This Row],[Pos]]="F", assumptions!$B$14,Table2[[#This Row],[Pos]]="G",assumptions!$B$16)</f>
        <v>26.417682926829265</v>
      </c>
    </row>
    <row r="298" spans="1:13" x14ac:dyDescent="0.3">
      <c r="A298">
        <f>'score estimates'!$A298</f>
        <v>295</v>
      </c>
      <c r="B298" t="str">
        <f>'score estimates'!$B298</f>
        <v>Kyle Okposo</v>
      </c>
      <c r="C298" t="str">
        <f>'score estimates'!$D298</f>
        <v>F</v>
      </c>
      <c r="D298" t="str">
        <f>'score estimates'!$C298</f>
        <v>BUF</v>
      </c>
      <c r="E298" s="75">
        <f>'score estimates'!$F298</f>
        <v>15.439024390243903</v>
      </c>
      <c r="F298" s="71">
        <f>'score estimates'!$G298</f>
        <v>380</v>
      </c>
      <c r="G298" s="71" t="s">
        <v>983</v>
      </c>
      <c r="H298" s="72" cm="1">
        <f t="array" aca="1" ref="H29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98" s="96">
        <f ca="1">IF(Table2[[#This Row],[Team]]="FA",0,Table2[[#This Row],[Pts/G]]*(1-Table2[[#This Row],[% Pos Overlap]]))</f>
        <v>15.439024390243903</v>
      </c>
      <c r="J298" s="72" cm="1">
        <f t="array" aca="1" ref="J298" ca="1">(INDIRECT(ADDRESS((_xlfn.XMATCH(Table2[[#This Row],[Team]],Schedule!$A$1:$A$33)),5,1,1,"Sched Overlap")))</f>
        <v>0.63573463573463573</v>
      </c>
      <c r="K298" s="92" cm="1">
        <f t="array" aca="1" ref="K29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98" s="95">
        <f ca="1">IF(Table2[[#This Row],[Team]]="FA",0,Table2[[#This Row],[Pts/G]]*(Table2[[#This Row],[Games Playable]]/82))</f>
        <v>15.439024390243903</v>
      </c>
      <c r="M298" s="95" cm="1">
        <f t="array" aca="1" ref="M298" ca="1">Table2[[#This Row],[Playable x Score]]*_xlfn.IFS(Table2[[#This Row],[Pos]]="D",assumptions!$B$15,Table2[[#This Row],[Pos]]="F", assumptions!$B$14,Table2[[#This Row],[Pos]]="G",assumptions!$B$16)</f>
        <v>15.439024390243903</v>
      </c>
    </row>
    <row r="299" spans="1:13" x14ac:dyDescent="0.3">
      <c r="A299">
        <f>'score estimates'!$A299</f>
        <v>296</v>
      </c>
      <c r="B299" t="str">
        <f>'score estimates'!$B299</f>
        <v>Oliver Ekman-Larsson</v>
      </c>
      <c r="C299" t="str">
        <f>'score estimates'!$D299</f>
        <v>D</v>
      </c>
      <c r="D299" t="str">
        <f>'score estimates'!$C299</f>
        <v>VAN</v>
      </c>
      <c r="E299" s="75">
        <f>'score estimates'!$F299</f>
        <v>18.646341463414632</v>
      </c>
      <c r="F299" s="71">
        <f>'score estimates'!$G299</f>
        <v>283</v>
      </c>
      <c r="G299" s="71" t="s">
        <v>983</v>
      </c>
      <c r="H299" s="72" cm="1">
        <f t="array" aca="1" ref="H29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299" s="96">
        <f ca="1">IF(Table2[[#This Row],[Team]]="FA",0,Table2[[#This Row],[Pts/G]]*(1-Table2[[#This Row],[% Pos Overlap]]))</f>
        <v>18.646341463414632</v>
      </c>
      <c r="J299" s="72" cm="1">
        <f t="array" aca="1" ref="J299" ca="1">(INDIRECT(ADDRESS((_xlfn.XMATCH(Table2[[#This Row],[Team]],Schedule!$A$1:$A$33)),5,1,1,"Sched Overlap")))</f>
        <v>0.62922262922262917</v>
      </c>
      <c r="K299" s="92" cm="1">
        <f t="array" aca="1" ref="K29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299" s="95">
        <f ca="1">IF(Table2[[#This Row],[Team]]="FA",0,Table2[[#This Row],[Pts/G]]*(Table2[[#This Row],[Games Playable]]/82))</f>
        <v>18.646341463414632</v>
      </c>
      <c r="M299" s="95" cm="1">
        <f t="array" aca="1" ref="M299" ca="1">Table2[[#This Row],[Playable x Score]]*_xlfn.IFS(Table2[[#This Row],[Pos]]="D",assumptions!$B$15,Table2[[#This Row],[Pos]]="F", assumptions!$B$14,Table2[[#This Row],[Pos]]="G",assumptions!$B$16)</f>
        <v>23.30792682926829</v>
      </c>
    </row>
    <row r="300" spans="1:13" x14ac:dyDescent="0.3">
      <c r="A300">
        <f>'score estimates'!$A300</f>
        <v>297</v>
      </c>
      <c r="B300" t="str">
        <f>'score estimates'!$B300</f>
        <v>Barrett Hayton</v>
      </c>
      <c r="C300" t="str">
        <f>'score estimates'!$D300</f>
        <v>F</v>
      </c>
      <c r="D300" t="str">
        <f>'score estimates'!$C300</f>
        <v>ARI</v>
      </c>
      <c r="E300" s="75">
        <f>'score estimates'!$F300</f>
        <v>15.170731707317072</v>
      </c>
      <c r="F300" s="71">
        <f>'score estimates'!$G300</f>
        <v>386</v>
      </c>
      <c r="G300" s="71" t="s">
        <v>983</v>
      </c>
      <c r="H300" s="72" cm="1">
        <f t="array" aca="1" ref="H30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00" s="96">
        <f ca="1">IF(Table2[[#This Row],[Team]]="FA",0,Table2[[#This Row],[Pts/G]]*(1-Table2[[#This Row],[% Pos Overlap]]))</f>
        <v>15.170731707317072</v>
      </c>
      <c r="J300" s="72" cm="1">
        <f t="array" aca="1" ref="J300" ca="1">(INDIRECT(ADDRESS((_xlfn.XMATCH(Table2[[#This Row],[Team]],Schedule!$A$1:$A$33)),5,1,1,"Sched Overlap")))</f>
        <v>0.63247863247863279</v>
      </c>
      <c r="K300" s="92" cm="1">
        <f t="array" aca="1" ref="K30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00" s="95">
        <f ca="1">IF(Table2[[#This Row],[Team]]="FA",0,Table2[[#This Row],[Pts/G]]*(Table2[[#This Row],[Games Playable]]/82))</f>
        <v>15.170731707317072</v>
      </c>
      <c r="M300" s="95" cm="1">
        <f t="array" aca="1" ref="M300" ca="1">Table2[[#This Row],[Playable x Score]]*_xlfn.IFS(Table2[[#This Row],[Pos]]="D",assumptions!$B$15,Table2[[#This Row],[Pos]]="F", assumptions!$B$14,Table2[[#This Row],[Pos]]="G",assumptions!$B$16)</f>
        <v>15.170731707317072</v>
      </c>
    </row>
    <row r="301" spans="1:13" x14ac:dyDescent="0.3">
      <c r="A301">
        <f>'score estimates'!$A301</f>
        <v>298</v>
      </c>
      <c r="B301" t="str">
        <f>'score estimates'!$B301</f>
        <v>Vladislav Gavrikov</v>
      </c>
      <c r="C301" t="str">
        <f>'score estimates'!$D301</f>
        <v>D</v>
      </c>
      <c r="D301" t="str">
        <f>'score estimates'!$C301</f>
        <v>CLS</v>
      </c>
      <c r="E301" s="75">
        <f>'score estimates'!$F301</f>
        <v>18.76829268292683</v>
      </c>
      <c r="F301" s="71">
        <f>'score estimates'!$G301</f>
        <v>280</v>
      </c>
      <c r="G301" s="71" t="s">
        <v>983</v>
      </c>
      <c r="H301" s="72" cm="1">
        <f t="array" aca="1" ref="H30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01" s="96">
        <f ca="1">IF(Table2[[#This Row],[Team]]="FA",0,Table2[[#This Row],[Pts/G]]*(1-Table2[[#This Row],[% Pos Overlap]]))</f>
        <v>18.76829268292683</v>
      </c>
      <c r="J301" s="72" cm="1">
        <f t="array" aca="1" ref="J301" ca="1">(INDIRECT(ADDRESS((_xlfn.XMATCH(Table2[[#This Row],[Team]],Schedule!$A$1:$A$33)),5,1,1,"Sched Overlap")))</f>
        <v>0.64875864875864886</v>
      </c>
      <c r="K301" s="92" cm="1">
        <f t="array" aca="1" ref="K30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01" s="95">
        <f ca="1">IF(Table2[[#This Row],[Team]]="FA",0,Table2[[#This Row],[Pts/G]]*(Table2[[#This Row],[Games Playable]]/82))</f>
        <v>18.76829268292683</v>
      </c>
      <c r="M301" s="95" cm="1">
        <f t="array" aca="1" ref="M301" ca="1">Table2[[#This Row],[Playable x Score]]*_xlfn.IFS(Table2[[#This Row],[Pos]]="D",assumptions!$B$15,Table2[[#This Row],[Pos]]="F", assumptions!$B$14,Table2[[#This Row],[Pos]]="G",assumptions!$B$16)</f>
        <v>23.460365853658537</v>
      </c>
    </row>
    <row r="302" spans="1:13" x14ac:dyDescent="0.3">
      <c r="A302">
        <f>'score estimates'!$A302</f>
        <v>299</v>
      </c>
      <c r="B302" t="str">
        <f>'score estimates'!$B302</f>
        <v>Samuel Girard</v>
      </c>
      <c r="C302" t="str">
        <f>'score estimates'!$D302</f>
        <v>D</v>
      </c>
      <c r="D302" t="str">
        <f>'score estimates'!$C302</f>
        <v>COL</v>
      </c>
      <c r="E302" s="75">
        <f>'score estimates'!$F302</f>
        <v>16.170731707317074</v>
      </c>
      <c r="F302" s="71">
        <f>'score estimates'!$G302</f>
        <v>355</v>
      </c>
      <c r="G302" s="71" t="s">
        <v>983</v>
      </c>
      <c r="H302" s="72" cm="1">
        <f t="array" aca="1" ref="H30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02" s="96">
        <f ca="1">IF(Table2[[#This Row],[Team]]="FA",0,Table2[[#This Row],[Pts/G]]*(1-Table2[[#This Row],[% Pos Overlap]]))</f>
        <v>16.170731707317074</v>
      </c>
      <c r="J302" s="72" cm="1">
        <f t="array" aca="1" ref="J302" ca="1">(INDIRECT(ADDRESS((_xlfn.XMATCH(Table2[[#This Row],[Team]],Schedule!$A$1:$A$33)),5,1,1,"Sched Overlap")))</f>
        <v>0.61131461131461151</v>
      </c>
      <c r="K302" s="92" cm="1">
        <f t="array" aca="1" ref="K30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02" s="95">
        <f ca="1">IF(Table2[[#This Row],[Team]]="FA",0,Table2[[#This Row],[Pts/G]]*(Table2[[#This Row],[Games Playable]]/82))</f>
        <v>16.170731707317074</v>
      </c>
      <c r="M302" s="95" cm="1">
        <f t="array" aca="1" ref="M302" ca="1">Table2[[#This Row],[Playable x Score]]*_xlfn.IFS(Table2[[#This Row],[Pos]]="D",assumptions!$B$15,Table2[[#This Row],[Pos]]="F", assumptions!$B$14,Table2[[#This Row],[Pos]]="G",assumptions!$B$16)</f>
        <v>20.213414634146343</v>
      </c>
    </row>
    <row r="303" spans="1:13" x14ac:dyDescent="0.3">
      <c r="A303">
        <f>'score estimates'!$A303</f>
        <v>300</v>
      </c>
      <c r="B303" t="str">
        <f>'score estimates'!$B303</f>
        <v>Jakob Chychrun</v>
      </c>
      <c r="C303" t="str">
        <f>'score estimates'!$D303</f>
        <v>D</v>
      </c>
      <c r="D303" t="str">
        <f>'score estimates'!$C303</f>
        <v>ARI</v>
      </c>
      <c r="E303" s="75">
        <f>'score estimates'!$F303</f>
        <v>17.134146341463413</v>
      </c>
      <c r="F303" s="71">
        <f>'score estimates'!$G303</f>
        <v>328</v>
      </c>
      <c r="G303" s="71" t="s">
        <v>983</v>
      </c>
      <c r="H303" s="72" cm="1">
        <f t="array" aca="1" ref="H30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03" s="96">
        <f ca="1">IF(Table2[[#This Row],[Team]]="FA",0,Table2[[#This Row],[Pts/G]]*(1-Table2[[#This Row],[% Pos Overlap]]))</f>
        <v>17.134146341463413</v>
      </c>
      <c r="J303" s="72" cm="1">
        <f t="array" aca="1" ref="J303" ca="1">(INDIRECT(ADDRESS((_xlfn.XMATCH(Table2[[#This Row],[Team]],Schedule!$A$1:$A$33)),5,1,1,"Sched Overlap")))</f>
        <v>0.63247863247863279</v>
      </c>
      <c r="K303" s="92" cm="1">
        <f t="array" aca="1" ref="K30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03" s="95">
        <f ca="1">IF(Table2[[#This Row],[Team]]="FA",0,Table2[[#This Row],[Pts/G]]*(Table2[[#This Row],[Games Playable]]/82))</f>
        <v>17.134146341463413</v>
      </c>
      <c r="M303" s="95" cm="1">
        <f t="array" aca="1" ref="M303" ca="1">Table2[[#This Row],[Playable x Score]]*_xlfn.IFS(Table2[[#This Row],[Pos]]="D",assumptions!$B$15,Table2[[#This Row],[Pos]]="F", assumptions!$B$14,Table2[[#This Row],[Pos]]="G",assumptions!$B$16)</f>
        <v>21.417682926829265</v>
      </c>
    </row>
    <row r="304" spans="1:13" x14ac:dyDescent="0.3">
      <c r="A304">
        <f>'score estimates'!$A304</f>
        <v>301</v>
      </c>
      <c r="B304" t="str">
        <f>'score estimates'!$B304</f>
        <v>Joonas Donskoi</v>
      </c>
      <c r="C304" t="str">
        <f>'score estimates'!$D304</f>
        <v>F</v>
      </c>
      <c r="D304" t="str">
        <f>'score estimates'!$C304</f>
        <v>SEA</v>
      </c>
      <c r="E304" s="75">
        <f>'score estimates'!$F304</f>
        <v>12.780487804878049</v>
      </c>
      <c r="F304" s="71">
        <f>'score estimates'!$G304</f>
        <v>467</v>
      </c>
      <c r="G304" s="71" t="s">
        <v>983</v>
      </c>
      <c r="H304" s="72" cm="1">
        <f t="array" aca="1" ref="H30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04" s="96">
        <f ca="1">IF(Table2[[#This Row],[Team]]="FA",0,Table2[[#This Row],[Pts/G]]*(1-Table2[[#This Row],[% Pos Overlap]]))</f>
        <v>12.780487804878049</v>
      </c>
      <c r="J304" s="72" cm="1">
        <f t="array" aca="1" ref="J304" ca="1">(INDIRECT(ADDRESS((_xlfn.XMATCH(Table2[[#This Row],[Team]],Schedule!$A$1:$A$33)),5,1,1,"Sched Overlap")))</f>
        <v>0.63085063085063087</v>
      </c>
      <c r="K304" s="92" cm="1">
        <f t="array" aca="1" ref="K30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04" s="95">
        <f ca="1">IF(Table2[[#This Row],[Team]]="FA",0,Table2[[#This Row],[Pts/G]]*(Table2[[#This Row],[Games Playable]]/82))</f>
        <v>12.780487804878049</v>
      </c>
      <c r="M304" s="95" cm="1">
        <f t="array" aca="1" ref="M304" ca="1">Table2[[#This Row],[Playable x Score]]*_xlfn.IFS(Table2[[#This Row],[Pos]]="D",assumptions!$B$15,Table2[[#This Row],[Pos]]="F", assumptions!$B$14,Table2[[#This Row],[Pos]]="G",assumptions!$B$16)</f>
        <v>12.780487804878049</v>
      </c>
    </row>
    <row r="305" spans="1:13" x14ac:dyDescent="0.3">
      <c r="A305">
        <f>'score estimates'!$A305</f>
        <v>302</v>
      </c>
      <c r="B305" t="str">
        <f>'score estimates'!$B305</f>
        <v>Casey Mittelstadt</v>
      </c>
      <c r="C305" t="str">
        <f>'score estimates'!$D305</f>
        <v>F</v>
      </c>
      <c r="D305" t="str">
        <f>'score estimates'!$C305</f>
        <v>BUF</v>
      </c>
      <c r="E305" s="75">
        <f>'score estimates'!$F305</f>
        <v>11.548780487804878</v>
      </c>
      <c r="F305" s="71">
        <f>'score estimates'!$G305</f>
        <v>513</v>
      </c>
      <c r="G305" s="71" t="s">
        <v>983</v>
      </c>
      <c r="H305" s="72" cm="1">
        <f t="array" aca="1" ref="H30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05" s="96">
        <f ca="1">IF(Table2[[#This Row],[Team]]="FA",0,Table2[[#This Row],[Pts/G]]*(1-Table2[[#This Row],[% Pos Overlap]]))</f>
        <v>11.548780487804878</v>
      </c>
      <c r="J305" s="72" cm="1">
        <f t="array" aca="1" ref="J305" ca="1">(INDIRECT(ADDRESS((_xlfn.XMATCH(Table2[[#This Row],[Team]],Schedule!$A$1:$A$33)),5,1,1,"Sched Overlap")))</f>
        <v>0.63573463573463573</v>
      </c>
      <c r="K305" s="92" cm="1">
        <f t="array" aca="1" ref="K30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05" s="95">
        <f ca="1">IF(Table2[[#This Row],[Team]]="FA",0,Table2[[#This Row],[Pts/G]]*(Table2[[#This Row],[Games Playable]]/82))</f>
        <v>11.548780487804878</v>
      </c>
      <c r="M305" s="95" cm="1">
        <f t="array" aca="1" ref="M305" ca="1">Table2[[#This Row],[Playable x Score]]*_xlfn.IFS(Table2[[#This Row],[Pos]]="D",assumptions!$B$15,Table2[[#This Row],[Pos]]="F", assumptions!$B$14,Table2[[#This Row],[Pos]]="G",assumptions!$B$16)</f>
        <v>11.548780487804878</v>
      </c>
    </row>
    <row r="306" spans="1:13" x14ac:dyDescent="0.3">
      <c r="A306">
        <f>'score estimates'!$A306</f>
        <v>303</v>
      </c>
      <c r="B306" t="str">
        <f>'score estimates'!$B306</f>
        <v>Alex Newhook</v>
      </c>
      <c r="C306" t="str">
        <f>'score estimates'!$D306</f>
        <v>F</v>
      </c>
      <c r="D306" t="str">
        <f>'score estimates'!$C306</f>
        <v>COL</v>
      </c>
      <c r="E306" s="75">
        <f>'score estimates'!$F306</f>
        <v>16.634146341463413</v>
      </c>
      <c r="F306" s="71">
        <f>'score estimates'!$G306</f>
        <v>338</v>
      </c>
      <c r="G306" s="71" t="s">
        <v>983</v>
      </c>
      <c r="H306" s="72" cm="1">
        <f t="array" aca="1" ref="H30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06" s="96">
        <f ca="1">IF(Table2[[#This Row],[Team]]="FA",0,Table2[[#This Row],[Pts/G]]*(1-Table2[[#This Row],[% Pos Overlap]]))</f>
        <v>16.634146341463413</v>
      </c>
      <c r="J306" s="72" cm="1">
        <f t="array" aca="1" ref="J306" ca="1">(INDIRECT(ADDRESS((_xlfn.XMATCH(Table2[[#This Row],[Team]],Schedule!$A$1:$A$33)),5,1,1,"Sched Overlap")))</f>
        <v>0.61131461131461151</v>
      </c>
      <c r="K306" s="92" cm="1">
        <f t="array" aca="1" ref="K30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06" s="95">
        <f ca="1">IF(Table2[[#This Row],[Team]]="FA",0,Table2[[#This Row],[Pts/G]]*(Table2[[#This Row],[Games Playable]]/82))</f>
        <v>16.634146341463413</v>
      </c>
      <c r="M306" s="95" cm="1">
        <f t="array" aca="1" ref="M306" ca="1">Table2[[#This Row],[Playable x Score]]*_xlfn.IFS(Table2[[#This Row],[Pos]]="D",assumptions!$B$15,Table2[[#This Row],[Pos]]="F", assumptions!$B$14,Table2[[#This Row],[Pos]]="G",assumptions!$B$16)</f>
        <v>16.634146341463413</v>
      </c>
    </row>
    <row r="307" spans="1:13" x14ac:dyDescent="0.3">
      <c r="A307">
        <f>'score estimates'!$A307</f>
        <v>304</v>
      </c>
      <c r="B307" t="str">
        <f>'score estimates'!$B307</f>
        <v>Vasili Podkolzin</v>
      </c>
      <c r="C307" t="str">
        <f>'score estimates'!$D307</f>
        <v>F</v>
      </c>
      <c r="D307" t="str">
        <f>'score estimates'!$C307</f>
        <v>VAN</v>
      </c>
      <c r="E307" s="75">
        <f>'score estimates'!$F307</f>
        <v>16.207317073170731</v>
      </c>
      <c r="F307" s="71">
        <f>'score estimates'!$G307</f>
        <v>353</v>
      </c>
      <c r="G307" s="71" t="s">
        <v>983</v>
      </c>
      <c r="H307" s="72" cm="1">
        <f t="array" aca="1" ref="H30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07" s="96">
        <f ca="1">IF(Table2[[#This Row],[Team]]="FA",0,Table2[[#This Row],[Pts/G]]*(1-Table2[[#This Row],[% Pos Overlap]]))</f>
        <v>16.207317073170731</v>
      </c>
      <c r="J307" s="72" cm="1">
        <f t="array" aca="1" ref="J307" ca="1">(INDIRECT(ADDRESS((_xlfn.XMATCH(Table2[[#This Row],[Team]],Schedule!$A$1:$A$33)),5,1,1,"Sched Overlap")))</f>
        <v>0.62922262922262917</v>
      </c>
      <c r="K307" s="92" cm="1">
        <f t="array" aca="1" ref="K30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07" s="95">
        <f ca="1">IF(Table2[[#This Row],[Team]]="FA",0,Table2[[#This Row],[Pts/G]]*(Table2[[#This Row],[Games Playable]]/82))</f>
        <v>16.207317073170731</v>
      </c>
      <c r="M307" s="95" cm="1">
        <f t="array" aca="1" ref="M307" ca="1">Table2[[#This Row],[Playable x Score]]*_xlfn.IFS(Table2[[#This Row],[Pos]]="D",assumptions!$B$15,Table2[[#This Row],[Pos]]="F", assumptions!$B$14,Table2[[#This Row],[Pos]]="G",assumptions!$B$16)</f>
        <v>16.207317073170731</v>
      </c>
    </row>
    <row r="308" spans="1:13" x14ac:dyDescent="0.3">
      <c r="A308">
        <f>'score estimates'!$A308</f>
        <v>305</v>
      </c>
      <c r="B308" t="str">
        <f>'score estimates'!$B308</f>
        <v>Nick Bonino</v>
      </c>
      <c r="C308" t="str">
        <f>'score estimates'!$D308</f>
        <v>F</v>
      </c>
      <c r="D308" t="str">
        <f>'score estimates'!$C308</f>
        <v>SJ</v>
      </c>
      <c r="E308" s="75">
        <f>'score estimates'!$F308</f>
        <v>14.902439024390244</v>
      </c>
      <c r="F308" s="71">
        <f>'score estimates'!$G308</f>
        <v>391</v>
      </c>
      <c r="G308" s="71" t="s">
        <v>983</v>
      </c>
      <c r="H308" s="72" cm="1">
        <f t="array" aca="1" ref="H30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08" s="96">
        <f ca="1">IF(Table2[[#This Row],[Team]]="FA",0,Table2[[#This Row],[Pts/G]]*(1-Table2[[#This Row],[% Pos Overlap]]))</f>
        <v>14.902439024390244</v>
      </c>
      <c r="J308" s="72" cm="1">
        <f t="array" aca="1" ref="J308" ca="1">(INDIRECT(ADDRESS((_xlfn.XMATCH(Table2[[#This Row],[Team]],Schedule!$A$1:$A$33)),5,1,1,"Sched Overlap")))</f>
        <v>0.63492063492063477</v>
      </c>
      <c r="K308" s="92" cm="1">
        <f t="array" aca="1" ref="K30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08" s="95">
        <f ca="1">IF(Table2[[#This Row],[Team]]="FA",0,Table2[[#This Row],[Pts/G]]*(Table2[[#This Row],[Games Playable]]/82))</f>
        <v>14.902439024390244</v>
      </c>
      <c r="M308" s="95" cm="1">
        <f t="array" aca="1" ref="M308" ca="1">Table2[[#This Row],[Playable x Score]]*_xlfn.IFS(Table2[[#This Row],[Pos]]="D",assumptions!$B$15,Table2[[#This Row],[Pos]]="F", assumptions!$B$14,Table2[[#This Row],[Pos]]="G",assumptions!$B$16)</f>
        <v>14.902439024390244</v>
      </c>
    </row>
    <row r="309" spans="1:13" x14ac:dyDescent="0.3">
      <c r="A309">
        <f>'score estimates'!$A309</f>
        <v>306</v>
      </c>
      <c r="B309" t="str">
        <f>'score estimates'!$B309</f>
        <v>Matt Dumba</v>
      </c>
      <c r="C309" t="str">
        <f>'score estimates'!$D309</f>
        <v>D</v>
      </c>
      <c r="D309" t="str">
        <f>'score estimates'!$C309</f>
        <v>MIN</v>
      </c>
      <c r="E309" s="75">
        <f>'score estimates'!$F309</f>
        <v>19.914634146341463</v>
      </c>
      <c r="F309" s="71">
        <f>'score estimates'!$G309</f>
        <v>252</v>
      </c>
      <c r="G309" s="71" t="s">
        <v>983</v>
      </c>
      <c r="H309" s="72" cm="1">
        <f t="array" aca="1" ref="H30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09" s="96">
        <f ca="1">IF(Table2[[#This Row],[Team]]="FA",0,Table2[[#This Row],[Pts/G]]*(1-Table2[[#This Row],[% Pos Overlap]]))</f>
        <v>19.914634146341463</v>
      </c>
      <c r="J309" s="72" cm="1">
        <f t="array" aca="1" ref="J309" ca="1">(INDIRECT(ADDRESS((_xlfn.XMATCH(Table2[[#This Row],[Team]],Schedule!$A$1:$A$33)),5,1,1,"Sched Overlap")))</f>
        <v>0.62108262108262113</v>
      </c>
      <c r="K309" s="92" cm="1">
        <f t="array" aca="1" ref="K30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09" s="95">
        <f ca="1">IF(Table2[[#This Row],[Team]]="FA",0,Table2[[#This Row],[Pts/G]]*(Table2[[#This Row],[Games Playable]]/82))</f>
        <v>19.914634146341463</v>
      </c>
      <c r="M309" s="95" cm="1">
        <f t="array" aca="1" ref="M309" ca="1">Table2[[#This Row],[Playable x Score]]*_xlfn.IFS(Table2[[#This Row],[Pos]]="D",assumptions!$B$15,Table2[[#This Row],[Pos]]="F", assumptions!$B$14,Table2[[#This Row],[Pos]]="G",assumptions!$B$16)</f>
        <v>24.893292682926827</v>
      </c>
    </row>
    <row r="310" spans="1:13" x14ac:dyDescent="0.3">
      <c r="A310">
        <f>'score estimates'!$A310</f>
        <v>307</v>
      </c>
      <c r="B310" t="str">
        <f>'score estimates'!$B310</f>
        <v>Teddy Blueger</v>
      </c>
      <c r="C310" t="str">
        <f>'score estimates'!$D310</f>
        <v>F</v>
      </c>
      <c r="D310" t="str">
        <f>'score estimates'!$C310</f>
        <v>PIT</v>
      </c>
      <c r="E310" s="75">
        <f>'score estimates'!$F310</f>
        <v>16.121951219512194</v>
      </c>
      <c r="F310" s="71">
        <f>'score estimates'!$G310</f>
        <v>357</v>
      </c>
      <c r="G310" s="71" t="s">
        <v>983</v>
      </c>
      <c r="H310" s="72" cm="1">
        <f t="array" aca="1" ref="H31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10" s="96">
        <f ca="1">IF(Table2[[#This Row],[Team]]="FA",0,Table2[[#This Row],[Pts/G]]*(1-Table2[[#This Row],[% Pos Overlap]]))</f>
        <v>16.121951219512194</v>
      </c>
      <c r="J310" s="72" cm="1">
        <f t="array" aca="1" ref="J310" ca="1">(INDIRECT(ADDRESS((_xlfn.XMATCH(Table2[[#This Row],[Team]],Schedule!$A$1:$A$33)),5,1,1,"Sched Overlap")))</f>
        <v>0.63492063492063477</v>
      </c>
      <c r="K310" s="92" cm="1">
        <f t="array" aca="1" ref="K31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10" s="95">
        <f ca="1">IF(Table2[[#This Row],[Team]]="FA",0,Table2[[#This Row],[Pts/G]]*(Table2[[#This Row],[Games Playable]]/82))</f>
        <v>16.121951219512194</v>
      </c>
      <c r="M310" s="95" cm="1">
        <f t="array" aca="1" ref="M310" ca="1">Table2[[#This Row],[Playable x Score]]*_xlfn.IFS(Table2[[#This Row],[Pos]]="D",assumptions!$B$15,Table2[[#This Row],[Pos]]="F", assumptions!$B$14,Table2[[#This Row],[Pos]]="G",assumptions!$B$16)</f>
        <v>16.121951219512194</v>
      </c>
    </row>
    <row r="311" spans="1:13" x14ac:dyDescent="0.3">
      <c r="A311">
        <f>'score estimates'!$A311</f>
        <v>308</v>
      </c>
      <c r="B311" t="str">
        <f>'score estimates'!$B311</f>
        <v>Josh Anderson</v>
      </c>
      <c r="C311" t="str">
        <f>'score estimates'!$D311</f>
        <v>F</v>
      </c>
      <c r="D311" t="str">
        <f>'score estimates'!$C311</f>
        <v>MON</v>
      </c>
      <c r="E311" s="75">
        <f>'score estimates'!$F311</f>
        <v>16.926829268292682</v>
      </c>
      <c r="F311" s="71">
        <f>'score estimates'!$G311</f>
        <v>331</v>
      </c>
      <c r="G311" s="71" t="s">
        <v>983</v>
      </c>
      <c r="H311" s="72" cm="1">
        <f t="array" aca="1" ref="H31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11" s="96">
        <f ca="1">IF(Table2[[#This Row],[Team]]="FA",0,Table2[[#This Row],[Pts/G]]*(1-Table2[[#This Row],[% Pos Overlap]]))</f>
        <v>16.926829268292682</v>
      </c>
      <c r="J311" s="72" cm="1">
        <f t="array" aca="1" ref="J311" ca="1">(INDIRECT(ADDRESS((_xlfn.XMATCH(Table2[[#This Row],[Team]],Schedule!$A$1:$A$33)),5,1,1,"Sched Overlap")))</f>
        <v>0.66666666666666685</v>
      </c>
      <c r="K311" s="92" cm="1">
        <f t="array" aca="1" ref="K31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11" s="95">
        <f ca="1">IF(Table2[[#This Row],[Team]]="FA",0,Table2[[#This Row],[Pts/G]]*(Table2[[#This Row],[Games Playable]]/82))</f>
        <v>16.926829268292682</v>
      </c>
      <c r="M311" s="95" cm="1">
        <f t="array" aca="1" ref="M311" ca="1">Table2[[#This Row],[Playable x Score]]*_xlfn.IFS(Table2[[#This Row],[Pos]]="D",assumptions!$B$15,Table2[[#This Row],[Pos]]="F", assumptions!$B$14,Table2[[#This Row],[Pos]]="G",assumptions!$B$16)</f>
        <v>16.926829268292682</v>
      </c>
    </row>
    <row r="312" spans="1:13" x14ac:dyDescent="0.3">
      <c r="A312">
        <f>'score estimates'!$A312</f>
        <v>309</v>
      </c>
      <c r="B312" t="str">
        <f>'score estimates'!$B312</f>
        <v>Ryan Graves</v>
      </c>
      <c r="C312" t="str">
        <f>'score estimates'!$D312</f>
        <v>D</v>
      </c>
      <c r="D312" t="str">
        <f>'score estimates'!$C312</f>
        <v>NJ</v>
      </c>
      <c r="E312" s="75">
        <f>'score estimates'!$F312</f>
        <v>18.048780487804876</v>
      </c>
      <c r="F312" s="71">
        <f>'score estimates'!$G312</f>
        <v>298</v>
      </c>
      <c r="G312" s="71" t="s">
        <v>983</v>
      </c>
      <c r="H312" s="72" cm="1">
        <f t="array" aca="1" ref="H31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12" s="96">
        <f ca="1">IF(Table2[[#This Row],[Team]]="FA",0,Table2[[#This Row],[Pts/G]]*(1-Table2[[#This Row],[% Pos Overlap]]))</f>
        <v>18.048780487804876</v>
      </c>
      <c r="J312" s="72" cm="1">
        <f t="array" aca="1" ref="J312" ca="1">(INDIRECT(ADDRESS((_xlfn.XMATCH(Table2[[#This Row],[Team]],Schedule!$A$1:$A$33)),5,1,1,"Sched Overlap")))</f>
        <v>0.66259666259666272</v>
      </c>
      <c r="K312" s="92" cm="1">
        <f t="array" aca="1" ref="K31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12" s="95">
        <f ca="1">IF(Table2[[#This Row],[Team]]="FA",0,Table2[[#This Row],[Pts/G]]*(Table2[[#This Row],[Games Playable]]/82))</f>
        <v>18.048780487804876</v>
      </c>
      <c r="M312" s="95" cm="1">
        <f t="array" aca="1" ref="M312" ca="1">Table2[[#This Row],[Playable x Score]]*_xlfn.IFS(Table2[[#This Row],[Pos]]="D",assumptions!$B$15,Table2[[#This Row],[Pos]]="F", assumptions!$B$14,Table2[[#This Row],[Pos]]="G",assumptions!$B$16)</f>
        <v>22.560975609756095</v>
      </c>
    </row>
    <row r="313" spans="1:13" x14ac:dyDescent="0.3">
      <c r="A313">
        <f>'score estimates'!$A313</f>
        <v>310</v>
      </c>
      <c r="B313" t="str">
        <f>'score estimates'!$B313</f>
        <v>Sonny Milano</v>
      </c>
      <c r="C313" t="str">
        <f>'score estimates'!$D313</f>
        <v>F</v>
      </c>
      <c r="D313" t="str">
        <f>'score estimates'!$C313</f>
        <v>FA</v>
      </c>
      <c r="E313" s="75">
        <f>'score estimates'!$F313</f>
        <v>11.804878048780488</v>
      </c>
      <c r="F313" s="71">
        <f>'score estimates'!$G313</f>
        <v>502</v>
      </c>
      <c r="G313" s="71" t="s">
        <v>983</v>
      </c>
      <c r="H313" s="72" t="e" cm="1">
        <f t="array" aca="1" ref="H313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313" s="96">
        <f>IF(Table2[[#This Row],[Team]]="FA",0,Table2[[#This Row],[Pts/G]]*(1-Table2[[#This Row],[% Pos Overlap]]))</f>
        <v>0</v>
      </c>
      <c r="J313" s="72" t="e" cm="1">
        <f t="array" aca="1" ref="J313" ca="1">(INDIRECT(ADDRESS((_xlfn.XMATCH(Table2[[#This Row],[Team]],Schedule!$A$1:$A$33)),5,1,1,"Sched Overlap")))</f>
        <v>#N/A</v>
      </c>
      <c r="K313" s="92" t="e" cm="1">
        <f t="array" aca="1" ref="K313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313" s="95">
        <f>IF(Table2[[#This Row],[Team]]="FA",0,Table2[[#This Row],[Pts/G]]*(Table2[[#This Row],[Games Playable]]/82))</f>
        <v>0</v>
      </c>
      <c r="M313" s="95" cm="1">
        <f t="array" ref="M313">Table2[[#This Row],[Playable x Score]]*_xlfn.IFS(Table2[[#This Row],[Pos]]="D",assumptions!$B$15,Table2[[#This Row],[Pos]]="F", assumptions!$B$14,Table2[[#This Row],[Pos]]="G",assumptions!$B$16)</f>
        <v>0</v>
      </c>
    </row>
    <row r="314" spans="1:13" x14ac:dyDescent="0.3">
      <c r="A314">
        <f>'score estimates'!$A314</f>
        <v>311</v>
      </c>
      <c r="B314" t="str">
        <f>'score estimates'!$B314</f>
        <v>Vinnie Hinostroza</v>
      </c>
      <c r="C314" t="str">
        <f>'score estimates'!$D314</f>
        <v>F</v>
      </c>
      <c r="D314" t="str">
        <f>'score estimates'!$C314</f>
        <v>BUF</v>
      </c>
      <c r="E314" s="75">
        <f>'score estimates'!$F314</f>
        <v>12.695121951219512</v>
      </c>
      <c r="F314" s="71">
        <f>'score estimates'!$G314</f>
        <v>468</v>
      </c>
      <c r="G314" s="71" t="s">
        <v>983</v>
      </c>
      <c r="H314" s="72" cm="1">
        <f t="array" aca="1" ref="H31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14" s="96">
        <f ca="1">IF(Table2[[#This Row],[Team]]="FA",0,Table2[[#This Row],[Pts/G]]*(1-Table2[[#This Row],[% Pos Overlap]]))</f>
        <v>12.695121951219512</v>
      </c>
      <c r="J314" s="72" cm="1">
        <f t="array" aca="1" ref="J314" ca="1">(INDIRECT(ADDRESS((_xlfn.XMATCH(Table2[[#This Row],[Team]],Schedule!$A$1:$A$33)),5,1,1,"Sched Overlap")))</f>
        <v>0.63573463573463573</v>
      </c>
      <c r="K314" s="92" cm="1">
        <f t="array" aca="1" ref="K31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14" s="95">
        <f ca="1">IF(Table2[[#This Row],[Team]]="FA",0,Table2[[#This Row],[Pts/G]]*(Table2[[#This Row],[Games Playable]]/82))</f>
        <v>12.695121951219512</v>
      </c>
      <c r="M314" s="95" cm="1">
        <f t="array" aca="1" ref="M314" ca="1">Table2[[#This Row],[Playable x Score]]*_xlfn.IFS(Table2[[#This Row],[Pos]]="D",assumptions!$B$15,Table2[[#This Row],[Pos]]="F", assumptions!$B$14,Table2[[#This Row],[Pos]]="G",assumptions!$B$16)</f>
        <v>12.695121951219512</v>
      </c>
    </row>
    <row r="315" spans="1:13" x14ac:dyDescent="0.3">
      <c r="A315">
        <f>'score estimates'!$A315</f>
        <v>312</v>
      </c>
      <c r="B315" t="str">
        <f>'score estimates'!$B315</f>
        <v>Hampus Lindholm</v>
      </c>
      <c r="C315" t="str">
        <f>'score estimates'!$D315</f>
        <v>D</v>
      </c>
      <c r="D315" t="str">
        <f>'score estimates'!$C315</f>
        <v>BOS</v>
      </c>
      <c r="E315" s="75">
        <f>'score estimates'!$F315</f>
        <v>18.719512195121951</v>
      </c>
      <c r="F315" s="71">
        <f>'score estimates'!$G315</f>
        <v>282</v>
      </c>
      <c r="G315" s="71" t="s">
        <v>983</v>
      </c>
      <c r="H315" s="72" cm="1">
        <f t="array" aca="1" ref="H31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15" s="96">
        <f ca="1">IF(Table2[[#This Row],[Team]]="FA",0,Table2[[#This Row],[Pts/G]]*(1-Table2[[#This Row],[% Pos Overlap]]))</f>
        <v>18.719512195121951</v>
      </c>
      <c r="J315" s="72" cm="1">
        <f t="array" aca="1" ref="J315" ca="1">(INDIRECT(ADDRESS((_xlfn.XMATCH(Table2[[#This Row],[Team]],Schedule!$A$1:$A$33)),5,1,1,"Sched Overlap")))</f>
        <v>0.67236467236467234</v>
      </c>
      <c r="K315" s="92" cm="1">
        <f t="array" aca="1" ref="K31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15" s="95">
        <f ca="1">IF(Table2[[#This Row],[Team]]="FA",0,Table2[[#This Row],[Pts/G]]*(Table2[[#This Row],[Games Playable]]/82))</f>
        <v>18.719512195121951</v>
      </c>
      <c r="M315" s="95" cm="1">
        <f t="array" aca="1" ref="M315" ca="1">Table2[[#This Row],[Playable x Score]]*_xlfn.IFS(Table2[[#This Row],[Pos]]="D",assumptions!$B$15,Table2[[#This Row],[Pos]]="F", assumptions!$B$14,Table2[[#This Row],[Pos]]="G",assumptions!$B$16)</f>
        <v>23.399390243902438</v>
      </c>
    </row>
    <row r="316" spans="1:13" x14ac:dyDescent="0.3">
      <c r="A316">
        <f>'score estimates'!$A316</f>
        <v>313</v>
      </c>
      <c r="B316" t="str">
        <f>'score estimates'!$B316</f>
        <v>Nils Hoglander</v>
      </c>
      <c r="C316" t="str">
        <f>'score estimates'!$D316</f>
        <v>F</v>
      </c>
      <c r="D316" t="str">
        <f>'score estimates'!$C316</f>
        <v>VAN</v>
      </c>
      <c r="E316" s="75">
        <f>'score estimates'!$F316</f>
        <v>15.24390243902439</v>
      </c>
      <c r="F316" s="71">
        <f>'score estimates'!$G316</f>
        <v>385</v>
      </c>
      <c r="G316" s="71" t="s">
        <v>983</v>
      </c>
      <c r="H316" s="72" cm="1">
        <f t="array" aca="1" ref="H31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16" s="96">
        <f ca="1">IF(Table2[[#This Row],[Team]]="FA",0,Table2[[#This Row],[Pts/G]]*(1-Table2[[#This Row],[% Pos Overlap]]))</f>
        <v>15.24390243902439</v>
      </c>
      <c r="J316" s="72" cm="1">
        <f t="array" aca="1" ref="J316" ca="1">(INDIRECT(ADDRESS((_xlfn.XMATCH(Table2[[#This Row],[Team]],Schedule!$A$1:$A$33)),5,1,1,"Sched Overlap")))</f>
        <v>0.62922262922262917</v>
      </c>
      <c r="K316" s="92" cm="1">
        <f t="array" aca="1" ref="K31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16" s="95">
        <f ca="1">IF(Table2[[#This Row],[Team]]="FA",0,Table2[[#This Row],[Pts/G]]*(Table2[[#This Row],[Games Playable]]/82))</f>
        <v>15.24390243902439</v>
      </c>
      <c r="M316" s="95" cm="1">
        <f t="array" aca="1" ref="M316" ca="1">Table2[[#This Row],[Playable x Score]]*_xlfn.IFS(Table2[[#This Row],[Pos]]="D",assumptions!$B$15,Table2[[#This Row],[Pos]]="F", assumptions!$B$14,Table2[[#This Row],[Pos]]="G",assumptions!$B$16)</f>
        <v>15.24390243902439</v>
      </c>
    </row>
    <row r="317" spans="1:13" x14ac:dyDescent="0.3">
      <c r="A317">
        <f>'score estimates'!$A317</f>
        <v>314</v>
      </c>
      <c r="B317" t="str">
        <f>'score estimates'!$B317</f>
        <v>Nathan Smith</v>
      </c>
      <c r="C317" t="str">
        <f>'score estimates'!$D317</f>
        <v>F</v>
      </c>
      <c r="D317" t="str">
        <f>'score estimates'!$C317</f>
        <v>ARI</v>
      </c>
      <c r="E317" s="75">
        <f>'score estimates'!$F317</f>
        <v>14.780487804878049</v>
      </c>
      <c r="F317" s="71">
        <f>'score estimates'!$G317</f>
        <v>395</v>
      </c>
      <c r="G317" s="71" t="s">
        <v>983</v>
      </c>
      <c r="H317" s="72" cm="1">
        <f t="array" aca="1" ref="H31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17" s="96">
        <f ca="1">IF(Table2[[#This Row],[Team]]="FA",0,Table2[[#This Row],[Pts/G]]*(1-Table2[[#This Row],[% Pos Overlap]]))</f>
        <v>14.780487804878049</v>
      </c>
      <c r="J317" s="72" cm="1">
        <f t="array" aca="1" ref="J317" ca="1">(INDIRECT(ADDRESS((_xlfn.XMATCH(Table2[[#This Row],[Team]],Schedule!$A$1:$A$33)),5,1,1,"Sched Overlap")))</f>
        <v>0.63247863247863279</v>
      </c>
      <c r="K317" s="92" cm="1">
        <f t="array" aca="1" ref="K31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17" s="95">
        <f ca="1">IF(Table2[[#This Row],[Team]]="FA",0,Table2[[#This Row],[Pts/G]]*(Table2[[#This Row],[Games Playable]]/82))</f>
        <v>14.780487804878049</v>
      </c>
      <c r="M317" s="95" cm="1">
        <f t="array" aca="1" ref="M317" ca="1">Table2[[#This Row],[Playable x Score]]*_xlfn.IFS(Table2[[#This Row],[Pos]]="D",assumptions!$B$15,Table2[[#This Row],[Pos]]="F", assumptions!$B$14,Table2[[#This Row],[Pos]]="G",assumptions!$B$16)</f>
        <v>14.780487804878049</v>
      </c>
    </row>
    <row r="318" spans="1:13" x14ac:dyDescent="0.3">
      <c r="A318">
        <f>'score estimates'!$A318</f>
        <v>315</v>
      </c>
      <c r="B318" t="str">
        <f>'score estimates'!$B318</f>
        <v>Alex Formenton</v>
      </c>
      <c r="C318" t="str">
        <f>'score estimates'!$D318</f>
        <v>F</v>
      </c>
      <c r="D318" t="str">
        <f>'score estimates'!$C318</f>
        <v>OTT</v>
      </c>
      <c r="E318" s="75">
        <f>'score estimates'!$F318</f>
        <v>16.329268292682926</v>
      </c>
      <c r="F318" s="71">
        <f>'score estimates'!$G318</f>
        <v>349</v>
      </c>
      <c r="G318" s="71" t="s">
        <v>983</v>
      </c>
      <c r="H318" s="72" cm="1">
        <f t="array" aca="1" ref="H31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18" s="96">
        <f ca="1">IF(Table2[[#This Row],[Team]]="FA",0,Table2[[#This Row],[Pts/G]]*(1-Table2[[#This Row],[% Pos Overlap]]))</f>
        <v>16.329268292682926</v>
      </c>
      <c r="J318" s="72" cm="1">
        <f t="array" aca="1" ref="J318" ca="1">(INDIRECT(ADDRESS((_xlfn.XMATCH(Table2[[#This Row],[Team]],Schedule!$A$1:$A$33)),5,1,1,"Sched Overlap")))</f>
        <v>0.64306064306064303</v>
      </c>
      <c r="K318" s="92" cm="1">
        <f t="array" aca="1" ref="K31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18" s="95">
        <f ca="1">IF(Table2[[#This Row],[Team]]="FA",0,Table2[[#This Row],[Pts/G]]*(Table2[[#This Row],[Games Playable]]/82))</f>
        <v>16.329268292682926</v>
      </c>
      <c r="M318" s="95" cm="1">
        <f t="array" aca="1" ref="M318" ca="1">Table2[[#This Row],[Playable x Score]]*_xlfn.IFS(Table2[[#This Row],[Pos]]="D",assumptions!$B$15,Table2[[#This Row],[Pos]]="F", assumptions!$B$14,Table2[[#This Row],[Pos]]="G",assumptions!$B$16)</f>
        <v>16.329268292682926</v>
      </c>
    </row>
    <row r="319" spans="1:13" x14ac:dyDescent="0.3">
      <c r="A319">
        <f>'score estimates'!$A319</f>
        <v>316</v>
      </c>
      <c r="B319" t="str">
        <f>'score estimates'!$B319</f>
        <v>Travis Boyd</v>
      </c>
      <c r="C319" t="str">
        <f>'score estimates'!$D319</f>
        <v>F</v>
      </c>
      <c r="D319" t="str">
        <f>'score estimates'!$C319</f>
        <v>ARI</v>
      </c>
      <c r="E319" s="75">
        <f>'score estimates'!$F319</f>
        <v>13.670731707317072</v>
      </c>
      <c r="F319" s="71">
        <f>'score estimates'!$G319</f>
        <v>440</v>
      </c>
      <c r="G319" s="71" t="s">
        <v>983</v>
      </c>
      <c r="H319" s="72" cm="1">
        <f t="array" aca="1" ref="H31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19" s="96">
        <f ca="1">IF(Table2[[#This Row],[Team]]="FA",0,Table2[[#This Row],[Pts/G]]*(1-Table2[[#This Row],[% Pos Overlap]]))</f>
        <v>13.670731707317072</v>
      </c>
      <c r="J319" s="72" cm="1">
        <f t="array" aca="1" ref="J319" ca="1">(INDIRECT(ADDRESS((_xlfn.XMATCH(Table2[[#This Row],[Team]],Schedule!$A$1:$A$33)),5,1,1,"Sched Overlap")))</f>
        <v>0.63247863247863279</v>
      </c>
      <c r="K319" s="92" cm="1">
        <f t="array" aca="1" ref="K31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19" s="95">
        <f ca="1">IF(Table2[[#This Row],[Team]]="FA",0,Table2[[#This Row],[Pts/G]]*(Table2[[#This Row],[Games Playable]]/82))</f>
        <v>13.670731707317072</v>
      </c>
      <c r="M319" s="95" cm="1">
        <f t="array" aca="1" ref="M319" ca="1">Table2[[#This Row],[Playable x Score]]*_xlfn.IFS(Table2[[#This Row],[Pos]]="D",assumptions!$B$15,Table2[[#This Row],[Pos]]="F", assumptions!$B$14,Table2[[#This Row],[Pos]]="G",assumptions!$B$16)</f>
        <v>13.670731707317072</v>
      </c>
    </row>
    <row r="320" spans="1:13" x14ac:dyDescent="0.3">
      <c r="A320">
        <f>'score estimates'!$A320</f>
        <v>317</v>
      </c>
      <c r="B320" t="str">
        <f>'score estimates'!$B320</f>
        <v>Taylor Raddysh</v>
      </c>
      <c r="C320" t="str">
        <f>'score estimates'!$D320</f>
        <v>F</v>
      </c>
      <c r="D320" t="str">
        <f>'score estimates'!$C320</f>
        <v>CHI</v>
      </c>
      <c r="E320" s="75">
        <f>'score estimates'!$F320</f>
        <v>15.841463414634147</v>
      </c>
      <c r="F320" s="71">
        <f>'score estimates'!$G320</f>
        <v>370</v>
      </c>
      <c r="G320" s="71" t="s">
        <v>983</v>
      </c>
      <c r="H320" s="72" cm="1">
        <f t="array" aca="1" ref="H32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20" s="96">
        <f ca="1">IF(Table2[[#This Row],[Team]]="FA",0,Table2[[#This Row],[Pts/G]]*(1-Table2[[#This Row],[% Pos Overlap]]))</f>
        <v>15.841463414634147</v>
      </c>
      <c r="J320" s="72" cm="1">
        <f t="array" aca="1" ref="J320" ca="1">(INDIRECT(ADDRESS((_xlfn.XMATCH(Table2[[#This Row],[Team]],Schedule!$A$1:$A$33)),5,1,1,"Sched Overlap")))</f>
        <v>0.6243386243386243</v>
      </c>
      <c r="K320" s="92" cm="1">
        <f t="array" aca="1" ref="K32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20" s="95">
        <f ca="1">IF(Table2[[#This Row],[Team]]="FA",0,Table2[[#This Row],[Pts/G]]*(Table2[[#This Row],[Games Playable]]/82))</f>
        <v>15.841463414634147</v>
      </c>
      <c r="M320" s="95" cm="1">
        <f t="array" aca="1" ref="M320" ca="1">Table2[[#This Row],[Playable x Score]]*_xlfn.IFS(Table2[[#This Row],[Pos]]="D",assumptions!$B$15,Table2[[#This Row],[Pos]]="F", assumptions!$B$14,Table2[[#This Row],[Pos]]="G",assumptions!$B$16)</f>
        <v>15.841463414634147</v>
      </c>
    </row>
    <row r="321" spans="1:13" x14ac:dyDescent="0.3">
      <c r="A321">
        <f>'score estimates'!$A321</f>
        <v>318</v>
      </c>
      <c r="B321" t="str">
        <f>'score estimates'!$B321</f>
        <v>Alexandre Carrier</v>
      </c>
      <c r="C321" t="str">
        <f>'score estimates'!$D321</f>
        <v>D</v>
      </c>
      <c r="D321" t="str">
        <f>'score estimates'!$C321</f>
        <v>NSH</v>
      </c>
      <c r="E321" s="75">
        <f>'score estimates'!$F321</f>
        <v>20.121951219512194</v>
      </c>
      <c r="F321" s="71">
        <f>'score estimates'!$G321</f>
        <v>245</v>
      </c>
      <c r="G321" s="71" t="s">
        <v>983</v>
      </c>
      <c r="H321" s="72" cm="1">
        <f t="array" aca="1" ref="H32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21" s="96">
        <f ca="1">IF(Table2[[#This Row],[Team]]="FA",0,Table2[[#This Row],[Pts/G]]*(1-Table2[[#This Row],[% Pos Overlap]]))</f>
        <v>20.121951219512194</v>
      </c>
      <c r="J321" s="72" cm="1">
        <f t="array" aca="1" ref="J321" ca="1">(INDIRECT(ADDRESS((_xlfn.XMATCH(Table2[[#This Row],[Team]],Schedule!$A$1:$A$33)),5,1,1,"Sched Overlap")))</f>
        <v>0.67806267806267806</v>
      </c>
      <c r="K321" s="92" cm="1">
        <f t="array" aca="1" ref="K32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21" s="95">
        <f ca="1">IF(Table2[[#This Row],[Team]]="FA",0,Table2[[#This Row],[Pts/G]]*(Table2[[#This Row],[Games Playable]]/82))</f>
        <v>20.121951219512194</v>
      </c>
      <c r="M321" s="95" cm="1">
        <f t="array" aca="1" ref="M321" ca="1">Table2[[#This Row],[Playable x Score]]*_xlfn.IFS(Table2[[#This Row],[Pos]]="D",assumptions!$B$15,Table2[[#This Row],[Pos]]="F", assumptions!$B$14,Table2[[#This Row],[Pos]]="G",assumptions!$B$16)</f>
        <v>25.152439024390244</v>
      </c>
    </row>
    <row r="322" spans="1:13" x14ac:dyDescent="0.3">
      <c r="A322">
        <f>'score estimates'!$A322</f>
        <v>319</v>
      </c>
      <c r="B322" t="str">
        <f>'score estimates'!$B322</f>
        <v>Oskar Lindblom</v>
      </c>
      <c r="C322" t="str">
        <f>'score estimates'!$D322</f>
        <v>F</v>
      </c>
      <c r="D322" t="str">
        <f>'score estimates'!$C322</f>
        <v>SJ</v>
      </c>
      <c r="E322" s="75">
        <f>'score estimates'!$F322</f>
        <v>13.353658536585366</v>
      </c>
      <c r="F322" s="71">
        <f>'score estimates'!$G322</f>
        <v>454</v>
      </c>
      <c r="G322" s="71" t="s">
        <v>983</v>
      </c>
      <c r="H322" s="72" cm="1">
        <f t="array" aca="1" ref="H32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22" s="96">
        <f ca="1">IF(Table2[[#This Row],[Team]]="FA",0,Table2[[#This Row],[Pts/G]]*(1-Table2[[#This Row],[% Pos Overlap]]))</f>
        <v>13.353658536585366</v>
      </c>
      <c r="J322" s="72" cm="1">
        <f t="array" aca="1" ref="J322" ca="1">(INDIRECT(ADDRESS((_xlfn.XMATCH(Table2[[#This Row],[Team]],Schedule!$A$1:$A$33)),5,1,1,"Sched Overlap")))</f>
        <v>0.63492063492063477</v>
      </c>
      <c r="K322" s="92" cm="1">
        <f t="array" aca="1" ref="K32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22" s="95">
        <f ca="1">IF(Table2[[#This Row],[Team]]="FA",0,Table2[[#This Row],[Pts/G]]*(Table2[[#This Row],[Games Playable]]/82))</f>
        <v>13.353658536585366</v>
      </c>
      <c r="M322" s="95" cm="1">
        <f t="array" aca="1" ref="M322" ca="1">Table2[[#This Row],[Playable x Score]]*_xlfn.IFS(Table2[[#This Row],[Pos]]="D",assumptions!$B$15,Table2[[#This Row],[Pos]]="F", assumptions!$B$14,Table2[[#This Row],[Pos]]="G",assumptions!$B$16)</f>
        <v>13.353658536585366</v>
      </c>
    </row>
    <row r="323" spans="1:13" x14ac:dyDescent="0.3">
      <c r="A323">
        <f>'score estimates'!$A323</f>
        <v>320</v>
      </c>
      <c r="B323" t="str">
        <f>'score estimates'!$B323</f>
        <v>Timothy Liljegren</v>
      </c>
      <c r="C323" t="str">
        <f>'score estimates'!$D323</f>
        <v>D</v>
      </c>
      <c r="D323" t="str">
        <f>'score estimates'!$C323</f>
        <v>TOR</v>
      </c>
      <c r="E323" s="75">
        <f>'score estimates'!$F323</f>
        <v>16.134146341463413</v>
      </c>
      <c r="F323" s="71">
        <f>'score estimates'!$G323</f>
        <v>356</v>
      </c>
      <c r="G323" s="71" t="s">
        <v>983</v>
      </c>
      <c r="H323" s="72" cm="1">
        <f t="array" aca="1" ref="H32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23" s="96">
        <f ca="1">IF(Table2[[#This Row],[Team]]="FA",0,Table2[[#This Row],[Pts/G]]*(1-Table2[[#This Row],[% Pos Overlap]]))</f>
        <v>16.134146341463413</v>
      </c>
      <c r="J323" s="72" cm="1">
        <f t="array" aca="1" ref="J323" ca="1">(INDIRECT(ADDRESS((_xlfn.XMATCH(Table2[[#This Row],[Team]],Schedule!$A$1:$A$33)),5,1,1,"Sched Overlap")))</f>
        <v>0.62922262922262928</v>
      </c>
      <c r="K323" s="92" cm="1">
        <f t="array" aca="1" ref="K32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23" s="95">
        <f ca="1">IF(Table2[[#This Row],[Team]]="FA",0,Table2[[#This Row],[Pts/G]]*(Table2[[#This Row],[Games Playable]]/82))</f>
        <v>16.134146341463413</v>
      </c>
      <c r="M323" s="95" cm="1">
        <f t="array" aca="1" ref="M323" ca="1">Table2[[#This Row],[Playable x Score]]*_xlfn.IFS(Table2[[#This Row],[Pos]]="D",assumptions!$B$15,Table2[[#This Row],[Pos]]="F", assumptions!$B$14,Table2[[#This Row],[Pos]]="G",assumptions!$B$16)</f>
        <v>20.167682926829265</v>
      </c>
    </row>
    <row r="324" spans="1:13" x14ac:dyDescent="0.3">
      <c r="A324">
        <f>'score estimates'!$A324</f>
        <v>321</v>
      </c>
      <c r="B324" t="str">
        <f>'score estimates'!$B324</f>
        <v>Jack Drury</v>
      </c>
      <c r="C324" t="str">
        <f>'score estimates'!$D324</f>
        <v>F</v>
      </c>
      <c r="D324" t="str">
        <f>'score estimates'!$C324</f>
        <v>CAR</v>
      </c>
      <c r="E324" s="75">
        <f>'score estimates'!$F324</f>
        <v>18.817073170731707</v>
      </c>
      <c r="F324" s="71">
        <f>'score estimates'!$G324</f>
        <v>277</v>
      </c>
      <c r="G324" s="71" t="s">
        <v>983</v>
      </c>
      <c r="H324" s="72" cm="1">
        <f t="array" aca="1" ref="H32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24" s="96">
        <f ca="1">IF(Table2[[#This Row],[Team]]="FA",0,Table2[[#This Row],[Pts/G]]*(1-Table2[[#This Row],[% Pos Overlap]]))</f>
        <v>18.817073170731707</v>
      </c>
      <c r="J324" s="72" cm="1">
        <f t="array" aca="1" ref="J324" ca="1">(INDIRECT(ADDRESS((_xlfn.XMATCH(Table2[[#This Row],[Team]],Schedule!$A$1:$A$33)),5,1,1,"Sched Overlap")))</f>
        <v>0.63247863247863245</v>
      </c>
      <c r="K324" s="92" cm="1">
        <f t="array" aca="1" ref="K32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24" s="95">
        <f ca="1">IF(Table2[[#This Row],[Team]]="FA",0,Table2[[#This Row],[Pts/G]]*(Table2[[#This Row],[Games Playable]]/82))</f>
        <v>18.817073170731707</v>
      </c>
      <c r="M324" s="95" cm="1">
        <f t="array" aca="1" ref="M324" ca="1">Table2[[#This Row],[Playable x Score]]*_xlfn.IFS(Table2[[#This Row],[Pos]]="D",assumptions!$B$15,Table2[[#This Row],[Pos]]="F", assumptions!$B$14,Table2[[#This Row],[Pos]]="G",assumptions!$B$16)</f>
        <v>18.817073170731707</v>
      </c>
    </row>
    <row r="325" spans="1:13" x14ac:dyDescent="0.3">
      <c r="A325">
        <f>'score estimates'!$A325</f>
        <v>322</v>
      </c>
      <c r="B325" t="str">
        <f>'score estimates'!$B325</f>
        <v>Philipp Kurashev</v>
      </c>
      <c r="C325" t="str">
        <f>'score estimates'!$D325</f>
        <v>F</v>
      </c>
      <c r="D325" t="str">
        <f>'score estimates'!$C325</f>
        <v>CHI</v>
      </c>
      <c r="E325" s="75">
        <f>'score estimates'!$F325</f>
        <v>11.890243902439025</v>
      </c>
      <c r="F325" s="71">
        <f>'score estimates'!$G325</f>
        <v>497</v>
      </c>
      <c r="G325" s="71" t="s">
        <v>983</v>
      </c>
      <c r="H325" s="72" cm="1">
        <f t="array" aca="1" ref="H32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25" s="96">
        <f ca="1">IF(Table2[[#This Row],[Team]]="FA",0,Table2[[#This Row],[Pts/G]]*(1-Table2[[#This Row],[% Pos Overlap]]))</f>
        <v>11.890243902439025</v>
      </c>
      <c r="J325" s="72" cm="1">
        <f t="array" aca="1" ref="J325" ca="1">(INDIRECT(ADDRESS((_xlfn.XMATCH(Table2[[#This Row],[Team]],Schedule!$A$1:$A$33)),5,1,1,"Sched Overlap")))</f>
        <v>0.6243386243386243</v>
      </c>
      <c r="K325" s="92" cm="1">
        <f t="array" aca="1" ref="K32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25" s="95">
        <f ca="1">IF(Table2[[#This Row],[Team]]="FA",0,Table2[[#This Row],[Pts/G]]*(Table2[[#This Row],[Games Playable]]/82))</f>
        <v>11.890243902439025</v>
      </c>
      <c r="M325" s="95" cm="1">
        <f t="array" aca="1" ref="M325" ca="1">Table2[[#This Row],[Playable x Score]]*_xlfn.IFS(Table2[[#This Row],[Pos]]="D",assumptions!$B$15,Table2[[#This Row],[Pos]]="F", assumptions!$B$14,Table2[[#This Row],[Pos]]="G",assumptions!$B$16)</f>
        <v>11.890243902439025</v>
      </c>
    </row>
    <row r="326" spans="1:13" x14ac:dyDescent="0.3">
      <c r="A326">
        <f>'score estimates'!$A326</f>
        <v>323</v>
      </c>
      <c r="B326" t="str">
        <f>'score estimates'!$B326</f>
        <v>Arthur Kaliyev</v>
      </c>
      <c r="C326" t="str">
        <f>'score estimates'!$D326</f>
        <v>F</v>
      </c>
      <c r="D326" t="str">
        <f>'score estimates'!$C326</f>
        <v>LA</v>
      </c>
      <c r="E326" s="75">
        <f>'score estimates'!$F326</f>
        <v>16.036585365853657</v>
      </c>
      <c r="F326" s="71">
        <f>'score estimates'!$G326</f>
        <v>360</v>
      </c>
      <c r="G326" s="71" t="s">
        <v>983</v>
      </c>
      <c r="H326" s="72" cm="1">
        <f t="array" aca="1" ref="H32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26" s="96">
        <f ca="1">IF(Table2[[#This Row],[Team]]="FA",0,Table2[[#This Row],[Pts/G]]*(1-Table2[[#This Row],[% Pos Overlap]]))</f>
        <v>16.036585365853657</v>
      </c>
      <c r="J326" s="72" cm="1">
        <f t="array" aca="1" ref="J326" ca="1">(INDIRECT(ADDRESS((_xlfn.XMATCH(Table2[[#This Row],[Team]],Schedule!$A$1:$A$33)),5,1,1,"Sched Overlap")))</f>
        <v>0.65201465201465225</v>
      </c>
      <c r="K326" s="92" cm="1">
        <f t="array" aca="1" ref="K32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26" s="95">
        <f ca="1">IF(Table2[[#This Row],[Team]]="FA",0,Table2[[#This Row],[Pts/G]]*(Table2[[#This Row],[Games Playable]]/82))</f>
        <v>16.036585365853657</v>
      </c>
      <c r="M326" s="95" cm="1">
        <f t="array" aca="1" ref="M326" ca="1">Table2[[#This Row],[Playable x Score]]*_xlfn.IFS(Table2[[#This Row],[Pos]]="D",assumptions!$B$15,Table2[[#This Row],[Pos]]="F", assumptions!$B$14,Table2[[#This Row],[Pos]]="G",assumptions!$B$16)</f>
        <v>16.036585365853657</v>
      </c>
    </row>
    <row r="327" spans="1:13" x14ac:dyDescent="0.3">
      <c r="A327">
        <f>'score estimates'!$A327</f>
        <v>324</v>
      </c>
      <c r="B327" t="str">
        <f>'score estimates'!$B327</f>
        <v>Mike Matheson</v>
      </c>
      <c r="C327" t="str">
        <f>'score estimates'!$D327</f>
        <v>D</v>
      </c>
      <c r="D327" t="str">
        <f>'score estimates'!$C327</f>
        <v>MON</v>
      </c>
      <c r="E327" s="75">
        <f>'score estimates'!$F327</f>
        <v>16.292682926829269</v>
      </c>
      <c r="F327" s="71">
        <f>'score estimates'!$G327</f>
        <v>350</v>
      </c>
      <c r="G327" s="71" t="s">
        <v>983</v>
      </c>
      <c r="H327" s="72" cm="1">
        <f t="array" aca="1" ref="H32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27" s="96">
        <f ca="1">IF(Table2[[#This Row],[Team]]="FA",0,Table2[[#This Row],[Pts/G]]*(1-Table2[[#This Row],[% Pos Overlap]]))</f>
        <v>16.292682926829269</v>
      </c>
      <c r="J327" s="72" cm="1">
        <f t="array" aca="1" ref="J327" ca="1">(INDIRECT(ADDRESS((_xlfn.XMATCH(Table2[[#This Row],[Team]],Schedule!$A$1:$A$33)),5,1,1,"Sched Overlap")))</f>
        <v>0.66666666666666685</v>
      </c>
      <c r="K327" s="92" cm="1">
        <f t="array" aca="1" ref="K32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27" s="95">
        <f ca="1">IF(Table2[[#This Row],[Team]]="FA",0,Table2[[#This Row],[Pts/G]]*(Table2[[#This Row],[Games Playable]]/82))</f>
        <v>16.292682926829269</v>
      </c>
      <c r="M327" s="95" cm="1">
        <f t="array" aca="1" ref="M327" ca="1">Table2[[#This Row],[Playable x Score]]*_xlfn.IFS(Table2[[#This Row],[Pos]]="D",assumptions!$B$15,Table2[[#This Row],[Pos]]="F", assumptions!$B$14,Table2[[#This Row],[Pos]]="G",assumptions!$B$16)</f>
        <v>20.365853658536587</v>
      </c>
    </row>
    <row r="328" spans="1:13" x14ac:dyDescent="0.3">
      <c r="A328">
        <f>'score estimates'!$A328</f>
        <v>325</v>
      </c>
      <c r="B328" t="str">
        <f>'score estimates'!$B328</f>
        <v>Adam Pelech</v>
      </c>
      <c r="C328" t="str">
        <f>'score estimates'!$D328</f>
        <v>D</v>
      </c>
      <c r="D328" t="str">
        <f>'score estimates'!$C328</f>
        <v>NYI</v>
      </c>
      <c r="E328" s="75">
        <f>'score estimates'!$F328</f>
        <v>18.902439024390244</v>
      </c>
      <c r="F328" s="71">
        <f>'score estimates'!$G328</f>
        <v>276</v>
      </c>
      <c r="G328" s="71" t="s">
        <v>983</v>
      </c>
      <c r="H328" s="72" cm="1">
        <f t="array" aca="1" ref="H32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28" s="96">
        <f ca="1">IF(Table2[[#This Row],[Team]]="FA",0,Table2[[#This Row],[Pts/G]]*(1-Table2[[#This Row],[% Pos Overlap]]))</f>
        <v>18.902439024390244</v>
      </c>
      <c r="J328" s="72" cm="1">
        <f t="array" aca="1" ref="J328" ca="1">(INDIRECT(ADDRESS((_xlfn.XMATCH(Table2[[#This Row],[Team]],Schedule!$A$1:$A$33)),5,1,1,"Sched Overlap")))</f>
        <v>0.63166463166463194</v>
      </c>
      <c r="K328" s="92" cm="1">
        <f t="array" aca="1" ref="K32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28" s="95">
        <f ca="1">IF(Table2[[#This Row],[Team]]="FA",0,Table2[[#This Row],[Pts/G]]*(Table2[[#This Row],[Games Playable]]/82))</f>
        <v>18.902439024390244</v>
      </c>
      <c r="M328" s="95" cm="1">
        <f t="array" aca="1" ref="M328" ca="1">Table2[[#This Row],[Playable x Score]]*_xlfn.IFS(Table2[[#This Row],[Pos]]="D",assumptions!$B$15,Table2[[#This Row],[Pos]]="F", assumptions!$B$14,Table2[[#This Row],[Pos]]="G",assumptions!$B$16)</f>
        <v>23.628048780487806</v>
      </c>
    </row>
    <row r="329" spans="1:13" x14ac:dyDescent="0.3">
      <c r="A329">
        <f>'score estimates'!$A329</f>
        <v>326</v>
      </c>
      <c r="B329" t="str">
        <f>'score estimates'!$B329</f>
        <v>Sean Monahan</v>
      </c>
      <c r="C329" t="str">
        <f>'score estimates'!$D329</f>
        <v>F</v>
      </c>
      <c r="D329" t="str">
        <f>'score estimates'!$C329</f>
        <v>MON</v>
      </c>
      <c r="E329" s="75">
        <f>'score estimates'!$F329</f>
        <v>13.524390243902438</v>
      </c>
      <c r="F329" s="71">
        <f>'score estimates'!$G329</f>
        <v>448</v>
      </c>
      <c r="G329" s="71" t="s">
        <v>983</v>
      </c>
      <c r="H329" s="72" cm="1">
        <f t="array" aca="1" ref="H32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29" s="96">
        <f ca="1">IF(Table2[[#This Row],[Team]]="FA",0,Table2[[#This Row],[Pts/G]]*(1-Table2[[#This Row],[% Pos Overlap]]))</f>
        <v>13.524390243902438</v>
      </c>
      <c r="J329" s="72" cm="1">
        <f t="array" aca="1" ref="J329" ca="1">(INDIRECT(ADDRESS((_xlfn.XMATCH(Table2[[#This Row],[Team]],Schedule!$A$1:$A$33)),5,1,1,"Sched Overlap")))</f>
        <v>0.66666666666666685</v>
      </c>
      <c r="K329" s="92" cm="1">
        <f t="array" aca="1" ref="K32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29" s="95">
        <f ca="1">IF(Table2[[#This Row],[Team]]="FA",0,Table2[[#This Row],[Pts/G]]*(Table2[[#This Row],[Games Playable]]/82))</f>
        <v>13.524390243902438</v>
      </c>
      <c r="M329" s="95" cm="1">
        <f t="array" aca="1" ref="M329" ca="1">Table2[[#This Row],[Playable x Score]]*_xlfn.IFS(Table2[[#This Row],[Pos]]="D",assumptions!$B$15,Table2[[#This Row],[Pos]]="F", assumptions!$B$14,Table2[[#This Row],[Pos]]="G",assumptions!$B$16)</f>
        <v>13.524390243902438</v>
      </c>
    </row>
    <row r="330" spans="1:13" x14ac:dyDescent="0.3">
      <c r="A330">
        <f>'score estimates'!$A330</f>
        <v>327</v>
      </c>
      <c r="B330" t="str">
        <f>'score estimates'!$B330</f>
        <v>Ryan Donato</v>
      </c>
      <c r="C330" t="str">
        <f>'score estimates'!$D330</f>
        <v>F</v>
      </c>
      <c r="D330" t="str">
        <f>'score estimates'!$C330</f>
        <v>SEA</v>
      </c>
      <c r="E330" s="75">
        <f>'score estimates'!$F330</f>
        <v>13.475609756097562</v>
      </c>
      <c r="F330" s="71">
        <f>'score estimates'!$G330</f>
        <v>449</v>
      </c>
      <c r="G330" s="71" t="s">
        <v>983</v>
      </c>
      <c r="H330" s="72" cm="1">
        <f t="array" aca="1" ref="H33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30" s="96">
        <f ca="1">IF(Table2[[#This Row],[Team]]="FA",0,Table2[[#This Row],[Pts/G]]*(1-Table2[[#This Row],[% Pos Overlap]]))</f>
        <v>13.475609756097562</v>
      </c>
      <c r="J330" s="72" cm="1">
        <f t="array" aca="1" ref="J330" ca="1">(INDIRECT(ADDRESS((_xlfn.XMATCH(Table2[[#This Row],[Team]],Schedule!$A$1:$A$33)),5,1,1,"Sched Overlap")))</f>
        <v>0.63085063085063087</v>
      </c>
      <c r="K330" s="92" cm="1">
        <f t="array" aca="1" ref="K33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30" s="95">
        <f ca="1">IF(Table2[[#This Row],[Team]]="FA",0,Table2[[#This Row],[Pts/G]]*(Table2[[#This Row],[Games Playable]]/82))</f>
        <v>13.475609756097562</v>
      </c>
      <c r="M330" s="95" cm="1">
        <f t="array" aca="1" ref="M330" ca="1">Table2[[#This Row],[Playable x Score]]*_xlfn.IFS(Table2[[#This Row],[Pos]]="D",assumptions!$B$15,Table2[[#This Row],[Pos]]="F", assumptions!$B$14,Table2[[#This Row],[Pos]]="G",assumptions!$B$16)</f>
        <v>13.475609756097562</v>
      </c>
    </row>
    <row r="331" spans="1:13" x14ac:dyDescent="0.3">
      <c r="A331">
        <f>'score estimates'!$A331</f>
        <v>328</v>
      </c>
      <c r="B331" t="str">
        <f>'score estimates'!$B331</f>
        <v>Vladislav Namestnikov</v>
      </c>
      <c r="C331" t="str">
        <f>'score estimates'!$D331</f>
        <v>F</v>
      </c>
      <c r="D331" t="str">
        <f>'score estimates'!$C331</f>
        <v>TB</v>
      </c>
      <c r="E331" s="75">
        <f>'score estimates'!$F331</f>
        <v>15.414634146341463</v>
      </c>
      <c r="F331" s="71">
        <f>'score estimates'!$G331</f>
        <v>381</v>
      </c>
      <c r="G331" s="71" t="s">
        <v>983</v>
      </c>
      <c r="H331" s="72" cm="1">
        <f t="array" aca="1" ref="H33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31" s="96">
        <f ca="1">IF(Table2[[#This Row],[Team]]="FA",0,Table2[[#This Row],[Pts/G]]*(1-Table2[[#This Row],[% Pos Overlap]]))</f>
        <v>15.414634146341463</v>
      </c>
      <c r="J331" s="72" cm="1">
        <f t="array" aca="1" ref="J331" ca="1">(INDIRECT(ADDRESS((_xlfn.XMATCH(Table2[[#This Row],[Team]],Schedule!$A$1:$A$33)),5,1,1,"Sched Overlap")))</f>
        <v>0.66422466422466431</v>
      </c>
      <c r="K331" s="92" cm="1">
        <f t="array" aca="1" ref="K33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31" s="95">
        <f ca="1">IF(Table2[[#This Row],[Team]]="FA",0,Table2[[#This Row],[Pts/G]]*(Table2[[#This Row],[Games Playable]]/82))</f>
        <v>15.414634146341463</v>
      </c>
      <c r="M331" s="95" cm="1">
        <f t="array" aca="1" ref="M331" ca="1">Table2[[#This Row],[Playable x Score]]*_xlfn.IFS(Table2[[#This Row],[Pos]]="D",assumptions!$B$15,Table2[[#This Row],[Pos]]="F", assumptions!$B$14,Table2[[#This Row],[Pos]]="G",assumptions!$B$16)</f>
        <v>15.414634146341463</v>
      </c>
    </row>
    <row r="332" spans="1:13" x14ac:dyDescent="0.3">
      <c r="A332">
        <f>'score estimates'!$A332</f>
        <v>329</v>
      </c>
      <c r="B332" t="str">
        <f>'score estimates'!$B332</f>
        <v>Ryan Ellis</v>
      </c>
      <c r="C332" t="str">
        <f>'score estimates'!$D332</f>
        <v>D</v>
      </c>
      <c r="D332" t="str">
        <f>'score estimates'!$C332</f>
        <v>PHI</v>
      </c>
      <c r="E332" s="75">
        <f>'score estimates'!$F332</f>
        <v>15.024390243902438</v>
      </c>
      <c r="F332" s="71">
        <f>'score estimates'!$G332</f>
        <v>388</v>
      </c>
      <c r="G332" s="71" t="s">
        <v>983</v>
      </c>
      <c r="H332" s="72" cm="1">
        <f t="array" aca="1" ref="H33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32" s="96">
        <f ca="1">IF(Table2[[#This Row],[Team]]="FA",0,Table2[[#This Row],[Pts/G]]*(1-Table2[[#This Row],[% Pos Overlap]]))</f>
        <v>15.024390243902438</v>
      </c>
      <c r="J332" s="72" cm="1">
        <f t="array" aca="1" ref="J332" ca="1">(INDIRECT(ADDRESS((_xlfn.XMATCH(Table2[[#This Row],[Team]],Schedule!$A$1:$A$33)),5,1,1,"Sched Overlap")))</f>
        <v>0.66910866910866917</v>
      </c>
      <c r="K332" s="92" cm="1">
        <f t="array" aca="1" ref="K33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32" s="95">
        <f ca="1">IF(Table2[[#This Row],[Team]]="FA",0,Table2[[#This Row],[Pts/G]]*(Table2[[#This Row],[Games Playable]]/82))</f>
        <v>15.024390243902438</v>
      </c>
      <c r="M332" s="95" cm="1">
        <f t="array" aca="1" ref="M332" ca="1">Table2[[#This Row],[Playable x Score]]*_xlfn.IFS(Table2[[#This Row],[Pos]]="D",assumptions!$B$15,Table2[[#This Row],[Pos]]="F", assumptions!$B$14,Table2[[#This Row],[Pos]]="G",assumptions!$B$16)</f>
        <v>18.780487804878049</v>
      </c>
    </row>
    <row r="333" spans="1:13" x14ac:dyDescent="0.3">
      <c r="A333">
        <f>'score estimates'!$A333</f>
        <v>330</v>
      </c>
      <c r="B333" t="str">
        <f>'score estimates'!$B333</f>
        <v>Alex Goligoski</v>
      </c>
      <c r="C333" t="str">
        <f>'score estimates'!$D333</f>
        <v>D</v>
      </c>
      <c r="D333" t="str">
        <f>'score estimates'!$C333</f>
        <v>MIN</v>
      </c>
      <c r="E333" s="75">
        <f>'score estimates'!$F333</f>
        <v>18.121951219512194</v>
      </c>
      <c r="F333" s="71">
        <f>'score estimates'!$G333</f>
        <v>296</v>
      </c>
      <c r="G333" s="71" t="s">
        <v>983</v>
      </c>
      <c r="H333" s="72" cm="1">
        <f t="array" aca="1" ref="H33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33" s="96">
        <f ca="1">IF(Table2[[#This Row],[Team]]="FA",0,Table2[[#This Row],[Pts/G]]*(1-Table2[[#This Row],[% Pos Overlap]]))</f>
        <v>18.121951219512194</v>
      </c>
      <c r="J333" s="72" cm="1">
        <f t="array" aca="1" ref="J333" ca="1">(INDIRECT(ADDRESS((_xlfn.XMATCH(Table2[[#This Row],[Team]],Schedule!$A$1:$A$33)),5,1,1,"Sched Overlap")))</f>
        <v>0.62108262108262113</v>
      </c>
      <c r="K333" s="92" cm="1">
        <f t="array" aca="1" ref="K33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33" s="95">
        <f ca="1">IF(Table2[[#This Row],[Team]]="FA",0,Table2[[#This Row],[Pts/G]]*(Table2[[#This Row],[Games Playable]]/82))</f>
        <v>18.121951219512194</v>
      </c>
      <c r="M333" s="95" cm="1">
        <f t="array" aca="1" ref="M333" ca="1">Table2[[#This Row],[Playable x Score]]*_xlfn.IFS(Table2[[#This Row],[Pos]]="D",assumptions!$B$15,Table2[[#This Row],[Pos]]="F", assumptions!$B$14,Table2[[#This Row],[Pos]]="G",assumptions!$B$16)</f>
        <v>22.652439024390244</v>
      </c>
    </row>
    <row r="334" spans="1:13" x14ac:dyDescent="0.3">
      <c r="A334">
        <f>'score estimates'!$A334</f>
        <v>331</v>
      </c>
      <c r="B334" t="str">
        <f>'score estimates'!$B334</f>
        <v>Patric Hornqvist</v>
      </c>
      <c r="C334" t="str">
        <f>'score estimates'!$D334</f>
        <v>F</v>
      </c>
      <c r="D334" t="str">
        <f>'score estimates'!$C334</f>
        <v>FLA</v>
      </c>
      <c r="E334" s="75">
        <f>'score estimates'!$F334</f>
        <v>15.060975609756097</v>
      </c>
      <c r="F334" s="71">
        <f>'score estimates'!$G334</f>
        <v>387</v>
      </c>
      <c r="G334" s="71" t="s">
        <v>983</v>
      </c>
      <c r="H334" s="72" cm="1">
        <f t="array" aca="1" ref="H33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34" s="96">
        <f ca="1">IF(Table2[[#This Row],[Team]]="FA",0,Table2[[#This Row],[Pts/G]]*(1-Table2[[#This Row],[% Pos Overlap]]))</f>
        <v>15.060975609756097</v>
      </c>
      <c r="J334" s="72" cm="1">
        <f t="array" aca="1" ref="J334" ca="1">(INDIRECT(ADDRESS((_xlfn.XMATCH(Table2[[#This Row],[Team]],Schedule!$A$1:$A$33)),5,1,1,"Sched Overlap")))</f>
        <v>0.64387464387464377</v>
      </c>
      <c r="K334" s="92" cm="1">
        <f t="array" aca="1" ref="K33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34" s="95">
        <f ca="1">IF(Table2[[#This Row],[Team]]="FA",0,Table2[[#This Row],[Pts/G]]*(Table2[[#This Row],[Games Playable]]/82))</f>
        <v>15.060975609756097</v>
      </c>
      <c r="M334" s="95" cm="1">
        <f t="array" aca="1" ref="M334" ca="1">Table2[[#This Row],[Playable x Score]]*_xlfn.IFS(Table2[[#This Row],[Pos]]="D",assumptions!$B$15,Table2[[#This Row],[Pos]]="F", assumptions!$B$14,Table2[[#This Row],[Pos]]="G",assumptions!$B$16)</f>
        <v>15.060975609756097</v>
      </c>
    </row>
    <row r="335" spans="1:13" x14ac:dyDescent="0.3">
      <c r="A335">
        <f>'score estimates'!$A335</f>
        <v>332</v>
      </c>
      <c r="B335" t="str">
        <f>'score estimates'!$B335</f>
        <v>Nick Leddy</v>
      </c>
      <c r="C335" t="str">
        <f>'score estimates'!$D335</f>
        <v>D</v>
      </c>
      <c r="D335" t="str">
        <f>'score estimates'!$C335</f>
        <v>STL</v>
      </c>
      <c r="E335" s="75">
        <f>'score estimates'!$F335</f>
        <v>14.292682926829269</v>
      </c>
      <c r="F335" s="71">
        <f>'score estimates'!$G335</f>
        <v>413</v>
      </c>
      <c r="G335" s="71" t="s">
        <v>983</v>
      </c>
      <c r="H335" s="72" cm="1">
        <f t="array" aca="1" ref="H33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35" s="96">
        <f ca="1">IF(Table2[[#This Row],[Team]]="FA",0,Table2[[#This Row],[Pts/G]]*(1-Table2[[#This Row],[% Pos Overlap]]))</f>
        <v>14.292682926829269</v>
      </c>
      <c r="J335" s="72" cm="1">
        <f t="array" aca="1" ref="J335" ca="1">(INDIRECT(ADDRESS((_xlfn.XMATCH(Table2[[#This Row],[Team]],Schedule!$A$1:$A$33)),5,1,1,"Sched Overlap")))</f>
        <v>0.65120065120065118</v>
      </c>
      <c r="K335" s="92" cm="1">
        <f t="array" aca="1" ref="K33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35" s="95">
        <f ca="1">IF(Table2[[#This Row],[Team]]="FA",0,Table2[[#This Row],[Pts/G]]*(Table2[[#This Row],[Games Playable]]/82))</f>
        <v>14.292682926829269</v>
      </c>
      <c r="M335" s="95" cm="1">
        <f t="array" aca="1" ref="M335" ca="1">Table2[[#This Row],[Playable x Score]]*_xlfn.IFS(Table2[[#This Row],[Pos]]="D",assumptions!$B$15,Table2[[#This Row],[Pos]]="F", assumptions!$B$14,Table2[[#This Row],[Pos]]="G",assumptions!$B$16)</f>
        <v>17.865853658536587</v>
      </c>
    </row>
    <row r="336" spans="1:13" x14ac:dyDescent="0.3">
      <c r="A336">
        <f>'score estimates'!$A336</f>
        <v>333</v>
      </c>
      <c r="B336" t="str">
        <f>'score estimates'!$B336</f>
        <v>T.J. Brodie</v>
      </c>
      <c r="C336" t="str">
        <f>'score estimates'!$D336</f>
        <v>D</v>
      </c>
      <c r="D336" t="str">
        <f>'score estimates'!$C336</f>
        <v>TOR</v>
      </c>
      <c r="E336" s="75">
        <f>'score estimates'!$F336</f>
        <v>16.829268292682926</v>
      </c>
      <c r="F336" s="71">
        <f>'score estimates'!$G336</f>
        <v>334</v>
      </c>
      <c r="G336" s="71" t="s">
        <v>983</v>
      </c>
      <c r="H336" s="72" cm="1">
        <f t="array" aca="1" ref="H33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36" s="96">
        <f ca="1">IF(Table2[[#This Row],[Team]]="FA",0,Table2[[#This Row],[Pts/G]]*(1-Table2[[#This Row],[% Pos Overlap]]))</f>
        <v>16.829268292682926</v>
      </c>
      <c r="J336" s="72" cm="1">
        <f t="array" aca="1" ref="J336" ca="1">(INDIRECT(ADDRESS((_xlfn.XMATCH(Table2[[#This Row],[Team]],Schedule!$A$1:$A$33)),5,1,1,"Sched Overlap")))</f>
        <v>0.62922262922262928</v>
      </c>
      <c r="K336" s="92" cm="1">
        <f t="array" aca="1" ref="K33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36" s="95">
        <f ca="1">IF(Table2[[#This Row],[Team]]="FA",0,Table2[[#This Row],[Pts/G]]*(Table2[[#This Row],[Games Playable]]/82))</f>
        <v>16.829268292682926</v>
      </c>
      <c r="M336" s="95" cm="1">
        <f t="array" aca="1" ref="M336" ca="1">Table2[[#This Row],[Playable x Score]]*_xlfn.IFS(Table2[[#This Row],[Pos]]="D",assumptions!$B$15,Table2[[#This Row],[Pos]]="F", assumptions!$B$14,Table2[[#This Row],[Pos]]="G",assumptions!$B$16)</f>
        <v>21.036585365853657</v>
      </c>
    </row>
    <row r="337" spans="1:13" x14ac:dyDescent="0.3">
      <c r="A337">
        <f>'score estimates'!$A337</f>
        <v>334</v>
      </c>
      <c r="B337" t="str">
        <f>'score estimates'!$B337</f>
        <v>Danton Heinen</v>
      </c>
      <c r="C337" t="str">
        <f>'score estimates'!$D337</f>
        <v>F</v>
      </c>
      <c r="D337" t="str">
        <f>'score estimates'!$C337</f>
        <v>PIT</v>
      </c>
      <c r="E337" s="75">
        <f>'score estimates'!$F337</f>
        <v>14.378048780487806</v>
      </c>
      <c r="F337" s="71">
        <f>'score estimates'!$G337</f>
        <v>412</v>
      </c>
      <c r="G337" s="71" t="s">
        <v>983</v>
      </c>
      <c r="H337" s="72" cm="1">
        <f t="array" aca="1" ref="H33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37" s="96">
        <f ca="1">IF(Table2[[#This Row],[Team]]="FA",0,Table2[[#This Row],[Pts/G]]*(1-Table2[[#This Row],[% Pos Overlap]]))</f>
        <v>14.378048780487806</v>
      </c>
      <c r="J337" s="72" cm="1">
        <f t="array" aca="1" ref="J337" ca="1">(INDIRECT(ADDRESS((_xlfn.XMATCH(Table2[[#This Row],[Team]],Schedule!$A$1:$A$33)),5,1,1,"Sched Overlap")))</f>
        <v>0.63492063492063477</v>
      </c>
      <c r="K337" s="92" cm="1">
        <f t="array" aca="1" ref="K33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37" s="95">
        <f ca="1">IF(Table2[[#This Row],[Team]]="FA",0,Table2[[#This Row],[Pts/G]]*(Table2[[#This Row],[Games Playable]]/82))</f>
        <v>14.378048780487806</v>
      </c>
      <c r="M337" s="95" cm="1">
        <f t="array" aca="1" ref="M337" ca="1">Table2[[#This Row],[Playable x Score]]*_xlfn.IFS(Table2[[#This Row],[Pos]]="D",assumptions!$B$15,Table2[[#This Row],[Pos]]="F", assumptions!$B$14,Table2[[#This Row],[Pos]]="G",assumptions!$B$16)</f>
        <v>14.378048780487806</v>
      </c>
    </row>
    <row r="338" spans="1:13" x14ac:dyDescent="0.3">
      <c r="A338">
        <f>'score estimates'!$A338</f>
        <v>335</v>
      </c>
      <c r="B338" t="str">
        <f>'score estimates'!$B338</f>
        <v>Oliver Kylington</v>
      </c>
      <c r="C338" t="str">
        <f>'score estimates'!$D338</f>
        <v>D</v>
      </c>
      <c r="D338" t="str">
        <f>'score estimates'!$C338</f>
        <v>CGY</v>
      </c>
      <c r="E338" s="75">
        <f>'score estimates'!$F338</f>
        <v>17.5</v>
      </c>
      <c r="F338" s="71">
        <f>'score estimates'!$G338</f>
        <v>316</v>
      </c>
      <c r="G338" s="71" t="s">
        <v>983</v>
      </c>
      <c r="H338" s="72" cm="1">
        <f t="array" aca="1" ref="H33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38" s="96">
        <f ca="1">IF(Table2[[#This Row],[Team]]="FA",0,Table2[[#This Row],[Pts/G]]*(1-Table2[[#This Row],[% Pos Overlap]]))</f>
        <v>17.5</v>
      </c>
      <c r="J338" s="72" cm="1">
        <f t="array" aca="1" ref="J338" ca="1">(INDIRECT(ADDRESS((_xlfn.XMATCH(Table2[[#This Row],[Team]],Schedule!$A$1:$A$33)),5,1,1,"Sched Overlap")))</f>
        <v>0.63003663003663002</v>
      </c>
      <c r="K338" s="92" cm="1">
        <f t="array" aca="1" ref="K33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38" s="95">
        <f ca="1">IF(Table2[[#This Row],[Team]]="FA",0,Table2[[#This Row],[Pts/G]]*(Table2[[#This Row],[Games Playable]]/82))</f>
        <v>17.5</v>
      </c>
      <c r="M338" s="95" cm="1">
        <f t="array" aca="1" ref="M338" ca="1">Table2[[#This Row],[Playable x Score]]*_xlfn.IFS(Table2[[#This Row],[Pos]]="D",assumptions!$B$15,Table2[[#This Row],[Pos]]="F", assumptions!$B$14,Table2[[#This Row],[Pos]]="G",assumptions!$B$16)</f>
        <v>21.875</v>
      </c>
    </row>
    <row r="339" spans="1:13" x14ac:dyDescent="0.3">
      <c r="A339">
        <f>'score estimates'!$A339</f>
        <v>336</v>
      </c>
      <c r="B339" t="str">
        <f>'score estimates'!$B339</f>
        <v>Scott Laughton</v>
      </c>
      <c r="C339" t="str">
        <f>'score estimates'!$D339</f>
        <v>F</v>
      </c>
      <c r="D339" t="str">
        <f>'score estimates'!$C339</f>
        <v>PHI</v>
      </c>
      <c r="E339" s="75">
        <f>'score estimates'!$F339</f>
        <v>14.780487804878049</v>
      </c>
      <c r="F339" s="71">
        <f>'score estimates'!$G339</f>
        <v>395</v>
      </c>
      <c r="G339" s="71" t="s">
        <v>983</v>
      </c>
      <c r="H339" s="72" cm="1">
        <f t="array" aca="1" ref="H33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39" s="96">
        <f ca="1">IF(Table2[[#This Row],[Team]]="FA",0,Table2[[#This Row],[Pts/G]]*(1-Table2[[#This Row],[% Pos Overlap]]))</f>
        <v>14.780487804878049</v>
      </c>
      <c r="J339" s="72" cm="1">
        <f t="array" aca="1" ref="J339" ca="1">(INDIRECT(ADDRESS((_xlfn.XMATCH(Table2[[#This Row],[Team]],Schedule!$A$1:$A$33)),5,1,1,"Sched Overlap")))</f>
        <v>0.66910866910866917</v>
      </c>
      <c r="K339" s="92" cm="1">
        <f t="array" aca="1" ref="K33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39" s="95">
        <f ca="1">IF(Table2[[#This Row],[Team]]="FA",0,Table2[[#This Row],[Pts/G]]*(Table2[[#This Row],[Games Playable]]/82))</f>
        <v>14.780487804878049</v>
      </c>
      <c r="M339" s="95" cm="1">
        <f t="array" aca="1" ref="M339" ca="1">Table2[[#This Row],[Playable x Score]]*_xlfn.IFS(Table2[[#This Row],[Pos]]="D",assumptions!$B$15,Table2[[#This Row],[Pos]]="F", assumptions!$B$14,Table2[[#This Row],[Pos]]="G",assumptions!$B$16)</f>
        <v>14.780487804878049</v>
      </c>
    </row>
    <row r="340" spans="1:13" x14ac:dyDescent="0.3">
      <c r="A340">
        <f>'score estimates'!$A340</f>
        <v>337</v>
      </c>
      <c r="B340" t="str">
        <f>'score estimates'!$B340</f>
        <v>Isac Lundestrom</v>
      </c>
      <c r="C340" t="str">
        <f>'score estimates'!$D340</f>
        <v>F</v>
      </c>
      <c r="D340" t="str">
        <f>'score estimates'!$C340</f>
        <v>ANH</v>
      </c>
      <c r="E340" s="75">
        <f>'score estimates'!$F340</f>
        <v>12.804878048780488</v>
      </c>
      <c r="F340" s="71">
        <f>'score estimates'!$G340</f>
        <v>465</v>
      </c>
      <c r="G340" s="71" t="s">
        <v>983</v>
      </c>
      <c r="H340" s="72" cm="1">
        <f t="array" aca="1" ref="H34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40" s="96">
        <f ca="1">IF(Table2[[#This Row],[Team]]="FA",0,Table2[[#This Row],[Pts/G]]*(1-Table2[[#This Row],[% Pos Overlap]]))</f>
        <v>12.804878048780488</v>
      </c>
      <c r="J340" s="72" cm="1">
        <f t="array" aca="1" ref="J340" ca="1">(INDIRECT(ADDRESS((_xlfn.XMATCH(Table2[[#This Row],[Team]],Schedule!$A$1:$A$33)),5,1,1,"Sched Overlap")))</f>
        <v>0.56410256410256399</v>
      </c>
      <c r="K340" s="92" cm="1">
        <f t="array" aca="1" ref="K34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40" s="95">
        <f ca="1">IF(Table2[[#This Row],[Team]]="FA",0,Table2[[#This Row],[Pts/G]]*(Table2[[#This Row],[Games Playable]]/82))</f>
        <v>12.804878048780488</v>
      </c>
      <c r="M340" s="95" cm="1">
        <f t="array" aca="1" ref="M340" ca="1">Table2[[#This Row],[Playable x Score]]*_xlfn.IFS(Table2[[#This Row],[Pos]]="D",assumptions!$B$15,Table2[[#This Row],[Pos]]="F", assumptions!$B$14,Table2[[#This Row],[Pos]]="G",assumptions!$B$16)</f>
        <v>12.804878048780488</v>
      </c>
    </row>
    <row r="341" spans="1:13" x14ac:dyDescent="0.3">
      <c r="A341">
        <f>'score estimates'!$A341</f>
        <v>338</v>
      </c>
      <c r="B341" t="str">
        <f>'score estimates'!$B341</f>
        <v>Logan O'Connor</v>
      </c>
      <c r="C341" t="str">
        <f>'score estimates'!$D341</f>
        <v>F</v>
      </c>
      <c r="D341" t="str">
        <f>'score estimates'!$C341</f>
        <v>COL</v>
      </c>
      <c r="E341" s="75">
        <f>'score estimates'!$F341</f>
        <v>17.219512195121951</v>
      </c>
      <c r="F341" s="71">
        <f>'score estimates'!$G341</f>
        <v>326</v>
      </c>
      <c r="G341" s="71" t="s">
        <v>983</v>
      </c>
      <c r="H341" s="72" cm="1">
        <f t="array" aca="1" ref="H34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41" s="96">
        <f ca="1">IF(Table2[[#This Row],[Team]]="FA",0,Table2[[#This Row],[Pts/G]]*(1-Table2[[#This Row],[% Pos Overlap]]))</f>
        <v>17.219512195121951</v>
      </c>
      <c r="J341" s="72" cm="1">
        <f t="array" aca="1" ref="J341" ca="1">(INDIRECT(ADDRESS((_xlfn.XMATCH(Table2[[#This Row],[Team]],Schedule!$A$1:$A$33)),5,1,1,"Sched Overlap")))</f>
        <v>0.61131461131461151</v>
      </c>
      <c r="K341" s="92" cm="1">
        <f t="array" aca="1" ref="K34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41" s="95">
        <f ca="1">IF(Table2[[#This Row],[Team]]="FA",0,Table2[[#This Row],[Pts/G]]*(Table2[[#This Row],[Games Playable]]/82))</f>
        <v>17.219512195121951</v>
      </c>
      <c r="M341" s="95" cm="1">
        <f t="array" aca="1" ref="M341" ca="1">Table2[[#This Row],[Playable x Score]]*_xlfn.IFS(Table2[[#This Row],[Pos]]="D",assumptions!$B$15,Table2[[#This Row],[Pos]]="F", assumptions!$B$14,Table2[[#This Row],[Pos]]="G",assumptions!$B$16)</f>
        <v>17.219512195121951</v>
      </c>
    </row>
    <row r="342" spans="1:13" x14ac:dyDescent="0.3">
      <c r="A342">
        <f>'score estimates'!$A342</f>
        <v>339</v>
      </c>
      <c r="B342" t="str">
        <f>'score estimates'!$B342</f>
        <v>John Marino</v>
      </c>
      <c r="C342" t="str">
        <f>'score estimates'!$D342</f>
        <v>D</v>
      </c>
      <c r="D342" t="str">
        <f>'score estimates'!$C342</f>
        <v>NJ</v>
      </c>
      <c r="E342" s="75">
        <f>'score estimates'!$F342</f>
        <v>13.646341463414634</v>
      </c>
      <c r="F342" s="71">
        <f>'score estimates'!$G342</f>
        <v>443</v>
      </c>
      <c r="G342" s="71" t="s">
        <v>983</v>
      </c>
      <c r="H342" s="72" cm="1">
        <f t="array" aca="1" ref="H34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42" s="96">
        <f ca="1">IF(Table2[[#This Row],[Team]]="FA",0,Table2[[#This Row],[Pts/G]]*(1-Table2[[#This Row],[% Pos Overlap]]))</f>
        <v>13.646341463414634</v>
      </c>
      <c r="J342" s="72" cm="1">
        <f t="array" aca="1" ref="J342" ca="1">(INDIRECT(ADDRESS((_xlfn.XMATCH(Table2[[#This Row],[Team]],Schedule!$A$1:$A$33)),5,1,1,"Sched Overlap")))</f>
        <v>0.66259666259666272</v>
      </c>
      <c r="K342" s="92" cm="1">
        <f t="array" aca="1" ref="K34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42" s="95">
        <f ca="1">IF(Table2[[#This Row],[Team]]="FA",0,Table2[[#This Row],[Pts/G]]*(Table2[[#This Row],[Games Playable]]/82))</f>
        <v>13.646341463414634</v>
      </c>
      <c r="M342" s="95" cm="1">
        <f t="array" aca="1" ref="M342" ca="1">Table2[[#This Row],[Playable x Score]]*_xlfn.IFS(Table2[[#This Row],[Pos]]="D",assumptions!$B$15,Table2[[#This Row],[Pos]]="F", assumptions!$B$14,Table2[[#This Row],[Pos]]="G",assumptions!$B$16)</f>
        <v>17.057926829268293</v>
      </c>
    </row>
    <row r="343" spans="1:13" x14ac:dyDescent="0.3">
      <c r="A343">
        <f>'score estimates'!$A343</f>
        <v>340</v>
      </c>
      <c r="B343" t="str">
        <f>'score estimates'!$B343</f>
        <v>Mason McTavish</v>
      </c>
      <c r="C343" t="str">
        <f>'score estimates'!$D343</f>
        <v>F</v>
      </c>
      <c r="D343" t="str">
        <f>'score estimates'!$C343</f>
        <v>ANH</v>
      </c>
      <c r="E343" s="75">
        <f>'score estimates'!$F343</f>
        <v>13.768292682926829</v>
      </c>
      <c r="F343" s="71">
        <f>'score estimates'!$G343</f>
        <v>432</v>
      </c>
      <c r="G343" s="71" t="s">
        <v>983</v>
      </c>
      <c r="H343" s="72" cm="1">
        <f t="array" aca="1" ref="H34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43" s="96">
        <f ca="1">IF(Table2[[#This Row],[Team]]="FA",0,Table2[[#This Row],[Pts/G]]*(1-Table2[[#This Row],[% Pos Overlap]]))</f>
        <v>13.768292682926829</v>
      </c>
      <c r="J343" s="72" cm="1">
        <f t="array" aca="1" ref="J343" ca="1">(INDIRECT(ADDRESS((_xlfn.XMATCH(Table2[[#This Row],[Team]],Schedule!$A$1:$A$33)),5,1,1,"Sched Overlap")))</f>
        <v>0.56410256410256399</v>
      </c>
      <c r="K343" s="92" cm="1">
        <f t="array" aca="1" ref="K34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43" s="95">
        <f ca="1">IF(Table2[[#This Row],[Team]]="FA",0,Table2[[#This Row],[Pts/G]]*(Table2[[#This Row],[Games Playable]]/82))</f>
        <v>13.768292682926829</v>
      </c>
      <c r="M343" s="95" cm="1">
        <f t="array" aca="1" ref="M343" ca="1">Table2[[#This Row],[Playable x Score]]*_xlfn.IFS(Table2[[#This Row],[Pos]]="D",assumptions!$B$15,Table2[[#This Row],[Pos]]="F", assumptions!$B$14,Table2[[#This Row],[Pos]]="G",assumptions!$B$16)</f>
        <v>13.768292682926829</v>
      </c>
    </row>
    <row r="344" spans="1:13" x14ac:dyDescent="0.3">
      <c r="A344">
        <f>'score estimates'!$A344</f>
        <v>341</v>
      </c>
      <c r="B344" t="str">
        <f>'score estimates'!$B344</f>
        <v>Noah Cates</v>
      </c>
      <c r="C344" t="str">
        <f>'score estimates'!$D344</f>
        <v>F</v>
      </c>
      <c r="D344" t="str">
        <f>'score estimates'!$C344</f>
        <v>PHI</v>
      </c>
      <c r="E344" s="75">
        <f>'score estimates'!$F344</f>
        <v>13.695121951219512</v>
      </c>
      <c r="F344" s="71">
        <f>'score estimates'!$G344</f>
        <v>437</v>
      </c>
      <c r="G344" s="71" t="s">
        <v>983</v>
      </c>
      <c r="H344" s="72" cm="1">
        <f t="array" aca="1" ref="H34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44" s="96">
        <f ca="1">IF(Table2[[#This Row],[Team]]="FA",0,Table2[[#This Row],[Pts/G]]*(1-Table2[[#This Row],[% Pos Overlap]]))</f>
        <v>13.695121951219512</v>
      </c>
      <c r="J344" s="72" cm="1">
        <f t="array" aca="1" ref="J344" ca="1">(INDIRECT(ADDRESS((_xlfn.XMATCH(Table2[[#This Row],[Team]],Schedule!$A$1:$A$33)),5,1,1,"Sched Overlap")))</f>
        <v>0.66910866910866917</v>
      </c>
      <c r="K344" s="92" cm="1">
        <f t="array" aca="1" ref="K34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44" s="95">
        <f ca="1">IF(Table2[[#This Row],[Team]]="FA",0,Table2[[#This Row],[Pts/G]]*(Table2[[#This Row],[Games Playable]]/82))</f>
        <v>13.695121951219512</v>
      </c>
      <c r="M344" s="95" cm="1">
        <f t="array" aca="1" ref="M344" ca="1">Table2[[#This Row],[Playable x Score]]*_xlfn.IFS(Table2[[#This Row],[Pos]]="D",assumptions!$B$15,Table2[[#This Row],[Pos]]="F", assumptions!$B$14,Table2[[#This Row],[Pos]]="G",assumptions!$B$16)</f>
        <v>13.695121951219512</v>
      </c>
    </row>
    <row r="345" spans="1:13" x14ac:dyDescent="0.3">
      <c r="A345">
        <f>'score estimates'!$A345</f>
        <v>342</v>
      </c>
      <c r="B345" t="str">
        <f>'score estimates'!$B345</f>
        <v>Eeli Tolvanen</v>
      </c>
      <c r="C345" t="str">
        <f>'score estimates'!$D345</f>
        <v>F</v>
      </c>
      <c r="D345" t="str">
        <f>'score estimates'!$C345</f>
        <v>NSH</v>
      </c>
      <c r="E345" s="75">
        <f>'score estimates'!$F345</f>
        <v>16.097560975609756</v>
      </c>
      <c r="F345" s="71">
        <f>'score estimates'!$G345</f>
        <v>358</v>
      </c>
      <c r="G345" s="71" t="s">
        <v>983</v>
      </c>
      <c r="H345" s="72" cm="1">
        <f t="array" aca="1" ref="H34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45" s="96">
        <f ca="1">IF(Table2[[#This Row],[Team]]="FA",0,Table2[[#This Row],[Pts/G]]*(1-Table2[[#This Row],[% Pos Overlap]]))</f>
        <v>16.097560975609756</v>
      </c>
      <c r="J345" s="72" cm="1">
        <f t="array" aca="1" ref="J345" ca="1">(INDIRECT(ADDRESS((_xlfn.XMATCH(Table2[[#This Row],[Team]],Schedule!$A$1:$A$33)),5,1,1,"Sched Overlap")))</f>
        <v>0.67806267806267806</v>
      </c>
      <c r="K345" s="92" cm="1">
        <f t="array" aca="1" ref="K34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45" s="95">
        <f ca="1">IF(Table2[[#This Row],[Team]]="FA",0,Table2[[#This Row],[Pts/G]]*(Table2[[#This Row],[Games Playable]]/82))</f>
        <v>16.097560975609756</v>
      </c>
      <c r="M345" s="95" cm="1">
        <f t="array" aca="1" ref="M345" ca="1">Table2[[#This Row],[Playable x Score]]*_xlfn.IFS(Table2[[#This Row],[Pos]]="D",assumptions!$B$15,Table2[[#This Row],[Pos]]="F", assumptions!$B$14,Table2[[#This Row],[Pos]]="G",assumptions!$B$16)</f>
        <v>16.097560975609756</v>
      </c>
    </row>
    <row r="346" spans="1:13" x14ac:dyDescent="0.3">
      <c r="A346">
        <f>'score estimates'!$A346</f>
        <v>343</v>
      </c>
      <c r="B346" t="str">
        <f>'score estimates'!$B346</f>
        <v>Filip Zadina</v>
      </c>
      <c r="C346" t="str">
        <f>'score estimates'!$D346</f>
        <v>F</v>
      </c>
      <c r="D346" t="str">
        <f>'score estimates'!$C346</f>
        <v>DET</v>
      </c>
      <c r="E346" s="75">
        <f>'score estimates'!$F346</f>
        <v>12.109756097560975</v>
      </c>
      <c r="F346" s="71">
        <f>'score estimates'!$G346</f>
        <v>490</v>
      </c>
      <c r="G346" s="71" t="s">
        <v>983</v>
      </c>
      <c r="H346" s="72" cm="1">
        <f t="array" aca="1" ref="H34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46" s="96">
        <f ca="1">IF(Table2[[#This Row],[Team]]="FA",0,Table2[[#This Row],[Pts/G]]*(1-Table2[[#This Row],[% Pos Overlap]]))</f>
        <v>12.109756097560975</v>
      </c>
      <c r="J346" s="72" cm="1">
        <f t="array" aca="1" ref="J346" ca="1">(INDIRECT(ADDRESS((_xlfn.XMATCH(Table2[[#This Row],[Team]],Schedule!$A$1:$A$33)),5,1,1,"Sched Overlap")))</f>
        <v>0.64550264550264547</v>
      </c>
      <c r="K346" s="92" cm="1">
        <f t="array" aca="1" ref="K34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46" s="95">
        <f ca="1">IF(Table2[[#This Row],[Team]]="FA",0,Table2[[#This Row],[Pts/G]]*(Table2[[#This Row],[Games Playable]]/82))</f>
        <v>12.109756097560975</v>
      </c>
      <c r="M346" s="95" cm="1">
        <f t="array" aca="1" ref="M346" ca="1">Table2[[#This Row],[Playable x Score]]*_xlfn.IFS(Table2[[#This Row],[Pos]]="D",assumptions!$B$15,Table2[[#This Row],[Pos]]="F", assumptions!$B$14,Table2[[#This Row],[Pos]]="G",assumptions!$B$16)</f>
        <v>12.109756097560975</v>
      </c>
    </row>
    <row r="347" spans="1:13" x14ac:dyDescent="0.3">
      <c r="A347">
        <f>'score estimates'!$A347</f>
        <v>344</v>
      </c>
      <c r="B347" t="str">
        <f>'score estimates'!$B347</f>
        <v>Rasmus Asplund</v>
      </c>
      <c r="C347" t="str">
        <f>'score estimates'!$D347</f>
        <v>F</v>
      </c>
      <c r="D347" t="str">
        <f>'score estimates'!$C347</f>
        <v>BUF</v>
      </c>
      <c r="E347" s="75">
        <f>'score estimates'!$F347</f>
        <v>12.292682926829269</v>
      </c>
      <c r="F347" s="71">
        <f>'score estimates'!$G347</f>
        <v>482</v>
      </c>
      <c r="G347" s="71" t="s">
        <v>983</v>
      </c>
      <c r="H347" s="72" cm="1">
        <f t="array" aca="1" ref="H34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47" s="96">
        <f ca="1">IF(Table2[[#This Row],[Team]]="FA",0,Table2[[#This Row],[Pts/G]]*(1-Table2[[#This Row],[% Pos Overlap]]))</f>
        <v>12.292682926829269</v>
      </c>
      <c r="J347" s="72" cm="1">
        <f t="array" aca="1" ref="J347" ca="1">(INDIRECT(ADDRESS((_xlfn.XMATCH(Table2[[#This Row],[Team]],Schedule!$A$1:$A$33)),5,1,1,"Sched Overlap")))</f>
        <v>0.63573463573463573</v>
      </c>
      <c r="K347" s="92" cm="1">
        <f t="array" aca="1" ref="K34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47" s="95">
        <f ca="1">IF(Table2[[#This Row],[Team]]="FA",0,Table2[[#This Row],[Pts/G]]*(Table2[[#This Row],[Games Playable]]/82))</f>
        <v>12.292682926829269</v>
      </c>
      <c r="M347" s="95" cm="1">
        <f t="array" aca="1" ref="M347" ca="1">Table2[[#This Row],[Playable x Score]]*_xlfn.IFS(Table2[[#This Row],[Pos]]="D",assumptions!$B$15,Table2[[#This Row],[Pos]]="F", assumptions!$B$14,Table2[[#This Row],[Pos]]="G",assumptions!$B$16)</f>
        <v>12.292682926829269</v>
      </c>
    </row>
    <row r="348" spans="1:13" x14ac:dyDescent="0.3">
      <c r="A348">
        <f>'score estimates'!$A348</f>
        <v>345</v>
      </c>
      <c r="B348" t="str">
        <f>'score estimates'!$B348</f>
        <v>Jake Bean</v>
      </c>
      <c r="C348" t="str">
        <f>'score estimates'!$D348</f>
        <v>D</v>
      </c>
      <c r="D348" t="str">
        <f>'score estimates'!$C348</f>
        <v>CLS</v>
      </c>
      <c r="E348" s="75">
        <f>'score estimates'!$F348</f>
        <v>13.695121951219512</v>
      </c>
      <c r="F348" s="71">
        <f>'score estimates'!$G348</f>
        <v>437</v>
      </c>
      <c r="G348" s="71" t="s">
        <v>983</v>
      </c>
      <c r="H348" s="72" cm="1">
        <f t="array" aca="1" ref="H34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48" s="96">
        <f ca="1">IF(Table2[[#This Row],[Team]]="FA",0,Table2[[#This Row],[Pts/G]]*(1-Table2[[#This Row],[% Pos Overlap]]))</f>
        <v>13.695121951219512</v>
      </c>
      <c r="J348" s="72" cm="1">
        <f t="array" aca="1" ref="J348" ca="1">(INDIRECT(ADDRESS((_xlfn.XMATCH(Table2[[#This Row],[Team]],Schedule!$A$1:$A$33)),5,1,1,"Sched Overlap")))</f>
        <v>0.64875864875864886</v>
      </c>
      <c r="K348" s="92" cm="1">
        <f t="array" aca="1" ref="K34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48" s="95">
        <f ca="1">IF(Table2[[#This Row],[Team]]="FA",0,Table2[[#This Row],[Pts/G]]*(Table2[[#This Row],[Games Playable]]/82))</f>
        <v>13.695121951219512</v>
      </c>
      <c r="M348" s="95" cm="1">
        <f t="array" aca="1" ref="M348" ca="1">Table2[[#This Row],[Playable x Score]]*_xlfn.IFS(Table2[[#This Row],[Pos]]="D",assumptions!$B$15,Table2[[#This Row],[Pos]]="F", assumptions!$B$14,Table2[[#This Row],[Pos]]="G",assumptions!$B$16)</f>
        <v>17.118902439024389</v>
      </c>
    </row>
    <row r="349" spans="1:13" x14ac:dyDescent="0.3">
      <c r="A349">
        <f>'score estimates'!$A349</f>
        <v>346</v>
      </c>
      <c r="B349" t="str">
        <f>'score estimates'!$B349</f>
        <v>Filip Chytil</v>
      </c>
      <c r="C349" t="str">
        <f>'score estimates'!$D349</f>
        <v>F</v>
      </c>
      <c r="D349" t="str">
        <f>'score estimates'!$C349</f>
        <v>NYR</v>
      </c>
      <c r="E349" s="75">
        <f>'score estimates'!$F349</f>
        <v>13.670731707317072</v>
      </c>
      <c r="F349" s="71">
        <f>'score estimates'!$G349</f>
        <v>440</v>
      </c>
      <c r="G349" s="71" t="s">
        <v>983</v>
      </c>
      <c r="H349" s="72" cm="1">
        <f t="array" aca="1" ref="H34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49" s="96">
        <f ca="1">IF(Table2[[#This Row],[Team]]="FA",0,Table2[[#This Row],[Pts/G]]*(1-Table2[[#This Row],[% Pos Overlap]]))</f>
        <v>13.670731707317072</v>
      </c>
      <c r="J349" s="72" cm="1">
        <f t="array" aca="1" ref="J349" ca="1">(INDIRECT(ADDRESS((_xlfn.XMATCH(Table2[[#This Row],[Team]],Schedule!$A$1:$A$33)),5,1,1,"Sched Overlap")))</f>
        <v>0.60236060236060229</v>
      </c>
      <c r="K349" s="92" cm="1">
        <f t="array" aca="1" ref="K34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49" s="95">
        <f ca="1">IF(Table2[[#This Row],[Team]]="FA",0,Table2[[#This Row],[Pts/G]]*(Table2[[#This Row],[Games Playable]]/82))</f>
        <v>13.670731707317072</v>
      </c>
      <c r="M349" s="95" cm="1">
        <f t="array" aca="1" ref="M349" ca="1">Table2[[#This Row],[Playable x Score]]*_xlfn.IFS(Table2[[#This Row],[Pos]]="D",assumptions!$B$15,Table2[[#This Row],[Pos]]="F", assumptions!$B$14,Table2[[#This Row],[Pos]]="G",assumptions!$B$16)</f>
        <v>13.670731707317072</v>
      </c>
    </row>
    <row r="350" spans="1:13" x14ac:dyDescent="0.3">
      <c r="A350">
        <f>'score estimates'!$A350</f>
        <v>347</v>
      </c>
      <c r="B350" t="str">
        <f>'score estimates'!$B350</f>
        <v>Owen Tippett</v>
      </c>
      <c r="C350" t="str">
        <f>'score estimates'!$D350</f>
        <v>F</v>
      </c>
      <c r="D350" t="str">
        <f>'score estimates'!$C350</f>
        <v>PHI</v>
      </c>
      <c r="E350" s="75">
        <f>'score estimates'!$F350</f>
        <v>13.768292682926829</v>
      </c>
      <c r="F350" s="71">
        <f>'score estimates'!$G350</f>
        <v>432</v>
      </c>
      <c r="G350" s="71" t="s">
        <v>983</v>
      </c>
      <c r="H350" s="72" cm="1">
        <f t="array" aca="1" ref="H35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50" s="96">
        <f ca="1">IF(Table2[[#This Row],[Team]]="FA",0,Table2[[#This Row],[Pts/G]]*(1-Table2[[#This Row],[% Pos Overlap]]))</f>
        <v>13.768292682926829</v>
      </c>
      <c r="J350" s="72" cm="1">
        <f t="array" aca="1" ref="J350" ca="1">(INDIRECT(ADDRESS((_xlfn.XMATCH(Table2[[#This Row],[Team]],Schedule!$A$1:$A$33)),5,1,1,"Sched Overlap")))</f>
        <v>0.66910866910866917</v>
      </c>
      <c r="K350" s="92" cm="1">
        <f t="array" aca="1" ref="K35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50" s="95">
        <f ca="1">IF(Table2[[#This Row],[Team]]="FA",0,Table2[[#This Row],[Pts/G]]*(Table2[[#This Row],[Games Playable]]/82))</f>
        <v>13.768292682926829</v>
      </c>
      <c r="M350" s="95" cm="1">
        <f t="array" aca="1" ref="M350" ca="1">Table2[[#This Row],[Playable x Score]]*_xlfn.IFS(Table2[[#This Row],[Pos]]="D",assumptions!$B$15,Table2[[#This Row],[Pos]]="F", assumptions!$B$14,Table2[[#This Row],[Pos]]="G",assumptions!$B$16)</f>
        <v>13.768292682926829</v>
      </c>
    </row>
    <row r="351" spans="1:13" x14ac:dyDescent="0.3">
      <c r="A351">
        <f>'score estimates'!$A351</f>
        <v>348</v>
      </c>
      <c r="B351" t="str">
        <f>'score estimates'!$B351</f>
        <v>Max Comtois</v>
      </c>
      <c r="C351" t="str">
        <f>'score estimates'!$D351</f>
        <v>F</v>
      </c>
      <c r="D351" t="str">
        <f>'score estimates'!$C351</f>
        <v>ANH</v>
      </c>
      <c r="E351" s="75">
        <f>'score estimates'!$F351</f>
        <v>12.414634146341463</v>
      </c>
      <c r="F351" s="71">
        <f>'score estimates'!$G351</f>
        <v>480</v>
      </c>
      <c r="G351" s="71" t="s">
        <v>983</v>
      </c>
      <c r="H351" s="72" cm="1">
        <f t="array" aca="1" ref="H35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51" s="96">
        <f ca="1">IF(Table2[[#This Row],[Team]]="FA",0,Table2[[#This Row],[Pts/G]]*(1-Table2[[#This Row],[% Pos Overlap]]))</f>
        <v>12.414634146341463</v>
      </c>
      <c r="J351" s="72" cm="1">
        <f t="array" aca="1" ref="J351" ca="1">(INDIRECT(ADDRESS((_xlfn.XMATCH(Table2[[#This Row],[Team]],Schedule!$A$1:$A$33)),5,1,1,"Sched Overlap")))</f>
        <v>0.56410256410256399</v>
      </c>
      <c r="K351" s="92" cm="1">
        <f t="array" aca="1" ref="K35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51" s="95">
        <f ca="1">IF(Table2[[#This Row],[Team]]="FA",0,Table2[[#This Row],[Pts/G]]*(Table2[[#This Row],[Games Playable]]/82))</f>
        <v>12.414634146341463</v>
      </c>
      <c r="M351" s="95" cm="1">
        <f t="array" aca="1" ref="M351" ca="1">Table2[[#This Row],[Playable x Score]]*_xlfn.IFS(Table2[[#This Row],[Pos]]="D",assumptions!$B$15,Table2[[#This Row],[Pos]]="F", assumptions!$B$14,Table2[[#This Row],[Pos]]="G",assumptions!$B$16)</f>
        <v>12.414634146341463</v>
      </c>
    </row>
    <row r="352" spans="1:13" x14ac:dyDescent="0.3">
      <c r="A352">
        <f>'score estimates'!$A352</f>
        <v>349</v>
      </c>
      <c r="B352" t="str">
        <f>'score estimates'!$B352</f>
        <v>Oliver Wahlstrom</v>
      </c>
      <c r="C352" t="str">
        <f>'score estimates'!$D352</f>
        <v>F</v>
      </c>
      <c r="D352" t="str">
        <f>'score estimates'!$C352</f>
        <v>NYI</v>
      </c>
      <c r="E352" s="75">
        <f>'score estimates'!$F352</f>
        <v>16.23170731707317</v>
      </c>
      <c r="F352" s="71">
        <f>'score estimates'!$G352</f>
        <v>352</v>
      </c>
      <c r="G352" s="71" t="s">
        <v>983</v>
      </c>
      <c r="H352" s="72" cm="1">
        <f t="array" aca="1" ref="H35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52" s="96">
        <f ca="1">IF(Table2[[#This Row],[Team]]="FA",0,Table2[[#This Row],[Pts/G]]*(1-Table2[[#This Row],[% Pos Overlap]]))</f>
        <v>16.23170731707317</v>
      </c>
      <c r="J352" s="72" cm="1">
        <f t="array" aca="1" ref="J352" ca="1">(INDIRECT(ADDRESS((_xlfn.XMATCH(Table2[[#This Row],[Team]],Schedule!$A$1:$A$33)),5,1,1,"Sched Overlap")))</f>
        <v>0.63166463166463194</v>
      </c>
      <c r="K352" s="92" cm="1">
        <f t="array" aca="1" ref="K35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52" s="95">
        <f ca="1">IF(Table2[[#This Row],[Team]]="FA",0,Table2[[#This Row],[Pts/G]]*(Table2[[#This Row],[Games Playable]]/82))</f>
        <v>16.23170731707317</v>
      </c>
      <c r="M352" s="95" cm="1">
        <f t="array" aca="1" ref="M352" ca="1">Table2[[#This Row],[Playable x Score]]*_xlfn.IFS(Table2[[#This Row],[Pos]]="D",assumptions!$B$15,Table2[[#This Row],[Pos]]="F", assumptions!$B$14,Table2[[#This Row],[Pos]]="G",assumptions!$B$16)</f>
        <v>16.23170731707317</v>
      </c>
    </row>
    <row r="353" spans="1:13" x14ac:dyDescent="0.3">
      <c r="A353">
        <f>'score estimates'!$A353</f>
        <v>350</v>
      </c>
      <c r="B353" t="str">
        <f>'score estimates'!$B353</f>
        <v>Kaapo Kakko</v>
      </c>
      <c r="C353" t="str">
        <f>'score estimates'!$D353</f>
        <v>F</v>
      </c>
      <c r="D353" t="str">
        <f>'score estimates'!$C353</f>
        <v>NYR</v>
      </c>
      <c r="E353" s="75">
        <f>'score estimates'!$F353</f>
        <v>13.280487804878049</v>
      </c>
      <c r="F353" s="71">
        <f>'score estimates'!$G353</f>
        <v>456</v>
      </c>
      <c r="G353" s="71" t="s">
        <v>983</v>
      </c>
      <c r="H353" s="72" cm="1">
        <f t="array" aca="1" ref="H35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53" s="96">
        <f ca="1">IF(Table2[[#This Row],[Team]]="FA",0,Table2[[#This Row],[Pts/G]]*(1-Table2[[#This Row],[% Pos Overlap]]))</f>
        <v>13.280487804878049</v>
      </c>
      <c r="J353" s="72" cm="1">
        <f t="array" aca="1" ref="J353" ca="1">(INDIRECT(ADDRESS((_xlfn.XMATCH(Table2[[#This Row],[Team]],Schedule!$A$1:$A$33)),5,1,1,"Sched Overlap")))</f>
        <v>0.60236060236060229</v>
      </c>
      <c r="K353" s="92" cm="1">
        <f t="array" aca="1" ref="K35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53" s="95">
        <f ca="1">IF(Table2[[#This Row],[Team]]="FA",0,Table2[[#This Row],[Pts/G]]*(Table2[[#This Row],[Games Playable]]/82))</f>
        <v>13.280487804878049</v>
      </c>
      <c r="M353" s="95" cm="1">
        <f t="array" aca="1" ref="M353" ca="1">Table2[[#This Row],[Playable x Score]]*_xlfn.IFS(Table2[[#This Row],[Pos]]="D",assumptions!$B$15,Table2[[#This Row],[Pos]]="F", assumptions!$B$14,Table2[[#This Row],[Pos]]="G",assumptions!$B$16)</f>
        <v>13.280487804878049</v>
      </c>
    </row>
    <row r="354" spans="1:13" x14ac:dyDescent="0.3">
      <c r="A354">
        <f>'score estimates'!$A354</f>
        <v>351</v>
      </c>
      <c r="B354" t="str">
        <f>'score estimates'!$B354</f>
        <v>Colton Sissons</v>
      </c>
      <c r="C354" t="str">
        <f>'score estimates'!$D354</f>
        <v>F</v>
      </c>
      <c r="D354" t="str">
        <f>'score estimates'!$C354</f>
        <v>NSH</v>
      </c>
      <c r="E354" s="75">
        <f>'score estimates'!$F354</f>
        <v>15.487804878048781</v>
      </c>
      <c r="F354" s="71">
        <f>'score estimates'!$G354</f>
        <v>377</v>
      </c>
      <c r="G354" s="71" t="s">
        <v>983</v>
      </c>
      <c r="H354" s="72" cm="1">
        <f t="array" aca="1" ref="H35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54" s="96">
        <f ca="1">IF(Table2[[#This Row],[Team]]="FA",0,Table2[[#This Row],[Pts/G]]*(1-Table2[[#This Row],[% Pos Overlap]]))</f>
        <v>15.487804878048781</v>
      </c>
      <c r="J354" s="72" cm="1">
        <f t="array" aca="1" ref="J354" ca="1">(INDIRECT(ADDRESS((_xlfn.XMATCH(Table2[[#This Row],[Team]],Schedule!$A$1:$A$33)),5,1,1,"Sched Overlap")))</f>
        <v>0.67806267806267806</v>
      </c>
      <c r="K354" s="92" cm="1">
        <f t="array" aca="1" ref="K35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54" s="95">
        <f ca="1">IF(Table2[[#This Row],[Team]]="FA",0,Table2[[#This Row],[Pts/G]]*(Table2[[#This Row],[Games Playable]]/82))</f>
        <v>15.487804878048781</v>
      </c>
      <c r="M354" s="95" cm="1">
        <f t="array" aca="1" ref="M354" ca="1">Table2[[#This Row],[Playable x Score]]*_xlfn.IFS(Table2[[#This Row],[Pos]]="D",assumptions!$B$15,Table2[[#This Row],[Pos]]="F", assumptions!$B$14,Table2[[#This Row],[Pos]]="G",assumptions!$B$16)</f>
        <v>15.487804878048781</v>
      </c>
    </row>
    <row r="355" spans="1:13" x14ac:dyDescent="0.3">
      <c r="A355">
        <f>'score estimates'!$A355</f>
        <v>352</v>
      </c>
      <c r="B355" t="str">
        <f>'score estimates'!$B355</f>
        <v>Esa Lindell</v>
      </c>
      <c r="C355" t="str">
        <f>'score estimates'!$D355</f>
        <v>D</v>
      </c>
      <c r="D355" t="str">
        <f>'score estimates'!$C355</f>
        <v>DAL</v>
      </c>
      <c r="E355" s="75">
        <f>'score estimates'!$F355</f>
        <v>18.451219512195124</v>
      </c>
      <c r="F355" s="71">
        <f>'score estimates'!$G355</f>
        <v>287</v>
      </c>
      <c r="G355" s="71" t="s">
        <v>983</v>
      </c>
      <c r="H355" s="72" cm="1">
        <f t="array" aca="1" ref="H35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55" s="96">
        <f ca="1">IF(Table2[[#This Row],[Team]]="FA",0,Table2[[#This Row],[Pts/G]]*(1-Table2[[#This Row],[% Pos Overlap]]))</f>
        <v>18.451219512195124</v>
      </c>
      <c r="J355" s="72" cm="1">
        <f t="array" aca="1" ref="J355" ca="1">(INDIRECT(ADDRESS((_xlfn.XMATCH(Table2[[#This Row],[Team]],Schedule!$A$1:$A$33)),5,1,1,"Sched Overlap")))</f>
        <v>0.65364265364265373</v>
      </c>
      <c r="K355" s="92" cm="1">
        <f t="array" aca="1" ref="K35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55" s="95">
        <f ca="1">IF(Table2[[#This Row],[Team]]="FA",0,Table2[[#This Row],[Pts/G]]*(Table2[[#This Row],[Games Playable]]/82))</f>
        <v>18.451219512195124</v>
      </c>
      <c r="M355" s="95" cm="1">
        <f t="array" aca="1" ref="M355" ca="1">Table2[[#This Row],[Playable x Score]]*_xlfn.IFS(Table2[[#This Row],[Pos]]="D",assumptions!$B$15,Table2[[#This Row],[Pos]]="F", assumptions!$B$14,Table2[[#This Row],[Pos]]="G",assumptions!$B$16)</f>
        <v>23.064024390243905</v>
      </c>
    </row>
    <row r="356" spans="1:13" x14ac:dyDescent="0.3">
      <c r="A356">
        <f>'score estimates'!$A356</f>
        <v>353</v>
      </c>
      <c r="B356" t="str">
        <f>'score estimates'!$B356</f>
        <v>Brett Pesce</v>
      </c>
      <c r="C356" t="str">
        <f>'score estimates'!$D356</f>
        <v>D</v>
      </c>
      <c r="D356" t="str">
        <f>'score estimates'!$C356</f>
        <v>CAR</v>
      </c>
      <c r="E356" s="75">
        <f>'score estimates'!$F356</f>
        <v>17.292682926829269</v>
      </c>
      <c r="F356" s="71">
        <f>'score estimates'!$G356</f>
        <v>325</v>
      </c>
      <c r="G356" s="71" t="s">
        <v>983</v>
      </c>
      <c r="H356" s="72" cm="1">
        <f t="array" aca="1" ref="H35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56" s="96">
        <f ca="1">IF(Table2[[#This Row],[Team]]="FA",0,Table2[[#This Row],[Pts/G]]*(1-Table2[[#This Row],[% Pos Overlap]]))</f>
        <v>17.292682926829269</v>
      </c>
      <c r="J356" s="72" cm="1">
        <f t="array" aca="1" ref="J356" ca="1">(INDIRECT(ADDRESS((_xlfn.XMATCH(Table2[[#This Row],[Team]],Schedule!$A$1:$A$33)),5,1,1,"Sched Overlap")))</f>
        <v>0.63247863247863245</v>
      </c>
      <c r="K356" s="92" cm="1">
        <f t="array" aca="1" ref="K35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56" s="95">
        <f ca="1">IF(Table2[[#This Row],[Team]]="FA",0,Table2[[#This Row],[Pts/G]]*(Table2[[#This Row],[Games Playable]]/82))</f>
        <v>17.292682926829269</v>
      </c>
      <c r="M356" s="95" cm="1">
        <f t="array" aca="1" ref="M356" ca="1">Table2[[#This Row],[Playable x Score]]*_xlfn.IFS(Table2[[#This Row],[Pos]]="D",assumptions!$B$15,Table2[[#This Row],[Pos]]="F", assumptions!$B$14,Table2[[#This Row],[Pos]]="G",assumptions!$B$16)</f>
        <v>21.615853658536587</v>
      </c>
    </row>
    <row r="357" spans="1:13" x14ac:dyDescent="0.3">
      <c r="A357">
        <f>'score estimates'!$A357</f>
        <v>354</v>
      </c>
      <c r="B357" t="str">
        <f>'score estimates'!$B357</f>
        <v>Warren Foegele</v>
      </c>
      <c r="C357" t="str">
        <f>'score estimates'!$D357</f>
        <v>F</v>
      </c>
      <c r="D357" t="str">
        <f>'score estimates'!$C357</f>
        <v>EDM</v>
      </c>
      <c r="E357" s="75">
        <f>'score estimates'!$F357</f>
        <v>14.134146341463415</v>
      </c>
      <c r="F357" s="71">
        <f>'score estimates'!$G357</f>
        <v>423</v>
      </c>
      <c r="G357" s="71" t="s">
        <v>983</v>
      </c>
      <c r="H357" s="72" cm="1">
        <f t="array" aca="1" ref="H35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57" s="96">
        <f ca="1">IF(Table2[[#This Row],[Team]]="FA",0,Table2[[#This Row],[Pts/G]]*(1-Table2[[#This Row],[% Pos Overlap]]))</f>
        <v>14.134146341463415</v>
      </c>
      <c r="J357" s="72" cm="1">
        <f t="array" aca="1" ref="J357" ca="1">(INDIRECT(ADDRESS((_xlfn.XMATCH(Table2[[#This Row],[Team]],Schedule!$A$1:$A$33)),5,1,1,"Sched Overlap")))</f>
        <v>0.62026862026862029</v>
      </c>
      <c r="K357" s="92" cm="1">
        <f t="array" aca="1" ref="K35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57" s="95">
        <f ca="1">IF(Table2[[#This Row],[Team]]="FA",0,Table2[[#This Row],[Pts/G]]*(Table2[[#This Row],[Games Playable]]/82))</f>
        <v>14.134146341463415</v>
      </c>
      <c r="M357" s="95" cm="1">
        <f t="array" aca="1" ref="M357" ca="1">Table2[[#This Row],[Playable x Score]]*_xlfn.IFS(Table2[[#This Row],[Pos]]="D",assumptions!$B$15,Table2[[#This Row],[Pos]]="F", assumptions!$B$14,Table2[[#This Row],[Pos]]="G",assumptions!$B$16)</f>
        <v>14.134146341463415</v>
      </c>
    </row>
    <row r="358" spans="1:13" x14ac:dyDescent="0.3">
      <c r="A358">
        <f>'score estimates'!$A358</f>
        <v>355</v>
      </c>
      <c r="B358" t="str">
        <f>'score estimates'!$B358</f>
        <v>Barclay Goodrow</v>
      </c>
      <c r="C358" t="str">
        <f>'score estimates'!$D358</f>
        <v>F</v>
      </c>
      <c r="D358" t="str">
        <f>'score estimates'!$C358</f>
        <v>NYR</v>
      </c>
      <c r="E358" s="75">
        <f>'score estimates'!$F358</f>
        <v>18.634146341463413</v>
      </c>
      <c r="F358" s="71">
        <f>'score estimates'!$G358</f>
        <v>284</v>
      </c>
      <c r="G358" s="71" t="s">
        <v>983</v>
      </c>
      <c r="H358" s="72" cm="1">
        <f t="array" aca="1" ref="H35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58" s="96">
        <f ca="1">IF(Table2[[#This Row],[Team]]="FA",0,Table2[[#This Row],[Pts/G]]*(1-Table2[[#This Row],[% Pos Overlap]]))</f>
        <v>18.634146341463413</v>
      </c>
      <c r="J358" s="72" cm="1">
        <f t="array" aca="1" ref="J358" ca="1">(INDIRECT(ADDRESS((_xlfn.XMATCH(Table2[[#This Row],[Team]],Schedule!$A$1:$A$33)),5,1,1,"Sched Overlap")))</f>
        <v>0.60236060236060229</v>
      </c>
      <c r="K358" s="92" cm="1">
        <f t="array" aca="1" ref="K35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58" s="95">
        <f ca="1">IF(Table2[[#This Row],[Team]]="FA",0,Table2[[#This Row],[Pts/G]]*(Table2[[#This Row],[Games Playable]]/82))</f>
        <v>18.634146341463413</v>
      </c>
      <c r="M358" s="95" cm="1">
        <f t="array" aca="1" ref="M358" ca="1">Table2[[#This Row],[Playable x Score]]*_xlfn.IFS(Table2[[#This Row],[Pos]]="D",assumptions!$B$15,Table2[[#This Row],[Pos]]="F", assumptions!$B$14,Table2[[#This Row],[Pos]]="G",assumptions!$B$16)</f>
        <v>18.634146341463413</v>
      </c>
    </row>
    <row r="359" spans="1:13" x14ac:dyDescent="0.3">
      <c r="A359">
        <f>'score estimates'!$A359</f>
        <v>356</v>
      </c>
      <c r="B359" t="str">
        <f>'score estimates'!$B359</f>
        <v>Robby Fabbri</v>
      </c>
      <c r="C359" t="str">
        <f>'score estimates'!$D359</f>
        <v>F</v>
      </c>
      <c r="D359" t="str">
        <f>'score estimates'!$C359</f>
        <v>DET</v>
      </c>
      <c r="E359" s="75">
        <f>'score estimates'!$F359</f>
        <v>11.585365853658537</v>
      </c>
      <c r="F359" s="71">
        <f>'score estimates'!$G359</f>
        <v>510</v>
      </c>
      <c r="G359" s="71" t="s">
        <v>983</v>
      </c>
      <c r="H359" s="72" cm="1">
        <f t="array" aca="1" ref="H35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59" s="96">
        <f ca="1">IF(Table2[[#This Row],[Team]]="FA",0,Table2[[#This Row],[Pts/G]]*(1-Table2[[#This Row],[% Pos Overlap]]))</f>
        <v>11.585365853658537</v>
      </c>
      <c r="J359" s="72" cm="1">
        <f t="array" aca="1" ref="J359" ca="1">(INDIRECT(ADDRESS((_xlfn.XMATCH(Table2[[#This Row],[Team]],Schedule!$A$1:$A$33)),5,1,1,"Sched Overlap")))</f>
        <v>0.64550264550264547</v>
      </c>
      <c r="K359" s="92" cm="1">
        <f t="array" aca="1" ref="K35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59" s="95">
        <f ca="1">IF(Table2[[#This Row],[Team]]="FA",0,Table2[[#This Row],[Pts/G]]*(Table2[[#This Row],[Games Playable]]/82))</f>
        <v>11.585365853658537</v>
      </c>
      <c r="M359" s="95" cm="1">
        <f t="array" aca="1" ref="M359" ca="1">Table2[[#This Row],[Playable x Score]]*_xlfn.IFS(Table2[[#This Row],[Pos]]="D",assumptions!$B$15,Table2[[#This Row],[Pos]]="F", assumptions!$B$14,Table2[[#This Row],[Pos]]="G",assumptions!$B$16)</f>
        <v>11.585365853658537</v>
      </c>
    </row>
    <row r="360" spans="1:13" x14ac:dyDescent="0.3">
      <c r="A360">
        <f>'score estimates'!$A360</f>
        <v>357</v>
      </c>
      <c r="B360" t="str">
        <f>'score estimates'!$B360</f>
        <v>Marcus Johansson</v>
      </c>
      <c r="C360" t="str">
        <f>'score estimates'!$D360</f>
        <v>F</v>
      </c>
      <c r="D360" t="str">
        <f>'score estimates'!$C360</f>
        <v>WAS</v>
      </c>
      <c r="E360" s="75">
        <f>'score estimates'!$F360</f>
        <v>11.390243902439025</v>
      </c>
      <c r="F360" s="71">
        <f>'score estimates'!$G360</f>
        <v>520</v>
      </c>
      <c r="G360" s="71" t="s">
        <v>983</v>
      </c>
      <c r="H360" s="72" cm="1">
        <f t="array" aca="1" ref="H36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60" s="96">
        <f ca="1">IF(Table2[[#This Row],[Team]]="FA",0,Table2[[#This Row],[Pts/G]]*(1-Table2[[#This Row],[% Pos Overlap]]))</f>
        <v>11.390243902439025</v>
      </c>
      <c r="J360" s="72" cm="1">
        <f t="array" aca="1" ref="J360" ca="1">(INDIRECT(ADDRESS((_xlfn.XMATCH(Table2[[#This Row],[Team]],Schedule!$A$1:$A$33)),5,1,1,"Sched Overlap")))</f>
        <v>0.65282865282865288</v>
      </c>
      <c r="K360" s="92" cm="1">
        <f t="array" aca="1" ref="K36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60" s="95">
        <f ca="1">IF(Table2[[#This Row],[Team]]="FA",0,Table2[[#This Row],[Pts/G]]*(Table2[[#This Row],[Games Playable]]/82))</f>
        <v>11.390243902439025</v>
      </c>
      <c r="M360" s="95" cm="1">
        <f t="array" aca="1" ref="M360" ca="1">Table2[[#This Row],[Playable x Score]]*_xlfn.IFS(Table2[[#This Row],[Pos]]="D",assumptions!$B$15,Table2[[#This Row],[Pos]]="F", assumptions!$B$14,Table2[[#This Row],[Pos]]="G",assumptions!$B$16)</f>
        <v>11.390243902439025</v>
      </c>
    </row>
    <row r="361" spans="1:13" x14ac:dyDescent="0.3">
      <c r="A361">
        <f>'score estimates'!$A361</f>
        <v>358</v>
      </c>
      <c r="B361" t="str">
        <f>'score estimates'!$B361</f>
        <v>Keith Yandle</v>
      </c>
      <c r="C361" t="str">
        <f>'score estimates'!$D361</f>
        <v>D</v>
      </c>
      <c r="D361" t="str">
        <f>'score estimates'!$C361</f>
        <v>FA</v>
      </c>
      <c r="E361" s="75">
        <f>'score estimates'!$F361</f>
        <v>8.5</v>
      </c>
      <c r="F361" s="71">
        <f>'score estimates'!$G361</f>
        <v>606</v>
      </c>
      <c r="G361" s="71" t="s">
        <v>983</v>
      </c>
      <c r="H361" s="72" t="e" cm="1">
        <f t="array" aca="1" ref="H361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361" s="96">
        <f>IF(Table2[[#This Row],[Team]]="FA",0,Table2[[#This Row],[Pts/G]]*(1-Table2[[#This Row],[% Pos Overlap]]))</f>
        <v>0</v>
      </c>
      <c r="J361" s="72" t="e" cm="1">
        <f t="array" aca="1" ref="J361" ca="1">(INDIRECT(ADDRESS((_xlfn.XMATCH(Table2[[#This Row],[Team]],Schedule!$A$1:$A$33)),5,1,1,"Sched Overlap")))</f>
        <v>#N/A</v>
      </c>
      <c r="K361" s="92" t="e" cm="1">
        <f t="array" aca="1" ref="K361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361" s="95">
        <f>IF(Table2[[#This Row],[Team]]="FA",0,Table2[[#This Row],[Pts/G]]*(Table2[[#This Row],[Games Playable]]/82))</f>
        <v>0</v>
      </c>
      <c r="M361" s="95" cm="1">
        <f t="array" ref="M361">Table2[[#This Row],[Playable x Score]]*_xlfn.IFS(Table2[[#This Row],[Pos]]="D",assumptions!$B$15,Table2[[#This Row],[Pos]]="F", assumptions!$B$14,Table2[[#This Row],[Pos]]="G",assumptions!$B$16)</f>
        <v>0</v>
      </c>
    </row>
    <row r="362" spans="1:13" x14ac:dyDescent="0.3">
      <c r="A362">
        <f>'score estimates'!$A362</f>
        <v>359</v>
      </c>
      <c r="B362" t="str">
        <f>'score estimates'!$B362</f>
        <v>Alexander Edler</v>
      </c>
      <c r="C362" t="str">
        <f>'score estimates'!$D362</f>
        <v>D</v>
      </c>
      <c r="D362" t="str">
        <f>'score estimates'!$C362</f>
        <v>LA</v>
      </c>
      <c r="E362" s="75">
        <f>'score estimates'!$F362</f>
        <v>17.76829268292683</v>
      </c>
      <c r="F362" s="71">
        <f>'score estimates'!$G362</f>
        <v>307</v>
      </c>
      <c r="G362" s="71" t="s">
        <v>983</v>
      </c>
      <c r="H362" s="72" cm="1">
        <f t="array" aca="1" ref="H36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62" s="96">
        <f ca="1">IF(Table2[[#This Row],[Team]]="FA",0,Table2[[#This Row],[Pts/G]]*(1-Table2[[#This Row],[% Pos Overlap]]))</f>
        <v>17.76829268292683</v>
      </c>
      <c r="J362" s="72" cm="1">
        <f t="array" aca="1" ref="J362" ca="1">(INDIRECT(ADDRESS((_xlfn.XMATCH(Table2[[#This Row],[Team]],Schedule!$A$1:$A$33)),5,1,1,"Sched Overlap")))</f>
        <v>0.65201465201465225</v>
      </c>
      <c r="K362" s="92" cm="1">
        <f t="array" aca="1" ref="K36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62" s="95">
        <f ca="1">IF(Table2[[#This Row],[Team]]="FA",0,Table2[[#This Row],[Pts/G]]*(Table2[[#This Row],[Games Playable]]/82))</f>
        <v>17.76829268292683</v>
      </c>
      <c r="M362" s="95" cm="1">
        <f t="array" aca="1" ref="M362" ca="1">Table2[[#This Row],[Playable x Score]]*_xlfn.IFS(Table2[[#This Row],[Pos]]="D",assumptions!$B$15,Table2[[#This Row],[Pos]]="F", assumptions!$B$14,Table2[[#This Row],[Pos]]="G",assumptions!$B$16)</f>
        <v>22.210365853658537</v>
      </c>
    </row>
    <row r="363" spans="1:13" x14ac:dyDescent="0.3">
      <c r="A363">
        <f>'score estimates'!$A363</f>
        <v>360</v>
      </c>
      <c r="B363" t="str">
        <f>'score estimates'!$B363</f>
        <v>Sam Gagner</v>
      </c>
      <c r="C363" t="str">
        <f>'score estimates'!$D363</f>
        <v>F</v>
      </c>
      <c r="D363" t="str">
        <f>'score estimates'!$C363</f>
        <v>WPG</v>
      </c>
      <c r="E363" s="75">
        <f>'score estimates'!$F363</f>
        <v>12.012195121951219</v>
      </c>
      <c r="F363" s="71">
        <f>'score estimates'!$G363</f>
        <v>496</v>
      </c>
      <c r="G363" s="71" t="s">
        <v>983</v>
      </c>
      <c r="H363" s="72" cm="1">
        <f t="array" aca="1" ref="H36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63" s="96">
        <f ca="1">IF(Table2[[#This Row],[Team]]="FA",0,Table2[[#This Row],[Pts/G]]*(1-Table2[[#This Row],[% Pos Overlap]]))</f>
        <v>12.012195121951219</v>
      </c>
      <c r="J363" s="72" cm="1">
        <f t="array" aca="1" ref="J363" ca="1">(INDIRECT(ADDRESS((_xlfn.XMATCH(Table2[[#This Row],[Team]],Schedule!$A$1:$A$33)),5,1,1,"Sched Overlap")))</f>
        <v>0.61212861212861214</v>
      </c>
      <c r="K363" s="92" cm="1">
        <f t="array" aca="1" ref="K36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63" s="95">
        <f ca="1">IF(Table2[[#This Row],[Team]]="FA",0,Table2[[#This Row],[Pts/G]]*(Table2[[#This Row],[Games Playable]]/82))</f>
        <v>12.012195121951219</v>
      </c>
      <c r="M363" s="95" cm="1">
        <f t="array" aca="1" ref="M363" ca="1">Table2[[#This Row],[Playable x Score]]*_xlfn.IFS(Table2[[#This Row],[Pos]]="D",assumptions!$B$15,Table2[[#This Row],[Pos]]="F", assumptions!$B$14,Table2[[#This Row],[Pos]]="G",assumptions!$B$16)</f>
        <v>12.012195121951219</v>
      </c>
    </row>
    <row r="364" spans="1:13" x14ac:dyDescent="0.3">
      <c r="A364">
        <f>'score estimates'!$A364</f>
        <v>361</v>
      </c>
      <c r="B364" t="str">
        <f>'score estimates'!$B364</f>
        <v>Patrick Maroon</v>
      </c>
      <c r="C364" t="str">
        <f>'score estimates'!$D364</f>
        <v>F</v>
      </c>
      <c r="D364" t="str">
        <f>'score estimates'!$C364</f>
        <v>TB</v>
      </c>
      <c r="E364" s="75">
        <f>'score estimates'!$F364</f>
        <v>18.170731707317074</v>
      </c>
      <c r="F364" s="71">
        <f>'score estimates'!$G364</f>
        <v>295</v>
      </c>
      <c r="G364" s="71" t="s">
        <v>983</v>
      </c>
      <c r="H364" s="72" cm="1">
        <f t="array" aca="1" ref="H36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64" s="96">
        <f ca="1">IF(Table2[[#This Row],[Team]]="FA",0,Table2[[#This Row],[Pts/G]]*(1-Table2[[#This Row],[% Pos Overlap]]))</f>
        <v>18.170731707317074</v>
      </c>
      <c r="J364" s="72" cm="1">
        <f t="array" aca="1" ref="J364" ca="1">(INDIRECT(ADDRESS((_xlfn.XMATCH(Table2[[#This Row],[Team]],Schedule!$A$1:$A$33)),5,1,1,"Sched Overlap")))</f>
        <v>0.66422466422466431</v>
      </c>
      <c r="K364" s="92" cm="1">
        <f t="array" aca="1" ref="K36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64" s="95">
        <f ca="1">IF(Table2[[#This Row],[Team]]="FA",0,Table2[[#This Row],[Pts/G]]*(Table2[[#This Row],[Games Playable]]/82))</f>
        <v>18.170731707317074</v>
      </c>
      <c r="M364" s="95" cm="1">
        <f t="array" aca="1" ref="M364" ca="1">Table2[[#This Row],[Playable x Score]]*_xlfn.IFS(Table2[[#This Row],[Pos]]="D",assumptions!$B$15,Table2[[#This Row],[Pos]]="F", assumptions!$B$14,Table2[[#This Row],[Pos]]="G",assumptions!$B$16)</f>
        <v>18.170731707317074</v>
      </c>
    </row>
    <row r="365" spans="1:13" x14ac:dyDescent="0.3">
      <c r="A365">
        <f>'score estimates'!$A365</f>
        <v>362</v>
      </c>
      <c r="B365" t="str">
        <f>'score estimates'!$B365</f>
        <v>Jakob Silfverberg</v>
      </c>
      <c r="C365" t="str">
        <f>'score estimates'!$D365</f>
        <v>F</v>
      </c>
      <c r="D365" t="str">
        <f>'score estimates'!$C365</f>
        <v>ANH</v>
      </c>
      <c r="E365" s="75">
        <f>'score estimates'!$F365</f>
        <v>13</v>
      </c>
      <c r="F365" s="71">
        <f>'score estimates'!$G365</f>
        <v>460</v>
      </c>
      <c r="G365" s="71" t="s">
        <v>983</v>
      </c>
      <c r="H365" s="72" cm="1">
        <f t="array" aca="1" ref="H36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65" s="96">
        <f ca="1">IF(Table2[[#This Row],[Team]]="FA",0,Table2[[#This Row],[Pts/G]]*(1-Table2[[#This Row],[% Pos Overlap]]))</f>
        <v>13</v>
      </c>
      <c r="J365" s="72" cm="1">
        <f t="array" aca="1" ref="J365" ca="1">(INDIRECT(ADDRESS((_xlfn.XMATCH(Table2[[#This Row],[Team]],Schedule!$A$1:$A$33)),5,1,1,"Sched Overlap")))</f>
        <v>0.56410256410256399</v>
      </c>
      <c r="K365" s="92" cm="1">
        <f t="array" aca="1" ref="K36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65" s="95">
        <f ca="1">IF(Table2[[#This Row],[Team]]="FA",0,Table2[[#This Row],[Pts/G]]*(Table2[[#This Row],[Games Playable]]/82))</f>
        <v>13</v>
      </c>
      <c r="M365" s="95" cm="1">
        <f t="array" aca="1" ref="M365" ca="1">Table2[[#This Row],[Playable x Score]]*_xlfn.IFS(Table2[[#This Row],[Pos]]="D",assumptions!$B$15,Table2[[#This Row],[Pos]]="F", assumptions!$B$14,Table2[[#This Row],[Pos]]="G",assumptions!$B$16)</f>
        <v>13</v>
      </c>
    </row>
    <row r="366" spans="1:13" x14ac:dyDescent="0.3">
      <c r="A366">
        <f>'score estimates'!$A366</f>
        <v>363</v>
      </c>
      <c r="B366" t="str">
        <f>'score estimates'!$B366</f>
        <v>Nick Ritchie</v>
      </c>
      <c r="C366" t="str">
        <f>'score estimates'!$D366</f>
        <v>F</v>
      </c>
      <c r="D366" t="str">
        <f>'score estimates'!$C366</f>
        <v>ARI</v>
      </c>
      <c r="E366" s="75">
        <f>'score estimates'!$F366</f>
        <v>14.146341463414634</v>
      </c>
      <c r="F366" s="71">
        <f>'score estimates'!$G366</f>
        <v>421</v>
      </c>
      <c r="G366" s="71" t="s">
        <v>983</v>
      </c>
      <c r="H366" s="72" cm="1">
        <f t="array" aca="1" ref="H36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66" s="96">
        <f ca="1">IF(Table2[[#This Row],[Team]]="FA",0,Table2[[#This Row],[Pts/G]]*(1-Table2[[#This Row],[% Pos Overlap]]))</f>
        <v>14.146341463414634</v>
      </c>
      <c r="J366" s="72" cm="1">
        <f t="array" aca="1" ref="J366" ca="1">(INDIRECT(ADDRESS((_xlfn.XMATCH(Table2[[#This Row],[Team]],Schedule!$A$1:$A$33)),5,1,1,"Sched Overlap")))</f>
        <v>0.63247863247863279</v>
      </c>
      <c r="K366" s="92" cm="1">
        <f t="array" aca="1" ref="K36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66" s="95">
        <f ca="1">IF(Table2[[#This Row],[Team]]="FA",0,Table2[[#This Row],[Pts/G]]*(Table2[[#This Row],[Games Playable]]/82))</f>
        <v>14.146341463414634</v>
      </c>
      <c r="M366" s="95" cm="1">
        <f t="array" aca="1" ref="M366" ca="1">Table2[[#This Row],[Playable x Score]]*_xlfn.IFS(Table2[[#This Row],[Pos]]="D",assumptions!$B$15,Table2[[#This Row],[Pos]]="F", assumptions!$B$14,Table2[[#This Row],[Pos]]="G",assumptions!$B$16)</f>
        <v>14.146341463414634</v>
      </c>
    </row>
    <row r="367" spans="1:13" x14ac:dyDescent="0.3">
      <c r="A367">
        <f>'score estimates'!$A367</f>
        <v>364</v>
      </c>
      <c r="B367" t="str">
        <f>'score estimates'!$B367</f>
        <v>Kevin Labanc</v>
      </c>
      <c r="C367" t="str">
        <f>'score estimates'!$D367</f>
        <v>F</v>
      </c>
      <c r="D367" t="str">
        <f>'score estimates'!$C367</f>
        <v>SJ</v>
      </c>
      <c r="E367" s="75">
        <f>'score estimates'!$F367</f>
        <v>11.719512195121951</v>
      </c>
      <c r="F367" s="71">
        <f>'score estimates'!$G367</f>
        <v>506</v>
      </c>
      <c r="G367" s="71" t="s">
        <v>983</v>
      </c>
      <c r="H367" s="72" cm="1">
        <f t="array" aca="1" ref="H36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67" s="96">
        <f ca="1">IF(Table2[[#This Row],[Team]]="FA",0,Table2[[#This Row],[Pts/G]]*(1-Table2[[#This Row],[% Pos Overlap]]))</f>
        <v>11.719512195121951</v>
      </c>
      <c r="J367" s="72" cm="1">
        <f t="array" aca="1" ref="J367" ca="1">(INDIRECT(ADDRESS((_xlfn.XMATCH(Table2[[#This Row],[Team]],Schedule!$A$1:$A$33)),5,1,1,"Sched Overlap")))</f>
        <v>0.63492063492063477</v>
      </c>
      <c r="K367" s="92" cm="1">
        <f t="array" aca="1" ref="K36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67" s="95">
        <f ca="1">IF(Table2[[#This Row],[Team]]="FA",0,Table2[[#This Row],[Pts/G]]*(Table2[[#This Row],[Games Playable]]/82))</f>
        <v>11.719512195121951</v>
      </c>
      <c r="M367" s="95" cm="1">
        <f t="array" aca="1" ref="M367" ca="1">Table2[[#This Row],[Playable x Score]]*_xlfn.IFS(Table2[[#This Row],[Pos]]="D",assumptions!$B$15,Table2[[#This Row],[Pos]]="F", assumptions!$B$14,Table2[[#This Row],[Pos]]="G",assumptions!$B$16)</f>
        <v>11.719512195121951</v>
      </c>
    </row>
    <row r="368" spans="1:13" x14ac:dyDescent="0.3">
      <c r="A368">
        <f>'score estimates'!$A368</f>
        <v>365</v>
      </c>
      <c r="B368" t="str">
        <f>'score estimates'!$B368</f>
        <v>Cody Ceci</v>
      </c>
      <c r="C368" t="str">
        <f>'score estimates'!$D368</f>
        <v>D</v>
      </c>
      <c r="D368" t="str">
        <f>'score estimates'!$C368</f>
        <v>EDM</v>
      </c>
      <c r="E368" s="75">
        <f>'score estimates'!$F368</f>
        <v>16.560975609756099</v>
      </c>
      <c r="F368" s="71">
        <f>'score estimates'!$G368</f>
        <v>340</v>
      </c>
      <c r="G368" s="71" t="s">
        <v>983</v>
      </c>
      <c r="H368" s="72" cm="1">
        <f t="array" aca="1" ref="H36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68" s="96">
        <f ca="1">IF(Table2[[#This Row],[Team]]="FA",0,Table2[[#This Row],[Pts/G]]*(1-Table2[[#This Row],[% Pos Overlap]]))</f>
        <v>16.560975609756099</v>
      </c>
      <c r="J368" s="72" cm="1">
        <f t="array" aca="1" ref="J368" ca="1">(INDIRECT(ADDRESS((_xlfn.XMATCH(Table2[[#This Row],[Team]],Schedule!$A$1:$A$33)),5,1,1,"Sched Overlap")))</f>
        <v>0.62026862026862029</v>
      </c>
      <c r="K368" s="92" cm="1">
        <f t="array" aca="1" ref="K36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68" s="95">
        <f ca="1">IF(Table2[[#This Row],[Team]]="FA",0,Table2[[#This Row],[Pts/G]]*(Table2[[#This Row],[Games Playable]]/82))</f>
        <v>16.560975609756099</v>
      </c>
      <c r="M368" s="95" cm="1">
        <f t="array" aca="1" ref="M368" ca="1">Table2[[#This Row],[Playable x Score]]*_xlfn.IFS(Table2[[#This Row],[Pos]]="D",assumptions!$B$15,Table2[[#This Row],[Pos]]="F", assumptions!$B$14,Table2[[#This Row],[Pos]]="G",assumptions!$B$16)</f>
        <v>20.701219512195124</v>
      </c>
    </row>
    <row r="369" spans="1:13" x14ac:dyDescent="0.3">
      <c r="A369">
        <f>'score estimates'!$A369</f>
        <v>366</v>
      </c>
      <c r="B369" t="str">
        <f>'score estimates'!$B369</f>
        <v>Sean Walker</v>
      </c>
      <c r="C369" t="str">
        <f>'score estimates'!$D369</f>
        <v>D</v>
      </c>
      <c r="D369" t="str">
        <f>'score estimates'!$C369</f>
        <v>LA</v>
      </c>
      <c r="E369" s="75">
        <f>'score estimates'!$F369</f>
        <v>14.780487804878049</v>
      </c>
      <c r="F369" s="71">
        <f>'score estimates'!$G369</f>
        <v>395</v>
      </c>
      <c r="G369" s="71" t="s">
        <v>983</v>
      </c>
      <c r="H369" s="72" cm="1">
        <f t="array" aca="1" ref="H36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69" s="96">
        <f ca="1">IF(Table2[[#This Row],[Team]]="FA",0,Table2[[#This Row],[Pts/G]]*(1-Table2[[#This Row],[% Pos Overlap]]))</f>
        <v>14.780487804878049</v>
      </c>
      <c r="J369" s="72" cm="1">
        <f t="array" aca="1" ref="J369" ca="1">(INDIRECT(ADDRESS((_xlfn.XMATCH(Table2[[#This Row],[Team]],Schedule!$A$1:$A$33)),5,1,1,"Sched Overlap")))</f>
        <v>0.65201465201465225</v>
      </c>
      <c r="K369" s="92" cm="1">
        <f t="array" aca="1" ref="K36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69" s="95">
        <f ca="1">IF(Table2[[#This Row],[Team]]="FA",0,Table2[[#This Row],[Pts/G]]*(Table2[[#This Row],[Games Playable]]/82))</f>
        <v>14.780487804878049</v>
      </c>
      <c r="M369" s="95" cm="1">
        <f t="array" aca="1" ref="M369" ca="1">Table2[[#This Row],[Playable x Score]]*_xlfn.IFS(Table2[[#This Row],[Pos]]="D",assumptions!$B$15,Table2[[#This Row],[Pos]]="F", assumptions!$B$14,Table2[[#This Row],[Pos]]="G",assumptions!$B$16)</f>
        <v>18.475609756097562</v>
      </c>
    </row>
    <row r="370" spans="1:13" x14ac:dyDescent="0.3">
      <c r="A370">
        <f>'score estimates'!$A370</f>
        <v>367</v>
      </c>
      <c r="B370" t="str">
        <f>'score estimates'!$B370</f>
        <v>Colin Blackwell</v>
      </c>
      <c r="C370" t="str">
        <f>'score estimates'!$D370</f>
        <v>F</v>
      </c>
      <c r="D370" t="str">
        <f>'score estimates'!$C370</f>
        <v>CHI</v>
      </c>
      <c r="E370" s="75">
        <f>'score estimates'!$F370</f>
        <v>12.292682926829269</v>
      </c>
      <c r="F370" s="71">
        <f>'score estimates'!$G370</f>
        <v>482</v>
      </c>
      <c r="G370" s="71" t="s">
        <v>983</v>
      </c>
      <c r="H370" s="72" cm="1">
        <f t="array" aca="1" ref="H37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70" s="96">
        <f ca="1">IF(Table2[[#This Row],[Team]]="FA",0,Table2[[#This Row],[Pts/G]]*(1-Table2[[#This Row],[% Pos Overlap]]))</f>
        <v>12.292682926829269</v>
      </c>
      <c r="J370" s="72" cm="1">
        <f t="array" aca="1" ref="J370" ca="1">(INDIRECT(ADDRESS((_xlfn.XMATCH(Table2[[#This Row],[Team]],Schedule!$A$1:$A$33)),5,1,1,"Sched Overlap")))</f>
        <v>0.6243386243386243</v>
      </c>
      <c r="K370" s="92" cm="1">
        <f t="array" aca="1" ref="K37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70" s="95">
        <f ca="1">IF(Table2[[#This Row],[Team]]="FA",0,Table2[[#This Row],[Pts/G]]*(Table2[[#This Row],[Games Playable]]/82))</f>
        <v>12.292682926829269</v>
      </c>
      <c r="M370" s="95" cm="1">
        <f t="array" aca="1" ref="M370" ca="1">Table2[[#This Row],[Playable x Score]]*_xlfn.IFS(Table2[[#This Row],[Pos]]="D",assumptions!$B$15,Table2[[#This Row],[Pos]]="F", assumptions!$B$14,Table2[[#This Row],[Pos]]="G",assumptions!$B$16)</f>
        <v>12.292682926829269</v>
      </c>
    </row>
    <row r="371" spans="1:13" x14ac:dyDescent="0.3">
      <c r="A371">
        <f>'score estimates'!$A371</f>
        <v>368</v>
      </c>
      <c r="B371" t="str">
        <f>'score estimates'!$B371</f>
        <v>Owen Power</v>
      </c>
      <c r="C371" t="str">
        <f>'score estimates'!$D371</f>
        <v>D</v>
      </c>
      <c r="D371" t="str">
        <f>'score estimates'!$C371</f>
        <v>BUF</v>
      </c>
      <c r="E371" s="75">
        <f>'score estimates'!$F371</f>
        <v>14.060975609756097</v>
      </c>
      <c r="F371" s="71">
        <f>'score estimates'!$G371</f>
        <v>427</v>
      </c>
      <c r="G371" s="71" t="s">
        <v>983</v>
      </c>
      <c r="H371" s="72" cm="1">
        <f t="array" aca="1" ref="H37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71" s="96">
        <f ca="1">IF(Table2[[#This Row],[Team]]="FA",0,Table2[[#This Row],[Pts/G]]*(1-Table2[[#This Row],[% Pos Overlap]]))</f>
        <v>14.060975609756097</v>
      </c>
      <c r="J371" s="72" cm="1">
        <f t="array" aca="1" ref="J371" ca="1">(INDIRECT(ADDRESS((_xlfn.XMATCH(Table2[[#This Row],[Team]],Schedule!$A$1:$A$33)),5,1,1,"Sched Overlap")))</f>
        <v>0.63573463573463573</v>
      </c>
      <c r="K371" s="92" cm="1">
        <f t="array" aca="1" ref="K37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71" s="95">
        <f ca="1">IF(Table2[[#This Row],[Team]]="FA",0,Table2[[#This Row],[Pts/G]]*(Table2[[#This Row],[Games Playable]]/82))</f>
        <v>14.060975609756097</v>
      </c>
      <c r="M371" s="95" cm="1">
        <f t="array" aca="1" ref="M371" ca="1">Table2[[#This Row],[Playable x Score]]*_xlfn.IFS(Table2[[#This Row],[Pos]]="D",assumptions!$B$15,Table2[[#This Row],[Pos]]="F", assumptions!$B$14,Table2[[#This Row],[Pos]]="G",assumptions!$B$16)</f>
        <v>17.57621951219512</v>
      </c>
    </row>
    <row r="372" spans="1:13" x14ac:dyDescent="0.3">
      <c r="A372">
        <f>'score estimates'!$A372</f>
        <v>369</v>
      </c>
      <c r="B372" t="str">
        <f>'score estimates'!$B372</f>
        <v>Marco Rossi</v>
      </c>
      <c r="C372" t="str">
        <f>'score estimates'!$D372</f>
        <v>F</v>
      </c>
      <c r="D372" t="str">
        <f>'score estimates'!$C372</f>
        <v>MIN</v>
      </c>
      <c r="E372" s="75">
        <f>'score estimates'!$F372</f>
        <v>13.378048780487806</v>
      </c>
      <c r="F372" s="71">
        <f>'score estimates'!$G372</f>
        <v>453</v>
      </c>
      <c r="G372" s="71" t="s">
        <v>983</v>
      </c>
      <c r="H372" s="72" cm="1">
        <f t="array" aca="1" ref="H37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72" s="96">
        <f ca="1">IF(Table2[[#This Row],[Team]]="FA",0,Table2[[#This Row],[Pts/G]]*(1-Table2[[#This Row],[% Pos Overlap]]))</f>
        <v>13.378048780487806</v>
      </c>
      <c r="J372" s="72" cm="1">
        <f t="array" aca="1" ref="J372" ca="1">(INDIRECT(ADDRESS((_xlfn.XMATCH(Table2[[#This Row],[Team]],Schedule!$A$1:$A$33)),5,1,1,"Sched Overlap")))</f>
        <v>0.62108262108262113</v>
      </c>
      <c r="K372" s="92" cm="1">
        <f t="array" aca="1" ref="K37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72" s="95">
        <f ca="1">IF(Table2[[#This Row],[Team]]="FA",0,Table2[[#This Row],[Pts/G]]*(Table2[[#This Row],[Games Playable]]/82))</f>
        <v>13.378048780487806</v>
      </c>
      <c r="M372" s="95" cm="1">
        <f t="array" aca="1" ref="M372" ca="1">Table2[[#This Row],[Playable x Score]]*_xlfn.IFS(Table2[[#This Row],[Pos]]="D",assumptions!$B$15,Table2[[#This Row],[Pos]]="F", assumptions!$B$14,Table2[[#This Row],[Pos]]="G",assumptions!$B$16)</f>
        <v>13.378048780487806</v>
      </c>
    </row>
    <row r="373" spans="1:13" x14ac:dyDescent="0.3">
      <c r="A373">
        <f>'score estimates'!$A373</f>
        <v>370</v>
      </c>
      <c r="B373" t="str">
        <f>'score estimates'!$B373</f>
        <v>Keegan Kolesar</v>
      </c>
      <c r="C373" t="str">
        <f>'score estimates'!$D373</f>
        <v>F</v>
      </c>
      <c r="D373" t="str">
        <f>'score estimates'!$C373</f>
        <v>VGK</v>
      </c>
      <c r="E373" s="75">
        <f>'score estimates'!$F373</f>
        <v>16.414634146341463</v>
      </c>
      <c r="F373" s="71">
        <f>'score estimates'!$G373</f>
        <v>346</v>
      </c>
      <c r="G373" s="71" t="s">
        <v>983</v>
      </c>
      <c r="H373" s="72" cm="1">
        <f t="array" aca="1" ref="H37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73" s="96">
        <f ca="1">IF(Table2[[#This Row],[Team]]="FA",0,Table2[[#This Row],[Pts/G]]*(1-Table2[[#This Row],[% Pos Overlap]]))</f>
        <v>16.414634146341463</v>
      </c>
      <c r="J373" s="72" cm="1">
        <f t="array" aca="1" ref="J373" ca="1">(INDIRECT(ADDRESS((_xlfn.XMATCH(Table2[[#This Row],[Team]],Schedule!$A$1:$A$33)),5,1,1,"Sched Overlap")))</f>
        <v>0.66992266992266991</v>
      </c>
      <c r="K373" s="92" cm="1">
        <f t="array" aca="1" ref="K37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73" s="95">
        <f ca="1">IF(Table2[[#This Row],[Team]]="FA",0,Table2[[#This Row],[Pts/G]]*(Table2[[#This Row],[Games Playable]]/82))</f>
        <v>16.414634146341463</v>
      </c>
      <c r="M373" s="95" cm="1">
        <f t="array" aca="1" ref="M373" ca="1">Table2[[#This Row],[Playable x Score]]*_xlfn.IFS(Table2[[#This Row],[Pos]]="D",assumptions!$B$15,Table2[[#This Row],[Pos]]="F", assumptions!$B$14,Table2[[#This Row],[Pos]]="G",assumptions!$B$16)</f>
        <v>16.414634146341463</v>
      </c>
    </row>
    <row r="374" spans="1:13" x14ac:dyDescent="0.3">
      <c r="A374">
        <f>'score estimates'!$A374</f>
        <v>371</v>
      </c>
      <c r="B374" t="str">
        <f>'score estimates'!$B374</f>
        <v>Miles Wood</v>
      </c>
      <c r="C374" t="str">
        <f>'score estimates'!$D374</f>
        <v>F</v>
      </c>
      <c r="D374" t="str">
        <f>'score estimates'!$C374</f>
        <v>NJ</v>
      </c>
      <c r="E374" s="75">
        <f>'score estimates'!$F374</f>
        <v>14.085365853658537</v>
      </c>
      <c r="F374" s="71">
        <f>'score estimates'!$G374</f>
        <v>426</v>
      </c>
      <c r="G374" s="71" t="s">
        <v>983</v>
      </c>
      <c r="H374" s="72" cm="1">
        <f t="array" aca="1" ref="H37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74" s="96">
        <f ca="1">IF(Table2[[#This Row],[Team]]="FA",0,Table2[[#This Row],[Pts/G]]*(1-Table2[[#This Row],[% Pos Overlap]]))</f>
        <v>14.085365853658537</v>
      </c>
      <c r="J374" s="72" cm="1">
        <f t="array" aca="1" ref="J374" ca="1">(INDIRECT(ADDRESS((_xlfn.XMATCH(Table2[[#This Row],[Team]],Schedule!$A$1:$A$33)),5,1,1,"Sched Overlap")))</f>
        <v>0.66259666259666272</v>
      </c>
      <c r="K374" s="92" cm="1">
        <f t="array" aca="1" ref="K37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74" s="95">
        <f ca="1">IF(Table2[[#This Row],[Team]]="FA",0,Table2[[#This Row],[Pts/G]]*(Table2[[#This Row],[Games Playable]]/82))</f>
        <v>14.085365853658537</v>
      </c>
      <c r="M374" s="95" cm="1">
        <f t="array" aca="1" ref="M374" ca="1">Table2[[#This Row],[Playable x Score]]*_xlfn.IFS(Table2[[#This Row],[Pos]]="D",assumptions!$B$15,Table2[[#This Row],[Pos]]="F", assumptions!$B$14,Table2[[#This Row],[Pos]]="G",assumptions!$B$16)</f>
        <v>14.085365853658537</v>
      </c>
    </row>
    <row r="375" spans="1:13" x14ac:dyDescent="0.3">
      <c r="A375">
        <f>'score estimates'!$A375</f>
        <v>372</v>
      </c>
      <c r="B375" t="str">
        <f>'score estimates'!$B375</f>
        <v>Luke Kunin</v>
      </c>
      <c r="C375" t="str">
        <f>'score estimates'!$D375</f>
        <v>F</v>
      </c>
      <c r="D375" t="str">
        <f>'score estimates'!$C375</f>
        <v>SJ</v>
      </c>
      <c r="E375" s="75">
        <f>'score estimates'!$F375</f>
        <v>16.695121951219512</v>
      </c>
      <c r="F375" s="71">
        <f>'score estimates'!$G375</f>
        <v>335</v>
      </c>
      <c r="G375" s="71" t="s">
        <v>983</v>
      </c>
      <c r="H375" s="72" cm="1">
        <f t="array" aca="1" ref="H37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75" s="96">
        <f ca="1">IF(Table2[[#This Row],[Team]]="FA",0,Table2[[#This Row],[Pts/G]]*(1-Table2[[#This Row],[% Pos Overlap]]))</f>
        <v>16.695121951219512</v>
      </c>
      <c r="J375" s="72" cm="1">
        <f t="array" aca="1" ref="J375" ca="1">(INDIRECT(ADDRESS((_xlfn.XMATCH(Table2[[#This Row],[Team]],Schedule!$A$1:$A$33)),5,1,1,"Sched Overlap")))</f>
        <v>0.63492063492063477</v>
      </c>
      <c r="K375" s="92" cm="1">
        <f t="array" aca="1" ref="K37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75" s="95">
        <f ca="1">IF(Table2[[#This Row],[Team]]="FA",0,Table2[[#This Row],[Pts/G]]*(Table2[[#This Row],[Games Playable]]/82))</f>
        <v>16.695121951219512</v>
      </c>
      <c r="M375" s="95" cm="1">
        <f t="array" aca="1" ref="M375" ca="1">Table2[[#This Row],[Playable x Score]]*_xlfn.IFS(Table2[[#This Row],[Pos]]="D",assumptions!$B$15,Table2[[#This Row],[Pos]]="F", assumptions!$B$14,Table2[[#This Row],[Pos]]="G",assumptions!$B$16)</f>
        <v>16.695121951219512</v>
      </c>
    </row>
    <row r="376" spans="1:13" x14ac:dyDescent="0.3">
      <c r="A376">
        <f>'score estimates'!$A376</f>
        <v>373</v>
      </c>
      <c r="B376" t="str">
        <f>'score estimates'!$B376</f>
        <v>Michael Rasmussen</v>
      </c>
      <c r="C376" t="str">
        <f>'score estimates'!$D376</f>
        <v>F</v>
      </c>
      <c r="D376" t="str">
        <f>'score estimates'!$C376</f>
        <v>DET</v>
      </c>
      <c r="E376" s="75">
        <f>'score estimates'!$F376</f>
        <v>13.573170731707316</v>
      </c>
      <c r="F376" s="71">
        <f>'score estimates'!$G376</f>
        <v>446</v>
      </c>
      <c r="G376" s="71" t="s">
        <v>983</v>
      </c>
      <c r="H376" s="72" cm="1">
        <f t="array" aca="1" ref="H37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76" s="96">
        <f ca="1">IF(Table2[[#This Row],[Team]]="FA",0,Table2[[#This Row],[Pts/G]]*(1-Table2[[#This Row],[% Pos Overlap]]))</f>
        <v>13.573170731707316</v>
      </c>
      <c r="J376" s="72" cm="1">
        <f t="array" aca="1" ref="J376" ca="1">(INDIRECT(ADDRESS((_xlfn.XMATCH(Table2[[#This Row],[Team]],Schedule!$A$1:$A$33)),5,1,1,"Sched Overlap")))</f>
        <v>0.64550264550264547</v>
      </c>
      <c r="K376" s="92" cm="1">
        <f t="array" aca="1" ref="K37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76" s="95">
        <f ca="1">IF(Table2[[#This Row],[Team]]="FA",0,Table2[[#This Row],[Pts/G]]*(Table2[[#This Row],[Games Playable]]/82))</f>
        <v>13.573170731707316</v>
      </c>
      <c r="M376" s="95" cm="1">
        <f t="array" aca="1" ref="M376" ca="1">Table2[[#This Row],[Playable x Score]]*_xlfn.IFS(Table2[[#This Row],[Pos]]="D",assumptions!$B$15,Table2[[#This Row],[Pos]]="F", assumptions!$B$14,Table2[[#This Row],[Pos]]="G",assumptions!$B$16)</f>
        <v>13.573170731707316</v>
      </c>
    </row>
    <row r="377" spans="1:13" x14ac:dyDescent="0.3">
      <c r="A377">
        <f>'score estimates'!$A377</f>
        <v>374</v>
      </c>
      <c r="B377" t="str">
        <f>'score estimates'!$B377</f>
        <v>David Kampf</v>
      </c>
      <c r="C377" t="str">
        <f>'score estimates'!$D377</f>
        <v>F</v>
      </c>
      <c r="D377" t="str">
        <f>'score estimates'!$C377</f>
        <v>TOR</v>
      </c>
      <c r="E377" s="75">
        <f>'score estimates'!$F377</f>
        <v>14.146341463414634</v>
      </c>
      <c r="F377" s="71">
        <f>'score estimates'!$G377</f>
        <v>421</v>
      </c>
      <c r="G377" s="71" t="s">
        <v>983</v>
      </c>
      <c r="H377" s="72" cm="1">
        <f t="array" aca="1" ref="H37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77" s="96">
        <f ca="1">IF(Table2[[#This Row],[Team]]="FA",0,Table2[[#This Row],[Pts/G]]*(1-Table2[[#This Row],[% Pos Overlap]]))</f>
        <v>14.146341463414634</v>
      </c>
      <c r="J377" s="72" cm="1">
        <f t="array" aca="1" ref="J377" ca="1">(INDIRECT(ADDRESS((_xlfn.XMATCH(Table2[[#This Row],[Team]],Schedule!$A$1:$A$33)),5,1,1,"Sched Overlap")))</f>
        <v>0.62922262922262928</v>
      </c>
      <c r="K377" s="92" cm="1">
        <f t="array" aca="1" ref="K37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77" s="95">
        <f ca="1">IF(Table2[[#This Row],[Team]]="FA",0,Table2[[#This Row],[Pts/G]]*(Table2[[#This Row],[Games Playable]]/82))</f>
        <v>14.146341463414634</v>
      </c>
      <c r="M377" s="95" cm="1">
        <f t="array" aca="1" ref="M377" ca="1">Table2[[#This Row],[Playable x Score]]*_xlfn.IFS(Table2[[#This Row],[Pos]]="D",assumptions!$B$15,Table2[[#This Row],[Pos]]="F", assumptions!$B$14,Table2[[#This Row],[Pos]]="G",assumptions!$B$16)</f>
        <v>14.146341463414634</v>
      </c>
    </row>
    <row r="378" spans="1:13" x14ac:dyDescent="0.3">
      <c r="A378">
        <f>'score estimates'!$A378</f>
        <v>375</v>
      </c>
      <c r="B378" t="str">
        <f>'score estimates'!$B378</f>
        <v>Rudolfs Balcers</v>
      </c>
      <c r="C378" t="str">
        <f>'score estimates'!$D378</f>
        <v>F</v>
      </c>
      <c r="D378" t="str">
        <f>'score estimates'!$C378</f>
        <v>FLA</v>
      </c>
      <c r="E378" s="75">
        <f>'score estimates'!$F378</f>
        <v>14.475609756097562</v>
      </c>
      <c r="F378" s="71">
        <f>'score estimates'!$G378</f>
        <v>409</v>
      </c>
      <c r="G378" s="71" t="s">
        <v>983</v>
      </c>
      <c r="H378" s="72" cm="1">
        <f t="array" aca="1" ref="H37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78" s="96">
        <f ca="1">IF(Table2[[#This Row],[Team]]="FA",0,Table2[[#This Row],[Pts/G]]*(1-Table2[[#This Row],[% Pos Overlap]]))</f>
        <v>14.475609756097562</v>
      </c>
      <c r="J378" s="72" cm="1">
        <f t="array" aca="1" ref="J378" ca="1">(INDIRECT(ADDRESS((_xlfn.XMATCH(Table2[[#This Row],[Team]],Schedule!$A$1:$A$33)),5,1,1,"Sched Overlap")))</f>
        <v>0.64387464387464377</v>
      </c>
      <c r="K378" s="92" cm="1">
        <f t="array" aca="1" ref="K37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78" s="95">
        <f ca="1">IF(Table2[[#This Row],[Team]]="FA",0,Table2[[#This Row],[Pts/G]]*(Table2[[#This Row],[Games Playable]]/82))</f>
        <v>14.475609756097562</v>
      </c>
      <c r="M378" s="95" cm="1">
        <f t="array" aca="1" ref="M378" ca="1">Table2[[#This Row],[Playable x Score]]*_xlfn.IFS(Table2[[#This Row],[Pos]]="D",assumptions!$B$15,Table2[[#This Row],[Pos]]="F", assumptions!$B$14,Table2[[#This Row],[Pos]]="G",assumptions!$B$16)</f>
        <v>14.475609756097562</v>
      </c>
    </row>
    <row r="379" spans="1:13" x14ac:dyDescent="0.3">
      <c r="A379">
        <f>'score estimates'!$A379</f>
        <v>376</v>
      </c>
      <c r="B379" t="str">
        <f>'score estimates'!$B379</f>
        <v>Carson Soucy</v>
      </c>
      <c r="C379" t="str">
        <f>'score estimates'!$D379</f>
        <v>D</v>
      </c>
      <c r="D379" t="str">
        <f>'score estimates'!$C379</f>
        <v>SEA</v>
      </c>
      <c r="E379" s="75">
        <f>'score estimates'!$F379</f>
        <v>17.109756097560975</v>
      </c>
      <c r="F379" s="71">
        <f>'score estimates'!$G379</f>
        <v>329</v>
      </c>
      <c r="G379" s="71" t="s">
        <v>983</v>
      </c>
      <c r="H379" s="72" cm="1">
        <f t="array" aca="1" ref="H37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79" s="96">
        <f ca="1">IF(Table2[[#This Row],[Team]]="FA",0,Table2[[#This Row],[Pts/G]]*(1-Table2[[#This Row],[% Pos Overlap]]))</f>
        <v>17.109756097560975</v>
      </c>
      <c r="J379" s="72" cm="1">
        <f t="array" aca="1" ref="J379" ca="1">(INDIRECT(ADDRESS((_xlfn.XMATCH(Table2[[#This Row],[Team]],Schedule!$A$1:$A$33)),5,1,1,"Sched Overlap")))</f>
        <v>0.63085063085063087</v>
      </c>
      <c r="K379" s="92" cm="1">
        <f t="array" aca="1" ref="K37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79" s="95">
        <f ca="1">IF(Table2[[#This Row],[Team]]="FA",0,Table2[[#This Row],[Pts/G]]*(Table2[[#This Row],[Games Playable]]/82))</f>
        <v>17.109756097560975</v>
      </c>
      <c r="M379" s="95" cm="1">
        <f t="array" aca="1" ref="M379" ca="1">Table2[[#This Row],[Playable x Score]]*_xlfn.IFS(Table2[[#This Row],[Pos]]="D",assumptions!$B$15,Table2[[#This Row],[Pos]]="F", assumptions!$B$14,Table2[[#This Row],[Pos]]="G",assumptions!$B$16)</f>
        <v>21.387195121951219</v>
      </c>
    </row>
    <row r="380" spans="1:13" x14ac:dyDescent="0.3">
      <c r="A380">
        <f>'score estimates'!$A380</f>
        <v>377</v>
      </c>
      <c r="B380" t="str">
        <f>'score estimates'!$B380</f>
        <v>Adam Boqvist</v>
      </c>
      <c r="C380" t="str">
        <f>'score estimates'!$D380</f>
        <v>D</v>
      </c>
      <c r="D380" t="str">
        <f>'score estimates'!$C380</f>
        <v>CLS</v>
      </c>
      <c r="E380" s="75">
        <f>'score estimates'!$F380</f>
        <v>11.24390243902439</v>
      </c>
      <c r="F380" s="71">
        <f>'score estimates'!$G380</f>
        <v>524</v>
      </c>
      <c r="G380" s="71" t="s">
        <v>983</v>
      </c>
      <c r="H380" s="72" cm="1">
        <f t="array" aca="1" ref="H38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80" s="96">
        <f ca="1">IF(Table2[[#This Row],[Team]]="FA",0,Table2[[#This Row],[Pts/G]]*(1-Table2[[#This Row],[% Pos Overlap]]))</f>
        <v>11.24390243902439</v>
      </c>
      <c r="J380" s="72" cm="1">
        <f t="array" aca="1" ref="J380" ca="1">(INDIRECT(ADDRESS((_xlfn.XMATCH(Table2[[#This Row],[Team]],Schedule!$A$1:$A$33)),5,1,1,"Sched Overlap")))</f>
        <v>0.64875864875864886</v>
      </c>
      <c r="K380" s="92" cm="1">
        <f t="array" aca="1" ref="K38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80" s="95">
        <f ca="1">IF(Table2[[#This Row],[Team]]="FA",0,Table2[[#This Row],[Pts/G]]*(Table2[[#This Row],[Games Playable]]/82))</f>
        <v>11.24390243902439</v>
      </c>
      <c r="M380" s="95" cm="1">
        <f t="array" aca="1" ref="M380" ca="1">Table2[[#This Row],[Playable x Score]]*_xlfn.IFS(Table2[[#This Row],[Pos]]="D",assumptions!$B$15,Table2[[#This Row],[Pos]]="F", assumptions!$B$14,Table2[[#This Row],[Pos]]="G",assumptions!$B$16)</f>
        <v>14.054878048780488</v>
      </c>
    </row>
    <row r="381" spans="1:13" x14ac:dyDescent="0.3">
      <c r="A381">
        <f>'score estimates'!$A381</f>
        <v>378</v>
      </c>
      <c r="B381" t="str">
        <f>'score estimates'!$B381</f>
        <v>Calen Addison</v>
      </c>
      <c r="C381" t="str">
        <f>'score estimates'!$D381</f>
        <v>D</v>
      </c>
      <c r="D381" t="str">
        <f>'score estimates'!$C381</f>
        <v>MIN</v>
      </c>
      <c r="E381" s="75">
        <f>'score estimates'!$F381</f>
        <v>9.3902439024390247</v>
      </c>
      <c r="F381" s="71">
        <f>'score estimates'!$G381</f>
        <v>582</v>
      </c>
      <c r="G381" s="71" t="s">
        <v>983</v>
      </c>
      <c r="H381" s="72" cm="1">
        <f t="array" aca="1" ref="H38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81" s="96">
        <f ca="1">IF(Table2[[#This Row],[Team]]="FA",0,Table2[[#This Row],[Pts/G]]*(1-Table2[[#This Row],[% Pos Overlap]]))</f>
        <v>9.3902439024390247</v>
      </c>
      <c r="J381" s="72" cm="1">
        <f t="array" aca="1" ref="J381" ca="1">(INDIRECT(ADDRESS((_xlfn.XMATCH(Table2[[#This Row],[Team]],Schedule!$A$1:$A$33)),5,1,1,"Sched Overlap")))</f>
        <v>0.62108262108262113</v>
      </c>
      <c r="K381" s="92" cm="1">
        <f t="array" aca="1" ref="K38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81" s="95">
        <f ca="1">IF(Table2[[#This Row],[Team]]="FA",0,Table2[[#This Row],[Pts/G]]*(Table2[[#This Row],[Games Playable]]/82))</f>
        <v>9.3902439024390247</v>
      </c>
      <c r="M381" s="95" cm="1">
        <f t="array" aca="1" ref="M381" ca="1">Table2[[#This Row],[Playable x Score]]*_xlfn.IFS(Table2[[#This Row],[Pos]]="D",assumptions!$B$15,Table2[[#This Row],[Pos]]="F", assumptions!$B$14,Table2[[#This Row],[Pos]]="G",assumptions!$B$16)</f>
        <v>11.737804878048781</v>
      </c>
    </row>
    <row r="382" spans="1:13" x14ac:dyDescent="0.3">
      <c r="A382">
        <f>'score estimates'!$A382</f>
        <v>379</v>
      </c>
      <c r="B382" t="str">
        <f>'score estimates'!$B382</f>
        <v>Ryan McLeod</v>
      </c>
      <c r="C382" t="str">
        <f>'score estimates'!$D382</f>
        <v>F</v>
      </c>
      <c r="D382" t="str">
        <f>'score estimates'!$C382</f>
        <v>EDM</v>
      </c>
      <c r="E382" s="75">
        <f>'score estimates'!$F382</f>
        <v>11.524390243902438</v>
      </c>
      <c r="F382" s="71">
        <f>'score estimates'!$G382</f>
        <v>514</v>
      </c>
      <c r="G382" s="71" t="s">
        <v>983</v>
      </c>
      <c r="H382" s="72" cm="1">
        <f t="array" aca="1" ref="H38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82" s="96">
        <f ca="1">IF(Table2[[#This Row],[Team]]="FA",0,Table2[[#This Row],[Pts/G]]*(1-Table2[[#This Row],[% Pos Overlap]]))</f>
        <v>11.524390243902438</v>
      </c>
      <c r="J382" s="72" cm="1">
        <f t="array" aca="1" ref="J382" ca="1">(INDIRECT(ADDRESS((_xlfn.XMATCH(Table2[[#This Row],[Team]],Schedule!$A$1:$A$33)),5,1,1,"Sched Overlap")))</f>
        <v>0.62026862026862029</v>
      </c>
      <c r="K382" s="92" cm="1">
        <f t="array" aca="1" ref="K38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82" s="95">
        <f ca="1">IF(Table2[[#This Row],[Team]]="FA",0,Table2[[#This Row],[Pts/G]]*(Table2[[#This Row],[Games Playable]]/82))</f>
        <v>11.524390243902438</v>
      </c>
      <c r="M382" s="95" cm="1">
        <f t="array" aca="1" ref="M382" ca="1">Table2[[#This Row],[Playable x Score]]*_xlfn.IFS(Table2[[#This Row],[Pos]]="D",assumptions!$B$15,Table2[[#This Row],[Pos]]="F", assumptions!$B$14,Table2[[#This Row],[Pos]]="G",assumptions!$B$16)</f>
        <v>11.524390243902438</v>
      </c>
    </row>
    <row r="383" spans="1:13" x14ac:dyDescent="0.3">
      <c r="A383">
        <f>'score estimates'!$A383</f>
        <v>380</v>
      </c>
      <c r="B383" t="str">
        <f>'score estimates'!$B383</f>
        <v>Garnet Hathaway</v>
      </c>
      <c r="C383" t="str">
        <f>'score estimates'!$D383</f>
        <v>F</v>
      </c>
      <c r="D383" t="str">
        <f>'score estimates'!$C383</f>
        <v>WAS</v>
      </c>
      <c r="E383" s="75">
        <f>'score estimates'!$F383</f>
        <v>19.975609756097562</v>
      </c>
      <c r="F383" s="71">
        <f>'score estimates'!$G383</f>
        <v>248</v>
      </c>
      <c r="G383" s="71" t="s">
        <v>983</v>
      </c>
      <c r="H383" s="72" cm="1">
        <f t="array" aca="1" ref="H38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83" s="96">
        <f ca="1">IF(Table2[[#This Row],[Team]]="FA",0,Table2[[#This Row],[Pts/G]]*(1-Table2[[#This Row],[% Pos Overlap]]))</f>
        <v>19.975609756097562</v>
      </c>
      <c r="J383" s="72" cm="1">
        <f t="array" aca="1" ref="J383" ca="1">(INDIRECT(ADDRESS((_xlfn.XMATCH(Table2[[#This Row],[Team]],Schedule!$A$1:$A$33)),5,1,1,"Sched Overlap")))</f>
        <v>0.65282865282865288</v>
      </c>
      <c r="K383" s="92" cm="1">
        <f t="array" aca="1" ref="K38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83" s="95">
        <f ca="1">IF(Table2[[#This Row],[Team]]="FA",0,Table2[[#This Row],[Pts/G]]*(Table2[[#This Row],[Games Playable]]/82))</f>
        <v>19.975609756097562</v>
      </c>
      <c r="M383" s="95" cm="1">
        <f t="array" aca="1" ref="M383" ca="1">Table2[[#This Row],[Playable x Score]]*_xlfn.IFS(Table2[[#This Row],[Pos]]="D",assumptions!$B$15,Table2[[#This Row],[Pos]]="F", assumptions!$B$14,Table2[[#This Row],[Pos]]="G",assumptions!$B$16)</f>
        <v>19.975609756097562</v>
      </c>
    </row>
    <row r="384" spans="1:13" x14ac:dyDescent="0.3">
      <c r="A384">
        <f>'score estimates'!$A384</f>
        <v>381</v>
      </c>
      <c r="B384" t="str">
        <f>'score estimates'!$B384</f>
        <v>Tyler Ennis</v>
      </c>
      <c r="C384" t="str">
        <f>'score estimates'!$D384</f>
        <v>F</v>
      </c>
      <c r="D384" t="str">
        <f>'score estimates'!$C384</f>
        <v>FA</v>
      </c>
      <c r="E384" s="75">
        <f>'score estimates'!$F384</f>
        <v>11.25609756097561</v>
      </c>
      <c r="F384" s="71">
        <f>'score estimates'!$G384</f>
        <v>523</v>
      </c>
      <c r="G384" s="71" t="s">
        <v>983</v>
      </c>
      <c r="H384" s="72" t="e" cm="1">
        <f t="array" aca="1" ref="H384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384" s="96">
        <f>IF(Table2[[#This Row],[Team]]="FA",0,Table2[[#This Row],[Pts/G]]*(1-Table2[[#This Row],[% Pos Overlap]]))</f>
        <v>0</v>
      </c>
      <c r="J384" s="72" t="e" cm="1">
        <f t="array" aca="1" ref="J384" ca="1">(INDIRECT(ADDRESS((_xlfn.XMATCH(Table2[[#This Row],[Team]],Schedule!$A$1:$A$33)),5,1,1,"Sched Overlap")))</f>
        <v>#N/A</v>
      </c>
      <c r="K384" s="92" t="e" cm="1">
        <f t="array" aca="1" ref="K384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384" s="95">
        <f>IF(Table2[[#This Row],[Team]]="FA",0,Table2[[#This Row],[Pts/G]]*(Table2[[#This Row],[Games Playable]]/82))</f>
        <v>0</v>
      </c>
      <c r="M384" s="95" cm="1">
        <f t="array" ref="M384">Table2[[#This Row],[Playable x Score]]*_xlfn.IFS(Table2[[#This Row],[Pos]]="D",assumptions!$B$15,Table2[[#This Row],[Pos]]="F", assumptions!$B$14,Table2[[#This Row],[Pos]]="G",assumptions!$B$16)</f>
        <v>0</v>
      </c>
    </row>
    <row r="385" spans="1:13" x14ac:dyDescent="0.3">
      <c r="A385">
        <f>'score estimates'!$A385</f>
        <v>382</v>
      </c>
      <c r="B385" t="str">
        <f>'score estimates'!$B385</f>
        <v>P.K. Subban</v>
      </c>
      <c r="C385" t="str">
        <f>'score estimates'!$D385</f>
        <v>D</v>
      </c>
      <c r="D385" t="str">
        <f>'score estimates'!$C385</f>
        <v>FA</v>
      </c>
      <c r="E385" s="75">
        <f>'score estimates'!$F385</f>
        <v>14.670731707317072</v>
      </c>
      <c r="F385" s="71">
        <f>'score estimates'!$G385</f>
        <v>400</v>
      </c>
      <c r="G385" s="71" t="s">
        <v>983</v>
      </c>
      <c r="H385" s="72" t="e" cm="1">
        <f t="array" aca="1" ref="H385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385" s="96">
        <f>IF(Table2[[#This Row],[Team]]="FA",0,Table2[[#This Row],[Pts/G]]*(1-Table2[[#This Row],[% Pos Overlap]]))</f>
        <v>0</v>
      </c>
      <c r="J385" s="72" t="e" cm="1">
        <f t="array" aca="1" ref="J385" ca="1">(INDIRECT(ADDRESS((_xlfn.XMATCH(Table2[[#This Row],[Team]],Schedule!$A$1:$A$33)),5,1,1,"Sched Overlap")))</f>
        <v>#N/A</v>
      </c>
      <c r="K385" s="92" t="e" cm="1">
        <f t="array" aca="1" ref="K385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385" s="95">
        <f>IF(Table2[[#This Row],[Team]]="FA",0,Table2[[#This Row],[Pts/G]]*(Table2[[#This Row],[Games Playable]]/82))</f>
        <v>0</v>
      </c>
      <c r="M385" s="95" cm="1">
        <f t="array" ref="M385">Table2[[#This Row],[Playable x Score]]*_xlfn.IFS(Table2[[#This Row],[Pos]]="D",assumptions!$B$15,Table2[[#This Row],[Pos]]="F", assumptions!$B$14,Table2[[#This Row],[Pos]]="G",assumptions!$B$16)</f>
        <v>0</v>
      </c>
    </row>
    <row r="386" spans="1:13" x14ac:dyDescent="0.3">
      <c r="A386">
        <f>'score estimates'!$A386</f>
        <v>383</v>
      </c>
      <c r="B386" t="str">
        <f>'score estimates'!$B386</f>
        <v>Alex Chiasson</v>
      </c>
      <c r="C386" t="str">
        <f>'score estimates'!$D386</f>
        <v>F</v>
      </c>
      <c r="D386" t="str">
        <f>'score estimates'!$C386</f>
        <v>ARI</v>
      </c>
      <c r="E386" s="75">
        <f>'score estimates'!$F386</f>
        <v>13.170731707317072</v>
      </c>
      <c r="F386" s="71">
        <f>'score estimates'!$G386</f>
        <v>458</v>
      </c>
      <c r="G386" s="71" t="s">
        <v>983</v>
      </c>
      <c r="H386" s="72" cm="1">
        <f t="array" aca="1" ref="H38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86" s="96">
        <f ca="1">IF(Table2[[#This Row],[Team]]="FA",0,Table2[[#This Row],[Pts/G]]*(1-Table2[[#This Row],[% Pos Overlap]]))</f>
        <v>13.170731707317072</v>
      </c>
      <c r="J386" s="72" cm="1">
        <f t="array" aca="1" ref="J386" ca="1">(INDIRECT(ADDRESS((_xlfn.XMATCH(Table2[[#This Row],[Team]],Schedule!$A$1:$A$33)),5,1,1,"Sched Overlap")))</f>
        <v>0.63247863247863279</v>
      </c>
      <c r="K386" s="92" cm="1">
        <f t="array" aca="1" ref="K38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86" s="95">
        <f ca="1">IF(Table2[[#This Row],[Team]]="FA",0,Table2[[#This Row],[Pts/G]]*(Table2[[#This Row],[Games Playable]]/82))</f>
        <v>13.170731707317072</v>
      </c>
      <c r="M386" s="95" cm="1">
        <f t="array" aca="1" ref="M386" ca="1">Table2[[#This Row],[Playable x Score]]*_xlfn.IFS(Table2[[#This Row],[Pos]]="D",assumptions!$B$15,Table2[[#This Row],[Pos]]="F", assumptions!$B$14,Table2[[#This Row],[Pos]]="G",assumptions!$B$16)</f>
        <v>13.170731707317072</v>
      </c>
    </row>
    <row r="387" spans="1:13" x14ac:dyDescent="0.3">
      <c r="A387">
        <f>'score estimates'!$A387</f>
        <v>384</v>
      </c>
      <c r="B387" t="str">
        <f>'score estimates'!$B387</f>
        <v>Calle Jarnkrok</v>
      </c>
      <c r="C387" t="str">
        <f>'score estimates'!$D387</f>
        <v>F</v>
      </c>
      <c r="D387" t="str">
        <f>'score estimates'!$C387</f>
        <v>TOR</v>
      </c>
      <c r="E387" s="75">
        <f>'score estimates'!$F387</f>
        <v>11.426829268292684</v>
      </c>
      <c r="F387" s="71">
        <f>'score estimates'!$G387</f>
        <v>518</v>
      </c>
      <c r="G387" s="71" t="s">
        <v>983</v>
      </c>
      <c r="H387" s="72" cm="1">
        <f t="array" aca="1" ref="H38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87" s="96">
        <f ca="1">IF(Table2[[#This Row],[Team]]="FA",0,Table2[[#This Row],[Pts/G]]*(1-Table2[[#This Row],[% Pos Overlap]]))</f>
        <v>11.426829268292684</v>
      </c>
      <c r="J387" s="72" cm="1">
        <f t="array" aca="1" ref="J387" ca="1">(INDIRECT(ADDRESS((_xlfn.XMATCH(Table2[[#This Row],[Team]],Schedule!$A$1:$A$33)),5,1,1,"Sched Overlap")))</f>
        <v>0.62922262922262928</v>
      </c>
      <c r="K387" s="92" cm="1">
        <f t="array" aca="1" ref="K38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87" s="95">
        <f ca="1">IF(Table2[[#This Row],[Team]]="FA",0,Table2[[#This Row],[Pts/G]]*(Table2[[#This Row],[Games Playable]]/82))</f>
        <v>11.426829268292684</v>
      </c>
      <c r="M387" s="95" cm="1">
        <f t="array" aca="1" ref="M387" ca="1">Table2[[#This Row],[Playable x Score]]*_xlfn.IFS(Table2[[#This Row],[Pos]]="D",assumptions!$B$15,Table2[[#This Row],[Pos]]="F", assumptions!$B$14,Table2[[#This Row],[Pos]]="G",assumptions!$B$16)</f>
        <v>11.426829268292684</v>
      </c>
    </row>
    <row r="388" spans="1:13" x14ac:dyDescent="0.3">
      <c r="A388">
        <f>'score estimates'!$A388</f>
        <v>385</v>
      </c>
      <c r="B388" t="str">
        <f>'score estimates'!$B388</f>
        <v>Derek Grant</v>
      </c>
      <c r="C388" t="str">
        <f>'score estimates'!$D388</f>
        <v>F</v>
      </c>
      <c r="D388" t="str">
        <f>'score estimates'!$C388</f>
        <v>ANH</v>
      </c>
      <c r="E388" s="75">
        <f>'score estimates'!$F388</f>
        <v>12.134146341463415</v>
      </c>
      <c r="F388" s="71">
        <f>'score estimates'!$G388</f>
        <v>489</v>
      </c>
      <c r="G388" s="71" t="s">
        <v>983</v>
      </c>
      <c r="H388" s="72" cm="1">
        <f t="array" aca="1" ref="H38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88" s="96">
        <f ca="1">IF(Table2[[#This Row],[Team]]="FA",0,Table2[[#This Row],[Pts/G]]*(1-Table2[[#This Row],[% Pos Overlap]]))</f>
        <v>12.134146341463415</v>
      </c>
      <c r="J388" s="72" cm="1">
        <f t="array" aca="1" ref="J388" ca="1">(INDIRECT(ADDRESS((_xlfn.XMATCH(Table2[[#This Row],[Team]],Schedule!$A$1:$A$33)),5,1,1,"Sched Overlap")))</f>
        <v>0.56410256410256399</v>
      </c>
      <c r="K388" s="92" cm="1">
        <f t="array" aca="1" ref="K38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88" s="95">
        <f ca="1">IF(Table2[[#This Row],[Team]]="FA",0,Table2[[#This Row],[Pts/G]]*(Table2[[#This Row],[Games Playable]]/82))</f>
        <v>12.134146341463415</v>
      </c>
      <c r="M388" s="95" cm="1">
        <f t="array" aca="1" ref="M388" ca="1">Table2[[#This Row],[Playable x Score]]*_xlfn.IFS(Table2[[#This Row],[Pos]]="D",assumptions!$B$15,Table2[[#This Row],[Pos]]="F", assumptions!$B$14,Table2[[#This Row],[Pos]]="G",assumptions!$B$16)</f>
        <v>12.134146341463415</v>
      </c>
    </row>
    <row r="389" spans="1:13" x14ac:dyDescent="0.3">
      <c r="A389">
        <f>'score estimates'!$A389</f>
        <v>386</v>
      </c>
      <c r="B389" t="str">
        <f>'score estimates'!$B389</f>
        <v>Adam Lowry</v>
      </c>
      <c r="C389" t="str">
        <f>'score estimates'!$D389</f>
        <v>F</v>
      </c>
      <c r="D389" t="str">
        <f>'score estimates'!$C389</f>
        <v>WPG</v>
      </c>
      <c r="E389" s="75">
        <f>'score estimates'!$F389</f>
        <v>16.987804878048781</v>
      </c>
      <c r="F389" s="71">
        <f>'score estimates'!$G389</f>
        <v>330</v>
      </c>
      <c r="G389" s="71" t="s">
        <v>983</v>
      </c>
      <c r="H389" s="72" cm="1">
        <f t="array" aca="1" ref="H38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89" s="96">
        <f ca="1">IF(Table2[[#This Row],[Team]]="FA",0,Table2[[#This Row],[Pts/G]]*(1-Table2[[#This Row],[% Pos Overlap]]))</f>
        <v>16.987804878048781</v>
      </c>
      <c r="J389" s="72" cm="1">
        <f t="array" aca="1" ref="J389" ca="1">(INDIRECT(ADDRESS((_xlfn.XMATCH(Table2[[#This Row],[Team]],Schedule!$A$1:$A$33)),5,1,1,"Sched Overlap")))</f>
        <v>0.61212861212861214</v>
      </c>
      <c r="K389" s="92" cm="1">
        <f t="array" aca="1" ref="K38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89" s="95">
        <f ca="1">IF(Table2[[#This Row],[Team]]="FA",0,Table2[[#This Row],[Pts/G]]*(Table2[[#This Row],[Games Playable]]/82))</f>
        <v>16.987804878048781</v>
      </c>
      <c r="M389" s="95" cm="1">
        <f t="array" aca="1" ref="M389" ca="1">Table2[[#This Row],[Playable x Score]]*_xlfn.IFS(Table2[[#This Row],[Pos]]="D",assumptions!$B$15,Table2[[#This Row],[Pos]]="F", assumptions!$B$14,Table2[[#This Row],[Pos]]="G",assumptions!$B$16)</f>
        <v>16.987804878048781</v>
      </c>
    </row>
    <row r="390" spans="1:13" x14ac:dyDescent="0.3">
      <c r="A390">
        <f>'score estimates'!$A390</f>
        <v>387</v>
      </c>
      <c r="B390" t="str">
        <f>'score estimates'!$B390</f>
        <v>Victor Rask</v>
      </c>
      <c r="C390" t="str">
        <f>'score estimates'!$D390</f>
        <v>F</v>
      </c>
      <c r="D390" t="str">
        <f>'score estimates'!$C390</f>
        <v>CLS</v>
      </c>
      <c r="E390" s="75">
        <f>'score estimates'!$F390</f>
        <v>9.7195121951219505</v>
      </c>
      <c r="F390" s="71">
        <f>'score estimates'!$G390</f>
        <v>575</v>
      </c>
      <c r="G390" s="71" t="s">
        <v>983</v>
      </c>
      <c r="H390" s="72" cm="1">
        <f t="array" aca="1" ref="H39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90" s="96">
        <f ca="1">IF(Table2[[#This Row],[Team]]="FA",0,Table2[[#This Row],[Pts/G]]*(1-Table2[[#This Row],[% Pos Overlap]]))</f>
        <v>9.7195121951219505</v>
      </c>
      <c r="J390" s="72" cm="1">
        <f t="array" aca="1" ref="J390" ca="1">(INDIRECT(ADDRESS((_xlfn.XMATCH(Table2[[#This Row],[Team]],Schedule!$A$1:$A$33)),5,1,1,"Sched Overlap")))</f>
        <v>0.64875864875864886</v>
      </c>
      <c r="K390" s="92" cm="1">
        <f t="array" aca="1" ref="K39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90" s="95">
        <f ca="1">IF(Table2[[#This Row],[Team]]="FA",0,Table2[[#This Row],[Pts/G]]*(Table2[[#This Row],[Games Playable]]/82))</f>
        <v>9.7195121951219505</v>
      </c>
      <c r="M390" s="95" cm="1">
        <f t="array" aca="1" ref="M390" ca="1">Table2[[#This Row],[Playable x Score]]*_xlfn.IFS(Table2[[#This Row],[Pos]]="D",assumptions!$B$15,Table2[[#This Row],[Pos]]="F", assumptions!$B$14,Table2[[#This Row],[Pos]]="G",assumptions!$B$16)</f>
        <v>9.7195121951219505</v>
      </c>
    </row>
    <row r="391" spans="1:13" x14ac:dyDescent="0.3">
      <c r="A391">
        <f>'score estimates'!$A391</f>
        <v>388</v>
      </c>
      <c r="B391" t="str">
        <f>'score estimates'!$B391</f>
        <v>Adam Larsson</v>
      </c>
      <c r="C391" t="str">
        <f>'score estimates'!$D391</f>
        <v>D</v>
      </c>
      <c r="D391" t="str">
        <f>'score estimates'!$C391</f>
        <v>SEA</v>
      </c>
      <c r="E391" s="75">
        <f>'score estimates'!$F391</f>
        <v>16.024390243902438</v>
      </c>
      <c r="F391" s="71">
        <f>'score estimates'!$G391</f>
        <v>362</v>
      </c>
      <c r="G391" s="71" t="s">
        <v>983</v>
      </c>
      <c r="H391" s="72" cm="1">
        <f t="array" aca="1" ref="H39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91" s="96">
        <f ca="1">IF(Table2[[#This Row],[Team]]="FA",0,Table2[[#This Row],[Pts/G]]*(1-Table2[[#This Row],[% Pos Overlap]]))</f>
        <v>16.024390243902438</v>
      </c>
      <c r="J391" s="72" cm="1">
        <f t="array" aca="1" ref="J391" ca="1">(INDIRECT(ADDRESS((_xlfn.XMATCH(Table2[[#This Row],[Team]],Schedule!$A$1:$A$33)),5,1,1,"Sched Overlap")))</f>
        <v>0.63085063085063087</v>
      </c>
      <c r="K391" s="92" cm="1">
        <f t="array" aca="1" ref="K39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91" s="95">
        <f ca="1">IF(Table2[[#This Row],[Team]]="FA",0,Table2[[#This Row],[Pts/G]]*(Table2[[#This Row],[Games Playable]]/82))</f>
        <v>16.024390243902438</v>
      </c>
      <c r="M391" s="95" cm="1">
        <f t="array" aca="1" ref="M391" ca="1">Table2[[#This Row],[Playable x Score]]*_xlfn.IFS(Table2[[#This Row],[Pos]]="D",assumptions!$B$15,Table2[[#This Row],[Pos]]="F", assumptions!$B$14,Table2[[#This Row],[Pos]]="G",assumptions!$B$16)</f>
        <v>20.030487804878049</v>
      </c>
    </row>
    <row r="392" spans="1:13" x14ac:dyDescent="0.3">
      <c r="A392">
        <f>'score estimates'!$A392</f>
        <v>389</v>
      </c>
      <c r="B392" t="str">
        <f>'score estimates'!$B392</f>
        <v>Nic Dowd</v>
      </c>
      <c r="C392" t="str">
        <f>'score estimates'!$D392</f>
        <v>F</v>
      </c>
      <c r="D392" t="str">
        <f>'score estimates'!$C392</f>
        <v>WAS</v>
      </c>
      <c r="E392" s="75">
        <f>'score estimates'!$F392</f>
        <v>15.25609756097561</v>
      </c>
      <c r="F392" s="71">
        <f>'score estimates'!$G392</f>
        <v>384</v>
      </c>
      <c r="G392" s="71" t="s">
        <v>983</v>
      </c>
      <c r="H392" s="72" cm="1">
        <f t="array" aca="1" ref="H39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92" s="96">
        <f ca="1">IF(Table2[[#This Row],[Team]]="FA",0,Table2[[#This Row],[Pts/G]]*(1-Table2[[#This Row],[% Pos Overlap]]))</f>
        <v>15.25609756097561</v>
      </c>
      <c r="J392" s="72" cm="1">
        <f t="array" aca="1" ref="J392" ca="1">(INDIRECT(ADDRESS((_xlfn.XMATCH(Table2[[#This Row],[Team]],Schedule!$A$1:$A$33)),5,1,1,"Sched Overlap")))</f>
        <v>0.65282865282865288</v>
      </c>
      <c r="K392" s="92" cm="1">
        <f t="array" aca="1" ref="K39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92" s="95">
        <f ca="1">IF(Table2[[#This Row],[Team]]="FA",0,Table2[[#This Row],[Pts/G]]*(Table2[[#This Row],[Games Playable]]/82))</f>
        <v>15.25609756097561</v>
      </c>
      <c r="M392" s="95" cm="1">
        <f t="array" aca="1" ref="M392" ca="1">Table2[[#This Row],[Playable x Score]]*_xlfn.IFS(Table2[[#This Row],[Pos]]="D",assumptions!$B$15,Table2[[#This Row],[Pos]]="F", assumptions!$B$14,Table2[[#This Row],[Pos]]="G",assumptions!$B$16)</f>
        <v>15.25609756097561</v>
      </c>
    </row>
    <row r="393" spans="1:13" x14ac:dyDescent="0.3">
      <c r="A393">
        <f>'score estimates'!$A393</f>
        <v>390</v>
      </c>
      <c r="B393" t="str">
        <f>'score estimates'!$B393</f>
        <v>Radek Faksa</v>
      </c>
      <c r="C393" t="str">
        <f>'score estimates'!$D393</f>
        <v>F</v>
      </c>
      <c r="D393" t="str">
        <f>'score estimates'!$C393</f>
        <v>DAL</v>
      </c>
      <c r="E393" s="75">
        <f>'score estimates'!$F393</f>
        <v>14.134146341463415</v>
      </c>
      <c r="F393" s="71">
        <f>'score estimates'!$G393</f>
        <v>423</v>
      </c>
      <c r="G393" s="71" t="s">
        <v>983</v>
      </c>
      <c r="H393" s="72" cm="1">
        <f t="array" aca="1" ref="H39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93" s="96">
        <f ca="1">IF(Table2[[#This Row],[Team]]="FA",0,Table2[[#This Row],[Pts/G]]*(1-Table2[[#This Row],[% Pos Overlap]]))</f>
        <v>14.134146341463415</v>
      </c>
      <c r="J393" s="72" cm="1">
        <f t="array" aca="1" ref="J393" ca="1">(INDIRECT(ADDRESS((_xlfn.XMATCH(Table2[[#This Row],[Team]],Schedule!$A$1:$A$33)),5,1,1,"Sched Overlap")))</f>
        <v>0.65364265364265373</v>
      </c>
      <c r="K393" s="92" cm="1">
        <f t="array" aca="1" ref="K39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93" s="95">
        <f ca="1">IF(Table2[[#This Row],[Team]]="FA",0,Table2[[#This Row],[Pts/G]]*(Table2[[#This Row],[Games Playable]]/82))</f>
        <v>14.134146341463415</v>
      </c>
      <c r="M393" s="95" cm="1">
        <f t="array" aca="1" ref="M393" ca="1">Table2[[#This Row],[Playable x Score]]*_xlfn.IFS(Table2[[#This Row],[Pos]]="D",assumptions!$B$15,Table2[[#This Row],[Pos]]="F", assumptions!$B$14,Table2[[#This Row],[Pos]]="G",assumptions!$B$16)</f>
        <v>14.134146341463415</v>
      </c>
    </row>
    <row r="394" spans="1:13" x14ac:dyDescent="0.3">
      <c r="A394">
        <f>'score estimates'!$A394</f>
        <v>391</v>
      </c>
      <c r="B394" t="str">
        <f>'score estimates'!$B394</f>
        <v>Zach Sanford</v>
      </c>
      <c r="C394" t="str">
        <f>'score estimates'!$D394</f>
        <v>F</v>
      </c>
      <c r="D394" t="str">
        <f>'score estimates'!$C394</f>
        <v>NSH</v>
      </c>
      <c r="E394" s="75">
        <f>'score estimates'!$F394</f>
        <v>14.487804878048781</v>
      </c>
      <c r="F394" s="71">
        <f>'score estimates'!$G394</f>
        <v>408</v>
      </c>
      <c r="G394" s="71" t="s">
        <v>983</v>
      </c>
      <c r="H394" s="72" cm="1">
        <f t="array" aca="1" ref="H39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94" s="96">
        <f ca="1">IF(Table2[[#This Row],[Team]]="FA",0,Table2[[#This Row],[Pts/G]]*(1-Table2[[#This Row],[% Pos Overlap]]))</f>
        <v>14.487804878048781</v>
      </c>
      <c r="J394" s="72" cm="1">
        <f t="array" aca="1" ref="J394" ca="1">(INDIRECT(ADDRESS((_xlfn.XMATCH(Table2[[#This Row],[Team]],Schedule!$A$1:$A$33)),5,1,1,"Sched Overlap")))</f>
        <v>0.67806267806267806</v>
      </c>
      <c r="K394" s="92" cm="1">
        <f t="array" aca="1" ref="K39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94" s="95">
        <f ca="1">IF(Table2[[#This Row],[Team]]="FA",0,Table2[[#This Row],[Pts/G]]*(Table2[[#This Row],[Games Playable]]/82))</f>
        <v>14.487804878048781</v>
      </c>
      <c r="M394" s="95" cm="1">
        <f t="array" aca="1" ref="M394" ca="1">Table2[[#This Row],[Playable x Score]]*_xlfn.IFS(Table2[[#This Row],[Pos]]="D",assumptions!$B$15,Table2[[#This Row],[Pos]]="F", assumptions!$B$14,Table2[[#This Row],[Pos]]="G",assumptions!$B$16)</f>
        <v>14.487804878048781</v>
      </c>
    </row>
    <row r="395" spans="1:13" x14ac:dyDescent="0.3">
      <c r="A395">
        <f>'score estimates'!$A395</f>
        <v>392</v>
      </c>
      <c r="B395" t="str">
        <f>'score estimates'!$B395</f>
        <v>Artem Zub</v>
      </c>
      <c r="C395" t="str">
        <f>'score estimates'!$D395</f>
        <v>D</v>
      </c>
      <c r="D395" t="str">
        <f>'score estimates'!$C395</f>
        <v>OTT</v>
      </c>
      <c r="E395" s="75">
        <f>'score estimates'!$F395</f>
        <v>16.585365853658537</v>
      </c>
      <c r="F395" s="71">
        <f>'score estimates'!$G395</f>
        <v>339</v>
      </c>
      <c r="G395" s="71" t="s">
        <v>983</v>
      </c>
      <c r="H395" s="72" cm="1">
        <f t="array" aca="1" ref="H39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95" s="96">
        <f ca="1">IF(Table2[[#This Row],[Team]]="FA",0,Table2[[#This Row],[Pts/G]]*(1-Table2[[#This Row],[% Pos Overlap]]))</f>
        <v>16.585365853658537</v>
      </c>
      <c r="J395" s="72" cm="1">
        <f t="array" aca="1" ref="J395" ca="1">(INDIRECT(ADDRESS((_xlfn.XMATCH(Table2[[#This Row],[Team]],Schedule!$A$1:$A$33)),5,1,1,"Sched Overlap")))</f>
        <v>0.64306064306064303</v>
      </c>
      <c r="K395" s="92" cm="1">
        <f t="array" aca="1" ref="K39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95" s="95">
        <f ca="1">IF(Table2[[#This Row],[Team]]="FA",0,Table2[[#This Row],[Pts/G]]*(Table2[[#This Row],[Games Playable]]/82))</f>
        <v>16.585365853658537</v>
      </c>
      <c r="M395" s="95" cm="1">
        <f t="array" aca="1" ref="M395" ca="1">Table2[[#This Row],[Playable x Score]]*_xlfn.IFS(Table2[[#This Row],[Pos]]="D",assumptions!$B$15,Table2[[#This Row],[Pos]]="F", assumptions!$B$14,Table2[[#This Row],[Pos]]="G",assumptions!$B$16)</f>
        <v>20.731707317073173</v>
      </c>
    </row>
    <row r="396" spans="1:13" x14ac:dyDescent="0.3">
      <c r="A396">
        <f>'score estimates'!$A396</f>
        <v>393</v>
      </c>
      <c r="B396" t="str">
        <f>'score estimates'!$B396</f>
        <v>Eric Robinson</v>
      </c>
      <c r="C396" t="str">
        <f>'score estimates'!$D396</f>
        <v>F</v>
      </c>
      <c r="D396" t="str">
        <f>'score estimates'!$C396</f>
        <v>CLS</v>
      </c>
      <c r="E396" s="75">
        <f>'score estimates'!$F396</f>
        <v>11.890243902439025</v>
      </c>
      <c r="F396" s="71">
        <f>'score estimates'!$G396</f>
        <v>497</v>
      </c>
      <c r="G396" s="71" t="s">
        <v>983</v>
      </c>
      <c r="H396" s="72" cm="1">
        <f t="array" aca="1" ref="H39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96" s="96">
        <f ca="1">IF(Table2[[#This Row],[Team]]="FA",0,Table2[[#This Row],[Pts/G]]*(1-Table2[[#This Row],[% Pos Overlap]]))</f>
        <v>11.890243902439025</v>
      </c>
      <c r="J396" s="72" cm="1">
        <f t="array" aca="1" ref="J396" ca="1">(INDIRECT(ADDRESS((_xlfn.XMATCH(Table2[[#This Row],[Team]],Schedule!$A$1:$A$33)),5,1,1,"Sched Overlap")))</f>
        <v>0.64875864875864886</v>
      </c>
      <c r="K396" s="92" cm="1">
        <f t="array" aca="1" ref="K39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96" s="95">
        <f ca="1">IF(Table2[[#This Row],[Team]]="FA",0,Table2[[#This Row],[Pts/G]]*(Table2[[#This Row],[Games Playable]]/82))</f>
        <v>11.890243902439025</v>
      </c>
      <c r="M396" s="95" cm="1">
        <f t="array" aca="1" ref="M396" ca="1">Table2[[#This Row],[Playable x Score]]*_xlfn.IFS(Table2[[#This Row],[Pos]]="D",assumptions!$B$15,Table2[[#This Row],[Pos]]="F", assumptions!$B$14,Table2[[#This Row],[Pos]]="G",assumptions!$B$16)</f>
        <v>11.890243902439025</v>
      </c>
    </row>
    <row r="397" spans="1:13" x14ac:dyDescent="0.3">
      <c r="A397">
        <f>'score estimates'!$A397</f>
        <v>394</v>
      </c>
      <c r="B397" t="str">
        <f>'score estimates'!$B397</f>
        <v>Mason Appleton</v>
      </c>
      <c r="C397" t="str">
        <f>'score estimates'!$D397</f>
        <v>F</v>
      </c>
      <c r="D397" t="str">
        <f>'score estimates'!$C397</f>
        <v>WPG</v>
      </c>
      <c r="E397" s="75">
        <f>'score estimates'!$F397</f>
        <v>12.463414634146341</v>
      </c>
      <c r="F397" s="71">
        <f>'score estimates'!$G397</f>
        <v>479</v>
      </c>
      <c r="G397" s="71" t="s">
        <v>983</v>
      </c>
      <c r="H397" s="72" cm="1">
        <f t="array" aca="1" ref="H39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97" s="96">
        <f ca="1">IF(Table2[[#This Row],[Team]]="FA",0,Table2[[#This Row],[Pts/G]]*(1-Table2[[#This Row],[% Pos Overlap]]))</f>
        <v>12.463414634146341</v>
      </c>
      <c r="J397" s="72" cm="1">
        <f t="array" aca="1" ref="J397" ca="1">(INDIRECT(ADDRESS((_xlfn.XMATCH(Table2[[#This Row],[Team]],Schedule!$A$1:$A$33)),5,1,1,"Sched Overlap")))</f>
        <v>0.61212861212861214</v>
      </c>
      <c r="K397" s="92" cm="1">
        <f t="array" aca="1" ref="K39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97" s="95">
        <f ca="1">IF(Table2[[#This Row],[Team]]="FA",0,Table2[[#This Row],[Pts/G]]*(Table2[[#This Row],[Games Playable]]/82))</f>
        <v>12.463414634146341</v>
      </c>
      <c r="M397" s="95" cm="1">
        <f t="array" aca="1" ref="M397" ca="1">Table2[[#This Row],[Playable x Score]]*_xlfn.IFS(Table2[[#This Row],[Pos]]="D",assumptions!$B$15,Table2[[#This Row],[Pos]]="F", assumptions!$B$14,Table2[[#This Row],[Pos]]="G",assumptions!$B$16)</f>
        <v>12.463414634146341</v>
      </c>
    </row>
    <row r="398" spans="1:13" x14ac:dyDescent="0.3">
      <c r="A398">
        <f>'score estimates'!$A398</f>
        <v>395</v>
      </c>
      <c r="B398" t="str">
        <f>'score estimates'!$B398</f>
        <v>Eetu Luostarinen</v>
      </c>
      <c r="C398" t="str">
        <f>'score estimates'!$D398</f>
        <v>F</v>
      </c>
      <c r="D398" t="str">
        <f>'score estimates'!$C398</f>
        <v>FLA</v>
      </c>
      <c r="E398" s="75">
        <f>'score estimates'!$F398</f>
        <v>12.109756097560975</v>
      </c>
      <c r="F398" s="71">
        <f>'score estimates'!$G398</f>
        <v>490</v>
      </c>
      <c r="G398" s="71" t="s">
        <v>983</v>
      </c>
      <c r="H398" s="72" cm="1">
        <f t="array" aca="1" ref="H39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98" s="96">
        <f ca="1">IF(Table2[[#This Row],[Team]]="FA",0,Table2[[#This Row],[Pts/G]]*(1-Table2[[#This Row],[% Pos Overlap]]))</f>
        <v>12.109756097560975</v>
      </c>
      <c r="J398" s="72" cm="1">
        <f t="array" aca="1" ref="J398" ca="1">(INDIRECT(ADDRESS((_xlfn.XMATCH(Table2[[#This Row],[Team]],Schedule!$A$1:$A$33)),5,1,1,"Sched Overlap")))</f>
        <v>0.64387464387464377</v>
      </c>
      <c r="K398" s="92" cm="1">
        <f t="array" aca="1" ref="K39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98" s="95">
        <f ca="1">IF(Table2[[#This Row],[Team]]="FA",0,Table2[[#This Row],[Pts/G]]*(Table2[[#This Row],[Games Playable]]/82))</f>
        <v>12.109756097560975</v>
      </c>
      <c r="M398" s="95" cm="1">
        <f t="array" aca="1" ref="M398" ca="1">Table2[[#This Row],[Playable x Score]]*_xlfn.IFS(Table2[[#This Row],[Pos]]="D",assumptions!$B$15,Table2[[#This Row],[Pos]]="F", assumptions!$B$14,Table2[[#This Row],[Pos]]="G",assumptions!$B$16)</f>
        <v>12.109756097560975</v>
      </c>
    </row>
    <row r="399" spans="1:13" x14ac:dyDescent="0.3">
      <c r="A399">
        <f>'score estimates'!$A399</f>
        <v>396</v>
      </c>
      <c r="B399" t="str">
        <f>'score estimates'!$B399</f>
        <v>Jake Evans</v>
      </c>
      <c r="C399" t="str">
        <f>'score estimates'!$D399</f>
        <v>F</v>
      </c>
      <c r="D399" t="str">
        <f>'score estimates'!$C399</f>
        <v>MON</v>
      </c>
      <c r="E399" s="75">
        <f>'score estimates'!$F399</f>
        <v>11.524390243902438</v>
      </c>
      <c r="F399" s="71">
        <f>'score estimates'!$G399</f>
        <v>514</v>
      </c>
      <c r="G399" s="71" t="s">
        <v>983</v>
      </c>
      <c r="H399" s="72" cm="1">
        <f t="array" aca="1" ref="H39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399" s="96">
        <f ca="1">IF(Table2[[#This Row],[Team]]="FA",0,Table2[[#This Row],[Pts/G]]*(1-Table2[[#This Row],[% Pos Overlap]]))</f>
        <v>11.524390243902438</v>
      </c>
      <c r="J399" s="72" cm="1">
        <f t="array" aca="1" ref="J399" ca="1">(INDIRECT(ADDRESS((_xlfn.XMATCH(Table2[[#This Row],[Team]],Schedule!$A$1:$A$33)),5,1,1,"Sched Overlap")))</f>
        <v>0.66666666666666685</v>
      </c>
      <c r="K399" s="92" cm="1">
        <f t="array" aca="1" ref="K39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399" s="95">
        <f ca="1">IF(Table2[[#This Row],[Team]]="FA",0,Table2[[#This Row],[Pts/G]]*(Table2[[#This Row],[Games Playable]]/82))</f>
        <v>11.524390243902438</v>
      </c>
      <c r="M399" s="95" cm="1">
        <f t="array" aca="1" ref="M399" ca="1">Table2[[#This Row],[Playable x Score]]*_xlfn.IFS(Table2[[#This Row],[Pos]]="D",assumptions!$B$15,Table2[[#This Row],[Pos]]="F", assumptions!$B$14,Table2[[#This Row],[Pos]]="G",assumptions!$B$16)</f>
        <v>11.524390243902438</v>
      </c>
    </row>
    <row r="400" spans="1:13" x14ac:dyDescent="0.3">
      <c r="A400">
        <f>'score estimates'!$A400</f>
        <v>397</v>
      </c>
      <c r="B400" t="str">
        <f>'score estimates'!$B400</f>
        <v>Jesper Boqvist</v>
      </c>
      <c r="C400" t="str">
        <f>'score estimates'!$D400</f>
        <v>F</v>
      </c>
      <c r="D400" t="str">
        <f>'score estimates'!$C400</f>
        <v>NJ</v>
      </c>
      <c r="E400" s="75">
        <f>'score estimates'!$F400</f>
        <v>8.9146341463414629</v>
      </c>
      <c r="F400" s="71">
        <f>'score estimates'!$G400</f>
        <v>593</v>
      </c>
      <c r="G400" s="71" t="s">
        <v>983</v>
      </c>
      <c r="H400" s="72" cm="1">
        <f t="array" aca="1" ref="H40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00" s="96">
        <f ca="1">IF(Table2[[#This Row],[Team]]="FA",0,Table2[[#This Row],[Pts/G]]*(1-Table2[[#This Row],[% Pos Overlap]]))</f>
        <v>8.9146341463414629</v>
      </c>
      <c r="J400" s="72" cm="1">
        <f t="array" aca="1" ref="J400" ca="1">(INDIRECT(ADDRESS((_xlfn.XMATCH(Table2[[#This Row],[Team]],Schedule!$A$1:$A$33)),5,1,1,"Sched Overlap")))</f>
        <v>0.66259666259666272</v>
      </c>
      <c r="K400" s="92" cm="1">
        <f t="array" aca="1" ref="K40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00" s="95">
        <f ca="1">IF(Table2[[#This Row],[Team]]="FA",0,Table2[[#This Row],[Pts/G]]*(Table2[[#This Row],[Games Playable]]/82))</f>
        <v>8.9146341463414629</v>
      </c>
      <c r="M400" s="95" cm="1">
        <f t="array" aca="1" ref="M400" ca="1">Table2[[#This Row],[Playable x Score]]*_xlfn.IFS(Table2[[#This Row],[Pos]]="D",assumptions!$B$15,Table2[[#This Row],[Pos]]="F", assumptions!$B$14,Table2[[#This Row],[Pos]]="G",assumptions!$B$16)</f>
        <v>8.9146341463414629</v>
      </c>
    </row>
    <row r="401" spans="1:13" x14ac:dyDescent="0.3">
      <c r="A401">
        <f>'score estimates'!$A401</f>
        <v>398</v>
      </c>
      <c r="B401" t="str">
        <f>'score estimates'!$B401</f>
        <v>Dante Fabbro</v>
      </c>
      <c r="C401" t="str">
        <f>'score estimates'!$D401</f>
        <v>D</v>
      </c>
      <c r="D401" t="str">
        <f>'score estimates'!$C401</f>
        <v>NSH</v>
      </c>
      <c r="E401" s="75">
        <f>'score estimates'!$F401</f>
        <v>14.829268292682928</v>
      </c>
      <c r="F401" s="71">
        <f>'score estimates'!$G401</f>
        <v>393</v>
      </c>
      <c r="G401" s="71" t="s">
        <v>983</v>
      </c>
      <c r="H401" s="72" cm="1">
        <f t="array" aca="1" ref="H40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01" s="96">
        <f ca="1">IF(Table2[[#This Row],[Team]]="FA",0,Table2[[#This Row],[Pts/G]]*(1-Table2[[#This Row],[% Pos Overlap]]))</f>
        <v>14.829268292682928</v>
      </c>
      <c r="J401" s="72" cm="1">
        <f t="array" aca="1" ref="J401" ca="1">(INDIRECT(ADDRESS((_xlfn.XMATCH(Table2[[#This Row],[Team]],Schedule!$A$1:$A$33)),5,1,1,"Sched Overlap")))</f>
        <v>0.67806267806267806</v>
      </c>
      <c r="K401" s="92" cm="1">
        <f t="array" aca="1" ref="K40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01" s="95">
        <f ca="1">IF(Table2[[#This Row],[Team]]="FA",0,Table2[[#This Row],[Pts/G]]*(Table2[[#This Row],[Games Playable]]/82))</f>
        <v>14.829268292682928</v>
      </c>
      <c r="M401" s="95" cm="1">
        <f t="array" aca="1" ref="M401" ca="1">Table2[[#This Row],[Playable x Score]]*_xlfn.IFS(Table2[[#This Row],[Pos]]="D",assumptions!$B$15,Table2[[#This Row],[Pos]]="F", assumptions!$B$14,Table2[[#This Row],[Pos]]="G",assumptions!$B$16)</f>
        <v>18.536585365853661</v>
      </c>
    </row>
    <row r="402" spans="1:13" x14ac:dyDescent="0.3">
      <c r="A402">
        <f>'score estimates'!$A402</f>
        <v>399</v>
      </c>
      <c r="B402" t="str">
        <f>'score estimates'!$B402</f>
        <v>Michael McLeod</v>
      </c>
      <c r="C402" t="str">
        <f>'score estimates'!$D402</f>
        <v>F</v>
      </c>
      <c r="D402" t="str">
        <f>'score estimates'!$C402</f>
        <v>NJ</v>
      </c>
      <c r="E402" s="75">
        <f>'score estimates'!$F402</f>
        <v>12.060975609756097</v>
      </c>
      <c r="F402" s="71">
        <f>'score estimates'!$G402</f>
        <v>493</v>
      </c>
      <c r="G402" s="71" t="s">
        <v>983</v>
      </c>
      <c r="H402" s="72" cm="1">
        <f t="array" aca="1" ref="H40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02" s="96">
        <f ca="1">IF(Table2[[#This Row],[Team]]="FA",0,Table2[[#This Row],[Pts/G]]*(1-Table2[[#This Row],[% Pos Overlap]]))</f>
        <v>12.060975609756097</v>
      </c>
      <c r="J402" s="72" cm="1">
        <f t="array" aca="1" ref="J402" ca="1">(INDIRECT(ADDRESS((_xlfn.XMATCH(Table2[[#This Row],[Team]],Schedule!$A$1:$A$33)),5,1,1,"Sched Overlap")))</f>
        <v>0.66259666259666272</v>
      </c>
      <c r="K402" s="92" cm="1">
        <f t="array" aca="1" ref="K40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02" s="95">
        <f ca="1">IF(Table2[[#This Row],[Team]]="FA",0,Table2[[#This Row],[Pts/G]]*(Table2[[#This Row],[Games Playable]]/82))</f>
        <v>12.060975609756097</v>
      </c>
      <c r="M402" s="95" cm="1">
        <f t="array" aca="1" ref="M402" ca="1">Table2[[#This Row],[Playable x Score]]*_xlfn.IFS(Table2[[#This Row],[Pos]]="D",assumptions!$B$15,Table2[[#This Row],[Pos]]="F", assumptions!$B$14,Table2[[#This Row],[Pos]]="G",assumptions!$B$16)</f>
        <v>12.060975609756097</v>
      </c>
    </row>
    <row r="403" spans="1:13" x14ac:dyDescent="0.3">
      <c r="A403">
        <f>'score estimates'!$A403</f>
        <v>400</v>
      </c>
      <c r="B403" t="str">
        <f>'score estimates'!$B403</f>
        <v>Jonathan Dahlen</v>
      </c>
      <c r="C403" t="str">
        <f>'score estimates'!$D403</f>
        <v>F</v>
      </c>
      <c r="D403" t="str">
        <f>'score estimates'!$C403</f>
        <v>FA</v>
      </c>
      <c r="E403" s="75">
        <f>'score estimates'!$F403</f>
        <v>8.536585365853659</v>
      </c>
      <c r="F403" s="71">
        <f>'score estimates'!$G403</f>
        <v>602</v>
      </c>
      <c r="G403" s="71" t="s">
        <v>983</v>
      </c>
      <c r="H403" s="72" t="e" cm="1">
        <f t="array" aca="1" ref="H403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403" s="96">
        <f>IF(Table2[[#This Row],[Team]]="FA",0,Table2[[#This Row],[Pts/G]]*(1-Table2[[#This Row],[% Pos Overlap]]))</f>
        <v>0</v>
      </c>
      <c r="J403" s="72" t="e" cm="1">
        <f t="array" aca="1" ref="J403" ca="1">(INDIRECT(ADDRESS((_xlfn.XMATCH(Table2[[#This Row],[Team]],Schedule!$A$1:$A$33)),5,1,1,"Sched Overlap")))</f>
        <v>#N/A</v>
      </c>
      <c r="K403" s="92" t="e" cm="1">
        <f t="array" aca="1" ref="K403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403" s="95">
        <f>IF(Table2[[#This Row],[Team]]="FA",0,Table2[[#This Row],[Pts/G]]*(Table2[[#This Row],[Games Playable]]/82))</f>
        <v>0</v>
      </c>
      <c r="M403" s="95" cm="1">
        <f t="array" ref="M403">Table2[[#This Row],[Playable x Score]]*_xlfn.IFS(Table2[[#This Row],[Pos]]="D",assumptions!$B$15,Table2[[#This Row],[Pos]]="F", assumptions!$B$14,Table2[[#This Row],[Pos]]="G",assumptions!$B$16)</f>
        <v>0</v>
      </c>
    </row>
    <row r="404" spans="1:13" x14ac:dyDescent="0.3">
      <c r="A404">
        <f>'score estimates'!$A404</f>
        <v>401</v>
      </c>
      <c r="B404" t="str">
        <f>'score estimates'!$B404</f>
        <v>Trent Frederic</v>
      </c>
      <c r="C404" t="str">
        <f>'score estimates'!$D404</f>
        <v>F</v>
      </c>
      <c r="D404" t="str">
        <f>'score estimates'!$C404</f>
        <v>BOS</v>
      </c>
      <c r="E404" s="75">
        <f>'score estimates'!$F404</f>
        <v>15.902439024390244</v>
      </c>
      <c r="F404" s="71">
        <f>'score estimates'!$G404</f>
        <v>366</v>
      </c>
      <c r="G404" s="71" t="s">
        <v>983</v>
      </c>
      <c r="H404" s="72" cm="1">
        <f t="array" aca="1" ref="H40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04" s="96">
        <f ca="1">IF(Table2[[#This Row],[Team]]="FA",0,Table2[[#This Row],[Pts/G]]*(1-Table2[[#This Row],[% Pos Overlap]]))</f>
        <v>15.902439024390244</v>
      </c>
      <c r="J404" s="72" cm="1">
        <f t="array" aca="1" ref="J404" ca="1">(INDIRECT(ADDRESS((_xlfn.XMATCH(Table2[[#This Row],[Team]],Schedule!$A$1:$A$33)),5,1,1,"Sched Overlap")))</f>
        <v>0.67236467236467234</v>
      </c>
      <c r="K404" s="92" cm="1">
        <f t="array" aca="1" ref="K40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04" s="95">
        <f ca="1">IF(Table2[[#This Row],[Team]]="FA",0,Table2[[#This Row],[Pts/G]]*(Table2[[#This Row],[Games Playable]]/82))</f>
        <v>15.902439024390244</v>
      </c>
      <c r="M404" s="95" cm="1">
        <f t="array" aca="1" ref="M404" ca="1">Table2[[#This Row],[Playable x Score]]*_xlfn.IFS(Table2[[#This Row],[Pos]]="D",assumptions!$B$15,Table2[[#This Row],[Pos]]="F", assumptions!$B$14,Table2[[#This Row],[Pos]]="G",assumptions!$B$16)</f>
        <v>15.902439024390244</v>
      </c>
    </row>
    <row r="405" spans="1:13" x14ac:dyDescent="0.3">
      <c r="A405">
        <f>'score estimates'!$A405</f>
        <v>402</v>
      </c>
      <c r="B405" t="str">
        <f>'score estimates'!$B405</f>
        <v>Sean Kuraly</v>
      </c>
      <c r="C405" t="str">
        <f>'score estimates'!$D405</f>
        <v>F</v>
      </c>
      <c r="D405" t="str">
        <f>'score estimates'!$C405</f>
        <v>CLS</v>
      </c>
      <c r="E405" s="75">
        <f>'score estimates'!$F405</f>
        <v>15.646341463414634</v>
      </c>
      <c r="F405" s="71">
        <f>'score estimates'!$G405</f>
        <v>373</v>
      </c>
      <c r="G405" s="71" t="s">
        <v>983</v>
      </c>
      <c r="H405" s="72" cm="1">
        <f t="array" aca="1" ref="H40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05" s="96">
        <f ca="1">IF(Table2[[#This Row],[Team]]="FA",0,Table2[[#This Row],[Pts/G]]*(1-Table2[[#This Row],[% Pos Overlap]]))</f>
        <v>15.646341463414634</v>
      </c>
      <c r="J405" s="72" cm="1">
        <f t="array" aca="1" ref="J405" ca="1">(INDIRECT(ADDRESS((_xlfn.XMATCH(Table2[[#This Row],[Team]],Schedule!$A$1:$A$33)),5,1,1,"Sched Overlap")))</f>
        <v>0.64875864875864886</v>
      </c>
      <c r="K405" s="92" cm="1">
        <f t="array" aca="1" ref="K40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05" s="95">
        <f ca="1">IF(Table2[[#This Row],[Team]]="FA",0,Table2[[#This Row],[Pts/G]]*(Table2[[#This Row],[Games Playable]]/82))</f>
        <v>15.646341463414634</v>
      </c>
      <c r="M405" s="95" cm="1">
        <f t="array" aca="1" ref="M405" ca="1">Table2[[#This Row],[Playable x Score]]*_xlfn.IFS(Table2[[#This Row],[Pos]]="D",assumptions!$B$15,Table2[[#This Row],[Pos]]="F", assumptions!$B$14,Table2[[#This Row],[Pos]]="G",assumptions!$B$16)</f>
        <v>15.646341463414634</v>
      </c>
    </row>
    <row r="406" spans="1:13" x14ac:dyDescent="0.3">
      <c r="A406">
        <f>'score estimates'!$A406</f>
        <v>403</v>
      </c>
      <c r="B406" t="str">
        <f>'score estimates'!$B406</f>
        <v>Jacob Peterson</v>
      </c>
      <c r="C406" t="str">
        <f>'score estimates'!$D406</f>
        <v>F</v>
      </c>
      <c r="D406" t="str">
        <f>'score estimates'!$C406</f>
        <v>DAL</v>
      </c>
      <c r="E406" s="75">
        <f>'score estimates'!$F406</f>
        <v>10.560975609756097</v>
      </c>
      <c r="F406" s="71">
        <f>'score estimates'!$G406</f>
        <v>543</v>
      </c>
      <c r="G406" s="71" t="s">
        <v>983</v>
      </c>
      <c r="H406" s="72" cm="1">
        <f t="array" aca="1" ref="H40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06" s="96">
        <f ca="1">IF(Table2[[#This Row],[Team]]="FA",0,Table2[[#This Row],[Pts/G]]*(1-Table2[[#This Row],[% Pos Overlap]]))</f>
        <v>10.560975609756097</v>
      </c>
      <c r="J406" s="72" cm="1">
        <f t="array" aca="1" ref="J406" ca="1">(INDIRECT(ADDRESS((_xlfn.XMATCH(Table2[[#This Row],[Team]],Schedule!$A$1:$A$33)),5,1,1,"Sched Overlap")))</f>
        <v>0.65364265364265373</v>
      </c>
      <c r="K406" s="92" cm="1">
        <f t="array" aca="1" ref="K40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06" s="95">
        <f ca="1">IF(Table2[[#This Row],[Team]]="FA",0,Table2[[#This Row],[Pts/G]]*(Table2[[#This Row],[Games Playable]]/82))</f>
        <v>10.560975609756097</v>
      </c>
      <c r="M406" s="95" cm="1">
        <f t="array" aca="1" ref="M406" ca="1">Table2[[#This Row],[Playable x Score]]*_xlfn.IFS(Table2[[#This Row],[Pos]]="D",assumptions!$B$15,Table2[[#This Row],[Pos]]="F", assumptions!$B$14,Table2[[#This Row],[Pos]]="G",assumptions!$B$16)</f>
        <v>10.560975609756097</v>
      </c>
    </row>
    <row r="407" spans="1:13" x14ac:dyDescent="0.3">
      <c r="A407">
        <f>'score estimates'!$A407</f>
        <v>404</v>
      </c>
      <c r="B407" t="str">
        <f>'score estimates'!$B407</f>
        <v>Jordan Harris</v>
      </c>
      <c r="C407" t="str">
        <f>'score estimates'!$D407</f>
        <v>D</v>
      </c>
      <c r="D407" t="str">
        <f>'score estimates'!$C407</f>
        <v>MON</v>
      </c>
      <c r="E407" s="75">
        <f>'score estimates'!$F407</f>
        <v>12.670731707317072</v>
      </c>
      <c r="F407" s="71">
        <f>'score estimates'!$G407</f>
        <v>470</v>
      </c>
      <c r="G407" s="71" t="s">
        <v>983</v>
      </c>
      <c r="H407" s="72" cm="1">
        <f t="array" aca="1" ref="H40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07" s="96">
        <f ca="1">IF(Table2[[#This Row],[Team]]="FA",0,Table2[[#This Row],[Pts/G]]*(1-Table2[[#This Row],[% Pos Overlap]]))</f>
        <v>12.670731707317072</v>
      </c>
      <c r="J407" s="72" cm="1">
        <f t="array" aca="1" ref="J407" ca="1">(INDIRECT(ADDRESS((_xlfn.XMATCH(Table2[[#This Row],[Team]],Schedule!$A$1:$A$33)),5,1,1,"Sched Overlap")))</f>
        <v>0.66666666666666685</v>
      </c>
      <c r="K407" s="92" cm="1">
        <f t="array" aca="1" ref="K40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07" s="95">
        <f ca="1">IF(Table2[[#This Row],[Team]]="FA",0,Table2[[#This Row],[Pts/G]]*(Table2[[#This Row],[Games Playable]]/82))</f>
        <v>12.670731707317072</v>
      </c>
      <c r="M407" s="95" cm="1">
        <f t="array" aca="1" ref="M407" ca="1">Table2[[#This Row],[Playable x Score]]*_xlfn.IFS(Table2[[#This Row],[Pos]]="D",assumptions!$B$15,Table2[[#This Row],[Pos]]="F", assumptions!$B$14,Table2[[#This Row],[Pos]]="G",assumptions!$B$16)</f>
        <v>15.838414634146341</v>
      </c>
    </row>
    <row r="408" spans="1:13" x14ac:dyDescent="0.3">
      <c r="A408">
        <f>'score estimates'!$A408</f>
        <v>405</v>
      </c>
      <c r="B408" t="str">
        <f>'score estimates'!$B408</f>
        <v>Mattias Janmark</v>
      </c>
      <c r="C408" t="str">
        <f>'score estimates'!$D408</f>
        <v>F</v>
      </c>
      <c r="D408" t="str">
        <f>'score estimates'!$C408</f>
        <v>EDM</v>
      </c>
      <c r="E408" s="75">
        <f>'score estimates'!$F408</f>
        <v>10.878048780487806</v>
      </c>
      <c r="F408" s="71">
        <f>'score estimates'!$G408</f>
        <v>533</v>
      </c>
      <c r="G408" s="71" t="s">
        <v>983</v>
      </c>
      <c r="H408" s="72" cm="1">
        <f t="array" aca="1" ref="H40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08" s="96">
        <f ca="1">IF(Table2[[#This Row],[Team]]="FA",0,Table2[[#This Row],[Pts/G]]*(1-Table2[[#This Row],[% Pos Overlap]]))</f>
        <v>10.878048780487806</v>
      </c>
      <c r="J408" s="72" cm="1">
        <f t="array" aca="1" ref="J408" ca="1">(INDIRECT(ADDRESS((_xlfn.XMATCH(Table2[[#This Row],[Team]],Schedule!$A$1:$A$33)),5,1,1,"Sched Overlap")))</f>
        <v>0.62026862026862029</v>
      </c>
      <c r="K408" s="92" cm="1">
        <f t="array" aca="1" ref="K40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08" s="95">
        <f ca="1">IF(Table2[[#This Row],[Team]]="FA",0,Table2[[#This Row],[Pts/G]]*(Table2[[#This Row],[Games Playable]]/82))</f>
        <v>10.878048780487806</v>
      </c>
      <c r="M408" s="95" cm="1">
        <f t="array" aca="1" ref="M408" ca="1">Table2[[#This Row],[Playable x Score]]*_xlfn.IFS(Table2[[#This Row],[Pos]]="D",assumptions!$B$15,Table2[[#This Row],[Pos]]="F", assumptions!$B$14,Table2[[#This Row],[Pos]]="G",assumptions!$B$16)</f>
        <v>10.878048780487806</v>
      </c>
    </row>
    <row r="409" spans="1:13" x14ac:dyDescent="0.3">
      <c r="A409">
        <f>'score estimates'!$A409</f>
        <v>406</v>
      </c>
      <c r="B409" t="str">
        <f>'score estimates'!$B409</f>
        <v>Nate Schmidt</v>
      </c>
      <c r="C409" t="str">
        <f>'score estimates'!$D409</f>
        <v>D</v>
      </c>
      <c r="D409" t="str">
        <f>'score estimates'!$C409</f>
        <v>WPG</v>
      </c>
      <c r="E409" s="75">
        <f>'score estimates'!$F409</f>
        <v>11.195121951219512</v>
      </c>
      <c r="F409" s="71">
        <f>'score estimates'!$G409</f>
        <v>525</v>
      </c>
      <c r="G409" s="71" t="s">
        <v>983</v>
      </c>
      <c r="H409" s="72" cm="1">
        <f t="array" aca="1" ref="H40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09" s="96">
        <f ca="1">IF(Table2[[#This Row],[Team]]="FA",0,Table2[[#This Row],[Pts/G]]*(1-Table2[[#This Row],[% Pos Overlap]]))</f>
        <v>11.195121951219512</v>
      </c>
      <c r="J409" s="72" cm="1">
        <f t="array" aca="1" ref="J409" ca="1">(INDIRECT(ADDRESS((_xlfn.XMATCH(Table2[[#This Row],[Team]],Schedule!$A$1:$A$33)),5,1,1,"Sched Overlap")))</f>
        <v>0.61212861212861214</v>
      </c>
      <c r="K409" s="92" cm="1">
        <f t="array" aca="1" ref="K40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09" s="95">
        <f ca="1">IF(Table2[[#This Row],[Team]]="FA",0,Table2[[#This Row],[Pts/G]]*(Table2[[#This Row],[Games Playable]]/82))</f>
        <v>11.195121951219512</v>
      </c>
      <c r="M409" s="95" cm="1">
        <f t="array" aca="1" ref="M409" ca="1">Table2[[#This Row],[Playable x Score]]*_xlfn.IFS(Table2[[#This Row],[Pos]]="D",assumptions!$B$15,Table2[[#This Row],[Pos]]="F", assumptions!$B$14,Table2[[#This Row],[Pos]]="G",assumptions!$B$16)</f>
        <v>13.99390243902439</v>
      </c>
    </row>
    <row r="410" spans="1:13" x14ac:dyDescent="0.3">
      <c r="A410">
        <f>'score estimates'!$A410</f>
        <v>407</v>
      </c>
      <c r="B410" t="str">
        <f>'score estimates'!$B410</f>
        <v>Brock McGinn</v>
      </c>
      <c r="C410" t="str">
        <f>'score estimates'!$D410</f>
        <v>F</v>
      </c>
      <c r="D410" t="str">
        <f>'score estimates'!$C410</f>
        <v>PIT</v>
      </c>
      <c r="E410" s="75">
        <f>'score estimates'!$F410</f>
        <v>12.207317073170731</v>
      </c>
      <c r="F410" s="71">
        <f>'score estimates'!$G410</f>
        <v>488</v>
      </c>
      <c r="G410" s="71" t="s">
        <v>983</v>
      </c>
      <c r="H410" s="72" cm="1">
        <f t="array" aca="1" ref="H41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10" s="96">
        <f ca="1">IF(Table2[[#This Row],[Team]]="FA",0,Table2[[#This Row],[Pts/G]]*(1-Table2[[#This Row],[% Pos Overlap]]))</f>
        <v>12.207317073170731</v>
      </c>
      <c r="J410" s="72" cm="1">
        <f t="array" aca="1" ref="J410" ca="1">(INDIRECT(ADDRESS((_xlfn.XMATCH(Table2[[#This Row],[Team]],Schedule!$A$1:$A$33)),5,1,1,"Sched Overlap")))</f>
        <v>0.63492063492063477</v>
      </c>
      <c r="K410" s="92" cm="1">
        <f t="array" aca="1" ref="K41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10" s="95">
        <f ca="1">IF(Table2[[#This Row],[Team]]="FA",0,Table2[[#This Row],[Pts/G]]*(Table2[[#This Row],[Games Playable]]/82))</f>
        <v>12.207317073170731</v>
      </c>
      <c r="M410" s="95" cm="1">
        <f t="array" aca="1" ref="M410" ca="1">Table2[[#This Row],[Playable x Score]]*_xlfn.IFS(Table2[[#This Row],[Pos]]="D",assumptions!$B$15,Table2[[#This Row],[Pos]]="F", assumptions!$B$14,Table2[[#This Row],[Pos]]="G",assumptions!$B$16)</f>
        <v>12.207317073170731</v>
      </c>
    </row>
    <row r="411" spans="1:13" x14ac:dyDescent="0.3">
      <c r="A411">
        <f>'score estimates'!$A411</f>
        <v>408</v>
      </c>
      <c r="B411" t="str">
        <f>'score estimates'!$B411</f>
        <v>Chris Tierney</v>
      </c>
      <c r="C411" t="str">
        <f>'score estimates'!$D411</f>
        <v>F</v>
      </c>
      <c r="D411" t="str">
        <f>'score estimates'!$C411</f>
        <v>FLA</v>
      </c>
      <c r="E411" s="75">
        <f>'score estimates'!$F411</f>
        <v>10.390243902439025</v>
      </c>
      <c r="F411" s="71">
        <f>'score estimates'!$G411</f>
        <v>551</v>
      </c>
      <c r="G411" s="71" t="s">
        <v>983</v>
      </c>
      <c r="H411" s="72" cm="1">
        <f t="array" aca="1" ref="H41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11" s="96">
        <f ca="1">IF(Table2[[#This Row],[Team]]="FA",0,Table2[[#This Row],[Pts/G]]*(1-Table2[[#This Row],[% Pos Overlap]]))</f>
        <v>10.390243902439025</v>
      </c>
      <c r="J411" s="72" cm="1">
        <f t="array" aca="1" ref="J411" ca="1">(INDIRECT(ADDRESS((_xlfn.XMATCH(Table2[[#This Row],[Team]],Schedule!$A$1:$A$33)),5,1,1,"Sched Overlap")))</f>
        <v>0.64387464387464377</v>
      </c>
      <c r="K411" s="92" cm="1">
        <f t="array" aca="1" ref="K41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11" s="95">
        <f ca="1">IF(Table2[[#This Row],[Team]]="FA",0,Table2[[#This Row],[Pts/G]]*(Table2[[#This Row],[Games Playable]]/82))</f>
        <v>10.390243902439025</v>
      </c>
      <c r="M411" s="95" cm="1">
        <f t="array" aca="1" ref="M411" ca="1">Table2[[#This Row],[Playable x Score]]*_xlfn.IFS(Table2[[#This Row],[Pos]]="D",assumptions!$B$15,Table2[[#This Row],[Pos]]="F", assumptions!$B$14,Table2[[#This Row],[Pos]]="G",assumptions!$B$16)</f>
        <v>10.390243902439025</v>
      </c>
    </row>
    <row r="412" spans="1:13" x14ac:dyDescent="0.3">
      <c r="A412">
        <f>'score estimates'!$A412</f>
        <v>409</v>
      </c>
      <c r="B412" t="str">
        <f>'score estimates'!$B412</f>
        <v>Yakov Trenin</v>
      </c>
      <c r="C412" t="str">
        <f>'score estimates'!$D412</f>
        <v>F</v>
      </c>
      <c r="D412" t="str">
        <f>'score estimates'!$C412</f>
        <v>NSH</v>
      </c>
      <c r="E412" s="75">
        <f>'score estimates'!$F412</f>
        <v>15.853658536585366</v>
      </c>
      <c r="F412" s="71">
        <f>'score estimates'!$G412</f>
        <v>369</v>
      </c>
      <c r="G412" s="71" t="s">
        <v>983</v>
      </c>
      <c r="H412" s="72" cm="1">
        <f t="array" aca="1" ref="H41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12" s="96">
        <f ca="1">IF(Table2[[#This Row],[Team]]="FA",0,Table2[[#This Row],[Pts/G]]*(1-Table2[[#This Row],[% Pos Overlap]]))</f>
        <v>15.853658536585366</v>
      </c>
      <c r="J412" s="72" cm="1">
        <f t="array" aca="1" ref="J412" ca="1">(INDIRECT(ADDRESS((_xlfn.XMATCH(Table2[[#This Row],[Team]],Schedule!$A$1:$A$33)),5,1,1,"Sched Overlap")))</f>
        <v>0.67806267806267806</v>
      </c>
      <c r="K412" s="92" cm="1">
        <f t="array" aca="1" ref="K41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12" s="95">
        <f ca="1">IF(Table2[[#This Row],[Team]]="FA",0,Table2[[#This Row],[Pts/G]]*(Table2[[#This Row],[Games Playable]]/82))</f>
        <v>15.853658536585366</v>
      </c>
      <c r="M412" s="95" cm="1">
        <f t="array" aca="1" ref="M412" ca="1">Table2[[#This Row],[Playable x Score]]*_xlfn.IFS(Table2[[#This Row],[Pos]]="D",assumptions!$B$15,Table2[[#This Row],[Pos]]="F", assumptions!$B$14,Table2[[#This Row],[Pos]]="G",assumptions!$B$16)</f>
        <v>15.853658536585366</v>
      </c>
    </row>
    <row r="413" spans="1:13" x14ac:dyDescent="0.3">
      <c r="A413">
        <f>'score estimates'!$A413</f>
        <v>410</v>
      </c>
      <c r="B413" t="str">
        <f>'score estimates'!$B413</f>
        <v>Alex Galchenyuk</v>
      </c>
      <c r="C413" t="str">
        <f>'score estimates'!$D413</f>
        <v>F</v>
      </c>
      <c r="D413" t="str">
        <f>'score estimates'!$C413</f>
        <v>FA</v>
      </c>
      <c r="E413" s="75">
        <f>'score estimates'!$F413</f>
        <v>9.9878048780487809</v>
      </c>
      <c r="F413" s="71">
        <f>'score estimates'!$G413</f>
        <v>563</v>
      </c>
      <c r="G413" s="71" t="s">
        <v>983</v>
      </c>
      <c r="H413" s="72" t="e" cm="1">
        <f t="array" aca="1" ref="H413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413" s="96">
        <f>IF(Table2[[#This Row],[Team]]="FA",0,Table2[[#This Row],[Pts/G]]*(1-Table2[[#This Row],[% Pos Overlap]]))</f>
        <v>0</v>
      </c>
      <c r="J413" s="72" t="e" cm="1">
        <f t="array" aca="1" ref="J413" ca="1">(INDIRECT(ADDRESS((_xlfn.XMATCH(Table2[[#This Row],[Team]],Schedule!$A$1:$A$33)),5,1,1,"Sched Overlap")))</f>
        <v>#N/A</v>
      </c>
      <c r="K413" s="92" t="e" cm="1">
        <f t="array" aca="1" ref="K413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413" s="95">
        <f>IF(Table2[[#This Row],[Team]]="FA",0,Table2[[#This Row],[Pts/G]]*(Table2[[#This Row],[Games Playable]]/82))</f>
        <v>0</v>
      </c>
      <c r="M413" s="95" cm="1">
        <f t="array" ref="M413">Table2[[#This Row],[Playable x Score]]*_xlfn.IFS(Table2[[#This Row],[Pos]]="D",assumptions!$B$15,Table2[[#This Row],[Pos]]="F", assumptions!$B$14,Table2[[#This Row],[Pos]]="G",assumptions!$B$16)</f>
        <v>0</v>
      </c>
    </row>
    <row r="414" spans="1:13" x14ac:dyDescent="0.3">
      <c r="A414">
        <f>'score estimates'!$A414</f>
        <v>411</v>
      </c>
      <c r="B414" t="str">
        <f>'score estimates'!$B414</f>
        <v>Justin Schultz</v>
      </c>
      <c r="C414" t="str">
        <f>'score estimates'!$D414</f>
        <v>D</v>
      </c>
      <c r="D414" t="str">
        <f>'score estimates'!$C414</f>
        <v>SEA</v>
      </c>
      <c r="E414" s="75">
        <f>'score estimates'!$F414</f>
        <v>11.609756097560975</v>
      </c>
      <c r="F414" s="71">
        <f>'score estimates'!$G414</f>
        <v>509</v>
      </c>
      <c r="G414" s="71" t="s">
        <v>983</v>
      </c>
      <c r="H414" s="72" cm="1">
        <f t="array" aca="1" ref="H41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14" s="96">
        <f ca="1">IF(Table2[[#This Row],[Team]]="FA",0,Table2[[#This Row],[Pts/G]]*(1-Table2[[#This Row],[% Pos Overlap]]))</f>
        <v>11.609756097560975</v>
      </c>
      <c r="J414" s="72" cm="1">
        <f t="array" aca="1" ref="J414" ca="1">(INDIRECT(ADDRESS((_xlfn.XMATCH(Table2[[#This Row],[Team]],Schedule!$A$1:$A$33)),5,1,1,"Sched Overlap")))</f>
        <v>0.63085063085063087</v>
      </c>
      <c r="K414" s="92" cm="1">
        <f t="array" aca="1" ref="K41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14" s="95">
        <f ca="1">IF(Table2[[#This Row],[Team]]="FA",0,Table2[[#This Row],[Pts/G]]*(Table2[[#This Row],[Games Playable]]/82))</f>
        <v>11.609756097560975</v>
      </c>
      <c r="M414" s="95" cm="1">
        <f t="array" aca="1" ref="M414" ca="1">Table2[[#This Row],[Playable x Score]]*_xlfn.IFS(Table2[[#This Row],[Pos]]="D",assumptions!$B$15,Table2[[#This Row],[Pos]]="F", assumptions!$B$14,Table2[[#This Row],[Pos]]="G",assumptions!$B$16)</f>
        <v>14.512195121951219</v>
      </c>
    </row>
    <row r="415" spans="1:13" x14ac:dyDescent="0.3">
      <c r="A415">
        <f>'score estimates'!$A415</f>
        <v>412</v>
      </c>
      <c r="B415" t="str">
        <f>'score estimates'!$B415</f>
        <v>Ryan McDonagh</v>
      </c>
      <c r="C415" t="str">
        <f>'score estimates'!$D415</f>
        <v>D</v>
      </c>
      <c r="D415" t="str">
        <f>'score estimates'!$C415</f>
        <v>NSH</v>
      </c>
      <c r="E415" s="75">
        <f>'score estimates'!$F415</f>
        <v>15.865853658536585</v>
      </c>
      <c r="F415" s="71">
        <f>'score estimates'!$G415</f>
        <v>368</v>
      </c>
      <c r="G415" s="71" t="s">
        <v>983</v>
      </c>
      <c r="H415" s="72" cm="1">
        <f t="array" aca="1" ref="H41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15" s="96">
        <f ca="1">IF(Table2[[#This Row],[Team]]="FA",0,Table2[[#This Row],[Pts/G]]*(1-Table2[[#This Row],[% Pos Overlap]]))</f>
        <v>15.865853658536585</v>
      </c>
      <c r="J415" s="72" cm="1">
        <f t="array" aca="1" ref="J415" ca="1">(INDIRECT(ADDRESS((_xlfn.XMATCH(Table2[[#This Row],[Team]],Schedule!$A$1:$A$33)),5,1,1,"Sched Overlap")))</f>
        <v>0.67806267806267806</v>
      </c>
      <c r="K415" s="92" cm="1">
        <f t="array" aca="1" ref="K41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15" s="95">
        <f ca="1">IF(Table2[[#This Row],[Team]]="FA",0,Table2[[#This Row],[Pts/G]]*(Table2[[#This Row],[Games Playable]]/82))</f>
        <v>15.865853658536585</v>
      </c>
      <c r="M415" s="95" cm="1">
        <f t="array" aca="1" ref="M415" ca="1">Table2[[#This Row],[Playable x Score]]*_xlfn.IFS(Table2[[#This Row],[Pos]]="D",assumptions!$B$15,Table2[[#This Row],[Pos]]="F", assumptions!$B$14,Table2[[#This Row],[Pos]]="G",assumptions!$B$16)</f>
        <v>19.832317073170731</v>
      </c>
    </row>
    <row r="416" spans="1:13" x14ac:dyDescent="0.3">
      <c r="A416">
        <f>'score estimates'!$A416</f>
        <v>413</v>
      </c>
      <c r="B416" t="str">
        <f>'score estimates'!$B416</f>
        <v>Milan Lucic</v>
      </c>
      <c r="C416" t="str">
        <f>'score estimates'!$D416</f>
        <v>F</v>
      </c>
      <c r="D416" t="str">
        <f>'score estimates'!$C416</f>
        <v>CGY</v>
      </c>
      <c r="E416" s="75">
        <f>'score estimates'!$F416</f>
        <v>14.621951219512194</v>
      </c>
      <c r="F416" s="71">
        <f>'score estimates'!$G416</f>
        <v>402</v>
      </c>
      <c r="G416" s="71" t="s">
        <v>983</v>
      </c>
      <c r="H416" s="72" cm="1">
        <f t="array" aca="1" ref="H41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16" s="96">
        <f ca="1">IF(Table2[[#This Row],[Team]]="FA",0,Table2[[#This Row],[Pts/G]]*(1-Table2[[#This Row],[% Pos Overlap]]))</f>
        <v>14.621951219512194</v>
      </c>
      <c r="J416" s="72" cm="1">
        <f t="array" aca="1" ref="J416" ca="1">(INDIRECT(ADDRESS((_xlfn.XMATCH(Table2[[#This Row],[Team]],Schedule!$A$1:$A$33)),5,1,1,"Sched Overlap")))</f>
        <v>0.63003663003663002</v>
      </c>
      <c r="K416" s="92" cm="1">
        <f t="array" aca="1" ref="K41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16" s="95">
        <f ca="1">IF(Table2[[#This Row],[Team]]="FA",0,Table2[[#This Row],[Pts/G]]*(Table2[[#This Row],[Games Playable]]/82))</f>
        <v>14.621951219512194</v>
      </c>
      <c r="M416" s="95" cm="1">
        <f t="array" aca="1" ref="M416" ca="1">Table2[[#This Row],[Playable x Score]]*_xlfn.IFS(Table2[[#This Row],[Pos]]="D",assumptions!$B$15,Table2[[#This Row],[Pos]]="F", assumptions!$B$14,Table2[[#This Row],[Pos]]="G",assumptions!$B$16)</f>
        <v>14.621951219512194</v>
      </c>
    </row>
    <row r="417" spans="1:13" x14ac:dyDescent="0.3">
      <c r="A417">
        <f>'score estimates'!$A417</f>
        <v>414</v>
      </c>
      <c r="B417" t="str">
        <f>'score estimates'!$B417</f>
        <v>Derick Brassard</v>
      </c>
      <c r="C417" t="str">
        <f>'score estimates'!$D417</f>
        <v>F</v>
      </c>
      <c r="D417" t="str">
        <f>'score estimates'!$C417</f>
        <v>OTT</v>
      </c>
      <c r="E417" s="75">
        <f>'score estimates'!$F417</f>
        <v>11.036585365853659</v>
      </c>
      <c r="F417" s="71">
        <f>'score estimates'!$G417</f>
        <v>528</v>
      </c>
      <c r="G417" s="71" t="s">
        <v>983</v>
      </c>
      <c r="H417" s="72" cm="1">
        <f t="array" aca="1" ref="H41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17" s="96">
        <f ca="1">IF(Table2[[#This Row],[Team]]="FA",0,Table2[[#This Row],[Pts/G]]*(1-Table2[[#This Row],[% Pos Overlap]]))</f>
        <v>11.036585365853659</v>
      </c>
      <c r="J417" s="72" cm="1">
        <f t="array" aca="1" ref="J417" ca="1">(INDIRECT(ADDRESS((_xlfn.XMATCH(Table2[[#This Row],[Team]],Schedule!$A$1:$A$33)),5,1,1,"Sched Overlap")))</f>
        <v>0.64306064306064303</v>
      </c>
      <c r="K417" s="92" cm="1">
        <f t="array" aca="1" ref="K41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17" s="95">
        <f ca="1">IF(Table2[[#This Row],[Team]]="FA",0,Table2[[#This Row],[Pts/G]]*(Table2[[#This Row],[Games Playable]]/82))</f>
        <v>11.036585365853659</v>
      </c>
      <c r="M417" s="95" cm="1">
        <f t="array" aca="1" ref="M417" ca="1">Table2[[#This Row],[Playable x Score]]*_xlfn.IFS(Table2[[#This Row],[Pos]]="D",assumptions!$B$15,Table2[[#This Row],[Pos]]="F", assumptions!$B$14,Table2[[#This Row],[Pos]]="G",assumptions!$B$16)</f>
        <v>11.036585365853659</v>
      </c>
    </row>
    <row r="418" spans="1:13" x14ac:dyDescent="0.3">
      <c r="A418">
        <f>'score estimates'!$A418</f>
        <v>415</v>
      </c>
      <c r="B418" t="str">
        <f>'score estimates'!$B418</f>
        <v>Erik Johnson</v>
      </c>
      <c r="C418" t="str">
        <f>'score estimates'!$D418</f>
        <v>D</v>
      </c>
      <c r="D418" t="str">
        <f>'score estimates'!$C418</f>
        <v>COL</v>
      </c>
      <c r="E418" s="75">
        <f>'score estimates'!$F418</f>
        <v>17.963414634146343</v>
      </c>
      <c r="F418" s="71">
        <f>'score estimates'!$G418</f>
        <v>303</v>
      </c>
      <c r="G418" s="71" t="s">
        <v>983</v>
      </c>
      <c r="H418" s="72" cm="1">
        <f t="array" aca="1" ref="H41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18" s="96">
        <f ca="1">IF(Table2[[#This Row],[Team]]="FA",0,Table2[[#This Row],[Pts/G]]*(1-Table2[[#This Row],[% Pos Overlap]]))</f>
        <v>17.963414634146343</v>
      </c>
      <c r="J418" s="72" cm="1">
        <f t="array" aca="1" ref="J418" ca="1">(INDIRECT(ADDRESS((_xlfn.XMATCH(Table2[[#This Row],[Team]],Schedule!$A$1:$A$33)),5,1,1,"Sched Overlap")))</f>
        <v>0.61131461131461151</v>
      </c>
      <c r="K418" s="92" cm="1">
        <f t="array" aca="1" ref="K41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18" s="95">
        <f ca="1">IF(Table2[[#This Row],[Team]]="FA",0,Table2[[#This Row],[Pts/G]]*(Table2[[#This Row],[Games Playable]]/82))</f>
        <v>17.963414634146343</v>
      </c>
      <c r="M418" s="95" cm="1">
        <f t="array" aca="1" ref="M418" ca="1">Table2[[#This Row],[Playable x Score]]*_xlfn.IFS(Table2[[#This Row],[Pos]]="D",assumptions!$B$15,Table2[[#This Row],[Pos]]="F", assumptions!$B$14,Table2[[#This Row],[Pos]]="G",assumptions!$B$16)</f>
        <v>22.454268292682929</v>
      </c>
    </row>
    <row r="419" spans="1:13" x14ac:dyDescent="0.3">
      <c r="A419">
        <f>'score estimates'!$A419</f>
        <v>416</v>
      </c>
      <c r="B419" t="str">
        <f>'score estimates'!$B419</f>
        <v>Anton Stralman</v>
      </c>
      <c r="C419" t="str">
        <f>'score estimates'!$D419</f>
        <v>D</v>
      </c>
      <c r="D419" t="str">
        <f>'score estimates'!$C419</f>
        <v>FA</v>
      </c>
      <c r="E419" s="75">
        <f>'score estimates'!$F419</f>
        <v>10.975609756097562</v>
      </c>
      <c r="F419" s="71">
        <f>'score estimates'!$G419</f>
        <v>531</v>
      </c>
      <c r="G419" s="71" t="s">
        <v>983</v>
      </c>
      <c r="H419" s="72" t="e" cm="1">
        <f t="array" aca="1" ref="H419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419" s="96">
        <f>IF(Table2[[#This Row],[Team]]="FA",0,Table2[[#This Row],[Pts/G]]*(1-Table2[[#This Row],[% Pos Overlap]]))</f>
        <v>0</v>
      </c>
      <c r="J419" s="72" t="e" cm="1">
        <f t="array" aca="1" ref="J419" ca="1">(INDIRECT(ADDRESS((_xlfn.XMATCH(Table2[[#This Row],[Team]],Schedule!$A$1:$A$33)),5,1,1,"Sched Overlap")))</f>
        <v>#N/A</v>
      </c>
      <c r="K419" s="92" t="e" cm="1">
        <f t="array" aca="1" ref="K419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419" s="95">
        <f>IF(Table2[[#This Row],[Team]]="FA",0,Table2[[#This Row],[Pts/G]]*(Table2[[#This Row],[Games Playable]]/82))</f>
        <v>0</v>
      </c>
      <c r="M419" s="95" cm="1">
        <f t="array" ref="M419">Table2[[#This Row],[Playable x Score]]*_xlfn.IFS(Table2[[#This Row],[Pos]]="D",assumptions!$B$15,Table2[[#This Row],[Pos]]="F", assumptions!$B$14,Table2[[#This Row],[Pos]]="G",assumptions!$B$16)</f>
        <v>0</v>
      </c>
    </row>
    <row r="420" spans="1:13" x14ac:dyDescent="0.3">
      <c r="A420">
        <f>'score estimates'!$A420</f>
        <v>417</v>
      </c>
      <c r="B420" t="str">
        <f>'score estimates'!$B420</f>
        <v>Nick Foligno</v>
      </c>
      <c r="C420" t="str">
        <f>'score estimates'!$D420</f>
        <v>F</v>
      </c>
      <c r="D420" t="str">
        <f>'score estimates'!$C420</f>
        <v>BOS</v>
      </c>
      <c r="E420" s="75">
        <f>'score estimates'!$F420</f>
        <v>13.585365853658537</v>
      </c>
      <c r="F420" s="71">
        <f>'score estimates'!$G420</f>
        <v>444</v>
      </c>
      <c r="G420" s="71" t="s">
        <v>983</v>
      </c>
      <c r="H420" s="72" cm="1">
        <f t="array" aca="1" ref="H42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20" s="96">
        <f ca="1">IF(Table2[[#This Row],[Team]]="FA",0,Table2[[#This Row],[Pts/G]]*(1-Table2[[#This Row],[% Pos Overlap]]))</f>
        <v>13.585365853658537</v>
      </c>
      <c r="J420" s="72" cm="1">
        <f t="array" aca="1" ref="J420" ca="1">(INDIRECT(ADDRESS((_xlfn.XMATCH(Table2[[#This Row],[Team]],Schedule!$A$1:$A$33)),5,1,1,"Sched Overlap")))</f>
        <v>0.67236467236467234</v>
      </c>
      <c r="K420" s="92" cm="1">
        <f t="array" aca="1" ref="K42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20" s="95">
        <f ca="1">IF(Table2[[#This Row],[Team]]="FA",0,Table2[[#This Row],[Pts/G]]*(Table2[[#This Row],[Games Playable]]/82))</f>
        <v>13.585365853658537</v>
      </c>
      <c r="M420" s="95" cm="1">
        <f t="array" aca="1" ref="M420" ca="1">Table2[[#This Row],[Playable x Score]]*_xlfn.IFS(Table2[[#This Row],[Pos]]="D",assumptions!$B$15,Table2[[#This Row],[Pos]]="F", assumptions!$B$14,Table2[[#This Row],[Pos]]="G",assumptions!$B$16)</f>
        <v>13.585365853658537</v>
      </c>
    </row>
    <row r="421" spans="1:13" x14ac:dyDescent="0.3">
      <c r="A421">
        <f>'score estimates'!$A421</f>
        <v>418</v>
      </c>
      <c r="B421" t="str">
        <f>'score estimates'!$B421</f>
        <v>Brenden Dillon</v>
      </c>
      <c r="C421" t="str">
        <f>'score estimates'!$D421</f>
        <v>D</v>
      </c>
      <c r="D421" t="str">
        <f>'score estimates'!$C421</f>
        <v>WPG</v>
      </c>
      <c r="E421" s="75">
        <f>'score estimates'!$F421</f>
        <v>18.317073170731707</v>
      </c>
      <c r="F421" s="71">
        <f>'score estimates'!$G421</f>
        <v>289</v>
      </c>
      <c r="G421" s="71" t="s">
        <v>983</v>
      </c>
      <c r="H421" s="72" cm="1">
        <f t="array" aca="1" ref="H42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21" s="96">
        <f ca="1">IF(Table2[[#This Row],[Team]]="FA",0,Table2[[#This Row],[Pts/G]]*(1-Table2[[#This Row],[% Pos Overlap]]))</f>
        <v>18.317073170731707</v>
      </c>
      <c r="J421" s="72" cm="1">
        <f t="array" aca="1" ref="J421" ca="1">(INDIRECT(ADDRESS((_xlfn.XMATCH(Table2[[#This Row],[Team]],Schedule!$A$1:$A$33)),5,1,1,"Sched Overlap")))</f>
        <v>0.61212861212861214</v>
      </c>
      <c r="K421" s="92" cm="1">
        <f t="array" aca="1" ref="K42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21" s="95">
        <f ca="1">IF(Table2[[#This Row],[Team]]="FA",0,Table2[[#This Row],[Pts/G]]*(Table2[[#This Row],[Games Playable]]/82))</f>
        <v>18.317073170731707</v>
      </c>
      <c r="M421" s="95" cm="1">
        <f t="array" aca="1" ref="M421" ca="1">Table2[[#This Row],[Playable x Score]]*_xlfn.IFS(Table2[[#This Row],[Pos]]="D",assumptions!$B$15,Table2[[#This Row],[Pos]]="F", assumptions!$B$14,Table2[[#This Row],[Pos]]="G",assumptions!$B$16)</f>
        <v>22.896341463414632</v>
      </c>
    </row>
    <row r="422" spans="1:13" x14ac:dyDescent="0.3">
      <c r="A422">
        <f>'score estimates'!$A422</f>
        <v>419</v>
      </c>
      <c r="B422" t="str">
        <f>'score estimates'!$B422</f>
        <v>Joel Armia</v>
      </c>
      <c r="C422" t="str">
        <f>'score estimates'!$D422</f>
        <v>F</v>
      </c>
      <c r="D422" t="str">
        <f>'score estimates'!$C422</f>
        <v>MON</v>
      </c>
      <c r="E422" s="75">
        <f>'score estimates'!$F422</f>
        <v>11.682926829268293</v>
      </c>
      <c r="F422" s="71">
        <f>'score estimates'!$G422</f>
        <v>508</v>
      </c>
      <c r="G422" s="71" t="s">
        <v>983</v>
      </c>
      <c r="H422" s="72" cm="1">
        <f t="array" aca="1" ref="H42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22" s="96">
        <f ca="1">IF(Table2[[#This Row],[Team]]="FA",0,Table2[[#This Row],[Pts/G]]*(1-Table2[[#This Row],[% Pos Overlap]]))</f>
        <v>11.682926829268293</v>
      </c>
      <c r="J422" s="72" cm="1">
        <f t="array" aca="1" ref="J422" ca="1">(INDIRECT(ADDRESS((_xlfn.XMATCH(Table2[[#This Row],[Team]],Schedule!$A$1:$A$33)),5,1,1,"Sched Overlap")))</f>
        <v>0.66666666666666685</v>
      </c>
      <c r="K422" s="92" cm="1">
        <f t="array" aca="1" ref="K42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22" s="95">
        <f ca="1">IF(Table2[[#This Row],[Team]]="FA",0,Table2[[#This Row],[Pts/G]]*(Table2[[#This Row],[Games Playable]]/82))</f>
        <v>11.682926829268293</v>
      </c>
      <c r="M422" s="95" cm="1">
        <f t="array" aca="1" ref="M422" ca="1">Table2[[#This Row],[Playable x Score]]*_xlfn.IFS(Table2[[#This Row],[Pos]]="D",assumptions!$B$15,Table2[[#This Row],[Pos]]="F", assumptions!$B$14,Table2[[#This Row],[Pos]]="G",assumptions!$B$16)</f>
        <v>11.682926829268293</v>
      </c>
    </row>
    <row r="423" spans="1:13" x14ac:dyDescent="0.3">
      <c r="A423">
        <f>'score estimates'!$A423</f>
        <v>420</v>
      </c>
      <c r="B423" t="str">
        <f>'score estimates'!$B423</f>
        <v>Jake Muzzin</v>
      </c>
      <c r="C423" t="str">
        <f>'score estimates'!$D423</f>
        <v>D</v>
      </c>
      <c r="D423" t="str">
        <f>'score estimates'!$C423</f>
        <v>TOR</v>
      </c>
      <c r="E423" s="75">
        <f>'score estimates'!$F423</f>
        <v>13.926829268292684</v>
      </c>
      <c r="F423" s="71">
        <f>'score estimates'!$G423</f>
        <v>428</v>
      </c>
      <c r="G423" s="71" t="s">
        <v>983</v>
      </c>
      <c r="H423" s="72" cm="1">
        <f t="array" aca="1" ref="H42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23" s="96">
        <f ca="1">IF(Table2[[#This Row],[Team]]="FA",0,Table2[[#This Row],[Pts/G]]*(1-Table2[[#This Row],[% Pos Overlap]]))</f>
        <v>13.926829268292684</v>
      </c>
      <c r="J423" s="72" cm="1">
        <f t="array" aca="1" ref="J423" ca="1">(INDIRECT(ADDRESS((_xlfn.XMATCH(Table2[[#This Row],[Team]],Schedule!$A$1:$A$33)),5,1,1,"Sched Overlap")))</f>
        <v>0.62922262922262928</v>
      </c>
      <c r="K423" s="92" cm="1">
        <f t="array" aca="1" ref="K42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23" s="95">
        <f ca="1">IF(Table2[[#This Row],[Team]]="FA",0,Table2[[#This Row],[Pts/G]]*(Table2[[#This Row],[Games Playable]]/82))</f>
        <v>13.926829268292684</v>
      </c>
      <c r="M423" s="95" cm="1">
        <f t="array" aca="1" ref="M423" ca="1">Table2[[#This Row],[Playable x Score]]*_xlfn.IFS(Table2[[#This Row],[Pos]]="D",assumptions!$B$15,Table2[[#This Row],[Pos]]="F", assumptions!$B$14,Table2[[#This Row],[Pos]]="G",assumptions!$B$16)</f>
        <v>17.408536585365855</v>
      </c>
    </row>
    <row r="424" spans="1:13" x14ac:dyDescent="0.3">
      <c r="A424">
        <f>'score estimates'!$A424</f>
        <v>421</v>
      </c>
      <c r="B424" t="str">
        <f>'score estimates'!$B424</f>
        <v>Johan Larsson</v>
      </c>
      <c r="C424" t="str">
        <f>'score estimates'!$D424</f>
        <v>F</v>
      </c>
      <c r="D424" t="str">
        <f>'score estimates'!$C424</f>
        <v>FA</v>
      </c>
      <c r="E424" s="75">
        <f>'score estimates'!$F424</f>
        <v>10.390243902439025</v>
      </c>
      <c r="F424" s="71">
        <f>'score estimates'!$G424</f>
        <v>551</v>
      </c>
      <c r="G424" s="71" t="s">
        <v>983</v>
      </c>
      <c r="H424" s="72" t="e" cm="1">
        <f t="array" aca="1" ref="H424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424" s="96">
        <f>IF(Table2[[#This Row],[Team]]="FA",0,Table2[[#This Row],[Pts/G]]*(1-Table2[[#This Row],[% Pos Overlap]]))</f>
        <v>0</v>
      </c>
      <c r="J424" s="72" t="e" cm="1">
        <f t="array" aca="1" ref="J424" ca="1">(INDIRECT(ADDRESS((_xlfn.XMATCH(Table2[[#This Row],[Team]],Schedule!$A$1:$A$33)),5,1,1,"Sched Overlap")))</f>
        <v>#N/A</v>
      </c>
      <c r="K424" s="92" t="e" cm="1">
        <f t="array" aca="1" ref="K424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424" s="95">
        <f>IF(Table2[[#This Row],[Team]]="FA",0,Table2[[#This Row],[Pts/G]]*(Table2[[#This Row],[Games Playable]]/82))</f>
        <v>0</v>
      </c>
      <c r="M424" s="95" cm="1">
        <f t="array" ref="M424">Table2[[#This Row],[Playable x Score]]*_xlfn.IFS(Table2[[#This Row],[Pos]]="D",assumptions!$B$15,Table2[[#This Row],[Pos]]="F", assumptions!$B$14,Table2[[#This Row],[Pos]]="G",assumptions!$B$16)</f>
        <v>0</v>
      </c>
    </row>
    <row r="425" spans="1:13" x14ac:dyDescent="0.3">
      <c r="A425">
        <f>'score estimates'!$A425</f>
        <v>422</v>
      </c>
      <c r="B425" t="str">
        <f>'score estimates'!$B425</f>
        <v>Colin White</v>
      </c>
      <c r="C425" t="str">
        <f>'score estimates'!$D425</f>
        <v>F</v>
      </c>
      <c r="D425" t="str">
        <f>'score estimates'!$C425</f>
        <v>FLA</v>
      </c>
      <c r="E425" s="75">
        <f>'score estimates'!$F425</f>
        <v>9.4024390243902438</v>
      </c>
      <c r="F425" s="71">
        <f>'score estimates'!$G425</f>
        <v>581</v>
      </c>
      <c r="G425" s="71" t="s">
        <v>983</v>
      </c>
      <c r="H425" s="72" cm="1">
        <f t="array" aca="1" ref="H42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25" s="96">
        <f ca="1">IF(Table2[[#This Row],[Team]]="FA",0,Table2[[#This Row],[Pts/G]]*(1-Table2[[#This Row],[% Pos Overlap]]))</f>
        <v>9.4024390243902438</v>
      </c>
      <c r="J425" s="72" cm="1">
        <f t="array" aca="1" ref="J425" ca="1">(INDIRECT(ADDRESS((_xlfn.XMATCH(Table2[[#This Row],[Team]],Schedule!$A$1:$A$33)),5,1,1,"Sched Overlap")))</f>
        <v>0.64387464387464377</v>
      </c>
      <c r="K425" s="92" cm="1">
        <f t="array" aca="1" ref="K42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25" s="95">
        <f ca="1">IF(Table2[[#This Row],[Team]]="FA",0,Table2[[#This Row],[Pts/G]]*(Table2[[#This Row],[Games Playable]]/82))</f>
        <v>9.4024390243902438</v>
      </c>
      <c r="M425" s="95" cm="1">
        <f t="array" aca="1" ref="M425" ca="1">Table2[[#This Row],[Playable x Score]]*_xlfn.IFS(Table2[[#This Row],[Pos]]="D",assumptions!$B$15,Table2[[#This Row],[Pos]]="F", assumptions!$B$14,Table2[[#This Row],[Pos]]="G",assumptions!$B$16)</f>
        <v>9.4024390243902438</v>
      </c>
    </row>
    <row r="426" spans="1:13" x14ac:dyDescent="0.3">
      <c r="A426">
        <f>'score estimates'!$A426</f>
        <v>423</v>
      </c>
      <c r="B426" t="str">
        <f>'score estimates'!$B426</f>
        <v>Daniel Sprong</v>
      </c>
      <c r="C426" t="str">
        <f>'score estimates'!$D426</f>
        <v>F</v>
      </c>
      <c r="D426" t="str">
        <f>'score estimates'!$C426</f>
        <v>SEA</v>
      </c>
      <c r="E426" s="75">
        <f>'score estimates'!$F426</f>
        <v>11.390243902439025</v>
      </c>
      <c r="F426" s="71">
        <f>'score estimates'!$G426</f>
        <v>520</v>
      </c>
      <c r="G426" s="71" t="s">
        <v>983</v>
      </c>
      <c r="H426" s="72" cm="1">
        <f t="array" aca="1" ref="H42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26" s="96">
        <f ca="1">IF(Table2[[#This Row],[Team]]="FA",0,Table2[[#This Row],[Pts/G]]*(1-Table2[[#This Row],[% Pos Overlap]]))</f>
        <v>11.390243902439025</v>
      </c>
      <c r="J426" s="72" cm="1">
        <f t="array" aca="1" ref="J426" ca="1">(INDIRECT(ADDRESS((_xlfn.XMATCH(Table2[[#This Row],[Team]],Schedule!$A$1:$A$33)),5,1,1,"Sched Overlap")))</f>
        <v>0.63085063085063087</v>
      </c>
      <c r="K426" s="92" cm="1">
        <f t="array" aca="1" ref="K42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26" s="95">
        <f ca="1">IF(Table2[[#This Row],[Team]]="FA",0,Table2[[#This Row],[Pts/G]]*(Table2[[#This Row],[Games Playable]]/82))</f>
        <v>11.390243902439025</v>
      </c>
      <c r="M426" s="95" cm="1">
        <f t="array" aca="1" ref="M426" ca="1">Table2[[#This Row],[Playable x Score]]*_xlfn.IFS(Table2[[#This Row],[Pos]]="D",assumptions!$B$15,Table2[[#This Row],[Pos]]="F", assumptions!$B$14,Table2[[#This Row],[Pos]]="G",assumptions!$B$16)</f>
        <v>11.390243902439025</v>
      </c>
    </row>
    <row r="427" spans="1:13" x14ac:dyDescent="0.3">
      <c r="A427">
        <f>'score estimates'!$A427</f>
        <v>424</v>
      </c>
      <c r="B427" t="str">
        <f>'score estimates'!$B427</f>
        <v>Nicolas Aube-Kubel</v>
      </c>
      <c r="C427" t="str">
        <f>'score estimates'!$D427</f>
        <v>F</v>
      </c>
      <c r="D427" t="str">
        <f>'score estimates'!$C427</f>
        <v>TOR</v>
      </c>
      <c r="E427" s="75">
        <f>'score estimates'!$F427</f>
        <v>13.463414634146341</v>
      </c>
      <c r="F427" s="71">
        <f>'score estimates'!$G427</f>
        <v>450</v>
      </c>
      <c r="G427" s="71" t="s">
        <v>983</v>
      </c>
      <c r="H427" s="72" cm="1">
        <f t="array" aca="1" ref="H42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27" s="96">
        <f ca="1">IF(Table2[[#This Row],[Team]]="FA",0,Table2[[#This Row],[Pts/G]]*(1-Table2[[#This Row],[% Pos Overlap]]))</f>
        <v>13.463414634146341</v>
      </c>
      <c r="J427" s="72" cm="1">
        <f t="array" aca="1" ref="J427" ca="1">(INDIRECT(ADDRESS((_xlfn.XMATCH(Table2[[#This Row],[Team]],Schedule!$A$1:$A$33)),5,1,1,"Sched Overlap")))</f>
        <v>0.62922262922262928</v>
      </c>
      <c r="K427" s="92" cm="1">
        <f t="array" aca="1" ref="K42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27" s="95">
        <f ca="1">IF(Table2[[#This Row],[Team]]="FA",0,Table2[[#This Row],[Pts/G]]*(Table2[[#This Row],[Games Playable]]/82))</f>
        <v>13.463414634146341</v>
      </c>
      <c r="M427" s="95" cm="1">
        <f t="array" aca="1" ref="M427" ca="1">Table2[[#This Row],[Playable x Score]]*_xlfn.IFS(Table2[[#This Row],[Pos]]="D",assumptions!$B$15,Table2[[#This Row],[Pos]]="F", assumptions!$B$14,Table2[[#This Row],[Pos]]="G",assumptions!$B$16)</f>
        <v>13.463414634146341</v>
      </c>
    </row>
    <row r="428" spans="1:13" x14ac:dyDescent="0.3">
      <c r="A428">
        <f>'score estimates'!$A428</f>
        <v>425</v>
      </c>
      <c r="B428" t="str">
        <f>'score estimates'!$B428</f>
        <v>Mike Reilly</v>
      </c>
      <c r="C428" t="str">
        <f>'score estimates'!$D428</f>
        <v>D</v>
      </c>
      <c r="D428" t="str">
        <f>'score estimates'!$C428</f>
        <v>BOS</v>
      </c>
      <c r="E428" s="75">
        <f>'score estimates'!$F428</f>
        <v>13.317073170731707</v>
      </c>
      <c r="F428" s="71">
        <f>'score estimates'!$G428</f>
        <v>455</v>
      </c>
      <c r="G428" s="71" t="s">
        <v>983</v>
      </c>
      <c r="H428" s="72" cm="1">
        <f t="array" aca="1" ref="H42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28" s="96">
        <f ca="1">IF(Table2[[#This Row],[Team]]="FA",0,Table2[[#This Row],[Pts/G]]*(1-Table2[[#This Row],[% Pos Overlap]]))</f>
        <v>13.317073170731707</v>
      </c>
      <c r="J428" s="72" cm="1">
        <f t="array" aca="1" ref="J428" ca="1">(INDIRECT(ADDRESS((_xlfn.XMATCH(Table2[[#This Row],[Team]],Schedule!$A$1:$A$33)),5,1,1,"Sched Overlap")))</f>
        <v>0.67236467236467234</v>
      </c>
      <c r="K428" s="92" cm="1">
        <f t="array" aca="1" ref="K42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28" s="95">
        <f ca="1">IF(Table2[[#This Row],[Team]]="FA",0,Table2[[#This Row],[Pts/G]]*(Table2[[#This Row],[Games Playable]]/82))</f>
        <v>13.317073170731707</v>
      </c>
      <c r="M428" s="95" cm="1">
        <f t="array" aca="1" ref="M428" ca="1">Table2[[#This Row],[Playable x Score]]*_xlfn.IFS(Table2[[#This Row],[Pos]]="D",assumptions!$B$15,Table2[[#This Row],[Pos]]="F", assumptions!$B$14,Table2[[#This Row],[Pos]]="G",assumptions!$B$16)</f>
        <v>16.646341463414632</v>
      </c>
    </row>
    <row r="429" spans="1:13" x14ac:dyDescent="0.3">
      <c r="A429">
        <f>'score estimates'!$A429</f>
        <v>426</v>
      </c>
      <c r="B429" t="str">
        <f>'score estimates'!$B429</f>
        <v>Matt Grzelcyk</v>
      </c>
      <c r="C429" t="str">
        <f>'score estimates'!$D429</f>
        <v>D</v>
      </c>
      <c r="D429" t="str">
        <f>'score estimates'!$C429</f>
        <v>BOS</v>
      </c>
      <c r="E429" s="75">
        <f>'score estimates'!$F429</f>
        <v>14.390243902439025</v>
      </c>
      <c r="F429" s="71">
        <f>'score estimates'!$G429</f>
        <v>411</v>
      </c>
      <c r="G429" s="71" t="s">
        <v>983</v>
      </c>
      <c r="H429" s="72" cm="1">
        <f t="array" aca="1" ref="H42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29" s="96">
        <f ca="1">IF(Table2[[#This Row],[Team]]="FA",0,Table2[[#This Row],[Pts/G]]*(1-Table2[[#This Row],[% Pos Overlap]]))</f>
        <v>14.390243902439025</v>
      </c>
      <c r="J429" s="72" cm="1">
        <f t="array" aca="1" ref="J429" ca="1">(INDIRECT(ADDRESS((_xlfn.XMATCH(Table2[[#This Row],[Team]],Schedule!$A$1:$A$33)),5,1,1,"Sched Overlap")))</f>
        <v>0.67236467236467234</v>
      </c>
      <c r="K429" s="92" cm="1">
        <f t="array" aca="1" ref="K42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29" s="95">
        <f ca="1">IF(Table2[[#This Row],[Team]]="FA",0,Table2[[#This Row],[Pts/G]]*(Table2[[#This Row],[Games Playable]]/82))</f>
        <v>14.390243902439025</v>
      </c>
      <c r="M429" s="95" cm="1">
        <f t="array" aca="1" ref="M429" ca="1">Table2[[#This Row],[Playable x Score]]*_xlfn.IFS(Table2[[#This Row],[Pos]]="D",assumptions!$B$15,Table2[[#This Row],[Pos]]="F", assumptions!$B$14,Table2[[#This Row],[Pos]]="G",assumptions!$B$16)</f>
        <v>17.987804878048781</v>
      </c>
    </row>
    <row r="430" spans="1:13" x14ac:dyDescent="0.3">
      <c r="A430">
        <f>'score estimates'!$A430</f>
        <v>427</v>
      </c>
      <c r="B430" t="str">
        <f>'score estimates'!$B430</f>
        <v>K'Andre Miller</v>
      </c>
      <c r="C430" t="str">
        <f>'score estimates'!$D430</f>
        <v>D</v>
      </c>
      <c r="D430" t="str">
        <f>'score estimates'!$C430</f>
        <v>NYR</v>
      </c>
      <c r="E430" s="75">
        <f>'score estimates'!$F430</f>
        <v>17.353658536585368</v>
      </c>
      <c r="F430" s="71">
        <f>'score estimates'!$G430</f>
        <v>321</v>
      </c>
      <c r="G430" s="71" t="s">
        <v>983</v>
      </c>
      <c r="H430" s="72" cm="1">
        <f t="array" aca="1" ref="H43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30" s="96">
        <f ca="1">IF(Table2[[#This Row],[Team]]="FA",0,Table2[[#This Row],[Pts/G]]*(1-Table2[[#This Row],[% Pos Overlap]]))</f>
        <v>17.353658536585368</v>
      </c>
      <c r="J430" s="72" cm="1">
        <f t="array" aca="1" ref="J430" ca="1">(INDIRECT(ADDRESS((_xlfn.XMATCH(Table2[[#This Row],[Team]],Schedule!$A$1:$A$33)),5,1,1,"Sched Overlap")))</f>
        <v>0.60236060236060229</v>
      </c>
      <c r="K430" s="92" cm="1">
        <f t="array" aca="1" ref="K43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30" s="95">
        <f ca="1">IF(Table2[[#This Row],[Team]]="FA",0,Table2[[#This Row],[Pts/G]]*(Table2[[#This Row],[Games Playable]]/82))</f>
        <v>17.353658536585368</v>
      </c>
      <c r="M430" s="95" cm="1">
        <f t="array" aca="1" ref="M430" ca="1">Table2[[#This Row],[Playable x Score]]*_xlfn.IFS(Table2[[#This Row],[Pos]]="D",assumptions!$B$15,Table2[[#This Row],[Pos]]="F", assumptions!$B$14,Table2[[#This Row],[Pos]]="G",assumptions!$B$16)</f>
        <v>21.69207317073171</v>
      </c>
    </row>
    <row r="431" spans="1:13" x14ac:dyDescent="0.3">
      <c r="A431">
        <f>'score estimates'!$A431</f>
        <v>428</v>
      </c>
      <c r="B431" t="str">
        <f>'score estimates'!$B431</f>
        <v>Blake Lizotte</v>
      </c>
      <c r="C431" t="str">
        <f>'score estimates'!$D431</f>
        <v>F</v>
      </c>
      <c r="D431" t="str">
        <f>'score estimates'!$C431</f>
        <v>LA</v>
      </c>
      <c r="E431" s="75">
        <f>'score estimates'!$F431</f>
        <v>12.548780487804878</v>
      </c>
      <c r="F431" s="71">
        <f>'score estimates'!$G431</f>
        <v>474</v>
      </c>
      <c r="G431" s="71" t="s">
        <v>983</v>
      </c>
      <c r="H431" s="72" cm="1">
        <f t="array" aca="1" ref="H43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31" s="96">
        <f ca="1">IF(Table2[[#This Row],[Team]]="FA",0,Table2[[#This Row],[Pts/G]]*(1-Table2[[#This Row],[% Pos Overlap]]))</f>
        <v>12.548780487804878</v>
      </c>
      <c r="J431" s="72" cm="1">
        <f t="array" aca="1" ref="J431" ca="1">(INDIRECT(ADDRESS((_xlfn.XMATCH(Table2[[#This Row],[Team]],Schedule!$A$1:$A$33)),5,1,1,"Sched Overlap")))</f>
        <v>0.65201465201465225</v>
      </c>
      <c r="K431" s="92" cm="1">
        <f t="array" aca="1" ref="K43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31" s="95">
        <f ca="1">IF(Table2[[#This Row],[Team]]="FA",0,Table2[[#This Row],[Pts/G]]*(Table2[[#This Row],[Games Playable]]/82))</f>
        <v>12.548780487804878</v>
      </c>
      <c r="M431" s="95" cm="1">
        <f t="array" aca="1" ref="M431" ca="1">Table2[[#This Row],[Playable x Score]]*_xlfn.IFS(Table2[[#This Row],[Pos]]="D",assumptions!$B$15,Table2[[#This Row],[Pos]]="F", assumptions!$B$14,Table2[[#This Row],[Pos]]="G",assumptions!$B$16)</f>
        <v>12.548780487804878</v>
      </c>
    </row>
    <row r="432" spans="1:13" x14ac:dyDescent="0.3">
      <c r="A432">
        <f>'score estimates'!$A432</f>
        <v>429</v>
      </c>
      <c r="B432" t="str">
        <f>'score estimates'!$B432</f>
        <v>Cam York</v>
      </c>
      <c r="C432" t="str">
        <f>'score estimates'!$D432</f>
        <v>D</v>
      </c>
      <c r="D432" t="str">
        <f>'score estimates'!$C432</f>
        <v>PHI</v>
      </c>
      <c r="E432" s="75">
        <f>'score estimates'!$F432</f>
        <v>8.9878048780487809</v>
      </c>
      <c r="F432" s="71">
        <f>'score estimates'!$G432</f>
        <v>590</v>
      </c>
      <c r="G432" s="71" t="s">
        <v>983</v>
      </c>
      <c r="H432" s="72" cm="1">
        <f t="array" aca="1" ref="H43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32" s="96">
        <f ca="1">IF(Table2[[#This Row],[Team]]="FA",0,Table2[[#This Row],[Pts/G]]*(1-Table2[[#This Row],[% Pos Overlap]]))</f>
        <v>8.9878048780487809</v>
      </c>
      <c r="J432" s="72" cm="1">
        <f t="array" aca="1" ref="J432" ca="1">(INDIRECT(ADDRESS((_xlfn.XMATCH(Table2[[#This Row],[Team]],Schedule!$A$1:$A$33)),5,1,1,"Sched Overlap")))</f>
        <v>0.66910866910866917</v>
      </c>
      <c r="K432" s="92" cm="1">
        <f t="array" aca="1" ref="K43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32" s="95">
        <f ca="1">IF(Table2[[#This Row],[Team]]="FA",0,Table2[[#This Row],[Pts/G]]*(Table2[[#This Row],[Games Playable]]/82))</f>
        <v>8.9878048780487809</v>
      </c>
      <c r="M432" s="95" cm="1">
        <f t="array" aca="1" ref="M432" ca="1">Table2[[#This Row],[Playable x Score]]*_xlfn.IFS(Table2[[#This Row],[Pos]]="D",assumptions!$B$15,Table2[[#This Row],[Pos]]="F", assumptions!$B$14,Table2[[#This Row],[Pos]]="G",assumptions!$B$16)</f>
        <v>11.234756097560975</v>
      </c>
    </row>
    <row r="433" spans="1:13" x14ac:dyDescent="0.3">
      <c r="A433">
        <f>'score estimates'!$A433</f>
        <v>430</v>
      </c>
      <c r="B433" t="str">
        <f>'score estimates'!$B433</f>
        <v>Brandon Tanev</v>
      </c>
      <c r="C433" t="str">
        <f>'score estimates'!$D433</f>
        <v>F</v>
      </c>
      <c r="D433" t="str">
        <f>'score estimates'!$C433</f>
        <v>SEA</v>
      </c>
      <c r="E433" s="75">
        <f>'score estimates'!$F433</f>
        <v>14.731707317073171</v>
      </c>
      <c r="F433" s="71">
        <f>'score estimates'!$G433</f>
        <v>399</v>
      </c>
      <c r="G433" s="71" t="s">
        <v>983</v>
      </c>
      <c r="H433" s="72" cm="1">
        <f t="array" aca="1" ref="H43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33" s="96">
        <f ca="1">IF(Table2[[#This Row],[Team]]="FA",0,Table2[[#This Row],[Pts/G]]*(1-Table2[[#This Row],[% Pos Overlap]]))</f>
        <v>14.731707317073171</v>
      </c>
      <c r="J433" s="72" cm="1">
        <f t="array" aca="1" ref="J433" ca="1">(INDIRECT(ADDRESS((_xlfn.XMATCH(Table2[[#This Row],[Team]],Schedule!$A$1:$A$33)),5,1,1,"Sched Overlap")))</f>
        <v>0.63085063085063087</v>
      </c>
      <c r="K433" s="92" cm="1">
        <f t="array" aca="1" ref="K43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33" s="95">
        <f ca="1">IF(Table2[[#This Row],[Team]]="FA",0,Table2[[#This Row],[Pts/G]]*(Table2[[#This Row],[Games Playable]]/82))</f>
        <v>14.731707317073171</v>
      </c>
      <c r="M433" s="95" cm="1">
        <f t="array" aca="1" ref="M433" ca="1">Table2[[#This Row],[Playable x Score]]*_xlfn.IFS(Table2[[#This Row],[Pos]]="D",assumptions!$B$15,Table2[[#This Row],[Pos]]="F", assumptions!$B$14,Table2[[#This Row],[Pos]]="G",assumptions!$B$16)</f>
        <v>14.731707317073171</v>
      </c>
    </row>
    <row r="434" spans="1:13" x14ac:dyDescent="0.3">
      <c r="A434">
        <f>'score estimates'!$A434</f>
        <v>431</v>
      </c>
      <c r="B434" t="str">
        <f>'score estimates'!$B434</f>
        <v>Caleb Jones</v>
      </c>
      <c r="C434" t="str">
        <f>'score estimates'!$D434</f>
        <v>D</v>
      </c>
      <c r="D434" t="str">
        <f>'score estimates'!$C434</f>
        <v>CHI</v>
      </c>
      <c r="E434" s="75">
        <f>'score estimates'!$F434</f>
        <v>11.890243902439025</v>
      </c>
      <c r="F434" s="71">
        <f>'score estimates'!$G434</f>
        <v>497</v>
      </c>
      <c r="G434" s="71" t="s">
        <v>983</v>
      </c>
      <c r="H434" s="72" cm="1">
        <f t="array" aca="1" ref="H43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34" s="96">
        <f ca="1">IF(Table2[[#This Row],[Team]]="FA",0,Table2[[#This Row],[Pts/G]]*(1-Table2[[#This Row],[% Pos Overlap]]))</f>
        <v>11.890243902439025</v>
      </c>
      <c r="J434" s="72" cm="1">
        <f t="array" aca="1" ref="J434" ca="1">(INDIRECT(ADDRESS((_xlfn.XMATCH(Table2[[#This Row],[Team]],Schedule!$A$1:$A$33)),5,1,1,"Sched Overlap")))</f>
        <v>0.6243386243386243</v>
      </c>
      <c r="K434" s="92" cm="1">
        <f t="array" aca="1" ref="K43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34" s="95">
        <f ca="1">IF(Table2[[#This Row],[Team]]="FA",0,Table2[[#This Row],[Pts/G]]*(Table2[[#This Row],[Games Playable]]/82))</f>
        <v>11.890243902439025</v>
      </c>
      <c r="M434" s="95" cm="1">
        <f t="array" aca="1" ref="M434" ca="1">Table2[[#This Row],[Playable x Score]]*_xlfn.IFS(Table2[[#This Row],[Pos]]="D",assumptions!$B$15,Table2[[#This Row],[Pos]]="F", assumptions!$B$14,Table2[[#This Row],[Pos]]="G",assumptions!$B$16)</f>
        <v>14.862804878048781</v>
      </c>
    </row>
    <row r="435" spans="1:13" x14ac:dyDescent="0.3">
      <c r="A435">
        <f>'score estimates'!$A435</f>
        <v>432</v>
      </c>
      <c r="B435" t="str">
        <f>'score estimates'!$B435</f>
        <v>Kieffer Bellows</v>
      </c>
      <c r="C435" t="str">
        <f>'score estimates'!$D435</f>
        <v>F</v>
      </c>
      <c r="D435" t="str">
        <f>'score estimates'!$C435</f>
        <v>NYI</v>
      </c>
      <c r="E435" s="75">
        <f>'score estimates'!$F435</f>
        <v>10.146341463414634</v>
      </c>
      <c r="F435" s="71">
        <f>'score estimates'!$G435</f>
        <v>558</v>
      </c>
      <c r="G435" s="71" t="s">
        <v>983</v>
      </c>
      <c r="H435" s="72" cm="1">
        <f t="array" aca="1" ref="H43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35" s="96">
        <f ca="1">IF(Table2[[#This Row],[Team]]="FA",0,Table2[[#This Row],[Pts/G]]*(1-Table2[[#This Row],[% Pos Overlap]]))</f>
        <v>10.146341463414634</v>
      </c>
      <c r="J435" s="72" cm="1">
        <f t="array" aca="1" ref="J435" ca="1">(INDIRECT(ADDRESS((_xlfn.XMATCH(Table2[[#This Row],[Team]],Schedule!$A$1:$A$33)),5,1,1,"Sched Overlap")))</f>
        <v>0.63166463166463194</v>
      </c>
      <c r="K435" s="92" cm="1">
        <f t="array" aca="1" ref="K43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35" s="95">
        <f ca="1">IF(Table2[[#This Row],[Team]]="FA",0,Table2[[#This Row],[Pts/G]]*(Table2[[#This Row],[Games Playable]]/82))</f>
        <v>10.146341463414634</v>
      </c>
      <c r="M435" s="95" cm="1">
        <f t="array" aca="1" ref="M435" ca="1">Table2[[#This Row],[Playable x Score]]*_xlfn.IFS(Table2[[#This Row],[Pos]]="D",assumptions!$B$15,Table2[[#This Row],[Pos]]="F", assumptions!$B$14,Table2[[#This Row],[Pos]]="G",assumptions!$B$16)</f>
        <v>10.146341463414634</v>
      </c>
    </row>
    <row r="436" spans="1:13" x14ac:dyDescent="0.3">
      <c r="A436">
        <f>'score estimates'!$A436</f>
        <v>433</v>
      </c>
      <c r="B436" t="str">
        <f>'score estimates'!$B436</f>
        <v>Rem Pitlick</v>
      </c>
      <c r="C436" t="str">
        <f>'score estimates'!$D436</f>
        <v>F</v>
      </c>
      <c r="D436" t="str">
        <f>'score estimates'!$C436</f>
        <v>MON</v>
      </c>
      <c r="E436" s="75">
        <f>'score estimates'!$F436</f>
        <v>8.4390243902439028</v>
      </c>
      <c r="F436" s="71">
        <f>'score estimates'!$G436</f>
        <v>610</v>
      </c>
      <c r="G436" s="71" t="s">
        <v>983</v>
      </c>
      <c r="H436" s="72" cm="1">
        <f t="array" aca="1" ref="H43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36" s="96">
        <f ca="1">IF(Table2[[#This Row],[Team]]="FA",0,Table2[[#This Row],[Pts/G]]*(1-Table2[[#This Row],[% Pos Overlap]]))</f>
        <v>8.4390243902439028</v>
      </c>
      <c r="J436" s="72" cm="1">
        <f t="array" aca="1" ref="J436" ca="1">(INDIRECT(ADDRESS((_xlfn.XMATCH(Table2[[#This Row],[Team]],Schedule!$A$1:$A$33)),5,1,1,"Sched Overlap")))</f>
        <v>0.66666666666666685</v>
      </c>
      <c r="K436" s="92" cm="1">
        <f t="array" aca="1" ref="K43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36" s="95">
        <f ca="1">IF(Table2[[#This Row],[Team]]="FA",0,Table2[[#This Row],[Pts/G]]*(Table2[[#This Row],[Games Playable]]/82))</f>
        <v>8.4390243902439028</v>
      </c>
      <c r="M436" s="95" cm="1">
        <f t="array" aca="1" ref="M436" ca="1">Table2[[#This Row],[Playable x Score]]*_xlfn.IFS(Table2[[#This Row],[Pos]]="D",assumptions!$B$15,Table2[[#This Row],[Pos]]="F", assumptions!$B$14,Table2[[#This Row],[Pos]]="G",assumptions!$B$16)</f>
        <v>8.4390243902439028</v>
      </c>
    </row>
    <row r="437" spans="1:13" x14ac:dyDescent="0.3">
      <c r="A437">
        <f>'score estimates'!$A437</f>
        <v>434</v>
      </c>
      <c r="B437" t="str">
        <f>'score estimates'!$B437</f>
        <v>Matt Roy</v>
      </c>
      <c r="C437" t="str">
        <f>'score estimates'!$D437</f>
        <v>D</v>
      </c>
      <c r="D437" t="str">
        <f>'score estimates'!$C437</f>
        <v>LA</v>
      </c>
      <c r="E437" s="75">
        <f>'score estimates'!$F437</f>
        <v>17.353658536585368</v>
      </c>
      <c r="F437" s="71">
        <f>'score estimates'!$G437</f>
        <v>321</v>
      </c>
      <c r="G437" s="71" t="s">
        <v>983</v>
      </c>
      <c r="H437" s="72" cm="1">
        <f t="array" aca="1" ref="H43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37" s="96">
        <f ca="1">IF(Table2[[#This Row],[Team]]="FA",0,Table2[[#This Row],[Pts/G]]*(1-Table2[[#This Row],[% Pos Overlap]]))</f>
        <v>17.353658536585368</v>
      </c>
      <c r="J437" s="72" cm="1">
        <f t="array" aca="1" ref="J437" ca="1">(INDIRECT(ADDRESS((_xlfn.XMATCH(Table2[[#This Row],[Team]],Schedule!$A$1:$A$33)),5,1,1,"Sched Overlap")))</f>
        <v>0.65201465201465225</v>
      </c>
      <c r="K437" s="92" cm="1">
        <f t="array" aca="1" ref="K43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37" s="95">
        <f ca="1">IF(Table2[[#This Row],[Team]]="FA",0,Table2[[#This Row],[Pts/G]]*(Table2[[#This Row],[Games Playable]]/82))</f>
        <v>17.353658536585368</v>
      </c>
      <c r="M437" s="95" cm="1">
        <f t="array" aca="1" ref="M437" ca="1">Table2[[#This Row],[Playable x Score]]*_xlfn.IFS(Table2[[#This Row],[Pos]]="D",assumptions!$B$15,Table2[[#This Row],[Pos]]="F", assumptions!$B$14,Table2[[#This Row],[Pos]]="G",assumptions!$B$16)</f>
        <v>21.69207317073171</v>
      </c>
    </row>
    <row r="438" spans="1:13" x14ac:dyDescent="0.3">
      <c r="A438">
        <f>'score estimates'!$A438</f>
        <v>435</v>
      </c>
      <c r="B438" t="str">
        <f>'score estimates'!$B438</f>
        <v>Nicolas Hague</v>
      </c>
      <c r="C438" t="str">
        <f>'score estimates'!$D438</f>
        <v>D</v>
      </c>
      <c r="D438" t="str">
        <f>'score estimates'!$C438</f>
        <v>VGK</v>
      </c>
      <c r="E438" s="75">
        <f>'score estimates'!$F438</f>
        <v>15.987804878048781</v>
      </c>
      <c r="F438" s="71">
        <f>'score estimates'!$G438</f>
        <v>363</v>
      </c>
      <c r="G438" s="71" t="s">
        <v>983</v>
      </c>
      <c r="H438" s="72" cm="1">
        <f t="array" aca="1" ref="H43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38" s="96">
        <f ca="1">IF(Table2[[#This Row],[Team]]="FA",0,Table2[[#This Row],[Pts/G]]*(1-Table2[[#This Row],[% Pos Overlap]]))</f>
        <v>15.987804878048781</v>
      </c>
      <c r="J438" s="72" cm="1">
        <f t="array" aca="1" ref="J438" ca="1">(INDIRECT(ADDRESS((_xlfn.XMATCH(Table2[[#This Row],[Team]],Schedule!$A$1:$A$33)),5,1,1,"Sched Overlap")))</f>
        <v>0.66992266992266991</v>
      </c>
      <c r="K438" s="92" cm="1">
        <f t="array" aca="1" ref="K43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38" s="95">
        <f ca="1">IF(Table2[[#This Row],[Team]]="FA",0,Table2[[#This Row],[Pts/G]]*(Table2[[#This Row],[Games Playable]]/82))</f>
        <v>15.987804878048781</v>
      </c>
      <c r="M438" s="95" cm="1">
        <f t="array" aca="1" ref="M438" ca="1">Table2[[#This Row],[Playable x Score]]*_xlfn.IFS(Table2[[#This Row],[Pos]]="D",assumptions!$B$15,Table2[[#This Row],[Pos]]="F", assumptions!$B$14,Table2[[#This Row],[Pos]]="G",assumptions!$B$16)</f>
        <v>19.984756097560975</v>
      </c>
    </row>
    <row r="439" spans="1:13" x14ac:dyDescent="0.3">
      <c r="A439">
        <f>'score estimates'!$A439</f>
        <v>436</v>
      </c>
      <c r="B439" t="str">
        <f>'score estimates'!$B439</f>
        <v>Zach Whitecloud</v>
      </c>
      <c r="C439" t="str">
        <f>'score estimates'!$D439</f>
        <v>D</v>
      </c>
      <c r="D439" t="str">
        <f>'score estimates'!$C439</f>
        <v>VGK</v>
      </c>
      <c r="E439" s="75">
        <f>'score estimates'!$F439</f>
        <v>16.560975609756099</v>
      </c>
      <c r="F439" s="71">
        <f>'score estimates'!$G439</f>
        <v>340</v>
      </c>
      <c r="G439" s="71" t="s">
        <v>983</v>
      </c>
      <c r="H439" s="72" cm="1">
        <f t="array" aca="1" ref="H43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39" s="96">
        <f ca="1">IF(Table2[[#This Row],[Team]]="FA",0,Table2[[#This Row],[Pts/G]]*(1-Table2[[#This Row],[% Pos Overlap]]))</f>
        <v>16.560975609756099</v>
      </c>
      <c r="J439" s="72" cm="1">
        <f t="array" aca="1" ref="J439" ca="1">(INDIRECT(ADDRESS((_xlfn.XMATCH(Table2[[#This Row],[Team]],Schedule!$A$1:$A$33)),5,1,1,"Sched Overlap")))</f>
        <v>0.66992266992266991</v>
      </c>
      <c r="K439" s="92" cm="1">
        <f t="array" aca="1" ref="K43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39" s="95">
        <f ca="1">IF(Table2[[#This Row],[Team]]="FA",0,Table2[[#This Row],[Pts/G]]*(Table2[[#This Row],[Games Playable]]/82))</f>
        <v>16.560975609756099</v>
      </c>
      <c r="M439" s="95" cm="1">
        <f t="array" aca="1" ref="M439" ca="1">Table2[[#This Row],[Playable x Score]]*_xlfn.IFS(Table2[[#This Row],[Pos]]="D",assumptions!$B$15,Table2[[#This Row],[Pos]]="F", assumptions!$B$14,Table2[[#This Row],[Pos]]="G",assumptions!$B$16)</f>
        <v>20.701219512195124</v>
      </c>
    </row>
    <row r="440" spans="1:13" x14ac:dyDescent="0.3">
      <c r="A440">
        <f>'score estimates'!$A440</f>
        <v>437</v>
      </c>
      <c r="B440" t="str">
        <f>'score estimates'!$B440</f>
        <v>Mario Ferraro</v>
      </c>
      <c r="C440" t="str">
        <f>'score estimates'!$D440</f>
        <v>D</v>
      </c>
      <c r="D440" t="str">
        <f>'score estimates'!$C440</f>
        <v>SJ</v>
      </c>
      <c r="E440" s="75">
        <f>'score estimates'!$F440</f>
        <v>13.74390243902439</v>
      </c>
      <c r="F440" s="71">
        <f>'score estimates'!$G440</f>
        <v>435</v>
      </c>
      <c r="G440" s="71" t="s">
        <v>983</v>
      </c>
      <c r="H440" s="72" cm="1">
        <f t="array" aca="1" ref="H44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40" s="96">
        <f ca="1">IF(Table2[[#This Row],[Team]]="FA",0,Table2[[#This Row],[Pts/G]]*(1-Table2[[#This Row],[% Pos Overlap]]))</f>
        <v>13.74390243902439</v>
      </c>
      <c r="J440" s="72" cm="1">
        <f t="array" aca="1" ref="J440" ca="1">(INDIRECT(ADDRESS((_xlfn.XMATCH(Table2[[#This Row],[Team]],Schedule!$A$1:$A$33)),5,1,1,"Sched Overlap")))</f>
        <v>0.63492063492063477</v>
      </c>
      <c r="K440" s="92" cm="1">
        <f t="array" aca="1" ref="K44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40" s="95">
        <f ca="1">IF(Table2[[#This Row],[Team]]="FA",0,Table2[[#This Row],[Pts/G]]*(Table2[[#This Row],[Games Playable]]/82))</f>
        <v>13.74390243902439</v>
      </c>
      <c r="M440" s="95" cm="1">
        <f t="array" aca="1" ref="M440" ca="1">Table2[[#This Row],[Playable x Score]]*_xlfn.IFS(Table2[[#This Row],[Pos]]="D",assumptions!$B$15,Table2[[#This Row],[Pos]]="F", assumptions!$B$14,Table2[[#This Row],[Pos]]="G",assumptions!$B$16)</f>
        <v>17.179878048780488</v>
      </c>
    </row>
    <row r="441" spans="1:13" x14ac:dyDescent="0.3">
      <c r="A441">
        <f>'score estimates'!$A441</f>
        <v>438</v>
      </c>
      <c r="B441" t="str">
        <f>'score estimates'!$B441</f>
        <v>Morgan Frost</v>
      </c>
      <c r="C441" t="str">
        <f>'score estimates'!$D441</f>
        <v>F</v>
      </c>
      <c r="D441" t="str">
        <f>'score estimates'!$C441</f>
        <v>PHI</v>
      </c>
      <c r="E441" s="75">
        <f>'score estimates'!$F441</f>
        <v>9.3170731707317067</v>
      </c>
      <c r="F441" s="71">
        <f>'score estimates'!$G441</f>
        <v>583</v>
      </c>
      <c r="G441" s="71" t="s">
        <v>983</v>
      </c>
      <c r="H441" s="72" cm="1">
        <f t="array" aca="1" ref="H44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41" s="96">
        <f ca="1">IF(Table2[[#This Row],[Team]]="FA",0,Table2[[#This Row],[Pts/G]]*(1-Table2[[#This Row],[% Pos Overlap]]))</f>
        <v>9.3170731707317067</v>
      </c>
      <c r="J441" s="72" cm="1">
        <f t="array" aca="1" ref="J441" ca="1">(INDIRECT(ADDRESS((_xlfn.XMATCH(Table2[[#This Row],[Team]],Schedule!$A$1:$A$33)),5,1,1,"Sched Overlap")))</f>
        <v>0.66910866910866917</v>
      </c>
      <c r="K441" s="92" cm="1">
        <f t="array" aca="1" ref="K44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41" s="95">
        <f ca="1">IF(Table2[[#This Row],[Team]]="FA",0,Table2[[#This Row],[Pts/G]]*(Table2[[#This Row],[Games Playable]]/82))</f>
        <v>9.3170731707317067</v>
      </c>
      <c r="M441" s="95" cm="1">
        <f t="array" aca="1" ref="M441" ca="1">Table2[[#This Row],[Playable x Score]]*_xlfn.IFS(Table2[[#This Row],[Pos]]="D",assumptions!$B$15,Table2[[#This Row],[Pos]]="F", assumptions!$B$14,Table2[[#This Row],[Pos]]="G",assumptions!$B$16)</f>
        <v>9.3170731707317067</v>
      </c>
    </row>
    <row r="442" spans="1:13" x14ac:dyDescent="0.3">
      <c r="A442">
        <f>'score estimates'!$A442</f>
        <v>439</v>
      </c>
      <c r="B442" t="str">
        <f>'score estimates'!$B442</f>
        <v>Tyson Jost</v>
      </c>
      <c r="C442" t="str">
        <f>'score estimates'!$D442</f>
        <v>F</v>
      </c>
      <c r="D442" t="str">
        <f>'score estimates'!$C442</f>
        <v>MIN</v>
      </c>
      <c r="E442" s="75">
        <f>'score estimates'!$F442</f>
        <v>12.487804878048781</v>
      </c>
      <c r="F442" s="71">
        <f>'score estimates'!$G442</f>
        <v>476</v>
      </c>
      <c r="G442" s="71" t="s">
        <v>983</v>
      </c>
      <c r="H442" s="72" cm="1">
        <f t="array" aca="1" ref="H44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42" s="96">
        <f ca="1">IF(Table2[[#This Row],[Team]]="FA",0,Table2[[#This Row],[Pts/G]]*(1-Table2[[#This Row],[% Pos Overlap]]))</f>
        <v>12.487804878048781</v>
      </c>
      <c r="J442" s="72" cm="1">
        <f t="array" aca="1" ref="J442" ca="1">(INDIRECT(ADDRESS((_xlfn.XMATCH(Table2[[#This Row],[Team]],Schedule!$A$1:$A$33)),5,1,1,"Sched Overlap")))</f>
        <v>0.62108262108262113</v>
      </c>
      <c r="K442" s="92" cm="1">
        <f t="array" aca="1" ref="K44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42" s="95">
        <f ca="1">IF(Table2[[#This Row],[Team]]="FA",0,Table2[[#This Row],[Pts/G]]*(Table2[[#This Row],[Games Playable]]/82))</f>
        <v>12.487804878048781</v>
      </c>
      <c r="M442" s="95" cm="1">
        <f t="array" aca="1" ref="M442" ca="1">Table2[[#This Row],[Playable x Score]]*_xlfn.IFS(Table2[[#This Row],[Pos]]="D",assumptions!$B$15,Table2[[#This Row],[Pos]]="F", assumptions!$B$14,Table2[[#This Row],[Pos]]="G",assumptions!$B$16)</f>
        <v>12.487804878048781</v>
      </c>
    </row>
    <row r="443" spans="1:13" x14ac:dyDescent="0.3">
      <c r="A443">
        <f>'score estimates'!$A443</f>
        <v>440</v>
      </c>
      <c r="B443" t="str">
        <f>'score estimates'!$B443</f>
        <v>Brett Howden</v>
      </c>
      <c r="C443" t="str">
        <f>'score estimates'!$D443</f>
        <v>F</v>
      </c>
      <c r="D443" t="str">
        <f>'score estimates'!$C443</f>
        <v>VGK</v>
      </c>
      <c r="E443" s="75">
        <f>'score estimates'!$F443</f>
        <v>11.451219512195122</v>
      </c>
      <c r="F443" s="71">
        <f>'score estimates'!$G443</f>
        <v>517</v>
      </c>
      <c r="G443" s="71" t="s">
        <v>983</v>
      </c>
      <c r="H443" s="72" cm="1">
        <f t="array" aca="1" ref="H44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43" s="96">
        <f ca="1">IF(Table2[[#This Row],[Team]]="FA",0,Table2[[#This Row],[Pts/G]]*(1-Table2[[#This Row],[% Pos Overlap]]))</f>
        <v>11.451219512195122</v>
      </c>
      <c r="J443" s="72" cm="1">
        <f t="array" aca="1" ref="J443" ca="1">(INDIRECT(ADDRESS((_xlfn.XMATCH(Table2[[#This Row],[Team]],Schedule!$A$1:$A$33)),5,1,1,"Sched Overlap")))</f>
        <v>0.66992266992266991</v>
      </c>
      <c r="K443" s="92" cm="1">
        <f t="array" aca="1" ref="K44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43" s="95">
        <f ca="1">IF(Table2[[#This Row],[Team]]="FA",0,Table2[[#This Row],[Pts/G]]*(Table2[[#This Row],[Games Playable]]/82))</f>
        <v>11.451219512195122</v>
      </c>
      <c r="M443" s="95" cm="1">
        <f t="array" aca="1" ref="M443" ca="1">Table2[[#This Row],[Playable x Score]]*_xlfn.IFS(Table2[[#This Row],[Pos]]="D",assumptions!$B$15,Table2[[#This Row],[Pos]]="F", assumptions!$B$14,Table2[[#This Row],[Pos]]="G",assumptions!$B$16)</f>
        <v>11.451219512195122</v>
      </c>
    </row>
    <row r="444" spans="1:13" x14ac:dyDescent="0.3">
      <c r="A444">
        <f>'score estimates'!$A444</f>
        <v>441</v>
      </c>
      <c r="B444" t="str">
        <f>'score estimates'!$B444</f>
        <v>Noel Acciari</v>
      </c>
      <c r="C444" t="str">
        <f>'score estimates'!$D444</f>
        <v>F</v>
      </c>
      <c r="D444" t="str">
        <f>'score estimates'!$C444</f>
        <v>STL</v>
      </c>
      <c r="E444" s="75">
        <f>'score estimates'!$F444</f>
        <v>13.719512195121951</v>
      </c>
      <c r="F444" s="71">
        <f>'score estimates'!$G444</f>
        <v>436</v>
      </c>
      <c r="G444" s="71" t="s">
        <v>983</v>
      </c>
      <c r="H444" s="72" cm="1">
        <f t="array" aca="1" ref="H44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44" s="96">
        <f ca="1">IF(Table2[[#This Row],[Team]]="FA",0,Table2[[#This Row],[Pts/G]]*(1-Table2[[#This Row],[% Pos Overlap]]))</f>
        <v>13.719512195121951</v>
      </c>
      <c r="J444" s="72" cm="1">
        <f t="array" aca="1" ref="J444" ca="1">(INDIRECT(ADDRESS((_xlfn.XMATCH(Table2[[#This Row],[Team]],Schedule!$A$1:$A$33)),5,1,1,"Sched Overlap")))</f>
        <v>0.65120065120065118</v>
      </c>
      <c r="K444" s="92" cm="1">
        <f t="array" aca="1" ref="K44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44" s="95">
        <f ca="1">IF(Table2[[#This Row],[Team]]="FA",0,Table2[[#This Row],[Pts/G]]*(Table2[[#This Row],[Games Playable]]/82))</f>
        <v>13.719512195121951</v>
      </c>
      <c r="M444" s="95" cm="1">
        <f t="array" aca="1" ref="M444" ca="1">Table2[[#This Row],[Playable x Score]]*_xlfn.IFS(Table2[[#This Row],[Pos]]="D",assumptions!$B$15,Table2[[#This Row],[Pos]]="F", assumptions!$B$14,Table2[[#This Row],[Pos]]="G",assumptions!$B$16)</f>
        <v>13.719512195121951</v>
      </c>
    </row>
    <row r="445" spans="1:13" x14ac:dyDescent="0.3">
      <c r="A445">
        <f>'score estimates'!$A445</f>
        <v>442</v>
      </c>
      <c r="B445" t="str">
        <f>'score estimates'!$B445</f>
        <v>Ben Chiarot</v>
      </c>
      <c r="C445" t="str">
        <f>'score estimates'!$D445</f>
        <v>D</v>
      </c>
      <c r="D445" t="str">
        <f>'score estimates'!$C445</f>
        <v>DET</v>
      </c>
      <c r="E445" s="75">
        <f>'score estimates'!$F445</f>
        <v>14.536585365853659</v>
      </c>
      <c r="F445" s="71">
        <f>'score estimates'!$G445</f>
        <v>404</v>
      </c>
      <c r="G445" s="71" t="s">
        <v>983</v>
      </c>
      <c r="H445" s="72" cm="1">
        <f t="array" aca="1" ref="H44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45" s="96">
        <f ca="1">IF(Table2[[#This Row],[Team]]="FA",0,Table2[[#This Row],[Pts/G]]*(1-Table2[[#This Row],[% Pos Overlap]]))</f>
        <v>14.536585365853659</v>
      </c>
      <c r="J445" s="72" cm="1">
        <f t="array" aca="1" ref="J445" ca="1">(INDIRECT(ADDRESS((_xlfn.XMATCH(Table2[[#This Row],[Team]],Schedule!$A$1:$A$33)),5,1,1,"Sched Overlap")))</f>
        <v>0.64550264550264547</v>
      </c>
      <c r="K445" s="92" cm="1">
        <f t="array" aca="1" ref="K44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45" s="95">
        <f ca="1">IF(Table2[[#This Row],[Team]]="FA",0,Table2[[#This Row],[Pts/G]]*(Table2[[#This Row],[Games Playable]]/82))</f>
        <v>14.536585365853659</v>
      </c>
      <c r="M445" s="95" cm="1">
        <f t="array" aca="1" ref="M445" ca="1">Table2[[#This Row],[Playable x Score]]*_xlfn.IFS(Table2[[#This Row],[Pos]]="D",assumptions!$B$15,Table2[[#This Row],[Pos]]="F", assumptions!$B$14,Table2[[#This Row],[Pos]]="G",assumptions!$B$16)</f>
        <v>18.170731707317074</v>
      </c>
    </row>
    <row r="446" spans="1:13" x14ac:dyDescent="0.3">
      <c r="A446">
        <f>'score estimates'!$A446</f>
        <v>443</v>
      </c>
      <c r="B446" t="str">
        <f>'score estimates'!$B446</f>
        <v>Rasmus Ristolainen</v>
      </c>
      <c r="C446" t="str">
        <f>'score estimates'!$D446</f>
        <v>D</v>
      </c>
      <c r="D446" t="str">
        <f>'score estimates'!$C446</f>
        <v>PHI</v>
      </c>
      <c r="E446" s="75">
        <f>'score estimates'!$F446</f>
        <v>14.658536585365853</v>
      </c>
      <c r="F446" s="71">
        <f>'score estimates'!$G446</f>
        <v>401</v>
      </c>
      <c r="G446" s="71" t="s">
        <v>983</v>
      </c>
      <c r="H446" s="72" cm="1">
        <f t="array" aca="1" ref="H44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46" s="96">
        <f ca="1">IF(Table2[[#This Row],[Team]]="FA",0,Table2[[#This Row],[Pts/G]]*(1-Table2[[#This Row],[% Pos Overlap]]))</f>
        <v>14.658536585365853</v>
      </c>
      <c r="J446" s="72" cm="1">
        <f t="array" aca="1" ref="J446" ca="1">(INDIRECT(ADDRESS((_xlfn.XMATCH(Table2[[#This Row],[Team]],Schedule!$A$1:$A$33)),5,1,1,"Sched Overlap")))</f>
        <v>0.66910866910866917</v>
      </c>
      <c r="K446" s="92" cm="1">
        <f t="array" aca="1" ref="K44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46" s="95">
        <f ca="1">IF(Table2[[#This Row],[Team]]="FA",0,Table2[[#This Row],[Pts/G]]*(Table2[[#This Row],[Games Playable]]/82))</f>
        <v>14.658536585365853</v>
      </c>
      <c r="M446" s="95" cm="1">
        <f t="array" aca="1" ref="M446" ca="1">Table2[[#This Row],[Playable x Score]]*_xlfn.IFS(Table2[[#This Row],[Pos]]="D",assumptions!$B$15,Table2[[#This Row],[Pos]]="F", assumptions!$B$14,Table2[[#This Row],[Pos]]="G",assumptions!$B$16)</f>
        <v>18.323170731707318</v>
      </c>
    </row>
    <row r="447" spans="1:13" x14ac:dyDescent="0.3">
      <c r="A447">
        <f>'score estimates'!$A447</f>
        <v>444</v>
      </c>
      <c r="B447" t="str">
        <f>'score estimates'!$B447</f>
        <v>Sammy Blais</v>
      </c>
      <c r="C447" t="str">
        <f>'score estimates'!$D447</f>
        <v>F</v>
      </c>
      <c r="D447" t="str">
        <f>'score estimates'!$C447</f>
        <v>NYR</v>
      </c>
      <c r="E447" s="75">
        <f>'score estimates'!$F447</f>
        <v>12.951219512195122</v>
      </c>
      <c r="F447" s="71">
        <f>'score estimates'!$G447</f>
        <v>461</v>
      </c>
      <c r="G447" s="71" t="s">
        <v>983</v>
      </c>
      <c r="H447" s="72" cm="1">
        <f t="array" aca="1" ref="H44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47" s="96">
        <f ca="1">IF(Table2[[#This Row],[Team]]="FA",0,Table2[[#This Row],[Pts/G]]*(1-Table2[[#This Row],[% Pos Overlap]]))</f>
        <v>12.951219512195122</v>
      </c>
      <c r="J447" s="72" cm="1">
        <f t="array" aca="1" ref="J447" ca="1">(INDIRECT(ADDRESS((_xlfn.XMATCH(Table2[[#This Row],[Team]],Schedule!$A$1:$A$33)),5,1,1,"Sched Overlap")))</f>
        <v>0.60236060236060229</v>
      </c>
      <c r="K447" s="92" cm="1">
        <f t="array" aca="1" ref="K44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47" s="95">
        <f ca="1">IF(Table2[[#This Row],[Team]]="FA",0,Table2[[#This Row],[Pts/G]]*(Table2[[#This Row],[Games Playable]]/82))</f>
        <v>12.951219512195122</v>
      </c>
      <c r="M447" s="95" cm="1">
        <f t="array" aca="1" ref="M447" ca="1">Table2[[#This Row],[Playable x Score]]*_xlfn.IFS(Table2[[#This Row],[Pos]]="D",assumptions!$B$15,Table2[[#This Row],[Pos]]="F", assumptions!$B$14,Table2[[#This Row],[Pos]]="G",assumptions!$B$16)</f>
        <v>12.951219512195122</v>
      </c>
    </row>
    <row r="448" spans="1:13" x14ac:dyDescent="0.3">
      <c r="A448">
        <f>'score estimates'!$A448</f>
        <v>445</v>
      </c>
      <c r="B448" t="str">
        <f>'score estimates'!$B448</f>
        <v>Erik Gustafsson</v>
      </c>
      <c r="C448" t="str">
        <f>'score estimates'!$D448</f>
        <v>D</v>
      </c>
      <c r="D448" t="str">
        <f>'score estimates'!$C448</f>
        <v>WAS</v>
      </c>
      <c r="E448" s="75">
        <f>'score estimates'!$F448</f>
        <v>10.048780487804878</v>
      </c>
      <c r="F448" s="71">
        <f>'score estimates'!$G448</f>
        <v>561</v>
      </c>
      <c r="G448" s="71" t="s">
        <v>983</v>
      </c>
      <c r="H448" s="72" cm="1">
        <f t="array" aca="1" ref="H44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48" s="96">
        <f ca="1">IF(Table2[[#This Row],[Team]]="FA",0,Table2[[#This Row],[Pts/G]]*(1-Table2[[#This Row],[% Pos Overlap]]))</f>
        <v>10.048780487804878</v>
      </c>
      <c r="J448" s="72" cm="1">
        <f t="array" aca="1" ref="J448" ca="1">(INDIRECT(ADDRESS((_xlfn.XMATCH(Table2[[#This Row],[Team]],Schedule!$A$1:$A$33)),5,1,1,"Sched Overlap")))</f>
        <v>0.65282865282865288</v>
      </c>
      <c r="K448" s="92" cm="1">
        <f t="array" aca="1" ref="K44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48" s="95">
        <f ca="1">IF(Table2[[#This Row],[Team]]="FA",0,Table2[[#This Row],[Pts/G]]*(Table2[[#This Row],[Games Playable]]/82))</f>
        <v>10.048780487804878</v>
      </c>
      <c r="M448" s="95" cm="1">
        <f t="array" aca="1" ref="M448" ca="1">Table2[[#This Row],[Playable x Score]]*_xlfn.IFS(Table2[[#This Row],[Pos]]="D",assumptions!$B$15,Table2[[#This Row],[Pos]]="F", assumptions!$B$14,Table2[[#This Row],[Pos]]="G",assumptions!$B$16)</f>
        <v>12.560975609756097</v>
      </c>
    </row>
    <row r="449" spans="1:13" x14ac:dyDescent="0.3">
      <c r="A449">
        <f>'score estimates'!$A449</f>
        <v>446</v>
      </c>
      <c r="B449" t="str">
        <f>'score estimates'!$B449</f>
        <v>Justin Holl</v>
      </c>
      <c r="C449" t="str">
        <f>'score estimates'!$D449</f>
        <v>D</v>
      </c>
      <c r="D449" t="str">
        <f>'score estimates'!$C449</f>
        <v>TOR</v>
      </c>
      <c r="E449" s="75">
        <f>'score estimates'!$F449</f>
        <v>16.036585365853657</v>
      </c>
      <c r="F449" s="71">
        <f>'score estimates'!$G449</f>
        <v>360</v>
      </c>
      <c r="G449" s="71" t="s">
        <v>983</v>
      </c>
      <c r="H449" s="72" cm="1">
        <f t="array" aca="1" ref="H44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49" s="96">
        <f ca="1">IF(Table2[[#This Row],[Team]]="FA",0,Table2[[#This Row],[Pts/G]]*(1-Table2[[#This Row],[% Pos Overlap]]))</f>
        <v>16.036585365853657</v>
      </c>
      <c r="J449" s="72" cm="1">
        <f t="array" aca="1" ref="J449" ca="1">(INDIRECT(ADDRESS((_xlfn.XMATCH(Table2[[#This Row],[Team]],Schedule!$A$1:$A$33)),5,1,1,"Sched Overlap")))</f>
        <v>0.62922262922262928</v>
      </c>
      <c r="K449" s="92" cm="1">
        <f t="array" aca="1" ref="K44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49" s="95">
        <f ca="1">IF(Table2[[#This Row],[Team]]="FA",0,Table2[[#This Row],[Pts/G]]*(Table2[[#This Row],[Games Playable]]/82))</f>
        <v>16.036585365853657</v>
      </c>
      <c r="M449" s="95" cm="1">
        <f t="array" aca="1" ref="M449" ca="1">Table2[[#This Row],[Playable x Score]]*_xlfn.IFS(Table2[[#This Row],[Pos]]="D",assumptions!$B$15,Table2[[#This Row],[Pos]]="F", assumptions!$B$14,Table2[[#This Row],[Pos]]="G",assumptions!$B$16)</f>
        <v>20.045731707317071</v>
      </c>
    </row>
    <row r="450" spans="1:13" x14ac:dyDescent="0.3">
      <c r="A450">
        <f>'score estimates'!$A450</f>
        <v>447</v>
      </c>
      <c r="B450" t="str">
        <f>'score estimates'!$B450</f>
        <v>Brian Boyle</v>
      </c>
      <c r="C450" t="str">
        <f>'score estimates'!$D450</f>
        <v>F</v>
      </c>
      <c r="D450" t="str">
        <f>'score estimates'!$C450</f>
        <v>FA</v>
      </c>
      <c r="E450" s="75">
        <f>'score estimates'!$F450</f>
        <v>12.060975609756097</v>
      </c>
      <c r="F450" s="71">
        <f>'score estimates'!$G450</f>
        <v>493</v>
      </c>
      <c r="G450" s="71" t="s">
        <v>983</v>
      </c>
      <c r="H450" s="72" t="e" cm="1">
        <f t="array" aca="1" ref="H450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450" s="96">
        <f>IF(Table2[[#This Row],[Team]]="FA",0,Table2[[#This Row],[Pts/G]]*(1-Table2[[#This Row],[% Pos Overlap]]))</f>
        <v>0</v>
      </c>
      <c r="J450" s="72" t="e" cm="1">
        <f t="array" aca="1" ref="J450" ca="1">(INDIRECT(ADDRESS((_xlfn.XMATCH(Table2[[#This Row],[Team]],Schedule!$A$1:$A$33)),5,1,1,"Sched Overlap")))</f>
        <v>#N/A</v>
      </c>
      <c r="K450" s="92" t="e" cm="1">
        <f t="array" aca="1" ref="K450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450" s="95">
        <f>IF(Table2[[#This Row],[Team]]="FA",0,Table2[[#This Row],[Pts/G]]*(Table2[[#This Row],[Games Playable]]/82))</f>
        <v>0</v>
      </c>
      <c r="M450" s="95" cm="1">
        <f t="array" ref="M450">Table2[[#This Row],[Playable x Score]]*_xlfn.IFS(Table2[[#This Row],[Pos]]="D",assumptions!$B$15,Table2[[#This Row],[Pos]]="F", assumptions!$B$14,Table2[[#This Row],[Pos]]="G",assumptions!$B$16)</f>
        <v>0</v>
      </c>
    </row>
    <row r="451" spans="1:13" x14ac:dyDescent="0.3">
      <c r="A451">
        <f>'score estimates'!$A451</f>
        <v>448</v>
      </c>
      <c r="B451" t="str">
        <f>'score estimates'!$B451</f>
        <v>Zack Kassian</v>
      </c>
      <c r="C451" t="str">
        <f>'score estimates'!$D451</f>
        <v>F</v>
      </c>
      <c r="D451" t="str">
        <f>'score estimates'!$C451</f>
        <v>ARI</v>
      </c>
      <c r="E451" s="75">
        <f>'score estimates'!$F451</f>
        <v>12.292682926829269</v>
      </c>
      <c r="F451" s="71">
        <f>'score estimates'!$G451</f>
        <v>482</v>
      </c>
      <c r="G451" s="71" t="s">
        <v>983</v>
      </c>
      <c r="H451" s="72" cm="1">
        <f t="array" aca="1" ref="H45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51" s="96">
        <f ca="1">IF(Table2[[#This Row],[Team]]="FA",0,Table2[[#This Row],[Pts/G]]*(1-Table2[[#This Row],[% Pos Overlap]]))</f>
        <v>12.292682926829269</v>
      </c>
      <c r="J451" s="72" cm="1">
        <f t="array" aca="1" ref="J451" ca="1">(INDIRECT(ADDRESS((_xlfn.XMATCH(Table2[[#This Row],[Team]],Schedule!$A$1:$A$33)),5,1,1,"Sched Overlap")))</f>
        <v>0.63247863247863279</v>
      </c>
      <c r="K451" s="92" cm="1">
        <f t="array" aca="1" ref="K45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51" s="95">
        <f ca="1">IF(Table2[[#This Row],[Team]]="FA",0,Table2[[#This Row],[Pts/G]]*(Table2[[#This Row],[Games Playable]]/82))</f>
        <v>12.292682926829269</v>
      </c>
      <c r="M451" s="95" cm="1">
        <f t="array" aca="1" ref="M451" ca="1">Table2[[#This Row],[Playable x Score]]*_xlfn.IFS(Table2[[#This Row],[Pos]]="D",assumptions!$B$15,Table2[[#This Row],[Pos]]="F", assumptions!$B$14,Table2[[#This Row],[Pos]]="G",assumptions!$B$16)</f>
        <v>12.292682926829269</v>
      </c>
    </row>
    <row r="452" spans="1:13" x14ac:dyDescent="0.3">
      <c r="A452">
        <f>'score estimates'!$A452</f>
        <v>449</v>
      </c>
      <c r="B452" t="str">
        <f>'score estimates'!$B452</f>
        <v>Max Pacioretty</v>
      </c>
      <c r="C452" t="str">
        <f>'score estimates'!$D452</f>
        <v>F</v>
      </c>
      <c r="D452" t="str">
        <f>'score estimates'!$C452</f>
        <v>CAR</v>
      </c>
      <c r="E452" s="75">
        <f>'score estimates'!$F452</f>
        <v>10.597560975609756</v>
      </c>
      <c r="F452" s="71">
        <f>'score estimates'!$G452</f>
        <v>541</v>
      </c>
      <c r="G452" s="71" t="s">
        <v>983</v>
      </c>
      <c r="H452" s="72" cm="1">
        <f t="array" aca="1" ref="H45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52" s="96">
        <f ca="1">IF(Table2[[#This Row],[Team]]="FA",0,Table2[[#This Row],[Pts/G]]*(1-Table2[[#This Row],[% Pos Overlap]]))</f>
        <v>10.597560975609756</v>
      </c>
      <c r="J452" s="72" cm="1">
        <f t="array" aca="1" ref="J452" ca="1">(INDIRECT(ADDRESS((_xlfn.XMATCH(Table2[[#This Row],[Team]],Schedule!$A$1:$A$33)),5,1,1,"Sched Overlap")))</f>
        <v>0.63247863247863245</v>
      </c>
      <c r="K452" s="92" cm="1">
        <f t="array" aca="1" ref="K45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52" s="95">
        <f ca="1">IF(Table2[[#This Row],[Team]]="FA",0,Table2[[#This Row],[Pts/G]]*(Table2[[#This Row],[Games Playable]]/82))</f>
        <v>10.597560975609756</v>
      </c>
      <c r="M452" s="95" cm="1">
        <f t="array" aca="1" ref="M452" ca="1">Table2[[#This Row],[Playable x Score]]*_xlfn.IFS(Table2[[#This Row],[Pos]]="D",assumptions!$B$15,Table2[[#This Row],[Pos]]="F", assumptions!$B$14,Table2[[#This Row],[Pos]]="G",assumptions!$B$16)</f>
        <v>10.597560975609756</v>
      </c>
    </row>
    <row r="453" spans="1:13" x14ac:dyDescent="0.3">
      <c r="A453">
        <f>'score estimates'!$A453</f>
        <v>450</v>
      </c>
      <c r="B453" t="str">
        <f>'score estimates'!$B453</f>
        <v>Tyler Myers</v>
      </c>
      <c r="C453" t="str">
        <f>'score estimates'!$D453</f>
        <v>D</v>
      </c>
      <c r="D453" t="str">
        <f>'score estimates'!$C453</f>
        <v>VAN</v>
      </c>
      <c r="E453" s="75">
        <f>'score estimates'!$F453</f>
        <v>18.23170731707317</v>
      </c>
      <c r="F453" s="71">
        <f>'score estimates'!$G453</f>
        <v>292</v>
      </c>
      <c r="G453" s="71" t="s">
        <v>983</v>
      </c>
      <c r="H453" s="72" cm="1">
        <f t="array" aca="1" ref="H45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53" s="96">
        <f ca="1">IF(Table2[[#This Row],[Team]]="FA",0,Table2[[#This Row],[Pts/G]]*(1-Table2[[#This Row],[% Pos Overlap]]))</f>
        <v>18.23170731707317</v>
      </c>
      <c r="J453" s="72" cm="1">
        <f t="array" aca="1" ref="J453" ca="1">(INDIRECT(ADDRESS((_xlfn.XMATCH(Table2[[#This Row],[Team]],Schedule!$A$1:$A$33)),5,1,1,"Sched Overlap")))</f>
        <v>0.62922262922262917</v>
      </c>
      <c r="K453" s="92" cm="1">
        <f t="array" aca="1" ref="K45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53" s="95">
        <f ca="1">IF(Table2[[#This Row],[Team]]="FA",0,Table2[[#This Row],[Pts/G]]*(Table2[[#This Row],[Games Playable]]/82))</f>
        <v>18.23170731707317</v>
      </c>
      <c r="M453" s="95" cm="1">
        <f t="array" aca="1" ref="M453" ca="1">Table2[[#This Row],[Playable x Score]]*_xlfn.IFS(Table2[[#This Row],[Pos]]="D",assumptions!$B$15,Table2[[#This Row],[Pos]]="F", assumptions!$B$14,Table2[[#This Row],[Pos]]="G",assumptions!$B$16)</f>
        <v>22.789634146341463</v>
      </c>
    </row>
    <row r="454" spans="1:13" x14ac:dyDescent="0.3">
      <c r="A454">
        <f>'score estimates'!$A454</f>
        <v>451</v>
      </c>
      <c r="B454" t="str">
        <f>'score estimates'!$B454</f>
        <v>Marcus Pettersson</v>
      </c>
      <c r="C454" t="str">
        <f>'score estimates'!$D454</f>
        <v>D</v>
      </c>
      <c r="D454" t="str">
        <f>'score estimates'!$C454</f>
        <v>PIT</v>
      </c>
      <c r="E454" s="75">
        <f>'score estimates'!$F454</f>
        <v>13.402439024390244</v>
      </c>
      <c r="F454" s="71">
        <f>'score estimates'!$G454</f>
        <v>452</v>
      </c>
      <c r="G454" s="71" t="s">
        <v>983</v>
      </c>
      <c r="H454" s="72" cm="1">
        <f t="array" aca="1" ref="H45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54" s="96">
        <f ca="1">IF(Table2[[#This Row],[Team]]="FA",0,Table2[[#This Row],[Pts/G]]*(1-Table2[[#This Row],[% Pos Overlap]]))</f>
        <v>13.402439024390244</v>
      </c>
      <c r="J454" s="72" cm="1">
        <f t="array" aca="1" ref="J454" ca="1">(INDIRECT(ADDRESS((_xlfn.XMATCH(Table2[[#This Row],[Team]],Schedule!$A$1:$A$33)),5,1,1,"Sched Overlap")))</f>
        <v>0.63492063492063477</v>
      </c>
      <c r="K454" s="92" cm="1">
        <f t="array" aca="1" ref="K45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54" s="95">
        <f ca="1">IF(Table2[[#This Row],[Team]]="FA",0,Table2[[#This Row],[Pts/G]]*(Table2[[#This Row],[Games Playable]]/82))</f>
        <v>13.402439024390244</v>
      </c>
      <c r="M454" s="95" cm="1">
        <f t="array" aca="1" ref="M454" ca="1">Table2[[#This Row],[Playable x Score]]*_xlfn.IFS(Table2[[#This Row],[Pos]]="D",assumptions!$B$15,Table2[[#This Row],[Pos]]="F", assumptions!$B$14,Table2[[#This Row],[Pos]]="G",assumptions!$B$16)</f>
        <v>16.753048780487806</v>
      </c>
    </row>
    <row r="455" spans="1:13" x14ac:dyDescent="0.3">
      <c r="A455">
        <f>'score estimates'!$A455</f>
        <v>452</v>
      </c>
      <c r="B455" t="str">
        <f>'score estimates'!$B455</f>
        <v>Zemgus Girgensons</v>
      </c>
      <c r="C455" t="str">
        <f>'score estimates'!$D455</f>
        <v>F</v>
      </c>
      <c r="D455" t="str">
        <f>'score estimates'!$C455</f>
        <v>BUF</v>
      </c>
      <c r="E455" s="75">
        <f>'score estimates'!$F455</f>
        <v>11.134146341463415</v>
      </c>
      <c r="F455" s="71">
        <f>'score estimates'!$G455</f>
        <v>526</v>
      </c>
      <c r="G455" s="71" t="s">
        <v>983</v>
      </c>
      <c r="H455" s="72" cm="1">
        <f t="array" aca="1" ref="H45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55" s="96">
        <f ca="1">IF(Table2[[#This Row],[Team]]="FA",0,Table2[[#This Row],[Pts/G]]*(1-Table2[[#This Row],[% Pos Overlap]]))</f>
        <v>11.134146341463415</v>
      </c>
      <c r="J455" s="72" cm="1">
        <f t="array" aca="1" ref="J455" ca="1">(INDIRECT(ADDRESS((_xlfn.XMATCH(Table2[[#This Row],[Team]],Schedule!$A$1:$A$33)),5,1,1,"Sched Overlap")))</f>
        <v>0.63573463573463573</v>
      </c>
      <c r="K455" s="92" cm="1">
        <f t="array" aca="1" ref="K45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55" s="95">
        <f ca="1">IF(Table2[[#This Row],[Team]]="FA",0,Table2[[#This Row],[Pts/G]]*(Table2[[#This Row],[Games Playable]]/82))</f>
        <v>11.134146341463415</v>
      </c>
      <c r="M455" s="95" cm="1">
        <f t="array" aca="1" ref="M455" ca="1">Table2[[#This Row],[Playable x Score]]*_xlfn.IFS(Table2[[#This Row],[Pos]]="D",assumptions!$B$15,Table2[[#This Row],[Pos]]="F", assumptions!$B$14,Table2[[#This Row],[Pos]]="G",assumptions!$B$16)</f>
        <v>11.134146341463415</v>
      </c>
    </row>
    <row r="456" spans="1:13" x14ac:dyDescent="0.3">
      <c r="A456">
        <f>'score estimates'!$A456</f>
        <v>453</v>
      </c>
      <c r="B456" t="str">
        <f>'score estimates'!$B456</f>
        <v>Josh Manson</v>
      </c>
      <c r="C456" t="str">
        <f>'score estimates'!$D456</f>
        <v>D</v>
      </c>
      <c r="D456" t="str">
        <f>'score estimates'!$C456</f>
        <v>COL</v>
      </c>
      <c r="E456" s="75">
        <f>'score estimates'!$F456</f>
        <v>16.207317073170731</v>
      </c>
      <c r="F456" s="71">
        <f>'score estimates'!$G456</f>
        <v>353</v>
      </c>
      <c r="G456" s="71" t="s">
        <v>983</v>
      </c>
      <c r="H456" s="72" cm="1">
        <f t="array" aca="1" ref="H45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56" s="96">
        <f ca="1">IF(Table2[[#This Row],[Team]]="FA",0,Table2[[#This Row],[Pts/G]]*(1-Table2[[#This Row],[% Pos Overlap]]))</f>
        <v>16.207317073170731</v>
      </c>
      <c r="J456" s="72" cm="1">
        <f t="array" aca="1" ref="J456" ca="1">(INDIRECT(ADDRESS((_xlfn.XMATCH(Table2[[#This Row],[Team]],Schedule!$A$1:$A$33)),5,1,1,"Sched Overlap")))</f>
        <v>0.61131461131461151</v>
      </c>
      <c r="K456" s="92" cm="1">
        <f t="array" aca="1" ref="K45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56" s="95">
        <f ca="1">IF(Table2[[#This Row],[Team]]="FA",0,Table2[[#This Row],[Pts/G]]*(Table2[[#This Row],[Games Playable]]/82))</f>
        <v>16.207317073170731</v>
      </c>
      <c r="M456" s="95" cm="1">
        <f t="array" aca="1" ref="M456" ca="1">Table2[[#This Row],[Playable x Score]]*_xlfn.IFS(Table2[[#This Row],[Pos]]="D",assumptions!$B$15,Table2[[#This Row],[Pos]]="F", assumptions!$B$14,Table2[[#This Row],[Pos]]="G",assumptions!$B$16)</f>
        <v>20.259146341463413</v>
      </c>
    </row>
    <row r="457" spans="1:13" x14ac:dyDescent="0.3">
      <c r="A457">
        <f>'score estimates'!$A457</f>
        <v>454</v>
      </c>
      <c r="B457" t="str">
        <f>'score estimates'!$B457</f>
        <v>Nick Jensen</v>
      </c>
      <c r="C457" t="str">
        <f>'score estimates'!$D457</f>
        <v>D</v>
      </c>
      <c r="D457" t="str">
        <f>'score estimates'!$C457</f>
        <v>WAS</v>
      </c>
      <c r="E457" s="75">
        <f>'score estimates'!$F457</f>
        <v>15.524390243902438</v>
      </c>
      <c r="F457" s="71">
        <f>'score estimates'!$G457</f>
        <v>375</v>
      </c>
      <c r="G457" s="71" t="s">
        <v>983</v>
      </c>
      <c r="H457" s="72" cm="1">
        <f t="array" aca="1" ref="H45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57" s="96">
        <f ca="1">IF(Table2[[#This Row],[Team]]="FA",0,Table2[[#This Row],[Pts/G]]*(1-Table2[[#This Row],[% Pos Overlap]]))</f>
        <v>15.524390243902438</v>
      </c>
      <c r="J457" s="72" cm="1">
        <f t="array" aca="1" ref="J457" ca="1">(INDIRECT(ADDRESS((_xlfn.XMATCH(Table2[[#This Row],[Team]],Schedule!$A$1:$A$33)),5,1,1,"Sched Overlap")))</f>
        <v>0.65282865282865288</v>
      </c>
      <c r="K457" s="92" cm="1">
        <f t="array" aca="1" ref="K45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57" s="95">
        <f ca="1">IF(Table2[[#This Row],[Team]]="FA",0,Table2[[#This Row],[Pts/G]]*(Table2[[#This Row],[Games Playable]]/82))</f>
        <v>15.524390243902438</v>
      </c>
      <c r="M457" s="95" cm="1">
        <f t="array" aca="1" ref="M457" ca="1">Table2[[#This Row],[Playable x Score]]*_xlfn.IFS(Table2[[#This Row],[Pos]]="D",assumptions!$B$15,Table2[[#This Row],[Pos]]="F", assumptions!$B$14,Table2[[#This Row],[Pos]]="G",assumptions!$B$16)</f>
        <v>19.405487804878049</v>
      </c>
    </row>
    <row r="458" spans="1:13" x14ac:dyDescent="0.3">
      <c r="A458">
        <f>'score estimates'!$A458</f>
        <v>455</v>
      </c>
      <c r="B458" t="str">
        <f>'score estimates'!$B458</f>
        <v>Parker Kelly</v>
      </c>
      <c r="C458" t="str">
        <f>'score estimates'!$D458</f>
        <v>F</v>
      </c>
      <c r="D458" t="str">
        <f>'score estimates'!$C458</f>
        <v>OTT</v>
      </c>
      <c r="E458" s="75">
        <f>'score estimates'!$F458</f>
        <v>15.951219512195122</v>
      </c>
      <c r="F458" s="71">
        <f>'score estimates'!$G458</f>
        <v>365</v>
      </c>
      <c r="G458" s="71" t="s">
        <v>983</v>
      </c>
      <c r="H458" s="72" cm="1">
        <f t="array" aca="1" ref="H45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58" s="96">
        <f ca="1">IF(Table2[[#This Row],[Team]]="FA",0,Table2[[#This Row],[Pts/G]]*(1-Table2[[#This Row],[% Pos Overlap]]))</f>
        <v>15.951219512195122</v>
      </c>
      <c r="J458" s="72" cm="1">
        <f t="array" aca="1" ref="J458" ca="1">(INDIRECT(ADDRESS((_xlfn.XMATCH(Table2[[#This Row],[Team]],Schedule!$A$1:$A$33)),5,1,1,"Sched Overlap")))</f>
        <v>0.64306064306064303</v>
      </c>
      <c r="K458" s="92" cm="1">
        <f t="array" aca="1" ref="K45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58" s="95">
        <f ca="1">IF(Table2[[#This Row],[Team]]="FA",0,Table2[[#This Row],[Pts/G]]*(Table2[[#This Row],[Games Playable]]/82))</f>
        <v>15.951219512195122</v>
      </c>
      <c r="M458" s="95" cm="1">
        <f t="array" aca="1" ref="M458" ca="1">Table2[[#This Row],[Playable x Score]]*_xlfn.IFS(Table2[[#This Row],[Pos]]="D",assumptions!$B$15,Table2[[#This Row],[Pos]]="F", assumptions!$B$14,Table2[[#This Row],[Pos]]="G",assumptions!$B$16)</f>
        <v>15.951219512195122</v>
      </c>
    </row>
    <row r="459" spans="1:13" x14ac:dyDescent="0.3">
      <c r="A459">
        <f>'score estimates'!$A459</f>
        <v>456</v>
      </c>
      <c r="B459" t="str">
        <f>'score estimates'!$B459</f>
        <v>Shane Pinto</v>
      </c>
      <c r="C459" t="str">
        <f>'score estimates'!$D459</f>
        <v>F</v>
      </c>
      <c r="D459" t="str">
        <f>'score estimates'!$C459</f>
        <v>OTT</v>
      </c>
      <c r="E459" s="75">
        <f>'score estimates'!$F459</f>
        <v>10.682926829268293</v>
      </c>
      <c r="F459" s="71">
        <f>'score estimates'!$G459</f>
        <v>538</v>
      </c>
      <c r="G459" s="71" t="s">
        <v>983</v>
      </c>
      <c r="H459" s="72" cm="1">
        <f t="array" aca="1" ref="H45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59" s="96">
        <f ca="1">IF(Table2[[#This Row],[Team]]="FA",0,Table2[[#This Row],[Pts/G]]*(1-Table2[[#This Row],[% Pos Overlap]]))</f>
        <v>10.682926829268293</v>
      </c>
      <c r="J459" s="72" cm="1">
        <f t="array" aca="1" ref="J459" ca="1">(INDIRECT(ADDRESS((_xlfn.XMATCH(Table2[[#This Row],[Team]],Schedule!$A$1:$A$33)),5,1,1,"Sched Overlap")))</f>
        <v>0.64306064306064303</v>
      </c>
      <c r="K459" s="92" cm="1">
        <f t="array" aca="1" ref="K45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59" s="95">
        <f ca="1">IF(Table2[[#This Row],[Team]]="FA",0,Table2[[#This Row],[Pts/G]]*(Table2[[#This Row],[Games Playable]]/82))</f>
        <v>10.682926829268293</v>
      </c>
      <c r="M459" s="95" cm="1">
        <f t="array" aca="1" ref="M459" ca="1">Table2[[#This Row],[Playable x Score]]*_xlfn.IFS(Table2[[#This Row],[Pos]]="D",assumptions!$B$15,Table2[[#This Row],[Pos]]="F", assumptions!$B$14,Table2[[#This Row],[Pos]]="G",assumptions!$B$16)</f>
        <v>10.682926829268293</v>
      </c>
    </row>
    <row r="460" spans="1:13" x14ac:dyDescent="0.3">
      <c r="A460">
        <f>'score estimates'!$A460</f>
        <v>457</v>
      </c>
      <c r="B460" t="str">
        <f>'score estimates'!$B460</f>
        <v>Jack McBain</v>
      </c>
      <c r="C460" t="str">
        <f>'score estimates'!$D460</f>
        <v>F</v>
      </c>
      <c r="D460" t="str">
        <f>'score estimates'!$C460</f>
        <v>ARI</v>
      </c>
      <c r="E460" s="75">
        <f>'score estimates'!$F460</f>
        <v>10.621951219512194</v>
      </c>
      <c r="F460" s="71">
        <f>'score estimates'!$G460</f>
        <v>539</v>
      </c>
      <c r="G460" s="71" t="s">
        <v>983</v>
      </c>
      <c r="H460" s="72" cm="1">
        <f t="array" aca="1" ref="H46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60" s="96">
        <f ca="1">IF(Table2[[#This Row],[Team]]="FA",0,Table2[[#This Row],[Pts/G]]*(1-Table2[[#This Row],[% Pos Overlap]]))</f>
        <v>10.621951219512194</v>
      </c>
      <c r="J460" s="72" cm="1">
        <f t="array" aca="1" ref="J460" ca="1">(INDIRECT(ADDRESS((_xlfn.XMATCH(Table2[[#This Row],[Team]],Schedule!$A$1:$A$33)),5,1,1,"Sched Overlap")))</f>
        <v>0.63247863247863279</v>
      </c>
      <c r="K460" s="92" cm="1">
        <f t="array" aca="1" ref="K46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60" s="95">
        <f ca="1">IF(Table2[[#This Row],[Team]]="FA",0,Table2[[#This Row],[Pts/G]]*(Table2[[#This Row],[Games Playable]]/82))</f>
        <v>10.621951219512194</v>
      </c>
      <c r="M460" s="95" cm="1">
        <f t="array" aca="1" ref="M460" ca="1">Table2[[#This Row],[Playable x Score]]*_xlfn.IFS(Table2[[#This Row],[Pos]]="D",assumptions!$B$15,Table2[[#This Row],[Pos]]="F", assumptions!$B$14,Table2[[#This Row],[Pos]]="G",assumptions!$B$16)</f>
        <v>10.621951219512194</v>
      </c>
    </row>
    <row r="461" spans="1:13" x14ac:dyDescent="0.3">
      <c r="A461">
        <f>'score estimates'!$A461</f>
        <v>458</v>
      </c>
      <c r="B461" t="str">
        <f>'score estimates'!$B461</f>
        <v>Martin Fehervary</v>
      </c>
      <c r="C461" t="str">
        <f>'score estimates'!$D461</f>
        <v>D</v>
      </c>
      <c r="D461" t="str">
        <f>'score estimates'!$C461</f>
        <v>WAS</v>
      </c>
      <c r="E461" s="75">
        <f>'score estimates'!$F461</f>
        <v>17.378048780487806</v>
      </c>
      <c r="F461" s="71">
        <f>'score estimates'!$G461</f>
        <v>319</v>
      </c>
      <c r="G461" s="71" t="s">
        <v>983</v>
      </c>
      <c r="H461" s="72" cm="1">
        <f t="array" aca="1" ref="H46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61" s="96">
        <f ca="1">IF(Table2[[#This Row],[Team]]="FA",0,Table2[[#This Row],[Pts/G]]*(1-Table2[[#This Row],[% Pos Overlap]]))</f>
        <v>17.378048780487806</v>
      </c>
      <c r="J461" s="72" cm="1">
        <f t="array" aca="1" ref="J461" ca="1">(INDIRECT(ADDRESS((_xlfn.XMATCH(Table2[[#This Row],[Team]],Schedule!$A$1:$A$33)),5,1,1,"Sched Overlap")))</f>
        <v>0.65282865282865288</v>
      </c>
      <c r="K461" s="92" cm="1">
        <f t="array" aca="1" ref="K46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61" s="95">
        <f ca="1">IF(Table2[[#This Row],[Team]]="FA",0,Table2[[#This Row],[Pts/G]]*(Table2[[#This Row],[Games Playable]]/82))</f>
        <v>17.378048780487806</v>
      </c>
      <c r="M461" s="95" cm="1">
        <f t="array" aca="1" ref="M461" ca="1">Table2[[#This Row],[Playable x Score]]*_xlfn.IFS(Table2[[#This Row],[Pos]]="D",assumptions!$B$15,Table2[[#This Row],[Pos]]="F", assumptions!$B$14,Table2[[#This Row],[Pos]]="G",assumptions!$B$16)</f>
        <v>21.722560975609756</v>
      </c>
    </row>
    <row r="462" spans="1:13" x14ac:dyDescent="0.3">
      <c r="A462">
        <f>'score estimates'!$A462</f>
        <v>459</v>
      </c>
      <c r="B462" t="str">
        <f>'score estimates'!$B462</f>
        <v>Dylan Holloway</v>
      </c>
      <c r="C462" t="str">
        <f>'score estimates'!$D462</f>
        <v>F</v>
      </c>
      <c r="D462" t="str">
        <f>'score estimates'!$C462</f>
        <v>EDM</v>
      </c>
      <c r="E462" s="75">
        <f>'score estimates'!$F462</f>
        <v>10.158536585365853</v>
      </c>
      <c r="F462" s="71">
        <f>'score estimates'!$G462</f>
        <v>557</v>
      </c>
      <c r="G462" s="71" t="s">
        <v>983</v>
      </c>
      <c r="H462" s="72" cm="1">
        <f t="array" aca="1" ref="H46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62" s="96">
        <f ca="1">IF(Table2[[#This Row],[Team]]="FA",0,Table2[[#This Row],[Pts/G]]*(1-Table2[[#This Row],[% Pos Overlap]]))</f>
        <v>10.158536585365853</v>
      </c>
      <c r="J462" s="72" cm="1">
        <f t="array" aca="1" ref="J462" ca="1">(INDIRECT(ADDRESS((_xlfn.XMATCH(Table2[[#This Row],[Team]],Schedule!$A$1:$A$33)),5,1,1,"Sched Overlap")))</f>
        <v>0.62026862026862029</v>
      </c>
      <c r="K462" s="92" cm="1">
        <f t="array" aca="1" ref="K46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62" s="95">
        <f ca="1">IF(Table2[[#This Row],[Team]]="FA",0,Table2[[#This Row],[Pts/G]]*(Table2[[#This Row],[Games Playable]]/82))</f>
        <v>10.158536585365853</v>
      </c>
      <c r="M462" s="95" cm="1">
        <f t="array" aca="1" ref="M462" ca="1">Table2[[#This Row],[Playable x Score]]*_xlfn.IFS(Table2[[#This Row],[Pos]]="D",assumptions!$B$15,Table2[[#This Row],[Pos]]="F", assumptions!$B$14,Table2[[#This Row],[Pos]]="G",assumptions!$B$16)</f>
        <v>10.158536585365853</v>
      </c>
    </row>
    <row r="463" spans="1:13" x14ac:dyDescent="0.3">
      <c r="A463">
        <f>'score estimates'!$A463</f>
        <v>460</v>
      </c>
      <c r="B463" t="str">
        <f>'score estimates'!$B463</f>
        <v>Braden Schneider</v>
      </c>
      <c r="C463" t="str">
        <f>'score estimates'!$D463</f>
        <v>D</v>
      </c>
      <c r="D463" t="str">
        <f>'score estimates'!$C463</f>
        <v>NYR</v>
      </c>
      <c r="E463" s="75">
        <f>'score estimates'!$F463</f>
        <v>11.768292682926829</v>
      </c>
      <c r="F463" s="71">
        <f>'score estimates'!$G463</f>
        <v>504</v>
      </c>
      <c r="G463" s="71" t="s">
        <v>983</v>
      </c>
      <c r="H463" s="72" cm="1">
        <f t="array" aca="1" ref="H46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63" s="96">
        <f ca="1">IF(Table2[[#This Row],[Team]]="FA",0,Table2[[#This Row],[Pts/G]]*(1-Table2[[#This Row],[% Pos Overlap]]))</f>
        <v>11.768292682926829</v>
      </c>
      <c r="J463" s="72" cm="1">
        <f t="array" aca="1" ref="J463" ca="1">(INDIRECT(ADDRESS((_xlfn.XMATCH(Table2[[#This Row],[Team]],Schedule!$A$1:$A$33)),5,1,1,"Sched Overlap")))</f>
        <v>0.60236060236060229</v>
      </c>
      <c r="K463" s="92" cm="1">
        <f t="array" aca="1" ref="K46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63" s="95">
        <f ca="1">IF(Table2[[#This Row],[Team]]="FA",0,Table2[[#This Row],[Pts/G]]*(Table2[[#This Row],[Games Playable]]/82))</f>
        <v>11.768292682926829</v>
      </c>
      <c r="M463" s="95" cm="1">
        <f t="array" aca="1" ref="M463" ca="1">Table2[[#This Row],[Playable x Score]]*_xlfn.IFS(Table2[[#This Row],[Pos]]="D",assumptions!$B$15,Table2[[#This Row],[Pos]]="F", assumptions!$B$14,Table2[[#This Row],[Pos]]="G",assumptions!$B$16)</f>
        <v>14.710365853658535</v>
      </c>
    </row>
    <row r="464" spans="1:13" x14ac:dyDescent="0.3">
      <c r="A464">
        <f>'score estimates'!$A464</f>
        <v>461</v>
      </c>
      <c r="B464" t="str">
        <f>'score estimates'!$B464</f>
        <v>Ben Meyers</v>
      </c>
      <c r="C464" t="str">
        <f>'score estimates'!$D464</f>
        <v>F</v>
      </c>
      <c r="D464" t="str">
        <f>'score estimates'!$C464</f>
        <v>COL</v>
      </c>
      <c r="E464" s="75">
        <f>'score estimates'!$F464</f>
        <v>8.7195121951219505</v>
      </c>
      <c r="F464" s="71">
        <f>'score estimates'!$G464</f>
        <v>601</v>
      </c>
      <c r="G464" s="71" t="s">
        <v>983</v>
      </c>
      <c r="H464" s="72" cm="1">
        <f t="array" aca="1" ref="H46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64" s="96">
        <f ca="1">IF(Table2[[#This Row],[Team]]="FA",0,Table2[[#This Row],[Pts/G]]*(1-Table2[[#This Row],[% Pos Overlap]]))</f>
        <v>8.7195121951219505</v>
      </c>
      <c r="J464" s="72" cm="1">
        <f t="array" aca="1" ref="J464" ca="1">(INDIRECT(ADDRESS((_xlfn.XMATCH(Table2[[#This Row],[Team]],Schedule!$A$1:$A$33)),5,1,1,"Sched Overlap")))</f>
        <v>0.61131461131461151</v>
      </c>
      <c r="K464" s="92" cm="1">
        <f t="array" aca="1" ref="K46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64" s="95">
        <f ca="1">IF(Table2[[#This Row],[Team]]="FA",0,Table2[[#This Row],[Pts/G]]*(Table2[[#This Row],[Games Playable]]/82))</f>
        <v>8.7195121951219505</v>
      </c>
      <c r="M464" s="95" cm="1">
        <f t="array" aca="1" ref="M464" ca="1">Table2[[#This Row],[Playable x Score]]*_xlfn.IFS(Table2[[#This Row],[Pos]]="D",assumptions!$B$15,Table2[[#This Row],[Pos]]="F", assumptions!$B$14,Table2[[#This Row],[Pos]]="G",assumptions!$B$16)</f>
        <v>8.7195121951219505</v>
      </c>
    </row>
    <row r="465" spans="1:13" x14ac:dyDescent="0.3">
      <c r="A465">
        <f>'score estimates'!$A465</f>
        <v>462</v>
      </c>
      <c r="B465" t="str">
        <f>'score estimates'!$B465</f>
        <v>Nico Sturm</v>
      </c>
      <c r="C465" t="str">
        <f>'score estimates'!$D465</f>
        <v>F</v>
      </c>
      <c r="D465" t="str">
        <f>'score estimates'!$C465</f>
        <v>SJ</v>
      </c>
      <c r="E465" s="75">
        <f>'score estimates'!$F465</f>
        <v>10.524390243902438</v>
      </c>
      <c r="F465" s="71">
        <f>'score estimates'!$G465</f>
        <v>546</v>
      </c>
      <c r="G465" s="71" t="s">
        <v>983</v>
      </c>
      <c r="H465" s="72" cm="1">
        <f t="array" aca="1" ref="H46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65" s="96">
        <f ca="1">IF(Table2[[#This Row],[Team]]="FA",0,Table2[[#This Row],[Pts/G]]*(1-Table2[[#This Row],[% Pos Overlap]]))</f>
        <v>10.524390243902438</v>
      </c>
      <c r="J465" s="72" cm="1">
        <f t="array" aca="1" ref="J465" ca="1">(INDIRECT(ADDRESS((_xlfn.XMATCH(Table2[[#This Row],[Team]],Schedule!$A$1:$A$33)),5,1,1,"Sched Overlap")))</f>
        <v>0.63492063492063477</v>
      </c>
      <c r="K465" s="92" cm="1">
        <f t="array" aca="1" ref="K46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65" s="95">
        <f ca="1">IF(Table2[[#This Row],[Team]]="FA",0,Table2[[#This Row],[Pts/G]]*(Table2[[#This Row],[Games Playable]]/82))</f>
        <v>10.524390243902438</v>
      </c>
      <c r="M465" s="95" cm="1">
        <f t="array" aca="1" ref="M465" ca="1">Table2[[#This Row],[Playable x Score]]*_xlfn.IFS(Table2[[#This Row],[Pos]]="D",assumptions!$B$15,Table2[[#This Row],[Pos]]="F", assumptions!$B$14,Table2[[#This Row],[Pos]]="G",assumptions!$B$16)</f>
        <v>10.524390243902438</v>
      </c>
    </row>
    <row r="466" spans="1:13" x14ac:dyDescent="0.3">
      <c r="A466">
        <f>'score estimates'!$A466</f>
        <v>463</v>
      </c>
      <c r="B466" t="str">
        <f>'score estimates'!$B466</f>
        <v>Erik Brannstrom</v>
      </c>
      <c r="C466" t="str">
        <f>'score estimates'!$D466</f>
        <v>D</v>
      </c>
      <c r="D466" t="str">
        <f>'score estimates'!$C466</f>
        <v>OTT</v>
      </c>
      <c r="E466" s="75">
        <f>'score estimates'!$F466</f>
        <v>10.134146341463415</v>
      </c>
      <c r="F466" s="71">
        <f>'score estimates'!$G466</f>
        <v>560</v>
      </c>
      <c r="G466" s="71" t="s">
        <v>983</v>
      </c>
      <c r="H466" s="72" cm="1">
        <f t="array" aca="1" ref="H46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66" s="96">
        <f ca="1">IF(Table2[[#This Row],[Team]]="FA",0,Table2[[#This Row],[Pts/G]]*(1-Table2[[#This Row],[% Pos Overlap]]))</f>
        <v>10.134146341463415</v>
      </c>
      <c r="J466" s="72" cm="1">
        <f t="array" aca="1" ref="J466" ca="1">(INDIRECT(ADDRESS((_xlfn.XMATCH(Table2[[#This Row],[Team]],Schedule!$A$1:$A$33)),5,1,1,"Sched Overlap")))</f>
        <v>0.64306064306064303</v>
      </c>
      <c r="K466" s="92" cm="1">
        <f t="array" aca="1" ref="K46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66" s="95">
        <f ca="1">IF(Table2[[#This Row],[Team]]="FA",0,Table2[[#This Row],[Pts/G]]*(Table2[[#This Row],[Games Playable]]/82))</f>
        <v>10.134146341463415</v>
      </c>
      <c r="M466" s="95" cm="1">
        <f t="array" aca="1" ref="M466" ca="1">Table2[[#This Row],[Playable x Score]]*_xlfn.IFS(Table2[[#This Row],[Pos]]="D",assumptions!$B$15,Table2[[#This Row],[Pos]]="F", assumptions!$B$14,Table2[[#This Row],[Pos]]="G",assumptions!$B$16)</f>
        <v>12.667682926829269</v>
      </c>
    </row>
    <row r="467" spans="1:13" x14ac:dyDescent="0.3">
      <c r="A467">
        <f>'score estimates'!$A467</f>
        <v>464</v>
      </c>
      <c r="B467" t="str">
        <f>'score estimates'!$B467</f>
        <v>Henri Jokiharju</v>
      </c>
      <c r="C467" t="str">
        <f>'score estimates'!$D467</f>
        <v>D</v>
      </c>
      <c r="D467" t="str">
        <f>'score estimates'!$C467</f>
        <v>BUF</v>
      </c>
      <c r="E467" s="75">
        <f>'score estimates'!$F467</f>
        <v>9.8658536585365848</v>
      </c>
      <c r="F467" s="71">
        <f>'score estimates'!$G467</f>
        <v>570</v>
      </c>
      <c r="G467" s="71" t="s">
        <v>983</v>
      </c>
      <c r="H467" s="72" cm="1">
        <f t="array" aca="1" ref="H46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67" s="96">
        <f ca="1">IF(Table2[[#This Row],[Team]]="FA",0,Table2[[#This Row],[Pts/G]]*(1-Table2[[#This Row],[% Pos Overlap]]))</f>
        <v>9.8658536585365848</v>
      </c>
      <c r="J467" s="72" cm="1">
        <f t="array" aca="1" ref="J467" ca="1">(INDIRECT(ADDRESS((_xlfn.XMATCH(Table2[[#This Row],[Team]],Schedule!$A$1:$A$33)),5,1,1,"Sched Overlap")))</f>
        <v>0.63573463573463573</v>
      </c>
      <c r="K467" s="92" cm="1">
        <f t="array" aca="1" ref="K46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67" s="95">
        <f ca="1">IF(Table2[[#This Row],[Team]]="FA",0,Table2[[#This Row],[Pts/G]]*(Table2[[#This Row],[Games Playable]]/82))</f>
        <v>9.8658536585365848</v>
      </c>
      <c r="M467" s="95" cm="1">
        <f t="array" aca="1" ref="M467" ca="1">Table2[[#This Row],[Playable x Score]]*_xlfn.IFS(Table2[[#This Row],[Pos]]="D",assumptions!$B$15,Table2[[#This Row],[Pos]]="F", assumptions!$B$14,Table2[[#This Row],[Pos]]="G",assumptions!$B$16)</f>
        <v>12.332317073170731</v>
      </c>
    </row>
    <row r="468" spans="1:13" x14ac:dyDescent="0.3">
      <c r="A468">
        <f>'score estimates'!$A468</f>
        <v>465</v>
      </c>
      <c r="B468" t="str">
        <f>'score estimates'!$B468</f>
        <v>Sam Steel</v>
      </c>
      <c r="C468" t="str">
        <f>'score estimates'!$D468</f>
        <v>F</v>
      </c>
      <c r="D468" t="str">
        <f>'score estimates'!$C468</f>
        <v>MIN</v>
      </c>
      <c r="E468" s="75">
        <f>'score estimates'!$F468</f>
        <v>6.9878048780487809</v>
      </c>
      <c r="F468" s="71">
        <f>'score estimates'!$G468</f>
        <v>646</v>
      </c>
      <c r="G468" s="71" t="s">
        <v>983</v>
      </c>
      <c r="H468" s="72" cm="1">
        <f t="array" aca="1" ref="H46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68" s="96">
        <f ca="1">IF(Table2[[#This Row],[Team]]="FA",0,Table2[[#This Row],[Pts/G]]*(1-Table2[[#This Row],[% Pos Overlap]]))</f>
        <v>6.9878048780487809</v>
      </c>
      <c r="J468" s="72" cm="1">
        <f t="array" aca="1" ref="J468" ca="1">(INDIRECT(ADDRESS((_xlfn.XMATCH(Table2[[#This Row],[Team]],Schedule!$A$1:$A$33)),5,1,1,"Sched Overlap")))</f>
        <v>0.62108262108262113</v>
      </c>
      <c r="K468" s="92" cm="1">
        <f t="array" aca="1" ref="K46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68" s="95">
        <f ca="1">IF(Table2[[#This Row],[Team]]="FA",0,Table2[[#This Row],[Pts/G]]*(Table2[[#This Row],[Games Playable]]/82))</f>
        <v>6.9878048780487809</v>
      </c>
      <c r="M468" s="95" cm="1">
        <f t="array" aca="1" ref="M468" ca="1">Table2[[#This Row],[Playable x Score]]*_xlfn.IFS(Table2[[#This Row],[Pos]]="D",assumptions!$B$15,Table2[[#This Row],[Pos]]="F", assumptions!$B$14,Table2[[#This Row],[Pos]]="G",assumptions!$B$16)</f>
        <v>6.9878048780487809</v>
      </c>
    </row>
    <row r="469" spans="1:13" x14ac:dyDescent="0.3">
      <c r="A469">
        <f>'score estimates'!$A469</f>
        <v>466</v>
      </c>
      <c r="B469" t="str">
        <f>'score estimates'!$B469</f>
        <v>David Savard</v>
      </c>
      <c r="C469" t="str">
        <f>'score estimates'!$D469</f>
        <v>D</v>
      </c>
      <c r="D469" t="str">
        <f>'score estimates'!$C469</f>
        <v>MON</v>
      </c>
      <c r="E469" s="75">
        <f>'score estimates'!$F469</f>
        <v>11.487804878048781</v>
      </c>
      <c r="F469" s="71">
        <f>'score estimates'!$G469</f>
        <v>516</v>
      </c>
      <c r="G469" s="71" t="s">
        <v>983</v>
      </c>
      <c r="H469" s="72" cm="1">
        <f t="array" aca="1" ref="H46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69" s="96">
        <f ca="1">IF(Table2[[#This Row],[Team]]="FA",0,Table2[[#This Row],[Pts/G]]*(1-Table2[[#This Row],[% Pos Overlap]]))</f>
        <v>11.487804878048781</v>
      </c>
      <c r="J469" s="72" cm="1">
        <f t="array" aca="1" ref="J469" ca="1">(INDIRECT(ADDRESS((_xlfn.XMATCH(Table2[[#This Row],[Team]],Schedule!$A$1:$A$33)),5,1,1,"Sched Overlap")))</f>
        <v>0.66666666666666685</v>
      </c>
      <c r="K469" s="92" cm="1">
        <f t="array" aca="1" ref="K46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69" s="95">
        <f ca="1">IF(Table2[[#This Row],[Team]]="FA",0,Table2[[#This Row],[Pts/G]]*(Table2[[#This Row],[Games Playable]]/82))</f>
        <v>11.487804878048781</v>
      </c>
      <c r="M469" s="95" cm="1">
        <f t="array" aca="1" ref="M469" ca="1">Table2[[#This Row],[Playable x Score]]*_xlfn.IFS(Table2[[#This Row],[Pos]]="D",assumptions!$B$15,Table2[[#This Row],[Pos]]="F", assumptions!$B$14,Table2[[#This Row],[Pos]]="G",assumptions!$B$16)</f>
        <v>14.359756097560975</v>
      </c>
    </row>
    <row r="470" spans="1:13" x14ac:dyDescent="0.3">
      <c r="A470">
        <f>'score estimates'!$A470</f>
        <v>467</v>
      </c>
      <c r="B470" t="str">
        <f>'score estimates'!$B470</f>
        <v>Nick Cousins</v>
      </c>
      <c r="C470" t="str">
        <f>'score estimates'!$D470</f>
        <v>F</v>
      </c>
      <c r="D470" t="str">
        <f>'score estimates'!$C470</f>
        <v>FLA</v>
      </c>
      <c r="E470" s="75">
        <f>'score estimates'!$F470</f>
        <v>9.6951219512195124</v>
      </c>
      <c r="F470" s="71">
        <f>'score estimates'!$G470</f>
        <v>576</v>
      </c>
      <c r="G470" s="71" t="s">
        <v>983</v>
      </c>
      <c r="H470" s="72" cm="1">
        <f t="array" aca="1" ref="H47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70" s="96">
        <f ca="1">IF(Table2[[#This Row],[Team]]="FA",0,Table2[[#This Row],[Pts/G]]*(1-Table2[[#This Row],[% Pos Overlap]]))</f>
        <v>9.6951219512195124</v>
      </c>
      <c r="J470" s="72" cm="1">
        <f t="array" aca="1" ref="J470" ca="1">(INDIRECT(ADDRESS((_xlfn.XMATCH(Table2[[#This Row],[Team]],Schedule!$A$1:$A$33)),5,1,1,"Sched Overlap")))</f>
        <v>0.64387464387464377</v>
      </c>
      <c r="K470" s="92" cm="1">
        <f t="array" aca="1" ref="K47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70" s="95">
        <f ca="1">IF(Table2[[#This Row],[Team]]="FA",0,Table2[[#This Row],[Pts/G]]*(Table2[[#This Row],[Games Playable]]/82))</f>
        <v>9.6951219512195124</v>
      </c>
      <c r="M470" s="95" cm="1">
        <f t="array" aca="1" ref="M470" ca="1">Table2[[#This Row],[Playable x Score]]*_xlfn.IFS(Table2[[#This Row],[Pos]]="D",assumptions!$B$15,Table2[[#This Row],[Pos]]="F", assumptions!$B$14,Table2[[#This Row],[Pos]]="G",assumptions!$B$16)</f>
        <v>9.6951219512195124</v>
      </c>
    </row>
    <row r="471" spans="1:13" x14ac:dyDescent="0.3">
      <c r="A471">
        <f>'score estimates'!$A471</f>
        <v>468</v>
      </c>
      <c r="B471" t="str">
        <f>'score estimates'!$B471</f>
        <v>Alec Martinez</v>
      </c>
      <c r="C471" t="str">
        <f>'score estimates'!$D471</f>
        <v>D</v>
      </c>
      <c r="D471" t="str">
        <f>'score estimates'!$C471</f>
        <v>VGK</v>
      </c>
      <c r="E471" s="75">
        <f>'score estimates'!$F471</f>
        <v>14.231707317073171</v>
      </c>
      <c r="F471" s="71">
        <f>'score estimates'!$G471</f>
        <v>418</v>
      </c>
      <c r="G471" s="71" t="s">
        <v>983</v>
      </c>
      <c r="H471" s="72" cm="1">
        <f t="array" aca="1" ref="H47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71" s="96">
        <f ca="1">IF(Table2[[#This Row],[Team]]="FA",0,Table2[[#This Row],[Pts/G]]*(1-Table2[[#This Row],[% Pos Overlap]]))</f>
        <v>14.231707317073171</v>
      </c>
      <c r="J471" s="72" cm="1">
        <f t="array" aca="1" ref="J471" ca="1">(INDIRECT(ADDRESS((_xlfn.XMATCH(Table2[[#This Row],[Team]],Schedule!$A$1:$A$33)),5,1,1,"Sched Overlap")))</f>
        <v>0.66992266992266991</v>
      </c>
      <c r="K471" s="92" cm="1">
        <f t="array" aca="1" ref="K47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71" s="95">
        <f ca="1">IF(Table2[[#This Row],[Team]]="FA",0,Table2[[#This Row],[Pts/G]]*(Table2[[#This Row],[Games Playable]]/82))</f>
        <v>14.231707317073171</v>
      </c>
      <c r="M471" s="95" cm="1">
        <f t="array" aca="1" ref="M471" ca="1">Table2[[#This Row],[Playable x Score]]*_xlfn.IFS(Table2[[#This Row],[Pos]]="D",assumptions!$B$15,Table2[[#This Row],[Pos]]="F", assumptions!$B$14,Table2[[#This Row],[Pos]]="G",assumptions!$B$16)</f>
        <v>17.789634146341463</v>
      </c>
    </row>
    <row r="472" spans="1:13" x14ac:dyDescent="0.3">
      <c r="A472">
        <f>'score estimates'!$A472</f>
        <v>469</v>
      </c>
      <c r="B472" t="str">
        <f>'score estimates'!$B472</f>
        <v>Ian Cole</v>
      </c>
      <c r="C472" t="str">
        <f>'score estimates'!$D472</f>
        <v>D</v>
      </c>
      <c r="D472" t="str">
        <f>'score estimates'!$C472</f>
        <v>TB</v>
      </c>
      <c r="E472" s="75">
        <f>'score estimates'!$F472</f>
        <v>15.512195121951219</v>
      </c>
      <c r="F472" s="71">
        <f>'score estimates'!$G472</f>
        <v>376</v>
      </c>
      <c r="G472" s="71" t="s">
        <v>983</v>
      </c>
      <c r="H472" s="72" cm="1">
        <f t="array" aca="1" ref="H47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72" s="96">
        <f ca="1">IF(Table2[[#This Row],[Team]]="FA",0,Table2[[#This Row],[Pts/G]]*(1-Table2[[#This Row],[% Pos Overlap]]))</f>
        <v>15.512195121951219</v>
      </c>
      <c r="J472" s="72" cm="1">
        <f t="array" aca="1" ref="J472" ca="1">(INDIRECT(ADDRESS((_xlfn.XMATCH(Table2[[#This Row],[Team]],Schedule!$A$1:$A$33)),5,1,1,"Sched Overlap")))</f>
        <v>0.66422466422466431</v>
      </c>
      <c r="K472" s="92" cm="1">
        <f t="array" aca="1" ref="K47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72" s="95">
        <f ca="1">IF(Table2[[#This Row],[Team]]="FA",0,Table2[[#This Row],[Pts/G]]*(Table2[[#This Row],[Games Playable]]/82))</f>
        <v>15.512195121951219</v>
      </c>
      <c r="M472" s="95" cm="1">
        <f t="array" aca="1" ref="M472" ca="1">Table2[[#This Row],[Playable x Score]]*_xlfn.IFS(Table2[[#This Row],[Pos]]="D",assumptions!$B$15,Table2[[#This Row],[Pos]]="F", assumptions!$B$14,Table2[[#This Row],[Pos]]="G",assumptions!$B$16)</f>
        <v>19.390243902439025</v>
      </c>
    </row>
    <row r="473" spans="1:13" x14ac:dyDescent="0.3">
      <c r="A473">
        <f>'score estimates'!$A473</f>
        <v>470</v>
      </c>
      <c r="B473" t="str">
        <f>'score estimates'!$B473</f>
        <v>Nick Holden</v>
      </c>
      <c r="C473" t="str">
        <f>'score estimates'!$D473</f>
        <v>D</v>
      </c>
      <c r="D473" t="str">
        <f>'score estimates'!$C473</f>
        <v>OTT</v>
      </c>
      <c r="E473" s="75">
        <f>'score estimates'!$F473</f>
        <v>11.890243902439025</v>
      </c>
      <c r="F473" s="71">
        <f>'score estimates'!$G473</f>
        <v>497</v>
      </c>
      <c r="G473" s="71" t="s">
        <v>983</v>
      </c>
      <c r="H473" s="72" cm="1">
        <f t="array" aca="1" ref="H47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73" s="96">
        <f ca="1">IF(Table2[[#This Row],[Team]]="FA",0,Table2[[#This Row],[Pts/G]]*(1-Table2[[#This Row],[% Pos Overlap]]))</f>
        <v>11.890243902439025</v>
      </c>
      <c r="J473" s="72" cm="1">
        <f t="array" aca="1" ref="J473" ca="1">(INDIRECT(ADDRESS((_xlfn.XMATCH(Table2[[#This Row],[Team]],Schedule!$A$1:$A$33)),5,1,1,"Sched Overlap")))</f>
        <v>0.64306064306064303</v>
      </c>
      <c r="K473" s="92" cm="1">
        <f t="array" aca="1" ref="K47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73" s="95">
        <f ca="1">IF(Table2[[#This Row],[Team]]="FA",0,Table2[[#This Row],[Pts/G]]*(Table2[[#This Row],[Games Playable]]/82))</f>
        <v>11.890243902439025</v>
      </c>
      <c r="M473" s="95" cm="1">
        <f t="array" aca="1" ref="M473" ca="1">Table2[[#This Row],[Playable x Score]]*_xlfn.IFS(Table2[[#This Row],[Pos]]="D",assumptions!$B$15,Table2[[#This Row],[Pos]]="F", assumptions!$B$14,Table2[[#This Row],[Pos]]="G",assumptions!$B$16)</f>
        <v>14.862804878048781</v>
      </c>
    </row>
    <row r="474" spans="1:13" x14ac:dyDescent="0.3">
      <c r="A474">
        <f>'score estimates'!$A474</f>
        <v>471</v>
      </c>
      <c r="B474" t="str">
        <f>'score estimates'!$B474</f>
        <v>Brian Dumoulin</v>
      </c>
      <c r="C474" t="str">
        <f>'score estimates'!$D474</f>
        <v>D</v>
      </c>
      <c r="D474" t="str">
        <f>'score estimates'!$C474</f>
        <v>PIT</v>
      </c>
      <c r="E474" s="75">
        <f>'score estimates'!$F474</f>
        <v>14.890243902439025</v>
      </c>
      <c r="F474" s="71">
        <f>'score estimates'!$G474</f>
        <v>392</v>
      </c>
      <c r="G474" s="71" t="s">
        <v>983</v>
      </c>
      <c r="H474" s="72" cm="1">
        <f t="array" aca="1" ref="H47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74" s="96">
        <f ca="1">IF(Table2[[#This Row],[Team]]="FA",0,Table2[[#This Row],[Pts/G]]*(1-Table2[[#This Row],[% Pos Overlap]]))</f>
        <v>14.890243902439025</v>
      </c>
      <c r="J474" s="72" cm="1">
        <f t="array" aca="1" ref="J474" ca="1">(INDIRECT(ADDRESS((_xlfn.XMATCH(Table2[[#This Row],[Team]],Schedule!$A$1:$A$33)),5,1,1,"Sched Overlap")))</f>
        <v>0.63492063492063477</v>
      </c>
      <c r="K474" s="92" cm="1">
        <f t="array" aca="1" ref="K47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74" s="95">
        <f ca="1">IF(Table2[[#This Row],[Team]]="FA",0,Table2[[#This Row],[Pts/G]]*(Table2[[#This Row],[Games Playable]]/82))</f>
        <v>14.890243902439025</v>
      </c>
      <c r="M474" s="95" cm="1">
        <f t="array" aca="1" ref="M474" ca="1">Table2[[#This Row],[Playable x Score]]*_xlfn.IFS(Table2[[#This Row],[Pos]]="D",assumptions!$B$15,Table2[[#This Row],[Pos]]="F", assumptions!$B$14,Table2[[#This Row],[Pos]]="G",assumptions!$B$16)</f>
        <v>18.612804878048781</v>
      </c>
    </row>
    <row r="475" spans="1:13" x14ac:dyDescent="0.3">
      <c r="A475">
        <f>'score estimates'!$A475</f>
        <v>472</v>
      </c>
      <c r="B475" t="str">
        <f>'score estimates'!$B475</f>
        <v>Brett Kulak</v>
      </c>
      <c r="C475" t="str">
        <f>'score estimates'!$D475</f>
        <v>D</v>
      </c>
      <c r="D475" t="str">
        <f>'score estimates'!$C475</f>
        <v>EDM</v>
      </c>
      <c r="E475" s="75">
        <f>'score estimates'!$F475</f>
        <v>12.487804878048781</v>
      </c>
      <c r="F475" s="71">
        <f>'score estimates'!$G475</f>
        <v>476</v>
      </c>
      <c r="G475" s="71" t="s">
        <v>983</v>
      </c>
      <c r="H475" s="72" cm="1">
        <f t="array" aca="1" ref="H47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75" s="96">
        <f ca="1">IF(Table2[[#This Row],[Team]]="FA",0,Table2[[#This Row],[Pts/G]]*(1-Table2[[#This Row],[% Pos Overlap]]))</f>
        <v>12.487804878048781</v>
      </c>
      <c r="J475" s="72" cm="1">
        <f t="array" aca="1" ref="J475" ca="1">(INDIRECT(ADDRESS((_xlfn.XMATCH(Table2[[#This Row],[Team]],Schedule!$A$1:$A$33)),5,1,1,"Sched Overlap")))</f>
        <v>0.62026862026862029</v>
      </c>
      <c r="K475" s="92" cm="1">
        <f t="array" aca="1" ref="K47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75" s="95">
        <f ca="1">IF(Table2[[#This Row],[Team]]="FA",0,Table2[[#This Row],[Pts/G]]*(Table2[[#This Row],[Games Playable]]/82))</f>
        <v>12.487804878048781</v>
      </c>
      <c r="M475" s="95" cm="1">
        <f t="array" aca="1" ref="M475" ca="1">Table2[[#This Row],[Playable x Score]]*_xlfn.IFS(Table2[[#This Row],[Pos]]="D",assumptions!$B$15,Table2[[#This Row],[Pos]]="F", assumptions!$B$14,Table2[[#This Row],[Pos]]="G",assumptions!$B$16)</f>
        <v>15.609756097560975</v>
      </c>
    </row>
    <row r="476" spans="1:13" x14ac:dyDescent="0.3">
      <c r="A476">
        <f>'score estimates'!$A476</f>
        <v>473</v>
      </c>
      <c r="B476" t="str">
        <f>'score estimates'!$B476</f>
        <v>William Carrier</v>
      </c>
      <c r="C476" t="str">
        <f>'score estimates'!$D476</f>
        <v>F</v>
      </c>
      <c r="D476" t="str">
        <f>'score estimates'!$C476</f>
        <v>VGK</v>
      </c>
      <c r="E476" s="75">
        <f>'score estimates'!$F476</f>
        <v>12.695121951219512</v>
      </c>
      <c r="F476" s="71">
        <f>'score estimates'!$G476</f>
        <v>468</v>
      </c>
      <c r="G476" s="71" t="s">
        <v>983</v>
      </c>
      <c r="H476" s="72" cm="1">
        <f t="array" aca="1" ref="H47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76" s="96">
        <f ca="1">IF(Table2[[#This Row],[Team]]="FA",0,Table2[[#This Row],[Pts/G]]*(1-Table2[[#This Row],[% Pos Overlap]]))</f>
        <v>12.695121951219512</v>
      </c>
      <c r="J476" s="72" cm="1">
        <f t="array" aca="1" ref="J476" ca="1">(INDIRECT(ADDRESS((_xlfn.XMATCH(Table2[[#This Row],[Team]],Schedule!$A$1:$A$33)),5,1,1,"Sched Overlap")))</f>
        <v>0.66992266992266991</v>
      </c>
      <c r="K476" s="92" cm="1">
        <f t="array" aca="1" ref="K47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76" s="95">
        <f ca="1">IF(Table2[[#This Row],[Team]]="FA",0,Table2[[#This Row],[Pts/G]]*(Table2[[#This Row],[Games Playable]]/82))</f>
        <v>12.695121951219512</v>
      </c>
      <c r="M476" s="95" cm="1">
        <f t="array" aca="1" ref="M476" ca="1">Table2[[#This Row],[Playable x Score]]*_xlfn.IFS(Table2[[#This Row],[Pos]]="D",assumptions!$B$15,Table2[[#This Row],[Pos]]="F", assumptions!$B$14,Table2[[#This Row],[Pos]]="G",assumptions!$B$16)</f>
        <v>12.695121951219512</v>
      </c>
    </row>
    <row r="477" spans="1:13" x14ac:dyDescent="0.3">
      <c r="A477">
        <f>'score estimates'!$A477</f>
        <v>474</v>
      </c>
      <c r="B477" t="str">
        <f>'score estimates'!$B477</f>
        <v>Michael Raffl</v>
      </c>
      <c r="C477" t="str">
        <f>'score estimates'!$D477</f>
        <v>F</v>
      </c>
      <c r="D477" t="str">
        <f>'score estimates'!$C477</f>
        <v>FA</v>
      </c>
      <c r="E477" s="75">
        <f>'score estimates'!$F477</f>
        <v>9.9024390243902438</v>
      </c>
      <c r="F477" s="71">
        <f>'score estimates'!$G477</f>
        <v>567</v>
      </c>
      <c r="G477" s="71" t="s">
        <v>983</v>
      </c>
      <c r="H477" s="72" t="e" cm="1">
        <f t="array" aca="1" ref="H477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477" s="96">
        <f>IF(Table2[[#This Row],[Team]]="FA",0,Table2[[#This Row],[Pts/G]]*(1-Table2[[#This Row],[% Pos Overlap]]))</f>
        <v>0</v>
      </c>
      <c r="J477" s="72" t="e" cm="1">
        <f t="array" aca="1" ref="J477" ca="1">(INDIRECT(ADDRESS((_xlfn.XMATCH(Table2[[#This Row],[Team]],Schedule!$A$1:$A$33)),5,1,1,"Sched Overlap")))</f>
        <v>#N/A</v>
      </c>
      <c r="K477" s="92" t="e" cm="1">
        <f t="array" aca="1" ref="K477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477" s="95">
        <f>IF(Table2[[#This Row],[Team]]="FA",0,Table2[[#This Row],[Pts/G]]*(Table2[[#This Row],[Games Playable]]/82))</f>
        <v>0</v>
      </c>
      <c r="M477" s="95" cm="1">
        <f t="array" ref="M477">Table2[[#This Row],[Playable x Score]]*_xlfn.IFS(Table2[[#This Row],[Pos]]="D",assumptions!$B$15,Table2[[#This Row],[Pos]]="F", assumptions!$B$14,Table2[[#This Row],[Pos]]="G",assumptions!$B$16)</f>
        <v>0</v>
      </c>
    </row>
    <row r="478" spans="1:13" x14ac:dyDescent="0.3">
      <c r="A478">
        <f>'score estimates'!$A478</f>
        <v>475</v>
      </c>
      <c r="B478" t="str">
        <f>'score estimates'!$B478</f>
        <v>Radko Gudas</v>
      </c>
      <c r="C478" t="str">
        <f>'score estimates'!$D478</f>
        <v>D</v>
      </c>
      <c r="D478" t="str">
        <f>'score estimates'!$C478</f>
        <v>FLA</v>
      </c>
      <c r="E478" s="75">
        <f>'score estimates'!$F478</f>
        <v>20.646341463414632</v>
      </c>
      <c r="F478" s="71">
        <f>'score estimates'!$G478</f>
        <v>231</v>
      </c>
      <c r="G478" s="71" t="s">
        <v>983</v>
      </c>
      <c r="H478" s="72" cm="1">
        <f t="array" aca="1" ref="H47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78" s="96">
        <f ca="1">IF(Table2[[#This Row],[Team]]="FA",0,Table2[[#This Row],[Pts/G]]*(1-Table2[[#This Row],[% Pos Overlap]]))</f>
        <v>20.646341463414632</v>
      </c>
      <c r="J478" s="72" cm="1">
        <f t="array" aca="1" ref="J478" ca="1">(INDIRECT(ADDRESS((_xlfn.XMATCH(Table2[[#This Row],[Team]],Schedule!$A$1:$A$33)),5,1,1,"Sched Overlap")))</f>
        <v>0.64387464387464377</v>
      </c>
      <c r="K478" s="92" cm="1">
        <f t="array" aca="1" ref="K47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78" s="95">
        <f ca="1">IF(Table2[[#This Row],[Team]]="FA",0,Table2[[#This Row],[Pts/G]]*(Table2[[#This Row],[Games Playable]]/82))</f>
        <v>20.646341463414632</v>
      </c>
      <c r="M478" s="95" cm="1">
        <f t="array" aca="1" ref="M478" ca="1">Table2[[#This Row],[Playable x Score]]*_xlfn.IFS(Table2[[#This Row],[Pos]]="D",assumptions!$B$15,Table2[[#This Row],[Pos]]="F", assumptions!$B$14,Table2[[#This Row],[Pos]]="G",assumptions!$B$16)</f>
        <v>25.80792682926829</v>
      </c>
    </row>
    <row r="479" spans="1:13" x14ac:dyDescent="0.3">
      <c r="A479">
        <f>'score estimates'!$A479</f>
        <v>476</v>
      </c>
      <c r="B479" t="str">
        <f>'score estimates'!$B479</f>
        <v>Pierre-Edouard Bellemare</v>
      </c>
      <c r="C479" t="str">
        <f>'score estimates'!$D479</f>
        <v>F</v>
      </c>
      <c r="D479" t="str">
        <f>'score estimates'!$C479</f>
        <v>TB</v>
      </c>
      <c r="E479" s="75">
        <f>'score estimates'!$F479</f>
        <v>12.304878048780488</v>
      </c>
      <c r="F479" s="71">
        <f>'score estimates'!$G479</f>
        <v>481</v>
      </c>
      <c r="G479" s="71" t="s">
        <v>983</v>
      </c>
      <c r="H479" s="72" cm="1">
        <f t="array" aca="1" ref="H47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79" s="96">
        <f ca="1">IF(Table2[[#This Row],[Team]]="FA",0,Table2[[#This Row],[Pts/G]]*(1-Table2[[#This Row],[% Pos Overlap]]))</f>
        <v>12.304878048780488</v>
      </c>
      <c r="J479" s="72" cm="1">
        <f t="array" aca="1" ref="J479" ca="1">(INDIRECT(ADDRESS((_xlfn.XMATCH(Table2[[#This Row],[Team]],Schedule!$A$1:$A$33)),5,1,1,"Sched Overlap")))</f>
        <v>0.66422466422466431</v>
      </c>
      <c r="K479" s="92" cm="1">
        <f t="array" aca="1" ref="K47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79" s="95">
        <f ca="1">IF(Table2[[#This Row],[Team]]="FA",0,Table2[[#This Row],[Pts/G]]*(Table2[[#This Row],[Games Playable]]/82))</f>
        <v>12.304878048780488</v>
      </c>
      <c r="M479" s="95" cm="1">
        <f t="array" aca="1" ref="M479" ca="1">Table2[[#This Row],[Playable x Score]]*_xlfn.IFS(Table2[[#This Row],[Pos]]="D",assumptions!$B$15,Table2[[#This Row],[Pos]]="F", assumptions!$B$14,Table2[[#This Row],[Pos]]="G",assumptions!$B$16)</f>
        <v>12.304878048780488</v>
      </c>
    </row>
    <row r="480" spans="1:13" x14ac:dyDescent="0.3">
      <c r="A480">
        <f>'score estimates'!$A480</f>
        <v>477</v>
      </c>
      <c r="B480" t="str">
        <f>'score estimates'!$B480</f>
        <v>Noah Gregor</v>
      </c>
      <c r="C480" t="str">
        <f>'score estimates'!$D480</f>
        <v>F</v>
      </c>
      <c r="D480" t="str">
        <f>'score estimates'!$C480</f>
        <v>SJ</v>
      </c>
      <c r="E480" s="75">
        <f>'score estimates'!$F480</f>
        <v>8.7926829268292686</v>
      </c>
      <c r="F480" s="71">
        <f>'score estimates'!$G480</f>
        <v>597</v>
      </c>
      <c r="G480" s="71" t="s">
        <v>983</v>
      </c>
      <c r="H480" s="72" cm="1">
        <f t="array" aca="1" ref="H48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80" s="96">
        <f ca="1">IF(Table2[[#This Row],[Team]]="FA",0,Table2[[#This Row],[Pts/G]]*(1-Table2[[#This Row],[% Pos Overlap]]))</f>
        <v>8.7926829268292686</v>
      </c>
      <c r="J480" s="72" cm="1">
        <f t="array" aca="1" ref="J480" ca="1">(INDIRECT(ADDRESS((_xlfn.XMATCH(Table2[[#This Row],[Team]],Schedule!$A$1:$A$33)),5,1,1,"Sched Overlap")))</f>
        <v>0.63492063492063477</v>
      </c>
      <c r="K480" s="92" cm="1">
        <f t="array" aca="1" ref="K48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80" s="95">
        <f ca="1">IF(Table2[[#This Row],[Team]]="FA",0,Table2[[#This Row],[Pts/G]]*(Table2[[#This Row],[Games Playable]]/82))</f>
        <v>8.7926829268292686</v>
      </c>
      <c r="M480" s="95" cm="1">
        <f t="array" aca="1" ref="M480" ca="1">Table2[[#This Row],[Playable x Score]]*_xlfn.IFS(Table2[[#This Row],[Pos]]="D",assumptions!$B$15,Table2[[#This Row],[Pos]]="F", assumptions!$B$14,Table2[[#This Row],[Pos]]="G",assumptions!$B$16)</f>
        <v>8.7926829268292686</v>
      </c>
    </row>
    <row r="481" spans="1:13" x14ac:dyDescent="0.3">
      <c r="A481">
        <f>'score estimates'!$A481</f>
        <v>478</v>
      </c>
      <c r="B481" t="str">
        <f>'score estimates'!$B481</f>
        <v>Derek Ryan</v>
      </c>
      <c r="C481" t="str">
        <f>'score estimates'!$D481</f>
        <v>F</v>
      </c>
      <c r="D481" t="str">
        <f>'score estimates'!$C481</f>
        <v>EDM</v>
      </c>
      <c r="E481" s="75">
        <f>'score estimates'!$F481</f>
        <v>8.1951219512195124</v>
      </c>
      <c r="F481" s="71">
        <f>'score estimates'!$G481</f>
        <v>615</v>
      </c>
      <c r="G481" s="71" t="s">
        <v>983</v>
      </c>
      <c r="H481" s="72" cm="1">
        <f t="array" aca="1" ref="H48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81" s="96">
        <f ca="1">IF(Table2[[#This Row],[Team]]="FA",0,Table2[[#This Row],[Pts/G]]*(1-Table2[[#This Row],[% Pos Overlap]]))</f>
        <v>8.1951219512195124</v>
      </c>
      <c r="J481" s="72" cm="1">
        <f t="array" aca="1" ref="J481" ca="1">(INDIRECT(ADDRESS((_xlfn.XMATCH(Table2[[#This Row],[Team]],Schedule!$A$1:$A$33)),5,1,1,"Sched Overlap")))</f>
        <v>0.62026862026862029</v>
      </c>
      <c r="K481" s="92" cm="1">
        <f t="array" aca="1" ref="K48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81" s="95">
        <f ca="1">IF(Table2[[#This Row],[Team]]="FA",0,Table2[[#This Row],[Pts/G]]*(Table2[[#This Row],[Games Playable]]/82))</f>
        <v>8.1951219512195124</v>
      </c>
      <c r="M481" s="95" cm="1">
        <f t="array" aca="1" ref="M481" ca="1">Table2[[#This Row],[Playable x Score]]*_xlfn.IFS(Table2[[#This Row],[Pos]]="D",assumptions!$B$15,Table2[[#This Row],[Pos]]="F", assumptions!$B$14,Table2[[#This Row],[Pos]]="G",assumptions!$B$16)</f>
        <v>8.1951219512195124</v>
      </c>
    </row>
    <row r="482" spans="1:13" x14ac:dyDescent="0.3">
      <c r="A482">
        <f>'score estimates'!$A482</f>
        <v>479</v>
      </c>
      <c r="B482" t="str">
        <f>'score estimates'!$B482</f>
        <v>Riley Stillman</v>
      </c>
      <c r="C482" t="str">
        <f>'score estimates'!$D482</f>
        <v>D</v>
      </c>
      <c r="D482" t="str">
        <f>'score estimates'!$C482</f>
        <v>CHI</v>
      </c>
      <c r="E482" s="75">
        <f>'score estimates'!$F482</f>
        <v>12.487804878048781</v>
      </c>
      <c r="F482" s="71">
        <f>'score estimates'!$G482</f>
        <v>476</v>
      </c>
      <c r="G482" s="71" t="s">
        <v>983</v>
      </c>
      <c r="H482" s="72" cm="1">
        <f t="array" aca="1" ref="H48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82" s="96">
        <f ca="1">IF(Table2[[#This Row],[Team]]="FA",0,Table2[[#This Row],[Pts/G]]*(1-Table2[[#This Row],[% Pos Overlap]]))</f>
        <v>12.487804878048781</v>
      </c>
      <c r="J482" s="72" cm="1">
        <f t="array" aca="1" ref="J482" ca="1">(INDIRECT(ADDRESS((_xlfn.XMATCH(Table2[[#This Row],[Team]],Schedule!$A$1:$A$33)),5,1,1,"Sched Overlap")))</f>
        <v>0.6243386243386243</v>
      </c>
      <c r="K482" s="92" cm="1">
        <f t="array" aca="1" ref="K48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82" s="95">
        <f ca="1">IF(Table2[[#This Row],[Team]]="FA",0,Table2[[#This Row],[Pts/G]]*(Table2[[#This Row],[Games Playable]]/82))</f>
        <v>12.487804878048781</v>
      </c>
      <c r="M482" s="95" cm="1">
        <f t="array" aca="1" ref="M482" ca="1">Table2[[#This Row],[Playable x Score]]*_xlfn.IFS(Table2[[#This Row],[Pos]]="D",assumptions!$B$15,Table2[[#This Row],[Pos]]="F", assumptions!$B$14,Table2[[#This Row],[Pos]]="G",assumptions!$B$16)</f>
        <v>15.609756097560975</v>
      </c>
    </row>
    <row r="483" spans="1:13" x14ac:dyDescent="0.3">
      <c r="A483">
        <f>'score estimates'!$A483</f>
        <v>480</v>
      </c>
      <c r="B483" t="str">
        <f>'score estimates'!$B483</f>
        <v>Sam Lafferty</v>
      </c>
      <c r="C483" t="str">
        <f>'score estimates'!$D483</f>
        <v>F</v>
      </c>
      <c r="D483" t="str">
        <f>'score estimates'!$C483</f>
        <v>CHI</v>
      </c>
      <c r="E483" s="75">
        <f>'score estimates'!$F483</f>
        <v>10.951219512195122</v>
      </c>
      <c r="F483" s="71">
        <f>'score estimates'!$G483</f>
        <v>532</v>
      </c>
      <c r="G483" s="71" t="s">
        <v>983</v>
      </c>
      <c r="H483" s="72" cm="1">
        <f t="array" aca="1" ref="H48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83" s="96">
        <f ca="1">IF(Table2[[#This Row],[Team]]="FA",0,Table2[[#This Row],[Pts/G]]*(1-Table2[[#This Row],[% Pos Overlap]]))</f>
        <v>10.951219512195122</v>
      </c>
      <c r="J483" s="72" cm="1">
        <f t="array" aca="1" ref="J483" ca="1">(INDIRECT(ADDRESS((_xlfn.XMATCH(Table2[[#This Row],[Team]],Schedule!$A$1:$A$33)),5,1,1,"Sched Overlap")))</f>
        <v>0.6243386243386243</v>
      </c>
      <c r="K483" s="92" cm="1">
        <f t="array" aca="1" ref="K48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83" s="95">
        <f ca="1">IF(Table2[[#This Row],[Team]]="FA",0,Table2[[#This Row],[Pts/G]]*(Table2[[#This Row],[Games Playable]]/82))</f>
        <v>10.951219512195122</v>
      </c>
      <c r="M483" s="95" cm="1">
        <f t="array" aca="1" ref="M483" ca="1">Table2[[#This Row],[Playable x Score]]*_xlfn.IFS(Table2[[#This Row],[Pos]]="D",assumptions!$B$15,Table2[[#This Row],[Pos]]="F", assumptions!$B$14,Table2[[#This Row],[Pos]]="G",assumptions!$B$16)</f>
        <v>10.951219512195122</v>
      </c>
    </row>
    <row r="484" spans="1:13" x14ac:dyDescent="0.3">
      <c r="A484">
        <f>'score estimates'!$A484</f>
        <v>481</v>
      </c>
      <c r="B484" t="str">
        <f>'score estimates'!$B484</f>
        <v>Morgan Barron</v>
      </c>
      <c r="C484" t="str">
        <f>'score estimates'!$D484</f>
        <v>F</v>
      </c>
      <c r="D484" t="str">
        <f>'score estimates'!$C484</f>
        <v>WPG</v>
      </c>
      <c r="E484" s="75">
        <f>'score estimates'!$F484</f>
        <v>8.8170731707317067</v>
      </c>
      <c r="F484" s="71">
        <f>'score estimates'!$G484</f>
        <v>596</v>
      </c>
      <c r="G484" s="71" t="s">
        <v>983</v>
      </c>
      <c r="H484" s="72" cm="1">
        <f t="array" aca="1" ref="H48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84" s="96">
        <f ca="1">IF(Table2[[#This Row],[Team]]="FA",0,Table2[[#This Row],[Pts/G]]*(1-Table2[[#This Row],[% Pos Overlap]]))</f>
        <v>8.8170731707317067</v>
      </c>
      <c r="J484" s="72" cm="1">
        <f t="array" aca="1" ref="J484" ca="1">(INDIRECT(ADDRESS((_xlfn.XMATCH(Table2[[#This Row],[Team]],Schedule!$A$1:$A$33)),5,1,1,"Sched Overlap")))</f>
        <v>0.61212861212861214</v>
      </c>
      <c r="K484" s="92" cm="1">
        <f t="array" aca="1" ref="K48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84" s="95">
        <f ca="1">IF(Table2[[#This Row],[Team]]="FA",0,Table2[[#This Row],[Pts/G]]*(Table2[[#This Row],[Games Playable]]/82))</f>
        <v>8.8170731707317067</v>
      </c>
      <c r="M484" s="95" cm="1">
        <f t="array" aca="1" ref="M484" ca="1">Table2[[#This Row],[Playable x Score]]*_xlfn.IFS(Table2[[#This Row],[Pos]]="D",assumptions!$B$15,Table2[[#This Row],[Pos]]="F", assumptions!$B$14,Table2[[#This Row],[Pos]]="G",assumptions!$B$16)</f>
        <v>8.8170731707317067</v>
      </c>
    </row>
    <row r="485" spans="1:13" x14ac:dyDescent="0.3">
      <c r="A485">
        <f>'score estimates'!$A485</f>
        <v>482</v>
      </c>
      <c r="B485" t="str">
        <f>'score estimates'!$B485</f>
        <v>Brandon Duhaime</v>
      </c>
      <c r="C485" t="str">
        <f>'score estimates'!$D485</f>
        <v>F</v>
      </c>
      <c r="D485" t="str">
        <f>'score estimates'!$C485</f>
        <v>MIN</v>
      </c>
      <c r="E485" s="75">
        <f>'score estimates'!$F485</f>
        <v>14.74390243902439</v>
      </c>
      <c r="F485" s="71">
        <f>'score estimates'!$G485</f>
        <v>398</v>
      </c>
      <c r="G485" s="71" t="s">
        <v>983</v>
      </c>
      <c r="H485" s="72" cm="1">
        <f t="array" aca="1" ref="H48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85" s="96">
        <f ca="1">IF(Table2[[#This Row],[Team]]="FA",0,Table2[[#This Row],[Pts/G]]*(1-Table2[[#This Row],[% Pos Overlap]]))</f>
        <v>14.74390243902439</v>
      </c>
      <c r="J485" s="72" cm="1">
        <f t="array" aca="1" ref="J485" ca="1">(INDIRECT(ADDRESS((_xlfn.XMATCH(Table2[[#This Row],[Team]],Schedule!$A$1:$A$33)),5,1,1,"Sched Overlap")))</f>
        <v>0.62108262108262113</v>
      </c>
      <c r="K485" s="92" cm="1">
        <f t="array" aca="1" ref="K48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85" s="95">
        <f ca="1">IF(Table2[[#This Row],[Team]]="FA",0,Table2[[#This Row],[Pts/G]]*(Table2[[#This Row],[Games Playable]]/82))</f>
        <v>14.74390243902439</v>
      </c>
      <c r="M485" s="95" cm="1">
        <f t="array" aca="1" ref="M485" ca="1">Table2[[#This Row],[Playable x Score]]*_xlfn.IFS(Table2[[#This Row],[Pos]]="D",assumptions!$B$15,Table2[[#This Row],[Pos]]="F", assumptions!$B$14,Table2[[#This Row],[Pos]]="G",assumptions!$B$16)</f>
        <v>14.74390243902439</v>
      </c>
    </row>
    <row r="486" spans="1:13" x14ac:dyDescent="0.3">
      <c r="A486">
        <f>'score estimates'!$A486</f>
        <v>483</v>
      </c>
      <c r="B486" t="str">
        <f>'score estimates'!$B486</f>
        <v>Ryan Merkley</v>
      </c>
      <c r="C486" t="str">
        <f>'score estimates'!$D486</f>
        <v>D</v>
      </c>
      <c r="D486" t="str">
        <f>'score estimates'!$C486</f>
        <v>SJ</v>
      </c>
      <c r="E486" s="75">
        <f>'score estimates'!$F486</f>
        <v>6.8536585365853657</v>
      </c>
      <c r="F486" s="71">
        <f>'score estimates'!$G486</f>
        <v>651</v>
      </c>
      <c r="G486" s="71" t="s">
        <v>983</v>
      </c>
      <c r="H486" s="72" cm="1">
        <f t="array" aca="1" ref="H48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86" s="96">
        <f ca="1">IF(Table2[[#This Row],[Team]]="FA",0,Table2[[#This Row],[Pts/G]]*(1-Table2[[#This Row],[% Pos Overlap]]))</f>
        <v>6.8536585365853657</v>
      </c>
      <c r="J486" s="72" cm="1">
        <f t="array" aca="1" ref="J486" ca="1">(INDIRECT(ADDRESS((_xlfn.XMATCH(Table2[[#This Row],[Team]],Schedule!$A$1:$A$33)),5,1,1,"Sched Overlap")))</f>
        <v>0.63492063492063477</v>
      </c>
      <c r="K486" s="92" cm="1">
        <f t="array" aca="1" ref="K48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86" s="95">
        <f ca="1">IF(Table2[[#This Row],[Team]]="FA",0,Table2[[#This Row],[Pts/G]]*(Table2[[#This Row],[Games Playable]]/82))</f>
        <v>6.8536585365853657</v>
      </c>
      <c r="M486" s="95" cm="1">
        <f t="array" aca="1" ref="M486" ca="1">Table2[[#This Row],[Playable x Score]]*_xlfn.IFS(Table2[[#This Row],[Pos]]="D",assumptions!$B$15,Table2[[#This Row],[Pos]]="F", assumptions!$B$14,Table2[[#This Row],[Pos]]="G",assumptions!$B$16)</f>
        <v>8.5670731707317067</v>
      </c>
    </row>
    <row r="487" spans="1:13" x14ac:dyDescent="0.3">
      <c r="A487">
        <f>'score estimates'!$A487</f>
        <v>484</v>
      </c>
      <c r="B487" t="str">
        <f>'score estimates'!$B487</f>
        <v>Jan Rutta</v>
      </c>
      <c r="C487" t="str">
        <f>'score estimates'!$D487</f>
        <v>D</v>
      </c>
      <c r="D487" t="str">
        <f>'score estimates'!$C487</f>
        <v>PIT</v>
      </c>
      <c r="E487" s="75">
        <f>'score estimates'!$F487</f>
        <v>13.585365853658537</v>
      </c>
      <c r="F487" s="71">
        <f>'score estimates'!$G487</f>
        <v>444</v>
      </c>
      <c r="G487" s="71" t="s">
        <v>983</v>
      </c>
      <c r="H487" s="72" cm="1">
        <f t="array" aca="1" ref="H48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87" s="96">
        <f ca="1">IF(Table2[[#This Row],[Team]]="FA",0,Table2[[#This Row],[Pts/G]]*(1-Table2[[#This Row],[% Pos Overlap]]))</f>
        <v>13.585365853658537</v>
      </c>
      <c r="J487" s="72" cm="1">
        <f t="array" aca="1" ref="J487" ca="1">(INDIRECT(ADDRESS((_xlfn.XMATCH(Table2[[#This Row],[Team]],Schedule!$A$1:$A$33)),5,1,1,"Sched Overlap")))</f>
        <v>0.63492063492063477</v>
      </c>
      <c r="K487" s="92" cm="1">
        <f t="array" aca="1" ref="K48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87" s="95">
        <f ca="1">IF(Table2[[#This Row],[Team]]="FA",0,Table2[[#This Row],[Pts/G]]*(Table2[[#This Row],[Games Playable]]/82))</f>
        <v>13.585365853658537</v>
      </c>
      <c r="M487" s="95" cm="1">
        <f t="array" aca="1" ref="M487" ca="1">Table2[[#This Row],[Playable x Score]]*_xlfn.IFS(Table2[[#This Row],[Pos]]="D",assumptions!$B$15,Table2[[#This Row],[Pos]]="F", assumptions!$B$14,Table2[[#This Row],[Pos]]="G",assumptions!$B$16)</f>
        <v>16.981707317073173</v>
      </c>
    </row>
    <row r="488" spans="1:13" x14ac:dyDescent="0.3">
      <c r="A488">
        <f>'score estimates'!$A488</f>
        <v>485</v>
      </c>
      <c r="B488" t="str">
        <f>'score estimates'!$B488</f>
        <v>Ryan Lomberg</v>
      </c>
      <c r="C488" t="str">
        <f>'score estimates'!$D488</f>
        <v>F</v>
      </c>
      <c r="D488" t="str">
        <f>'score estimates'!$C488</f>
        <v>FLA</v>
      </c>
      <c r="E488" s="75">
        <f>'score estimates'!$F488</f>
        <v>13.670731707317072</v>
      </c>
      <c r="F488" s="71">
        <f>'score estimates'!$G488</f>
        <v>440</v>
      </c>
      <c r="G488" s="71" t="s">
        <v>983</v>
      </c>
      <c r="H488" s="72" cm="1">
        <f t="array" aca="1" ref="H48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88" s="96">
        <f ca="1">IF(Table2[[#This Row],[Team]]="FA",0,Table2[[#This Row],[Pts/G]]*(1-Table2[[#This Row],[% Pos Overlap]]))</f>
        <v>13.670731707317072</v>
      </c>
      <c r="J488" s="72" cm="1">
        <f t="array" aca="1" ref="J488" ca="1">(INDIRECT(ADDRESS((_xlfn.XMATCH(Table2[[#This Row],[Team]],Schedule!$A$1:$A$33)),5,1,1,"Sched Overlap")))</f>
        <v>0.64387464387464377</v>
      </c>
      <c r="K488" s="92" cm="1">
        <f t="array" aca="1" ref="K48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88" s="95">
        <f ca="1">IF(Table2[[#This Row],[Team]]="FA",0,Table2[[#This Row],[Pts/G]]*(Table2[[#This Row],[Games Playable]]/82))</f>
        <v>13.670731707317072</v>
      </c>
      <c r="M488" s="95" cm="1">
        <f t="array" aca="1" ref="M488" ca="1">Table2[[#This Row],[Playable x Score]]*_xlfn.IFS(Table2[[#This Row],[Pos]]="D",assumptions!$B$15,Table2[[#This Row],[Pos]]="F", assumptions!$B$14,Table2[[#This Row],[Pos]]="G",assumptions!$B$16)</f>
        <v>13.670731707317072</v>
      </c>
    </row>
    <row r="489" spans="1:13" x14ac:dyDescent="0.3">
      <c r="A489">
        <f>'score estimates'!$A489</f>
        <v>486</v>
      </c>
      <c r="B489" t="str">
        <f>'score estimates'!$B489</f>
        <v>Andrew Peeke</v>
      </c>
      <c r="C489" t="str">
        <f>'score estimates'!$D489</f>
        <v>D</v>
      </c>
      <c r="D489" t="str">
        <f>'score estimates'!$C489</f>
        <v>CLS</v>
      </c>
      <c r="E489" s="75">
        <f>'score estimates'!$F489</f>
        <v>13.548780487804878</v>
      </c>
      <c r="F489" s="71">
        <f>'score estimates'!$G489</f>
        <v>447</v>
      </c>
      <c r="G489" s="71" t="s">
        <v>983</v>
      </c>
      <c r="H489" s="72" cm="1">
        <f t="array" aca="1" ref="H48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89" s="96">
        <f ca="1">IF(Table2[[#This Row],[Team]]="FA",0,Table2[[#This Row],[Pts/G]]*(1-Table2[[#This Row],[% Pos Overlap]]))</f>
        <v>13.548780487804878</v>
      </c>
      <c r="J489" s="72" cm="1">
        <f t="array" aca="1" ref="J489" ca="1">(INDIRECT(ADDRESS((_xlfn.XMATCH(Table2[[#This Row],[Team]],Schedule!$A$1:$A$33)),5,1,1,"Sched Overlap")))</f>
        <v>0.64875864875864886</v>
      </c>
      <c r="K489" s="92" cm="1">
        <f t="array" aca="1" ref="K48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89" s="95">
        <f ca="1">IF(Table2[[#This Row],[Team]]="FA",0,Table2[[#This Row],[Pts/G]]*(Table2[[#This Row],[Games Playable]]/82))</f>
        <v>13.548780487804878</v>
      </c>
      <c r="M489" s="95" cm="1">
        <f t="array" aca="1" ref="M489" ca="1">Table2[[#This Row],[Playable x Score]]*_xlfn.IFS(Table2[[#This Row],[Pos]]="D",assumptions!$B$15,Table2[[#This Row],[Pos]]="F", assumptions!$B$14,Table2[[#This Row],[Pos]]="G",assumptions!$B$16)</f>
        <v>16.935975609756099</v>
      </c>
    </row>
    <row r="490" spans="1:13" x14ac:dyDescent="0.3">
      <c r="A490">
        <f>'score estimates'!$A490</f>
        <v>487</v>
      </c>
      <c r="B490" t="str">
        <f>'score estimates'!$B490</f>
        <v>Drake Caggiula</v>
      </c>
      <c r="C490" t="str">
        <f>'score estimates'!$D490</f>
        <v>F</v>
      </c>
      <c r="D490" t="str">
        <f>'score estimates'!$C490</f>
        <v>PIT</v>
      </c>
      <c r="E490" s="75">
        <f>'score estimates'!$F490</f>
        <v>7.7926829268292686</v>
      </c>
      <c r="F490" s="71">
        <f>'score estimates'!$G490</f>
        <v>621</v>
      </c>
      <c r="G490" s="71" t="s">
        <v>983</v>
      </c>
      <c r="H490" s="72" cm="1">
        <f t="array" aca="1" ref="H49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90" s="96">
        <f ca="1">IF(Table2[[#This Row],[Team]]="FA",0,Table2[[#This Row],[Pts/G]]*(1-Table2[[#This Row],[% Pos Overlap]]))</f>
        <v>7.7926829268292686</v>
      </c>
      <c r="J490" s="72" cm="1">
        <f t="array" aca="1" ref="J490" ca="1">(INDIRECT(ADDRESS((_xlfn.XMATCH(Table2[[#This Row],[Team]],Schedule!$A$1:$A$33)),5,1,1,"Sched Overlap")))</f>
        <v>0.63492063492063477</v>
      </c>
      <c r="K490" s="92" cm="1">
        <f t="array" aca="1" ref="K49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90" s="95">
        <f ca="1">IF(Table2[[#This Row],[Team]]="FA",0,Table2[[#This Row],[Pts/G]]*(Table2[[#This Row],[Games Playable]]/82))</f>
        <v>7.7926829268292686</v>
      </c>
      <c r="M490" s="95" cm="1">
        <f t="array" aca="1" ref="M490" ca="1">Table2[[#This Row],[Playable x Score]]*_xlfn.IFS(Table2[[#This Row],[Pos]]="D",assumptions!$B$15,Table2[[#This Row],[Pos]]="F", assumptions!$B$14,Table2[[#This Row],[Pos]]="G",assumptions!$B$16)</f>
        <v>7.7926829268292686</v>
      </c>
    </row>
    <row r="491" spans="1:13" x14ac:dyDescent="0.3">
      <c r="A491">
        <f>'score estimates'!$A491</f>
        <v>488</v>
      </c>
      <c r="B491" t="str">
        <f>'score estimates'!$B491</f>
        <v>Jonas Siegenthaler</v>
      </c>
      <c r="C491" t="str">
        <f>'score estimates'!$D491</f>
        <v>D</v>
      </c>
      <c r="D491" t="str">
        <f>'score estimates'!$C491</f>
        <v>NJ</v>
      </c>
      <c r="E491" s="75">
        <f>'score estimates'!$F491</f>
        <v>12.219512195121951</v>
      </c>
      <c r="F491" s="71">
        <f>'score estimates'!$G491</f>
        <v>487</v>
      </c>
      <c r="G491" s="71" t="s">
        <v>983</v>
      </c>
      <c r="H491" s="72" cm="1">
        <f t="array" aca="1" ref="H49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91" s="96">
        <f ca="1">IF(Table2[[#This Row],[Team]]="FA",0,Table2[[#This Row],[Pts/G]]*(1-Table2[[#This Row],[% Pos Overlap]]))</f>
        <v>12.219512195121951</v>
      </c>
      <c r="J491" s="72" cm="1">
        <f t="array" aca="1" ref="J491" ca="1">(INDIRECT(ADDRESS((_xlfn.XMATCH(Table2[[#This Row],[Team]],Schedule!$A$1:$A$33)),5,1,1,"Sched Overlap")))</f>
        <v>0.66259666259666272</v>
      </c>
      <c r="K491" s="92" cm="1">
        <f t="array" aca="1" ref="K49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91" s="95">
        <f ca="1">IF(Table2[[#This Row],[Team]]="FA",0,Table2[[#This Row],[Pts/G]]*(Table2[[#This Row],[Games Playable]]/82))</f>
        <v>12.219512195121951</v>
      </c>
      <c r="M491" s="95" cm="1">
        <f t="array" aca="1" ref="M491" ca="1">Table2[[#This Row],[Playable x Score]]*_xlfn.IFS(Table2[[#This Row],[Pos]]="D",assumptions!$B$15,Table2[[#This Row],[Pos]]="F", assumptions!$B$14,Table2[[#This Row],[Pos]]="G",assumptions!$B$16)</f>
        <v>15.274390243902438</v>
      </c>
    </row>
    <row r="492" spans="1:13" x14ac:dyDescent="0.3">
      <c r="A492">
        <f>'score estimates'!$A492</f>
        <v>489</v>
      </c>
      <c r="B492" t="str">
        <f>'score estimates'!$B492</f>
        <v>Nathan Bastian</v>
      </c>
      <c r="C492" t="str">
        <f>'score estimates'!$D492</f>
        <v>F</v>
      </c>
      <c r="D492" t="str">
        <f>'score estimates'!$C492</f>
        <v>NJ</v>
      </c>
      <c r="E492" s="75">
        <f>'score estimates'!$F492</f>
        <v>11.890243902439025</v>
      </c>
      <c r="F492" s="71">
        <f>'score estimates'!$G492</f>
        <v>497</v>
      </c>
      <c r="G492" s="71" t="s">
        <v>983</v>
      </c>
      <c r="H492" s="72" cm="1">
        <f t="array" aca="1" ref="H49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92" s="96">
        <f ca="1">IF(Table2[[#This Row],[Team]]="FA",0,Table2[[#This Row],[Pts/G]]*(1-Table2[[#This Row],[% Pos Overlap]]))</f>
        <v>11.890243902439025</v>
      </c>
      <c r="J492" s="72" cm="1">
        <f t="array" aca="1" ref="J492" ca="1">(INDIRECT(ADDRESS((_xlfn.XMATCH(Table2[[#This Row],[Team]],Schedule!$A$1:$A$33)),5,1,1,"Sched Overlap")))</f>
        <v>0.66259666259666272</v>
      </c>
      <c r="K492" s="92" cm="1">
        <f t="array" aca="1" ref="K49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92" s="95">
        <f ca="1">IF(Table2[[#This Row],[Team]]="FA",0,Table2[[#This Row],[Pts/G]]*(Table2[[#This Row],[Games Playable]]/82))</f>
        <v>11.890243902439025</v>
      </c>
      <c r="M492" s="95" cm="1">
        <f t="array" aca="1" ref="M492" ca="1">Table2[[#This Row],[Playable x Score]]*_xlfn.IFS(Table2[[#This Row],[Pos]]="D",assumptions!$B$15,Table2[[#This Row],[Pos]]="F", assumptions!$B$14,Table2[[#This Row],[Pos]]="G",assumptions!$B$16)</f>
        <v>11.890243902439025</v>
      </c>
    </row>
    <row r="493" spans="1:13" x14ac:dyDescent="0.3">
      <c r="A493">
        <f>'score estimates'!$A493</f>
        <v>490</v>
      </c>
      <c r="B493" t="str">
        <f>'score estimates'!$B493</f>
        <v>Tomas Nosek</v>
      </c>
      <c r="C493" t="str">
        <f>'score estimates'!$D493</f>
        <v>F</v>
      </c>
      <c r="D493" t="str">
        <f>'score estimates'!$C493</f>
        <v>BOS</v>
      </c>
      <c r="E493" s="75">
        <f>'score estimates'!$F493</f>
        <v>9.4878048780487809</v>
      </c>
      <c r="F493" s="71">
        <f>'score estimates'!$G493</f>
        <v>579</v>
      </c>
      <c r="G493" s="71" t="s">
        <v>983</v>
      </c>
      <c r="H493" s="72" cm="1">
        <f t="array" aca="1" ref="H49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93" s="96">
        <f ca="1">IF(Table2[[#This Row],[Team]]="FA",0,Table2[[#This Row],[Pts/G]]*(1-Table2[[#This Row],[% Pos Overlap]]))</f>
        <v>9.4878048780487809</v>
      </c>
      <c r="J493" s="72" cm="1">
        <f t="array" aca="1" ref="J493" ca="1">(INDIRECT(ADDRESS((_xlfn.XMATCH(Table2[[#This Row],[Team]],Schedule!$A$1:$A$33)),5,1,1,"Sched Overlap")))</f>
        <v>0.67236467236467234</v>
      </c>
      <c r="K493" s="92" cm="1">
        <f t="array" aca="1" ref="K49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93" s="95">
        <f ca="1">IF(Table2[[#This Row],[Team]]="FA",0,Table2[[#This Row],[Pts/G]]*(Table2[[#This Row],[Games Playable]]/82))</f>
        <v>9.4878048780487809</v>
      </c>
      <c r="M493" s="95" cm="1">
        <f t="array" aca="1" ref="M493" ca="1">Table2[[#This Row],[Playable x Score]]*_xlfn.IFS(Table2[[#This Row],[Pos]]="D",assumptions!$B$15,Table2[[#This Row],[Pos]]="F", assumptions!$B$14,Table2[[#This Row],[Pos]]="G",assumptions!$B$16)</f>
        <v>9.4878048780487809</v>
      </c>
    </row>
    <row r="494" spans="1:13" x14ac:dyDescent="0.3">
      <c r="A494">
        <f>'score estimates'!$A494</f>
        <v>491</v>
      </c>
      <c r="B494" t="str">
        <f>'score estimates'!$B494</f>
        <v>Brandon Carlo</v>
      </c>
      <c r="C494" t="str">
        <f>'score estimates'!$D494</f>
        <v>D</v>
      </c>
      <c r="D494" t="str">
        <f>'score estimates'!$C494</f>
        <v>BOS</v>
      </c>
      <c r="E494" s="75">
        <f>'score estimates'!$F494</f>
        <v>14.121951219512194</v>
      </c>
      <c r="F494" s="71">
        <f>'score estimates'!$G494</f>
        <v>425</v>
      </c>
      <c r="G494" s="71" t="s">
        <v>983</v>
      </c>
      <c r="H494" s="72" cm="1">
        <f t="array" aca="1" ref="H49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94" s="96">
        <f ca="1">IF(Table2[[#This Row],[Team]]="FA",0,Table2[[#This Row],[Pts/G]]*(1-Table2[[#This Row],[% Pos Overlap]]))</f>
        <v>14.121951219512194</v>
      </c>
      <c r="J494" s="72" cm="1">
        <f t="array" aca="1" ref="J494" ca="1">(INDIRECT(ADDRESS((_xlfn.XMATCH(Table2[[#This Row],[Team]],Schedule!$A$1:$A$33)),5,1,1,"Sched Overlap")))</f>
        <v>0.67236467236467234</v>
      </c>
      <c r="K494" s="92" cm="1">
        <f t="array" aca="1" ref="K49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94" s="95">
        <f ca="1">IF(Table2[[#This Row],[Team]]="FA",0,Table2[[#This Row],[Pts/G]]*(Table2[[#This Row],[Games Playable]]/82))</f>
        <v>14.121951219512194</v>
      </c>
      <c r="M494" s="95" cm="1">
        <f t="array" aca="1" ref="M494" ca="1">Table2[[#This Row],[Playable x Score]]*_xlfn.IFS(Table2[[#This Row],[Pos]]="D",assumptions!$B$15,Table2[[#This Row],[Pos]]="F", assumptions!$B$14,Table2[[#This Row],[Pos]]="G",assumptions!$B$16)</f>
        <v>17.652439024390244</v>
      </c>
    </row>
    <row r="495" spans="1:13" x14ac:dyDescent="0.3">
      <c r="A495">
        <f>'score estimates'!$A495</f>
        <v>492</v>
      </c>
      <c r="B495" t="str">
        <f>'score estimates'!$B495</f>
        <v>Nikita Zadorov</v>
      </c>
      <c r="C495" t="str">
        <f>'score estimates'!$D495</f>
        <v>D</v>
      </c>
      <c r="D495" t="str">
        <f>'score estimates'!$C495</f>
        <v>CGY</v>
      </c>
      <c r="E495" s="75">
        <f>'score estimates'!$F495</f>
        <v>12.951219512195122</v>
      </c>
      <c r="F495" s="71">
        <f>'score estimates'!$G495</f>
        <v>461</v>
      </c>
      <c r="G495" s="71" t="s">
        <v>983</v>
      </c>
      <c r="H495" s="72" cm="1">
        <f t="array" aca="1" ref="H49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95" s="96">
        <f ca="1">IF(Table2[[#This Row],[Team]]="FA",0,Table2[[#This Row],[Pts/G]]*(1-Table2[[#This Row],[% Pos Overlap]]))</f>
        <v>12.951219512195122</v>
      </c>
      <c r="J495" s="72" cm="1">
        <f t="array" aca="1" ref="J495" ca="1">(INDIRECT(ADDRESS((_xlfn.XMATCH(Table2[[#This Row],[Team]],Schedule!$A$1:$A$33)),5,1,1,"Sched Overlap")))</f>
        <v>0.63003663003663002</v>
      </c>
      <c r="K495" s="92" cm="1">
        <f t="array" aca="1" ref="K49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95" s="95">
        <f ca="1">IF(Table2[[#This Row],[Team]]="FA",0,Table2[[#This Row],[Pts/G]]*(Table2[[#This Row],[Games Playable]]/82))</f>
        <v>12.951219512195122</v>
      </c>
      <c r="M495" s="95" cm="1">
        <f t="array" aca="1" ref="M495" ca="1">Table2[[#This Row],[Playable x Score]]*_xlfn.IFS(Table2[[#This Row],[Pos]]="D",assumptions!$B$15,Table2[[#This Row],[Pos]]="F", assumptions!$B$14,Table2[[#This Row],[Pos]]="G",assumptions!$B$16)</f>
        <v>16.189024390243901</v>
      </c>
    </row>
    <row r="496" spans="1:13" x14ac:dyDescent="0.3">
      <c r="A496">
        <f>'score estimates'!$A496</f>
        <v>493</v>
      </c>
      <c r="B496" t="str">
        <f>'score estimates'!$B496</f>
        <v>Jake McCabe</v>
      </c>
      <c r="C496" t="str">
        <f>'score estimates'!$D496</f>
        <v>D</v>
      </c>
      <c r="D496" t="str">
        <f>'score estimates'!$C496</f>
        <v>CHI</v>
      </c>
      <c r="E496" s="75">
        <f>'score estimates'!$F496</f>
        <v>9.9756097560975618</v>
      </c>
      <c r="F496" s="71">
        <f>'score estimates'!$G496</f>
        <v>564</v>
      </c>
      <c r="G496" s="71" t="s">
        <v>983</v>
      </c>
      <c r="H496" s="72" cm="1">
        <f t="array" aca="1" ref="H49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96" s="96">
        <f ca="1">IF(Table2[[#This Row],[Team]]="FA",0,Table2[[#This Row],[Pts/G]]*(1-Table2[[#This Row],[% Pos Overlap]]))</f>
        <v>9.9756097560975618</v>
      </c>
      <c r="J496" s="72" cm="1">
        <f t="array" aca="1" ref="J496" ca="1">(INDIRECT(ADDRESS((_xlfn.XMATCH(Table2[[#This Row],[Team]],Schedule!$A$1:$A$33)),5,1,1,"Sched Overlap")))</f>
        <v>0.6243386243386243</v>
      </c>
      <c r="K496" s="92" cm="1">
        <f t="array" aca="1" ref="K49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96" s="95">
        <f ca="1">IF(Table2[[#This Row],[Team]]="FA",0,Table2[[#This Row],[Pts/G]]*(Table2[[#This Row],[Games Playable]]/82))</f>
        <v>9.9756097560975618</v>
      </c>
      <c r="M496" s="95" cm="1">
        <f t="array" aca="1" ref="M496" ca="1">Table2[[#This Row],[Playable x Score]]*_xlfn.IFS(Table2[[#This Row],[Pos]]="D",assumptions!$B$15,Table2[[#This Row],[Pos]]="F", assumptions!$B$14,Table2[[#This Row],[Pos]]="G",assumptions!$B$16)</f>
        <v>12.469512195121952</v>
      </c>
    </row>
    <row r="497" spans="1:13" x14ac:dyDescent="0.3">
      <c r="A497">
        <f>'score estimates'!$A497</f>
        <v>494</v>
      </c>
      <c r="B497" t="str">
        <f>'score estimates'!$B497</f>
        <v>Jason Dickinson</v>
      </c>
      <c r="C497" t="str">
        <f>'score estimates'!$D497</f>
        <v>F</v>
      </c>
      <c r="D497" t="str">
        <f>'score estimates'!$C497</f>
        <v>VAN</v>
      </c>
      <c r="E497" s="75">
        <f>'score estimates'!$F497</f>
        <v>9.7926829268292686</v>
      </c>
      <c r="F497" s="71">
        <f>'score estimates'!$G497</f>
        <v>573</v>
      </c>
      <c r="G497" s="71" t="s">
        <v>983</v>
      </c>
      <c r="H497" s="72" cm="1">
        <f t="array" aca="1" ref="H49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97" s="96">
        <f ca="1">IF(Table2[[#This Row],[Team]]="FA",0,Table2[[#This Row],[Pts/G]]*(1-Table2[[#This Row],[% Pos Overlap]]))</f>
        <v>9.7926829268292686</v>
      </c>
      <c r="J497" s="72" cm="1">
        <f t="array" aca="1" ref="J497" ca="1">(INDIRECT(ADDRESS((_xlfn.XMATCH(Table2[[#This Row],[Team]],Schedule!$A$1:$A$33)),5,1,1,"Sched Overlap")))</f>
        <v>0.62922262922262917</v>
      </c>
      <c r="K497" s="92" cm="1">
        <f t="array" aca="1" ref="K49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97" s="95">
        <f ca="1">IF(Table2[[#This Row],[Team]]="FA",0,Table2[[#This Row],[Pts/G]]*(Table2[[#This Row],[Games Playable]]/82))</f>
        <v>9.7926829268292686</v>
      </c>
      <c r="M497" s="95" cm="1">
        <f t="array" aca="1" ref="M497" ca="1">Table2[[#This Row],[Playable x Score]]*_xlfn.IFS(Table2[[#This Row],[Pos]]="D",assumptions!$B$15,Table2[[#This Row],[Pos]]="F", assumptions!$B$14,Table2[[#This Row],[Pos]]="G",assumptions!$B$16)</f>
        <v>9.7926829268292686</v>
      </c>
    </row>
    <row r="498" spans="1:13" x14ac:dyDescent="0.3">
      <c r="A498">
        <f>'score estimates'!$A498</f>
        <v>495</v>
      </c>
      <c r="B498" t="str">
        <f>'score estimates'!$B498</f>
        <v>Luke Glendening</v>
      </c>
      <c r="C498" t="str">
        <f>'score estimates'!$D498</f>
        <v>F</v>
      </c>
      <c r="D498" t="str">
        <f>'score estimates'!$C498</f>
        <v>DAL</v>
      </c>
      <c r="E498" s="75">
        <f>'score estimates'!$F498</f>
        <v>10.865853658536585</v>
      </c>
      <c r="F498" s="71">
        <f>'score estimates'!$G498</f>
        <v>534</v>
      </c>
      <c r="G498" s="71" t="s">
        <v>983</v>
      </c>
      <c r="H498" s="72" cm="1">
        <f t="array" aca="1" ref="H49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98" s="96">
        <f ca="1">IF(Table2[[#This Row],[Team]]="FA",0,Table2[[#This Row],[Pts/G]]*(1-Table2[[#This Row],[% Pos Overlap]]))</f>
        <v>10.865853658536585</v>
      </c>
      <c r="J498" s="72" cm="1">
        <f t="array" aca="1" ref="J498" ca="1">(INDIRECT(ADDRESS((_xlfn.XMATCH(Table2[[#This Row],[Team]],Schedule!$A$1:$A$33)),5,1,1,"Sched Overlap")))</f>
        <v>0.65364265364265373</v>
      </c>
      <c r="K498" s="92" cm="1">
        <f t="array" aca="1" ref="K49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98" s="95">
        <f ca="1">IF(Table2[[#This Row],[Team]]="FA",0,Table2[[#This Row],[Pts/G]]*(Table2[[#This Row],[Games Playable]]/82))</f>
        <v>10.865853658536585</v>
      </c>
      <c r="M498" s="95" cm="1">
        <f t="array" aca="1" ref="M498" ca="1">Table2[[#This Row],[Playable x Score]]*_xlfn.IFS(Table2[[#This Row],[Pos]]="D",assumptions!$B$15,Table2[[#This Row],[Pos]]="F", assumptions!$B$14,Table2[[#This Row],[Pos]]="G",assumptions!$B$16)</f>
        <v>10.865853658536585</v>
      </c>
    </row>
    <row r="499" spans="1:13" x14ac:dyDescent="0.3">
      <c r="A499">
        <f>'score estimates'!$A499</f>
        <v>496</v>
      </c>
      <c r="B499" t="str">
        <f>'score estimates'!$B499</f>
        <v>Colin Miller</v>
      </c>
      <c r="C499" t="str">
        <f>'score estimates'!$D499</f>
        <v>D</v>
      </c>
      <c r="D499" t="str">
        <f>'score estimates'!$C499</f>
        <v>DAL</v>
      </c>
      <c r="E499" s="75">
        <f>'score estimates'!$F499</f>
        <v>8.4756097560975618</v>
      </c>
      <c r="F499" s="71">
        <f>'score estimates'!$G499</f>
        <v>609</v>
      </c>
      <c r="G499" s="71" t="s">
        <v>983</v>
      </c>
      <c r="H499" s="72" cm="1">
        <f t="array" aca="1" ref="H49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499" s="96">
        <f ca="1">IF(Table2[[#This Row],[Team]]="FA",0,Table2[[#This Row],[Pts/G]]*(1-Table2[[#This Row],[% Pos Overlap]]))</f>
        <v>8.4756097560975618</v>
      </c>
      <c r="J499" s="72" cm="1">
        <f t="array" aca="1" ref="J499" ca="1">(INDIRECT(ADDRESS((_xlfn.XMATCH(Table2[[#This Row],[Team]],Schedule!$A$1:$A$33)),5,1,1,"Sched Overlap")))</f>
        <v>0.65364265364265373</v>
      </c>
      <c r="K499" s="92" cm="1">
        <f t="array" aca="1" ref="K49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499" s="95">
        <f ca="1">IF(Table2[[#This Row],[Team]]="FA",0,Table2[[#This Row],[Pts/G]]*(Table2[[#This Row],[Games Playable]]/82))</f>
        <v>8.4756097560975618</v>
      </c>
      <c r="M499" s="95" cm="1">
        <f t="array" aca="1" ref="M499" ca="1">Table2[[#This Row],[Playable x Score]]*_xlfn.IFS(Table2[[#This Row],[Pos]]="D",assumptions!$B$15,Table2[[#This Row],[Pos]]="F", assumptions!$B$14,Table2[[#This Row],[Pos]]="G",assumptions!$B$16)</f>
        <v>10.594512195121952</v>
      </c>
    </row>
    <row r="500" spans="1:13" x14ac:dyDescent="0.3">
      <c r="A500">
        <f>'score estimates'!$A500</f>
        <v>497</v>
      </c>
      <c r="B500" t="str">
        <f>'score estimates'!$B500</f>
        <v>Tyler Bozak</v>
      </c>
      <c r="C500" t="str">
        <f>'score estimates'!$D500</f>
        <v>F</v>
      </c>
      <c r="D500" t="str">
        <f>'score estimates'!$C500</f>
        <v>FA</v>
      </c>
      <c r="E500" s="75">
        <f>'score estimates'!$F500</f>
        <v>7.0487804878048781</v>
      </c>
      <c r="F500" s="71">
        <f>'score estimates'!$G500</f>
        <v>642</v>
      </c>
      <c r="G500" s="71" t="s">
        <v>983</v>
      </c>
      <c r="H500" s="72" t="e" cm="1">
        <f t="array" aca="1" ref="H500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500" s="96">
        <f>IF(Table2[[#This Row],[Team]]="FA",0,Table2[[#This Row],[Pts/G]]*(1-Table2[[#This Row],[% Pos Overlap]]))</f>
        <v>0</v>
      </c>
      <c r="J500" s="72" t="e" cm="1">
        <f t="array" aca="1" ref="J500" ca="1">(INDIRECT(ADDRESS((_xlfn.XMATCH(Table2[[#This Row],[Team]],Schedule!$A$1:$A$33)),5,1,1,"Sched Overlap")))</f>
        <v>#N/A</v>
      </c>
      <c r="K500" s="92" t="e" cm="1">
        <f t="array" aca="1" ref="K500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500" s="95">
        <f>IF(Table2[[#This Row],[Team]]="FA",0,Table2[[#This Row],[Pts/G]]*(Table2[[#This Row],[Games Playable]]/82))</f>
        <v>0</v>
      </c>
      <c r="M500" s="95" cm="1">
        <f t="array" ref="M500">Table2[[#This Row],[Playable x Score]]*_xlfn.IFS(Table2[[#This Row],[Pos]]="D",assumptions!$B$15,Table2[[#This Row],[Pos]]="F", assumptions!$B$14,Table2[[#This Row],[Pos]]="G",assumptions!$B$16)</f>
        <v>0</v>
      </c>
    </row>
    <row r="501" spans="1:13" x14ac:dyDescent="0.3">
      <c r="A501">
        <f>'score estimates'!$A501</f>
        <v>498</v>
      </c>
      <c r="B501" t="str">
        <f>'score estimates'!$B501</f>
        <v>Michael Del Zotto</v>
      </c>
      <c r="C501" t="str">
        <f>'score estimates'!$D501</f>
        <v>D</v>
      </c>
      <c r="D501" t="str">
        <f>'score estimates'!$C501</f>
        <v>FLA</v>
      </c>
      <c r="E501" s="75">
        <f>'score estimates'!$F501</f>
        <v>9.1463414634146343</v>
      </c>
      <c r="F501" s="71">
        <f>'score estimates'!$G501</f>
        <v>586</v>
      </c>
      <c r="G501" s="71" t="s">
        <v>983</v>
      </c>
      <c r="H501" s="72" cm="1">
        <f t="array" aca="1" ref="H50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01" s="96">
        <f ca="1">IF(Table2[[#This Row],[Team]]="FA",0,Table2[[#This Row],[Pts/G]]*(1-Table2[[#This Row],[% Pos Overlap]]))</f>
        <v>9.1463414634146343</v>
      </c>
      <c r="J501" s="72" cm="1">
        <f t="array" aca="1" ref="J501" ca="1">(INDIRECT(ADDRESS((_xlfn.XMATCH(Table2[[#This Row],[Team]],Schedule!$A$1:$A$33)),5,1,1,"Sched Overlap")))</f>
        <v>0.64387464387464377</v>
      </c>
      <c r="K501" s="92" cm="1">
        <f t="array" aca="1" ref="K50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01" s="95">
        <f ca="1">IF(Table2[[#This Row],[Team]]="FA",0,Table2[[#This Row],[Pts/G]]*(Table2[[#This Row],[Games Playable]]/82))</f>
        <v>9.1463414634146343</v>
      </c>
      <c r="M501" s="95" cm="1">
        <f t="array" aca="1" ref="M501" ca="1">Table2[[#This Row],[Playable x Score]]*_xlfn.IFS(Table2[[#This Row],[Pos]]="D",assumptions!$B$15,Table2[[#This Row],[Pos]]="F", assumptions!$B$14,Table2[[#This Row],[Pos]]="G",assumptions!$B$16)</f>
        <v>11.432926829268293</v>
      </c>
    </row>
    <row r="502" spans="1:13" x14ac:dyDescent="0.3">
      <c r="A502">
        <f>'score estimates'!$A502</f>
        <v>499</v>
      </c>
      <c r="B502" t="str">
        <f>'score estimates'!$B502</f>
        <v>Luke Schenn</v>
      </c>
      <c r="C502" t="str">
        <f>'score estimates'!$D502</f>
        <v>D</v>
      </c>
      <c r="D502" t="str">
        <f>'score estimates'!$C502</f>
        <v>VAN</v>
      </c>
      <c r="E502" s="75">
        <f>'score estimates'!$F502</f>
        <v>16.243902439024389</v>
      </c>
      <c r="F502" s="71">
        <f>'score estimates'!$G502</f>
        <v>351</v>
      </c>
      <c r="G502" s="71" t="s">
        <v>983</v>
      </c>
      <c r="H502" s="72" cm="1">
        <f t="array" aca="1" ref="H50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02" s="96">
        <f ca="1">IF(Table2[[#This Row],[Team]]="FA",0,Table2[[#This Row],[Pts/G]]*(1-Table2[[#This Row],[% Pos Overlap]]))</f>
        <v>16.243902439024389</v>
      </c>
      <c r="J502" s="72" cm="1">
        <f t="array" aca="1" ref="J502" ca="1">(INDIRECT(ADDRESS((_xlfn.XMATCH(Table2[[#This Row],[Team]],Schedule!$A$1:$A$33)),5,1,1,"Sched Overlap")))</f>
        <v>0.62922262922262917</v>
      </c>
      <c r="K502" s="92" cm="1">
        <f t="array" aca="1" ref="K50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02" s="95">
        <f ca="1">IF(Table2[[#This Row],[Team]]="FA",0,Table2[[#This Row],[Pts/G]]*(Table2[[#This Row],[Games Playable]]/82))</f>
        <v>16.243902439024389</v>
      </c>
      <c r="M502" s="95" cm="1">
        <f t="array" aca="1" ref="M502" ca="1">Table2[[#This Row],[Playable x Score]]*_xlfn.IFS(Table2[[#This Row],[Pos]]="D",assumptions!$B$15,Table2[[#This Row],[Pos]]="F", assumptions!$B$14,Table2[[#This Row],[Pos]]="G",assumptions!$B$16)</f>
        <v>20.304878048780488</v>
      </c>
    </row>
    <row r="503" spans="1:13" x14ac:dyDescent="0.3">
      <c r="A503">
        <f>'score estimates'!$A503</f>
        <v>500</v>
      </c>
      <c r="B503" t="str">
        <f>'score estimates'!$B503</f>
        <v>Loui Eriksson</v>
      </c>
      <c r="C503" t="str">
        <f>'score estimates'!$D503</f>
        <v>F</v>
      </c>
      <c r="D503" t="str">
        <f>'score estimates'!$C503</f>
        <v>FA</v>
      </c>
      <c r="E503" s="75">
        <f>'score estimates'!$F503</f>
        <v>5.8048780487804876</v>
      </c>
      <c r="F503" s="71">
        <f>'score estimates'!$G503</f>
        <v>694</v>
      </c>
      <c r="G503" s="71" t="s">
        <v>983</v>
      </c>
      <c r="H503" s="72" t="e" cm="1">
        <f t="array" aca="1" ref="H503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503" s="96">
        <f>IF(Table2[[#This Row],[Team]]="FA",0,Table2[[#This Row],[Pts/G]]*(1-Table2[[#This Row],[% Pos Overlap]]))</f>
        <v>0</v>
      </c>
      <c r="J503" s="72" t="e" cm="1">
        <f t="array" aca="1" ref="J503" ca="1">(INDIRECT(ADDRESS((_xlfn.XMATCH(Table2[[#This Row],[Team]],Schedule!$A$1:$A$33)),5,1,1,"Sched Overlap")))</f>
        <v>#N/A</v>
      </c>
      <c r="K503" s="92" t="e" cm="1">
        <f t="array" aca="1" ref="K503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503" s="95">
        <f>IF(Table2[[#This Row],[Team]]="FA",0,Table2[[#This Row],[Pts/G]]*(Table2[[#This Row],[Games Playable]]/82))</f>
        <v>0</v>
      </c>
      <c r="M503" s="95" cm="1">
        <f t="array" ref="M503">Table2[[#This Row],[Playable x Score]]*_xlfn.IFS(Table2[[#This Row],[Pos]]="D",assumptions!$B$15,Table2[[#This Row],[Pos]]="F", assumptions!$B$14,Table2[[#This Row],[Pos]]="G",assumptions!$B$16)</f>
        <v>0</v>
      </c>
    </row>
    <row r="504" spans="1:13" x14ac:dyDescent="0.3">
      <c r="A504">
        <f>'score estimates'!$A504</f>
        <v>501</v>
      </c>
      <c r="B504" t="str">
        <f>'score estimates'!$B504</f>
        <v>Andrew Cogliano</v>
      </c>
      <c r="C504" t="str">
        <f>'score estimates'!$D504</f>
        <v>F</v>
      </c>
      <c r="D504" t="str">
        <f>'score estimates'!$C504</f>
        <v>COL</v>
      </c>
      <c r="E504" s="75">
        <f>'score estimates'!$F504</f>
        <v>9.7560975609756095</v>
      </c>
      <c r="F504" s="71">
        <f>'score estimates'!$G504</f>
        <v>574</v>
      </c>
      <c r="G504" s="71" t="s">
        <v>983</v>
      </c>
      <c r="H504" s="72" cm="1">
        <f t="array" aca="1" ref="H50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04" s="96">
        <f ca="1">IF(Table2[[#This Row],[Team]]="FA",0,Table2[[#This Row],[Pts/G]]*(1-Table2[[#This Row],[% Pos Overlap]]))</f>
        <v>9.7560975609756095</v>
      </c>
      <c r="J504" s="72" cm="1">
        <f t="array" aca="1" ref="J504" ca="1">(INDIRECT(ADDRESS((_xlfn.XMATCH(Table2[[#This Row],[Team]],Schedule!$A$1:$A$33)),5,1,1,"Sched Overlap")))</f>
        <v>0.61131461131461151</v>
      </c>
      <c r="K504" s="92" cm="1">
        <f t="array" aca="1" ref="K50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04" s="95">
        <f ca="1">IF(Table2[[#This Row],[Team]]="FA",0,Table2[[#This Row],[Pts/G]]*(Table2[[#This Row],[Games Playable]]/82))</f>
        <v>9.7560975609756095</v>
      </c>
      <c r="M504" s="95" cm="1">
        <f t="array" aca="1" ref="M504" ca="1">Table2[[#This Row],[Playable x Score]]*_xlfn.IFS(Table2[[#This Row],[Pos]]="D",assumptions!$B$15,Table2[[#This Row],[Pos]]="F", assumptions!$B$14,Table2[[#This Row],[Pos]]="G",assumptions!$B$16)</f>
        <v>9.7560975609756095</v>
      </c>
    </row>
    <row r="505" spans="1:13" x14ac:dyDescent="0.3">
      <c r="A505">
        <f>'score estimates'!$A505</f>
        <v>502</v>
      </c>
      <c r="B505" t="str">
        <f>'score estimates'!$B505</f>
        <v>Casey Cizikas</v>
      </c>
      <c r="C505" t="str">
        <f>'score estimates'!$D505</f>
        <v>F</v>
      </c>
      <c r="D505" t="str">
        <f>'score estimates'!$C505</f>
        <v>NYI</v>
      </c>
      <c r="E505" s="75">
        <f>'score estimates'!$F505</f>
        <v>11.573170731707316</v>
      </c>
      <c r="F505" s="71">
        <f>'score estimates'!$G505</f>
        <v>511</v>
      </c>
      <c r="G505" s="71" t="s">
        <v>983</v>
      </c>
      <c r="H505" s="72" cm="1">
        <f t="array" aca="1" ref="H50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05" s="96">
        <f ca="1">IF(Table2[[#This Row],[Team]]="FA",0,Table2[[#This Row],[Pts/G]]*(1-Table2[[#This Row],[% Pos Overlap]]))</f>
        <v>11.573170731707316</v>
      </c>
      <c r="J505" s="72" cm="1">
        <f t="array" aca="1" ref="J505" ca="1">(INDIRECT(ADDRESS((_xlfn.XMATCH(Table2[[#This Row],[Team]],Schedule!$A$1:$A$33)),5,1,1,"Sched Overlap")))</f>
        <v>0.63166463166463194</v>
      </c>
      <c r="K505" s="92" cm="1">
        <f t="array" aca="1" ref="K50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05" s="95">
        <f ca="1">IF(Table2[[#This Row],[Team]]="FA",0,Table2[[#This Row],[Pts/G]]*(Table2[[#This Row],[Games Playable]]/82))</f>
        <v>11.573170731707316</v>
      </c>
      <c r="M505" s="95" cm="1">
        <f t="array" aca="1" ref="M505" ca="1">Table2[[#This Row],[Playable x Score]]*_xlfn.IFS(Table2[[#This Row],[Pos]]="D",assumptions!$B$15,Table2[[#This Row],[Pos]]="F", assumptions!$B$14,Table2[[#This Row],[Pos]]="G",assumptions!$B$16)</f>
        <v>11.573170731707316</v>
      </c>
    </row>
    <row r="506" spans="1:13" x14ac:dyDescent="0.3">
      <c r="A506">
        <f>'score estimates'!$A506</f>
        <v>503</v>
      </c>
      <c r="B506" t="str">
        <f>'score estimates'!$B506</f>
        <v>Chris Tanev</v>
      </c>
      <c r="C506" t="str">
        <f>'score estimates'!$D506</f>
        <v>D</v>
      </c>
      <c r="D506" t="str">
        <f>'score estimates'!$C506</f>
        <v>CGY</v>
      </c>
      <c r="E506" s="75">
        <f>'score estimates'!$F506</f>
        <v>13.75609756097561</v>
      </c>
      <c r="F506" s="71">
        <f>'score estimates'!$G506</f>
        <v>434</v>
      </c>
      <c r="G506" s="71" t="s">
        <v>983</v>
      </c>
      <c r="H506" s="72" cm="1">
        <f t="array" aca="1" ref="H50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06" s="96">
        <f ca="1">IF(Table2[[#This Row],[Team]]="FA",0,Table2[[#This Row],[Pts/G]]*(1-Table2[[#This Row],[% Pos Overlap]]))</f>
        <v>13.75609756097561</v>
      </c>
      <c r="J506" s="72" cm="1">
        <f t="array" aca="1" ref="J506" ca="1">(INDIRECT(ADDRESS((_xlfn.XMATCH(Table2[[#This Row],[Team]],Schedule!$A$1:$A$33)),5,1,1,"Sched Overlap")))</f>
        <v>0.63003663003663002</v>
      </c>
      <c r="K506" s="92" cm="1">
        <f t="array" aca="1" ref="K50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06" s="95">
        <f ca="1">IF(Table2[[#This Row],[Team]]="FA",0,Table2[[#This Row],[Pts/G]]*(Table2[[#This Row],[Games Playable]]/82))</f>
        <v>13.75609756097561</v>
      </c>
      <c r="M506" s="95" cm="1">
        <f t="array" aca="1" ref="M506" ca="1">Table2[[#This Row],[Playable x Score]]*_xlfn.IFS(Table2[[#This Row],[Pos]]="D",assumptions!$B$15,Table2[[#This Row],[Pos]]="F", assumptions!$B$14,Table2[[#This Row],[Pos]]="G",assumptions!$B$16)</f>
        <v>17.195121951219512</v>
      </c>
    </row>
    <row r="507" spans="1:13" x14ac:dyDescent="0.3">
      <c r="A507">
        <f>'score estimates'!$A507</f>
        <v>504</v>
      </c>
      <c r="B507" t="str">
        <f>'score estimates'!$B507</f>
        <v>Carl Hagelin</v>
      </c>
      <c r="C507" t="str">
        <f>'score estimates'!$D507</f>
        <v>F</v>
      </c>
      <c r="D507" t="str">
        <f>'score estimates'!$C507</f>
        <v>WAS</v>
      </c>
      <c r="E507" s="75">
        <f>'score estimates'!$F507</f>
        <v>9.4268292682926838</v>
      </c>
      <c r="F507" s="71">
        <f>'score estimates'!$G507</f>
        <v>580</v>
      </c>
      <c r="G507" s="71" t="s">
        <v>983</v>
      </c>
      <c r="H507" s="72" cm="1">
        <f t="array" aca="1" ref="H50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07" s="96">
        <f ca="1">IF(Table2[[#This Row],[Team]]="FA",0,Table2[[#This Row],[Pts/G]]*(1-Table2[[#This Row],[% Pos Overlap]]))</f>
        <v>9.4268292682926838</v>
      </c>
      <c r="J507" s="72" cm="1">
        <f t="array" aca="1" ref="J507" ca="1">(INDIRECT(ADDRESS((_xlfn.XMATCH(Table2[[#This Row],[Team]],Schedule!$A$1:$A$33)),5,1,1,"Sched Overlap")))</f>
        <v>0.65282865282865288</v>
      </c>
      <c r="K507" s="92" cm="1">
        <f t="array" aca="1" ref="K50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07" s="95">
        <f ca="1">IF(Table2[[#This Row],[Team]]="FA",0,Table2[[#This Row],[Pts/G]]*(Table2[[#This Row],[Games Playable]]/82))</f>
        <v>9.4268292682926838</v>
      </c>
      <c r="M507" s="95" cm="1">
        <f t="array" aca="1" ref="M507" ca="1">Table2[[#This Row],[Playable x Score]]*_xlfn.IFS(Table2[[#This Row],[Pos]]="D",assumptions!$B$15,Table2[[#This Row],[Pos]]="F", assumptions!$B$14,Table2[[#This Row],[Pos]]="G",assumptions!$B$16)</f>
        <v>9.4268292682926838</v>
      </c>
    </row>
    <row r="508" spans="1:13" x14ac:dyDescent="0.3">
      <c r="A508">
        <f>'score estimates'!$A508</f>
        <v>505</v>
      </c>
      <c r="B508" t="str">
        <f>'score estimates'!$B508</f>
        <v>Austin Watson</v>
      </c>
      <c r="C508" t="str">
        <f>'score estimates'!$D508</f>
        <v>F</v>
      </c>
      <c r="D508" t="str">
        <f>'score estimates'!$C508</f>
        <v>OTT</v>
      </c>
      <c r="E508" s="75">
        <f>'score estimates'!$F508</f>
        <v>13.695121951219512</v>
      </c>
      <c r="F508" s="71">
        <f>'score estimates'!$G508</f>
        <v>437</v>
      </c>
      <c r="G508" s="71" t="s">
        <v>983</v>
      </c>
      <c r="H508" s="72" cm="1">
        <f t="array" aca="1" ref="H50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08" s="96">
        <f ca="1">IF(Table2[[#This Row],[Team]]="FA",0,Table2[[#This Row],[Pts/G]]*(1-Table2[[#This Row],[% Pos Overlap]]))</f>
        <v>13.695121951219512</v>
      </c>
      <c r="J508" s="72" cm="1">
        <f t="array" aca="1" ref="J508" ca="1">(INDIRECT(ADDRESS((_xlfn.XMATCH(Table2[[#This Row],[Team]],Schedule!$A$1:$A$33)),5,1,1,"Sched Overlap")))</f>
        <v>0.64306064306064303</v>
      </c>
      <c r="K508" s="92" cm="1">
        <f t="array" aca="1" ref="K50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08" s="95">
        <f ca="1">IF(Table2[[#This Row],[Team]]="FA",0,Table2[[#This Row],[Pts/G]]*(Table2[[#This Row],[Games Playable]]/82))</f>
        <v>13.695121951219512</v>
      </c>
      <c r="M508" s="95" cm="1">
        <f t="array" aca="1" ref="M508" ca="1">Table2[[#This Row],[Playable x Score]]*_xlfn.IFS(Table2[[#This Row],[Pos]]="D",assumptions!$B$15,Table2[[#This Row],[Pos]]="F", assumptions!$B$14,Table2[[#This Row],[Pos]]="G",assumptions!$B$16)</f>
        <v>13.695121951219512</v>
      </c>
    </row>
    <row r="509" spans="1:13" x14ac:dyDescent="0.3">
      <c r="A509">
        <f>'score estimates'!$A509</f>
        <v>506</v>
      </c>
      <c r="B509" t="str">
        <f>'score estimates'!$B509</f>
        <v>Joel Edmundson</v>
      </c>
      <c r="C509" t="str">
        <f>'score estimates'!$D509</f>
        <v>D</v>
      </c>
      <c r="D509" t="str">
        <f>'score estimates'!$C509</f>
        <v>MON</v>
      </c>
      <c r="E509" s="75">
        <f>'score estimates'!$F509</f>
        <v>13.439024390243903</v>
      </c>
      <c r="F509" s="71">
        <f>'score estimates'!$G509</f>
        <v>451</v>
      </c>
      <c r="G509" s="71" t="s">
        <v>983</v>
      </c>
      <c r="H509" s="72" cm="1">
        <f t="array" aca="1" ref="H50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09" s="96">
        <f ca="1">IF(Table2[[#This Row],[Team]]="FA",0,Table2[[#This Row],[Pts/G]]*(1-Table2[[#This Row],[% Pos Overlap]]))</f>
        <v>13.439024390243903</v>
      </c>
      <c r="J509" s="72" cm="1">
        <f t="array" aca="1" ref="J509" ca="1">(INDIRECT(ADDRESS((_xlfn.XMATCH(Table2[[#This Row],[Team]],Schedule!$A$1:$A$33)),5,1,1,"Sched Overlap")))</f>
        <v>0.66666666666666685</v>
      </c>
      <c r="K509" s="92" cm="1">
        <f t="array" aca="1" ref="K50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09" s="95">
        <f ca="1">IF(Table2[[#This Row],[Team]]="FA",0,Table2[[#This Row],[Pts/G]]*(Table2[[#This Row],[Games Playable]]/82))</f>
        <v>13.439024390243903</v>
      </c>
      <c r="M509" s="95" cm="1">
        <f t="array" aca="1" ref="M509" ca="1">Table2[[#This Row],[Playable x Score]]*_xlfn.IFS(Table2[[#This Row],[Pos]]="D",assumptions!$B$15,Table2[[#This Row],[Pos]]="F", assumptions!$B$14,Table2[[#This Row],[Pos]]="G",assumptions!$B$16)</f>
        <v>16.79878048780488</v>
      </c>
    </row>
    <row r="510" spans="1:13" x14ac:dyDescent="0.3">
      <c r="A510">
        <f>'score estimates'!$A510</f>
        <v>507</v>
      </c>
      <c r="B510" t="str">
        <f>'score estimates'!$B510</f>
        <v>Jamie Oleksiak</v>
      </c>
      <c r="C510" t="str">
        <f>'score estimates'!$D510</f>
        <v>D</v>
      </c>
      <c r="D510" t="str">
        <f>'score estimates'!$C510</f>
        <v>SEA</v>
      </c>
      <c r="E510" s="75">
        <f>'score estimates'!$F510</f>
        <v>13.780487804878049</v>
      </c>
      <c r="F510" s="71">
        <f>'score estimates'!$G510</f>
        <v>431</v>
      </c>
      <c r="G510" s="71" t="s">
        <v>983</v>
      </c>
      <c r="H510" s="72" cm="1">
        <f t="array" aca="1" ref="H51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10" s="96">
        <f ca="1">IF(Table2[[#This Row],[Team]]="FA",0,Table2[[#This Row],[Pts/G]]*(1-Table2[[#This Row],[% Pos Overlap]]))</f>
        <v>13.780487804878049</v>
      </c>
      <c r="J510" s="72" cm="1">
        <f t="array" aca="1" ref="J510" ca="1">(INDIRECT(ADDRESS((_xlfn.XMATCH(Table2[[#This Row],[Team]],Schedule!$A$1:$A$33)),5,1,1,"Sched Overlap")))</f>
        <v>0.63085063085063087</v>
      </c>
      <c r="K510" s="92" cm="1">
        <f t="array" aca="1" ref="K51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10" s="95">
        <f ca="1">IF(Table2[[#This Row],[Team]]="FA",0,Table2[[#This Row],[Pts/G]]*(Table2[[#This Row],[Games Playable]]/82))</f>
        <v>13.780487804878049</v>
      </c>
      <c r="M510" s="95" cm="1">
        <f t="array" aca="1" ref="M510" ca="1">Table2[[#This Row],[Playable x Score]]*_xlfn.IFS(Table2[[#This Row],[Pos]]="D",assumptions!$B$15,Table2[[#This Row],[Pos]]="F", assumptions!$B$14,Table2[[#This Row],[Pos]]="G",assumptions!$B$16)</f>
        <v>17.225609756097562</v>
      </c>
    </row>
    <row r="511" spans="1:13" x14ac:dyDescent="0.3">
      <c r="A511">
        <f>'score estimates'!$A511</f>
        <v>508</v>
      </c>
      <c r="B511" t="str">
        <f>'score estimates'!$B511</f>
        <v>Tyler Johnson</v>
      </c>
      <c r="C511" t="str">
        <f>'score estimates'!$D511</f>
        <v>F</v>
      </c>
      <c r="D511" t="str">
        <f>'score estimates'!$C511</f>
        <v>CHI</v>
      </c>
      <c r="E511" s="75">
        <f>'score estimates'!$F511</f>
        <v>7.3536585365853657</v>
      </c>
      <c r="F511" s="71">
        <f>'score estimates'!$G511</f>
        <v>636</v>
      </c>
      <c r="G511" s="71" t="s">
        <v>983</v>
      </c>
      <c r="H511" s="72" cm="1">
        <f t="array" aca="1" ref="H51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11" s="96">
        <f ca="1">IF(Table2[[#This Row],[Team]]="FA",0,Table2[[#This Row],[Pts/G]]*(1-Table2[[#This Row],[% Pos Overlap]]))</f>
        <v>7.3536585365853657</v>
      </c>
      <c r="J511" s="72" cm="1">
        <f t="array" aca="1" ref="J511" ca="1">(INDIRECT(ADDRESS((_xlfn.XMATCH(Table2[[#This Row],[Team]],Schedule!$A$1:$A$33)),5,1,1,"Sched Overlap")))</f>
        <v>0.6243386243386243</v>
      </c>
      <c r="K511" s="92" cm="1">
        <f t="array" aca="1" ref="K51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11" s="95">
        <f ca="1">IF(Table2[[#This Row],[Team]]="FA",0,Table2[[#This Row],[Pts/G]]*(Table2[[#This Row],[Games Playable]]/82))</f>
        <v>7.3536585365853657</v>
      </c>
      <c r="M511" s="95" cm="1">
        <f t="array" aca="1" ref="M511" ca="1">Table2[[#This Row],[Playable x Score]]*_xlfn.IFS(Table2[[#This Row],[Pos]]="D",assumptions!$B$15,Table2[[#This Row],[Pos]]="F", assumptions!$B$14,Table2[[#This Row],[Pos]]="G",assumptions!$B$16)</f>
        <v>7.3536585365853657</v>
      </c>
    </row>
    <row r="512" spans="1:13" x14ac:dyDescent="0.3">
      <c r="A512">
        <f>'score estimates'!$A512</f>
        <v>509</v>
      </c>
      <c r="B512" t="str">
        <f>'score estimates'!$B512</f>
        <v>Matt Nieto</v>
      </c>
      <c r="C512" t="str">
        <f>'score estimates'!$D512</f>
        <v>F</v>
      </c>
      <c r="D512" t="str">
        <f>'score estimates'!$C512</f>
        <v>SJ</v>
      </c>
      <c r="E512" s="75">
        <f>'score estimates'!$F512</f>
        <v>7.4390243902439028</v>
      </c>
      <c r="F512" s="71">
        <f>'score estimates'!$G512</f>
        <v>630</v>
      </c>
      <c r="G512" s="71" t="s">
        <v>983</v>
      </c>
      <c r="H512" s="72" cm="1">
        <f t="array" aca="1" ref="H51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12" s="96">
        <f ca="1">IF(Table2[[#This Row],[Team]]="FA",0,Table2[[#This Row],[Pts/G]]*(1-Table2[[#This Row],[% Pos Overlap]]))</f>
        <v>7.4390243902439028</v>
      </c>
      <c r="J512" s="72" cm="1">
        <f t="array" aca="1" ref="J512" ca="1">(INDIRECT(ADDRESS((_xlfn.XMATCH(Table2[[#This Row],[Team]],Schedule!$A$1:$A$33)),5,1,1,"Sched Overlap")))</f>
        <v>0.63492063492063477</v>
      </c>
      <c r="K512" s="92" cm="1">
        <f t="array" aca="1" ref="K51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12" s="95">
        <f ca="1">IF(Table2[[#This Row],[Team]]="FA",0,Table2[[#This Row],[Pts/G]]*(Table2[[#This Row],[Games Playable]]/82))</f>
        <v>7.4390243902439028</v>
      </c>
      <c r="M512" s="95" cm="1">
        <f t="array" aca="1" ref="M512" ca="1">Table2[[#This Row],[Playable x Score]]*_xlfn.IFS(Table2[[#This Row],[Pos]]="D",assumptions!$B$15,Table2[[#This Row],[Pos]]="F", assumptions!$B$14,Table2[[#This Row],[Pos]]="G",assumptions!$B$16)</f>
        <v>7.4390243902439028</v>
      </c>
    </row>
    <row r="513" spans="1:13" x14ac:dyDescent="0.3">
      <c r="A513">
        <f>'score estimates'!$A513</f>
        <v>510</v>
      </c>
      <c r="B513" t="str">
        <f>'score estimates'!$B513</f>
        <v>Scott Mayfield</v>
      </c>
      <c r="C513" t="str">
        <f>'score estimates'!$D513</f>
        <v>D</v>
      </c>
      <c r="D513" t="str">
        <f>'score estimates'!$C513</f>
        <v>NYI</v>
      </c>
      <c r="E513" s="75">
        <f>'score estimates'!$F513</f>
        <v>13.25609756097561</v>
      </c>
      <c r="F513" s="71">
        <f>'score estimates'!$G513</f>
        <v>457</v>
      </c>
      <c r="G513" s="71" t="s">
        <v>983</v>
      </c>
      <c r="H513" s="72" cm="1">
        <f t="array" aca="1" ref="H51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13" s="96">
        <f ca="1">IF(Table2[[#This Row],[Team]]="FA",0,Table2[[#This Row],[Pts/G]]*(1-Table2[[#This Row],[% Pos Overlap]]))</f>
        <v>13.25609756097561</v>
      </c>
      <c r="J513" s="72" cm="1">
        <f t="array" aca="1" ref="J513" ca="1">(INDIRECT(ADDRESS((_xlfn.XMATCH(Table2[[#This Row],[Team]],Schedule!$A$1:$A$33)),5,1,1,"Sched Overlap")))</f>
        <v>0.63166463166463194</v>
      </c>
      <c r="K513" s="92" cm="1">
        <f t="array" aca="1" ref="K51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13" s="95">
        <f ca="1">IF(Table2[[#This Row],[Team]]="FA",0,Table2[[#This Row],[Pts/G]]*(Table2[[#This Row],[Games Playable]]/82))</f>
        <v>13.25609756097561</v>
      </c>
      <c r="M513" s="95" cm="1">
        <f t="array" aca="1" ref="M513" ca="1">Table2[[#This Row],[Playable x Score]]*_xlfn.IFS(Table2[[#This Row],[Pos]]="D",assumptions!$B$15,Table2[[#This Row],[Pos]]="F", assumptions!$B$14,Table2[[#This Row],[Pos]]="G",assumptions!$B$16)</f>
        <v>16.570121951219512</v>
      </c>
    </row>
    <row r="514" spans="1:13" x14ac:dyDescent="0.3">
      <c r="A514">
        <f>'score estimates'!$A514</f>
        <v>511</v>
      </c>
      <c r="B514" t="str">
        <f>'score estimates'!$B514</f>
        <v>Sam Carrick</v>
      </c>
      <c r="C514" t="str">
        <f>'score estimates'!$D514</f>
        <v>F</v>
      </c>
      <c r="D514" t="str">
        <f>'score estimates'!$C514</f>
        <v>ANH</v>
      </c>
      <c r="E514" s="75">
        <f>'score estimates'!$F514</f>
        <v>9.8902439024390247</v>
      </c>
      <c r="F514" s="71">
        <f>'score estimates'!$G514</f>
        <v>569</v>
      </c>
      <c r="G514" s="71" t="s">
        <v>983</v>
      </c>
      <c r="H514" s="72" cm="1">
        <f t="array" aca="1" ref="H51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14" s="96">
        <f ca="1">IF(Table2[[#This Row],[Team]]="FA",0,Table2[[#This Row],[Pts/G]]*(1-Table2[[#This Row],[% Pos Overlap]]))</f>
        <v>9.8902439024390247</v>
      </c>
      <c r="J514" s="72" cm="1">
        <f t="array" aca="1" ref="J514" ca="1">(INDIRECT(ADDRESS((_xlfn.XMATCH(Table2[[#This Row],[Team]],Schedule!$A$1:$A$33)),5,1,1,"Sched Overlap")))</f>
        <v>0.56410256410256399</v>
      </c>
      <c r="K514" s="92" cm="1">
        <f t="array" aca="1" ref="K51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14" s="95">
        <f ca="1">IF(Table2[[#This Row],[Team]]="FA",0,Table2[[#This Row],[Pts/G]]*(Table2[[#This Row],[Games Playable]]/82))</f>
        <v>9.8902439024390247</v>
      </c>
      <c r="M514" s="95" cm="1">
        <f t="array" aca="1" ref="M514" ca="1">Table2[[#This Row],[Playable x Score]]*_xlfn.IFS(Table2[[#This Row],[Pos]]="D",assumptions!$B$15,Table2[[#This Row],[Pos]]="F", assumptions!$B$14,Table2[[#This Row],[Pos]]="G",assumptions!$B$16)</f>
        <v>9.8902439024390247</v>
      </c>
    </row>
    <row r="515" spans="1:13" x14ac:dyDescent="0.3">
      <c r="A515">
        <f>'score estimates'!$A515</f>
        <v>512</v>
      </c>
      <c r="B515" t="str">
        <f>'score estimates'!$B515</f>
        <v>Riley Sheahan</v>
      </c>
      <c r="C515" t="str">
        <f>'score estimates'!$D515</f>
        <v>F</v>
      </c>
      <c r="D515" t="str">
        <f>'score estimates'!$C515</f>
        <v>BUF</v>
      </c>
      <c r="E515" s="75">
        <f>'score estimates'!$F515</f>
        <v>7.2560975609756095</v>
      </c>
      <c r="F515" s="71">
        <f>'score estimates'!$G515</f>
        <v>638</v>
      </c>
      <c r="G515" s="71" t="s">
        <v>983</v>
      </c>
      <c r="H515" s="72" cm="1">
        <f t="array" aca="1" ref="H51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15" s="96">
        <f ca="1">IF(Table2[[#This Row],[Team]]="FA",0,Table2[[#This Row],[Pts/G]]*(1-Table2[[#This Row],[% Pos Overlap]]))</f>
        <v>7.2560975609756095</v>
      </c>
      <c r="J515" s="72" cm="1">
        <f t="array" aca="1" ref="J515" ca="1">(INDIRECT(ADDRESS((_xlfn.XMATCH(Table2[[#This Row],[Team]],Schedule!$A$1:$A$33)),5,1,1,"Sched Overlap")))</f>
        <v>0.63573463573463573</v>
      </c>
      <c r="K515" s="92" cm="1">
        <f t="array" aca="1" ref="K51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15" s="95">
        <f ca="1">IF(Table2[[#This Row],[Team]]="FA",0,Table2[[#This Row],[Pts/G]]*(Table2[[#This Row],[Games Playable]]/82))</f>
        <v>7.2560975609756095</v>
      </c>
      <c r="M515" s="95" cm="1">
        <f t="array" aca="1" ref="M515" ca="1">Table2[[#This Row],[Playable x Score]]*_xlfn.IFS(Table2[[#This Row],[Pos]]="D",assumptions!$B$15,Table2[[#This Row],[Pos]]="F", assumptions!$B$14,Table2[[#This Row],[Pos]]="G",assumptions!$B$16)</f>
        <v>7.2560975609756095</v>
      </c>
    </row>
    <row r="516" spans="1:13" x14ac:dyDescent="0.3">
      <c r="A516">
        <f>'score estimates'!$A516</f>
        <v>513</v>
      </c>
      <c r="B516" t="str">
        <f>'score estimates'!$B516</f>
        <v>Brayden McNabb</v>
      </c>
      <c r="C516" t="str">
        <f>'score estimates'!$D516</f>
        <v>D</v>
      </c>
      <c r="D516" t="str">
        <f>'score estimates'!$C516</f>
        <v>VGK</v>
      </c>
      <c r="E516" s="75">
        <f>'score estimates'!$F516</f>
        <v>15.792682926829269</v>
      </c>
      <c r="F516" s="71">
        <f>'score estimates'!$G516</f>
        <v>371</v>
      </c>
      <c r="G516" s="71" t="s">
        <v>983</v>
      </c>
      <c r="H516" s="72" cm="1">
        <f t="array" aca="1" ref="H51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16" s="96">
        <f ca="1">IF(Table2[[#This Row],[Team]]="FA",0,Table2[[#This Row],[Pts/G]]*(1-Table2[[#This Row],[% Pos Overlap]]))</f>
        <v>15.792682926829269</v>
      </c>
      <c r="J516" s="72" cm="1">
        <f t="array" aca="1" ref="J516" ca="1">(INDIRECT(ADDRESS((_xlfn.XMATCH(Table2[[#This Row],[Team]],Schedule!$A$1:$A$33)),5,1,1,"Sched Overlap")))</f>
        <v>0.66992266992266991</v>
      </c>
      <c r="K516" s="92" cm="1">
        <f t="array" aca="1" ref="K51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16" s="95">
        <f ca="1">IF(Table2[[#This Row],[Team]]="FA",0,Table2[[#This Row],[Pts/G]]*(Table2[[#This Row],[Games Playable]]/82))</f>
        <v>15.792682926829269</v>
      </c>
      <c r="M516" s="95" cm="1">
        <f t="array" aca="1" ref="M516" ca="1">Table2[[#This Row],[Playable x Score]]*_xlfn.IFS(Table2[[#This Row],[Pos]]="D",assumptions!$B$15,Table2[[#This Row],[Pos]]="F", assumptions!$B$14,Table2[[#This Row],[Pos]]="G",assumptions!$B$16)</f>
        <v>19.740853658536587</v>
      </c>
    </row>
    <row r="517" spans="1:13" x14ac:dyDescent="0.3">
      <c r="A517">
        <f>'score estimates'!$A517</f>
        <v>514</v>
      </c>
      <c r="B517" t="str">
        <f>'score estimates'!$B517</f>
        <v>Marc Staal</v>
      </c>
      <c r="C517" t="str">
        <f>'score estimates'!$D517</f>
        <v>D</v>
      </c>
      <c r="D517" t="str">
        <f>'score estimates'!$C517</f>
        <v>FLA</v>
      </c>
      <c r="E517" s="75">
        <f>'score estimates'!$F517</f>
        <v>10.768292682926829</v>
      </c>
      <c r="F517" s="71">
        <f>'score estimates'!$G517</f>
        <v>536</v>
      </c>
      <c r="G517" s="71" t="s">
        <v>983</v>
      </c>
      <c r="H517" s="72" cm="1">
        <f t="array" aca="1" ref="H51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17" s="96">
        <f ca="1">IF(Table2[[#This Row],[Team]]="FA",0,Table2[[#This Row],[Pts/G]]*(1-Table2[[#This Row],[% Pos Overlap]]))</f>
        <v>10.768292682926829</v>
      </c>
      <c r="J517" s="72" cm="1">
        <f t="array" aca="1" ref="J517" ca="1">(INDIRECT(ADDRESS((_xlfn.XMATCH(Table2[[#This Row],[Team]],Schedule!$A$1:$A$33)),5,1,1,"Sched Overlap")))</f>
        <v>0.64387464387464377</v>
      </c>
      <c r="K517" s="92" cm="1">
        <f t="array" aca="1" ref="K51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17" s="95">
        <f ca="1">IF(Table2[[#This Row],[Team]]="FA",0,Table2[[#This Row],[Pts/G]]*(Table2[[#This Row],[Games Playable]]/82))</f>
        <v>10.768292682926829</v>
      </c>
      <c r="M517" s="95" cm="1">
        <f t="array" aca="1" ref="M517" ca="1">Table2[[#This Row],[Playable x Score]]*_xlfn.IFS(Table2[[#This Row],[Pos]]="D",assumptions!$B$15,Table2[[#This Row],[Pos]]="F", assumptions!$B$14,Table2[[#This Row],[Pos]]="G",assumptions!$B$16)</f>
        <v>13.460365853658535</v>
      </c>
    </row>
    <row r="518" spans="1:13" x14ac:dyDescent="0.3">
      <c r="A518">
        <f>'score estimates'!$A518</f>
        <v>515</v>
      </c>
      <c r="B518" t="str">
        <f>'score estimates'!$B518</f>
        <v>Zdeno Chara</v>
      </c>
      <c r="C518" t="str">
        <f>'score estimates'!$D518</f>
        <v>D</v>
      </c>
      <c r="D518" t="str">
        <f>'score estimates'!$C518</f>
        <v>FA</v>
      </c>
      <c r="E518" s="75">
        <f>'score estimates'!$F518</f>
        <v>14.536585365853659</v>
      </c>
      <c r="F518" s="71">
        <f>'score estimates'!$G518</f>
        <v>404</v>
      </c>
      <c r="G518" s="71" t="s">
        <v>983</v>
      </c>
      <c r="H518" s="72" t="e" cm="1">
        <f t="array" aca="1" ref="H518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518" s="96">
        <f>IF(Table2[[#This Row],[Team]]="FA",0,Table2[[#This Row],[Pts/G]]*(1-Table2[[#This Row],[% Pos Overlap]]))</f>
        <v>0</v>
      </c>
      <c r="J518" s="72" t="e" cm="1">
        <f t="array" aca="1" ref="J518" ca="1">(INDIRECT(ADDRESS((_xlfn.XMATCH(Table2[[#This Row],[Team]],Schedule!$A$1:$A$33)),5,1,1,"Sched Overlap")))</f>
        <v>#N/A</v>
      </c>
      <c r="K518" s="92" t="e" cm="1">
        <f t="array" aca="1" ref="K518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518" s="95">
        <f>IF(Table2[[#This Row],[Team]]="FA",0,Table2[[#This Row],[Pts/G]]*(Table2[[#This Row],[Games Playable]]/82))</f>
        <v>0</v>
      </c>
      <c r="M518" s="95" cm="1">
        <f t="array" ref="M518">Table2[[#This Row],[Playable x Score]]*_xlfn.IFS(Table2[[#This Row],[Pos]]="D",assumptions!$B$15,Table2[[#This Row],[Pos]]="F", assumptions!$B$14,Table2[[#This Row],[Pos]]="G",assumptions!$B$16)</f>
        <v>0</v>
      </c>
    </row>
    <row r="519" spans="1:13" x14ac:dyDescent="0.3">
      <c r="A519">
        <f>'score estimates'!$A519</f>
        <v>516</v>
      </c>
      <c r="B519" t="str">
        <f>'score estimates'!$B519</f>
        <v>Joe Thornton</v>
      </c>
      <c r="C519" t="str">
        <f>'score estimates'!$D519</f>
        <v>F</v>
      </c>
      <c r="D519" t="str">
        <f>'score estimates'!$C519</f>
        <v>FA</v>
      </c>
      <c r="E519" s="75">
        <f>'score estimates'!$F519</f>
        <v>5.9878048780487809</v>
      </c>
      <c r="F519" s="71">
        <f>'score estimates'!$G519</f>
        <v>686</v>
      </c>
      <c r="G519" s="71" t="s">
        <v>983</v>
      </c>
      <c r="H519" s="72" t="e" cm="1">
        <f t="array" aca="1" ref="H519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519" s="96">
        <f>IF(Table2[[#This Row],[Team]]="FA",0,Table2[[#This Row],[Pts/G]]*(1-Table2[[#This Row],[% Pos Overlap]]))</f>
        <v>0</v>
      </c>
      <c r="J519" s="72" t="e" cm="1">
        <f t="array" aca="1" ref="J519" ca="1">(INDIRECT(ADDRESS((_xlfn.XMATCH(Table2[[#This Row],[Team]],Schedule!$A$1:$A$33)),5,1,1,"Sched Overlap")))</f>
        <v>#N/A</v>
      </c>
      <c r="K519" s="92" t="e" cm="1">
        <f t="array" aca="1" ref="K519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519" s="95">
        <f>IF(Table2[[#This Row],[Team]]="FA",0,Table2[[#This Row],[Pts/G]]*(Table2[[#This Row],[Games Playable]]/82))</f>
        <v>0</v>
      </c>
      <c r="M519" s="95" cm="1">
        <f t="array" ref="M519">Table2[[#This Row],[Playable x Score]]*_xlfn.IFS(Table2[[#This Row],[Pos]]="D",assumptions!$B$15,Table2[[#This Row],[Pos]]="F", assumptions!$B$14,Table2[[#This Row],[Pos]]="G",assumptions!$B$16)</f>
        <v>0</v>
      </c>
    </row>
    <row r="520" spans="1:13" x14ac:dyDescent="0.3">
      <c r="A520">
        <f>'score estimates'!$A520</f>
        <v>517</v>
      </c>
      <c r="B520" t="str">
        <f>'score estimates'!$B520</f>
        <v>Adam Erne</v>
      </c>
      <c r="C520" t="str">
        <f>'score estimates'!$D520</f>
        <v>F</v>
      </c>
      <c r="D520" t="str">
        <f>'score estimates'!$C520</f>
        <v>DET</v>
      </c>
      <c r="E520" s="75">
        <f>'score estimates'!$F520</f>
        <v>8.3780487804878057</v>
      </c>
      <c r="F520" s="71">
        <f>'score estimates'!$G520</f>
        <v>611</v>
      </c>
      <c r="G520" s="71" t="s">
        <v>983</v>
      </c>
      <c r="H520" s="72" cm="1">
        <f t="array" aca="1" ref="H52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20" s="96">
        <f ca="1">IF(Table2[[#This Row],[Team]]="FA",0,Table2[[#This Row],[Pts/G]]*(1-Table2[[#This Row],[% Pos Overlap]]))</f>
        <v>8.3780487804878057</v>
      </c>
      <c r="J520" s="72" cm="1">
        <f t="array" aca="1" ref="J520" ca="1">(INDIRECT(ADDRESS((_xlfn.XMATCH(Table2[[#This Row],[Team]],Schedule!$A$1:$A$33)),5,1,1,"Sched Overlap")))</f>
        <v>0.64550264550264547</v>
      </c>
      <c r="K520" s="92" cm="1">
        <f t="array" aca="1" ref="K52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20" s="95">
        <f ca="1">IF(Table2[[#This Row],[Team]]="FA",0,Table2[[#This Row],[Pts/G]]*(Table2[[#This Row],[Games Playable]]/82))</f>
        <v>8.3780487804878057</v>
      </c>
      <c r="M520" s="95" cm="1">
        <f t="array" aca="1" ref="M520" ca="1">Table2[[#This Row],[Playable x Score]]*_xlfn.IFS(Table2[[#This Row],[Pos]]="D",assumptions!$B$15,Table2[[#This Row],[Pos]]="F", assumptions!$B$14,Table2[[#This Row],[Pos]]="G",assumptions!$B$16)</f>
        <v>8.3780487804878057</v>
      </c>
    </row>
    <row r="521" spans="1:13" x14ac:dyDescent="0.3">
      <c r="A521">
        <f>'score estimates'!$A521</f>
        <v>518</v>
      </c>
      <c r="B521" t="str">
        <f>'score estimates'!$B521</f>
        <v>Trevor van Riemsdyk</v>
      </c>
      <c r="C521" t="str">
        <f>'score estimates'!$D521</f>
        <v>D</v>
      </c>
      <c r="D521" t="str">
        <f>'score estimates'!$C521</f>
        <v>WAS</v>
      </c>
      <c r="E521" s="75">
        <f>'score estimates'!$F521</f>
        <v>10.75609756097561</v>
      </c>
      <c r="F521" s="71">
        <f>'score estimates'!$G521</f>
        <v>537</v>
      </c>
      <c r="G521" s="71" t="s">
        <v>983</v>
      </c>
      <c r="H521" s="72" cm="1">
        <f t="array" aca="1" ref="H52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21" s="96">
        <f ca="1">IF(Table2[[#This Row],[Team]]="FA",0,Table2[[#This Row],[Pts/G]]*(1-Table2[[#This Row],[% Pos Overlap]]))</f>
        <v>10.75609756097561</v>
      </c>
      <c r="J521" s="72" cm="1">
        <f t="array" aca="1" ref="J521" ca="1">(INDIRECT(ADDRESS((_xlfn.XMATCH(Table2[[#This Row],[Team]],Schedule!$A$1:$A$33)),5,1,1,"Sched Overlap")))</f>
        <v>0.65282865282865288</v>
      </c>
      <c r="K521" s="92" cm="1">
        <f t="array" aca="1" ref="K52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21" s="95">
        <f ca="1">IF(Table2[[#This Row],[Team]]="FA",0,Table2[[#This Row],[Pts/G]]*(Table2[[#This Row],[Games Playable]]/82))</f>
        <v>10.75609756097561</v>
      </c>
      <c r="M521" s="95" cm="1">
        <f t="array" aca="1" ref="M521" ca="1">Table2[[#This Row],[Playable x Score]]*_xlfn.IFS(Table2[[#This Row],[Pos]]="D",assumptions!$B$15,Table2[[#This Row],[Pos]]="F", assumptions!$B$14,Table2[[#This Row],[Pos]]="G",assumptions!$B$16)</f>
        <v>13.445121951219512</v>
      </c>
    </row>
    <row r="522" spans="1:13" x14ac:dyDescent="0.3">
      <c r="A522">
        <f>'score estimates'!$A522</f>
        <v>519</v>
      </c>
      <c r="B522" t="str">
        <f>'score estimates'!$B522</f>
        <v>Dysin Mayo</v>
      </c>
      <c r="C522" t="str">
        <f>'score estimates'!$D522</f>
        <v>D</v>
      </c>
      <c r="D522" t="str">
        <f>'score estimates'!$C522</f>
        <v>ARI</v>
      </c>
      <c r="E522" s="75">
        <f>'score estimates'!$F522</f>
        <v>10.475609756097562</v>
      </c>
      <c r="F522" s="71">
        <f>'score estimates'!$G522</f>
        <v>547</v>
      </c>
      <c r="G522" s="71" t="s">
        <v>983</v>
      </c>
      <c r="H522" s="72" cm="1">
        <f t="array" aca="1" ref="H52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22" s="96">
        <f ca="1">IF(Table2[[#This Row],[Team]]="FA",0,Table2[[#This Row],[Pts/G]]*(1-Table2[[#This Row],[% Pos Overlap]]))</f>
        <v>10.475609756097562</v>
      </c>
      <c r="J522" s="72" cm="1">
        <f t="array" aca="1" ref="J522" ca="1">(INDIRECT(ADDRESS((_xlfn.XMATCH(Table2[[#This Row],[Team]],Schedule!$A$1:$A$33)),5,1,1,"Sched Overlap")))</f>
        <v>0.63247863247863279</v>
      </c>
      <c r="K522" s="92" cm="1">
        <f t="array" aca="1" ref="K52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22" s="95">
        <f ca="1">IF(Table2[[#This Row],[Team]]="FA",0,Table2[[#This Row],[Pts/G]]*(Table2[[#This Row],[Games Playable]]/82))</f>
        <v>10.475609756097562</v>
      </c>
      <c r="M522" s="95" cm="1">
        <f t="array" aca="1" ref="M522" ca="1">Table2[[#This Row],[Playable x Score]]*_xlfn.IFS(Table2[[#This Row],[Pos]]="D",assumptions!$B$15,Table2[[#This Row],[Pos]]="F", assumptions!$B$14,Table2[[#This Row],[Pos]]="G",assumptions!$B$16)</f>
        <v>13.094512195121952</v>
      </c>
    </row>
    <row r="523" spans="1:13" x14ac:dyDescent="0.3">
      <c r="A523">
        <f>'score estimates'!$A523</f>
        <v>520</v>
      </c>
      <c r="B523" t="str">
        <f>'score estimates'!$B523</f>
        <v>Dylan DeMelo</v>
      </c>
      <c r="C523" t="str">
        <f>'score estimates'!$D523</f>
        <v>D</v>
      </c>
      <c r="D523" t="str">
        <f>'score estimates'!$C523</f>
        <v>WPG</v>
      </c>
      <c r="E523" s="75">
        <f>'score estimates'!$F523</f>
        <v>12.804878048780488</v>
      </c>
      <c r="F523" s="71">
        <f>'score estimates'!$G523</f>
        <v>465</v>
      </c>
      <c r="G523" s="71" t="s">
        <v>983</v>
      </c>
      <c r="H523" s="72" cm="1">
        <f t="array" aca="1" ref="H52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23" s="96">
        <f ca="1">IF(Table2[[#This Row],[Team]]="FA",0,Table2[[#This Row],[Pts/G]]*(1-Table2[[#This Row],[% Pos Overlap]]))</f>
        <v>12.804878048780488</v>
      </c>
      <c r="J523" s="72" cm="1">
        <f t="array" aca="1" ref="J523" ca="1">(INDIRECT(ADDRESS((_xlfn.XMATCH(Table2[[#This Row],[Team]],Schedule!$A$1:$A$33)),5,1,1,"Sched Overlap")))</f>
        <v>0.61212861212861214</v>
      </c>
      <c r="K523" s="92" cm="1">
        <f t="array" aca="1" ref="K52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23" s="95">
        <f ca="1">IF(Table2[[#This Row],[Team]]="FA",0,Table2[[#This Row],[Pts/G]]*(Table2[[#This Row],[Games Playable]]/82))</f>
        <v>12.804878048780488</v>
      </c>
      <c r="M523" s="95" cm="1">
        <f t="array" aca="1" ref="M523" ca="1">Table2[[#This Row],[Playable x Score]]*_xlfn.IFS(Table2[[#This Row],[Pos]]="D",assumptions!$B$15,Table2[[#This Row],[Pos]]="F", assumptions!$B$14,Table2[[#This Row],[Pos]]="G",assumptions!$B$16)</f>
        <v>16.006097560975611</v>
      </c>
    </row>
    <row r="524" spans="1:13" x14ac:dyDescent="0.3">
      <c r="A524">
        <f>'score estimates'!$A524</f>
        <v>521</v>
      </c>
      <c r="B524" t="str">
        <f>'score estimates'!$B524</f>
        <v>Ryan Lindgren</v>
      </c>
      <c r="C524" t="str">
        <f>'score estimates'!$D524</f>
        <v>D</v>
      </c>
      <c r="D524" t="str">
        <f>'score estimates'!$C524</f>
        <v>NYR</v>
      </c>
      <c r="E524" s="75">
        <f>'score estimates'!$F524</f>
        <v>15.268292682926829</v>
      </c>
      <c r="F524" s="71">
        <f>'score estimates'!$G524</f>
        <v>383</v>
      </c>
      <c r="G524" s="71" t="s">
        <v>983</v>
      </c>
      <c r="H524" s="72" cm="1">
        <f t="array" aca="1" ref="H52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24" s="96">
        <f ca="1">IF(Table2[[#This Row],[Team]]="FA",0,Table2[[#This Row],[Pts/G]]*(1-Table2[[#This Row],[% Pos Overlap]]))</f>
        <v>15.268292682926829</v>
      </c>
      <c r="J524" s="72" cm="1">
        <f t="array" aca="1" ref="J524" ca="1">(INDIRECT(ADDRESS((_xlfn.XMATCH(Table2[[#This Row],[Team]],Schedule!$A$1:$A$33)),5,1,1,"Sched Overlap")))</f>
        <v>0.60236060236060229</v>
      </c>
      <c r="K524" s="92" cm="1">
        <f t="array" aca="1" ref="K52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24" s="95">
        <f ca="1">IF(Table2[[#This Row],[Team]]="FA",0,Table2[[#This Row],[Pts/G]]*(Table2[[#This Row],[Games Playable]]/82))</f>
        <v>15.268292682926829</v>
      </c>
      <c r="M524" s="95" cm="1">
        <f t="array" aca="1" ref="M524" ca="1">Table2[[#This Row],[Playable x Score]]*_xlfn.IFS(Table2[[#This Row],[Pos]]="D",assumptions!$B$15,Table2[[#This Row],[Pos]]="F", assumptions!$B$14,Table2[[#This Row],[Pos]]="G",assumptions!$B$16)</f>
        <v>19.085365853658537</v>
      </c>
    </row>
    <row r="525" spans="1:13" x14ac:dyDescent="0.3">
      <c r="A525">
        <f>'score estimates'!$A525</f>
        <v>522</v>
      </c>
      <c r="B525" t="str">
        <f>'score estimates'!$B525</f>
        <v>Erik Cernak</v>
      </c>
      <c r="C525" t="str">
        <f>'score estimates'!$D525</f>
        <v>D</v>
      </c>
      <c r="D525" t="str">
        <f>'score estimates'!$C525</f>
        <v>TB</v>
      </c>
      <c r="E525" s="75">
        <f>'score estimates'!$F525</f>
        <v>14.268292682926829</v>
      </c>
      <c r="F525" s="71">
        <f>'score estimates'!$G525</f>
        <v>415</v>
      </c>
      <c r="G525" s="71" t="s">
        <v>983</v>
      </c>
      <c r="H525" s="72" cm="1">
        <f t="array" aca="1" ref="H52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25" s="96">
        <f ca="1">IF(Table2[[#This Row],[Team]]="FA",0,Table2[[#This Row],[Pts/G]]*(1-Table2[[#This Row],[% Pos Overlap]]))</f>
        <v>14.268292682926829</v>
      </c>
      <c r="J525" s="72" cm="1">
        <f t="array" aca="1" ref="J525" ca="1">(INDIRECT(ADDRESS((_xlfn.XMATCH(Table2[[#This Row],[Team]],Schedule!$A$1:$A$33)),5,1,1,"Sched Overlap")))</f>
        <v>0.66422466422466431</v>
      </c>
      <c r="K525" s="92" cm="1">
        <f t="array" aca="1" ref="K52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25" s="95">
        <f ca="1">IF(Table2[[#This Row],[Team]]="FA",0,Table2[[#This Row],[Pts/G]]*(Table2[[#This Row],[Games Playable]]/82))</f>
        <v>14.268292682926829</v>
      </c>
      <c r="M525" s="95" cm="1">
        <f t="array" aca="1" ref="M525" ca="1">Table2[[#This Row],[Playable x Score]]*_xlfn.IFS(Table2[[#This Row],[Pos]]="D",assumptions!$B$15,Table2[[#This Row],[Pos]]="F", assumptions!$B$14,Table2[[#This Row],[Pos]]="G",assumptions!$B$16)</f>
        <v>17.835365853658537</v>
      </c>
    </row>
    <row r="526" spans="1:13" x14ac:dyDescent="0.3">
      <c r="A526">
        <f>'score estimates'!$A526</f>
        <v>523</v>
      </c>
      <c r="B526" t="str">
        <f>'score estimates'!$B526</f>
        <v>Nikita Zaitsev</v>
      </c>
      <c r="C526" t="str">
        <f>'score estimates'!$D526</f>
        <v>D</v>
      </c>
      <c r="D526" t="str">
        <f>'score estimates'!$C526</f>
        <v>OTT</v>
      </c>
      <c r="E526" s="75">
        <f>'score estimates'!$F526</f>
        <v>11.414634146341463</v>
      </c>
      <c r="F526" s="71">
        <f>'score estimates'!$G526</f>
        <v>519</v>
      </c>
      <c r="G526" s="71" t="s">
        <v>983</v>
      </c>
      <c r="H526" s="72" cm="1">
        <f t="array" aca="1" ref="H52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26" s="96">
        <f ca="1">IF(Table2[[#This Row],[Team]]="FA",0,Table2[[#This Row],[Pts/G]]*(1-Table2[[#This Row],[% Pos Overlap]]))</f>
        <v>11.414634146341463</v>
      </c>
      <c r="J526" s="72" cm="1">
        <f t="array" aca="1" ref="J526" ca="1">(INDIRECT(ADDRESS((_xlfn.XMATCH(Table2[[#This Row],[Team]],Schedule!$A$1:$A$33)),5,1,1,"Sched Overlap")))</f>
        <v>0.64306064306064303</v>
      </c>
      <c r="K526" s="92" cm="1">
        <f t="array" aca="1" ref="K52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26" s="95">
        <f ca="1">IF(Table2[[#This Row],[Team]]="FA",0,Table2[[#This Row],[Pts/G]]*(Table2[[#This Row],[Games Playable]]/82))</f>
        <v>11.414634146341463</v>
      </c>
      <c r="M526" s="95" cm="1">
        <f t="array" aca="1" ref="M526" ca="1">Table2[[#This Row],[Playable x Score]]*_xlfn.IFS(Table2[[#This Row],[Pos]]="D",assumptions!$B$15,Table2[[#This Row],[Pos]]="F", assumptions!$B$14,Table2[[#This Row],[Pos]]="G",assumptions!$B$16)</f>
        <v>14.268292682926829</v>
      </c>
    </row>
    <row r="527" spans="1:13" x14ac:dyDescent="0.3">
      <c r="A527">
        <f>'score estimates'!$A527</f>
        <v>524</v>
      </c>
      <c r="B527" t="str">
        <f>'score estimates'!$B527</f>
        <v>Dryden Hunt</v>
      </c>
      <c r="C527" t="str">
        <f>'score estimates'!$D527</f>
        <v>F</v>
      </c>
      <c r="D527" t="str">
        <f>'score estimates'!$C527</f>
        <v>NYR</v>
      </c>
      <c r="E527" s="75">
        <f>'score estimates'!$F527</f>
        <v>10.182926829268293</v>
      </c>
      <c r="F527" s="71">
        <f>'score estimates'!$G527</f>
        <v>555</v>
      </c>
      <c r="G527" s="71" t="s">
        <v>983</v>
      </c>
      <c r="H527" s="72" cm="1">
        <f t="array" aca="1" ref="H52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27" s="96">
        <f ca="1">IF(Table2[[#This Row],[Team]]="FA",0,Table2[[#This Row],[Pts/G]]*(1-Table2[[#This Row],[% Pos Overlap]]))</f>
        <v>10.182926829268293</v>
      </c>
      <c r="J527" s="72" cm="1">
        <f t="array" aca="1" ref="J527" ca="1">(INDIRECT(ADDRESS((_xlfn.XMATCH(Table2[[#This Row],[Team]],Schedule!$A$1:$A$33)),5,1,1,"Sched Overlap")))</f>
        <v>0.60236060236060229</v>
      </c>
      <c r="K527" s="92" cm="1">
        <f t="array" aca="1" ref="K52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27" s="95">
        <f ca="1">IF(Table2[[#This Row],[Team]]="FA",0,Table2[[#This Row],[Pts/G]]*(Table2[[#This Row],[Games Playable]]/82))</f>
        <v>10.182926829268293</v>
      </c>
      <c r="M527" s="95" cm="1">
        <f t="array" aca="1" ref="M527" ca="1">Table2[[#This Row],[Playable x Score]]*_xlfn.IFS(Table2[[#This Row],[Pos]]="D",assumptions!$B$15,Table2[[#This Row],[Pos]]="F", assumptions!$B$14,Table2[[#This Row],[Pos]]="G",assumptions!$B$16)</f>
        <v>10.182926829268293</v>
      </c>
    </row>
    <row r="528" spans="1:13" x14ac:dyDescent="0.3">
      <c r="A528">
        <f>'score estimates'!$A528</f>
        <v>525</v>
      </c>
      <c r="B528" t="str">
        <f>'score estimates'!$B528</f>
        <v>Sebastian Aho</v>
      </c>
      <c r="C528" t="str">
        <f>'score estimates'!$D528</f>
        <v>D</v>
      </c>
      <c r="D528" t="str">
        <f>'score estimates'!$C528</f>
        <v>NYI</v>
      </c>
      <c r="E528" s="75">
        <f>'score estimates'!$F528</f>
        <v>7.3658536585365857</v>
      </c>
      <c r="F528" s="71">
        <f>'score estimates'!$G528</f>
        <v>635</v>
      </c>
      <c r="G528" s="71" t="s">
        <v>983</v>
      </c>
      <c r="H528" s="72" cm="1">
        <f t="array" aca="1" ref="H52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28" s="96">
        <f ca="1">IF(Table2[[#This Row],[Team]]="FA",0,Table2[[#This Row],[Pts/G]]*(1-Table2[[#This Row],[% Pos Overlap]]))</f>
        <v>7.3658536585365857</v>
      </c>
      <c r="J528" s="72" cm="1">
        <f t="array" aca="1" ref="J528" ca="1">(INDIRECT(ADDRESS((_xlfn.XMATCH(Table2[[#This Row],[Team]],Schedule!$A$1:$A$33)),5,1,1,"Sched Overlap")))</f>
        <v>0.63166463166463194</v>
      </c>
      <c r="K528" s="92" cm="1">
        <f t="array" aca="1" ref="K52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28" s="95">
        <f ca="1">IF(Table2[[#This Row],[Team]]="FA",0,Table2[[#This Row],[Pts/G]]*(Table2[[#This Row],[Games Playable]]/82))</f>
        <v>7.3658536585365857</v>
      </c>
      <c r="M528" s="95" cm="1">
        <f t="array" aca="1" ref="M528" ca="1">Table2[[#This Row],[Playable x Score]]*_xlfn.IFS(Table2[[#This Row],[Pos]]="D",assumptions!$B$15,Table2[[#This Row],[Pos]]="F", assumptions!$B$14,Table2[[#This Row],[Pos]]="G",assumptions!$B$16)</f>
        <v>9.2073170731707314</v>
      </c>
    </row>
    <row r="529" spans="1:13" x14ac:dyDescent="0.3">
      <c r="A529">
        <f>'score estimates'!$A529</f>
        <v>526</v>
      </c>
      <c r="B529" t="str">
        <f>'score estimates'!$B529</f>
        <v>Morgan Geekie</v>
      </c>
      <c r="C529" t="str">
        <f>'score estimates'!$D529</f>
        <v>F</v>
      </c>
      <c r="D529" t="str">
        <f>'score estimates'!$C529</f>
        <v>SEA</v>
      </c>
      <c r="E529" s="75">
        <f>'score estimates'!$F529</f>
        <v>6.6585365853658534</v>
      </c>
      <c r="F529" s="71">
        <f>'score estimates'!$G529</f>
        <v>660</v>
      </c>
      <c r="G529" s="71" t="s">
        <v>983</v>
      </c>
      <c r="H529" s="72" cm="1">
        <f t="array" aca="1" ref="H52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29" s="96">
        <f ca="1">IF(Table2[[#This Row],[Team]]="FA",0,Table2[[#This Row],[Pts/G]]*(1-Table2[[#This Row],[% Pos Overlap]]))</f>
        <v>6.6585365853658534</v>
      </c>
      <c r="J529" s="72" cm="1">
        <f t="array" aca="1" ref="J529" ca="1">(INDIRECT(ADDRESS((_xlfn.XMATCH(Table2[[#This Row],[Team]],Schedule!$A$1:$A$33)),5,1,1,"Sched Overlap")))</f>
        <v>0.63085063085063087</v>
      </c>
      <c r="K529" s="92" cm="1">
        <f t="array" aca="1" ref="K52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29" s="95">
        <f ca="1">IF(Table2[[#This Row],[Team]]="FA",0,Table2[[#This Row],[Pts/G]]*(Table2[[#This Row],[Games Playable]]/82))</f>
        <v>6.6585365853658534</v>
      </c>
      <c r="M529" s="95" cm="1">
        <f t="array" aca="1" ref="M529" ca="1">Table2[[#This Row],[Playable x Score]]*_xlfn.IFS(Table2[[#This Row],[Pos]]="D",assumptions!$B$15,Table2[[#This Row],[Pos]]="F", assumptions!$B$14,Table2[[#This Row],[Pos]]="G",assumptions!$B$16)</f>
        <v>6.6585365853658534</v>
      </c>
    </row>
    <row r="530" spans="1:13" x14ac:dyDescent="0.3">
      <c r="A530">
        <f>'score estimates'!$A530</f>
        <v>527</v>
      </c>
      <c r="B530" t="str">
        <f>'score estimates'!$B530</f>
        <v>Rasmus Kupari</v>
      </c>
      <c r="C530" t="str">
        <f>'score estimates'!$D530</f>
        <v>F</v>
      </c>
      <c r="D530" t="str">
        <f>'score estimates'!$C530</f>
        <v>LA</v>
      </c>
      <c r="E530" s="75">
        <f>'score estimates'!$F530</f>
        <v>7.7926829268292686</v>
      </c>
      <c r="F530" s="71">
        <f>'score estimates'!$G530</f>
        <v>621</v>
      </c>
      <c r="G530" s="71" t="s">
        <v>983</v>
      </c>
      <c r="H530" s="72" cm="1">
        <f t="array" aca="1" ref="H53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30" s="96">
        <f ca="1">IF(Table2[[#This Row],[Team]]="FA",0,Table2[[#This Row],[Pts/G]]*(1-Table2[[#This Row],[% Pos Overlap]]))</f>
        <v>7.7926829268292686</v>
      </c>
      <c r="J530" s="72" cm="1">
        <f t="array" aca="1" ref="J530" ca="1">(INDIRECT(ADDRESS((_xlfn.XMATCH(Table2[[#This Row],[Team]],Schedule!$A$1:$A$33)),5,1,1,"Sched Overlap")))</f>
        <v>0.65201465201465225</v>
      </c>
      <c r="K530" s="92" cm="1">
        <f t="array" aca="1" ref="K53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30" s="95">
        <f ca="1">IF(Table2[[#This Row],[Team]]="FA",0,Table2[[#This Row],[Pts/G]]*(Table2[[#This Row],[Games Playable]]/82))</f>
        <v>7.7926829268292686</v>
      </c>
      <c r="M530" s="95" cm="1">
        <f t="array" aca="1" ref="M530" ca="1">Table2[[#This Row],[Playable x Score]]*_xlfn.IFS(Table2[[#This Row],[Pos]]="D",assumptions!$B$15,Table2[[#This Row],[Pos]]="F", assumptions!$B$14,Table2[[#This Row],[Pos]]="G",assumptions!$B$16)</f>
        <v>7.7926829268292686</v>
      </c>
    </row>
    <row r="531" spans="1:13" x14ac:dyDescent="0.3">
      <c r="A531">
        <f>'score estimates'!$A531</f>
        <v>528</v>
      </c>
      <c r="B531" t="str">
        <f>'score estimates'!$B531</f>
        <v>Alexander Romanov</v>
      </c>
      <c r="C531" t="str">
        <f>'score estimates'!$D531</f>
        <v>D</v>
      </c>
      <c r="D531" t="str">
        <f>'score estimates'!$C531</f>
        <v>NYI</v>
      </c>
      <c r="E531" s="75">
        <f>'score estimates'!$F531</f>
        <v>14.158536585365853</v>
      </c>
      <c r="F531" s="71">
        <f>'score estimates'!$G531</f>
        <v>420</v>
      </c>
      <c r="G531" s="71" t="s">
        <v>983</v>
      </c>
      <c r="H531" s="72" cm="1">
        <f t="array" aca="1" ref="H53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31" s="96">
        <f ca="1">IF(Table2[[#This Row],[Team]]="FA",0,Table2[[#This Row],[Pts/G]]*(1-Table2[[#This Row],[% Pos Overlap]]))</f>
        <v>14.158536585365853</v>
      </c>
      <c r="J531" s="72" cm="1">
        <f t="array" aca="1" ref="J531" ca="1">(INDIRECT(ADDRESS((_xlfn.XMATCH(Table2[[#This Row],[Team]],Schedule!$A$1:$A$33)),5,1,1,"Sched Overlap")))</f>
        <v>0.63166463166463194</v>
      </c>
      <c r="K531" s="92" cm="1">
        <f t="array" aca="1" ref="K53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31" s="95">
        <f ca="1">IF(Table2[[#This Row],[Team]]="FA",0,Table2[[#This Row],[Pts/G]]*(Table2[[#This Row],[Games Playable]]/82))</f>
        <v>14.158536585365853</v>
      </c>
      <c r="M531" s="95" cm="1">
        <f t="array" aca="1" ref="M531" ca="1">Table2[[#This Row],[Playable x Score]]*_xlfn.IFS(Table2[[#This Row],[Pos]]="D",assumptions!$B$15,Table2[[#This Row],[Pos]]="F", assumptions!$B$14,Table2[[#This Row],[Pos]]="G",assumptions!$B$16)</f>
        <v>17.698170731707318</v>
      </c>
    </row>
    <row r="532" spans="1:13" x14ac:dyDescent="0.3">
      <c r="A532">
        <f>'score estimates'!$A532</f>
        <v>529</v>
      </c>
      <c r="B532" t="str">
        <f>'score estimates'!$B532</f>
        <v>Quinton Byfield</v>
      </c>
      <c r="C532" t="str">
        <f>'score estimates'!$D532</f>
        <v>F</v>
      </c>
      <c r="D532" t="str">
        <f>'score estimates'!$C532</f>
        <v>LA</v>
      </c>
      <c r="E532" s="75">
        <f>'score estimates'!$F532</f>
        <v>7.4390243902439028</v>
      </c>
      <c r="F532" s="71">
        <f>'score estimates'!$G532</f>
        <v>630</v>
      </c>
      <c r="G532" s="71" t="s">
        <v>983</v>
      </c>
      <c r="H532" s="72" cm="1">
        <f t="array" aca="1" ref="H53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32" s="96">
        <f ca="1">IF(Table2[[#This Row],[Team]]="FA",0,Table2[[#This Row],[Pts/G]]*(1-Table2[[#This Row],[% Pos Overlap]]))</f>
        <v>7.4390243902439028</v>
      </c>
      <c r="J532" s="72" cm="1">
        <f t="array" aca="1" ref="J532" ca="1">(INDIRECT(ADDRESS((_xlfn.XMATCH(Table2[[#This Row],[Team]],Schedule!$A$1:$A$33)),5,1,1,"Sched Overlap")))</f>
        <v>0.65201465201465225</v>
      </c>
      <c r="K532" s="92" cm="1">
        <f t="array" aca="1" ref="K53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32" s="95">
        <f ca="1">IF(Table2[[#This Row],[Team]]="FA",0,Table2[[#This Row],[Pts/G]]*(Table2[[#This Row],[Games Playable]]/82))</f>
        <v>7.4390243902439028</v>
      </c>
      <c r="M532" s="95" cm="1">
        <f t="array" aca="1" ref="M532" ca="1">Table2[[#This Row],[Playable x Score]]*_xlfn.IFS(Table2[[#This Row],[Pos]]="D",assumptions!$B$15,Table2[[#This Row],[Pos]]="F", assumptions!$B$14,Table2[[#This Row],[Pos]]="G",assumptions!$B$16)</f>
        <v>7.4390243902439028</v>
      </c>
    </row>
    <row r="533" spans="1:13" x14ac:dyDescent="0.3">
      <c r="A533">
        <f>'score estimates'!$A533</f>
        <v>530</v>
      </c>
      <c r="B533" t="str">
        <f>'score estimates'!$B533</f>
        <v>Matias Maccelli</v>
      </c>
      <c r="C533" t="str">
        <f>'score estimates'!$D533</f>
        <v>F</v>
      </c>
      <c r="D533" t="str">
        <f>'score estimates'!$C533</f>
        <v>ARI</v>
      </c>
      <c r="E533" s="75">
        <f>'score estimates'!$F533</f>
        <v>4.8780487804878048</v>
      </c>
      <c r="F533" s="71">
        <f>'score estimates'!$G533</f>
        <v>726</v>
      </c>
      <c r="G533" s="71" t="s">
        <v>983</v>
      </c>
      <c r="H533" s="72" cm="1">
        <f t="array" aca="1" ref="H53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33" s="96">
        <f ca="1">IF(Table2[[#This Row],[Team]]="FA",0,Table2[[#This Row],[Pts/G]]*(1-Table2[[#This Row],[% Pos Overlap]]))</f>
        <v>4.8780487804878048</v>
      </c>
      <c r="J533" s="72" cm="1">
        <f t="array" aca="1" ref="J533" ca="1">(INDIRECT(ADDRESS((_xlfn.XMATCH(Table2[[#This Row],[Team]],Schedule!$A$1:$A$33)),5,1,1,"Sched Overlap")))</f>
        <v>0.63247863247863279</v>
      </c>
      <c r="K533" s="92" cm="1">
        <f t="array" aca="1" ref="K53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33" s="95">
        <f ca="1">IF(Table2[[#This Row],[Team]]="FA",0,Table2[[#This Row],[Pts/G]]*(Table2[[#This Row],[Games Playable]]/82))</f>
        <v>4.8780487804878048</v>
      </c>
      <c r="M533" s="95" cm="1">
        <f t="array" aca="1" ref="M533" ca="1">Table2[[#This Row],[Playable x Score]]*_xlfn.IFS(Table2[[#This Row],[Pos]]="D",assumptions!$B$15,Table2[[#This Row],[Pos]]="F", assumptions!$B$14,Table2[[#This Row],[Pos]]="G",assumptions!$B$16)</f>
        <v>4.8780487804878048</v>
      </c>
    </row>
    <row r="534" spans="1:13" x14ac:dyDescent="0.3">
      <c r="A534">
        <f>'score estimates'!$A534</f>
        <v>531</v>
      </c>
      <c r="B534" t="str">
        <f>'score estimates'!$B534</f>
        <v>Mattias Samuelsson</v>
      </c>
      <c r="C534" t="str">
        <f>'score estimates'!$D534</f>
        <v>D</v>
      </c>
      <c r="D534" t="str">
        <f>'score estimates'!$C534</f>
        <v>BUF</v>
      </c>
      <c r="E534" s="75">
        <f>'score estimates'!$F534</f>
        <v>8.5121951219512191</v>
      </c>
      <c r="F534" s="71">
        <f>'score estimates'!$G534</f>
        <v>604</v>
      </c>
      <c r="G534" s="71" t="s">
        <v>983</v>
      </c>
      <c r="H534" s="72" cm="1">
        <f t="array" aca="1" ref="H53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34" s="96">
        <f ca="1">IF(Table2[[#This Row],[Team]]="FA",0,Table2[[#This Row],[Pts/G]]*(1-Table2[[#This Row],[% Pos Overlap]]))</f>
        <v>8.5121951219512191</v>
      </c>
      <c r="J534" s="72" cm="1">
        <f t="array" aca="1" ref="J534" ca="1">(INDIRECT(ADDRESS((_xlfn.XMATCH(Table2[[#This Row],[Team]],Schedule!$A$1:$A$33)),5,1,1,"Sched Overlap")))</f>
        <v>0.63573463573463573</v>
      </c>
      <c r="K534" s="92" cm="1">
        <f t="array" aca="1" ref="K53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34" s="95">
        <f ca="1">IF(Table2[[#This Row],[Team]]="FA",0,Table2[[#This Row],[Pts/G]]*(Table2[[#This Row],[Games Playable]]/82))</f>
        <v>8.5121951219512191</v>
      </c>
      <c r="M534" s="95" cm="1">
        <f t="array" aca="1" ref="M534" ca="1">Table2[[#This Row],[Playable x Score]]*_xlfn.IFS(Table2[[#This Row],[Pos]]="D",assumptions!$B$15,Table2[[#This Row],[Pos]]="F", assumptions!$B$14,Table2[[#This Row],[Pos]]="G",assumptions!$B$16)</f>
        <v>10.640243902439025</v>
      </c>
    </row>
    <row r="535" spans="1:13" x14ac:dyDescent="0.3">
      <c r="A535">
        <f>'score estimates'!$A535</f>
        <v>532</v>
      </c>
      <c r="B535" t="str">
        <f>'score estimates'!$B535</f>
        <v>Thomas Bordeleau</v>
      </c>
      <c r="C535" t="str">
        <f>'score estimates'!$D535</f>
        <v>F</v>
      </c>
      <c r="D535" t="str">
        <f>'score estimates'!$C535</f>
        <v>SJ</v>
      </c>
      <c r="E535" s="75">
        <f>'score estimates'!$F535</f>
        <v>5.7195121951219514</v>
      </c>
      <c r="F535" s="71">
        <f>'score estimates'!$G535</f>
        <v>698</v>
      </c>
      <c r="G535" s="71" t="s">
        <v>983</v>
      </c>
      <c r="H535" s="72" cm="1">
        <f t="array" aca="1" ref="H53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35" s="96">
        <f ca="1">IF(Table2[[#This Row],[Team]]="FA",0,Table2[[#This Row],[Pts/G]]*(1-Table2[[#This Row],[% Pos Overlap]]))</f>
        <v>5.7195121951219514</v>
      </c>
      <c r="J535" s="72" cm="1">
        <f t="array" aca="1" ref="J535" ca="1">(INDIRECT(ADDRESS((_xlfn.XMATCH(Table2[[#This Row],[Team]],Schedule!$A$1:$A$33)),5,1,1,"Sched Overlap")))</f>
        <v>0.63492063492063477</v>
      </c>
      <c r="K535" s="92" cm="1">
        <f t="array" aca="1" ref="K53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35" s="95">
        <f ca="1">IF(Table2[[#This Row],[Team]]="FA",0,Table2[[#This Row],[Pts/G]]*(Table2[[#This Row],[Games Playable]]/82))</f>
        <v>5.7195121951219514</v>
      </c>
      <c r="M535" s="95" cm="1">
        <f t="array" aca="1" ref="M535" ca="1">Table2[[#This Row],[Playable x Score]]*_xlfn.IFS(Table2[[#This Row],[Pos]]="D",assumptions!$B$15,Table2[[#This Row],[Pos]]="F", assumptions!$B$14,Table2[[#This Row],[Pos]]="G",assumptions!$B$16)</f>
        <v>5.7195121951219514</v>
      </c>
    </row>
    <row r="536" spans="1:13" x14ac:dyDescent="0.3">
      <c r="A536">
        <f>'score estimates'!$A536</f>
        <v>533</v>
      </c>
      <c r="B536" t="str">
        <f>'score estimates'!$B536</f>
        <v>Emil Bemstrom</v>
      </c>
      <c r="C536" t="str">
        <f>'score estimates'!$D536</f>
        <v>F</v>
      </c>
      <c r="D536" t="str">
        <f>'score estimates'!$C536</f>
        <v>CLS</v>
      </c>
      <c r="E536" s="75">
        <f>'score estimates'!$F536</f>
        <v>6.7439024390243905</v>
      </c>
      <c r="F536" s="71">
        <f>'score estimates'!$G536</f>
        <v>657</v>
      </c>
      <c r="G536" s="71" t="s">
        <v>983</v>
      </c>
      <c r="H536" s="72" cm="1">
        <f t="array" aca="1" ref="H53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36" s="96">
        <f ca="1">IF(Table2[[#This Row],[Team]]="FA",0,Table2[[#This Row],[Pts/G]]*(1-Table2[[#This Row],[% Pos Overlap]]))</f>
        <v>6.7439024390243905</v>
      </c>
      <c r="J536" s="72" cm="1">
        <f t="array" aca="1" ref="J536" ca="1">(INDIRECT(ADDRESS((_xlfn.XMATCH(Table2[[#This Row],[Team]],Schedule!$A$1:$A$33)),5,1,1,"Sched Overlap")))</f>
        <v>0.64875864875864886</v>
      </c>
      <c r="K536" s="92" cm="1">
        <f t="array" aca="1" ref="K53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36" s="95">
        <f ca="1">IF(Table2[[#This Row],[Team]]="FA",0,Table2[[#This Row],[Pts/G]]*(Table2[[#This Row],[Games Playable]]/82))</f>
        <v>6.7439024390243905</v>
      </c>
      <c r="M536" s="95" cm="1">
        <f t="array" aca="1" ref="M536" ca="1">Table2[[#This Row],[Playable x Score]]*_xlfn.IFS(Table2[[#This Row],[Pos]]="D",assumptions!$B$15,Table2[[#This Row],[Pos]]="F", assumptions!$B$14,Table2[[#This Row],[Pos]]="G",assumptions!$B$16)</f>
        <v>6.7439024390243905</v>
      </c>
    </row>
    <row r="537" spans="1:13" x14ac:dyDescent="0.3">
      <c r="A537">
        <f>'score estimates'!$A537</f>
        <v>534</v>
      </c>
      <c r="B537" t="str">
        <f>'score estimates'!$B537</f>
        <v>Jake Leschyshyn</v>
      </c>
      <c r="C537" t="str">
        <f>'score estimates'!$D537</f>
        <v>F</v>
      </c>
      <c r="D537" t="str">
        <f>'score estimates'!$C537</f>
        <v>VGK</v>
      </c>
      <c r="E537" s="75">
        <f>'score estimates'!$F537</f>
        <v>8.5</v>
      </c>
      <c r="F537" s="71">
        <f>'score estimates'!$G537</f>
        <v>606</v>
      </c>
      <c r="G537" s="71" t="s">
        <v>983</v>
      </c>
      <c r="H537" s="72" cm="1">
        <f t="array" aca="1" ref="H53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37" s="96">
        <f ca="1">IF(Table2[[#This Row],[Team]]="FA",0,Table2[[#This Row],[Pts/G]]*(1-Table2[[#This Row],[% Pos Overlap]]))</f>
        <v>8.5</v>
      </c>
      <c r="J537" s="72" cm="1">
        <f t="array" aca="1" ref="J537" ca="1">(INDIRECT(ADDRESS((_xlfn.XMATCH(Table2[[#This Row],[Team]],Schedule!$A$1:$A$33)),5,1,1,"Sched Overlap")))</f>
        <v>0.66992266992266991</v>
      </c>
      <c r="K537" s="92" cm="1">
        <f t="array" aca="1" ref="K53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37" s="95">
        <f ca="1">IF(Table2[[#This Row],[Team]]="FA",0,Table2[[#This Row],[Pts/G]]*(Table2[[#This Row],[Games Playable]]/82))</f>
        <v>8.5</v>
      </c>
      <c r="M537" s="95" cm="1">
        <f t="array" aca="1" ref="M537" ca="1">Table2[[#This Row],[Playable x Score]]*_xlfn.IFS(Table2[[#This Row],[Pos]]="D",assumptions!$B$15,Table2[[#This Row],[Pos]]="F", assumptions!$B$14,Table2[[#This Row],[Pos]]="G",assumptions!$B$16)</f>
        <v>8.5</v>
      </c>
    </row>
    <row r="538" spans="1:13" x14ac:dyDescent="0.3">
      <c r="A538">
        <f>'score estimates'!$A538</f>
        <v>535</v>
      </c>
      <c r="B538" t="str">
        <f>'score estimates'!$B538</f>
        <v>Adam Ruzicka</v>
      </c>
      <c r="C538" t="str">
        <f>'score estimates'!$D538</f>
        <v>F</v>
      </c>
      <c r="D538" t="str">
        <f>'score estimates'!$C538</f>
        <v>CGY</v>
      </c>
      <c r="E538" s="75">
        <f>'score estimates'!$F538</f>
        <v>8.8414634146341466</v>
      </c>
      <c r="F538" s="71">
        <f>'score estimates'!$G538</f>
        <v>595</v>
      </c>
      <c r="G538" s="71" t="s">
        <v>983</v>
      </c>
      <c r="H538" s="72" cm="1">
        <f t="array" aca="1" ref="H53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38" s="96">
        <f ca="1">IF(Table2[[#This Row],[Team]]="FA",0,Table2[[#This Row],[Pts/G]]*(1-Table2[[#This Row],[% Pos Overlap]]))</f>
        <v>8.8414634146341466</v>
      </c>
      <c r="J538" s="72" cm="1">
        <f t="array" aca="1" ref="J538" ca="1">(INDIRECT(ADDRESS((_xlfn.XMATCH(Table2[[#This Row],[Team]],Schedule!$A$1:$A$33)),5,1,1,"Sched Overlap")))</f>
        <v>0.63003663003663002</v>
      </c>
      <c r="K538" s="92" cm="1">
        <f t="array" aca="1" ref="K53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38" s="95">
        <f ca="1">IF(Table2[[#This Row],[Team]]="FA",0,Table2[[#This Row],[Pts/G]]*(Table2[[#This Row],[Games Playable]]/82))</f>
        <v>8.8414634146341466</v>
      </c>
      <c r="M538" s="95" cm="1">
        <f t="array" aca="1" ref="M538" ca="1">Table2[[#This Row],[Playable x Score]]*_xlfn.IFS(Table2[[#This Row],[Pos]]="D",assumptions!$B$15,Table2[[#This Row],[Pos]]="F", assumptions!$B$14,Table2[[#This Row],[Pos]]="G",assumptions!$B$16)</f>
        <v>8.8414634146341466</v>
      </c>
    </row>
    <row r="539" spans="1:13" x14ac:dyDescent="0.3">
      <c r="A539">
        <f>'score estimates'!$A539</f>
        <v>536</v>
      </c>
      <c r="B539" t="str">
        <f>'score estimates'!$B539</f>
        <v>Matthew Phillips</v>
      </c>
      <c r="C539" t="str">
        <f>'score estimates'!$D539</f>
        <v>F</v>
      </c>
      <c r="D539" t="str">
        <f>'score estimates'!$C539</f>
        <v>CGY</v>
      </c>
      <c r="E539" s="75">
        <f>'score estimates'!$F539</f>
        <v>7.5609756097560972</v>
      </c>
      <c r="F539" s="71">
        <f>'score estimates'!$G539</f>
        <v>627</v>
      </c>
      <c r="G539" s="71" t="s">
        <v>983</v>
      </c>
      <c r="H539" s="72" cm="1">
        <f t="array" aca="1" ref="H53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39" s="96">
        <f ca="1">IF(Table2[[#This Row],[Team]]="FA",0,Table2[[#This Row],[Pts/G]]*(1-Table2[[#This Row],[% Pos Overlap]]))</f>
        <v>7.5609756097560972</v>
      </c>
      <c r="J539" s="72" cm="1">
        <f t="array" aca="1" ref="J539" ca="1">(INDIRECT(ADDRESS((_xlfn.XMATCH(Table2[[#This Row],[Team]],Schedule!$A$1:$A$33)),5,1,1,"Sched Overlap")))</f>
        <v>0.63003663003663002</v>
      </c>
      <c r="K539" s="92" cm="1">
        <f t="array" aca="1" ref="K53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39" s="95">
        <f ca="1">IF(Table2[[#This Row],[Team]]="FA",0,Table2[[#This Row],[Pts/G]]*(Table2[[#This Row],[Games Playable]]/82))</f>
        <v>7.5609756097560972</v>
      </c>
      <c r="M539" s="95" cm="1">
        <f t="array" aca="1" ref="M539" ca="1">Table2[[#This Row],[Playable x Score]]*_xlfn.IFS(Table2[[#This Row],[Pos]]="D",assumptions!$B$15,Table2[[#This Row],[Pos]]="F", assumptions!$B$14,Table2[[#This Row],[Pos]]="G",assumptions!$B$16)</f>
        <v>7.5609756097560972</v>
      </c>
    </row>
    <row r="540" spans="1:13" x14ac:dyDescent="0.3">
      <c r="A540">
        <f>'score estimates'!$A540</f>
        <v>537</v>
      </c>
      <c r="B540" t="str">
        <f>'score estimates'!$B540</f>
        <v>Carl Grundstrom</v>
      </c>
      <c r="C540" t="str">
        <f>'score estimates'!$D540</f>
        <v>F</v>
      </c>
      <c r="D540" t="str">
        <f>'score estimates'!$C540</f>
        <v>LA</v>
      </c>
      <c r="E540" s="75">
        <f>'score estimates'!$F540</f>
        <v>9.6219512195121943</v>
      </c>
      <c r="F540" s="71">
        <f>'score estimates'!$G540</f>
        <v>577</v>
      </c>
      <c r="G540" s="71" t="s">
        <v>983</v>
      </c>
      <c r="H540" s="72" cm="1">
        <f t="array" aca="1" ref="H54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40" s="96">
        <f ca="1">IF(Table2[[#This Row],[Team]]="FA",0,Table2[[#This Row],[Pts/G]]*(1-Table2[[#This Row],[% Pos Overlap]]))</f>
        <v>9.6219512195121943</v>
      </c>
      <c r="J540" s="72" cm="1">
        <f t="array" aca="1" ref="J540" ca="1">(INDIRECT(ADDRESS((_xlfn.XMATCH(Table2[[#This Row],[Team]],Schedule!$A$1:$A$33)),5,1,1,"Sched Overlap")))</f>
        <v>0.65201465201465225</v>
      </c>
      <c r="K540" s="92" cm="1">
        <f t="array" aca="1" ref="K54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40" s="95">
        <f ca="1">IF(Table2[[#This Row],[Team]]="FA",0,Table2[[#This Row],[Pts/G]]*(Table2[[#This Row],[Games Playable]]/82))</f>
        <v>9.6219512195121943</v>
      </c>
      <c r="M540" s="95" cm="1">
        <f t="array" aca="1" ref="M540" ca="1">Table2[[#This Row],[Playable x Score]]*_xlfn.IFS(Table2[[#This Row],[Pos]]="D",assumptions!$B$15,Table2[[#This Row],[Pos]]="F", assumptions!$B$14,Table2[[#This Row],[Pos]]="G",assumptions!$B$16)</f>
        <v>9.6219512195121943</v>
      </c>
    </row>
    <row r="541" spans="1:13" x14ac:dyDescent="0.3">
      <c r="A541">
        <f>'score estimates'!$A541</f>
        <v>538</v>
      </c>
      <c r="B541" t="str">
        <f>'score estimates'!$B541</f>
        <v>Logan Brown</v>
      </c>
      <c r="C541" t="str">
        <f>'score estimates'!$D541</f>
        <v>F</v>
      </c>
      <c r="D541" t="str">
        <f>'score estimates'!$C541</f>
        <v>STL</v>
      </c>
      <c r="E541" s="75">
        <f>'score estimates'!$F541</f>
        <v>6.4268292682926829</v>
      </c>
      <c r="F541" s="71">
        <f>'score estimates'!$G541</f>
        <v>667</v>
      </c>
      <c r="G541" s="71" t="s">
        <v>983</v>
      </c>
      <c r="H541" s="72" cm="1">
        <f t="array" aca="1" ref="H54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41" s="96">
        <f ca="1">IF(Table2[[#This Row],[Team]]="FA",0,Table2[[#This Row],[Pts/G]]*(1-Table2[[#This Row],[% Pos Overlap]]))</f>
        <v>6.4268292682926829</v>
      </c>
      <c r="J541" s="72" cm="1">
        <f t="array" aca="1" ref="J541" ca="1">(INDIRECT(ADDRESS((_xlfn.XMATCH(Table2[[#This Row],[Team]],Schedule!$A$1:$A$33)),5,1,1,"Sched Overlap")))</f>
        <v>0.65120065120065118</v>
      </c>
      <c r="K541" s="92" cm="1">
        <f t="array" aca="1" ref="K54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41" s="95">
        <f ca="1">IF(Table2[[#This Row],[Team]]="FA",0,Table2[[#This Row],[Pts/G]]*(Table2[[#This Row],[Games Playable]]/82))</f>
        <v>6.4268292682926829</v>
      </c>
      <c r="M541" s="95" cm="1">
        <f t="array" aca="1" ref="M541" ca="1">Table2[[#This Row],[Playable x Score]]*_xlfn.IFS(Table2[[#This Row],[Pos]]="D",assumptions!$B$15,Table2[[#This Row],[Pos]]="F", assumptions!$B$14,Table2[[#This Row],[Pos]]="G",assumptions!$B$16)</f>
        <v>6.4268292682926829</v>
      </c>
    </row>
    <row r="542" spans="1:13" x14ac:dyDescent="0.3">
      <c r="A542">
        <f>'score estimates'!$A542</f>
        <v>539</v>
      </c>
      <c r="B542" t="str">
        <f>'score estimates'!$B542</f>
        <v>Oskar Sundqvist</v>
      </c>
      <c r="C542" t="str">
        <f>'score estimates'!$D542</f>
        <v>F</v>
      </c>
      <c r="D542" t="str">
        <f>'score estimates'!$C542</f>
        <v>DET</v>
      </c>
      <c r="E542" s="75">
        <f>'score estimates'!$F542</f>
        <v>7.8414634146341466</v>
      </c>
      <c r="F542" s="71">
        <f>'score estimates'!$G542</f>
        <v>618</v>
      </c>
      <c r="G542" s="71" t="s">
        <v>983</v>
      </c>
      <c r="H542" s="72" cm="1">
        <f t="array" aca="1" ref="H54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42" s="96">
        <f ca="1">IF(Table2[[#This Row],[Team]]="FA",0,Table2[[#This Row],[Pts/G]]*(1-Table2[[#This Row],[% Pos Overlap]]))</f>
        <v>7.8414634146341466</v>
      </c>
      <c r="J542" s="72" cm="1">
        <f t="array" aca="1" ref="J542" ca="1">(INDIRECT(ADDRESS((_xlfn.XMATCH(Table2[[#This Row],[Team]],Schedule!$A$1:$A$33)),5,1,1,"Sched Overlap")))</f>
        <v>0.64550264550264547</v>
      </c>
      <c r="K542" s="92" cm="1">
        <f t="array" aca="1" ref="K54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42" s="95">
        <f ca="1">IF(Table2[[#This Row],[Team]]="FA",0,Table2[[#This Row],[Pts/G]]*(Table2[[#This Row],[Games Playable]]/82))</f>
        <v>7.8414634146341466</v>
      </c>
      <c r="M542" s="95" cm="1">
        <f t="array" aca="1" ref="M542" ca="1">Table2[[#This Row],[Playable x Score]]*_xlfn.IFS(Table2[[#This Row],[Pos]]="D",assumptions!$B$15,Table2[[#This Row],[Pos]]="F", assumptions!$B$14,Table2[[#This Row],[Pos]]="G",assumptions!$B$16)</f>
        <v>7.8414634146341466</v>
      </c>
    </row>
    <row r="543" spans="1:13" x14ac:dyDescent="0.3">
      <c r="A543">
        <f>'score estimates'!$A543</f>
        <v>540</v>
      </c>
      <c r="B543" t="str">
        <f>'score estimates'!$B543</f>
        <v>Christian Fischer</v>
      </c>
      <c r="C543" t="str">
        <f>'score estimates'!$D543</f>
        <v>F</v>
      </c>
      <c r="D543" t="str">
        <f>'score estimates'!$C543</f>
        <v>ARI</v>
      </c>
      <c r="E543" s="75">
        <f>'score estimates'!$F543</f>
        <v>7.975609756097561</v>
      </c>
      <c r="F543" s="71">
        <f>'score estimates'!$G543</f>
        <v>617</v>
      </c>
      <c r="G543" s="71" t="s">
        <v>983</v>
      </c>
      <c r="H543" s="72" cm="1">
        <f t="array" aca="1" ref="H54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43" s="96">
        <f ca="1">IF(Table2[[#This Row],[Team]]="FA",0,Table2[[#This Row],[Pts/G]]*(1-Table2[[#This Row],[% Pos Overlap]]))</f>
        <v>7.975609756097561</v>
      </c>
      <c r="J543" s="72" cm="1">
        <f t="array" aca="1" ref="J543" ca="1">(INDIRECT(ADDRESS((_xlfn.XMATCH(Table2[[#This Row],[Team]],Schedule!$A$1:$A$33)),5,1,1,"Sched Overlap")))</f>
        <v>0.63247863247863279</v>
      </c>
      <c r="K543" s="92" cm="1">
        <f t="array" aca="1" ref="K54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43" s="95">
        <f ca="1">IF(Table2[[#This Row],[Team]]="FA",0,Table2[[#This Row],[Pts/G]]*(Table2[[#This Row],[Games Playable]]/82))</f>
        <v>7.975609756097561</v>
      </c>
      <c r="M543" s="95" cm="1">
        <f t="array" aca="1" ref="M543" ca="1">Table2[[#This Row],[Playable x Score]]*_xlfn.IFS(Table2[[#This Row],[Pos]]="D",assumptions!$B$15,Table2[[#This Row],[Pos]]="F", assumptions!$B$14,Table2[[#This Row],[Pos]]="G",assumptions!$B$16)</f>
        <v>7.975609756097561</v>
      </c>
    </row>
    <row r="544" spans="1:13" x14ac:dyDescent="0.3">
      <c r="A544">
        <f>'score estimates'!$A544</f>
        <v>541</v>
      </c>
      <c r="B544" t="str">
        <f>'score estimates'!$B544</f>
        <v>Curtis Lazar</v>
      </c>
      <c r="C544" t="str">
        <f>'score estimates'!$D544</f>
        <v>F</v>
      </c>
      <c r="D544" t="str">
        <f>'score estimates'!$C544</f>
        <v>VAN</v>
      </c>
      <c r="E544" s="75">
        <f>'score estimates'!$F544</f>
        <v>10.402439024390244</v>
      </c>
      <c r="F544" s="71">
        <f>'score estimates'!$G544</f>
        <v>549</v>
      </c>
      <c r="G544" s="71" t="s">
        <v>983</v>
      </c>
      <c r="H544" s="72" cm="1">
        <f t="array" aca="1" ref="H54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44" s="96">
        <f ca="1">IF(Table2[[#This Row],[Team]]="FA",0,Table2[[#This Row],[Pts/G]]*(1-Table2[[#This Row],[% Pos Overlap]]))</f>
        <v>10.402439024390244</v>
      </c>
      <c r="J544" s="72" cm="1">
        <f t="array" aca="1" ref="J544" ca="1">(INDIRECT(ADDRESS((_xlfn.XMATCH(Table2[[#This Row],[Team]],Schedule!$A$1:$A$33)),5,1,1,"Sched Overlap")))</f>
        <v>0.62922262922262917</v>
      </c>
      <c r="K544" s="92" cm="1">
        <f t="array" aca="1" ref="K54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44" s="95">
        <f ca="1">IF(Table2[[#This Row],[Team]]="FA",0,Table2[[#This Row],[Pts/G]]*(Table2[[#This Row],[Games Playable]]/82))</f>
        <v>10.402439024390244</v>
      </c>
      <c r="M544" s="95" cm="1">
        <f t="array" aca="1" ref="M544" ca="1">Table2[[#This Row],[Playable x Score]]*_xlfn.IFS(Table2[[#This Row],[Pos]]="D",assumptions!$B$15,Table2[[#This Row],[Pos]]="F", assumptions!$B$14,Table2[[#This Row],[Pos]]="G",assumptions!$B$16)</f>
        <v>10.402439024390244</v>
      </c>
    </row>
    <row r="545" spans="1:13" x14ac:dyDescent="0.3">
      <c r="A545">
        <f>'score estimates'!$A545</f>
        <v>542</v>
      </c>
      <c r="B545" t="str">
        <f>'score estimates'!$B545</f>
        <v>Jordan Martinook</v>
      </c>
      <c r="C545" t="str">
        <f>'score estimates'!$D545</f>
        <v>F</v>
      </c>
      <c r="D545" t="str">
        <f>'score estimates'!$C545</f>
        <v>CAR</v>
      </c>
      <c r="E545" s="75">
        <f>'score estimates'!$F545</f>
        <v>9.0487804878048781</v>
      </c>
      <c r="F545" s="71">
        <f>'score estimates'!$G545</f>
        <v>589</v>
      </c>
      <c r="G545" s="71" t="s">
        <v>983</v>
      </c>
      <c r="H545" s="72" cm="1">
        <f t="array" aca="1" ref="H54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45" s="96">
        <f ca="1">IF(Table2[[#This Row],[Team]]="FA",0,Table2[[#This Row],[Pts/G]]*(1-Table2[[#This Row],[% Pos Overlap]]))</f>
        <v>9.0487804878048781</v>
      </c>
      <c r="J545" s="72" cm="1">
        <f t="array" aca="1" ref="J545" ca="1">(INDIRECT(ADDRESS((_xlfn.XMATCH(Table2[[#This Row],[Team]],Schedule!$A$1:$A$33)),5,1,1,"Sched Overlap")))</f>
        <v>0.63247863247863245</v>
      </c>
      <c r="K545" s="92" cm="1">
        <f t="array" aca="1" ref="K54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45" s="95">
        <f ca="1">IF(Table2[[#This Row],[Team]]="FA",0,Table2[[#This Row],[Pts/G]]*(Table2[[#This Row],[Games Playable]]/82))</f>
        <v>9.0487804878048781</v>
      </c>
      <c r="M545" s="95" cm="1">
        <f t="array" aca="1" ref="M545" ca="1">Table2[[#This Row],[Playable x Score]]*_xlfn.IFS(Table2[[#This Row],[Pos]]="D",assumptions!$B$15,Table2[[#This Row],[Pos]]="F", assumptions!$B$14,Table2[[#This Row],[Pos]]="G",assumptions!$B$16)</f>
        <v>9.0487804878048781</v>
      </c>
    </row>
    <row r="546" spans="1:13" x14ac:dyDescent="0.3">
      <c r="A546">
        <f>'score estimates'!$A546</f>
        <v>543</v>
      </c>
      <c r="B546" t="str">
        <f>'score estimates'!$B546</f>
        <v>Ryan Dzingel</v>
      </c>
      <c r="C546" t="str">
        <f>'score estimates'!$D546</f>
        <v>F</v>
      </c>
      <c r="D546" t="str">
        <f>'score estimates'!$C546</f>
        <v>CAR</v>
      </c>
      <c r="E546" s="75">
        <f>'score estimates'!$F546</f>
        <v>6.8292682926829267</v>
      </c>
      <c r="F546" s="71">
        <f>'score estimates'!$G546</f>
        <v>652</v>
      </c>
      <c r="G546" s="71" t="s">
        <v>983</v>
      </c>
      <c r="H546" s="72" cm="1">
        <f t="array" aca="1" ref="H54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46" s="96">
        <f ca="1">IF(Table2[[#This Row],[Team]]="FA",0,Table2[[#This Row],[Pts/G]]*(1-Table2[[#This Row],[% Pos Overlap]]))</f>
        <v>6.8292682926829267</v>
      </c>
      <c r="J546" s="72" cm="1">
        <f t="array" aca="1" ref="J546" ca="1">(INDIRECT(ADDRESS((_xlfn.XMATCH(Table2[[#This Row],[Team]],Schedule!$A$1:$A$33)),5,1,1,"Sched Overlap")))</f>
        <v>0.63247863247863245</v>
      </c>
      <c r="K546" s="92" cm="1">
        <f t="array" aca="1" ref="K54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46" s="95">
        <f ca="1">IF(Table2[[#This Row],[Team]]="FA",0,Table2[[#This Row],[Pts/G]]*(Table2[[#This Row],[Games Playable]]/82))</f>
        <v>6.8292682926829267</v>
      </c>
      <c r="M546" s="95" cm="1">
        <f t="array" aca="1" ref="M546" ca="1">Table2[[#This Row],[Playable x Score]]*_xlfn.IFS(Table2[[#This Row],[Pos]]="D",assumptions!$B$15,Table2[[#This Row],[Pos]]="F", assumptions!$B$14,Table2[[#This Row],[Pos]]="G",assumptions!$B$16)</f>
        <v>6.8292682926829267</v>
      </c>
    </row>
    <row r="547" spans="1:13" x14ac:dyDescent="0.3">
      <c r="A547">
        <f>'score estimates'!$A547</f>
        <v>544</v>
      </c>
      <c r="B547" t="str">
        <f>'score estimates'!$B547</f>
        <v>Darren Helm</v>
      </c>
      <c r="C547" t="str">
        <f>'score estimates'!$D547</f>
        <v>F</v>
      </c>
      <c r="D547" t="str">
        <f>'score estimates'!$C547</f>
        <v>COL</v>
      </c>
      <c r="E547" s="75">
        <f>'score estimates'!$F547</f>
        <v>9.1951219512195124</v>
      </c>
      <c r="F547" s="71">
        <f>'score estimates'!$G547</f>
        <v>584</v>
      </c>
      <c r="G547" s="71" t="s">
        <v>983</v>
      </c>
      <c r="H547" s="72" cm="1">
        <f t="array" aca="1" ref="H54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47" s="96">
        <f ca="1">IF(Table2[[#This Row],[Team]]="FA",0,Table2[[#This Row],[Pts/G]]*(1-Table2[[#This Row],[% Pos Overlap]]))</f>
        <v>9.1951219512195124</v>
      </c>
      <c r="J547" s="72" cm="1">
        <f t="array" aca="1" ref="J547" ca="1">(INDIRECT(ADDRESS((_xlfn.XMATCH(Table2[[#This Row],[Team]],Schedule!$A$1:$A$33)),5,1,1,"Sched Overlap")))</f>
        <v>0.61131461131461151</v>
      </c>
      <c r="K547" s="92" cm="1">
        <f t="array" aca="1" ref="K54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47" s="95">
        <f ca="1">IF(Table2[[#This Row],[Team]]="FA",0,Table2[[#This Row],[Pts/G]]*(Table2[[#This Row],[Games Playable]]/82))</f>
        <v>9.1951219512195124</v>
      </c>
      <c r="M547" s="95" cm="1">
        <f t="array" aca="1" ref="M547" ca="1">Table2[[#This Row],[Playable x Score]]*_xlfn.IFS(Table2[[#This Row],[Pos]]="D",assumptions!$B$15,Table2[[#This Row],[Pos]]="F", assumptions!$B$14,Table2[[#This Row],[Pos]]="G",assumptions!$B$16)</f>
        <v>9.1951219512195124</v>
      </c>
    </row>
    <row r="548" spans="1:13" x14ac:dyDescent="0.3">
      <c r="A548">
        <f>'score estimates'!$A548</f>
        <v>545</v>
      </c>
      <c r="B548" t="str">
        <f>'score estimates'!$B548</f>
        <v>Travis Hamonic</v>
      </c>
      <c r="C548" t="str">
        <f>'score estimates'!$D548</f>
        <v>D</v>
      </c>
      <c r="D548" t="str">
        <f>'score estimates'!$C548</f>
        <v>OTT</v>
      </c>
      <c r="E548" s="75">
        <f>'score estimates'!$F548</f>
        <v>11.75609756097561</v>
      </c>
      <c r="F548" s="71">
        <f>'score estimates'!$G548</f>
        <v>505</v>
      </c>
      <c r="G548" s="71" t="s">
        <v>983</v>
      </c>
      <c r="H548" s="72" cm="1">
        <f t="array" aca="1" ref="H54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48" s="96">
        <f ca="1">IF(Table2[[#This Row],[Team]]="FA",0,Table2[[#This Row],[Pts/G]]*(1-Table2[[#This Row],[% Pos Overlap]]))</f>
        <v>11.75609756097561</v>
      </c>
      <c r="J548" s="72" cm="1">
        <f t="array" aca="1" ref="J548" ca="1">(INDIRECT(ADDRESS((_xlfn.XMATCH(Table2[[#This Row],[Team]],Schedule!$A$1:$A$33)),5,1,1,"Sched Overlap")))</f>
        <v>0.64306064306064303</v>
      </c>
      <c r="K548" s="92" cm="1">
        <f t="array" aca="1" ref="K54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48" s="95">
        <f ca="1">IF(Table2[[#This Row],[Team]]="FA",0,Table2[[#This Row],[Pts/G]]*(Table2[[#This Row],[Games Playable]]/82))</f>
        <v>11.75609756097561</v>
      </c>
      <c r="M548" s="95" cm="1">
        <f t="array" aca="1" ref="M548" ca="1">Table2[[#This Row],[Playable x Score]]*_xlfn.IFS(Table2[[#This Row],[Pos]]="D",assumptions!$B$15,Table2[[#This Row],[Pos]]="F", assumptions!$B$14,Table2[[#This Row],[Pos]]="G",assumptions!$B$16)</f>
        <v>14.695121951219512</v>
      </c>
    </row>
    <row r="549" spans="1:13" x14ac:dyDescent="0.3">
      <c r="A549">
        <f>'score estimates'!$A549</f>
        <v>546</v>
      </c>
      <c r="B549" t="str">
        <f>'score estimates'!$B549</f>
        <v>Justin Braun</v>
      </c>
      <c r="C549" t="str">
        <f>'score estimates'!$D549</f>
        <v>D</v>
      </c>
      <c r="D549" t="str">
        <f>'score estimates'!$C549</f>
        <v>PHI</v>
      </c>
      <c r="E549" s="75">
        <f>'score estimates'!$F549</f>
        <v>10.597560975609756</v>
      </c>
      <c r="F549" s="71">
        <f>'score estimates'!$G549</f>
        <v>541</v>
      </c>
      <c r="G549" s="71" t="s">
        <v>983</v>
      </c>
      <c r="H549" s="72" cm="1">
        <f t="array" aca="1" ref="H54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49" s="96">
        <f ca="1">IF(Table2[[#This Row],[Team]]="FA",0,Table2[[#This Row],[Pts/G]]*(1-Table2[[#This Row],[% Pos Overlap]]))</f>
        <v>10.597560975609756</v>
      </c>
      <c r="J549" s="72" cm="1">
        <f t="array" aca="1" ref="J549" ca="1">(INDIRECT(ADDRESS((_xlfn.XMATCH(Table2[[#This Row],[Team]],Schedule!$A$1:$A$33)),5,1,1,"Sched Overlap")))</f>
        <v>0.66910866910866917</v>
      </c>
      <c r="K549" s="92" cm="1">
        <f t="array" aca="1" ref="K54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49" s="95">
        <f ca="1">IF(Table2[[#This Row],[Team]]="FA",0,Table2[[#This Row],[Pts/G]]*(Table2[[#This Row],[Games Playable]]/82))</f>
        <v>10.597560975609756</v>
      </c>
      <c r="M549" s="95" cm="1">
        <f t="array" aca="1" ref="M549" ca="1">Table2[[#This Row],[Playable x Score]]*_xlfn.IFS(Table2[[#This Row],[Pos]]="D",assumptions!$B$15,Table2[[#This Row],[Pos]]="F", assumptions!$B$14,Table2[[#This Row],[Pos]]="G",assumptions!$B$16)</f>
        <v>13.246951219512194</v>
      </c>
    </row>
    <row r="550" spans="1:13" x14ac:dyDescent="0.3">
      <c r="A550">
        <f>'score estimates'!$A550</f>
        <v>547</v>
      </c>
      <c r="B550" t="str">
        <f>'score estimates'!$B550</f>
        <v>Derek Forbort</v>
      </c>
      <c r="C550" t="str">
        <f>'score estimates'!$D550</f>
        <v>D</v>
      </c>
      <c r="D550" t="str">
        <f>'score estimates'!$C550</f>
        <v>BOS</v>
      </c>
      <c r="E550" s="75">
        <f>'score estimates'!$F550</f>
        <v>12.280487804878049</v>
      </c>
      <c r="F550" s="71">
        <f>'score estimates'!$G550</f>
        <v>486</v>
      </c>
      <c r="G550" s="71" t="s">
        <v>983</v>
      </c>
      <c r="H550" s="72" cm="1">
        <f t="array" aca="1" ref="H55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50" s="96">
        <f ca="1">IF(Table2[[#This Row],[Team]]="FA",0,Table2[[#This Row],[Pts/G]]*(1-Table2[[#This Row],[% Pos Overlap]]))</f>
        <v>12.280487804878049</v>
      </c>
      <c r="J550" s="72" cm="1">
        <f t="array" aca="1" ref="J550" ca="1">(INDIRECT(ADDRESS((_xlfn.XMATCH(Table2[[#This Row],[Team]],Schedule!$A$1:$A$33)),5,1,1,"Sched Overlap")))</f>
        <v>0.67236467236467234</v>
      </c>
      <c r="K550" s="92" cm="1">
        <f t="array" aca="1" ref="K55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50" s="95">
        <f ca="1">IF(Table2[[#This Row],[Team]]="FA",0,Table2[[#This Row],[Pts/G]]*(Table2[[#This Row],[Games Playable]]/82))</f>
        <v>12.280487804878049</v>
      </c>
      <c r="M550" s="95" cm="1">
        <f t="array" aca="1" ref="M550" ca="1">Table2[[#This Row],[Playable x Score]]*_xlfn.IFS(Table2[[#This Row],[Pos]]="D",assumptions!$B$15,Table2[[#This Row],[Pos]]="F", assumptions!$B$14,Table2[[#This Row],[Pos]]="G",assumptions!$B$16)</f>
        <v>15.350609756097562</v>
      </c>
    </row>
    <row r="551" spans="1:13" x14ac:dyDescent="0.3">
      <c r="A551">
        <f>'score estimates'!$A551</f>
        <v>548</v>
      </c>
      <c r="B551" t="str">
        <f>'score estimates'!$B551</f>
        <v>Nick Bjugstad</v>
      </c>
      <c r="C551" t="str">
        <f>'score estimates'!$D551</f>
        <v>F</v>
      </c>
      <c r="D551" t="str">
        <f>'score estimates'!$C551</f>
        <v>ARI</v>
      </c>
      <c r="E551" s="75">
        <f>'score estimates'!$F551</f>
        <v>8.7439024390243905</v>
      </c>
      <c r="F551" s="71">
        <f>'score estimates'!$G551</f>
        <v>598</v>
      </c>
      <c r="G551" s="71" t="s">
        <v>983</v>
      </c>
      <c r="H551" s="72" cm="1">
        <f t="array" aca="1" ref="H55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51" s="96">
        <f ca="1">IF(Table2[[#This Row],[Team]]="FA",0,Table2[[#This Row],[Pts/G]]*(1-Table2[[#This Row],[% Pos Overlap]]))</f>
        <v>8.7439024390243905</v>
      </c>
      <c r="J551" s="72" cm="1">
        <f t="array" aca="1" ref="J551" ca="1">(INDIRECT(ADDRESS((_xlfn.XMATCH(Table2[[#This Row],[Team]],Schedule!$A$1:$A$33)),5,1,1,"Sched Overlap")))</f>
        <v>0.63247863247863279</v>
      </c>
      <c r="K551" s="92" cm="1">
        <f t="array" aca="1" ref="K55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51" s="95">
        <f ca="1">IF(Table2[[#This Row],[Team]]="FA",0,Table2[[#This Row],[Pts/G]]*(Table2[[#This Row],[Games Playable]]/82))</f>
        <v>8.7439024390243905</v>
      </c>
      <c r="M551" s="95" cm="1">
        <f t="array" aca="1" ref="M551" ca="1">Table2[[#This Row],[Playable x Score]]*_xlfn.IFS(Table2[[#This Row],[Pos]]="D",assumptions!$B$15,Table2[[#This Row],[Pos]]="F", assumptions!$B$14,Table2[[#This Row],[Pos]]="G",assumptions!$B$16)</f>
        <v>8.7439024390243905</v>
      </c>
    </row>
    <row r="552" spans="1:13" x14ac:dyDescent="0.3">
      <c r="A552">
        <f>'score estimates'!$A552</f>
        <v>549</v>
      </c>
      <c r="B552" t="str">
        <f>'score estimates'!$B552</f>
        <v>Connor Murphy</v>
      </c>
      <c r="C552" t="str">
        <f>'score estimates'!$D552</f>
        <v>D</v>
      </c>
      <c r="D552" t="str">
        <f>'score estimates'!$C552</f>
        <v>CHI</v>
      </c>
      <c r="E552" s="75">
        <f>'score estimates'!$F552</f>
        <v>12.560975609756097</v>
      </c>
      <c r="F552" s="71">
        <f>'score estimates'!$G552</f>
        <v>473</v>
      </c>
      <c r="G552" s="71" t="s">
        <v>983</v>
      </c>
      <c r="H552" s="72" cm="1">
        <f t="array" aca="1" ref="H55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52" s="96">
        <f ca="1">IF(Table2[[#This Row],[Team]]="FA",0,Table2[[#This Row],[Pts/G]]*(1-Table2[[#This Row],[% Pos Overlap]]))</f>
        <v>12.560975609756097</v>
      </c>
      <c r="J552" s="72" cm="1">
        <f t="array" aca="1" ref="J552" ca="1">(INDIRECT(ADDRESS((_xlfn.XMATCH(Table2[[#This Row],[Team]],Schedule!$A$1:$A$33)),5,1,1,"Sched Overlap")))</f>
        <v>0.6243386243386243</v>
      </c>
      <c r="K552" s="92" cm="1">
        <f t="array" aca="1" ref="K55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52" s="95">
        <f ca="1">IF(Table2[[#This Row],[Team]]="FA",0,Table2[[#This Row],[Pts/G]]*(Table2[[#This Row],[Games Playable]]/82))</f>
        <v>12.560975609756097</v>
      </c>
      <c r="M552" s="95" cm="1">
        <f t="array" aca="1" ref="M552" ca="1">Table2[[#This Row],[Playable x Score]]*_xlfn.IFS(Table2[[#This Row],[Pos]]="D",assumptions!$B$15,Table2[[#This Row],[Pos]]="F", assumptions!$B$14,Table2[[#This Row],[Pos]]="G",assumptions!$B$16)</f>
        <v>15.701219512195122</v>
      </c>
    </row>
    <row r="553" spans="1:13" x14ac:dyDescent="0.3">
      <c r="A553">
        <f>'score estimates'!$A553</f>
        <v>550</v>
      </c>
      <c r="B553" t="str">
        <f>'score estimates'!$B553</f>
        <v>Erik Gudbranson</v>
      </c>
      <c r="C553" t="str">
        <f>'score estimates'!$D553</f>
        <v>D</v>
      </c>
      <c r="D553" t="str">
        <f>'score estimates'!$C553</f>
        <v>CLS</v>
      </c>
      <c r="E553" s="75">
        <f>'score estimates'!$F553</f>
        <v>14.195121951219512</v>
      </c>
      <c r="F553" s="71">
        <f>'score estimates'!$G553</f>
        <v>419</v>
      </c>
      <c r="G553" s="71" t="s">
        <v>983</v>
      </c>
      <c r="H553" s="72" cm="1">
        <f t="array" aca="1" ref="H55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53" s="96">
        <f ca="1">IF(Table2[[#This Row],[Team]]="FA",0,Table2[[#This Row],[Pts/G]]*(1-Table2[[#This Row],[% Pos Overlap]]))</f>
        <v>14.195121951219512</v>
      </c>
      <c r="J553" s="72" cm="1">
        <f t="array" aca="1" ref="J553" ca="1">(INDIRECT(ADDRESS((_xlfn.XMATCH(Table2[[#This Row],[Team]],Schedule!$A$1:$A$33)),5,1,1,"Sched Overlap")))</f>
        <v>0.64875864875864886</v>
      </c>
      <c r="K553" s="92" cm="1">
        <f t="array" aca="1" ref="K55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53" s="95">
        <f ca="1">IF(Table2[[#This Row],[Team]]="FA",0,Table2[[#This Row],[Pts/G]]*(Table2[[#This Row],[Games Playable]]/82))</f>
        <v>14.195121951219512</v>
      </c>
      <c r="M553" s="95" cm="1">
        <f t="array" aca="1" ref="M553" ca="1">Table2[[#This Row],[Playable x Score]]*_xlfn.IFS(Table2[[#This Row],[Pos]]="D",assumptions!$B$15,Table2[[#This Row],[Pos]]="F", assumptions!$B$14,Table2[[#This Row],[Pos]]="G",assumptions!$B$16)</f>
        <v>17.743902439024389</v>
      </c>
    </row>
    <row r="554" spans="1:13" x14ac:dyDescent="0.3">
      <c r="A554">
        <f>'score estimates'!$A554</f>
        <v>551</v>
      </c>
      <c r="B554" t="str">
        <f>'score estimates'!$B554</f>
        <v>Marco Scandella</v>
      </c>
      <c r="C554" t="str">
        <f>'score estimates'!$D554</f>
        <v>D</v>
      </c>
      <c r="D554" t="str">
        <f>'score estimates'!$C554</f>
        <v>STL</v>
      </c>
      <c r="E554" s="75">
        <f>'score estimates'!$F554</f>
        <v>11.695121951219512</v>
      </c>
      <c r="F554" s="71">
        <f>'score estimates'!$G554</f>
        <v>507</v>
      </c>
      <c r="G554" s="71" t="s">
        <v>983</v>
      </c>
      <c r="H554" s="72" cm="1">
        <f t="array" aca="1" ref="H55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54" s="96">
        <f ca="1">IF(Table2[[#This Row],[Team]]="FA",0,Table2[[#This Row],[Pts/G]]*(1-Table2[[#This Row],[% Pos Overlap]]))</f>
        <v>11.695121951219512</v>
      </c>
      <c r="J554" s="72" cm="1">
        <f t="array" aca="1" ref="J554" ca="1">(INDIRECT(ADDRESS((_xlfn.XMATCH(Table2[[#This Row],[Team]],Schedule!$A$1:$A$33)),5,1,1,"Sched Overlap")))</f>
        <v>0.65120065120065118</v>
      </c>
      <c r="K554" s="92" cm="1">
        <f t="array" aca="1" ref="K55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54" s="95">
        <f ca="1">IF(Table2[[#This Row],[Team]]="FA",0,Table2[[#This Row],[Pts/G]]*(Table2[[#This Row],[Games Playable]]/82))</f>
        <v>11.695121951219512</v>
      </c>
      <c r="M554" s="95" cm="1">
        <f t="array" aca="1" ref="M554" ca="1">Table2[[#This Row],[Playable x Score]]*_xlfn.IFS(Table2[[#This Row],[Pos]]="D",assumptions!$B$15,Table2[[#This Row],[Pos]]="F", assumptions!$B$14,Table2[[#This Row],[Pos]]="G",assumptions!$B$16)</f>
        <v>14.61890243902439</v>
      </c>
    </row>
    <row r="555" spans="1:13" x14ac:dyDescent="0.3">
      <c r="A555">
        <f>'score estimates'!$A555</f>
        <v>552</v>
      </c>
      <c r="B555" t="str">
        <f>'score estimates'!$B555</f>
        <v>Wayne Simmonds</v>
      </c>
      <c r="C555" t="str">
        <f>'score estimates'!$D555</f>
        <v>F</v>
      </c>
      <c r="D555" t="str">
        <f>'score estimates'!$C555</f>
        <v>TOR</v>
      </c>
      <c r="E555" s="75">
        <f>'score estimates'!$F555</f>
        <v>10.792682926829269</v>
      </c>
      <c r="F555" s="71">
        <f>'score estimates'!$G555</f>
        <v>535</v>
      </c>
      <c r="G555" s="71" t="s">
        <v>983</v>
      </c>
      <c r="H555" s="72" cm="1">
        <f t="array" aca="1" ref="H55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55" s="96">
        <f ca="1">IF(Table2[[#This Row],[Team]]="FA",0,Table2[[#This Row],[Pts/G]]*(1-Table2[[#This Row],[% Pos Overlap]]))</f>
        <v>10.792682926829269</v>
      </c>
      <c r="J555" s="72" cm="1">
        <f t="array" aca="1" ref="J555" ca="1">(INDIRECT(ADDRESS((_xlfn.XMATCH(Table2[[#This Row],[Team]],Schedule!$A$1:$A$33)),5,1,1,"Sched Overlap")))</f>
        <v>0.62922262922262928</v>
      </c>
      <c r="K555" s="92" cm="1">
        <f t="array" aca="1" ref="K55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55" s="95">
        <f ca="1">IF(Table2[[#This Row],[Team]]="FA",0,Table2[[#This Row],[Pts/G]]*(Table2[[#This Row],[Games Playable]]/82))</f>
        <v>10.792682926829269</v>
      </c>
      <c r="M555" s="95" cm="1">
        <f t="array" aca="1" ref="M555" ca="1">Table2[[#This Row],[Playable x Score]]*_xlfn.IFS(Table2[[#This Row],[Pos]]="D",assumptions!$B$15,Table2[[#This Row],[Pos]]="F", assumptions!$B$14,Table2[[#This Row],[Pos]]="G",assumptions!$B$16)</f>
        <v>10.792682926829269</v>
      </c>
    </row>
    <row r="556" spans="1:13" x14ac:dyDescent="0.3">
      <c r="A556">
        <f>'score estimates'!$A556</f>
        <v>553</v>
      </c>
      <c r="B556" t="str">
        <f>'score estimates'!$B556</f>
        <v>Mathieu Perreault</v>
      </c>
      <c r="C556" t="str">
        <f>'score estimates'!$D556</f>
        <v>F</v>
      </c>
      <c r="D556" t="str">
        <f>'score estimates'!$C556</f>
        <v>FA</v>
      </c>
      <c r="E556" s="75">
        <f>'score estimates'!$F556</f>
        <v>6.4146341463414638</v>
      </c>
      <c r="F556" s="71">
        <f>'score estimates'!$G556</f>
        <v>668</v>
      </c>
      <c r="G556" s="71" t="s">
        <v>983</v>
      </c>
      <c r="H556" s="72" t="e" cm="1">
        <f t="array" aca="1" ref="H556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556" s="96">
        <f>IF(Table2[[#This Row],[Team]]="FA",0,Table2[[#This Row],[Pts/G]]*(1-Table2[[#This Row],[% Pos Overlap]]))</f>
        <v>0</v>
      </c>
      <c r="J556" s="72" t="e" cm="1">
        <f t="array" aca="1" ref="J556" ca="1">(INDIRECT(ADDRESS((_xlfn.XMATCH(Table2[[#This Row],[Team]],Schedule!$A$1:$A$33)),5,1,1,"Sched Overlap")))</f>
        <v>#N/A</v>
      </c>
      <c r="K556" s="92" t="e" cm="1">
        <f t="array" aca="1" ref="K556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556" s="95">
        <f>IF(Table2[[#This Row],[Team]]="FA",0,Table2[[#This Row],[Pts/G]]*(Table2[[#This Row],[Games Playable]]/82))</f>
        <v>0</v>
      </c>
      <c r="M556" s="95" cm="1">
        <f t="array" ref="M556">Table2[[#This Row],[Playable x Score]]*_xlfn.IFS(Table2[[#This Row],[Pos]]="D",assumptions!$B$15,Table2[[#This Row],[Pos]]="F", assumptions!$B$14,Table2[[#This Row],[Pos]]="G",assumptions!$B$16)</f>
        <v>0</v>
      </c>
    </row>
    <row r="557" spans="1:13" x14ac:dyDescent="0.3">
      <c r="A557">
        <f>'score estimates'!$A557</f>
        <v>554</v>
      </c>
      <c r="B557" t="str">
        <f>'score estimates'!$B557</f>
        <v>Marc-Edouard Vlasic</v>
      </c>
      <c r="C557" t="str">
        <f>'score estimates'!$D557</f>
        <v>D</v>
      </c>
      <c r="D557" t="str">
        <f>'score estimates'!$C557</f>
        <v>SJ</v>
      </c>
      <c r="E557" s="75">
        <f>'score estimates'!$F557</f>
        <v>6.3902439024390247</v>
      </c>
      <c r="F557" s="71">
        <f>'score estimates'!$G557</f>
        <v>670</v>
      </c>
      <c r="G557" s="71" t="s">
        <v>983</v>
      </c>
      <c r="H557" s="72" cm="1">
        <f t="array" aca="1" ref="H55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57" s="96">
        <f ca="1">IF(Table2[[#This Row],[Team]]="FA",0,Table2[[#This Row],[Pts/G]]*(1-Table2[[#This Row],[% Pos Overlap]]))</f>
        <v>6.3902439024390247</v>
      </c>
      <c r="J557" s="72" cm="1">
        <f t="array" aca="1" ref="J557" ca="1">(INDIRECT(ADDRESS((_xlfn.XMATCH(Table2[[#This Row],[Team]],Schedule!$A$1:$A$33)),5,1,1,"Sched Overlap")))</f>
        <v>0.63492063492063477</v>
      </c>
      <c r="K557" s="92" cm="1">
        <f t="array" aca="1" ref="K55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57" s="95">
        <f ca="1">IF(Table2[[#This Row],[Team]]="FA",0,Table2[[#This Row],[Pts/G]]*(Table2[[#This Row],[Games Playable]]/82))</f>
        <v>6.3902439024390247</v>
      </c>
      <c r="M557" s="95" cm="1">
        <f t="array" aca="1" ref="M557" ca="1">Table2[[#This Row],[Playable x Score]]*_xlfn.IFS(Table2[[#This Row],[Pos]]="D",assumptions!$B$15,Table2[[#This Row],[Pos]]="F", assumptions!$B$14,Table2[[#This Row],[Pos]]="G",assumptions!$B$16)</f>
        <v>7.9878048780487809</v>
      </c>
    </row>
    <row r="558" spans="1:13" x14ac:dyDescent="0.3">
      <c r="A558">
        <f>'score estimates'!$A558</f>
        <v>555</v>
      </c>
      <c r="B558" t="str">
        <f>'score estimates'!$B558</f>
        <v>Brendan Lemieux</v>
      </c>
      <c r="C558" t="str">
        <f>'score estimates'!$D558</f>
        <v>F</v>
      </c>
      <c r="D558" t="str">
        <f>'score estimates'!$C558</f>
        <v>LA</v>
      </c>
      <c r="E558" s="75">
        <f>'score estimates'!$F558</f>
        <v>11.353658536585366</v>
      </c>
      <c r="F558" s="71">
        <f>'score estimates'!$G558</f>
        <v>522</v>
      </c>
      <c r="G558" s="71" t="s">
        <v>983</v>
      </c>
      <c r="H558" s="72" cm="1">
        <f t="array" aca="1" ref="H55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58" s="96">
        <f ca="1">IF(Table2[[#This Row],[Team]]="FA",0,Table2[[#This Row],[Pts/G]]*(1-Table2[[#This Row],[% Pos Overlap]]))</f>
        <v>11.353658536585366</v>
      </c>
      <c r="J558" s="72" cm="1">
        <f t="array" aca="1" ref="J558" ca="1">(INDIRECT(ADDRESS((_xlfn.XMATCH(Table2[[#This Row],[Team]],Schedule!$A$1:$A$33)),5,1,1,"Sched Overlap")))</f>
        <v>0.65201465201465225</v>
      </c>
      <c r="K558" s="92" cm="1">
        <f t="array" aca="1" ref="K55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58" s="95">
        <f ca="1">IF(Table2[[#This Row],[Team]]="FA",0,Table2[[#This Row],[Pts/G]]*(Table2[[#This Row],[Games Playable]]/82))</f>
        <v>11.353658536585366</v>
      </c>
      <c r="M558" s="95" cm="1">
        <f t="array" aca="1" ref="M558" ca="1">Table2[[#This Row],[Playable x Score]]*_xlfn.IFS(Table2[[#This Row],[Pos]]="D",assumptions!$B$15,Table2[[#This Row],[Pos]]="F", assumptions!$B$14,Table2[[#This Row],[Pos]]="G",assumptions!$B$16)</f>
        <v>11.353658536585366</v>
      </c>
    </row>
    <row r="559" spans="1:13" x14ac:dyDescent="0.3">
      <c r="A559">
        <f>'score estimates'!$A559</f>
        <v>556</v>
      </c>
      <c r="B559" t="str">
        <f>'score estimates'!$B559</f>
        <v>Jacob Middleton</v>
      </c>
      <c r="C559" t="str">
        <f>'score estimates'!$D559</f>
        <v>D</v>
      </c>
      <c r="D559" t="str">
        <f>'score estimates'!$C559</f>
        <v>MIN</v>
      </c>
      <c r="E559" s="75">
        <f>'score estimates'!$F559</f>
        <v>14.817073170731707</v>
      </c>
      <c r="F559" s="71">
        <f>'score estimates'!$G559</f>
        <v>394</v>
      </c>
      <c r="G559" s="71" t="s">
        <v>983</v>
      </c>
      <c r="H559" s="72" cm="1">
        <f t="array" aca="1" ref="H55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59" s="96">
        <f ca="1">IF(Table2[[#This Row],[Team]]="FA",0,Table2[[#This Row],[Pts/G]]*(1-Table2[[#This Row],[% Pos Overlap]]))</f>
        <v>14.817073170731707</v>
      </c>
      <c r="J559" s="72" cm="1">
        <f t="array" aca="1" ref="J559" ca="1">(INDIRECT(ADDRESS((_xlfn.XMATCH(Table2[[#This Row],[Team]],Schedule!$A$1:$A$33)),5,1,1,"Sched Overlap")))</f>
        <v>0.62108262108262113</v>
      </c>
      <c r="K559" s="92" cm="1">
        <f t="array" aca="1" ref="K55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59" s="95">
        <f ca="1">IF(Table2[[#This Row],[Team]]="FA",0,Table2[[#This Row],[Pts/G]]*(Table2[[#This Row],[Games Playable]]/82))</f>
        <v>14.817073170731707</v>
      </c>
      <c r="M559" s="95" cm="1">
        <f t="array" aca="1" ref="M559" ca="1">Table2[[#This Row],[Playable x Score]]*_xlfn.IFS(Table2[[#This Row],[Pos]]="D",assumptions!$B$15,Table2[[#This Row],[Pos]]="F", assumptions!$B$14,Table2[[#This Row],[Pos]]="G",assumptions!$B$16)</f>
        <v>18.521341463414632</v>
      </c>
    </row>
    <row r="560" spans="1:13" x14ac:dyDescent="0.3">
      <c r="A560">
        <f>'score estimates'!$A560</f>
        <v>557</v>
      </c>
      <c r="B560" t="str">
        <f>'score estimates'!$B560</f>
        <v>Max Jones</v>
      </c>
      <c r="C560" t="str">
        <f>'score estimates'!$D560</f>
        <v>F</v>
      </c>
      <c r="D560" t="str">
        <f>'score estimates'!$C560</f>
        <v>ANH</v>
      </c>
      <c r="E560" s="75">
        <f>'score estimates'!$F560</f>
        <v>8.7439024390243905</v>
      </c>
      <c r="F560" s="71">
        <f>'score estimates'!$G560</f>
        <v>598</v>
      </c>
      <c r="G560" s="71" t="s">
        <v>983</v>
      </c>
      <c r="H560" s="72" cm="1">
        <f t="array" aca="1" ref="H56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60" s="96">
        <f ca="1">IF(Table2[[#This Row],[Team]]="FA",0,Table2[[#This Row],[Pts/G]]*(1-Table2[[#This Row],[% Pos Overlap]]))</f>
        <v>8.7439024390243905</v>
      </c>
      <c r="J560" s="72" cm="1">
        <f t="array" aca="1" ref="J560" ca="1">(INDIRECT(ADDRESS((_xlfn.XMATCH(Table2[[#This Row],[Team]],Schedule!$A$1:$A$33)),5,1,1,"Sched Overlap")))</f>
        <v>0.56410256410256399</v>
      </c>
      <c r="K560" s="92" cm="1">
        <f t="array" aca="1" ref="K56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60" s="95">
        <f ca="1">IF(Table2[[#This Row],[Team]]="FA",0,Table2[[#This Row],[Pts/G]]*(Table2[[#This Row],[Games Playable]]/82))</f>
        <v>8.7439024390243905</v>
      </c>
      <c r="M560" s="95" cm="1">
        <f t="array" aca="1" ref="M560" ca="1">Table2[[#This Row],[Playable x Score]]*_xlfn.IFS(Table2[[#This Row],[Pos]]="D",assumptions!$B$15,Table2[[#This Row],[Pos]]="F", assumptions!$B$14,Table2[[#This Row],[Pos]]="G",assumptions!$B$16)</f>
        <v>8.7439024390243905</v>
      </c>
    </row>
    <row r="561" spans="1:13" x14ac:dyDescent="0.3">
      <c r="A561">
        <f>'score estimates'!$A561</f>
        <v>558</v>
      </c>
      <c r="B561" t="str">
        <f>'score estimates'!$B561</f>
        <v>Dominik Simon</v>
      </c>
      <c r="C561" t="str">
        <f>'score estimates'!$D561</f>
        <v>F</v>
      </c>
      <c r="D561" t="str">
        <f>'score estimates'!$C561</f>
        <v>FA</v>
      </c>
      <c r="E561" s="75">
        <f>'score estimates'!$F561</f>
        <v>8.5</v>
      </c>
      <c r="F561" s="71">
        <f>'score estimates'!$G561</f>
        <v>606</v>
      </c>
      <c r="G561" s="71" t="s">
        <v>983</v>
      </c>
      <c r="H561" s="72" t="e" cm="1">
        <f t="array" aca="1" ref="H561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561" s="96">
        <f>IF(Table2[[#This Row],[Team]]="FA",0,Table2[[#This Row],[Pts/G]]*(1-Table2[[#This Row],[% Pos Overlap]]))</f>
        <v>0</v>
      </c>
      <c r="J561" s="72" t="e" cm="1">
        <f t="array" aca="1" ref="J561" ca="1">(INDIRECT(ADDRESS((_xlfn.XMATCH(Table2[[#This Row],[Team]],Schedule!$A$1:$A$33)),5,1,1,"Sched Overlap")))</f>
        <v>#N/A</v>
      </c>
      <c r="K561" s="92" t="e" cm="1">
        <f t="array" aca="1" ref="K561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561" s="95">
        <f>IF(Table2[[#This Row],[Team]]="FA",0,Table2[[#This Row],[Pts/G]]*(Table2[[#This Row],[Games Playable]]/82))</f>
        <v>0</v>
      </c>
      <c r="M561" s="95" cm="1">
        <f t="array" ref="M561">Table2[[#This Row],[Playable x Score]]*_xlfn.IFS(Table2[[#This Row],[Pos]]="D",assumptions!$B$15,Table2[[#This Row],[Pos]]="F", assumptions!$B$14,Table2[[#This Row],[Pos]]="G",assumptions!$B$16)</f>
        <v>0</v>
      </c>
    </row>
    <row r="562" spans="1:13" x14ac:dyDescent="0.3">
      <c r="A562">
        <f>'score estimates'!$A562</f>
        <v>559</v>
      </c>
      <c r="B562" t="str">
        <f>'score estimates'!$B562</f>
        <v>Tyler Motte</v>
      </c>
      <c r="C562" t="str">
        <f>'score estimates'!$D562</f>
        <v>F</v>
      </c>
      <c r="D562" t="str">
        <f>'score estimates'!$C562</f>
        <v>OTT</v>
      </c>
      <c r="E562" s="75">
        <f>'score estimates'!$F562</f>
        <v>10.317073170731707</v>
      </c>
      <c r="F562" s="71">
        <f>'score estimates'!$G562</f>
        <v>554</v>
      </c>
      <c r="G562" s="71" t="s">
        <v>983</v>
      </c>
      <c r="H562" s="72" cm="1">
        <f t="array" aca="1" ref="H56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62" s="96">
        <f ca="1">IF(Table2[[#This Row],[Team]]="FA",0,Table2[[#This Row],[Pts/G]]*(1-Table2[[#This Row],[% Pos Overlap]]))</f>
        <v>10.317073170731707</v>
      </c>
      <c r="J562" s="72" cm="1">
        <f t="array" aca="1" ref="J562" ca="1">(INDIRECT(ADDRESS((_xlfn.XMATCH(Table2[[#This Row],[Team]],Schedule!$A$1:$A$33)),5,1,1,"Sched Overlap")))</f>
        <v>0.64306064306064303</v>
      </c>
      <c r="K562" s="92" cm="1">
        <f t="array" aca="1" ref="K56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62" s="95">
        <f ca="1">IF(Table2[[#This Row],[Team]]="FA",0,Table2[[#This Row],[Pts/G]]*(Table2[[#This Row],[Games Playable]]/82))</f>
        <v>10.317073170731707</v>
      </c>
      <c r="M562" s="95" cm="1">
        <f t="array" aca="1" ref="M562" ca="1">Table2[[#This Row],[Playable x Score]]*_xlfn.IFS(Table2[[#This Row],[Pos]]="D",assumptions!$B$15,Table2[[#This Row],[Pos]]="F", assumptions!$B$14,Table2[[#This Row],[Pos]]="G",assumptions!$B$16)</f>
        <v>10.317073170731707</v>
      </c>
    </row>
    <row r="563" spans="1:13" x14ac:dyDescent="0.3">
      <c r="A563">
        <f>'score estimates'!$A563</f>
        <v>560</v>
      </c>
      <c r="B563" t="str">
        <f>'score estimates'!$B563</f>
        <v>Alex Barre-Boulet</v>
      </c>
      <c r="C563" t="str">
        <f>'score estimates'!$D563</f>
        <v>F</v>
      </c>
      <c r="D563" t="str">
        <f>'score estimates'!$C563</f>
        <v>TB</v>
      </c>
      <c r="E563" s="75">
        <f>'score estimates'!$F563</f>
        <v>5.7195121951219514</v>
      </c>
      <c r="F563" s="71">
        <f>'score estimates'!$G563</f>
        <v>698</v>
      </c>
      <c r="G563" s="71" t="s">
        <v>983</v>
      </c>
      <c r="H563" s="72" cm="1">
        <f t="array" aca="1" ref="H56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63" s="96">
        <f ca="1">IF(Table2[[#This Row],[Team]]="FA",0,Table2[[#This Row],[Pts/G]]*(1-Table2[[#This Row],[% Pos Overlap]]))</f>
        <v>5.7195121951219514</v>
      </c>
      <c r="J563" s="72" cm="1">
        <f t="array" aca="1" ref="J563" ca="1">(INDIRECT(ADDRESS((_xlfn.XMATCH(Table2[[#This Row],[Team]],Schedule!$A$1:$A$33)),5,1,1,"Sched Overlap")))</f>
        <v>0.66422466422466431</v>
      </c>
      <c r="K563" s="92" cm="1">
        <f t="array" aca="1" ref="K56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63" s="95">
        <f ca="1">IF(Table2[[#This Row],[Team]]="FA",0,Table2[[#This Row],[Pts/G]]*(Table2[[#This Row],[Games Playable]]/82))</f>
        <v>5.7195121951219514</v>
      </c>
      <c r="M563" s="95" cm="1">
        <f t="array" aca="1" ref="M563" ca="1">Table2[[#This Row],[Playable x Score]]*_xlfn.IFS(Table2[[#This Row],[Pos]]="D",assumptions!$B$15,Table2[[#This Row],[Pos]]="F", assumptions!$B$14,Table2[[#This Row],[Pos]]="G",assumptions!$B$16)</f>
        <v>5.7195121951219514</v>
      </c>
    </row>
    <row r="564" spans="1:13" x14ac:dyDescent="0.3">
      <c r="A564">
        <f>'score estimates'!$A564</f>
        <v>561</v>
      </c>
      <c r="B564" t="str">
        <f>'score estimates'!$B564</f>
        <v>Gabriel Vilardi</v>
      </c>
      <c r="C564" t="str">
        <f>'score estimates'!$D564</f>
        <v>F</v>
      </c>
      <c r="D564" t="str">
        <f>'score estimates'!$C564</f>
        <v>LA</v>
      </c>
      <c r="E564" s="75">
        <f>'score estimates'!$F564</f>
        <v>6.2317073170731705</v>
      </c>
      <c r="F564" s="71">
        <f>'score estimates'!$G564</f>
        <v>678</v>
      </c>
      <c r="G564" s="71" t="s">
        <v>983</v>
      </c>
      <c r="H564" s="72" cm="1">
        <f t="array" aca="1" ref="H56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64" s="96">
        <f ca="1">IF(Table2[[#This Row],[Team]]="FA",0,Table2[[#This Row],[Pts/G]]*(1-Table2[[#This Row],[% Pos Overlap]]))</f>
        <v>6.2317073170731705</v>
      </c>
      <c r="J564" s="72" cm="1">
        <f t="array" aca="1" ref="J564" ca="1">(INDIRECT(ADDRESS((_xlfn.XMATCH(Table2[[#This Row],[Team]],Schedule!$A$1:$A$33)),5,1,1,"Sched Overlap")))</f>
        <v>0.65201465201465225</v>
      </c>
      <c r="K564" s="92" cm="1">
        <f t="array" aca="1" ref="K56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64" s="95">
        <f ca="1">IF(Table2[[#This Row],[Team]]="FA",0,Table2[[#This Row],[Pts/G]]*(Table2[[#This Row],[Games Playable]]/82))</f>
        <v>6.2317073170731705</v>
      </c>
      <c r="M564" s="95" cm="1">
        <f t="array" aca="1" ref="M564" ca="1">Table2[[#This Row],[Playable x Score]]*_xlfn.IFS(Table2[[#This Row],[Pos]]="D",assumptions!$B$15,Table2[[#This Row],[Pos]]="F", assumptions!$B$14,Table2[[#This Row],[Pos]]="G",assumptions!$B$16)</f>
        <v>6.2317073170731705</v>
      </c>
    </row>
    <row r="565" spans="1:13" x14ac:dyDescent="0.3">
      <c r="A565">
        <f>'score estimates'!$A565</f>
        <v>562</v>
      </c>
      <c r="B565" t="str">
        <f>'score estimates'!$B565</f>
        <v>Cal Foote</v>
      </c>
      <c r="C565" t="str">
        <f>'score estimates'!$D565</f>
        <v>D</v>
      </c>
      <c r="D565" t="str">
        <f>'score estimates'!$C565</f>
        <v>TB</v>
      </c>
      <c r="E565" s="75">
        <f>'score estimates'!$F565</f>
        <v>11.560975609756097</v>
      </c>
      <c r="F565" s="71">
        <f>'score estimates'!$G565</f>
        <v>512</v>
      </c>
      <c r="G565" s="71" t="s">
        <v>983</v>
      </c>
      <c r="H565" s="72" cm="1">
        <f t="array" aca="1" ref="H56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65" s="96">
        <f ca="1">IF(Table2[[#This Row],[Team]]="FA",0,Table2[[#This Row],[Pts/G]]*(1-Table2[[#This Row],[% Pos Overlap]]))</f>
        <v>11.560975609756097</v>
      </c>
      <c r="J565" s="72" cm="1">
        <f t="array" aca="1" ref="J565" ca="1">(INDIRECT(ADDRESS((_xlfn.XMATCH(Table2[[#This Row],[Team]],Schedule!$A$1:$A$33)),5,1,1,"Sched Overlap")))</f>
        <v>0.66422466422466431</v>
      </c>
      <c r="K565" s="92" cm="1">
        <f t="array" aca="1" ref="K56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65" s="95">
        <f ca="1">IF(Table2[[#This Row],[Team]]="FA",0,Table2[[#This Row],[Pts/G]]*(Table2[[#This Row],[Games Playable]]/82))</f>
        <v>11.560975609756097</v>
      </c>
      <c r="M565" s="95" cm="1">
        <f t="array" aca="1" ref="M565" ca="1">Table2[[#This Row],[Playable x Score]]*_xlfn.IFS(Table2[[#This Row],[Pos]]="D",assumptions!$B$15,Table2[[#This Row],[Pos]]="F", assumptions!$B$14,Table2[[#This Row],[Pos]]="G",assumptions!$B$16)</f>
        <v>14.451219512195122</v>
      </c>
    </row>
    <row r="566" spans="1:13" x14ac:dyDescent="0.3">
      <c r="A566">
        <f>'score estimates'!$A566</f>
        <v>563</v>
      </c>
      <c r="B566" t="str">
        <f>'score estimates'!$B566</f>
        <v>Jake Neighbours</v>
      </c>
      <c r="C566" t="str">
        <f>'score estimates'!$D566</f>
        <v>F</v>
      </c>
      <c r="D566" t="str">
        <f>'score estimates'!$C566</f>
        <v>STL</v>
      </c>
      <c r="E566" s="75">
        <f>'score estimates'!$F566</f>
        <v>5.7439024390243905</v>
      </c>
      <c r="F566" s="71">
        <f>'score estimates'!$G566</f>
        <v>697</v>
      </c>
      <c r="G566" s="71" t="s">
        <v>983</v>
      </c>
      <c r="H566" s="72" cm="1">
        <f t="array" aca="1" ref="H56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66" s="96">
        <f ca="1">IF(Table2[[#This Row],[Team]]="FA",0,Table2[[#This Row],[Pts/G]]*(1-Table2[[#This Row],[% Pos Overlap]]))</f>
        <v>5.7439024390243905</v>
      </c>
      <c r="J566" s="72" cm="1">
        <f t="array" aca="1" ref="J566" ca="1">(INDIRECT(ADDRESS((_xlfn.XMATCH(Table2[[#This Row],[Team]],Schedule!$A$1:$A$33)),5,1,1,"Sched Overlap")))</f>
        <v>0.65120065120065118</v>
      </c>
      <c r="K566" s="92" cm="1">
        <f t="array" aca="1" ref="K56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66" s="95">
        <f ca="1">IF(Table2[[#This Row],[Team]]="FA",0,Table2[[#This Row],[Pts/G]]*(Table2[[#This Row],[Games Playable]]/82))</f>
        <v>5.7439024390243905</v>
      </c>
      <c r="M566" s="95" cm="1">
        <f t="array" aca="1" ref="M566" ca="1">Table2[[#This Row],[Playable x Score]]*_xlfn.IFS(Table2[[#This Row],[Pos]]="D",assumptions!$B$15,Table2[[#This Row],[Pos]]="F", assumptions!$B$14,Table2[[#This Row],[Pos]]="G",assumptions!$B$16)</f>
        <v>5.7439024390243905</v>
      </c>
    </row>
    <row r="567" spans="1:13" x14ac:dyDescent="0.3">
      <c r="A567">
        <f>'score estimates'!$A567</f>
        <v>564</v>
      </c>
      <c r="B567" t="str">
        <f>'score estimates'!$B567</f>
        <v>Connor Dewar</v>
      </c>
      <c r="C567" t="str">
        <f>'score estimates'!$D567</f>
        <v>F</v>
      </c>
      <c r="D567" t="str">
        <f>'score estimates'!$C567</f>
        <v>MIN</v>
      </c>
      <c r="E567" s="75">
        <f>'score estimates'!$F567</f>
        <v>9.5487804878048781</v>
      </c>
      <c r="F567" s="71">
        <f>'score estimates'!$G567</f>
        <v>578</v>
      </c>
      <c r="G567" s="71" t="s">
        <v>983</v>
      </c>
      <c r="H567" s="72" cm="1">
        <f t="array" aca="1" ref="H56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67" s="96">
        <f ca="1">IF(Table2[[#This Row],[Team]]="FA",0,Table2[[#This Row],[Pts/G]]*(1-Table2[[#This Row],[% Pos Overlap]]))</f>
        <v>9.5487804878048781</v>
      </c>
      <c r="J567" s="72" cm="1">
        <f t="array" aca="1" ref="J567" ca="1">(INDIRECT(ADDRESS((_xlfn.XMATCH(Table2[[#This Row],[Team]],Schedule!$A$1:$A$33)),5,1,1,"Sched Overlap")))</f>
        <v>0.62108262108262113</v>
      </c>
      <c r="K567" s="92" cm="1">
        <f t="array" aca="1" ref="K56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67" s="95">
        <f ca="1">IF(Table2[[#This Row],[Team]]="FA",0,Table2[[#This Row],[Pts/G]]*(Table2[[#This Row],[Games Playable]]/82))</f>
        <v>9.5487804878048781</v>
      </c>
      <c r="M567" s="95" cm="1">
        <f t="array" aca="1" ref="M567" ca="1">Table2[[#This Row],[Playable x Score]]*_xlfn.IFS(Table2[[#This Row],[Pos]]="D",assumptions!$B$15,Table2[[#This Row],[Pos]]="F", assumptions!$B$14,Table2[[#This Row],[Pos]]="G",assumptions!$B$16)</f>
        <v>9.5487804878048781</v>
      </c>
    </row>
    <row r="568" spans="1:13" x14ac:dyDescent="0.3">
      <c r="A568">
        <f>'score estimates'!$A568</f>
        <v>565</v>
      </c>
      <c r="B568" t="str">
        <f>'score estimates'!$B568</f>
        <v>Jacob Bryson</v>
      </c>
      <c r="C568" t="str">
        <f>'score estimates'!$D568</f>
        <v>D</v>
      </c>
      <c r="D568" t="str">
        <f>'score estimates'!$C568</f>
        <v>BUF</v>
      </c>
      <c r="E568" s="75">
        <f>'score estimates'!$F568</f>
        <v>7.3780487804878048</v>
      </c>
      <c r="F568" s="71">
        <f>'score estimates'!$G568</f>
        <v>634</v>
      </c>
      <c r="G568" s="71" t="s">
        <v>983</v>
      </c>
      <c r="H568" s="72" cm="1">
        <f t="array" aca="1" ref="H56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68" s="96">
        <f ca="1">IF(Table2[[#This Row],[Team]]="FA",0,Table2[[#This Row],[Pts/G]]*(1-Table2[[#This Row],[% Pos Overlap]]))</f>
        <v>7.3780487804878048</v>
      </c>
      <c r="J568" s="72" cm="1">
        <f t="array" aca="1" ref="J568" ca="1">(INDIRECT(ADDRESS((_xlfn.XMATCH(Table2[[#This Row],[Team]],Schedule!$A$1:$A$33)),5,1,1,"Sched Overlap")))</f>
        <v>0.63573463573463573</v>
      </c>
      <c r="K568" s="92" cm="1">
        <f t="array" aca="1" ref="K56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68" s="95">
        <f ca="1">IF(Table2[[#This Row],[Team]]="FA",0,Table2[[#This Row],[Pts/G]]*(Table2[[#This Row],[Games Playable]]/82))</f>
        <v>7.3780487804878048</v>
      </c>
      <c r="M568" s="95" cm="1">
        <f t="array" aca="1" ref="M568" ca="1">Table2[[#This Row],[Playable x Score]]*_xlfn.IFS(Table2[[#This Row],[Pos]]="D",assumptions!$B$15,Table2[[#This Row],[Pos]]="F", assumptions!$B$14,Table2[[#This Row],[Pos]]="G",assumptions!$B$16)</f>
        <v>9.2225609756097562</v>
      </c>
    </row>
    <row r="569" spans="1:13" x14ac:dyDescent="0.3">
      <c r="A569">
        <f>'score estimates'!$A569</f>
        <v>566</v>
      </c>
      <c r="B569" t="str">
        <f>'score estimates'!$B569</f>
        <v>Philip Broberg</v>
      </c>
      <c r="C569" t="str">
        <f>'score estimates'!$D569</f>
        <v>D</v>
      </c>
      <c r="D569" t="str">
        <f>'score estimates'!$C569</f>
        <v>EDM</v>
      </c>
      <c r="E569" s="75">
        <f>'score estimates'!$F569</f>
        <v>6.6585365853658534</v>
      </c>
      <c r="F569" s="71">
        <f>'score estimates'!$G569</f>
        <v>660</v>
      </c>
      <c r="G569" s="71" t="s">
        <v>983</v>
      </c>
      <c r="H569" s="72" cm="1">
        <f t="array" aca="1" ref="H56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69" s="96">
        <f ca="1">IF(Table2[[#This Row],[Team]]="FA",0,Table2[[#This Row],[Pts/G]]*(1-Table2[[#This Row],[% Pos Overlap]]))</f>
        <v>6.6585365853658534</v>
      </c>
      <c r="J569" s="72" cm="1">
        <f t="array" aca="1" ref="J569" ca="1">(INDIRECT(ADDRESS((_xlfn.XMATCH(Table2[[#This Row],[Team]],Schedule!$A$1:$A$33)),5,1,1,"Sched Overlap")))</f>
        <v>0.62026862026862029</v>
      </c>
      <c r="K569" s="92" cm="1">
        <f t="array" aca="1" ref="K56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69" s="95">
        <f ca="1">IF(Table2[[#This Row],[Team]]="FA",0,Table2[[#This Row],[Pts/G]]*(Table2[[#This Row],[Games Playable]]/82))</f>
        <v>6.6585365853658534</v>
      </c>
      <c r="M569" s="95" cm="1">
        <f t="array" aca="1" ref="M569" ca="1">Table2[[#This Row],[Playable x Score]]*_xlfn.IFS(Table2[[#This Row],[Pos]]="D",assumptions!$B$15,Table2[[#This Row],[Pos]]="F", assumptions!$B$14,Table2[[#This Row],[Pos]]="G",assumptions!$B$16)</f>
        <v>8.3231707317073162</v>
      </c>
    </row>
    <row r="570" spans="1:13" x14ac:dyDescent="0.3">
      <c r="A570">
        <f>'score estimates'!$A570</f>
        <v>567</v>
      </c>
      <c r="B570" t="str">
        <f>'score estimates'!$B570</f>
        <v>Thomas Harley</v>
      </c>
      <c r="C570" t="str">
        <f>'score estimates'!$D570</f>
        <v>D</v>
      </c>
      <c r="D570" t="str">
        <f>'score estimates'!$C570</f>
        <v>DAL</v>
      </c>
      <c r="E570" s="75">
        <f>'score estimates'!$F570</f>
        <v>7.1829268292682924</v>
      </c>
      <c r="F570" s="71">
        <f>'score estimates'!$G570</f>
        <v>640</v>
      </c>
      <c r="G570" s="71" t="s">
        <v>983</v>
      </c>
      <c r="H570" s="72" cm="1">
        <f t="array" aca="1" ref="H57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70" s="96">
        <f ca="1">IF(Table2[[#This Row],[Team]]="FA",0,Table2[[#This Row],[Pts/G]]*(1-Table2[[#This Row],[% Pos Overlap]]))</f>
        <v>7.1829268292682924</v>
      </c>
      <c r="J570" s="72" cm="1">
        <f t="array" aca="1" ref="J570" ca="1">(INDIRECT(ADDRESS((_xlfn.XMATCH(Table2[[#This Row],[Team]],Schedule!$A$1:$A$33)),5,1,1,"Sched Overlap")))</f>
        <v>0.65364265364265373</v>
      </c>
      <c r="K570" s="92" cm="1">
        <f t="array" aca="1" ref="K57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70" s="95">
        <f ca="1">IF(Table2[[#This Row],[Team]]="FA",0,Table2[[#This Row],[Pts/G]]*(Table2[[#This Row],[Games Playable]]/82))</f>
        <v>7.1829268292682924</v>
      </c>
      <c r="M570" s="95" cm="1">
        <f t="array" aca="1" ref="M570" ca="1">Table2[[#This Row],[Playable x Score]]*_xlfn.IFS(Table2[[#This Row],[Pos]]="D",assumptions!$B$15,Table2[[#This Row],[Pos]]="F", assumptions!$B$14,Table2[[#This Row],[Pos]]="G",assumptions!$B$16)</f>
        <v>8.9786585365853657</v>
      </c>
    </row>
    <row r="571" spans="1:13" x14ac:dyDescent="0.3">
      <c r="A571">
        <f>'score estimates'!$A571</f>
        <v>568</v>
      </c>
      <c r="B571" t="str">
        <f>'score estimates'!$B571</f>
        <v>Ilya Lyubushkin</v>
      </c>
      <c r="C571" t="str">
        <f>'score estimates'!$D571</f>
        <v>D</v>
      </c>
      <c r="D571" t="str">
        <f>'score estimates'!$C571</f>
        <v>BUF</v>
      </c>
      <c r="E571" s="75">
        <f>'score estimates'!$F571</f>
        <v>10.048780487804878</v>
      </c>
      <c r="F571" s="71">
        <f>'score estimates'!$G571</f>
        <v>561</v>
      </c>
      <c r="G571" s="71" t="s">
        <v>983</v>
      </c>
      <c r="H571" s="72" cm="1">
        <f t="array" aca="1" ref="H57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71" s="96">
        <f ca="1">IF(Table2[[#This Row],[Team]]="FA",0,Table2[[#This Row],[Pts/G]]*(1-Table2[[#This Row],[% Pos Overlap]]))</f>
        <v>10.048780487804878</v>
      </c>
      <c r="J571" s="72" cm="1">
        <f t="array" aca="1" ref="J571" ca="1">(INDIRECT(ADDRESS((_xlfn.XMATCH(Table2[[#This Row],[Team]],Schedule!$A$1:$A$33)),5,1,1,"Sched Overlap")))</f>
        <v>0.63573463573463573</v>
      </c>
      <c r="K571" s="92" cm="1">
        <f t="array" aca="1" ref="K57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71" s="95">
        <f ca="1">IF(Table2[[#This Row],[Team]]="FA",0,Table2[[#This Row],[Pts/G]]*(Table2[[#This Row],[Games Playable]]/82))</f>
        <v>10.048780487804878</v>
      </c>
      <c r="M571" s="95" cm="1">
        <f t="array" aca="1" ref="M571" ca="1">Table2[[#This Row],[Playable x Score]]*_xlfn.IFS(Table2[[#This Row],[Pos]]="D",assumptions!$B$15,Table2[[#This Row],[Pos]]="F", assumptions!$B$14,Table2[[#This Row],[Pos]]="G",assumptions!$B$16)</f>
        <v>12.560975609756097</v>
      </c>
    </row>
    <row r="572" spans="1:13" x14ac:dyDescent="0.3">
      <c r="A572">
        <f>'score estimates'!$A572</f>
        <v>569</v>
      </c>
      <c r="B572" t="str">
        <f>'score estimates'!$B572</f>
        <v>Janis Moser</v>
      </c>
      <c r="C572" t="str">
        <f>'score estimates'!$D572</f>
        <v>D</v>
      </c>
      <c r="D572" t="str">
        <f>'score estimates'!$C572</f>
        <v>ARI</v>
      </c>
      <c r="E572" s="75">
        <f>'score estimates'!$F572</f>
        <v>4.9878048780487809</v>
      </c>
      <c r="F572" s="71">
        <f>'score estimates'!$G572</f>
        <v>721</v>
      </c>
      <c r="G572" s="71" t="s">
        <v>983</v>
      </c>
      <c r="H572" s="72" cm="1">
        <f t="array" aca="1" ref="H57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72" s="96">
        <f ca="1">IF(Table2[[#This Row],[Team]]="FA",0,Table2[[#This Row],[Pts/G]]*(1-Table2[[#This Row],[% Pos Overlap]]))</f>
        <v>4.9878048780487809</v>
      </c>
      <c r="J572" s="72" cm="1">
        <f t="array" aca="1" ref="J572" ca="1">(INDIRECT(ADDRESS((_xlfn.XMATCH(Table2[[#This Row],[Team]],Schedule!$A$1:$A$33)),5,1,1,"Sched Overlap")))</f>
        <v>0.63247863247863279</v>
      </c>
      <c r="K572" s="92" cm="1">
        <f t="array" aca="1" ref="K57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72" s="95">
        <f ca="1">IF(Table2[[#This Row],[Team]]="FA",0,Table2[[#This Row],[Pts/G]]*(Table2[[#This Row],[Games Playable]]/82))</f>
        <v>4.9878048780487809</v>
      </c>
      <c r="M572" s="95" cm="1">
        <f t="array" aca="1" ref="M572" ca="1">Table2[[#This Row],[Playable x Score]]*_xlfn.IFS(Table2[[#This Row],[Pos]]="D",assumptions!$B$15,Table2[[#This Row],[Pos]]="F", assumptions!$B$14,Table2[[#This Row],[Pos]]="G",assumptions!$B$16)</f>
        <v>6.2347560975609762</v>
      </c>
    </row>
    <row r="573" spans="1:13" x14ac:dyDescent="0.3">
      <c r="A573">
        <f>'score estimates'!$A573</f>
        <v>570</v>
      </c>
      <c r="B573" t="str">
        <f>'score estimates'!$B573</f>
        <v>Sakari Manninen</v>
      </c>
      <c r="C573" t="str">
        <f>'score estimates'!$D573</f>
        <v>F</v>
      </c>
      <c r="D573" t="str">
        <f>'score estimates'!$C573</f>
        <v>VGK</v>
      </c>
      <c r="E573" s="75">
        <f>'score estimates'!$F573</f>
        <v>7.3902439024390247</v>
      </c>
      <c r="F573" s="71">
        <f>'score estimates'!$G573</f>
        <v>633</v>
      </c>
      <c r="G573" s="71" t="s">
        <v>983</v>
      </c>
      <c r="H573" s="72" cm="1">
        <f t="array" aca="1" ref="H57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73" s="96">
        <f ca="1">IF(Table2[[#This Row],[Team]]="FA",0,Table2[[#This Row],[Pts/G]]*(1-Table2[[#This Row],[% Pos Overlap]]))</f>
        <v>7.3902439024390247</v>
      </c>
      <c r="J573" s="72" cm="1">
        <f t="array" aca="1" ref="J573" ca="1">(INDIRECT(ADDRESS((_xlfn.XMATCH(Table2[[#This Row],[Team]],Schedule!$A$1:$A$33)),5,1,1,"Sched Overlap")))</f>
        <v>0.66992266992266991</v>
      </c>
      <c r="K573" s="92" cm="1">
        <f t="array" aca="1" ref="K57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73" s="95">
        <f ca="1">IF(Table2[[#This Row],[Team]]="FA",0,Table2[[#This Row],[Pts/G]]*(Table2[[#This Row],[Games Playable]]/82))</f>
        <v>7.3902439024390247</v>
      </c>
      <c r="M573" s="95" cm="1">
        <f t="array" aca="1" ref="M573" ca="1">Table2[[#This Row],[Playable x Score]]*_xlfn.IFS(Table2[[#This Row],[Pos]]="D",assumptions!$B$15,Table2[[#This Row],[Pos]]="F", assumptions!$B$14,Table2[[#This Row],[Pos]]="G",assumptions!$B$16)</f>
        <v>7.3902439024390247</v>
      </c>
    </row>
    <row r="574" spans="1:13" x14ac:dyDescent="0.3">
      <c r="A574">
        <f>'score estimates'!$A574</f>
        <v>571</v>
      </c>
      <c r="B574" t="str">
        <f>'score estimates'!$B574</f>
        <v>Klim Kostin</v>
      </c>
      <c r="C574" t="str">
        <f>'score estimates'!$D574</f>
        <v>F</v>
      </c>
      <c r="D574" t="str">
        <f>'score estimates'!$C574</f>
        <v>STL</v>
      </c>
      <c r="E574" s="75">
        <f>'score estimates'!$F574</f>
        <v>7.4268292682926829</v>
      </c>
      <c r="F574" s="71">
        <f>'score estimates'!$G574</f>
        <v>632</v>
      </c>
      <c r="G574" s="71" t="s">
        <v>983</v>
      </c>
      <c r="H574" s="72" cm="1">
        <f t="array" aca="1" ref="H57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74" s="96">
        <f ca="1">IF(Table2[[#This Row],[Team]]="FA",0,Table2[[#This Row],[Pts/G]]*(1-Table2[[#This Row],[% Pos Overlap]]))</f>
        <v>7.4268292682926829</v>
      </c>
      <c r="J574" s="72" cm="1">
        <f t="array" aca="1" ref="J574" ca="1">(INDIRECT(ADDRESS((_xlfn.XMATCH(Table2[[#This Row],[Team]],Schedule!$A$1:$A$33)),5,1,1,"Sched Overlap")))</f>
        <v>0.65120065120065118</v>
      </c>
      <c r="K574" s="92" cm="1">
        <f t="array" aca="1" ref="K57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74" s="95">
        <f ca="1">IF(Table2[[#This Row],[Team]]="FA",0,Table2[[#This Row],[Pts/G]]*(Table2[[#This Row],[Games Playable]]/82))</f>
        <v>7.4268292682926829</v>
      </c>
      <c r="M574" s="95" cm="1">
        <f t="array" aca="1" ref="M574" ca="1">Table2[[#This Row],[Playable x Score]]*_xlfn.IFS(Table2[[#This Row],[Pos]]="D",assumptions!$B$15,Table2[[#This Row],[Pos]]="F", assumptions!$B$14,Table2[[#This Row],[Pos]]="G",assumptions!$B$16)</f>
        <v>7.4268292682926829</v>
      </c>
    </row>
    <row r="575" spans="1:13" x14ac:dyDescent="0.3">
      <c r="A575">
        <f>'score estimates'!$A575</f>
        <v>572</v>
      </c>
      <c r="B575" t="str">
        <f>'score estimates'!$B575</f>
        <v>Ryan Poehling</v>
      </c>
      <c r="C575" t="str">
        <f>'score estimates'!$D575</f>
        <v>F</v>
      </c>
      <c r="D575" t="str">
        <f>'score estimates'!$C575</f>
        <v>PIT</v>
      </c>
      <c r="E575" s="75">
        <f>'score estimates'!$F575</f>
        <v>4.8536585365853657</v>
      </c>
      <c r="F575" s="71">
        <f>'score estimates'!$G575</f>
        <v>727</v>
      </c>
      <c r="G575" s="71" t="s">
        <v>983</v>
      </c>
      <c r="H575" s="72" cm="1">
        <f t="array" aca="1" ref="H57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75" s="96">
        <f ca="1">IF(Table2[[#This Row],[Team]]="FA",0,Table2[[#This Row],[Pts/G]]*(1-Table2[[#This Row],[% Pos Overlap]]))</f>
        <v>4.8536585365853657</v>
      </c>
      <c r="J575" s="72" cm="1">
        <f t="array" aca="1" ref="J575" ca="1">(INDIRECT(ADDRESS((_xlfn.XMATCH(Table2[[#This Row],[Team]],Schedule!$A$1:$A$33)),5,1,1,"Sched Overlap")))</f>
        <v>0.63492063492063477</v>
      </c>
      <c r="K575" s="92" cm="1">
        <f t="array" aca="1" ref="K57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75" s="95">
        <f ca="1">IF(Table2[[#This Row],[Team]]="FA",0,Table2[[#This Row],[Pts/G]]*(Table2[[#This Row],[Games Playable]]/82))</f>
        <v>4.8536585365853657</v>
      </c>
      <c r="M575" s="95" cm="1">
        <f t="array" aca="1" ref="M575" ca="1">Table2[[#This Row],[Playable x Score]]*_xlfn.IFS(Table2[[#This Row],[Pos]]="D",assumptions!$B$15,Table2[[#This Row],[Pos]]="F", assumptions!$B$14,Table2[[#This Row],[Pos]]="G",assumptions!$B$16)</f>
        <v>4.8536585365853657</v>
      </c>
    </row>
    <row r="576" spans="1:13" x14ac:dyDescent="0.3">
      <c r="A576">
        <f>'score estimates'!$A576</f>
        <v>573</v>
      </c>
      <c r="B576" t="str">
        <f>'score estimates'!$B576</f>
        <v>Zach Aston-Reese</v>
      </c>
      <c r="C576" t="str">
        <f>'score estimates'!$D576</f>
        <v>F</v>
      </c>
      <c r="D576" t="str">
        <f>'score estimates'!$C576</f>
        <v>TOR</v>
      </c>
      <c r="E576" s="75">
        <f>'score estimates'!$F576</f>
        <v>10.402439024390244</v>
      </c>
      <c r="F576" s="71">
        <f>'score estimates'!$G576</f>
        <v>549</v>
      </c>
      <c r="G576" s="71" t="s">
        <v>983</v>
      </c>
      <c r="H576" s="72" cm="1">
        <f t="array" aca="1" ref="H57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76" s="96">
        <f ca="1">IF(Table2[[#This Row],[Team]]="FA",0,Table2[[#This Row],[Pts/G]]*(1-Table2[[#This Row],[% Pos Overlap]]))</f>
        <v>10.402439024390244</v>
      </c>
      <c r="J576" s="72" cm="1">
        <f t="array" aca="1" ref="J576" ca="1">(INDIRECT(ADDRESS((_xlfn.XMATCH(Table2[[#This Row],[Team]],Schedule!$A$1:$A$33)),5,1,1,"Sched Overlap")))</f>
        <v>0.62922262922262928</v>
      </c>
      <c r="K576" s="92" cm="1">
        <f t="array" aca="1" ref="K57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76" s="95">
        <f ca="1">IF(Table2[[#This Row],[Team]]="FA",0,Table2[[#This Row],[Pts/G]]*(Table2[[#This Row],[Games Playable]]/82))</f>
        <v>10.402439024390244</v>
      </c>
      <c r="M576" s="95" cm="1">
        <f t="array" aca="1" ref="M576" ca="1">Table2[[#This Row],[Playable x Score]]*_xlfn.IFS(Table2[[#This Row],[Pos]]="D",assumptions!$B$15,Table2[[#This Row],[Pos]]="F", assumptions!$B$14,Table2[[#This Row],[Pos]]="G",assumptions!$B$16)</f>
        <v>10.402439024390244</v>
      </c>
    </row>
    <row r="577" spans="1:13" x14ac:dyDescent="0.3">
      <c r="A577">
        <f>'score estimates'!$A577</f>
        <v>574</v>
      </c>
      <c r="B577" t="str">
        <f>'score estimates'!$B577</f>
        <v>Pierre-Olivier Joseph</v>
      </c>
      <c r="C577" t="str">
        <f>'score estimates'!$D577</f>
        <v>D</v>
      </c>
      <c r="D577" t="str">
        <f>'score estimates'!$C577</f>
        <v>PIT</v>
      </c>
      <c r="E577" s="75">
        <f>'score estimates'!$F577</f>
        <v>6.9268292682926829</v>
      </c>
      <c r="F577" s="71">
        <f>'score estimates'!$G577</f>
        <v>647</v>
      </c>
      <c r="G577" s="71" t="s">
        <v>983</v>
      </c>
      <c r="H577" s="72" cm="1">
        <f t="array" aca="1" ref="H57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77" s="96">
        <f ca="1">IF(Table2[[#This Row],[Team]]="FA",0,Table2[[#This Row],[Pts/G]]*(1-Table2[[#This Row],[% Pos Overlap]]))</f>
        <v>6.9268292682926829</v>
      </c>
      <c r="J577" s="72" cm="1">
        <f t="array" aca="1" ref="J577" ca="1">(INDIRECT(ADDRESS((_xlfn.XMATCH(Table2[[#This Row],[Team]],Schedule!$A$1:$A$33)),5,1,1,"Sched Overlap")))</f>
        <v>0.63492063492063477</v>
      </c>
      <c r="K577" s="92" cm="1">
        <f t="array" aca="1" ref="K57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77" s="95">
        <f ca="1">IF(Table2[[#This Row],[Team]]="FA",0,Table2[[#This Row],[Pts/G]]*(Table2[[#This Row],[Games Playable]]/82))</f>
        <v>6.9268292682926829</v>
      </c>
      <c r="M577" s="95" cm="1">
        <f t="array" aca="1" ref="M577" ca="1">Table2[[#This Row],[Playable x Score]]*_xlfn.IFS(Table2[[#This Row],[Pos]]="D",assumptions!$B$15,Table2[[#This Row],[Pos]]="F", assumptions!$B$14,Table2[[#This Row],[Pos]]="G",assumptions!$B$16)</f>
        <v>8.6585365853658534</v>
      </c>
    </row>
    <row r="578" spans="1:13" x14ac:dyDescent="0.3">
      <c r="A578">
        <f>'score estimates'!$A578</f>
        <v>575</v>
      </c>
      <c r="B578" t="str">
        <f>'score estimates'!$B578</f>
        <v>Troy Stecher</v>
      </c>
      <c r="C578" t="str">
        <f>'score estimates'!$D578</f>
        <v>D</v>
      </c>
      <c r="D578" t="str">
        <f>'score estimates'!$C578</f>
        <v>ARI</v>
      </c>
      <c r="E578" s="75">
        <f>'score estimates'!$F578</f>
        <v>7.7804878048780486</v>
      </c>
      <c r="F578" s="71">
        <f>'score estimates'!$G578</f>
        <v>623</v>
      </c>
      <c r="G578" s="71" t="s">
        <v>983</v>
      </c>
      <c r="H578" s="72" cm="1">
        <f t="array" aca="1" ref="H57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78" s="96">
        <f ca="1">IF(Table2[[#This Row],[Team]]="FA",0,Table2[[#This Row],[Pts/G]]*(1-Table2[[#This Row],[% Pos Overlap]]))</f>
        <v>7.7804878048780486</v>
      </c>
      <c r="J578" s="72" cm="1">
        <f t="array" aca="1" ref="J578" ca="1">(INDIRECT(ADDRESS((_xlfn.XMATCH(Table2[[#This Row],[Team]],Schedule!$A$1:$A$33)),5,1,1,"Sched Overlap")))</f>
        <v>0.63247863247863279</v>
      </c>
      <c r="K578" s="92" cm="1">
        <f t="array" aca="1" ref="K57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78" s="95">
        <f ca="1">IF(Table2[[#This Row],[Team]]="FA",0,Table2[[#This Row],[Pts/G]]*(Table2[[#This Row],[Games Playable]]/82))</f>
        <v>7.7804878048780486</v>
      </c>
      <c r="M578" s="95" cm="1">
        <f t="array" aca="1" ref="M578" ca="1">Table2[[#This Row],[Playable x Score]]*_xlfn.IFS(Table2[[#This Row],[Pos]]="D",assumptions!$B$15,Table2[[#This Row],[Pos]]="F", assumptions!$B$14,Table2[[#This Row],[Pos]]="G",assumptions!$B$16)</f>
        <v>9.7256097560975601</v>
      </c>
    </row>
    <row r="579" spans="1:13" x14ac:dyDescent="0.3">
      <c r="A579">
        <f>'score estimates'!$A579</f>
        <v>576</v>
      </c>
      <c r="B579" t="str">
        <f>'score estimates'!$B579</f>
        <v>Lucas Carlsson</v>
      </c>
      <c r="C579" t="str">
        <f>'score estimates'!$D579</f>
        <v>D</v>
      </c>
      <c r="D579" t="str">
        <f>'score estimates'!$C579</f>
        <v>FLA</v>
      </c>
      <c r="E579" s="75">
        <f>'score estimates'!$F579</f>
        <v>7.6951219512195124</v>
      </c>
      <c r="F579" s="71">
        <f>'score estimates'!$G579</f>
        <v>624</v>
      </c>
      <c r="G579" s="71" t="s">
        <v>983</v>
      </c>
      <c r="H579" s="72" cm="1">
        <f t="array" aca="1" ref="H57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79" s="96">
        <f ca="1">IF(Table2[[#This Row],[Team]]="FA",0,Table2[[#This Row],[Pts/G]]*(1-Table2[[#This Row],[% Pos Overlap]]))</f>
        <v>7.6951219512195124</v>
      </c>
      <c r="J579" s="72" cm="1">
        <f t="array" aca="1" ref="J579" ca="1">(INDIRECT(ADDRESS((_xlfn.XMATCH(Table2[[#This Row],[Team]],Schedule!$A$1:$A$33)),5,1,1,"Sched Overlap")))</f>
        <v>0.64387464387464377</v>
      </c>
      <c r="K579" s="92" cm="1">
        <f t="array" aca="1" ref="K57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79" s="95">
        <f ca="1">IF(Table2[[#This Row],[Team]]="FA",0,Table2[[#This Row],[Pts/G]]*(Table2[[#This Row],[Games Playable]]/82))</f>
        <v>7.6951219512195124</v>
      </c>
      <c r="M579" s="95" cm="1">
        <f t="array" aca="1" ref="M579" ca="1">Table2[[#This Row],[Playable x Score]]*_xlfn.IFS(Table2[[#This Row],[Pos]]="D",assumptions!$B$15,Table2[[#This Row],[Pos]]="F", assumptions!$B$14,Table2[[#This Row],[Pos]]="G",assumptions!$B$16)</f>
        <v>9.6189024390243905</v>
      </c>
    </row>
    <row r="580" spans="1:13" x14ac:dyDescent="0.3">
      <c r="A580">
        <f>'score estimates'!$A580</f>
        <v>577</v>
      </c>
      <c r="B580" t="str">
        <f>'score estimates'!$B580</f>
        <v>Will Borgen</v>
      </c>
      <c r="C580" t="str">
        <f>'score estimates'!$D580</f>
        <v>D</v>
      </c>
      <c r="D580" t="str">
        <f>'score estimates'!$C580</f>
        <v>SEA</v>
      </c>
      <c r="E580" s="75">
        <f>'score estimates'!$F580</f>
        <v>9.963414634146341</v>
      </c>
      <c r="F580" s="71">
        <f>'score estimates'!$G580</f>
        <v>565</v>
      </c>
      <c r="G580" s="71" t="s">
        <v>983</v>
      </c>
      <c r="H580" s="72" cm="1">
        <f t="array" aca="1" ref="H58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80" s="96">
        <f ca="1">IF(Table2[[#This Row],[Team]]="FA",0,Table2[[#This Row],[Pts/G]]*(1-Table2[[#This Row],[% Pos Overlap]]))</f>
        <v>9.963414634146341</v>
      </c>
      <c r="J580" s="72" cm="1">
        <f t="array" aca="1" ref="J580" ca="1">(INDIRECT(ADDRESS((_xlfn.XMATCH(Table2[[#This Row],[Team]],Schedule!$A$1:$A$33)),5,1,1,"Sched Overlap")))</f>
        <v>0.63085063085063087</v>
      </c>
      <c r="K580" s="92" cm="1">
        <f t="array" aca="1" ref="K58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80" s="95">
        <f ca="1">IF(Table2[[#This Row],[Team]]="FA",0,Table2[[#This Row],[Pts/G]]*(Table2[[#This Row],[Games Playable]]/82))</f>
        <v>9.963414634146341</v>
      </c>
      <c r="M580" s="95" cm="1">
        <f t="array" aca="1" ref="M580" ca="1">Table2[[#This Row],[Playable x Score]]*_xlfn.IFS(Table2[[#This Row],[Pos]]="D",assumptions!$B$15,Table2[[#This Row],[Pos]]="F", assumptions!$B$14,Table2[[#This Row],[Pos]]="G",assumptions!$B$16)</f>
        <v>12.454268292682926</v>
      </c>
    </row>
    <row r="581" spans="1:13" x14ac:dyDescent="0.3">
      <c r="A581">
        <f>'score estimates'!$A581</f>
        <v>578</v>
      </c>
      <c r="B581" t="str">
        <f>'score estimates'!$B581</f>
        <v>Ethan Bear</v>
      </c>
      <c r="C581" t="str">
        <f>'score estimates'!$D581</f>
        <v>D</v>
      </c>
      <c r="D581" t="str">
        <f>'score estimates'!$C581</f>
        <v>CAR</v>
      </c>
      <c r="E581" s="75">
        <f>'score estimates'!$F581</f>
        <v>9.8048780487804876</v>
      </c>
      <c r="F581" s="71">
        <f>'score estimates'!$G581</f>
        <v>572</v>
      </c>
      <c r="G581" s="71" t="s">
        <v>983</v>
      </c>
      <c r="H581" s="72" cm="1">
        <f t="array" aca="1" ref="H58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81" s="96">
        <f ca="1">IF(Table2[[#This Row],[Team]]="FA",0,Table2[[#This Row],[Pts/G]]*(1-Table2[[#This Row],[% Pos Overlap]]))</f>
        <v>9.8048780487804876</v>
      </c>
      <c r="J581" s="72" cm="1">
        <f t="array" aca="1" ref="J581" ca="1">(INDIRECT(ADDRESS((_xlfn.XMATCH(Table2[[#This Row],[Team]],Schedule!$A$1:$A$33)),5,1,1,"Sched Overlap")))</f>
        <v>0.63247863247863245</v>
      </c>
      <c r="K581" s="92" cm="1">
        <f t="array" aca="1" ref="K58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81" s="95">
        <f ca="1">IF(Table2[[#This Row],[Team]]="FA",0,Table2[[#This Row],[Pts/G]]*(Table2[[#This Row],[Games Playable]]/82))</f>
        <v>9.8048780487804876</v>
      </c>
      <c r="M581" s="95" cm="1">
        <f t="array" aca="1" ref="M581" ca="1">Table2[[#This Row],[Playable x Score]]*_xlfn.IFS(Table2[[#This Row],[Pos]]="D",assumptions!$B$15,Table2[[#This Row],[Pos]]="F", assumptions!$B$14,Table2[[#This Row],[Pos]]="G",assumptions!$B$16)</f>
        <v>12.25609756097561</v>
      </c>
    </row>
    <row r="582" spans="1:13" x14ac:dyDescent="0.3">
      <c r="A582">
        <f>'score estimates'!$A582</f>
        <v>579</v>
      </c>
      <c r="B582" t="str">
        <f>'score estimates'!$B582</f>
        <v>Logan Stanley</v>
      </c>
      <c r="C582" t="str">
        <f>'score estimates'!$D582</f>
        <v>D</v>
      </c>
      <c r="D582" t="str">
        <f>'score estimates'!$C582</f>
        <v>WPG</v>
      </c>
      <c r="E582" s="75">
        <f>'score estimates'!$F582</f>
        <v>10.182926829268293</v>
      </c>
      <c r="F582" s="71">
        <f>'score estimates'!$G582</f>
        <v>555</v>
      </c>
      <c r="G582" s="71" t="s">
        <v>983</v>
      </c>
      <c r="H582" s="72" cm="1">
        <f t="array" aca="1" ref="H58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82" s="96">
        <f ca="1">IF(Table2[[#This Row],[Team]]="FA",0,Table2[[#This Row],[Pts/G]]*(1-Table2[[#This Row],[% Pos Overlap]]))</f>
        <v>10.182926829268293</v>
      </c>
      <c r="J582" s="72" cm="1">
        <f t="array" aca="1" ref="J582" ca="1">(INDIRECT(ADDRESS((_xlfn.XMATCH(Table2[[#This Row],[Team]],Schedule!$A$1:$A$33)),5,1,1,"Sched Overlap")))</f>
        <v>0.61212861212861214</v>
      </c>
      <c r="K582" s="92" cm="1">
        <f t="array" aca="1" ref="K58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82" s="95">
        <f ca="1">IF(Table2[[#This Row],[Team]]="FA",0,Table2[[#This Row],[Pts/G]]*(Table2[[#This Row],[Games Playable]]/82))</f>
        <v>10.182926829268293</v>
      </c>
      <c r="M582" s="95" cm="1">
        <f t="array" aca="1" ref="M582" ca="1">Table2[[#This Row],[Playable x Score]]*_xlfn.IFS(Table2[[#This Row],[Pos]]="D",assumptions!$B$15,Table2[[#This Row],[Pos]]="F", assumptions!$B$14,Table2[[#This Row],[Pos]]="G",assumptions!$B$16)</f>
        <v>12.728658536585368</v>
      </c>
    </row>
    <row r="583" spans="1:13" x14ac:dyDescent="0.3">
      <c r="A583">
        <f>'score estimates'!$A583</f>
        <v>580</v>
      </c>
      <c r="B583" t="str">
        <f>'score estimates'!$B583</f>
        <v>Glenn Gawdin</v>
      </c>
      <c r="C583" t="str">
        <f>'score estimates'!$D583</f>
        <v>F</v>
      </c>
      <c r="D583" t="str">
        <f>'score estimates'!$C583</f>
        <v>ANH</v>
      </c>
      <c r="E583" s="75">
        <f>'score estimates'!$F583</f>
        <v>6.3902439024390247</v>
      </c>
      <c r="F583" s="71">
        <f>'score estimates'!$G583</f>
        <v>670</v>
      </c>
      <c r="G583" s="71" t="s">
        <v>983</v>
      </c>
      <c r="H583" s="72" cm="1">
        <f t="array" aca="1" ref="H58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83" s="96">
        <f ca="1">IF(Table2[[#This Row],[Team]]="FA",0,Table2[[#This Row],[Pts/G]]*(1-Table2[[#This Row],[% Pos Overlap]]))</f>
        <v>6.3902439024390247</v>
      </c>
      <c r="J583" s="72" cm="1">
        <f t="array" aca="1" ref="J583" ca="1">(INDIRECT(ADDRESS((_xlfn.XMATCH(Table2[[#This Row],[Team]],Schedule!$A$1:$A$33)),5,1,1,"Sched Overlap")))</f>
        <v>0.56410256410256399</v>
      </c>
      <c r="K583" s="92" cm="1">
        <f t="array" aca="1" ref="K58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83" s="95">
        <f ca="1">IF(Table2[[#This Row],[Team]]="FA",0,Table2[[#This Row],[Pts/G]]*(Table2[[#This Row],[Games Playable]]/82))</f>
        <v>6.3902439024390247</v>
      </c>
      <c r="M583" s="95" cm="1">
        <f t="array" aca="1" ref="M583" ca="1">Table2[[#This Row],[Playable x Score]]*_xlfn.IFS(Table2[[#This Row],[Pos]]="D",assumptions!$B$15,Table2[[#This Row],[Pos]]="F", assumptions!$B$14,Table2[[#This Row],[Pos]]="G",assumptions!$B$16)</f>
        <v>6.3902439024390247</v>
      </c>
    </row>
    <row r="584" spans="1:13" x14ac:dyDescent="0.3">
      <c r="A584">
        <f>'score estimates'!$A584</f>
        <v>581</v>
      </c>
      <c r="B584" t="str">
        <f>'score estimates'!$B584</f>
        <v>Cal Clutterbuck</v>
      </c>
      <c r="C584" t="str">
        <f>'score estimates'!$D584</f>
        <v>F</v>
      </c>
      <c r="D584" t="str">
        <f>'score estimates'!$C584</f>
        <v>NYI</v>
      </c>
      <c r="E584" s="75">
        <f>'score estimates'!$F584</f>
        <v>8.2195121951219505</v>
      </c>
      <c r="F584" s="71">
        <f>'score estimates'!$G584</f>
        <v>613</v>
      </c>
      <c r="G584" s="71" t="s">
        <v>983</v>
      </c>
      <c r="H584" s="72" cm="1">
        <f t="array" aca="1" ref="H58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84" s="96">
        <f ca="1">IF(Table2[[#This Row],[Team]]="FA",0,Table2[[#This Row],[Pts/G]]*(1-Table2[[#This Row],[% Pos Overlap]]))</f>
        <v>8.2195121951219505</v>
      </c>
      <c r="J584" s="72" cm="1">
        <f t="array" aca="1" ref="J584" ca="1">(INDIRECT(ADDRESS((_xlfn.XMATCH(Table2[[#This Row],[Team]],Schedule!$A$1:$A$33)),5,1,1,"Sched Overlap")))</f>
        <v>0.63166463166463194</v>
      </c>
      <c r="K584" s="92" cm="1">
        <f t="array" aca="1" ref="K58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84" s="95">
        <f ca="1">IF(Table2[[#This Row],[Team]]="FA",0,Table2[[#This Row],[Pts/G]]*(Table2[[#This Row],[Games Playable]]/82))</f>
        <v>8.2195121951219505</v>
      </c>
      <c r="M584" s="95" cm="1">
        <f t="array" aca="1" ref="M584" ca="1">Table2[[#This Row],[Playable x Score]]*_xlfn.IFS(Table2[[#This Row],[Pos]]="D",assumptions!$B$15,Table2[[#This Row],[Pos]]="F", assumptions!$B$14,Table2[[#This Row],[Pos]]="G",assumptions!$B$16)</f>
        <v>8.2195121951219505</v>
      </c>
    </row>
    <row r="585" spans="1:13" x14ac:dyDescent="0.3">
      <c r="A585">
        <f>'score estimates'!$A585</f>
        <v>582</v>
      </c>
      <c r="B585" t="str">
        <f>'score estimates'!$B585</f>
        <v>Jon Merrill</v>
      </c>
      <c r="C585" t="str">
        <f>'score estimates'!$D585</f>
        <v>D</v>
      </c>
      <c r="D585" t="str">
        <f>'score estimates'!$C585</f>
        <v>MIN</v>
      </c>
      <c r="E585" s="75">
        <f>'score estimates'!$F585</f>
        <v>9.0609756097560972</v>
      </c>
      <c r="F585" s="71">
        <f>'score estimates'!$G585</f>
        <v>588</v>
      </c>
      <c r="G585" s="71" t="s">
        <v>983</v>
      </c>
      <c r="H585" s="72" cm="1">
        <f t="array" aca="1" ref="H58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85" s="96">
        <f ca="1">IF(Table2[[#This Row],[Team]]="FA",0,Table2[[#This Row],[Pts/G]]*(1-Table2[[#This Row],[% Pos Overlap]]))</f>
        <v>9.0609756097560972</v>
      </c>
      <c r="J585" s="72" cm="1">
        <f t="array" aca="1" ref="J585" ca="1">(INDIRECT(ADDRESS((_xlfn.XMATCH(Table2[[#This Row],[Team]],Schedule!$A$1:$A$33)),5,1,1,"Sched Overlap")))</f>
        <v>0.62108262108262113</v>
      </c>
      <c r="K585" s="92" cm="1">
        <f t="array" aca="1" ref="K58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85" s="95">
        <f ca="1">IF(Table2[[#This Row],[Team]]="FA",0,Table2[[#This Row],[Pts/G]]*(Table2[[#This Row],[Games Playable]]/82))</f>
        <v>9.0609756097560972</v>
      </c>
      <c r="M585" s="95" cm="1">
        <f t="array" aca="1" ref="M585" ca="1">Table2[[#This Row],[Playable x Score]]*_xlfn.IFS(Table2[[#This Row],[Pos]]="D",assumptions!$B$15,Table2[[#This Row],[Pos]]="F", assumptions!$B$14,Table2[[#This Row],[Pos]]="G",assumptions!$B$16)</f>
        <v>11.326219512195122</v>
      </c>
    </row>
    <row r="586" spans="1:13" x14ac:dyDescent="0.3">
      <c r="A586">
        <f>'score estimates'!$A586</f>
        <v>583</v>
      </c>
      <c r="B586" t="str">
        <f>'score estimates'!$B586</f>
        <v>Nicolas Deslauriers</v>
      </c>
      <c r="C586" t="str">
        <f>'score estimates'!$D586</f>
        <v>F</v>
      </c>
      <c r="D586" t="str">
        <f>'score estimates'!$C586</f>
        <v>PHI</v>
      </c>
      <c r="E586" s="75">
        <f>'score estimates'!$F586</f>
        <v>12.048780487804878</v>
      </c>
      <c r="F586" s="71">
        <f>'score estimates'!$G586</f>
        <v>495</v>
      </c>
      <c r="G586" s="71" t="s">
        <v>983</v>
      </c>
      <c r="H586" s="72" cm="1">
        <f t="array" aca="1" ref="H58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86" s="96">
        <f ca="1">IF(Table2[[#This Row],[Team]]="FA",0,Table2[[#This Row],[Pts/G]]*(1-Table2[[#This Row],[% Pos Overlap]]))</f>
        <v>12.048780487804878</v>
      </c>
      <c r="J586" s="72" cm="1">
        <f t="array" aca="1" ref="J586" ca="1">(INDIRECT(ADDRESS((_xlfn.XMATCH(Table2[[#This Row],[Team]],Schedule!$A$1:$A$33)),5,1,1,"Sched Overlap")))</f>
        <v>0.66910866910866917</v>
      </c>
      <c r="K586" s="92" cm="1">
        <f t="array" aca="1" ref="K58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86" s="95">
        <f ca="1">IF(Table2[[#This Row],[Team]]="FA",0,Table2[[#This Row],[Pts/G]]*(Table2[[#This Row],[Games Playable]]/82))</f>
        <v>12.048780487804878</v>
      </c>
      <c r="M586" s="95" cm="1">
        <f t="array" aca="1" ref="M586" ca="1">Table2[[#This Row],[Playable x Score]]*_xlfn.IFS(Table2[[#This Row],[Pos]]="D",assumptions!$B$15,Table2[[#This Row],[Pos]]="F", assumptions!$B$14,Table2[[#This Row],[Pos]]="G",assumptions!$B$16)</f>
        <v>12.048780487804878</v>
      </c>
    </row>
    <row r="587" spans="1:13" x14ac:dyDescent="0.3">
      <c r="A587">
        <f>'score estimates'!$A587</f>
        <v>584</v>
      </c>
      <c r="B587" t="str">
        <f>'score estimates'!$B587</f>
        <v>Ryan Reaves</v>
      </c>
      <c r="C587" t="str">
        <f>'score estimates'!$D587</f>
        <v>F</v>
      </c>
      <c r="D587" t="str">
        <f>'score estimates'!$C587</f>
        <v>NYR</v>
      </c>
      <c r="E587" s="75">
        <f>'score estimates'!$F587</f>
        <v>9.0853658536585371</v>
      </c>
      <c r="F587" s="71">
        <f>'score estimates'!$G587</f>
        <v>587</v>
      </c>
      <c r="G587" s="71" t="s">
        <v>983</v>
      </c>
      <c r="H587" s="72" cm="1">
        <f t="array" aca="1" ref="H58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87" s="96">
        <f ca="1">IF(Table2[[#This Row],[Team]]="FA",0,Table2[[#This Row],[Pts/G]]*(1-Table2[[#This Row],[% Pos Overlap]]))</f>
        <v>9.0853658536585371</v>
      </c>
      <c r="J587" s="72" cm="1">
        <f t="array" aca="1" ref="J587" ca="1">(INDIRECT(ADDRESS((_xlfn.XMATCH(Table2[[#This Row],[Team]],Schedule!$A$1:$A$33)),5,1,1,"Sched Overlap")))</f>
        <v>0.60236060236060229</v>
      </c>
      <c r="K587" s="92" cm="1">
        <f t="array" aca="1" ref="K58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87" s="95">
        <f ca="1">IF(Table2[[#This Row],[Team]]="FA",0,Table2[[#This Row],[Pts/G]]*(Table2[[#This Row],[Games Playable]]/82))</f>
        <v>9.0853658536585371</v>
      </c>
      <c r="M587" s="95" cm="1">
        <f t="array" aca="1" ref="M587" ca="1">Table2[[#This Row],[Playable x Score]]*_xlfn.IFS(Table2[[#This Row],[Pos]]="D",assumptions!$B$15,Table2[[#This Row],[Pos]]="F", assumptions!$B$14,Table2[[#This Row],[Pos]]="G",assumptions!$B$16)</f>
        <v>9.0853658536585371</v>
      </c>
    </row>
    <row r="588" spans="1:13" x14ac:dyDescent="0.3">
      <c r="A588">
        <f>'score estimates'!$A588</f>
        <v>585</v>
      </c>
      <c r="B588" t="str">
        <f>'score estimates'!$B588</f>
        <v>Jake Gardiner</v>
      </c>
      <c r="C588" t="str">
        <f>'score estimates'!$D588</f>
        <v>D</v>
      </c>
      <c r="D588" t="str">
        <f>'score estimates'!$C588</f>
        <v>CAR</v>
      </c>
      <c r="E588" s="75">
        <f>'score estimates'!$F588</f>
        <v>4.2926829268292686</v>
      </c>
      <c r="F588" s="71">
        <f>'score estimates'!$G588</f>
        <v>743</v>
      </c>
      <c r="G588" s="71" t="s">
        <v>983</v>
      </c>
      <c r="H588" s="72" cm="1">
        <f t="array" aca="1" ref="H58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88" s="96">
        <f ca="1">IF(Table2[[#This Row],[Team]]="FA",0,Table2[[#This Row],[Pts/G]]*(1-Table2[[#This Row],[% Pos Overlap]]))</f>
        <v>4.2926829268292686</v>
      </c>
      <c r="J588" s="72" cm="1">
        <f t="array" aca="1" ref="J588" ca="1">(INDIRECT(ADDRESS((_xlfn.XMATCH(Table2[[#This Row],[Team]],Schedule!$A$1:$A$33)),5,1,1,"Sched Overlap")))</f>
        <v>0.63247863247863245</v>
      </c>
      <c r="K588" s="92" cm="1">
        <f t="array" aca="1" ref="K58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88" s="95">
        <f ca="1">IF(Table2[[#This Row],[Team]]="FA",0,Table2[[#This Row],[Pts/G]]*(Table2[[#This Row],[Games Playable]]/82))</f>
        <v>4.2926829268292686</v>
      </c>
      <c r="M588" s="95" cm="1">
        <f t="array" aca="1" ref="M588" ca="1">Table2[[#This Row],[Playable x Score]]*_xlfn.IFS(Table2[[#This Row],[Pos]]="D",assumptions!$B$15,Table2[[#This Row],[Pos]]="F", assumptions!$B$14,Table2[[#This Row],[Pos]]="G",assumptions!$B$16)</f>
        <v>5.3658536585365857</v>
      </c>
    </row>
    <row r="589" spans="1:13" x14ac:dyDescent="0.3">
      <c r="A589">
        <f>'score estimates'!$A589</f>
        <v>586</v>
      </c>
      <c r="B589" t="str">
        <f>'score estimates'!$B589</f>
        <v>Trevor Lewis</v>
      </c>
      <c r="C589" t="str">
        <f>'score estimates'!$D589</f>
        <v>F</v>
      </c>
      <c r="D589" t="str">
        <f>'score estimates'!$C589</f>
        <v>CGY</v>
      </c>
      <c r="E589" s="75">
        <f>'score estimates'!$F589</f>
        <v>8.5121951219512191</v>
      </c>
      <c r="F589" s="71">
        <f>'score estimates'!$G589</f>
        <v>604</v>
      </c>
      <c r="G589" s="71" t="s">
        <v>983</v>
      </c>
      <c r="H589" s="72" cm="1">
        <f t="array" aca="1" ref="H58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89" s="96">
        <f ca="1">IF(Table2[[#This Row],[Team]]="FA",0,Table2[[#This Row],[Pts/G]]*(1-Table2[[#This Row],[% Pos Overlap]]))</f>
        <v>8.5121951219512191</v>
      </c>
      <c r="J589" s="72" cm="1">
        <f t="array" aca="1" ref="J589" ca="1">(INDIRECT(ADDRESS((_xlfn.XMATCH(Table2[[#This Row],[Team]],Schedule!$A$1:$A$33)),5,1,1,"Sched Overlap")))</f>
        <v>0.63003663003663002</v>
      </c>
      <c r="K589" s="92" cm="1">
        <f t="array" aca="1" ref="K58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89" s="95">
        <f ca="1">IF(Table2[[#This Row],[Team]]="FA",0,Table2[[#This Row],[Pts/G]]*(Table2[[#This Row],[Games Playable]]/82))</f>
        <v>8.5121951219512191</v>
      </c>
      <c r="M589" s="95" cm="1">
        <f t="array" aca="1" ref="M589" ca="1">Table2[[#This Row],[Playable x Score]]*_xlfn.IFS(Table2[[#This Row],[Pos]]="D",assumptions!$B$15,Table2[[#This Row],[Pos]]="F", assumptions!$B$14,Table2[[#This Row],[Pos]]="G",assumptions!$B$16)</f>
        <v>8.5121951219512191</v>
      </c>
    </row>
    <row r="590" spans="1:13" x14ac:dyDescent="0.3">
      <c r="A590">
        <f>'score estimates'!$A590</f>
        <v>587</v>
      </c>
      <c r="B590" t="str">
        <f>'score estimates'!$B590</f>
        <v>Evgeny Svechnikov</v>
      </c>
      <c r="C590" t="str">
        <f>'score estimates'!$D590</f>
        <v>F</v>
      </c>
      <c r="D590" t="str">
        <f>'score estimates'!$C590</f>
        <v>SJ</v>
      </c>
      <c r="E590" s="75">
        <f>'score estimates'!$F590</f>
        <v>6.8658536585365857</v>
      </c>
      <c r="F590" s="71">
        <f>'score estimates'!$G590</f>
        <v>650</v>
      </c>
      <c r="G590" s="71" t="s">
        <v>983</v>
      </c>
      <c r="H590" s="72" cm="1">
        <f t="array" aca="1" ref="H59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90" s="96">
        <f ca="1">IF(Table2[[#This Row],[Team]]="FA",0,Table2[[#This Row],[Pts/G]]*(1-Table2[[#This Row],[% Pos Overlap]]))</f>
        <v>6.8658536585365857</v>
      </c>
      <c r="J590" s="72" cm="1">
        <f t="array" aca="1" ref="J590" ca="1">(INDIRECT(ADDRESS((_xlfn.XMATCH(Table2[[#This Row],[Team]],Schedule!$A$1:$A$33)),5,1,1,"Sched Overlap")))</f>
        <v>0.63492063492063477</v>
      </c>
      <c r="K590" s="92" cm="1">
        <f t="array" aca="1" ref="K59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90" s="95">
        <f ca="1">IF(Table2[[#This Row],[Team]]="FA",0,Table2[[#This Row],[Pts/G]]*(Table2[[#This Row],[Games Playable]]/82))</f>
        <v>6.8658536585365857</v>
      </c>
      <c r="M590" s="95" cm="1">
        <f t="array" aca="1" ref="M590" ca="1">Table2[[#This Row],[Playable x Score]]*_xlfn.IFS(Table2[[#This Row],[Pos]]="D",assumptions!$B$15,Table2[[#This Row],[Pos]]="F", assumptions!$B$14,Table2[[#This Row],[Pos]]="G",assumptions!$B$16)</f>
        <v>6.8658536585365857</v>
      </c>
    </row>
    <row r="591" spans="1:13" x14ac:dyDescent="0.3">
      <c r="A591">
        <f>'score estimates'!$A591</f>
        <v>588</v>
      </c>
      <c r="B591" t="str">
        <f>'score estimates'!$B591</f>
        <v>Jimmy Vesey</v>
      </c>
      <c r="C591" t="str">
        <f>'score estimates'!$D591</f>
        <v>F</v>
      </c>
      <c r="D591" t="str">
        <f>'score estimates'!$C591</f>
        <v>NYR</v>
      </c>
      <c r="E591" s="75">
        <f>'score estimates'!$F591</f>
        <v>6.1463414634146343</v>
      </c>
      <c r="F591" s="71">
        <f>'score estimates'!$G591</f>
        <v>679</v>
      </c>
      <c r="G591" s="71" t="s">
        <v>983</v>
      </c>
      <c r="H591" s="72" cm="1">
        <f t="array" aca="1" ref="H59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91" s="96">
        <f ca="1">IF(Table2[[#This Row],[Team]]="FA",0,Table2[[#This Row],[Pts/G]]*(1-Table2[[#This Row],[% Pos Overlap]]))</f>
        <v>6.1463414634146343</v>
      </c>
      <c r="J591" s="72" cm="1">
        <f t="array" aca="1" ref="J591" ca="1">(INDIRECT(ADDRESS((_xlfn.XMATCH(Table2[[#This Row],[Team]],Schedule!$A$1:$A$33)),5,1,1,"Sched Overlap")))</f>
        <v>0.60236060236060229</v>
      </c>
      <c r="K591" s="92" cm="1">
        <f t="array" aca="1" ref="K59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91" s="95">
        <f ca="1">IF(Table2[[#This Row],[Team]]="FA",0,Table2[[#This Row],[Pts/G]]*(Table2[[#This Row],[Games Playable]]/82))</f>
        <v>6.1463414634146343</v>
      </c>
      <c r="M591" s="95" cm="1">
        <f t="array" aca="1" ref="M591" ca="1">Table2[[#This Row],[Playable x Score]]*_xlfn.IFS(Table2[[#This Row],[Pos]]="D",assumptions!$B$15,Table2[[#This Row],[Pos]]="F", assumptions!$B$14,Table2[[#This Row],[Pos]]="G",assumptions!$B$16)</f>
        <v>6.1463414634146343</v>
      </c>
    </row>
    <row r="592" spans="1:13" x14ac:dyDescent="0.3">
      <c r="A592">
        <f>'score estimates'!$A592</f>
        <v>589</v>
      </c>
      <c r="B592" t="str">
        <f>'score estimates'!$B592</f>
        <v>Jansen Harkins</v>
      </c>
      <c r="C592" t="str">
        <f>'score estimates'!$D592</f>
        <v>F</v>
      </c>
      <c r="D592" t="str">
        <f>'score estimates'!$C592</f>
        <v>WPG</v>
      </c>
      <c r="E592" s="75">
        <f>'score estimates'!$F592</f>
        <v>5.6219512195121952</v>
      </c>
      <c r="F592" s="71">
        <f>'score estimates'!$G592</f>
        <v>702</v>
      </c>
      <c r="G592" s="71" t="s">
        <v>983</v>
      </c>
      <c r="H592" s="72" cm="1">
        <f t="array" aca="1" ref="H59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92" s="96">
        <f ca="1">IF(Table2[[#This Row],[Team]]="FA",0,Table2[[#This Row],[Pts/G]]*(1-Table2[[#This Row],[% Pos Overlap]]))</f>
        <v>5.6219512195121952</v>
      </c>
      <c r="J592" s="72" cm="1">
        <f t="array" aca="1" ref="J592" ca="1">(INDIRECT(ADDRESS((_xlfn.XMATCH(Table2[[#This Row],[Team]],Schedule!$A$1:$A$33)),5,1,1,"Sched Overlap")))</f>
        <v>0.61212861212861214</v>
      </c>
      <c r="K592" s="92" cm="1">
        <f t="array" aca="1" ref="K59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92" s="95">
        <f ca="1">IF(Table2[[#This Row],[Team]]="FA",0,Table2[[#This Row],[Pts/G]]*(Table2[[#This Row],[Games Playable]]/82))</f>
        <v>5.6219512195121952</v>
      </c>
      <c r="M592" s="95" cm="1">
        <f t="array" aca="1" ref="M592" ca="1">Table2[[#This Row],[Playable x Score]]*_xlfn.IFS(Table2[[#This Row],[Pos]]="D",assumptions!$B$15,Table2[[#This Row],[Pos]]="F", assumptions!$B$14,Table2[[#This Row],[Pos]]="G",assumptions!$B$16)</f>
        <v>5.6219512195121952</v>
      </c>
    </row>
    <row r="593" spans="1:13" x14ac:dyDescent="0.3">
      <c r="A593">
        <f>'score estimates'!$A593</f>
        <v>590</v>
      </c>
      <c r="B593" t="str">
        <f>'score estimates'!$B593</f>
        <v>Matt Benning</v>
      </c>
      <c r="C593" t="str">
        <f>'score estimates'!$D593</f>
        <v>D</v>
      </c>
      <c r="D593" t="str">
        <f>'score estimates'!$C593</f>
        <v>SJ</v>
      </c>
      <c r="E593" s="75">
        <f>'score estimates'!$F593</f>
        <v>7.0121951219512191</v>
      </c>
      <c r="F593" s="71">
        <f>'score estimates'!$G593</f>
        <v>644</v>
      </c>
      <c r="G593" s="71" t="s">
        <v>983</v>
      </c>
      <c r="H593" s="72" cm="1">
        <f t="array" aca="1" ref="H59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93" s="96">
        <f ca="1">IF(Table2[[#This Row],[Team]]="FA",0,Table2[[#This Row],[Pts/G]]*(1-Table2[[#This Row],[% Pos Overlap]]))</f>
        <v>7.0121951219512191</v>
      </c>
      <c r="J593" s="72" cm="1">
        <f t="array" aca="1" ref="J593" ca="1">(INDIRECT(ADDRESS((_xlfn.XMATCH(Table2[[#This Row],[Team]],Schedule!$A$1:$A$33)),5,1,1,"Sched Overlap")))</f>
        <v>0.63492063492063477</v>
      </c>
      <c r="K593" s="92" cm="1">
        <f t="array" aca="1" ref="K59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93" s="95">
        <f ca="1">IF(Table2[[#This Row],[Team]]="FA",0,Table2[[#This Row],[Pts/G]]*(Table2[[#This Row],[Games Playable]]/82))</f>
        <v>7.0121951219512191</v>
      </c>
      <c r="M593" s="95" cm="1">
        <f t="array" aca="1" ref="M593" ca="1">Table2[[#This Row],[Playable x Score]]*_xlfn.IFS(Table2[[#This Row],[Pos]]="D",assumptions!$B$15,Table2[[#This Row],[Pos]]="F", assumptions!$B$14,Table2[[#This Row],[Pos]]="G",assumptions!$B$16)</f>
        <v>8.7652439024390247</v>
      </c>
    </row>
    <row r="594" spans="1:13" x14ac:dyDescent="0.3">
      <c r="A594">
        <f>'score estimates'!$A594</f>
        <v>591</v>
      </c>
      <c r="B594" t="str">
        <f>'score estimates'!$B594</f>
        <v>Mikey Anderson</v>
      </c>
      <c r="C594" t="str">
        <f>'score estimates'!$D594</f>
        <v>D</v>
      </c>
      <c r="D594" t="str">
        <f>'score estimates'!$C594</f>
        <v>LA</v>
      </c>
      <c r="E594" s="75">
        <f>'score estimates'!$F594</f>
        <v>10.548780487804878</v>
      </c>
      <c r="F594" s="71">
        <f>'score estimates'!$G594</f>
        <v>544</v>
      </c>
      <c r="G594" s="71" t="s">
        <v>983</v>
      </c>
      <c r="H594" s="72" cm="1">
        <f t="array" aca="1" ref="H59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94" s="96">
        <f ca="1">IF(Table2[[#This Row],[Team]]="FA",0,Table2[[#This Row],[Pts/G]]*(1-Table2[[#This Row],[% Pos Overlap]]))</f>
        <v>10.548780487804878</v>
      </c>
      <c r="J594" s="72" cm="1">
        <f t="array" aca="1" ref="J594" ca="1">(INDIRECT(ADDRESS((_xlfn.XMATCH(Table2[[#This Row],[Team]],Schedule!$A$1:$A$33)),5,1,1,"Sched Overlap")))</f>
        <v>0.65201465201465225</v>
      </c>
      <c r="K594" s="92" cm="1">
        <f t="array" aca="1" ref="K59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94" s="95">
        <f ca="1">IF(Table2[[#This Row],[Team]]="FA",0,Table2[[#This Row],[Pts/G]]*(Table2[[#This Row],[Games Playable]]/82))</f>
        <v>10.548780487804878</v>
      </c>
      <c r="M594" s="95" cm="1">
        <f t="array" aca="1" ref="M594" ca="1">Table2[[#This Row],[Playable x Score]]*_xlfn.IFS(Table2[[#This Row],[Pos]]="D",assumptions!$B$15,Table2[[#This Row],[Pos]]="F", assumptions!$B$14,Table2[[#This Row],[Pos]]="G",assumptions!$B$16)</f>
        <v>13.185975609756097</v>
      </c>
    </row>
    <row r="595" spans="1:13" x14ac:dyDescent="0.3">
      <c r="A595">
        <f>'score estimates'!$A595</f>
        <v>592</v>
      </c>
      <c r="B595" t="str">
        <f>'score estimates'!$B595</f>
        <v>Fabian Zetterlund</v>
      </c>
      <c r="C595" t="str">
        <f>'score estimates'!$D595</f>
        <v>F</v>
      </c>
      <c r="D595" t="str">
        <f>'score estimates'!$C595</f>
        <v>NJ</v>
      </c>
      <c r="E595" s="75">
        <f>'score estimates'!$F595</f>
        <v>5.8658536585365857</v>
      </c>
      <c r="F595" s="71">
        <f>'score estimates'!$G595</f>
        <v>690</v>
      </c>
      <c r="G595" s="71" t="s">
        <v>983</v>
      </c>
      <c r="H595" s="72" cm="1">
        <f t="array" aca="1" ref="H59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95" s="96">
        <f ca="1">IF(Table2[[#This Row],[Team]]="FA",0,Table2[[#This Row],[Pts/G]]*(1-Table2[[#This Row],[% Pos Overlap]]))</f>
        <v>5.8658536585365857</v>
      </c>
      <c r="J595" s="72" cm="1">
        <f t="array" aca="1" ref="J595" ca="1">(INDIRECT(ADDRESS((_xlfn.XMATCH(Table2[[#This Row],[Team]],Schedule!$A$1:$A$33)),5,1,1,"Sched Overlap")))</f>
        <v>0.66259666259666272</v>
      </c>
      <c r="K595" s="92" cm="1">
        <f t="array" aca="1" ref="K59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95" s="95">
        <f ca="1">IF(Table2[[#This Row],[Team]]="FA",0,Table2[[#This Row],[Pts/G]]*(Table2[[#This Row],[Games Playable]]/82))</f>
        <v>5.8658536585365857</v>
      </c>
      <c r="M595" s="95" cm="1">
        <f t="array" aca="1" ref="M595" ca="1">Table2[[#This Row],[Playable x Score]]*_xlfn.IFS(Table2[[#This Row],[Pos]]="D",assumptions!$B$15,Table2[[#This Row],[Pos]]="F", assumptions!$B$14,Table2[[#This Row],[Pos]]="G",assumptions!$B$16)</f>
        <v>5.8658536585365857</v>
      </c>
    </row>
    <row r="596" spans="1:13" x14ac:dyDescent="0.3">
      <c r="A596">
        <f>'score estimates'!$A596</f>
        <v>593</v>
      </c>
      <c r="B596" t="str">
        <f>'score estimates'!$B596</f>
        <v>Mackenzie Entwistle</v>
      </c>
      <c r="C596" t="str">
        <f>'score estimates'!$D596</f>
        <v>F</v>
      </c>
      <c r="D596" t="str">
        <f>'score estimates'!$C596</f>
        <v>CHI</v>
      </c>
      <c r="E596" s="75">
        <f>'score estimates'!$F596</f>
        <v>5.7926829268292686</v>
      </c>
      <c r="F596" s="71">
        <f>'score estimates'!$G596</f>
        <v>695</v>
      </c>
      <c r="G596" s="71" t="s">
        <v>983</v>
      </c>
      <c r="H596" s="72" cm="1">
        <f t="array" aca="1" ref="H59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96" s="96">
        <f ca="1">IF(Table2[[#This Row],[Team]]="FA",0,Table2[[#This Row],[Pts/G]]*(1-Table2[[#This Row],[% Pos Overlap]]))</f>
        <v>5.7926829268292686</v>
      </c>
      <c r="J596" s="72" cm="1">
        <f t="array" aca="1" ref="J596" ca="1">(INDIRECT(ADDRESS((_xlfn.XMATCH(Table2[[#This Row],[Team]],Schedule!$A$1:$A$33)),5,1,1,"Sched Overlap")))</f>
        <v>0.6243386243386243</v>
      </c>
      <c r="K596" s="92" cm="1">
        <f t="array" aca="1" ref="K59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96" s="95">
        <f ca="1">IF(Table2[[#This Row],[Team]]="FA",0,Table2[[#This Row],[Pts/G]]*(Table2[[#This Row],[Games Playable]]/82))</f>
        <v>5.7926829268292686</v>
      </c>
      <c r="M596" s="95" cm="1">
        <f t="array" aca="1" ref="M596" ca="1">Table2[[#This Row],[Playable x Score]]*_xlfn.IFS(Table2[[#This Row],[Pos]]="D",assumptions!$B$15,Table2[[#This Row],[Pos]]="F", assumptions!$B$14,Table2[[#This Row],[Pos]]="G",assumptions!$B$16)</f>
        <v>5.7926829268292686</v>
      </c>
    </row>
    <row r="597" spans="1:13" x14ac:dyDescent="0.3">
      <c r="A597">
        <f>'score estimates'!$A597</f>
        <v>594</v>
      </c>
      <c r="B597" t="str">
        <f>'score estimates'!$B597</f>
        <v>Steven Lorentz</v>
      </c>
      <c r="C597" t="str">
        <f>'score estimates'!$D597</f>
        <v>F</v>
      </c>
      <c r="D597" t="str">
        <f>'score estimates'!$C597</f>
        <v>SJ</v>
      </c>
      <c r="E597" s="75">
        <f>'score estimates'!$F597</f>
        <v>5.8292682926829267</v>
      </c>
      <c r="F597" s="71">
        <f>'score estimates'!$G597</f>
        <v>692</v>
      </c>
      <c r="G597" s="71" t="s">
        <v>983</v>
      </c>
      <c r="H597" s="72" cm="1">
        <f t="array" aca="1" ref="H59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97" s="96">
        <f ca="1">IF(Table2[[#This Row],[Team]]="FA",0,Table2[[#This Row],[Pts/G]]*(1-Table2[[#This Row],[% Pos Overlap]]))</f>
        <v>5.8292682926829267</v>
      </c>
      <c r="J597" s="72" cm="1">
        <f t="array" aca="1" ref="J597" ca="1">(INDIRECT(ADDRESS((_xlfn.XMATCH(Table2[[#This Row],[Team]],Schedule!$A$1:$A$33)),5,1,1,"Sched Overlap")))</f>
        <v>0.63492063492063477</v>
      </c>
      <c r="K597" s="92" cm="1">
        <f t="array" aca="1" ref="K59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97" s="95">
        <f ca="1">IF(Table2[[#This Row],[Team]]="FA",0,Table2[[#This Row],[Pts/G]]*(Table2[[#This Row],[Games Playable]]/82))</f>
        <v>5.8292682926829267</v>
      </c>
      <c r="M597" s="95" cm="1">
        <f t="array" aca="1" ref="M597" ca="1">Table2[[#This Row],[Playable x Score]]*_xlfn.IFS(Table2[[#This Row],[Pos]]="D",assumptions!$B$15,Table2[[#This Row],[Pos]]="F", assumptions!$B$14,Table2[[#This Row],[Pos]]="G",assumptions!$B$16)</f>
        <v>5.8292682926829267</v>
      </c>
    </row>
    <row r="598" spans="1:13" x14ac:dyDescent="0.3">
      <c r="A598">
        <f>'score estimates'!$A598</f>
        <v>595</v>
      </c>
      <c r="B598" t="str">
        <f>'score estimates'!$B598</f>
        <v>Robin Salo</v>
      </c>
      <c r="C598" t="str">
        <f>'score estimates'!$D598</f>
        <v>D</v>
      </c>
      <c r="D598" t="str">
        <f>'score estimates'!$C598</f>
        <v>NYI</v>
      </c>
      <c r="E598" s="75">
        <f>'score estimates'!$F598</f>
        <v>5.4024390243902438</v>
      </c>
      <c r="F598" s="71">
        <f>'score estimates'!$G598</f>
        <v>709</v>
      </c>
      <c r="G598" s="71" t="s">
        <v>983</v>
      </c>
      <c r="H598" s="72" cm="1">
        <f t="array" aca="1" ref="H59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98" s="96">
        <f ca="1">IF(Table2[[#This Row],[Team]]="FA",0,Table2[[#This Row],[Pts/G]]*(1-Table2[[#This Row],[% Pos Overlap]]))</f>
        <v>5.4024390243902438</v>
      </c>
      <c r="J598" s="72" cm="1">
        <f t="array" aca="1" ref="J598" ca="1">(INDIRECT(ADDRESS((_xlfn.XMATCH(Table2[[#This Row],[Team]],Schedule!$A$1:$A$33)),5,1,1,"Sched Overlap")))</f>
        <v>0.63166463166463194</v>
      </c>
      <c r="K598" s="92" cm="1">
        <f t="array" aca="1" ref="K59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98" s="95">
        <f ca="1">IF(Table2[[#This Row],[Team]]="FA",0,Table2[[#This Row],[Pts/G]]*(Table2[[#This Row],[Games Playable]]/82))</f>
        <v>5.4024390243902438</v>
      </c>
      <c r="M598" s="95" cm="1">
        <f t="array" aca="1" ref="M598" ca="1">Table2[[#This Row],[Playable x Score]]*_xlfn.IFS(Table2[[#This Row],[Pos]]="D",assumptions!$B$15,Table2[[#This Row],[Pos]]="F", assumptions!$B$14,Table2[[#This Row],[Pos]]="G",assumptions!$B$16)</f>
        <v>6.7530487804878048</v>
      </c>
    </row>
    <row r="599" spans="1:13" x14ac:dyDescent="0.3">
      <c r="A599">
        <f>'score estimates'!$A599</f>
        <v>596</v>
      </c>
      <c r="B599" t="str">
        <f>'score estimates'!$B599</f>
        <v>Nick Blankenburg</v>
      </c>
      <c r="C599" t="str">
        <f>'score estimates'!$D599</f>
        <v>D</v>
      </c>
      <c r="D599" t="str">
        <f>'score estimates'!$C599</f>
        <v>CLS</v>
      </c>
      <c r="E599" s="75">
        <f>'score estimates'!$F599</f>
        <v>6.8292682926829267</v>
      </c>
      <c r="F599" s="71">
        <f>'score estimates'!$G599</f>
        <v>652</v>
      </c>
      <c r="G599" s="71" t="s">
        <v>983</v>
      </c>
      <c r="H599" s="72" cm="1">
        <f t="array" aca="1" ref="H59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599" s="96">
        <f ca="1">IF(Table2[[#This Row],[Team]]="FA",0,Table2[[#This Row],[Pts/G]]*(1-Table2[[#This Row],[% Pos Overlap]]))</f>
        <v>6.8292682926829267</v>
      </c>
      <c r="J599" s="72" cm="1">
        <f t="array" aca="1" ref="J599" ca="1">(INDIRECT(ADDRESS((_xlfn.XMATCH(Table2[[#This Row],[Team]],Schedule!$A$1:$A$33)),5,1,1,"Sched Overlap")))</f>
        <v>0.64875864875864886</v>
      </c>
      <c r="K599" s="92" cm="1">
        <f t="array" aca="1" ref="K59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599" s="95">
        <f ca="1">IF(Table2[[#This Row],[Team]]="FA",0,Table2[[#This Row],[Pts/G]]*(Table2[[#This Row],[Games Playable]]/82))</f>
        <v>6.8292682926829267</v>
      </c>
      <c r="M599" s="95" cm="1">
        <f t="array" aca="1" ref="M599" ca="1">Table2[[#This Row],[Playable x Score]]*_xlfn.IFS(Table2[[#This Row],[Pos]]="D",assumptions!$B$15,Table2[[#This Row],[Pos]]="F", assumptions!$B$14,Table2[[#This Row],[Pos]]="G",assumptions!$B$16)</f>
        <v>8.536585365853659</v>
      </c>
    </row>
    <row r="600" spans="1:13" x14ac:dyDescent="0.3">
      <c r="A600">
        <f>'score estimates'!$A600</f>
        <v>597</v>
      </c>
      <c r="B600" t="str">
        <f>'score estimates'!$B600</f>
        <v>William Eklund</v>
      </c>
      <c r="C600" t="str">
        <f>'score estimates'!$D600</f>
        <v>F</v>
      </c>
      <c r="D600" t="str">
        <f>'score estimates'!$C600</f>
        <v>SJ</v>
      </c>
      <c r="E600" s="75">
        <f>'score estimates'!$F600</f>
        <v>4.4268292682926829</v>
      </c>
      <c r="F600" s="71">
        <f>'score estimates'!$G600</f>
        <v>737</v>
      </c>
      <c r="G600" s="71" t="s">
        <v>983</v>
      </c>
      <c r="H600" s="72" cm="1">
        <f t="array" aca="1" ref="H60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00" s="96">
        <f ca="1">IF(Table2[[#This Row],[Team]]="FA",0,Table2[[#This Row],[Pts/G]]*(1-Table2[[#This Row],[% Pos Overlap]]))</f>
        <v>4.4268292682926829</v>
      </c>
      <c r="J600" s="72" cm="1">
        <f t="array" aca="1" ref="J600" ca="1">(INDIRECT(ADDRESS((_xlfn.XMATCH(Table2[[#This Row],[Team]],Schedule!$A$1:$A$33)),5,1,1,"Sched Overlap")))</f>
        <v>0.63492063492063477</v>
      </c>
      <c r="K600" s="92" cm="1">
        <f t="array" aca="1" ref="K60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00" s="95">
        <f ca="1">IF(Table2[[#This Row],[Team]]="FA",0,Table2[[#This Row],[Pts/G]]*(Table2[[#This Row],[Games Playable]]/82))</f>
        <v>4.4268292682926829</v>
      </c>
      <c r="M600" s="95" cm="1">
        <f t="array" aca="1" ref="M600" ca="1">Table2[[#This Row],[Playable x Score]]*_xlfn.IFS(Table2[[#This Row],[Pos]]="D",assumptions!$B$15,Table2[[#This Row],[Pos]]="F", assumptions!$B$14,Table2[[#This Row],[Pos]]="G",assumptions!$B$16)</f>
        <v>4.4268292682926829</v>
      </c>
    </row>
    <row r="601" spans="1:13" x14ac:dyDescent="0.3">
      <c r="A601">
        <f>'score estimates'!$A601</f>
        <v>598</v>
      </c>
      <c r="B601" t="str">
        <f>'score estimates'!$B601</f>
        <v>Nils Lundkvist</v>
      </c>
      <c r="C601" t="str">
        <f>'score estimates'!$D601</f>
        <v>D</v>
      </c>
      <c r="D601" t="str">
        <f>'score estimates'!$C601</f>
        <v>NYR</v>
      </c>
      <c r="E601" s="75">
        <f>'score estimates'!$F601</f>
        <v>8.963414634146341</v>
      </c>
      <c r="F601" s="71">
        <f>'score estimates'!$G601</f>
        <v>591</v>
      </c>
      <c r="G601" s="71" t="s">
        <v>983</v>
      </c>
      <c r="H601" s="72" cm="1">
        <f t="array" aca="1" ref="H60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01" s="96">
        <f ca="1">IF(Table2[[#This Row],[Team]]="FA",0,Table2[[#This Row],[Pts/G]]*(1-Table2[[#This Row],[% Pos Overlap]]))</f>
        <v>8.963414634146341</v>
      </c>
      <c r="J601" s="72" cm="1">
        <f t="array" aca="1" ref="J601" ca="1">(INDIRECT(ADDRESS((_xlfn.XMATCH(Table2[[#This Row],[Team]],Schedule!$A$1:$A$33)),5,1,1,"Sched Overlap")))</f>
        <v>0.60236060236060229</v>
      </c>
      <c r="K601" s="92" cm="1">
        <f t="array" aca="1" ref="K60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01" s="95">
        <f ca="1">IF(Table2[[#This Row],[Team]]="FA",0,Table2[[#This Row],[Pts/G]]*(Table2[[#This Row],[Games Playable]]/82))</f>
        <v>8.963414634146341</v>
      </c>
      <c r="M601" s="95" cm="1">
        <f t="array" aca="1" ref="M601" ca="1">Table2[[#This Row],[Playable x Score]]*_xlfn.IFS(Table2[[#This Row],[Pos]]="D",assumptions!$B$15,Table2[[#This Row],[Pos]]="F", assumptions!$B$14,Table2[[#This Row],[Pos]]="G",assumptions!$B$16)</f>
        <v>11.204268292682926</v>
      </c>
    </row>
    <row r="602" spans="1:13" x14ac:dyDescent="0.3">
      <c r="A602">
        <f>'score estimates'!$A602</f>
        <v>599</v>
      </c>
      <c r="B602" t="str">
        <f>'score estimates'!$B602</f>
        <v>Rasmus Sandin</v>
      </c>
      <c r="C602" t="str">
        <f>'score estimates'!$D602</f>
        <v>D</v>
      </c>
      <c r="D602" t="str">
        <f>'score estimates'!$C602</f>
        <v>TOR</v>
      </c>
      <c r="E602" s="75">
        <f>'score estimates'!$F602</f>
        <v>6.4024390243902438</v>
      </c>
      <c r="F602" s="71">
        <f>'score estimates'!$G602</f>
        <v>669</v>
      </c>
      <c r="G602" s="71" t="s">
        <v>983</v>
      </c>
      <c r="H602" s="72" cm="1">
        <f t="array" aca="1" ref="H60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02" s="96">
        <f ca="1">IF(Table2[[#This Row],[Team]]="FA",0,Table2[[#This Row],[Pts/G]]*(1-Table2[[#This Row],[% Pos Overlap]]))</f>
        <v>6.4024390243902438</v>
      </c>
      <c r="J602" s="72" cm="1">
        <f t="array" aca="1" ref="J602" ca="1">(INDIRECT(ADDRESS((_xlfn.XMATCH(Table2[[#This Row],[Team]],Schedule!$A$1:$A$33)),5,1,1,"Sched Overlap")))</f>
        <v>0.62922262922262928</v>
      </c>
      <c r="K602" s="92" cm="1">
        <f t="array" aca="1" ref="K60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02" s="95">
        <f ca="1">IF(Table2[[#This Row],[Team]]="FA",0,Table2[[#This Row],[Pts/G]]*(Table2[[#This Row],[Games Playable]]/82))</f>
        <v>6.4024390243902438</v>
      </c>
      <c r="M602" s="95" cm="1">
        <f t="array" aca="1" ref="M602" ca="1">Table2[[#This Row],[Playable x Score]]*_xlfn.IFS(Table2[[#This Row],[Pos]]="D",assumptions!$B$15,Table2[[#This Row],[Pos]]="F", assumptions!$B$14,Table2[[#This Row],[Pos]]="G",assumptions!$B$16)</f>
        <v>8.0030487804878057</v>
      </c>
    </row>
    <row r="603" spans="1:13" x14ac:dyDescent="0.3">
      <c r="A603">
        <f>'score estimates'!$A603</f>
        <v>600</v>
      </c>
      <c r="B603" t="str">
        <f>'score estimates'!$B603</f>
        <v>Lassi Thomson</v>
      </c>
      <c r="C603" t="str">
        <f>'score estimates'!$D603</f>
        <v>D</v>
      </c>
      <c r="D603" t="str">
        <f>'score estimates'!$C603</f>
        <v>OTT</v>
      </c>
      <c r="E603" s="75">
        <f>'score estimates'!$F603</f>
        <v>4.2926829268292686</v>
      </c>
      <c r="F603" s="71">
        <f>'score estimates'!$G603</f>
        <v>743</v>
      </c>
      <c r="G603" s="71" t="s">
        <v>983</v>
      </c>
      <c r="H603" s="72" cm="1">
        <f t="array" aca="1" ref="H60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03" s="96">
        <f ca="1">IF(Table2[[#This Row],[Team]]="FA",0,Table2[[#This Row],[Pts/G]]*(1-Table2[[#This Row],[% Pos Overlap]]))</f>
        <v>4.2926829268292686</v>
      </c>
      <c r="J603" s="72" cm="1">
        <f t="array" aca="1" ref="J603" ca="1">(INDIRECT(ADDRESS((_xlfn.XMATCH(Table2[[#This Row],[Team]],Schedule!$A$1:$A$33)),5,1,1,"Sched Overlap")))</f>
        <v>0.64306064306064303</v>
      </c>
      <c r="K603" s="92" cm="1">
        <f t="array" aca="1" ref="K60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03" s="95">
        <f ca="1">IF(Table2[[#This Row],[Team]]="FA",0,Table2[[#This Row],[Pts/G]]*(Table2[[#This Row],[Games Playable]]/82))</f>
        <v>4.2926829268292686</v>
      </c>
      <c r="M603" s="95" cm="1">
        <f t="array" aca="1" ref="M603" ca="1">Table2[[#This Row],[Playable x Score]]*_xlfn.IFS(Table2[[#This Row],[Pos]]="D",assumptions!$B$15,Table2[[#This Row],[Pos]]="F", assumptions!$B$14,Table2[[#This Row],[Pos]]="G",assumptions!$B$16)</f>
        <v>5.3658536585365857</v>
      </c>
    </row>
    <row r="604" spans="1:13" x14ac:dyDescent="0.3">
      <c r="A604">
        <f>'score estimates'!$A604</f>
        <v>601</v>
      </c>
      <c r="B604" t="str">
        <f>'score estimates'!$B604</f>
        <v>Ty Dellandrea</v>
      </c>
      <c r="C604" t="str">
        <f>'score estimates'!$D604</f>
        <v>F</v>
      </c>
      <c r="D604" t="str">
        <f>'score estimates'!$C604</f>
        <v>DAL</v>
      </c>
      <c r="E604" s="75">
        <f>'score estimates'!$F604</f>
        <v>5.5609756097560972</v>
      </c>
      <c r="F604" s="71">
        <f>'score estimates'!$G604</f>
        <v>704</v>
      </c>
      <c r="G604" s="71" t="s">
        <v>983</v>
      </c>
      <c r="H604" s="72" cm="1">
        <f t="array" aca="1" ref="H60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04" s="96">
        <f ca="1">IF(Table2[[#This Row],[Team]]="FA",0,Table2[[#This Row],[Pts/G]]*(1-Table2[[#This Row],[% Pos Overlap]]))</f>
        <v>5.5609756097560972</v>
      </c>
      <c r="J604" s="72" cm="1">
        <f t="array" aca="1" ref="J604" ca="1">(INDIRECT(ADDRESS((_xlfn.XMATCH(Table2[[#This Row],[Team]],Schedule!$A$1:$A$33)),5,1,1,"Sched Overlap")))</f>
        <v>0.65364265364265373</v>
      </c>
      <c r="K604" s="92" cm="1">
        <f t="array" aca="1" ref="K60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04" s="95">
        <f ca="1">IF(Table2[[#This Row],[Team]]="FA",0,Table2[[#This Row],[Pts/G]]*(Table2[[#This Row],[Games Playable]]/82))</f>
        <v>5.5609756097560972</v>
      </c>
      <c r="M604" s="95" cm="1">
        <f t="array" aca="1" ref="M604" ca="1">Table2[[#This Row],[Playable x Score]]*_xlfn.IFS(Table2[[#This Row],[Pos]]="D",assumptions!$B$15,Table2[[#This Row],[Pos]]="F", assumptions!$B$14,Table2[[#This Row],[Pos]]="G",assumptions!$B$16)</f>
        <v>5.5609756097560972</v>
      </c>
    </row>
    <row r="605" spans="1:13" x14ac:dyDescent="0.3">
      <c r="A605">
        <f>'score estimates'!$A605</f>
        <v>602</v>
      </c>
      <c r="B605" t="str">
        <f>'score estimates'!$B605</f>
        <v>Kirill Marchenko</v>
      </c>
      <c r="C605" t="str">
        <f>'score estimates'!$D605</f>
        <v>F</v>
      </c>
      <c r="D605" t="str">
        <f>'score estimates'!$C605</f>
        <v>CLS</v>
      </c>
      <c r="E605" s="75">
        <f>'score estimates'!$F605</f>
        <v>5.4634146341463419</v>
      </c>
      <c r="F605" s="71">
        <f>'score estimates'!$G605</f>
        <v>707</v>
      </c>
      <c r="G605" s="71" t="s">
        <v>983</v>
      </c>
      <c r="H605" s="72" cm="1">
        <f t="array" aca="1" ref="H60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05" s="96">
        <f ca="1">IF(Table2[[#This Row],[Team]]="FA",0,Table2[[#This Row],[Pts/G]]*(1-Table2[[#This Row],[% Pos Overlap]]))</f>
        <v>5.4634146341463419</v>
      </c>
      <c r="J605" s="72" cm="1">
        <f t="array" aca="1" ref="J605" ca="1">(INDIRECT(ADDRESS((_xlfn.XMATCH(Table2[[#This Row],[Team]],Schedule!$A$1:$A$33)),5,1,1,"Sched Overlap")))</f>
        <v>0.64875864875864886</v>
      </c>
      <c r="K605" s="92" cm="1">
        <f t="array" aca="1" ref="K60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05" s="95">
        <f ca="1">IF(Table2[[#This Row],[Team]]="FA",0,Table2[[#This Row],[Pts/G]]*(Table2[[#This Row],[Games Playable]]/82))</f>
        <v>5.4634146341463419</v>
      </c>
      <c r="M605" s="95" cm="1">
        <f t="array" aca="1" ref="M605" ca="1">Table2[[#This Row],[Playable x Score]]*_xlfn.IFS(Table2[[#This Row],[Pos]]="D",assumptions!$B$15,Table2[[#This Row],[Pos]]="F", assumptions!$B$14,Table2[[#This Row],[Pos]]="G",assumptions!$B$16)</f>
        <v>5.4634146341463419</v>
      </c>
    </row>
    <row r="606" spans="1:13" x14ac:dyDescent="0.3">
      <c r="A606">
        <f>'score estimates'!$A606</f>
        <v>603</v>
      </c>
      <c r="B606" t="str">
        <f>'score estimates'!$B606</f>
        <v>Joe Veleno</v>
      </c>
      <c r="C606" t="str">
        <f>'score estimates'!$D606</f>
        <v>F</v>
      </c>
      <c r="D606" t="str">
        <f>'score estimates'!$C606</f>
        <v>DET</v>
      </c>
      <c r="E606" s="75">
        <f>'score estimates'!$F606</f>
        <v>5.0365853658536581</v>
      </c>
      <c r="F606" s="71">
        <f>'score estimates'!$G606</f>
        <v>718</v>
      </c>
      <c r="G606" s="71" t="s">
        <v>983</v>
      </c>
      <c r="H606" s="72" cm="1">
        <f t="array" aca="1" ref="H60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06" s="96">
        <f ca="1">IF(Table2[[#This Row],[Team]]="FA",0,Table2[[#This Row],[Pts/G]]*(1-Table2[[#This Row],[% Pos Overlap]]))</f>
        <v>5.0365853658536581</v>
      </c>
      <c r="J606" s="72" cm="1">
        <f t="array" aca="1" ref="J606" ca="1">(INDIRECT(ADDRESS((_xlfn.XMATCH(Table2[[#This Row],[Team]],Schedule!$A$1:$A$33)),5,1,1,"Sched Overlap")))</f>
        <v>0.64550264550264547</v>
      </c>
      <c r="K606" s="92" cm="1">
        <f t="array" aca="1" ref="K60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06" s="95">
        <f ca="1">IF(Table2[[#This Row],[Team]]="FA",0,Table2[[#This Row],[Pts/G]]*(Table2[[#This Row],[Games Playable]]/82))</f>
        <v>5.0365853658536581</v>
      </c>
      <c r="M606" s="95" cm="1">
        <f t="array" aca="1" ref="M606" ca="1">Table2[[#This Row],[Playable x Score]]*_xlfn.IFS(Table2[[#This Row],[Pos]]="D",assumptions!$B$15,Table2[[#This Row],[Pos]]="F", assumptions!$B$14,Table2[[#This Row],[Pos]]="G",assumptions!$B$16)</f>
        <v>5.0365853658536581</v>
      </c>
    </row>
    <row r="607" spans="1:13" x14ac:dyDescent="0.3">
      <c r="A607">
        <f>'score estimates'!$A607</f>
        <v>604</v>
      </c>
      <c r="B607" t="str">
        <f>'score estimates'!$B607</f>
        <v>Kristian Reichel</v>
      </c>
      <c r="C607" t="str">
        <f>'score estimates'!$D607</f>
        <v>F</v>
      </c>
      <c r="D607" t="str">
        <f>'score estimates'!$C607</f>
        <v>WPG</v>
      </c>
      <c r="E607" s="75">
        <f>'score estimates'!$F607</f>
        <v>6</v>
      </c>
      <c r="F607" s="71">
        <f>'score estimates'!$G607</f>
        <v>683</v>
      </c>
      <c r="G607" s="71" t="s">
        <v>983</v>
      </c>
      <c r="H607" s="72" cm="1">
        <f t="array" aca="1" ref="H60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07" s="96">
        <f ca="1">IF(Table2[[#This Row],[Team]]="FA",0,Table2[[#This Row],[Pts/G]]*(1-Table2[[#This Row],[% Pos Overlap]]))</f>
        <v>6</v>
      </c>
      <c r="J607" s="72" cm="1">
        <f t="array" aca="1" ref="J607" ca="1">(INDIRECT(ADDRESS((_xlfn.XMATCH(Table2[[#This Row],[Team]],Schedule!$A$1:$A$33)),5,1,1,"Sched Overlap")))</f>
        <v>0.61212861212861214</v>
      </c>
      <c r="K607" s="92" cm="1">
        <f t="array" aca="1" ref="K60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07" s="95">
        <f ca="1">IF(Table2[[#This Row],[Team]]="FA",0,Table2[[#This Row],[Pts/G]]*(Table2[[#This Row],[Games Playable]]/82))</f>
        <v>6</v>
      </c>
      <c r="M607" s="95" cm="1">
        <f t="array" aca="1" ref="M607" ca="1">Table2[[#This Row],[Playable x Score]]*_xlfn.IFS(Table2[[#This Row],[Pos]]="D",assumptions!$B$15,Table2[[#This Row],[Pos]]="F", assumptions!$B$14,Table2[[#This Row],[Pos]]="G",assumptions!$B$16)</f>
        <v>6</v>
      </c>
    </row>
    <row r="608" spans="1:13" x14ac:dyDescent="0.3">
      <c r="A608">
        <f>'score estimates'!$A608</f>
        <v>605</v>
      </c>
      <c r="B608" t="str">
        <f>'score estimates'!$B608</f>
        <v>Drew O'Connor</v>
      </c>
      <c r="C608" t="str">
        <f>'score estimates'!$D608</f>
        <v>F</v>
      </c>
      <c r="D608" t="str">
        <f>'score estimates'!$C608</f>
        <v>PIT</v>
      </c>
      <c r="E608" s="75">
        <f>'score estimates'!$F608</f>
        <v>5.2804878048780486</v>
      </c>
      <c r="F608" s="71">
        <f>'score estimates'!$G608</f>
        <v>713</v>
      </c>
      <c r="G608" s="71" t="s">
        <v>983</v>
      </c>
      <c r="H608" s="72" cm="1">
        <f t="array" aca="1" ref="H60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08" s="96">
        <f ca="1">IF(Table2[[#This Row],[Team]]="FA",0,Table2[[#This Row],[Pts/G]]*(1-Table2[[#This Row],[% Pos Overlap]]))</f>
        <v>5.2804878048780486</v>
      </c>
      <c r="J608" s="72" cm="1">
        <f t="array" aca="1" ref="J608" ca="1">(INDIRECT(ADDRESS((_xlfn.XMATCH(Table2[[#This Row],[Team]],Schedule!$A$1:$A$33)),5,1,1,"Sched Overlap")))</f>
        <v>0.63492063492063477</v>
      </c>
      <c r="K608" s="92" cm="1">
        <f t="array" aca="1" ref="K60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08" s="95">
        <f ca="1">IF(Table2[[#This Row],[Team]]="FA",0,Table2[[#This Row],[Pts/G]]*(Table2[[#This Row],[Games Playable]]/82))</f>
        <v>5.2804878048780486</v>
      </c>
      <c r="M608" s="95" cm="1">
        <f t="array" aca="1" ref="M608" ca="1">Table2[[#This Row],[Playable x Score]]*_xlfn.IFS(Table2[[#This Row],[Pos]]="D",assumptions!$B$15,Table2[[#This Row],[Pos]]="F", assumptions!$B$14,Table2[[#This Row],[Pos]]="G",assumptions!$B$16)</f>
        <v>5.2804878048780486</v>
      </c>
    </row>
    <row r="609" spans="1:13" x14ac:dyDescent="0.3">
      <c r="A609">
        <f>'score estimates'!$A609</f>
        <v>606</v>
      </c>
      <c r="B609" t="str">
        <f>'score estimates'!$B609</f>
        <v>Dylan Samberg</v>
      </c>
      <c r="C609" t="str">
        <f>'score estimates'!$D609</f>
        <v>D</v>
      </c>
      <c r="D609" t="str">
        <f>'score estimates'!$C609</f>
        <v>WPG</v>
      </c>
      <c r="E609" s="75">
        <f>'score estimates'!$F609</f>
        <v>6.0365853658536581</v>
      </c>
      <c r="F609" s="71">
        <f>'score estimates'!$G609</f>
        <v>682</v>
      </c>
      <c r="G609" s="71" t="s">
        <v>983</v>
      </c>
      <c r="H609" s="72" cm="1">
        <f t="array" aca="1" ref="H60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09" s="96">
        <f ca="1">IF(Table2[[#This Row],[Team]]="FA",0,Table2[[#This Row],[Pts/G]]*(1-Table2[[#This Row],[% Pos Overlap]]))</f>
        <v>6.0365853658536581</v>
      </c>
      <c r="J609" s="72" cm="1">
        <f t="array" aca="1" ref="J609" ca="1">(INDIRECT(ADDRESS((_xlfn.XMATCH(Table2[[#This Row],[Team]],Schedule!$A$1:$A$33)),5,1,1,"Sched Overlap")))</f>
        <v>0.61212861212861214</v>
      </c>
      <c r="K609" s="92" cm="1">
        <f t="array" aca="1" ref="K60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09" s="95">
        <f ca="1">IF(Table2[[#This Row],[Team]]="FA",0,Table2[[#This Row],[Pts/G]]*(Table2[[#This Row],[Games Playable]]/82))</f>
        <v>6.0365853658536581</v>
      </c>
      <c r="M609" s="95" cm="1">
        <f t="array" aca="1" ref="M609" ca="1">Table2[[#This Row],[Playable x Score]]*_xlfn.IFS(Table2[[#This Row],[Pos]]="D",assumptions!$B$15,Table2[[#This Row],[Pos]]="F", assumptions!$B$14,Table2[[#This Row],[Pos]]="G",assumptions!$B$16)</f>
        <v>7.5457317073170724</v>
      </c>
    </row>
    <row r="610" spans="1:13" x14ac:dyDescent="0.3">
      <c r="A610">
        <f>'score estimates'!$A610</f>
        <v>607</v>
      </c>
      <c r="B610" t="str">
        <f>'score estimates'!$B610</f>
        <v>Matthew Highmore</v>
      </c>
      <c r="C610" t="str">
        <f>'score estimates'!$D610</f>
        <v>F</v>
      </c>
      <c r="D610" t="str">
        <f>'score estimates'!$C610</f>
        <v>STL</v>
      </c>
      <c r="E610" s="75">
        <f>'score estimates'!$F610</f>
        <v>6.5853658536585362</v>
      </c>
      <c r="F610" s="71">
        <f>'score estimates'!$G610</f>
        <v>665</v>
      </c>
      <c r="G610" s="71" t="s">
        <v>983</v>
      </c>
      <c r="H610" s="72" cm="1">
        <f t="array" aca="1" ref="H61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10" s="96">
        <f ca="1">IF(Table2[[#This Row],[Team]]="FA",0,Table2[[#This Row],[Pts/G]]*(1-Table2[[#This Row],[% Pos Overlap]]))</f>
        <v>6.5853658536585362</v>
      </c>
      <c r="J610" s="72" cm="1">
        <f t="array" aca="1" ref="J610" ca="1">(INDIRECT(ADDRESS((_xlfn.XMATCH(Table2[[#This Row],[Team]],Schedule!$A$1:$A$33)),5,1,1,"Sched Overlap")))</f>
        <v>0.65120065120065118</v>
      </c>
      <c r="K610" s="92" cm="1">
        <f t="array" aca="1" ref="K61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10" s="95">
        <f ca="1">IF(Table2[[#This Row],[Team]]="FA",0,Table2[[#This Row],[Pts/G]]*(Table2[[#This Row],[Games Playable]]/82))</f>
        <v>6.5853658536585362</v>
      </c>
      <c r="M610" s="95" cm="1">
        <f t="array" aca="1" ref="M610" ca="1">Table2[[#This Row],[Playable x Score]]*_xlfn.IFS(Table2[[#This Row],[Pos]]="D",assumptions!$B$15,Table2[[#This Row],[Pos]]="F", assumptions!$B$14,Table2[[#This Row],[Pos]]="G",assumptions!$B$16)</f>
        <v>6.5853658536585362</v>
      </c>
    </row>
    <row r="611" spans="1:13" x14ac:dyDescent="0.3">
      <c r="A611">
        <f>'score estimates'!$A611</f>
        <v>608</v>
      </c>
      <c r="B611" t="str">
        <f>'score estimates'!$B611</f>
        <v>Zack MacEwen</v>
      </c>
      <c r="C611" t="str">
        <f>'score estimates'!$D611</f>
        <v>F</v>
      </c>
      <c r="D611" t="str">
        <f>'score estimates'!$C611</f>
        <v>PHI</v>
      </c>
      <c r="E611" s="75">
        <f>'score estimates'!$F611</f>
        <v>10.146341463414634</v>
      </c>
      <c r="F611" s="71">
        <f>'score estimates'!$G611</f>
        <v>558</v>
      </c>
      <c r="G611" s="71" t="s">
        <v>983</v>
      </c>
      <c r="H611" s="72" cm="1">
        <f t="array" aca="1" ref="H61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11" s="96">
        <f ca="1">IF(Table2[[#This Row],[Team]]="FA",0,Table2[[#This Row],[Pts/G]]*(1-Table2[[#This Row],[% Pos Overlap]]))</f>
        <v>10.146341463414634</v>
      </c>
      <c r="J611" s="72" cm="1">
        <f t="array" aca="1" ref="J611" ca="1">(INDIRECT(ADDRESS((_xlfn.XMATCH(Table2[[#This Row],[Team]],Schedule!$A$1:$A$33)),5,1,1,"Sched Overlap")))</f>
        <v>0.66910866910866917</v>
      </c>
      <c r="K611" s="92" cm="1">
        <f t="array" aca="1" ref="K61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11" s="95">
        <f ca="1">IF(Table2[[#This Row],[Team]]="FA",0,Table2[[#This Row],[Pts/G]]*(Table2[[#This Row],[Games Playable]]/82))</f>
        <v>10.146341463414634</v>
      </c>
      <c r="M611" s="95" cm="1">
        <f t="array" aca="1" ref="M611" ca="1">Table2[[#This Row],[Playable x Score]]*_xlfn.IFS(Table2[[#This Row],[Pos]]="D",assumptions!$B$15,Table2[[#This Row],[Pos]]="F", assumptions!$B$14,Table2[[#This Row],[Pos]]="G",assumptions!$B$16)</f>
        <v>10.146341463414634</v>
      </c>
    </row>
    <row r="612" spans="1:13" x14ac:dyDescent="0.3">
      <c r="A612">
        <f>'score estimates'!$A612</f>
        <v>609</v>
      </c>
      <c r="B612" t="str">
        <f>'score estimates'!$B612</f>
        <v>Gustav Lindstrom</v>
      </c>
      <c r="C612" t="str">
        <f>'score estimates'!$D612</f>
        <v>D</v>
      </c>
      <c r="D612" t="str">
        <f>'score estimates'!$C612</f>
        <v>DET</v>
      </c>
      <c r="E612" s="75">
        <f>'score estimates'!$F612</f>
        <v>5.2439024390243905</v>
      </c>
      <c r="F612" s="71">
        <f>'score estimates'!$G612</f>
        <v>715</v>
      </c>
      <c r="G612" s="71" t="s">
        <v>983</v>
      </c>
      <c r="H612" s="72" cm="1">
        <f t="array" aca="1" ref="H61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12" s="96">
        <f ca="1">IF(Table2[[#This Row],[Team]]="FA",0,Table2[[#This Row],[Pts/G]]*(1-Table2[[#This Row],[% Pos Overlap]]))</f>
        <v>5.2439024390243905</v>
      </c>
      <c r="J612" s="72" cm="1">
        <f t="array" aca="1" ref="J612" ca="1">(INDIRECT(ADDRESS((_xlfn.XMATCH(Table2[[#This Row],[Team]],Schedule!$A$1:$A$33)),5,1,1,"Sched Overlap")))</f>
        <v>0.64550264550264547</v>
      </c>
      <c r="K612" s="92" cm="1">
        <f t="array" aca="1" ref="K61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12" s="95">
        <f ca="1">IF(Table2[[#This Row],[Team]]="FA",0,Table2[[#This Row],[Pts/G]]*(Table2[[#This Row],[Games Playable]]/82))</f>
        <v>5.2439024390243905</v>
      </c>
      <c r="M612" s="95" cm="1">
        <f t="array" aca="1" ref="M612" ca="1">Table2[[#This Row],[Playable x Score]]*_xlfn.IFS(Table2[[#This Row],[Pos]]="D",assumptions!$B$15,Table2[[#This Row],[Pos]]="F", assumptions!$B$14,Table2[[#This Row],[Pos]]="G",assumptions!$B$16)</f>
        <v>6.5548780487804876</v>
      </c>
    </row>
    <row r="613" spans="1:13" x14ac:dyDescent="0.3">
      <c r="A613">
        <f>'score estimates'!$A613</f>
        <v>610</v>
      </c>
      <c r="B613" t="str">
        <f>'score estimates'!$B613</f>
        <v>Adam Gaudette</v>
      </c>
      <c r="C613" t="str">
        <f>'score estimates'!$D613</f>
        <v>F</v>
      </c>
      <c r="D613" t="str">
        <f>'score estimates'!$C613</f>
        <v>TOR</v>
      </c>
      <c r="E613" s="75">
        <f>'score estimates'!$F613</f>
        <v>6.5975609756097562</v>
      </c>
      <c r="F613" s="71">
        <f>'score estimates'!$G613</f>
        <v>662</v>
      </c>
      <c r="G613" s="71" t="s">
        <v>983</v>
      </c>
      <c r="H613" s="72" cm="1">
        <f t="array" aca="1" ref="H61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13" s="96">
        <f ca="1">IF(Table2[[#This Row],[Team]]="FA",0,Table2[[#This Row],[Pts/G]]*(1-Table2[[#This Row],[% Pos Overlap]]))</f>
        <v>6.5975609756097562</v>
      </c>
      <c r="J613" s="72" cm="1">
        <f t="array" aca="1" ref="J613" ca="1">(INDIRECT(ADDRESS((_xlfn.XMATCH(Table2[[#This Row],[Team]],Schedule!$A$1:$A$33)),5,1,1,"Sched Overlap")))</f>
        <v>0.62922262922262928</v>
      </c>
      <c r="K613" s="92" cm="1">
        <f t="array" aca="1" ref="K61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13" s="95">
        <f ca="1">IF(Table2[[#This Row],[Team]]="FA",0,Table2[[#This Row],[Pts/G]]*(Table2[[#This Row],[Games Playable]]/82))</f>
        <v>6.5975609756097562</v>
      </c>
      <c r="M613" s="95" cm="1">
        <f t="array" aca="1" ref="M613" ca="1">Table2[[#This Row],[Playable x Score]]*_xlfn.IFS(Table2[[#This Row],[Pos]]="D",assumptions!$B$15,Table2[[#This Row],[Pos]]="F", assumptions!$B$14,Table2[[#This Row],[Pos]]="G",assumptions!$B$16)</f>
        <v>6.5975609756097562</v>
      </c>
    </row>
    <row r="614" spans="1:13" x14ac:dyDescent="0.3">
      <c r="A614">
        <f>'score estimates'!$A614</f>
        <v>611</v>
      </c>
      <c r="B614" t="str">
        <f>'score estimates'!$B614</f>
        <v>Dylan Gambrell</v>
      </c>
      <c r="C614" t="str">
        <f>'score estimates'!$D614</f>
        <v>F</v>
      </c>
      <c r="D614" t="str">
        <f>'score estimates'!$C614</f>
        <v>OTT</v>
      </c>
      <c r="E614" s="75">
        <f>'score estimates'!$F614</f>
        <v>7.475609756097561</v>
      </c>
      <c r="F614" s="71">
        <f>'score estimates'!$G614</f>
        <v>628</v>
      </c>
      <c r="G614" s="71" t="s">
        <v>983</v>
      </c>
      <c r="H614" s="72" cm="1">
        <f t="array" aca="1" ref="H61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14" s="96">
        <f ca="1">IF(Table2[[#This Row],[Team]]="FA",0,Table2[[#This Row],[Pts/G]]*(1-Table2[[#This Row],[% Pos Overlap]]))</f>
        <v>7.475609756097561</v>
      </c>
      <c r="J614" s="72" cm="1">
        <f t="array" aca="1" ref="J614" ca="1">(INDIRECT(ADDRESS((_xlfn.XMATCH(Table2[[#This Row],[Team]],Schedule!$A$1:$A$33)),5,1,1,"Sched Overlap")))</f>
        <v>0.64306064306064303</v>
      </c>
      <c r="K614" s="92" cm="1">
        <f t="array" aca="1" ref="K61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14" s="95">
        <f ca="1">IF(Table2[[#This Row],[Team]]="FA",0,Table2[[#This Row],[Pts/G]]*(Table2[[#This Row],[Games Playable]]/82))</f>
        <v>7.475609756097561</v>
      </c>
      <c r="M614" s="95" cm="1">
        <f t="array" aca="1" ref="M614" ca="1">Table2[[#This Row],[Playable x Score]]*_xlfn.IFS(Table2[[#This Row],[Pos]]="D",assumptions!$B$15,Table2[[#This Row],[Pos]]="F", assumptions!$B$14,Table2[[#This Row],[Pos]]="G",assumptions!$B$16)</f>
        <v>7.475609756097561</v>
      </c>
    </row>
    <row r="615" spans="1:13" x14ac:dyDescent="0.3">
      <c r="A615">
        <f>'score estimates'!$A615</f>
        <v>612</v>
      </c>
      <c r="B615" t="str">
        <f>'score estimates'!$B615</f>
        <v>Josh Archibald</v>
      </c>
      <c r="C615" t="str">
        <f>'score estimates'!$D615</f>
        <v>F</v>
      </c>
      <c r="D615" t="str">
        <f>'score estimates'!$C615</f>
        <v>PIT</v>
      </c>
      <c r="E615" s="75">
        <f>'score estimates'!$F615</f>
        <v>6.8902439024390247</v>
      </c>
      <c r="F615" s="71">
        <f>'score estimates'!$G615</f>
        <v>649</v>
      </c>
      <c r="G615" s="71" t="s">
        <v>983</v>
      </c>
      <c r="H615" s="72" cm="1">
        <f t="array" aca="1" ref="H61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15" s="96">
        <f ca="1">IF(Table2[[#This Row],[Team]]="FA",0,Table2[[#This Row],[Pts/G]]*(1-Table2[[#This Row],[% Pos Overlap]]))</f>
        <v>6.8902439024390247</v>
      </c>
      <c r="J615" s="72" cm="1">
        <f t="array" aca="1" ref="J615" ca="1">(INDIRECT(ADDRESS((_xlfn.XMATCH(Table2[[#This Row],[Team]],Schedule!$A$1:$A$33)),5,1,1,"Sched Overlap")))</f>
        <v>0.63492063492063477</v>
      </c>
      <c r="K615" s="92" cm="1">
        <f t="array" aca="1" ref="K61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15" s="95">
        <f ca="1">IF(Table2[[#This Row],[Team]]="FA",0,Table2[[#This Row],[Pts/G]]*(Table2[[#This Row],[Games Playable]]/82))</f>
        <v>6.8902439024390247</v>
      </c>
      <c r="M615" s="95" cm="1">
        <f t="array" aca="1" ref="M615" ca="1">Table2[[#This Row],[Playable x Score]]*_xlfn.IFS(Table2[[#This Row],[Pos]]="D",assumptions!$B$15,Table2[[#This Row],[Pos]]="F", assumptions!$B$14,Table2[[#This Row],[Pos]]="G",assumptions!$B$16)</f>
        <v>6.8902439024390247</v>
      </c>
    </row>
    <row r="616" spans="1:13" x14ac:dyDescent="0.3">
      <c r="A616">
        <f>'score estimates'!$A616</f>
        <v>613</v>
      </c>
      <c r="B616" t="str">
        <f>'score estimates'!$B616</f>
        <v>Clark Bishop</v>
      </c>
      <c r="C616" t="str">
        <f>'score estimates'!$D616</f>
        <v>F</v>
      </c>
      <c r="D616" t="str">
        <f>'score estimates'!$C616</f>
        <v>CGY</v>
      </c>
      <c r="E616" s="75">
        <f>'score estimates'!$F616</f>
        <v>4.7926829268292686</v>
      </c>
      <c r="F616" s="71">
        <f>'score estimates'!$G616</f>
        <v>728</v>
      </c>
      <c r="G616" s="71" t="s">
        <v>983</v>
      </c>
      <c r="H616" s="72" cm="1">
        <f t="array" aca="1" ref="H61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16" s="96">
        <f ca="1">IF(Table2[[#This Row],[Team]]="FA",0,Table2[[#This Row],[Pts/G]]*(1-Table2[[#This Row],[% Pos Overlap]]))</f>
        <v>4.7926829268292686</v>
      </c>
      <c r="J616" s="72" cm="1">
        <f t="array" aca="1" ref="J616" ca="1">(INDIRECT(ADDRESS((_xlfn.XMATCH(Table2[[#This Row],[Team]],Schedule!$A$1:$A$33)),5,1,1,"Sched Overlap")))</f>
        <v>0.63003663003663002</v>
      </c>
      <c r="K616" s="92" cm="1">
        <f t="array" aca="1" ref="K61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16" s="95">
        <f ca="1">IF(Table2[[#This Row],[Team]]="FA",0,Table2[[#This Row],[Pts/G]]*(Table2[[#This Row],[Games Playable]]/82))</f>
        <v>4.7926829268292686</v>
      </c>
      <c r="M616" s="95" cm="1">
        <f t="array" aca="1" ref="M616" ca="1">Table2[[#This Row],[Playable x Score]]*_xlfn.IFS(Table2[[#This Row],[Pos]]="D",assumptions!$B$15,Table2[[#This Row],[Pos]]="F", assumptions!$B$14,Table2[[#This Row],[Pos]]="G",assumptions!$B$16)</f>
        <v>4.7926829268292686</v>
      </c>
    </row>
    <row r="617" spans="1:13" x14ac:dyDescent="0.3">
      <c r="A617">
        <f>'score estimates'!$A617</f>
        <v>614</v>
      </c>
      <c r="B617" t="str">
        <f>'score estimates'!$B617</f>
        <v>Jordan Oesterle</v>
      </c>
      <c r="C617" t="str">
        <f>'score estimates'!$D617</f>
        <v>D</v>
      </c>
      <c r="D617" t="str">
        <f>'score estimates'!$C617</f>
        <v>DET</v>
      </c>
      <c r="E617" s="75">
        <f>'score estimates'!$F617</f>
        <v>5.8414634146341466</v>
      </c>
      <c r="F617" s="71">
        <f>'score estimates'!$G617</f>
        <v>691</v>
      </c>
      <c r="G617" s="71" t="s">
        <v>983</v>
      </c>
      <c r="H617" s="72" cm="1">
        <f t="array" aca="1" ref="H61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17" s="96">
        <f ca="1">IF(Table2[[#This Row],[Team]]="FA",0,Table2[[#This Row],[Pts/G]]*(1-Table2[[#This Row],[% Pos Overlap]]))</f>
        <v>5.8414634146341466</v>
      </c>
      <c r="J617" s="72" cm="1">
        <f t="array" aca="1" ref="J617" ca="1">(INDIRECT(ADDRESS((_xlfn.XMATCH(Table2[[#This Row],[Team]],Schedule!$A$1:$A$33)),5,1,1,"Sched Overlap")))</f>
        <v>0.64550264550264547</v>
      </c>
      <c r="K617" s="92" cm="1">
        <f t="array" aca="1" ref="K61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17" s="95">
        <f ca="1">IF(Table2[[#This Row],[Team]]="FA",0,Table2[[#This Row],[Pts/G]]*(Table2[[#This Row],[Games Playable]]/82))</f>
        <v>5.8414634146341466</v>
      </c>
      <c r="M617" s="95" cm="1">
        <f t="array" aca="1" ref="M617" ca="1">Table2[[#This Row],[Playable x Score]]*_xlfn.IFS(Table2[[#This Row],[Pos]]="D",assumptions!$B$15,Table2[[#This Row],[Pos]]="F", assumptions!$B$14,Table2[[#This Row],[Pos]]="G",assumptions!$B$16)</f>
        <v>7.3018292682926838</v>
      </c>
    </row>
    <row r="618" spans="1:13" x14ac:dyDescent="0.3">
      <c r="A618">
        <f>'score estimates'!$A618</f>
        <v>615</v>
      </c>
      <c r="B618" t="str">
        <f>'score estimates'!$B618</f>
        <v>Will Butcher</v>
      </c>
      <c r="C618" t="str">
        <f>'score estimates'!$D618</f>
        <v>D</v>
      </c>
      <c r="D618" t="str">
        <f>'score estimates'!$C618</f>
        <v>DAL</v>
      </c>
      <c r="E618" s="75">
        <f>'score estimates'!$F618</f>
        <v>3.6829268292682928</v>
      </c>
      <c r="F618" s="71">
        <f>'score estimates'!$G618</f>
        <v>770</v>
      </c>
      <c r="G618" s="71" t="s">
        <v>983</v>
      </c>
      <c r="H618" s="72" cm="1">
        <f t="array" aca="1" ref="H61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18" s="96">
        <f ca="1">IF(Table2[[#This Row],[Team]]="FA",0,Table2[[#This Row],[Pts/G]]*(1-Table2[[#This Row],[% Pos Overlap]]))</f>
        <v>3.6829268292682928</v>
      </c>
      <c r="J618" s="72" cm="1">
        <f t="array" aca="1" ref="J618" ca="1">(INDIRECT(ADDRESS((_xlfn.XMATCH(Table2[[#This Row],[Team]],Schedule!$A$1:$A$33)),5,1,1,"Sched Overlap")))</f>
        <v>0.65364265364265373</v>
      </c>
      <c r="K618" s="92" cm="1">
        <f t="array" aca="1" ref="K61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18" s="95">
        <f ca="1">IF(Table2[[#This Row],[Team]]="FA",0,Table2[[#This Row],[Pts/G]]*(Table2[[#This Row],[Games Playable]]/82))</f>
        <v>3.6829268292682928</v>
      </c>
      <c r="M618" s="95" cm="1">
        <f t="array" aca="1" ref="M618" ca="1">Table2[[#This Row],[Playable x Score]]*_xlfn.IFS(Table2[[#This Row],[Pos]]="D",assumptions!$B$15,Table2[[#This Row],[Pos]]="F", assumptions!$B$14,Table2[[#This Row],[Pos]]="G",assumptions!$B$16)</f>
        <v>4.6036585365853657</v>
      </c>
    </row>
    <row r="619" spans="1:13" x14ac:dyDescent="0.3">
      <c r="A619">
        <f>'score estimates'!$A619</f>
        <v>616</v>
      </c>
      <c r="B619" t="str">
        <f>'score estimates'!$B619</f>
        <v>Kris Russell</v>
      </c>
      <c r="C619" t="str">
        <f>'score estimates'!$D619</f>
        <v>D</v>
      </c>
      <c r="D619" t="str">
        <f>'score estimates'!$C619</f>
        <v>FA</v>
      </c>
      <c r="E619" s="75">
        <f>'score estimates'!$F619</f>
        <v>7.475609756097561</v>
      </c>
      <c r="F619" s="71">
        <f>'score estimates'!$G619</f>
        <v>628</v>
      </c>
      <c r="G619" s="71" t="s">
        <v>983</v>
      </c>
      <c r="H619" s="72" t="e" cm="1">
        <f t="array" aca="1" ref="H619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619" s="96">
        <f>IF(Table2[[#This Row],[Team]]="FA",0,Table2[[#This Row],[Pts/G]]*(1-Table2[[#This Row],[% Pos Overlap]]))</f>
        <v>0</v>
      </c>
      <c r="J619" s="72" t="e" cm="1">
        <f t="array" aca="1" ref="J619" ca="1">(INDIRECT(ADDRESS((_xlfn.XMATCH(Table2[[#This Row],[Team]],Schedule!$A$1:$A$33)),5,1,1,"Sched Overlap")))</f>
        <v>#N/A</v>
      </c>
      <c r="K619" s="92" t="e" cm="1">
        <f t="array" aca="1" ref="K619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619" s="95">
        <f>IF(Table2[[#This Row],[Team]]="FA",0,Table2[[#This Row],[Pts/G]]*(Table2[[#This Row],[Games Playable]]/82))</f>
        <v>0</v>
      </c>
      <c r="M619" s="95" cm="1">
        <f t="array" ref="M619">Table2[[#This Row],[Playable x Score]]*_xlfn.IFS(Table2[[#This Row],[Pos]]="D",assumptions!$B$15,Table2[[#This Row],[Pos]]="F", assumptions!$B$14,Table2[[#This Row],[Pos]]="G",assumptions!$B$16)</f>
        <v>0</v>
      </c>
    </row>
    <row r="620" spans="1:13" x14ac:dyDescent="0.3">
      <c r="A620">
        <f>'score estimates'!$A620</f>
        <v>617</v>
      </c>
      <c r="B620" t="str">
        <f>'score estimates'!$B620</f>
        <v>Andy Greene</v>
      </c>
      <c r="C620" t="str">
        <f>'score estimates'!$D620</f>
        <v>D</v>
      </c>
      <c r="D620" t="str">
        <f>'score estimates'!$C620</f>
        <v>FA</v>
      </c>
      <c r="E620" s="75">
        <f>'score estimates'!$F620</f>
        <v>7.5853658536585362</v>
      </c>
      <c r="F620" s="71">
        <f>'score estimates'!$G620</f>
        <v>626</v>
      </c>
      <c r="G620" s="71" t="s">
        <v>983</v>
      </c>
      <c r="H620" s="72" t="e" cm="1">
        <f t="array" aca="1" ref="H620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620" s="96">
        <f>IF(Table2[[#This Row],[Team]]="FA",0,Table2[[#This Row],[Pts/G]]*(1-Table2[[#This Row],[% Pos Overlap]]))</f>
        <v>0</v>
      </c>
      <c r="J620" s="72" t="e" cm="1">
        <f t="array" aca="1" ref="J620" ca="1">(INDIRECT(ADDRESS((_xlfn.XMATCH(Table2[[#This Row],[Team]],Schedule!$A$1:$A$33)),5,1,1,"Sched Overlap")))</f>
        <v>#N/A</v>
      </c>
      <c r="K620" s="92" t="e" cm="1">
        <f t="array" aca="1" ref="K620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620" s="95">
        <f>IF(Table2[[#This Row],[Team]]="FA",0,Table2[[#This Row],[Pts/G]]*(Table2[[#This Row],[Games Playable]]/82))</f>
        <v>0</v>
      </c>
      <c r="M620" s="95" cm="1">
        <f t="array" ref="M620">Table2[[#This Row],[Playable x Score]]*_xlfn.IFS(Table2[[#This Row],[Pos]]="D",assumptions!$B$15,Table2[[#This Row],[Pos]]="F", assumptions!$B$14,Table2[[#This Row],[Pos]]="G",assumptions!$B$16)</f>
        <v>0</v>
      </c>
    </row>
    <row r="621" spans="1:13" x14ac:dyDescent="0.3">
      <c r="A621">
        <f>'score estimates'!$A621</f>
        <v>618</v>
      </c>
      <c r="B621" t="str">
        <f>'score estimates'!$B621</f>
        <v>Andrew Ladd</v>
      </c>
      <c r="C621" t="str">
        <f>'score estimates'!$D621</f>
        <v>F</v>
      </c>
      <c r="D621" t="str">
        <f>'score estimates'!$C621</f>
        <v>ARI</v>
      </c>
      <c r="E621" s="75">
        <f>'score estimates'!$F621</f>
        <v>4.9634146341463419</v>
      </c>
      <c r="F621" s="71">
        <f>'score estimates'!$G621</f>
        <v>723</v>
      </c>
      <c r="G621" s="71" t="s">
        <v>983</v>
      </c>
      <c r="H621" s="72" cm="1">
        <f t="array" aca="1" ref="H62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21" s="96">
        <f ca="1">IF(Table2[[#This Row],[Team]]="FA",0,Table2[[#This Row],[Pts/G]]*(1-Table2[[#This Row],[% Pos Overlap]]))</f>
        <v>4.9634146341463419</v>
      </c>
      <c r="J621" s="72" cm="1">
        <f t="array" aca="1" ref="J621" ca="1">(INDIRECT(ADDRESS((_xlfn.XMATCH(Table2[[#This Row],[Team]],Schedule!$A$1:$A$33)),5,1,1,"Sched Overlap")))</f>
        <v>0.63247863247863279</v>
      </c>
      <c r="K621" s="92" cm="1">
        <f t="array" aca="1" ref="K62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21" s="95">
        <f ca="1">IF(Table2[[#This Row],[Team]]="FA",0,Table2[[#This Row],[Pts/G]]*(Table2[[#This Row],[Games Playable]]/82))</f>
        <v>4.9634146341463419</v>
      </c>
      <c r="M621" s="95" cm="1">
        <f t="array" aca="1" ref="M621" ca="1">Table2[[#This Row],[Playable x Score]]*_xlfn.IFS(Table2[[#This Row],[Pos]]="D",assumptions!$B$15,Table2[[#This Row],[Pos]]="F", assumptions!$B$14,Table2[[#This Row],[Pos]]="G",assumptions!$B$16)</f>
        <v>4.9634146341463419</v>
      </c>
    </row>
    <row r="622" spans="1:13" x14ac:dyDescent="0.3">
      <c r="A622">
        <f>'score estimates'!$A622</f>
        <v>619</v>
      </c>
      <c r="B622" t="str">
        <f>'score estimates'!$B622</f>
        <v>Derek Stepan</v>
      </c>
      <c r="C622" t="str">
        <f>'score estimates'!$D622</f>
        <v>F</v>
      </c>
      <c r="D622" t="str">
        <f>'score estimates'!$C622</f>
        <v>CAR</v>
      </c>
      <c r="E622" s="75">
        <f>'score estimates'!$F622</f>
        <v>6.3902439024390247</v>
      </c>
      <c r="F622" s="71">
        <f>'score estimates'!$G622</f>
        <v>670</v>
      </c>
      <c r="G622" s="71" t="s">
        <v>983</v>
      </c>
      <c r="H622" s="72" cm="1">
        <f t="array" aca="1" ref="H62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22" s="96">
        <f ca="1">IF(Table2[[#This Row],[Team]]="FA",0,Table2[[#This Row],[Pts/G]]*(1-Table2[[#This Row],[% Pos Overlap]]))</f>
        <v>6.3902439024390247</v>
      </c>
      <c r="J622" s="72" cm="1">
        <f t="array" aca="1" ref="J622" ca="1">(INDIRECT(ADDRESS((_xlfn.XMATCH(Table2[[#This Row],[Team]],Schedule!$A$1:$A$33)),5,1,1,"Sched Overlap")))</f>
        <v>0.63247863247863245</v>
      </c>
      <c r="K622" s="92" cm="1">
        <f t="array" aca="1" ref="K62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22" s="95">
        <f ca="1">IF(Table2[[#This Row],[Team]]="FA",0,Table2[[#This Row],[Pts/G]]*(Table2[[#This Row],[Games Playable]]/82))</f>
        <v>6.3902439024390247</v>
      </c>
      <c r="M622" s="95" cm="1">
        <f t="array" aca="1" ref="M622" ca="1">Table2[[#This Row],[Playable x Score]]*_xlfn.IFS(Table2[[#This Row],[Pos]]="D",assumptions!$B$15,Table2[[#This Row],[Pos]]="F", assumptions!$B$14,Table2[[#This Row],[Pos]]="G",assumptions!$B$16)</f>
        <v>6.3902439024390247</v>
      </c>
    </row>
    <row r="623" spans="1:13" x14ac:dyDescent="0.3">
      <c r="A623">
        <f>'score estimates'!$A623</f>
        <v>620</v>
      </c>
      <c r="B623" t="str">
        <f>'score estimates'!$B623</f>
        <v>Dmitry Kulikov</v>
      </c>
      <c r="C623" t="str">
        <f>'score estimates'!$D623</f>
        <v>D</v>
      </c>
      <c r="D623" t="str">
        <f>'score estimates'!$C623</f>
        <v>ANH</v>
      </c>
      <c r="E623" s="75">
        <f>'score estimates'!$F623</f>
        <v>8.536585365853659</v>
      </c>
      <c r="F623" s="71">
        <f>'score estimates'!$G623</f>
        <v>602</v>
      </c>
      <c r="G623" s="71" t="s">
        <v>983</v>
      </c>
      <c r="H623" s="72" cm="1">
        <f t="array" aca="1" ref="H62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23" s="96">
        <f ca="1">IF(Table2[[#This Row],[Team]]="FA",0,Table2[[#This Row],[Pts/G]]*(1-Table2[[#This Row],[% Pos Overlap]]))</f>
        <v>8.536585365853659</v>
      </c>
      <c r="J623" s="72" cm="1">
        <f t="array" aca="1" ref="J623" ca="1">(INDIRECT(ADDRESS((_xlfn.XMATCH(Table2[[#This Row],[Team]],Schedule!$A$1:$A$33)),5,1,1,"Sched Overlap")))</f>
        <v>0.56410256410256399</v>
      </c>
      <c r="K623" s="92" cm="1">
        <f t="array" aca="1" ref="K62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23" s="95">
        <f ca="1">IF(Table2[[#This Row],[Team]]="FA",0,Table2[[#This Row],[Pts/G]]*(Table2[[#This Row],[Games Playable]]/82))</f>
        <v>8.536585365853659</v>
      </c>
      <c r="M623" s="95" cm="1">
        <f t="array" aca="1" ref="M623" ca="1">Table2[[#This Row],[Playable x Score]]*_xlfn.IFS(Table2[[#This Row],[Pos]]="D",assumptions!$B$15,Table2[[#This Row],[Pos]]="F", assumptions!$B$14,Table2[[#This Row],[Pos]]="G",assumptions!$B$16)</f>
        <v>10.670731707317074</v>
      </c>
    </row>
    <row r="624" spans="1:13" x14ac:dyDescent="0.3">
      <c r="A624">
        <f>'score estimates'!$A624</f>
        <v>621</v>
      </c>
      <c r="B624" t="str">
        <f>'score estimates'!$B624</f>
        <v>Patrik Nemeth</v>
      </c>
      <c r="C624" t="str">
        <f>'score estimates'!$D624</f>
        <v>D</v>
      </c>
      <c r="D624" t="str">
        <f>'score estimates'!$C624</f>
        <v>ARI</v>
      </c>
      <c r="E624" s="75">
        <f>'score estimates'!$F624</f>
        <v>8.2439024390243905</v>
      </c>
      <c r="F624" s="71">
        <f>'score estimates'!$G624</f>
        <v>612</v>
      </c>
      <c r="G624" s="71" t="s">
        <v>983</v>
      </c>
      <c r="H624" s="72" cm="1">
        <f t="array" aca="1" ref="H62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24" s="96">
        <f ca="1">IF(Table2[[#This Row],[Team]]="FA",0,Table2[[#This Row],[Pts/G]]*(1-Table2[[#This Row],[% Pos Overlap]]))</f>
        <v>8.2439024390243905</v>
      </c>
      <c r="J624" s="72" cm="1">
        <f t="array" aca="1" ref="J624" ca="1">(INDIRECT(ADDRESS((_xlfn.XMATCH(Table2[[#This Row],[Team]],Schedule!$A$1:$A$33)),5,1,1,"Sched Overlap")))</f>
        <v>0.63247863247863279</v>
      </c>
      <c r="K624" s="92" cm="1">
        <f t="array" aca="1" ref="K62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24" s="95">
        <f ca="1">IF(Table2[[#This Row],[Team]]="FA",0,Table2[[#This Row],[Pts/G]]*(Table2[[#This Row],[Games Playable]]/82))</f>
        <v>8.2439024390243905</v>
      </c>
      <c r="M624" s="95" cm="1">
        <f t="array" aca="1" ref="M624" ca="1">Table2[[#This Row],[Playable x Score]]*_xlfn.IFS(Table2[[#This Row],[Pos]]="D",assumptions!$B$15,Table2[[#This Row],[Pos]]="F", assumptions!$B$14,Table2[[#This Row],[Pos]]="G",assumptions!$B$16)</f>
        <v>10.304878048780488</v>
      </c>
    </row>
    <row r="625" spans="1:13" x14ac:dyDescent="0.3">
      <c r="A625">
        <f>'score estimates'!$A625</f>
        <v>622</v>
      </c>
      <c r="B625" t="str">
        <f>'score estimates'!$B625</f>
        <v>Matt Martin</v>
      </c>
      <c r="C625" t="str">
        <f>'score estimates'!$D625</f>
        <v>F</v>
      </c>
      <c r="D625" t="str">
        <f>'score estimates'!$C625</f>
        <v>NYI</v>
      </c>
      <c r="E625" s="75">
        <f>'score estimates'!$F625</f>
        <v>9.9024390243902438</v>
      </c>
      <c r="F625" s="71">
        <f>'score estimates'!$G625</f>
        <v>567</v>
      </c>
      <c r="G625" s="71" t="s">
        <v>983</v>
      </c>
      <c r="H625" s="72" cm="1">
        <f t="array" aca="1" ref="H62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25" s="96">
        <f ca="1">IF(Table2[[#This Row],[Team]]="FA",0,Table2[[#This Row],[Pts/G]]*(1-Table2[[#This Row],[% Pos Overlap]]))</f>
        <v>9.9024390243902438</v>
      </c>
      <c r="J625" s="72" cm="1">
        <f t="array" aca="1" ref="J625" ca="1">(INDIRECT(ADDRESS((_xlfn.XMATCH(Table2[[#This Row],[Team]],Schedule!$A$1:$A$33)),5,1,1,"Sched Overlap")))</f>
        <v>0.63166463166463194</v>
      </c>
      <c r="K625" s="92" cm="1">
        <f t="array" aca="1" ref="K62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25" s="95">
        <f ca="1">IF(Table2[[#This Row],[Team]]="FA",0,Table2[[#This Row],[Pts/G]]*(Table2[[#This Row],[Games Playable]]/82))</f>
        <v>9.9024390243902438</v>
      </c>
      <c r="M625" s="95" cm="1">
        <f t="array" aca="1" ref="M625" ca="1">Table2[[#This Row],[Playable x Score]]*_xlfn.IFS(Table2[[#This Row],[Pos]]="D",assumptions!$B$15,Table2[[#This Row],[Pos]]="F", assumptions!$B$14,Table2[[#This Row],[Pos]]="G",assumptions!$B$16)</f>
        <v>9.9024390243902438</v>
      </c>
    </row>
    <row r="626" spans="1:13" x14ac:dyDescent="0.3">
      <c r="A626">
        <f>'score estimates'!$A626</f>
        <v>623</v>
      </c>
      <c r="B626" t="str">
        <f>'score estimates'!$B626</f>
        <v>Josh Leivo</v>
      </c>
      <c r="C626" t="str">
        <f>'score estimates'!$D626</f>
        <v>F</v>
      </c>
      <c r="D626" t="str">
        <f>'score estimates'!$C626</f>
        <v>STL</v>
      </c>
      <c r="E626" s="75">
        <f>'score estimates'!$F626</f>
        <v>4.524390243902439</v>
      </c>
      <c r="F626" s="71">
        <f>'score estimates'!$G626</f>
        <v>736</v>
      </c>
      <c r="G626" s="71" t="s">
        <v>983</v>
      </c>
      <c r="H626" s="72" cm="1">
        <f t="array" aca="1" ref="H62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26" s="96">
        <f ca="1">IF(Table2[[#This Row],[Team]]="FA",0,Table2[[#This Row],[Pts/G]]*(1-Table2[[#This Row],[% Pos Overlap]]))</f>
        <v>4.524390243902439</v>
      </c>
      <c r="J626" s="72" cm="1">
        <f t="array" aca="1" ref="J626" ca="1">(INDIRECT(ADDRESS((_xlfn.XMATCH(Table2[[#This Row],[Team]],Schedule!$A$1:$A$33)),5,1,1,"Sched Overlap")))</f>
        <v>0.65120065120065118</v>
      </c>
      <c r="K626" s="92" cm="1">
        <f t="array" aca="1" ref="K62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26" s="95">
        <f ca="1">IF(Table2[[#This Row],[Team]]="FA",0,Table2[[#This Row],[Pts/G]]*(Table2[[#This Row],[Games Playable]]/82))</f>
        <v>4.524390243902439</v>
      </c>
      <c r="M626" s="95" cm="1">
        <f t="array" aca="1" ref="M626" ca="1">Table2[[#This Row],[Playable x Score]]*_xlfn.IFS(Table2[[#This Row],[Pos]]="D",assumptions!$B$15,Table2[[#This Row],[Pos]]="F", assumptions!$B$14,Table2[[#This Row],[Pos]]="G",assumptions!$B$16)</f>
        <v>4.524390243902439</v>
      </c>
    </row>
    <row r="627" spans="1:13" x14ac:dyDescent="0.3">
      <c r="A627">
        <f>'score estimates'!$A627</f>
        <v>624</v>
      </c>
      <c r="B627" t="str">
        <f>'score estimates'!$B627</f>
        <v>Brad Richardson</v>
      </c>
      <c r="C627" t="str">
        <f>'score estimates'!$D627</f>
        <v>F</v>
      </c>
      <c r="D627" t="str">
        <f>'score estimates'!$C627</f>
        <v>FA</v>
      </c>
      <c r="E627" s="75">
        <f>'score estimates'!$F627</f>
        <v>5.9634146341463419</v>
      </c>
      <c r="F627" s="71">
        <f>'score estimates'!$G627</f>
        <v>688</v>
      </c>
      <c r="G627" s="71" t="s">
        <v>983</v>
      </c>
      <c r="H627" s="72" t="e" cm="1">
        <f t="array" aca="1" ref="H627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627" s="96">
        <f>IF(Table2[[#This Row],[Team]]="FA",0,Table2[[#This Row],[Pts/G]]*(1-Table2[[#This Row],[% Pos Overlap]]))</f>
        <v>0</v>
      </c>
      <c r="J627" s="72" t="e" cm="1">
        <f t="array" aca="1" ref="J627" ca="1">(INDIRECT(ADDRESS((_xlfn.XMATCH(Table2[[#This Row],[Team]],Schedule!$A$1:$A$33)),5,1,1,"Sched Overlap")))</f>
        <v>#N/A</v>
      </c>
      <c r="K627" s="92" t="e" cm="1">
        <f t="array" aca="1" ref="K627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627" s="95">
        <f>IF(Table2[[#This Row],[Team]]="FA",0,Table2[[#This Row],[Pts/G]]*(Table2[[#This Row],[Games Playable]]/82))</f>
        <v>0</v>
      </c>
      <c r="M627" s="95" cm="1">
        <f t="array" ref="M627">Table2[[#This Row],[Playable x Score]]*_xlfn.IFS(Table2[[#This Row],[Pos]]="D",assumptions!$B$15,Table2[[#This Row],[Pos]]="F", assumptions!$B$14,Table2[[#This Row],[Pos]]="G",assumptions!$B$16)</f>
        <v>0</v>
      </c>
    </row>
    <row r="628" spans="1:13" x14ac:dyDescent="0.3">
      <c r="A628">
        <f>'score estimates'!$A628</f>
        <v>625</v>
      </c>
      <c r="B628" t="str">
        <f>'score estimates'!$B628</f>
        <v>Michael McCarron</v>
      </c>
      <c r="C628" t="str">
        <f>'score estimates'!$D628</f>
        <v>F</v>
      </c>
      <c r="D628" t="str">
        <f>'score estimates'!$C628</f>
        <v>NSH</v>
      </c>
      <c r="E628" s="75">
        <f>'score estimates'!$F628</f>
        <v>9.1707317073170724</v>
      </c>
      <c r="F628" s="71">
        <f>'score estimates'!$G628</f>
        <v>585</v>
      </c>
      <c r="G628" s="71" t="s">
        <v>983</v>
      </c>
      <c r="H628" s="72" cm="1">
        <f t="array" aca="1" ref="H62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28" s="96">
        <f ca="1">IF(Table2[[#This Row],[Team]]="FA",0,Table2[[#This Row],[Pts/G]]*(1-Table2[[#This Row],[% Pos Overlap]]))</f>
        <v>9.1707317073170724</v>
      </c>
      <c r="J628" s="72" cm="1">
        <f t="array" aca="1" ref="J628" ca="1">(INDIRECT(ADDRESS((_xlfn.XMATCH(Table2[[#This Row],[Team]],Schedule!$A$1:$A$33)),5,1,1,"Sched Overlap")))</f>
        <v>0.67806267806267806</v>
      </c>
      <c r="K628" s="92" cm="1">
        <f t="array" aca="1" ref="K62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28" s="95">
        <f ca="1">IF(Table2[[#This Row],[Team]]="FA",0,Table2[[#This Row],[Pts/G]]*(Table2[[#This Row],[Games Playable]]/82))</f>
        <v>9.1707317073170724</v>
      </c>
      <c r="M628" s="95" cm="1">
        <f t="array" aca="1" ref="M628" ca="1">Table2[[#This Row],[Playable x Score]]*_xlfn.IFS(Table2[[#This Row],[Pos]]="D",assumptions!$B$15,Table2[[#This Row],[Pos]]="F", assumptions!$B$14,Table2[[#This Row],[Pos]]="G",assumptions!$B$16)</f>
        <v>9.1707317073170724</v>
      </c>
    </row>
    <row r="629" spans="1:13" x14ac:dyDescent="0.3">
      <c r="A629">
        <f>'score estimates'!$A629</f>
        <v>626</v>
      </c>
      <c r="B629" t="str">
        <f>'score estimates'!$B629</f>
        <v>Brad Hunt</v>
      </c>
      <c r="C629" t="str">
        <f>'score estimates'!$D629</f>
        <v>D</v>
      </c>
      <c r="D629" t="str">
        <f>'score estimates'!$C629</f>
        <v>COL</v>
      </c>
      <c r="E629" s="75">
        <f>'score estimates'!$F629</f>
        <v>4.9268292682926829</v>
      </c>
      <c r="F629" s="71">
        <f>'score estimates'!$G629</f>
        <v>724</v>
      </c>
      <c r="G629" s="71" t="s">
        <v>983</v>
      </c>
      <c r="H629" s="72" cm="1">
        <f t="array" aca="1" ref="H62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29" s="96">
        <f ca="1">IF(Table2[[#This Row],[Team]]="FA",0,Table2[[#This Row],[Pts/G]]*(1-Table2[[#This Row],[% Pos Overlap]]))</f>
        <v>4.9268292682926829</v>
      </c>
      <c r="J629" s="72" cm="1">
        <f t="array" aca="1" ref="J629" ca="1">(INDIRECT(ADDRESS((_xlfn.XMATCH(Table2[[#This Row],[Team]],Schedule!$A$1:$A$33)),5,1,1,"Sched Overlap")))</f>
        <v>0.61131461131461151</v>
      </c>
      <c r="K629" s="92" cm="1">
        <f t="array" aca="1" ref="K62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29" s="95">
        <f ca="1">IF(Table2[[#This Row],[Team]]="FA",0,Table2[[#This Row],[Pts/G]]*(Table2[[#This Row],[Games Playable]]/82))</f>
        <v>4.9268292682926829</v>
      </c>
      <c r="M629" s="95" cm="1">
        <f t="array" aca="1" ref="M629" ca="1">Table2[[#This Row],[Playable x Score]]*_xlfn.IFS(Table2[[#This Row],[Pos]]="D",assumptions!$B$15,Table2[[#This Row],[Pos]]="F", assumptions!$B$14,Table2[[#This Row],[Pos]]="G",assumptions!$B$16)</f>
        <v>6.1585365853658534</v>
      </c>
    </row>
    <row r="630" spans="1:13" x14ac:dyDescent="0.3">
      <c r="A630">
        <f>'score estimates'!$A630</f>
        <v>627</v>
      </c>
      <c r="B630" t="str">
        <f>'score estimates'!$B630</f>
        <v>Devin Shore</v>
      </c>
      <c r="C630" t="str">
        <f>'score estimates'!$D630</f>
        <v>F</v>
      </c>
      <c r="D630" t="str">
        <f>'score estimates'!$C630</f>
        <v>EDM</v>
      </c>
      <c r="E630" s="75">
        <f>'score estimates'!$F630</f>
        <v>4.1463414634146343</v>
      </c>
      <c r="F630" s="71">
        <f>'score estimates'!$G630</f>
        <v>754</v>
      </c>
      <c r="G630" s="71" t="s">
        <v>983</v>
      </c>
      <c r="H630" s="72" cm="1">
        <f t="array" aca="1" ref="H63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30" s="96">
        <f ca="1">IF(Table2[[#This Row],[Team]]="FA",0,Table2[[#This Row],[Pts/G]]*(1-Table2[[#This Row],[% Pos Overlap]]))</f>
        <v>4.1463414634146343</v>
      </c>
      <c r="J630" s="72" cm="1">
        <f t="array" aca="1" ref="J630" ca="1">(INDIRECT(ADDRESS((_xlfn.XMATCH(Table2[[#This Row],[Team]],Schedule!$A$1:$A$33)),5,1,1,"Sched Overlap")))</f>
        <v>0.62026862026862029</v>
      </c>
      <c r="K630" s="92" cm="1">
        <f t="array" aca="1" ref="K63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30" s="95">
        <f ca="1">IF(Table2[[#This Row],[Team]]="FA",0,Table2[[#This Row],[Pts/G]]*(Table2[[#This Row],[Games Playable]]/82))</f>
        <v>4.1463414634146343</v>
      </c>
      <c r="M630" s="95" cm="1">
        <f t="array" aca="1" ref="M630" ca="1">Table2[[#This Row],[Playable x Score]]*_xlfn.IFS(Table2[[#This Row],[Pos]]="D",assumptions!$B$15,Table2[[#This Row],[Pos]]="F", assumptions!$B$14,Table2[[#This Row],[Pos]]="G",assumptions!$B$16)</f>
        <v>4.1463414634146343</v>
      </c>
    </row>
    <row r="631" spans="1:13" x14ac:dyDescent="0.3">
      <c r="A631">
        <f>'score estimates'!$A631</f>
        <v>628</v>
      </c>
      <c r="B631" t="str">
        <f>'score estimates'!$B631</f>
        <v>Jani Hakanpaa</v>
      </c>
      <c r="C631" t="str">
        <f>'score estimates'!$D631</f>
        <v>D</v>
      </c>
      <c r="D631" t="str">
        <f>'score estimates'!$C631</f>
        <v>DAL</v>
      </c>
      <c r="E631" s="75">
        <f>'score estimates'!$F631</f>
        <v>12.524390243902438</v>
      </c>
      <c r="F631" s="71">
        <f>'score estimates'!$G631</f>
        <v>475</v>
      </c>
      <c r="G631" s="71" t="s">
        <v>983</v>
      </c>
      <c r="H631" s="72" cm="1">
        <f t="array" aca="1" ref="H63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31" s="96">
        <f ca="1">IF(Table2[[#This Row],[Team]]="FA",0,Table2[[#This Row],[Pts/G]]*(1-Table2[[#This Row],[% Pos Overlap]]))</f>
        <v>12.524390243902438</v>
      </c>
      <c r="J631" s="72" cm="1">
        <f t="array" aca="1" ref="J631" ca="1">(INDIRECT(ADDRESS((_xlfn.XMATCH(Table2[[#This Row],[Team]],Schedule!$A$1:$A$33)),5,1,1,"Sched Overlap")))</f>
        <v>0.65364265364265373</v>
      </c>
      <c r="K631" s="92" cm="1">
        <f t="array" aca="1" ref="K63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31" s="95">
        <f ca="1">IF(Table2[[#This Row],[Team]]="FA",0,Table2[[#This Row],[Pts/G]]*(Table2[[#This Row],[Games Playable]]/82))</f>
        <v>12.524390243902438</v>
      </c>
      <c r="M631" s="95" cm="1">
        <f t="array" aca="1" ref="M631" ca="1">Table2[[#This Row],[Playable x Score]]*_xlfn.IFS(Table2[[#This Row],[Pos]]="D",assumptions!$B$15,Table2[[#This Row],[Pos]]="F", assumptions!$B$14,Table2[[#This Row],[Pos]]="G",assumptions!$B$16)</f>
        <v>15.655487804878048</v>
      </c>
    </row>
    <row r="632" spans="1:13" x14ac:dyDescent="0.3">
      <c r="A632">
        <f>'score estimates'!$A632</f>
        <v>629</v>
      </c>
      <c r="B632" t="str">
        <f>'score estimates'!$B632</f>
        <v>Antoine Roussel</v>
      </c>
      <c r="C632" t="str">
        <f>'score estimates'!$D632</f>
        <v>F</v>
      </c>
      <c r="D632" t="str">
        <f>'score estimates'!$C632</f>
        <v>FA</v>
      </c>
      <c r="E632" s="75">
        <f>'score estimates'!$F632</f>
        <v>6.7195121951219514</v>
      </c>
      <c r="F632" s="71">
        <f>'score estimates'!$G632</f>
        <v>659</v>
      </c>
      <c r="G632" s="71" t="s">
        <v>983</v>
      </c>
      <c r="H632" s="72" t="e" cm="1">
        <f t="array" aca="1" ref="H632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632" s="96">
        <f>IF(Table2[[#This Row],[Team]]="FA",0,Table2[[#This Row],[Pts/G]]*(1-Table2[[#This Row],[% Pos Overlap]]))</f>
        <v>0</v>
      </c>
      <c r="J632" s="72" t="e" cm="1">
        <f t="array" aca="1" ref="J632" ca="1">(INDIRECT(ADDRESS((_xlfn.XMATCH(Table2[[#This Row],[Team]],Schedule!$A$1:$A$33)),5,1,1,"Sched Overlap")))</f>
        <v>#N/A</v>
      </c>
      <c r="K632" s="92" t="e" cm="1">
        <f t="array" aca="1" ref="K632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632" s="95">
        <f>IF(Table2[[#This Row],[Team]]="FA",0,Table2[[#This Row],[Pts/G]]*(Table2[[#This Row],[Games Playable]]/82))</f>
        <v>0</v>
      </c>
      <c r="M632" s="95" cm="1">
        <f t="array" ref="M632">Table2[[#This Row],[Playable x Score]]*_xlfn.IFS(Table2[[#This Row],[Pos]]="D",assumptions!$B$15,Table2[[#This Row],[Pos]]="F", assumptions!$B$14,Table2[[#This Row],[Pos]]="G",assumptions!$B$16)</f>
        <v>0</v>
      </c>
    </row>
    <row r="633" spans="1:13" x14ac:dyDescent="0.3">
      <c r="A633">
        <f>'score estimates'!$A633</f>
        <v>630</v>
      </c>
      <c r="B633" t="str">
        <f>'score estimates'!$B633</f>
        <v>Michael Amadio</v>
      </c>
      <c r="C633" t="str">
        <f>'score estimates'!$D633</f>
        <v>F</v>
      </c>
      <c r="D633" t="str">
        <f>'score estimates'!$C633</f>
        <v>VGK</v>
      </c>
      <c r="E633" s="75">
        <f>'score estimates'!$F633</f>
        <v>5.7073170731707314</v>
      </c>
      <c r="F633" s="71">
        <f>'score estimates'!$G633</f>
        <v>700</v>
      </c>
      <c r="G633" s="71" t="s">
        <v>983</v>
      </c>
      <c r="H633" s="72" cm="1">
        <f t="array" aca="1" ref="H63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33" s="96">
        <f ca="1">IF(Table2[[#This Row],[Team]]="FA",0,Table2[[#This Row],[Pts/G]]*(1-Table2[[#This Row],[% Pos Overlap]]))</f>
        <v>5.7073170731707314</v>
      </c>
      <c r="J633" s="72" cm="1">
        <f t="array" aca="1" ref="J633" ca="1">(INDIRECT(ADDRESS((_xlfn.XMATCH(Table2[[#This Row],[Team]],Schedule!$A$1:$A$33)),5,1,1,"Sched Overlap")))</f>
        <v>0.66992266992266991</v>
      </c>
      <c r="K633" s="92" cm="1">
        <f t="array" aca="1" ref="K63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33" s="95">
        <f ca="1">IF(Table2[[#This Row],[Team]]="FA",0,Table2[[#This Row],[Pts/G]]*(Table2[[#This Row],[Games Playable]]/82))</f>
        <v>5.7073170731707314</v>
      </c>
      <c r="M633" s="95" cm="1">
        <f t="array" aca="1" ref="M633" ca="1">Table2[[#This Row],[Playable x Score]]*_xlfn.IFS(Table2[[#This Row],[Pos]]="D",assumptions!$B$15,Table2[[#This Row],[Pos]]="F", assumptions!$B$14,Table2[[#This Row],[Pos]]="G",assumptions!$B$16)</f>
        <v>5.7073170731707314</v>
      </c>
    </row>
    <row r="634" spans="1:13" x14ac:dyDescent="0.3">
      <c r="A634">
        <f>'score estimates'!$A634</f>
        <v>631</v>
      </c>
      <c r="B634" t="str">
        <f>'score estimates'!$B634</f>
        <v>Boris Katchouk</v>
      </c>
      <c r="C634" t="str">
        <f>'score estimates'!$D634</f>
        <v>F</v>
      </c>
      <c r="D634" t="str">
        <f>'score estimates'!$C634</f>
        <v>CHI</v>
      </c>
      <c r="E634" s="75">
        <f>'score estimates'!$F634</f>
        <v>7.3536585365853657</v>
      </c>
      <c r="F634" s="71">
        <f>'score estimates'!$G634</f>
        <v>636</v>
      </c>
      <c r="G634" s="71" t="s">
        <v>983</v>
      </c>
      <c r="H634" s="72" cm="1">
        <f t="array" aca="1" ref="H63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34" s="96">
        <f ca="1">IF(Table2[[#This Row],[Team]]="FA",0,Table2[[#This Row],[Pts/G]]*(1-Table2[[#This Row],[% Pos Overlap]]))</f>
        <v>7.3536585365853657</v>
      </c>
      <c r="J634" s="72" cm="1">
        <f t="array" aca="1" ref="J634" ca="1">(INDIRECT(ADDRESS((_xlfn.XMATCH(Table2[[#This Row],[Team]],Schedule!$A$1:$A$33)),5,1,1,"Sched Overlap")))</f>
        <v>0.6243386243386243</v>
      </c>
      <c r="K634" s="92" cm="1">
        <f t="array" aca="1" ref="K63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34" s="95">
        <f ca="1">IF(Table2[[#This Row],[Team]]="FA",0,Table2[[#This Row],[Pts/G]]*(Table2[[#This Row],[Games Playable]]/82))</f>
        <v>7.3536585365853657</v>
      </c>
      <c r="M634" s="95" cm="1">
        <f t="array" aca="1" ref="M634" ca="1">Table2[[#This Row],[Playable x Score]]*_xlfn.IFS(Table2[[#This Row],[Pos]]="D",assumptions!$B$15,Table2[[#This Row],[Pos]]="F", assumptions!$B$14,Table2[[#This Row],[Pos]]="G",assumptions!$B$16)</f>
        <v>7.3536585365853657</v>
      </c>
    </row>
    <row r="635" spans="1:13" x14ac:dyDescent="0.3">
      <c r="A635">
        <f>'score estimates'!$A635</f>
        <v>632</v>
      </c>
      <c r="B635" t="str">
        <f>'score estimates'!$B635</f>
        <v>Michal Kempny</v>
      </c>
      <c r="C635" t="str">
        <f>'score estimates'!$D635</f>
        <v>D</v>
      </c>
      <c r="D635" t="str">
        <f>'score estimates'!$C635</f>
        <v>SEA</v>
      </c>
      <c r="E635" s="75">
        <f>'score estimates'!$F635</f>
        <v>6.2682926829268295</v>
      </c>
      <c r="F635" s="71">
        <f>'score estimates'!$G635</f>
        <v>677</v>
      </c>
      <c r="G635" s="71" t="s">
        <v>983</v>
      </c>
      <c r="H635" s="72" cm="1">
        <f t="array" aca="1" ref="H63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35" s="96">
        <f ca="1">IF(Table2[[#This Row],[Team]]="FA",0,Table2[[#This Row],[Pts/G]]*(1-Table2[[#This Row],[% Pos Overlap]]))</f>
        <v>6.2682926829268295</v>
      </c>
      <c r="J635" s="72" cm="1">
        <f t="array" aca="1" ref="J635" ca="1">(INDIRECT(ADDRESS((_xlfn.XMATCH(Table2[[#This Row],[Team]],Schedule!$A$1:$A$33)),5,1,1,"Sched Overlap")))</f>
        <v>0.63085063085063087</v>
      </c>
      <c r="K635" s="92" cm="1">
        <f t="array" aca="1" ref="K63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35" s="95">
        <f ca="1">IF(Table2[[#This Row],[Team]]="FA",0,Table2[[#This Row],[Pts/G]]*(Table2[[#This Row],[Games Playable]]/82))</f>
        <v>6.2682926829268295</v>
      </c>
      <c r="M635" s="95" cm="1">
        <f t="array" aca="1" ref="M635" ca="1">Table2[[#This Row],[Playable x Score]]*_xlfn.IFS(Table2[[#This Row],[Pos]]="D",assumptions!$B$15,Table2[[#This Row],[Pos]]="F", assumptions!$B$14,Table2[[#This Row],[Pos]]="G",assumptions!$B$16)</f>
        <v>7.8353658536585371</v>
      </c>
    </row>
    <row r="636" spans="1:13" x14ac:dyDescent="0.3">
      <c r="A636">
        <f>'score estimates'!$A636</f>
        <v>633</v>
      </c>
      <c r="B636" t="str">
        <f>'score estimates'!$B636</f>
        <v>Dean Kukan</v>
      </c>
      <c r="C636" t="str">
        <f>'score estimates'!$D636</f>
        <v>D</v>
      </c>
      <c r="D636" t="str">
        <f>'score estimates'!$C636</f>
        <v>FA</v>
      </c>
      <c r="E636" s="75">
        <f>'score estimates'!$F636</f>
        <v>5.3170731707317076</v>
      </c>
      <c r="F636" s="71">
        <f>'score estimates'!$G636</f>
        <v>712</v>
      </c>
      <c r="G636" s="71" t="s">
        <v>983</v>
      </c>
      <c r="H636" s="72" t="e" cm="1">
        <f t="array" aca="1" ref="H636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636" s="96">
        <f>IF(Table2[[#This Row],[Team]]="FA",0,Table2[[#This Row],[Pts/G]]*(1-Table2[[#This Row],[% Pos Overlap]]))</f>
        <v>0</v>
      </c>
      <c r="J636" s="72" t="e" cm="1">
        <f t="array" aca="1" ref="J636" ca="1">(INDIRECT(ADDRESS((_xlfn.XMATCH(Table2[[#This Row],[Team]],Schedule!$A$1:$A$33)),5,1,1,"Sched Overlap")))</f>
        <v>#N/A</v>
      </c>
      <c r="K636" s="92" t="e" cm="1">
        <f t="array" aca="1" ref="K636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636" s="95">
        <f>IF(Table2[[#This Row],[Team]]="FA",0,Table2[[#This Row],[Pts/G]]*(Table2[[#This Row],[Games Playable]]/82))</f>
        <v>0</v>
      </c>
      <c r="M636" s="95" cm="1">
        <f t="array" ref="M636">Table2[[#This Row],[Playable x Score]]*_xlfn.IFS(Table2[[#This Row],[Pos]]="D",assumptions!$B$15,Table2[[#This Row],[Pos]]="F", assumptions!$B$14,Table2[[#This Row],[Pos]]="G",assumptions!$B$16)</f>
        <v>0</v>
      </c>
    </row>
    <row r="637" spans="1:13" x14ac:dyDescent="0.3">
      <c r="A637">
        <f>'score estimates'!$A637</f>
        <v>634</v>
      </c>
      <c r="B637" t="str">
        <f>'score estimates'!$B637</f>
        <v>Dominic Toninato</v>
      </c>
      <c r="C637" t="str">
        <f>'score estimates'!$D637</f>
        <v>F</v>
      </c>
      <c r="D637" t="str">
        <f>'score estimates'!$C637</f>
        <v>WPG</v>
      </c>
      <c r="E637" s="75">
        <f>'score estimates'!$F637</f>
        <v>6.7804878048780486</v>
      </c>
      <c r="F637" s="71">
        <f>'score estimates'!$G637</f>
        <v>655</v>
      </c>
      <c r="G637" s="71" t="s">
        <v>983</v>
      </c>
      <c r="H637" s="72" cm="1">
        <f t="array" aca="1" ref="H63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37" s="96">
        <f ca="1">IF(Table2[[#This Row],[Team]]="FA",0,Table2[[#This Row],[Pts/G]]*(1-Table2[[#This Row],[% Pos Overlap]]))</f>
        <v>6.7804878048780486</v>
      </c>
      <c r="J637" s="72" cm="1">
        <f t="array" aca="1" ref="J637" ca="1">(INDIRECT(ADDRESS((_xlfn.XMATCH(Table2[[#This Row],[Team]],Schedule!$A$1:$A$33)),5,1,1,"Sched Overlap")))</f>
        <v>0.61212861212861214</v>
      </c>
      <c r="K637" s="92" cm="1">
        <f t="array" aca="1" ref="K63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37" s="95">
        <f ca="1">IF(Table2[[#This Row],[Team]]="FA",0,Table2[[#This Row],[Pts/G]]*(Table2[[#This Row],[Games Playable]]/82))</f>
        <v>6.7804878048780486</v>
      </c>
      <c r="M637" s="95" cm="1">
        <f t="array" aca="1" ref="M637" ca="1">Table2[[#This Row],[Playable x Score]]*_xlfn.IFS(Table2[[#This Row],[Pos]]="D",assumptions!$B$15,Table2[[#This Row],[Pos]]="F", assumptions!$B$14,Table2[[#This Row],[Pos]]="G",assumptions!$B$16)</f>
        <v>6.7804878048780486</v>
      </c>
    </row>
    <row r="638" spans="1:13" x14ac:dyDescent="0.3">
      <c r="A638">
        <f>'score estimates'!$A638</f>
        <v>635</v>
      </c>
      <c r="B638" t="str">
        <f>'score estimates'!$B638</f>
        <v>Marian Studenic</v>
      </c>
      <c r="C638" t="str">
        <f>'score estimates'!$D638</f>
        <v>F</v>
      </c>
      <c r="D638" t="str">
        <f>'score estimates'!$C638</f>
        <v>DAL</v>
      </c>
      <c r="E638" s="75">
        <f>'score estimates'!$F638</f>
        <v>4.7195121951219514</v>
      </c>
      <c r="F638" s="71">
        <f>'score estimates'!$G638</f>
        <v>729</v>
      </c>
      <c r="G638" s="71" t="s">
        <v>983</v>
      </c>
      <c r="H638" s="72" cm="1">
        <f t="array" aca="1" ref="H63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38" s="96">
        <f ca="1">IF(Table2[[#This Row],[Team]]="FA",0,Table2[[#This Row],[Pts/G]]*(1-Table2[[#This Row],[% Pos Overlap]]))</f>
        <v>4.7195121951219514</v>
      </c>
      <c r="J638" s="72" cm="1">
        <f t="array" aca="1" ref="J638" ca="1">(INDIRECT(ADDRESS((_xlfn.XMATCH(Table2[[#This Row],[Team]],Schedule!$A$1:$A$33)),5,1,1,"Sched Overlap")))</f>
        <v>0.65364265364265373</v>
      </c>
      <c r="K638" s="92" cm="1">
        <f t="array" aca="1" ref="K63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38" s="95">
        <f ca="1">IF(Table2[[#This Row],[Team]]="FA",0,Table2[[#This Row],[Pts/G]]*(Table2[[#This Row],[Games Playable]]/82))</f>
        <v>4.7195121951219514</v>
      </c>
      <c r="M638" s="95" cm="1">
        <f t="array" aca="1" ref="M638" ca="1">Table2[[#This Row],[Playable x Score]]*_xlfn.IFS(Table2[[#This Row],[Pos]]="D",assumptions!$B$15,Table2[[#This Row],[Pos]]="F", assumptions!$B$14,Table2[[#This Row],[Pos]]="G",assumptions!$B$16)</f>
        <v>4.7195121951219514</v>
      </c>
    </row>
    <row r="639" spans="1:13" x14ac:dyDescent="0.3">
      <c r="A639">
        <f>'score estimates'!$A639</f>
        <v>636</v>
      </c>
      <c r="B639" t="str">
        <f>'score estimates'!$B639</f>
        <v>Justin Barron</v>
      </c>
      <c r="C639" t="str">
        <f>'score estimates'!$D639</f>
        <v>D</v>
      </c>
      <c r="D639" t="str">
        <f>'score estimates'!$C639</f>
        <v>MON</v>
      </c>
      <c r="E639" s="75">
        <f>'score estimates'!$F639</f>
        <v>4.9024390243902438</v>
      </c>
      <c r="F639" s="71">
        <f>'score estimates'!$G639</f>
        <v>725</v>
      </c>
      <c r="G639" s="71" t="s">
        <v>983</v>
      </c>
      <c r="H639" s="72" cm="1">
        <f t="array" aca="1" ref="H63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39" s="96">
        <f ca="1">IF(Table2[[#This Row],[Team]]="FA",0,Table2[[#This Row],[Pts/G]]*(1-Table2[[#This Row],[% Pos Overlap]]))</f>
        <v>4.9024390243902438</v>
      </c>
      <c r="J639" s="72" cm="1">
        <f t="array" aca="1" ref="J639" ca="1">(INDIRECT(ADDRESS((_xlfn.XMATCH(Table2[[#This Row],[Team]],Schedule!$A$1:$A$33)),5,1,1,"Sched Overlap")))</f>
        <v>0.66666666666666685</v>
      </c>
      <c r="K639" s="92" cm="1">
        <f t="array" aca="1" ref="K63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39" s="95">
        <f ca="1">IF(Table2[[#This Row],[Team]]="FA",0,Table2[[#This Row],[Pts/G]]*(Table2[[#This Row],[Games Playable]]/82))</f>
        <v>4.9024390243902438</v>
      </c>
      <c r="M639" s="95" cm="1">
        <f t="array" aca="1" ref="M639" ca="1">Table2[[#This Row],[Playable x Score]]*_xlfn.IFS(Table2[[#This Row],[Pos]]="D",assumptions!$B$15,Table2[[#This Row],[Pos]]="F", assumptions!$B$14,Table2[[#This Row],[Pos]]="G",assumptions!$B$16)</f>
        <v>6.1280487804878048</v>
      </c>
    </row>
    <row r="640" spans="1:13" x14ac:dyDescent="0.3">
      <c r="A640">
        <f>'score estimates'!$A640</f>
        <v>637</v>
      </c>
      <c r="B640" t="str">
        <f>'score estimates'!$B640</f>
        <v>Corey Schueneman</v>
      </c>
      <c r="C640" t="str">
        <f>'score estimates'!$D640</f>
        <v>D</v>
      </c>
      <c r="D640" t="str">
        <f>'score estimates'!$C640</f>
        <v>MON</v>
      </c>
      <c r="E640" s="75">
        <f>'score estimates'!$F640</f>
        <v>5.6585365853658534</v>
      </c>
      <c r="F640" s="71">
        <f>'score estimates'!$G640</f>
        <v>701</v>
      </c>
      <c r="G640" s="71" t="s">
        <v>983</v>
      </c>
      <c r="H640" s="72" cm="1">
        <f t="array" aca="1" ref="H64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40" s="96">
        <f ca="1">IF(Table2[[#This Row],[Team]]="FA",0,Table2[[#This Row],[Pts/G]]*(1-Table2[[#This Row],[% Pos Overlap]]))</f>
        <v>5.6585365853658534</v>
      </c>
      <c r="J640" s="72" cm="1">
        <f t="array" aca="1" ref="J640" ca="1">(INDIRECT(ADDRESS((_xlfn.XMATCH(Table2[[#This Row],[Team]],Schedule!$A$1:$A$33)),5,1,1,"Sched Overlap")))</f>
        <v>0.66666666666666685</v>
      </c>
      <c r="K640" s="92" cm="1">
        <f t="array" aca="1" ref="K64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40" s="95">
        <f ca="1">IF(Table2[[#This Row],[Team]]="FA",0,Table2[[#This Row],[Pts/G]]*(Table2[[#This Row],[Games Playable]]/82))</f>
        <v>5.6585365853658534</v>
      </c>
      <c r="M640" s="95" cm="1">
        <f t="array" aca="1" ref="M640" ca="1">Table2[[#This Row],[Playable x Score]]*_xlfn.IFS(Table2[[#This Row],[Pos]]="D",assumptions!$B$15,Table2[[#This Row],[Pos]]="F", assumptions!$B$14,Table2[[#This Row],[Pos]]="G",assumptions!$B$16)</f>
        <v>7.0731707317073162</v>
      </c>
    </row>
    <row r="641" spans="1:13" x14ac:dyDescent="0.3">
      <c r="A641">
        <f>'score estimates'!$A641</f>
        <v>638</v>
      </c>
      <c r="B641" t="str">
        <f>'score estimates'!$B641</f>
        <v>Jan Jenik</v>
      </c>
      <c r="C641" t="str">
        <f>'score estimates'!$D641</f>
        <v>F</v>
      </c>
      <c r="D641" t="str">
        <f>'score estimates'!$C641</f>
        <v>ARI</v>
      </c>
      <c r="E641" s="75">
        <f>'score estimates'!$F641</f>
        <v>4.2317073170731705</v>
      </c>
      <c r="F641" s="71">
        <f>'score estimates'!$G641</f>
        <v>749</v>
      </c>
      <c r="G641" s="71" t="s">
        <v>983</v>
      </c>
      <c r="H641" s="72" cm="1">
        <f t="array" aca="1" ref="H64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41" s="96">
        <f ca="1">IF(Table2[[#This Row],[Team]]="FA",0,Table2[[#This Row],[Pts/G]]*(1-Table2[[#This Row],[% Pos Overlap]]))</f>
        <v>4.2317073170731705</v>
      </c>
      <c r="J641" s="72" cm="1">
        <f t="array" aca="1" ref="J641" ca="1">(INDIRECT(ADDRESS((_xlfn.XMATCH(Table2[[#This Row],[Team]],Schedule!$A$1:$A$33)),5,1,1,"Sched Overlap")))</f>
        <v>0.63247863247863279</v>
      </c>
      <c r="K641" s="92" cm="1">
        <f t="array" aca="1" ref="K64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41" s="95">
        <f ca="1">IF(Table2[[#This Row],[Team]]="FA",0,Table2[[#This Row],[Pts/G]]*(Table2[[#This Row],[Games Playable]]/82))</f>
        <v>4.2317073170731705</v>
      </c>
      <c r="M641" s="95" cm="1">
        <f t="array" aca="1" ref="M641" ca="1">Table2[[#This Row],[Playable x Score]]*_xlfn.IFS(Table2[[#This Row],[Pos]]="D",assumptions!$B$15,Table2[[#This Row],[Pos]]="F", assumptions!$B$14,Table2[[#This Row],[Pos]]="G",assumptions!$B$16)</f>
        <v>4.2317073170731705</v>
      </c>
    </row>
    <row r="642" spans="1:13" x14ac:dyDescent="0.3">
      <c r="A642">
        <f>'score estimates'!$A642</f>
        <v>639</v>
      </c>
      <c r="B642" t="str">
        <f>'score estimates'!$B642</f>
        <v>Alex Vlasic</v>
      </c>
      <c r="C642" t="str">
        <f>'score estimates'!$D642</f>
        <v>D</v>
      </c>
      <c r="D642" t="str">
        <f>'score estimates'!$C642</f>
        <v>CHI</v>
      </c>
      <c r="E642" s="75">
        <f>'score estimates'!$F642</f>
        <v>3.7926829268292681</v>
      </c>
      <c r="F642" s="71">
        <f>'score estimates'!$G642</f>
        <v>764</v>
      </c>
      <c r="G642" s="71" t="s">
        <v>983</v>
      </c>
      <c r="H642" s="72" cm="1">
        <f t="array" aca="1" ref="H64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42" s="96">
        <f ca="1">IF(Table2[[#This Row],[Team]]="FA",0,Table2[[#This Row],[Pts/G]]*(1-Table2[[#This Row],[% Pos Overlap]]))</f>
        <v>3.7926829268292681</v>
      </c>
      <c r="J642" s="72" cm="1">
        <f t="array" aca="1" ref="J642" ca="1">(INDIRECT(ADDRESS((_xlfn.XMATCH(Table2[[#This Row],[Team]],Schedule!$A$1:$A$33)),5,1,1,"Sched Overlap")))</f>
        <v>0.6243386243386243</v>
      </c>
      <c r="K642" s="92" cm="1">
        <f t="array" aca="1" ref="K64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42" s="95">
        <f ca="1">IF(Table2[[#This Row],[Team]]="FA",0,Table2[[#This Row],[Pts/G]]*(Table2[[#This Row],[Games Playable]]/82))</f>
        <v>3.7926829268292681</v>
      </c>
      <c r="M642" s="95" cm="1">
        <f t="array" aca="1" ref="M642" ca="1">Table2[[#This Row],[Playable x Score]]*_xlfn.IFS(Table2[[#This Row],[Pos]]="D",assumptions!$B$15,Table2[[#This Row],[Pos]]="F", assumptions!$B$14,Table2[[#This Row],[Pos]]="G",assumptions!$B$16)</f>
        <v>4.7408536585365848</v>
      </c>
    </row>
    <row r="643" spans="1:13" x14ac:dyDescent="0.3">
      <c r="A643">
        <f>'score estimates'!$A643</f>
        <v>640</v>
      </c>
      <c r="B643" t="str">
        <f>'score estimates'!$B643</f>
        <v>Tobias Bjornfot</v>
      </c>
      <c r="C643" t="str">
        <f>'score estimates'!$D643</f>
        <v>D</v>
      </c>
      <c r="D643" t="str">
        <f>'score estimates'!$C643</f>
        <v>LA</v>
      </c>
      <c r="E643" s="75">
        <f>'score estimates'!$F643</f>
        <v>5.3414634146341466</v>
      </c>
      <c r="F643" s="71">
        <f>'score estimates'!$G643</f>
        <v>710</v>
      </c>
      <c r="G643" s="71" t="s">
        <v>983</v>
      </c>
      <c r="H643" s="72" cm="1">
        <f t="array" aca="1" ref="H64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43" s="96">
        <f ca="1">IF(Table2[[#This Row],[Team]]="FA",0,Table2[[#This Row],[Pts/G]]*(1-Table2[[#This Row],[% Pos Overlap]]))</f>
        <v>5.3414634146341466</v>
      </c>
      <c r="J643" s="72" cm="1">
        <f t="array" aca="1" ref="J643" ca="1">(INDIRECT(ADDRESS((_xlfn.XMATCH(Table2[[#This Row],[Team]],Schedule!$A$1:$A$33)),5,1,1,"Sched Overlap")))</f>
        <v>0.65201465201465225</v>
      </c>
      <c r="K643" s="92" cm="1">
        <f t="array" aca="1" ref="K64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43" s="95">
        <f ca="1">IF(Table2[[#This Row],[Team]]="FA",0,Table2[[#This Row],[Pts/G]]*(Table2[[#This Row],[Games Playable]]/82))</f>
        <v>5.3414634146341466</v>
      </c>
      <c r="M643" s="95" cm="1">
        <f t="array" aca="1" ref="M643" ca="1">Table2[[#This Row],[Playable x Score]]*_xlfn.IFS(Table2[[#This Row],[Pos]]="D",assumptions!$B$15,Table2[[#This Row],[Pos]]="F", assumptions!$B$14,Table2[[#This Row],[Pos]]="G",assumptions!$B$16)</f>
        <v>6.6768292682926838</v>
      </c>
    </row>
    <row r="644" spans="1:13" x14ac:dyDescent="0.3">
      <c r="A644">
        <f>'score estimates'!$A644</f>
        <v>641</v>
      </c>
      <c r="B644" t="str">
        <f>'score estimates'!$B644</f>
        <v>Joel Kiviranta</v>
      </c>
      <c r="C644" t="str">
        <f>'score estimates'!$D644</f>
        <v>F</v>
      </c>
      <c r="D644" t="str">
        <f>'score estimates'!$C644</f>
        <v>DAL</v>
      </c>
      <c r="E644" s="75">
        <f>'score estimates'!$F644</f>
        <v>6</v>
      </c>
      <c r="F644" s="71">
        <f>'score estimates'!$G644</f>
        <v>683</v>
      </c>
      <c r="G644" s="71" t="s">
        <v>983</v>
      </c>
      <c r="H644" s="72" cm="1">
        <f t="array" aca="1" ref="H64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44" s="96">
        <f ca="1">IF(Table2[[#This Row],[Team]]="FA",0,Table2[[#This Row],[Pts/G]]*(1-Table2[[#This Row],[% Pos Overlap]]))</f>
        <v>6</v>
      </c>
      <c r="J644" s="72" cm="1">
        <f t="array" aca="1" ref="J644" ca="1">(INDIRECT(ADDRESS((_xlfn.XMATCH(Table2[[#This Row],[Team]],Schedule!$A$1:$A$33)),5,1,1,"Sched Overlap")))</f>
        <v>0.65364265364265373</v>
      </c>
      <c r="K644" s="92" cm="1">
        <f t="array" aca="1" ref="K64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44" s="95">
        <f ca="1">IF(Table2[[#This Row],[Team]]="FA",0,Table2[[#This Row],[Pts/G]]*(Table2[[#This Row],[Games Playable]]/82))</f>
        <v>6</v>
      </c>
      <c r="M644" s="95" cm="1">
        <f t="array" aca="1" ref="M644" ca="1">Table2[[#This Row],[Playable x Score]]*_xlfn.IFS(Table2[[#This Row],[Pos]]="D",assumptions!$B$15,Table2[[#This Row],[Pos]]="F", assumptions!$B$14,Table2[[#This Row],[Pos]]="G",assumptions!$B$16)</f>
        <v>6</v>
      </c>
    </row>
    <row r="645" spans="1:13" x14ac:dyDescent="0.3">
      <c r="A645">
        <f>'score estimates'!$A645</f>
        <v>642</v>
      </c>
      <c r="B645" t="str">
        <f>'score estimates'!$B645</f>
        <v>Bobby Brink</v>
      </c>
      <c r="C645" t="str">
        <f>'score estimates'!$D645</f>
        <v>F</v>
      </c>
      <c r="D645" t="str">
        <f>'score estimates'!$C645</f>
        <v>PHI</v>
      </c>
      <c r="E645" s="75">
        <f>'score estimates'!$F645</f>
        <v>2.8048780487804876</v>
      </c>
      <c r="F645" s="71">
        <f>'score estimates'!$G645</f>
        <v>809</v>
      </c>
      <c r="G645" s="71" t="s">
        <v>983</v>
      </c>
      <c r="H645" s="72" cm="1">
        <f t="array" aca="1" ref="H64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45" s="96">
        <f ca="1">IF(Table2[[#This Row],[Team]]="FA",0,Table2[[#This Row],[Pts/G]]*(1-Table2[[#This Row],[% Pos Overlap]]))</f>
        <v>2.8048780487804876</v>
      </c>
      <c r="J645" s="72" cm="1">
        <f t="array" aca="1" ref="J645" ca="1">(INDIRECT(ADDRESS((_xlfn.XMATCH(Table2[[#This Row],[Team]],Schedule!$A$1:$A$33)),5,1,1,"Sched Overlap")))</f>
        <v>0.66910866910866917</v>
      </c>
      <c r="K645" s="92" cm="1">
        <f t="array" aca="1" ref="K64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45" s="95">
        <f ca="1">IF(Table2[[#This Row],[Team]]="FA",0,Table2[[#This Row],[Pts/G]]*(Table2[[#This Row],[Games Playable]]/82))</f>
        <v>2.8048780487804876</v>
      </c>
      <c r="M645" s="95" cm="1">
        <f t="array" aca="1" ref="M645" ca="1">Table2[[#This Row],[Playable x Score]]*_xlfn.IFS(Table2[[#This Row],[Pos]]="D",assumptions!$B$15,Table2[[#This Row],[Pos]]="F", assumptions!$B$14,Table2[[#This Row],[Pos]]="G",assumptions!$B$16)</f>
        <v>2.8048780487804876</v>
      </c>
    </row>
    <row r="646" spans="1:13" x14ac:dyDescent="0.3">
      <c r="A646">
        <f>'score estimates'!$A646</f>
        <v>643</v>
      </c>
      <c r="B646" t="str">
        <f>'score estimates'!$B646</f>
        <v>Sampo Ranta</v>
      </c>
      <c r="C646" t="str">
        <f>'score estimates'!$D646</f>
        <v>F</v>
      </c>
      <c r="D646" t="str">
        <f>'score estimates'!$C646</f>
        <v>COL</v>
      </c>
      <c r="E646" s="75">
        <f>'score estimates'!$F646</f>
        <v>3.4634146341463414</v>
      </c>
      <c r="F646" s="71">
        <f>'score estimates'!$G646</f>
        <v>777</v>
      </c>
      <c r="G646" s="71" t="s">
        <v>983</v>
      </c>
      <c r="H646" s="72" cm="1">
        <f t="array" aca="1" ref="H64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46" s="96">
        <f ca="1">IF(Table2[[#This Row],[Team]]="FA",0,Table2[[#This Row],[Pts/G]]*(1-Table2[[#This Row],[% Pos Overlap]]))</f>
        <v>3.4634146341463414</v>
      </c>
      <c r="J646" s="72" cm="1">
        <f t="array" aca="1" ref="J646" ca="1">(INDIRECT(ADDRESS((_xlfn.XMATCH(Table2[[#This Row],[Team]],Schedule!$A$1:$A$33)),5,1,1,"Sched Overlap")))</f>
        <v>0.61131461131461151</v>
      </c>
      <c r="K646" s="92" cm="1">
        <f t="array" aca="1" ref="K64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46" s="95">
        <f ca="1">IF(Table2[[#This Row],[Team]]="FA",0,Table2[[#This Row],[Pts/G]]*(Table2[[#This Row],[Games Playable]]/82))</f>
        <v>3.4634146341463414</v>
      </c>
      <c r="M646" s="95" cm="1">
        <f t="array" aca="1" ref="M646" ca="1">Table2[[#This Row],[Playable x Score]]*_xlfn.IFS(Table2[[#This Row],[Pos]]="D",assumptions!$B$15,Table2[[#This Row],[Pos]]="F", assumptions!$B$14,Table2[[#This Row],[Pos]]="G",assumptions!$B$16)</f>
        <v>3.4634146341463414</v>
      </c>
    </row>
    <row r="647" spans="1:13" x14ac:dyDescent="0.3">
      <c r="A647">
        <f>'score estimates'!$A647</f>
        <v>644</v>
      </c>
      <c r="B647" t="str">
        <f>'score estimates'!$B647</f>
        <v>Scott Perunovich</v>
      </c>
      <c r="C647" t="str">
        <f>'score estimates'!$D647</f>
        <v>D</v>
      </c>
      <c r="D647" t="str">
        <f>'score estimates'!$C647</f>
        <v>STL</v>
      </c>
      <c r="E647" s="75">
        <f>'score estimates'!$F647</f>
        <v>4.2560975609756095</v>
      </c>
      <c r="F647" s="71">
        <f>'score estimates'!$G647</f>
        <v>747</v>
      </c>
      <c r="G647" s="71" t="s">
        <v>983</v>
      </c>
      <c r="H647" s="72" cm="1">
        <f t="array" aca="1" ref="H64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47" s="96">
        <f ca="1">IF(Table2[[#This Row],[Team]]="FA",0,Table2[[#This Row],[Pts/G]]*(1-Table2[[#This Row],[% Pos Overlap]]))</f>
        <v>4.2560975609756095</v>
      </c>
      <c r="J647" s="72" cm="1">
        <f t="array" aca="1" ref="J647" ca="1">(INDIRECT(ADDRESS((_xlfn.XMATCH(Table2[[#This Row],[Team]],Schedule!$A$1:$A$33)),5,1,1,"Sched Overlap")))</f>
        <v>0.65120065120065118</v>
      </c>
      <c r="K647" s="92" cm="1">
        <f t="array" aca="1" ref="K64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47" s="95">
        <f ca="1">IF(Table2[[#This Row],[Team]]="FA",0,Table2[[#This Row],[Pts/G]]*(Table2[[#This Row],[Games Playable]]/82))</f>
        <v>4.2560975609756095</v>
      </c>
      <c r="M647" s="95" cm="1">
        <f t="array" aca="1" ref="M647" ca="1">Table2[[#This Row],[Playable x Score]]*_xlfn.IFS(Table2[[#This Row],[Pos]]="D",assumptions!$B$15,Table2[[#This Row],[Pos]]="F", assumptions!$B$14,Table2[[#This Row],[Pos]]="G",assumptions!$B$16)</f>
        <v>5.3201219512195124</v>
      </c>
    </row>
    <row r="648" spans="1:13" x14ac:dyDescent="0.3">
      <c r="A648">
        <f>'score estimates'!$A648</f>
        <v>645</v>
      </c>
      <c r="B648" t="str">
        <f>'score estimates'!$B648</f>
        <v>Niko Mikkola</v>
      </c>
      <c r="C648" t="str">
        <f>'score estimates'!$D648</f>
        <v>D</v>
      </c>
      <c r="D648" t="str">
        <f>'score estimates'!$C648</f>
        <v>STL</v>
      </c>
      <c r="E648" s="75">
        <f>'score estimates'!$F648</f>
        <v>6.3414634146341466</v>
      </c>
      <c r="F648" s="71">
        <f>'score estimates'!$G648</f>
        <v>675</v>
      </c>
      <c r="G648" s="71" t="s">
        <v>983</v>
      </c>
      <c r="H648" s="72" cm="1">
        <f t="array" aca="1" ref="H64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48" s="96">
        <f ca="1">IF(Table2[[#This Row],[Team]]="FA",0,Table2[[#This Row],[Pts/G]]*(1-Table2[[#This Row],[% Pos Overlap]]))</f>
        <v>6.3414634146341466</v>
      </c>
      <c r="J648" s="72" cm="1">
        <f t="array" aca="1" ref="J648" ca="1">(INDIRECT(ADDRESS((_xlfn.XMATCH(Table2[[#This Row],[Team]],Schedule!$A$1:$A$33)),5,1,1,"Sched Overlap")))</f>
        <v>0.65120065120065118</v>
      </c>
      <c r="K648" s="92" cm="1">
        <f t="array" aca="1" ref="K64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48" s="95">
        <f ca="1">IF(Table2[[#This Row],[Team]]="FA",0,Table2[[#This Row],[Pts/G]]*(Table2[[#This Row],[Games Playable]]/82))</f>
        <v>6.3414634146341466</v>
      </c>
      <c r="M648" s="95" cm="1">
        <f t="array" aca="1" ref="M648" ca="1">Table2[[#This Row],[Playable x Score]]*_xlfn.IFS(Table2[[#This Row],[Pos]]="D",assumptions!$B$15,Table2[[#This Row],[Pos]]="F", assumptions!$B$14,Table2[[#This Row],[Pos]]="G",assumptions!$B$16)</f>
        <v>7.9268292682926838</v>
      </c>
    </row>
    <row r="649" spans="1:13" x14ac:dyDescent="0.3">
      <c r="A649">
        <f>'score estimates'!$A649</f>
        <v>646</v>
      </c>
      <c r="B649" t="str">
        <f>'score estimates'!$B649</f>
        <v>Kevin Bahl</v>
      </c>
      <c r="C649" t="str">
        <f>'score estimates'!$D649</f>
        <v>D</v>
      </c>
      <c r="D649" t="str">
        <f>'score estimates'!$C649</f>
        <v>NJ</v>
      </c>
      <c r="E649" s="75">
        <f>'score estimates'!$F649</f>
        <v>4.5487804878048781</v>
      </c>
      <c r="F649" s="71">
        <f>'score estimates'!$G649</f>
        <v>734</v>
      </c>
      <c r="G649" s="71" t="s">
        <v>983</v>
      </c>
      <c r="H649" s="72" cm="1">
        <f t="array" aca="1" ref="H64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49" s="96">
        <f ca="1">IF(Table2[[#This Row],[Team]]="FA",0,Table2[[#This Row],[Pts/G]]*(1-Table2[[#This Row],[% Pos Overlap]]))</f>
        <v>4.5487804878048781</v>
      </c>
      <c r="J649" s="72" cm="1">
        <f t="array" aca="1" ref="J649" ca="1">(INDIRECT(ADDRESS((_xlfn.XMATCH(Table2[[#This Row],[Team]],Schedule!$A$1:$A$33)),5,1,1,"Sched Overlap")))</f>
        <v>0.66259666259666272</v>
      </c>
      <c r="K649" s="92" cm="1">
        <f t="array" aca="1" ref="K64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49" s="95">
        <f ca="1">IF(Table2[[#This Row],[Team]]="FA",0,Table2[[#This Row],[Pts/G]]*(Table2[[#This Row],[Games Playable]]/82))</f>
        <v>4.5487804878048781</v>
      </c>
      <c r="M649" s="95" cm="1">
        <f t="array" aca="1" ref="M649" ca="1">Table2[[#This Row],[Playable x Score]]*_xlfn.IFS(Table2[[#This Row],[Pos]]="D",assumptions!$B$15,Table2[[#This Row],[Pos]]="F", assumptions!$B$14,Table2[[#This Row],[Pos]]="G",assumptions!$B$16)</f>
        <v>5.6859756097560972</v>
      </c>
    </row>
    <row r="650" spans="1:13" x14ac:dyDescent="0.3">
      <c r="A650">
        <f>'score estimates'!$A650</f>
        <v>647</v>
      </c>
      <c r="B650" t="str">
        <f>'score estimates'!$B650</f>
        <v>Jack Rathbone</v>
      </c>
      <c r="C650" t="str">
        <f>'score estimates'!$D650</f>
        <v>D</v>
      </c>
      <c r="D650" t="str">
        <f>'score estimates'!$C650</f>
        <v>VAN</v>
      </c>
      <c r="E650" s="75">
        <f>'score estimates'!$F650</f>
        <v>4.7195121951219514</v>
      </c>
      <c r="F650" s="71">
        <f>'score estimates'!$G650</f>
        <v>729</v>
      </c>
      <c r="G650" s="71" t="s">
        <v>983</v>
      </c>
      <c r="H650" s="72" cm="1">
        <f t="array" aca="1" ref="H65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50" s="96">
        <f ca="1">IF(Table2[[#This Row],[Team]]="FA",0,Table2[[#This Row],[Pts/G]]*(1-Table2[[#This Row],[% Pos Overlap]]))</f>
        <v>4.7195121951219514</v>
      </c>
      <c r="J650" s="72" cm="1">
        <f t="array" aca="1" ref="J650" ca="1">(INDIRECT(ADDRESS((_xlfn.XMATCH(Table2[[#This Row],[Team]],Schedule!$A$1:$A$33)),5,1,1,"Sched Overlap")))</f>
        <v>0.62922262922262917</v>
      </c>
      <c r="K650" s="92" cm="1">
        <f t="array" aca="1" ref="K65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50" s="95">
        <f ca="1">IF(Table2[[#This Row],[Team]]="FA",0,Table2[[#This Row],[Pts/G]]*(Table2[[#This Row],[Games Playable]]/82))</f>
        <v>4.7195121951219514</v>
      </c>
      <c r="M650" s="95" cm="1">
        <f t="array" aca="1" ref="M650" ca="1">Table2[[#This Row],[Playable x Score]]*_xlfn.IFS(Table2[[#This Row],[Pos]]="D",assumptions!$B$15,Table2[[#This Row],[Pos]]="F", assumptions!$B$14,Table2[[#This Row],[Pos]]="G",assumptions!$B$16)</f>
        <v>5.899390243902439</v>
      </c>
    </row>
    <row r="651" spans="1:13" x14ac:dyDescent="0.3">
      <c r="A651">
        <f>'score estimates'!$A651</f>
        <v>648</v>
      </c>
      <c r="B651" t="str">
        <f>'score estimates'!$B651</f>
        <v>Radim Zohorna</v>
      </c>
      <c r="C651" t="str">
        <f>'score estimates'!$D651</f>
        <v>F</v>
      </c>
      <c r="D651" t="str">
        <f>'score estimates'!$C651</f>
        <v>PIT</v>
      </c>
      <c r="E651" s="75">
        <f>'score estimates'!$F651</f>
        <v>6.1219512195121952</v>
      </c>
      <c r="F651" s="71">
        <f>'score estimates'!$G651</f>
        <v>680</v>
      </c>
      <c r="G651" s="71" t="s">
        <v>983</v>
      </c>
      <c r="H651" s="72" cm="1">
        <f t="array" aca="1" ref="H65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51" s="96">
        <f ca="1">IF(Table2[[#This Row],[Team]]="FA",0,Table2[[#This Row],[Pts/G]]*(1-Table2[[#This Row],[% Pos Overlap]]))</f>
        <v>6.1219512195121952</v>
      </c>
      <c r="J651" s="72" cm="1">
        <f t="array" aca="1" ref="J651" ca="1">(INDIRECT(ADDRESS((_xlfn.XMATCH(Table2[[#This Row],[Team]],Schedule!$A$1:$A$33)),5,1,1,"Sched Overlap")))</f>
        <v>0.63492063492063477</v>
      </c>
      <c r="K651" s="92" cm="1">
        <f t="array" aca="1" ref="K65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51" s="95">
        <f ca="1">IF(Table2[[#This Row],[Team]]="FA",0,Table2[[#This Row],[Pts/G]]*(Table2[[#This Row],[Games Playable]]/82))</f>
        <v>6.1219512195121952</v>
      </c>
      <c r="M651" s="95" cm="1">
        <f t="array" aca="1" ref="M651" ca="1">Table2[[#This Row],[Playable x Score]]*_xlfn.IFS(Table2[[#This Row],[Pos]]="D",assumptions!$B$15,Table2[[#This Row],[Pos]]="F", assumptions!$B$14,Table2[[#This Row],[Pos]]="G",assumptions!$B$16)</f>
        <v>6.1219512195121952</v>
      </c>
    </row>
    <row r="652" spans="1:13" x14ac:dyDescent="0.3">
      <c r="A652">
        <f>'score estimates'!$A652</f>
        <v>649</v>
      </c>
      <c r="B652" t="str">
        <f>'score estimates'!$B652</f>
        <v>Dakota Joshua</v>
      </c>
      <c r="C652" t="str">
        <f>'score estimates'!$D652</f>
        <v>F</v>
      </c>
      <c r="D652" t="str">
        <f>'score estimates'!$C652</f>
        <v>VAN</v>
      </c>
      <c r="E652" s="75">
        <f>'score estimates'!$F652</f>
        <v>5.5731707317073171</v>
      </c>
      <c r="F652" s="71">
        <f>'score estimates'!$G652</f>
        <v>703</v>
      </c>
      <c r="G652" s="71" t="s">
        <v>983</v>
      </c>
      <c r="H652" s="72" cm="1">
        <f t="array" aca="1" ref="H65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52" s="96">
        <f ca="1">IF(Table2[[#This Row],[Team]]="FA",0,Table2[[#This Row],[Pts/G]]*(1-Table2[[#This Row],[% Pos Overlap]]))</f>
        <v>5.5731707317073171</v>
      </c>
      <c r="J652" s="72" cm="1">
        <f t="array" aca="1" ref="J652" ca="1">(INDIRECT(ADDRESS((_xlfn.XMATCH(Table2[[#This Row],[Team]],Schedule!$A$1:$A$33)),5,1,1,"Sched Overlap")))</f>
        <v>0.62922262922262917</v>
      </c>
      <c r="K652" s="92" cm="1">
        <f t="array" aca="1" ref="K65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52" s="95">
        <f ca="1">IF(Table2[[#This Row],[Team]]="FA",0,Table2[[#This Row],[Pts/G]]*(Table2[[#This Row],[Games Playable]]/82))</f>
        <v>5.5731707317073171</v>
      </c>
      <c r="M652" s="95" cm="1">
        <f t="array" aca="1" ref="M652" ca="1">Table2[[#This Row],[Playable x Score]]*_xlfn.IFS(Table2[[#This Row],[Pos]]="D",assumptions!$B$15,Table2[[#This Row],[Pos]]="F", assumptions!$B$14,Table2[[#This Row],[Pos]]="G",assumptions!$B$16)</f>
        <v>5.5731707317073171</v>
      </c>
    </row>
    <row r="653" spans="1:13" x14ac:dyDescent="0.3">
      <c r="A653">
        <f>'score estimates'!$A653</f>
        <v>650</v>
      </c>
      <c r="B653" t="str">
        <f>'score estimates'!$B653</f>
        <v>Connor Clifton</v>
      </c>
      <c r="C653" t="str">
        <f>'score estimates'!$D653</f>
        <v>D</v>
      </c>
      <c r="D653" t="str">
        <f>'score estimates'!$C653</f>
        <v>BOS</v>
      </c>
      <c r="E653" s="75">
        <f>'score estimates'!$F653</f>
        <v>8.9146341463414629</v>
      </c>
      <c r="F653" s="71">
        <f>'score estimates'!$G653</f>
        <v>593</v>
      </c>
      <c r="G653" s="71" t="s">
        <v>983</v>
      </c>
      <c r="H653" s="72" cm="1">
        <f t="array" aca="1" ref="H65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53" s="96">
        <f ca="1">IF(Table2[[#This Row],[Team]]="FA",0,Table2[[#This Row],[Pts/G]]*(1-Table2[[#This Row],[% Pos Overlap]]))</f>
        <v>8.9146341463414629</v>
      </c>
      <c r="J653" s="72" cm="1">
        <f t="array" aca="1" ref="J653" ca="1">(INDIRECT(ADDRESS((_xlfn.XMATCH(Table2[[#This Row],[Team]],Schedule!$A$1:$A$33)),5,1,1,"Sched Overlap")))</f>
        <v>0.67236467236467234</v>
      </c>
      <c r="K653" s="92" cm="1">
        <f t="array" aca="1" ref="K65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53" s="95">
        <f ca="1">IF(Table2[[#This Row],[Team]]="FA",0,Table2[[#This Row],[Pts/G]]*(Table2[[#This Row],[Games Playable]]/82))</f>
        <v>8.9146341463414629</v>
      </c>
      <c r="M653" s="95" cm="1">
        <f t="array" aca="1" ref="M653" ca="1">Table2[[#This Row],[Playable x Score]]*_xlfn.IFS(Table2[[#This Row],[Pos]]="D",assumptions!$B$15,Table2[[#This Row],[Pos]]="F", assumptions!$B$14,Table2[[#This Row],[Pos]]="G",assumptions!$B$16)</f>
        <v>11.143292682926829</v>
      </c>
    </row>
    <row r="654" spans="1:13" x14ac:dyDescent="0.3">
      <c r="A654">
        <f>'score estimates'!$A654</f>
        <v>651</v>
      </c>
      <c r="B654" t="str">
        <f>'score estimates'!$B654</f>
        <v>Michael Pezzetta</v>
      </c>
      <c r="C654" t="str">
        <f>'score estimates'!$D654</f>
        <v>F</v>
      </c>
      <c r="D654" t="str">
        <f>'score estimates'!$C654</f>
        <v>MON</v>
      </c>
      <c r="E654" s="75">
        <f>'score estimates'!$F654</f>
        <v>6</v>
      </c>
      <c r="F654" s="71">
        <f>'score estimates'!$G654</f>
        <v>683</v>
      </c>
      <c r="G654" s="71" t="s">
        <v>983</v>
      </c>
      <c r="H654" s="72" cm="1">
        <f t="array" aca="1" ref="H65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54" s="96">
        <f ca="1">IF(Table2[[#This Row],[Team]]="FA",0,Table2[[#This Row],[Pts/G]]*(1-Table2[[#This Row],[% Pos Overlap]]))</f>
        <v>6</v>
      </c>
      <c r="J654" s="72" cm="1">
        <f t="array" aca="1" ref="J654" ca="1">(INDIRECT(ADDRESS((_xlfn.XMATCH(Table2[[#This Row],[Team]],Schedule!$A$1:$A$33)),5,1,1,"Sched Overlap")))</f>
        <v>0.66666666666666685</v>
      </c>
      <c r="K654" s="92" cm="1">
        <f t="array" aca="1" ref="K65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54" s="95">
        <f ca="1">IF(Table2[[#This Row],[Team]]="FA",0,Table2[[#This Row],[Pts/G]]*(Table2[[#This Row],[Games Playable]]/82))</f>
        <v>6</v>
      </c>
      <c r="M654" s="95" cm="1">
        <f t="array" aca="1" ref="M654" ca="1">Table2[[#This Row],[Playable x Score]]*_xlfn.IFS(Table2[[#This Row],[Pos]]="D",assumptions!$B$15,Table2[[#This Row],[Pos]]="F", assumptions!$B$14,Table2[[#This Row],[Pos]]="G",assumptions!$B$16)</f>
        <v>6</v>
      </c>
    </row>
    <row r="655" spans="1:13" x14ac:dyDescent="0.3">
      <c r="A655">
        <f>'score estimates'!$A655</f>
        <v>652</v>
      </c>
      <c r="B655" t="str">
        <f>'score estimates'!$B655</f>
        <v>Mason Shaw</v>
      </c>
      <c r="C655" t="str">
        <f>'score estimates'!$D655</f>
        <v>F</v>
      </c>
      <c r="D655" t="str">
        <f>'score estimates'!$C655</f>
        <v>MIN</v>
      </c>
      <c r="E655" s="75">
        <f>'score estimates'!$F655</f>
        <v>4.6585365853658534</v>
      </c>
      <c r="F655" s="71">
        <f>'score estimates'!$G655</f>
        <v>731</v>
      </c>
      <c r="G655" s="71" t="s">
        <v>983</v>
      </c>
      <c r="H655" s="72" cm="1">
        <f t="array" aca="1" ref="H65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55" s="96">
        <f ca="1">IF(Table2[[#This Row],[Team]]="FA",0,Table2[[#This Row],[Pts/G]]*(1-Table2[[#This Row],[% Pos Overlap]]))</f>
        <v>4.6585365853658534</v>
      </c>
      <c r="J655" s="72" cm="1">
        <f t="array" aca="1" ref="J655" ca="1">(INDIRECT(ADDRESS((_xlfn.XMATCH(Table2[[#This Row],[Team]],Schedule!$A$1:$A$33)),5,1,1,"Sched Overlap")))</f>
        <v>0.62108262108262113</v>
      </c>
      <c r="K655" s="92" cm="1">
        <f t="array" aca="1" ref="K65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55" s="95">
        <f ca="1">IF(Table2[[#This Row],[Team]]="FA",0,Table2[[#This Row],[Pts/G]]*(Table2[[#This Row],[Games Playable]]/82))</f>
        <v>4.6585365853658534</v>
      </c>
      <c r="M655" s="95" cm="1">
        <f t="array" aca="1" ref="M655" ca="1">Table2[[#This Row],[Playable x Score]]*_xlfn.IFS(Table2[[#This Row],[Pos]]="D",assumptions!$B$15,Table2[[#This Row],[Pos]]="F", assumptions!$B$14,Table2[[#This Row],[Pos]]="G",assumptions!$B$16)</f>
        <v>4.6585365853658534</v>
      </c>
    </row>
    <row r="656" spans="1:13" x14ac:dyDescent="0.3">
      <c r="A656">
        <f>'score estimates'!$A656</f>
        <v>653</v>
      </c>
      <c r="B656" t="str">
        <f>'score estimates'!$B656</f>
        <v>Kevin Rooney</v>
      </c>
      <c r="C656" t="str">
        <f>'score estimates'!$D656</f>
        <v>F</v>
      </c>
      <c r="D656" t="str">
        <f>'score estimates'!$C656</f>
        <v>CGY</v>
      </c>
      <c r="E656" s="75">
        <f>'score estimates'!$F656</f>
        <v>6.7560975609756095</v>
      </c>
      <c r="F656" s="71">
        <f>'score estimates'!$G656</f>
        <v>656</v>
      </c>
      <c r="G656" s="71" t="s">
        <v>983</v>
      </c>
      <c r="H656" s="72" cm="1">
        <f t="array" aca="1" ref="H65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56" s="96">
        <f ca="1">IF(Table2[[#This Row],[Team]]="FA",0,Table2[[#This Row],[Pts/G]]*(1-Table2[[#This Row],[% Pos Overlap]]))</f>
        <v>6.7560975609756095</v>
      </c>
      <c r="J656" s="72" cm="1">
        <f t="array" aca="1" ref="J656" ca="1">(INDIRECT(ADDRESS((_xlfn.XMATCH(Table2[[#This Row],[Team]],Schedule!$A$1:$A$33)),5,1,1,"Sched Overlap")))</f>
        <v>0.63003663003663002</v>
      </c>
      <c r="K656" s="92" cm="1">
        <f t="array" aca="1" ref="K65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56" s="95">
        <f ca="1">IF(Table2[[#This Row],[Team]]="FA",0,Table2[[#This Row],[Pts/G]]*(Table2[[#This Row],[Games Playable]]/82))</f>
        <v>6.7560975609756095</v>
      </c>
      <c r="M656" s="95" cm="1">
        <f t="array" aca="1" ref="M656" ca="1">Table2[[#This Row],[Playable x Score]]*_xlfn.IFS(Table2[[#This Row],[Pos]]="D",assumptions!$B$15,Table2[[#This Row],[Pos]]="F", assumptions!$B$14,Table2[[#This Row],[Pos]]="G",assumptions!$B$16)</f>
        <v>6.7560975609756095</v>
      </c>
    </row>
    <row r="657" spans="1:13" x14ac:dyDescent="0.3">
      <c r="A657">
        <f>'score estimates'!$A657</f>
        <v>654</v>
      </c>
      <c r="B657" t="str">
        <f>'score estimates'!$B657</f>
        <v>Juuso Valimaki</v>
      </c>
      <c r="C657" t="str">
        <f>'score estimates'!$D657</f>
        <v>D</v>
      </c>
      <c r="D657" t="str">
        <f>'score estimates'!$C657</f>
        <v>CGY</v>
      </c>
      <c r="E657" s="75">
        <f>'score estimates'!$F657</f>
        <v>5.8292682926829267</v>
      </c>
      <c r="F657" s="71">
        <f>'score estimates'!$G657</f>
        <v>692</v>
      </c>
      <c r="G657" s="71" t="s">
        <v>983</v>
      </c>
      <c r="H657" s="72" cm="1">
        <f t="array" aca="1" ref="H65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57" s="96">
        <f ca="1">IF(Table2[[#This Row],[Team]]="FA",0,Table2[[#This Row],[Pts/G]]*(1-Table2[[#This Row],[% Pos Overlap]]))</f>
        <v>5.8292682926829267</v>
      </c>
      <c r="J657" s="72" cm="1">
        <f t="array" aca="1" ref="J657" ca="1">(INDIRECT(ADDRESS((_xlfn.XMATCH(Table2[[#This Row],[Team]],Schedule!$A$1:$A$33)),5,1,1,"Sched Overlap")))</f>
        <v>0.63003663003663002</v>
      </c>
      <c r="K657" s="92" cm="1">
        <f t="array" aca="1" ref="K65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57" s="95">
        <f ca="1">IF(Table2[[#This Row],[Team]]="FA",0,Table2[[#This Row],[Pts/G]]*(Table2[[#This Row],[Games Playable]]/82))</f>
        <v>5.8292682926829267</v>
      </c>
      <c r="M657" s="95" cm="1">
        <f t="array" aca="1" ref="M657" ca="1">Table2[[#This Row],[Playable x Score]]*_xlfn.IFS(Table2[[#This Row],[Pos]]="D",assumptions!$B$15,Table2[[#This Row],[Pos]]="F", assumptions!$B$14,Table2[[#This Row],[Pos]]="G",assumptions!$B$16)</f>
        <v>7.2865853658536581</v>
      </c>
    </row>
    <row r="658" spans="1:13" x14ac:dyDescent="0.3">
      <c r="A658">
        <f>'score estimates'!$A658</f>
        <v>655</v>
      </c>
      <c r="B658" t="str">
        <f>'score estimates'!$B658</f>
        <v>Cody Glass</v>
      </c>
      <c r="C658" t="str">
        <f>'score estimates'!$D658</f>
        <v>F</v>
      </c>
      <c r="D658" t="str">
        <f>'score estimates'!$C658</f>
        <v>NSH</v>
      </c>
      <c r="E658" s="75">
        <f>'score estimates'!$F658</f>
        <v>3.7317073170731709</v>
      </c>
      <c r="F658" s="71">
        <f>'score estimates'!$G658</f>
        <v>767</v>
      </c>
      <c r="G658" s="71" t="s">
        <v>983</v>
      </c>
      <c r="H658" s="72" cm="1">
        <f t="array" aca="1" ref="H65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58" s="96">
        <f ca="1">IF(Table2[[#This Row],[Team]]="FA",0,Table2[[#This Row],[Pts/G]]*(1-Table2[[#This Row],[% Pos Overlap]]))</f>
        <v>3.7317073170731709</v>
      </c>
      <c r="J658" s="72" cm="1">
        <f t="array" aca="1" ref="J658" ca="1">(INDIRECT(ADDRESS((_xlfn.XMATCH(Table2[[#This Row],[Team]],Schedule!$A$1:$A$33)),5,1,1,"Sched Overlap")))</f>
        <v>0.67806267806267806</v>
      </c>
      <c r="K658" s="92" cm="1">
        <f t="array" aca="1" ref="K65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58" s="95">
        <f ca="1">IF(Table2[[#This Row],[Team]]="FA",0,Table2[[#This Row],[Pts/G]]*(Table2[[#This Row],[Games Playable]]/82))</f>
        <v>3.7317073170731709</v>
      </c>
      <c r="M658" s="95" cm="1">
        <f t="array" aca="1" ref="M658" ca="1">Table2[[#This Row],[Playable x Score]]*_xlfn.IFS(Table2[[#This Row],[Pos]]="D",assumptions!$B$15,Table2[[#This Row],[Pos]]="F", assumptions!$B$14,Table2[[#This Row],[Pos]]="G",assumptions!$B$16)</f>
        <v>3.7317073170731709</v>
      </c>
    </row>
    <row r="659" spans="1:13" x14ac:dyDescent="0.3">
      <c r="A659">
        <f>'score estimates'!$A659</f>
        <v>656</v>
      </c>
      <c r="B659" t="str">
        <f>'score estimates'!$B659</f>
        <v>Anton Blidh</v>
      </c>
      <c r="C659" t="str">
        <f>'score estimates'!$D659</f>
        <v>F</v>
      </c>
      <c r="D659" t="str">
        <f>'score estimates'!$C659</f>
        <v>COL</v>
      </c>
      <c r="E659" s="75">
        <f>'score estimates'!$F659</f>
        <v>5.975609756097561</v>
      </c>
      <c r="F659" s="71">
        <f>'score estimates'!$G659</f>
        <v>687</v>
      </c>
      <c r="G659" s="71" t="s">
        <v>983</v>
      </c>
      <c r="H659" s="72" cm="1">
        <f t="array" aca="1" ref="H65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59" s="96">
        <f ca="1">IF(Table2[[#This Row],[Team]]="FA",0,Table2[[#This Row],[Pts/G]]*(1-Table2[[#This Row],[% Pos Overlap]]))</f>
        <v>5.975609756097561</v>
      </c>
      <c r="J659" s="72" cm="1">
        <f t="array" aca="1" ref="J659" ca="1">(INDIRECT(ADDRESS((_xlfn.XMATCH(Table2[[#This Row],[Team]],Schedule!$A$1:$A$33)),5,1,1,"Sched Overlap")))</f>
        <v>0.61131461131461151</v>
      </c>
      <c r="K659" s="92" cm="1">
        <f t="array" aca="1" ref="K65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59" s="95">
        <f ca="1">IF(Table2[[#This Row],[Team]]="FA",0,Table2[[#This Row],[Pts/G]]*(Table2[[#This Row],[Games Playable]]/82))</f>
        <v>5.975609756097561</v>
      </c>
      <c r="M659" s="95" cm="1">
        <f t="array" aca="1" ref="M659" ca="1">Table2[[#This Row],[Playable x Score]]*_xlfn.IFS(Table2[[#This Row],[Pos]]="D",assumptions!$B$15,Table2[[#This Row],[Pos]]="F", assumptions!$B$14,Table2[[#This Row],[Pos]]="G",assumptions!$B$16)</f>
        <v>5.975609756097561</v>
      </c>
    </row>
    <row r="660" spans="1:13" x14ac:dyDescent="0.3">
      <c r="A660">
        <f>'score estimates'!$A660</f>
        <v>657</v>
      </c>
      <c r="B660" t="str">
        <f>'score estimates'!$B660</f>
        <v>Carter Rowney</v>
      </c>
      <c r="C660" t="str">
        <f>'score estimates'!$D660</f>
        <v>F</v>
      </c>
      <c r="D660" t="str">
        <f>'score estimates'!$C660</f>
        <v>FA</v>
      </c>
      <c r="E660" s="75">
        <f>'score estimates'!$F660</f>
        <v>4.0853658536585362</v>
      </c>
      <c r="F660" s="71">
        <f>'score estimates'!$G660</f>
        <v>756</v>
      </c>
      <c r="G660" s="71" t="s">
        <v>983</v>
      </c>
      <c r="H660" s="72" t="e" cm="1">
        <f t="array" aca="1" ref="H660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660" s="96">
        <f>IF(Table2[[#This Row],[Team]]="FA",0,Table2[[#This Row],[Pts/G]]*(1-Table2[[#This Row],[% Pos Overlap]]))</f>
        <v>0</v>
      </c>
      <c r="J660" s="72" t="e" cm="1">
        <f t="array" aca="1" ref="J660" ca="1">(INDIRECT(ADDRESS((_xlfn.XMATCH(Table2[[#This Row],[Team]],Schedule!$A$1:$A$33)),5,1,1,"Sched Overlap")))</f>
        <v>#N/A</v>
      </c>
      <c r="K660" s="92" t="e" cm="1">
        <f t="array" aca="1" ref="K660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660" s="95">
        <f>IF(Table2[[#This Row],[Team]]="FA",0,Table2[[#This Row],[Pts/G]]*(Table2[[#This Row],[Games Playable]]/82))</f>
        <v>0</v>
      </c>
      <c r="M660" s="95" cm="1">
        <f t="array" ref="M660">Table2[[#This Row],[Playable x Score]]*_xlfn.IFS(Table2[[#This Row],[Pos]]="D",assumptions!$B$15,Table2[[#This Row],[Pos]]="F", assumptions!$B$14,Table2[[#This Row],[Pos]]="G",assumptions!$B$16)</f>
        <v>0</v>
      </c>
    </row>
    <row r="661" spans="1:13" x14ac:dyDescent="0.3">
      <c r="A661">
        <f>'score estimates'!$A661</f>
        <v>658</v>
      </c>
      <c r="B661" t="str">
        <f>'score estimates'!$B661</f>
        <v>Nathan Walker</v>
      </c>
      <c r="C661" t="str">
        <f>'score estimates'!$D661</f>
        <v>F</v>
      </c>
      <c r="D661" t="str">
        <f>'score estimates'!$C661</f>
        <v>STL</v>
      </c>
      <c r="E661" s="75">
        <f>'score estimates'!$F661</f>
        <v>5.024390243902439</v>
      </c>
      <c r="F661" s="71">
        <f>'score estimates'!$G661</f>
        <v>719</v>
      </c>
      <c r="G661" s="71" t="s">
        <v>983</v>
      </c>
      <c r="H661" s="72" cm="1">
        <f t="array" aca="1" ref="H66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61" s="96">
        <f ca="1">IF(Table2[[#This Row],[Team]]="FA",0,Table2[[#This Row],[Pts/G]]*(1-Table2[[#This Row],[% Pos Overlap]]))</f>
        <v>5.024390243902439</v>
      </c>
      <c r="J661" s="72" cm="1">
        <f t="array" aca="1" ref="J661" ca="1">(INDIRECT(ADDRESS((_xlfn.XMATCH(Table2[[#This Row],[Team]],Schedule!$A$1:$A$33)),5,1,1,"Sched Overlap")))</f>
        <v>0.65120065120065118</v>
      </c>
      <c r="K661" s="92" cm="1">
        <f t="array" aca="1" ref="K66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61" s="95">
        <f ca="1">IF(Table2[[#This Row],[Team]]="FA",0,Table2[[#This Row],[Pts/G]]*(Table2[[#This Row],[Games Playable]]/82))</f>
        <v>5.024390243902439</v>
      </c>
      <c r="M661" s="95" cm="1">
        <f t="array" aca="1" ref="M661" ca="1">Table2[[#This Row],[Playable x Score]]*_xlfn.IFS(Table2[[#This Row],[Pos]]="D",assumptions!$B$15,Table2[[#This Row],[Pos]]="F", assumptions!$B$14,Table2[[#This Row],[Pos]]="G",assumptions!$B$16)</f>
        <v>5.024390243902439</v>
      </c>
    </row>
    <row r="662" spans="1:13" x14ac:dyDescent="0.3">
      <c r="A662">
        <f>'score estimates'!$A662</f>
        <v>659</v>
      </c>
      <c r="B662" t="str">
        <f>'score estimates'!$B662</f>
        <v>Ben Hutton</v>
      </c>
      <c r="C662" t="str">
        <f>'score estimates'!$D662</f>
        <v>D</v>
      </c>
      <c r="D662" t="str">
        <f>'score estimates'!$C662</f>
        <v>VGK</v>
      </c>
      <c r="E662" s="75">
        <f>'score estimates'!$F662</f>
        <v>6.7439024390243905</v>
      </c>
      <c r="F662" s="71">
        <f>'score estimates'!$G662</f>
        <v>657</v>
      </c>
      <c r="G662" s="71" t="s">
        <v>983</v>
      </c>
      <c r="H662" s="72" cm="1">
        <f t="array" aca="1" ref="H66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62" s="96">
        <f ca="1">IF(Table2[[#This Row],[Team]]="FA",0,Table2[[#This Row],[Pts/G]]*(1-Table2[[#This Row],[% Pos Overlap]]))</f>
        <v>6.7439024390243905</v>
      </c>
      <c r="J662" s="72" cm="1">
        <f t="array" aca="1" ref="J662" ca="1">(INDIRECT(ADDRESS((_xlfn.XMATCH(Table2[[#This Row],[Team]],Schedule!$A$1:$A$33)),5,1,1,"Sched Overlap")))</f>
        <v>0.66992266992266991</v>
      </c>
      <c r="K662" s="92" cm="1">
        <f t="array" aca="1" ref="K66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62" s="95">
        <f ca="1">IF(Table2[[#This Row],[Team]]="FA",0,Table2[[#This Row],[Pts/G]]*(Table2[[#This Row],[Games Playable]]/82))</f>
        <v>6.7439024390243905</v>
      </c>
      <c r="M662" s="95" cm="1">
        <f t="array" aca="1" ref="M662" ca="1">Table2[[#This Row],[Playable x Score]]*_xlfn.IFS(Table2[[#This Row],[Pos]]="D",assumptions!$B$15,Table2[[#This Row],[Pos]]="F", assumptions!$B$14,Table2[[#This Row],[Pos]]="G",assumptions!$B$16)</f>
        <v>8.4298780487804876</v>
      </c>
    </row>
    <row r="663" spans="1:13" x14ac:dyDescent="0.3">
      <c r="A663">
        <f>'score estimates'!$A663</f>
        <v>660</v>
      </c>
      <c r="B663" t="str">
        <f>'score estimates'!$B663</f>
        <v>Josh Brown</v>
      </c>
      <c r="C663" t="str">
        <f>'score estimates'!$D663</f>
        <v>D</v>
      </c>
      <c r="D663" t="str">
        <f>'score estimates'!$C663</f>
        <v>ARI</v>
      </c>
      <c r="E663" s="75">
        <f>'score estimates'!$F663</f>
        <v>7.0975609756097562</v>
      </c>
      <c r="F663" s="71">
        <f>'score estimates'!$G663</f>
        <v>641</v>
      </c>
      <c r="G663" s="71" t="s">
        <v>983</v>
      </c>
      <c r="H663" s="72" cm="1">
        <f t="array" aca="1" ref="H66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63" s="96">
        <f ca="1">IF(Table2[[#This Row],[Team]]="FA",0,Table2[[#This Row],[Pts/G]]*(1-Table2[[#This Row],[% Pos Overlap]]))</f>
        <v>7.0975609756097562</v>
      </c>
      <c r="J663" s="72" cm="1">
        <f t="array" aca="1" ref="J663" ca="1">(INDIRECT(ADDRESS((_xlfn.XMATCH(Table2[[#This Row],[Team]],Schedule!$A$1:$A$33)),5,1,1,"Sched Overlap")))</f>
        <v>0.63247863247863279</v>
      </c>
      <c r="K663" s="92" cm="1">
        <f t="array" aca="1" ref="K66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63" s="95">
        <f ca="1">IF(Table2[[#This Row],[Team]]="FA",0,Table2[[#This Row],[Pts/G]]*(Table2[[#This Row],[Games Playable]]/82))</f>
        <v>7.0975609756097562</v>
      </c>
      <c r="M663" s="95" cm="1">
        <f t="array" aca="1" ref="M663" ca="1">Table2[[#This Row],[Playable x Score]]*_xlfn.IFS(Table2[[#This Row],[Pos]]="D",assumptions!$B$15,Table2[[#This Row],[Pos]]="F", assumptions!$B$14,Table2[[#This Row],[Pos]]="G",assumptions!$B$16)</f>
        <v>8.8719512195121943</v>
      </c>
    </row>
    <row r="664" spans="1:13" x14ac:dyDescent="0.3">
      <c r="A664">
        <f>'score estimates'!$A664</f>
        <v>661</v>
      </c>
      <c r="B664" t="str">
        <f>'score estimates'!$B664</f>
        <v>Travis Dermott</v>
      </c>
      <c r="C664" t="str">
        <f>'score estimates'!$D664</f>
        <v>D</v>
      </c>
      <c r="D664" t="str">
        <f>'score estimates'!$C664</f>
        <v>VAN</v>
      </c>
      <c r="E664" s="75">
        <f>'score estimates'!$F664</f>
        <v>7.2073170731707314</v>
      </c>
      <c r="F664" s="71">
        <f>'score estimates'!$G664</f>
        <v>639</v>
      </c>
      <c r="G664" s="71" t="s">
        <v>983</v>
      </c>
      <c r="H664" s="72" cm="1">
        <f t="array" aca="1" ref="H66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64" s="96">
        <f ca="1">IF(Table2[[#This Row],[Team]]="FA",0,Table2[[#This Row],[Pts/G]]*(1-Table2[[#This Row],[% Pos Overlap]]))</f>
        <v>7.2073170731707314</v>
      </c>
      <c r="J664" s="72" cm="1">
        <f t="array" aca="1" ref="J664" ca="1">(INDIRECT(ADDRESS((_xlfn.XMATCH(Table2[[#This Row],[Team]],Schedule!$A$1:$A$33)),5,1,1,"Sched Overlap")))</f>
        <v>0.62922262922262917</v>
      </c>
      <c r="K664" s="92" cm="1">
        <f t="array" aca="1" ref="K66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64" s="95">
        <f ca="1">IF(Table2[[#This Row],[Team]]="FA",0,Table2[[#This Row],[Pts/G]]*(Table2[[#This Row],[Games Playable]]/82))</f>
        <v>7.2073170731707314</v>
      </c>
      <c r="M664" s="95" cm="1">
        <f t="array" aca="1" ref="M664" ca="1">Table2[[#This Row],[Playable x Score]]*_xlfn.IFS(Table2[[#This Row],[Pos]]="D",assumptions!$B$15,Table2[[#This Row],[Pos]]="F", assumptions!$B$14,Table2[[#This Row],[Pos]]="G",assumptions!$B$16)</f>
        <v>9.0091463414634134</v>
      </c>
    </row>
    <row r="665" spans="1:13" x14ac:dyDescent="0.3">
      <c r="A665">
        <f>'score estimates'!$A665</f>
        <v>662</v>
      </c>
      <c r="B665" t="str">
        <f>'score estimates'!$B665</f>
        <v>Laurent Dauphin</v>
      </c>
      <c r="C665" t="str">
        <f>'score estimates'!$D665</f>
        <v>F</v>
      </c>
      <c r="D665" t="str">
        <f>'score estimates'!$C665</f>
        <v>ARI</v>
      </c>
      <c r="E665" s="75">
        <f>'score estimates'!$F665</f>
        <v>3.7560975609756095</v>
      </c>
      <c r="F665" s="71">
        <f>'score estimates'!$G665</f>
        <v>765</v>
      </c>
      <c r="G665" s="71" t="s">
        <v>983</v>
      </c>
      <c r="H665" s="72" cm="1">
        <f t="array" aca="1" ref="H66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65" s="96">
        <f ca="1">IF(Table2[[#This Row],[Team]]="FA",0,Table2[[#This Row],[Pts/G]]*(1-Table2[[#This Row],[% Pos Overlap]]))</f>
        <v>3.7560975609756095</v>
      </c>
      <c r="J665" s="72" cm="1">
        <f t="array" aca="1" ref="J665" ca="1">(INDIRECT(ADDRESS((_xlfn.XMATCH(Table2[[#This Row],[Team]],Schedule!$A$1:$A$33)),5,1,1,"Sched Overlap")))</f>
        <v>0.63247863247863279</v>
      </c>
      <c r="K665" s="92" cm="1">
        <f t="array" aca="1" ref="K66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65" s="95">
        <f ca="1">IF(Table2[[#This Row],[Team]]="FA",0,Table2[[#This Row],[Pts/G]]*(Table2[[#This Row],[Games Playable]]/82))</f>
        <v>3.7560975609756095</v>
      </c>
      <c r="M665" s="95" cm="1">
        <f t="array" aca="1" ref="M665" ca="1">Table2[[#This Row],[Playable x Score]]*_xlfn.IFS(Table2[[#This Row],[Pos]]="D",assumptions!$B$15,Table2[[#This Row],[Pos]]="F", assumptions!$B$14,Table2[[#This Row],[Pos]]="G",assumptions!$B$16)</f>
        <v>3.7560975609756095</v>
      </c>
    </row>
    <row r="666" spans="1:13" x14ac:dyDescent="0.3">
      <c r="A666">
        <f>'score estimates'!$A666</f>
        <v>663</v>
      </c>
      <c r="B666" t="str">
        <f>'score estimates'!$B666</f>
        <v>Ryan Carpenter</v>
      </c>
      <c r="C666" t="str">
        <f>'score estimates'!$D666</f>
        <v>F</v>
      </c>
      <c r="D666" t="str">
        <f>'score estimates'!$C666</f>
        <v>NYR</v>
      </c>
      <c r="E666" s="75">
        <f>'score estimates'!$F666</f>
        <v>6.3658536585365857</v>
      </c>
      <c r="F666" s="71">
        <f>'score estimates'!$G666</f>
        <v>674</v>
      </c>
      <c r="G666" s="71" t="s">
        <v>983</v>
      </c>
      <c r="H666" s="72" cm="1">
        <f t="array" aca="1" ref="H66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66" s="96">
        <f ca="1">IF(Table2[[#This Row],[Team]]="FA",0,Table2[[#This Row],[Pts/G]]*(1-Table2[[#This Row],[% Pos Overlap]]))</f>
        <v>6.3658536585365857</v>
      </c>
      <c r="J666" s="72" cm="1">
        <f t="array" aca="1" ref="J666" ca="1">(INDIRECT(ADDRESS((_xlfn.XMATCH(Table2[[#This Row],[Team]],Schedule!$A$1:$A$33)),5,1,1,"Sched Overlap")))</f>
        <v>0.60236060236060229</v>
      </c>
      <c r="K666" s="92" cm="1">
        <f t="array" aca="1" ref="K66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66" s="95">
        <f ca="1">IF(Table2[[#This Row],[Team]]="FA",0,Table2[[#This Row],[Pts/G]]*(Table2[[#This Row],[Games Playable]]/82))</f>
        <v>6.3658536585365857</v>
      </c>
      <c r="M666" s="95" cm="1">
        <f t="array" aca="1" ref="M666" ca="1">Table2[[#This Row],[Playable x Score]]*_xlfn.IFS(Table2[[#This Row],[Pos]]="D",assumptions!$B$15,Table2[[#This Row],[Pos]]="F", assumptions!$B$14,Table2[[#This Row],[Pos]]="G",assumptions!$B$16)</f>
        <v>6.3658536585365857</v>
      </c>
    </row>
    <row r="667" spans="1:13" x14ac:dyDescent="0.3">
      <c r="A667">
        <f>'score estimates'!$A667</f>
        <v>664</v>
      </c>
      <c r="B667" t="str">
        <f>'score estimates'!$B667</f>
        <v>Cody Eakin</v>
      </c>
      <c r="C667" t="str">
        <f>'score estimates'!$D667</f>
        <v>F</v>
      </c>
      <c r="D667" t="str">
        <f>'score estimates'!$C667</f>
        <v>CGY</v>
      </c>
      <c r="E667" s="75">
        <f>'score estimates'!$F667</f>
        <v>4.6463414634146343</v>
      </c>
      <c r="F667" s="71">
        <f>'score estimates'!$G667</f>
        <v>732</v>
      </c>
      <c r="G667" s="71" t="s">
        <v>983</v>
      </c>
      <c r="H667" s="72" cm="1">
        <f t="array" aca="1" ref="H66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67" s="96">
        <f ca="1">IF(Table2[[#This Row],[Team]]="FA",0,Table2[[#This Row],[Pts/G]]*(1-Table2[[#This Row],[% Pos Overlap]]))</f>
        <v>4.6463414634146343</v>
      </c>
      <c r="J667" s="72" cm="1">
        <f t="array" aca="1" ref="J667" ca="1">(INDIRECT(ADDRESS((_xlfn.XMATCH(Table2[[#This Row],[Team]],Schedule!$A$1:$A$33)),5,1,1,"Sched Overlap")))</f>
        <v>0.63003663003663002</v>
      </c>
      <c r="K667" s="92" cm="1">
        <f t="array" aca="1" ref="K66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67" s="95">
        <f ca="1">IF(Table2[[#This Row],[Team]]="FA",0,Table2[[#This Row],[Pts/G]]*(Table2[[#This Row],[Games Playable]]/82))</f>
        <v>4.6463414634146343</v>
      </c>
      <c r="M667" s="95" cm="1">
        <f t="array" aca="1" ref="M667" ca="1">Table2[[#This Row],[Playable x Score]]*_xlfn.IFS(Table2[[#This Row],[Pos]]="D",assumptions!$B$15,Table2[[#This Row],[Pos]]="F", assumptions!$B$14,Table2[[#This Row],[Pos]]="G",assumptions!$B$16)</f>
        <v>4.6463414634146343</v>
      </c>
    </row>
    <row r="668" spans="1:13" x14ac:dyDescent="0.3">
      <c r="A668">
        <f>'score estimates'!$A668</f>
        <v>665</v>
      </c>
      <c r="B668" t="str">
        <f>'score estimates'!$B668</f>
        <v>Paul Byron</v>
      </c>
      <c r="C668" t="str">
        <f>'score estimates'!$D668</f>
        <v>F</v>
      </c>
      <c r="D668" t="str">
        <f>'score estimates'!$C668</f>
        <v>MON</v>
      </c>
      <c r="E668" s="75">
        <f>'score estimates'!$F668</f>
        <v>3.6219512195121952</v>
      </c>
      <c r="F668" s="71">
        <f>'score estimates'!$G668</f>
        <v>773</v>
      </c>
      <c r="G668" s="71" t="s">
        <v>983</v>
      </c>
      <c r="H668" s="72" cm="1">
        <f t="array" aca="1" ref="H66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68" s="96">
        <f ca="1">IF(Table2[[#This Row],[Team]]="FA",0,Table2[[#This Row],[Pts/G]]*(1-Table2[[#This Row],[% Pos Overlap]]))</f>
        <v>3.6219512195121952</v>
      </c>
      <c r="J668" s="72" cm="1">
        <f t="array" aca="1" ref="J668" ca="1">(INDIRECT(ADDRESS((_xlfn.XMATCH(Table2[[#This Row],[Team]],Schedule!$A$1:$A$33)),5,1,1,"Sched Overlap")))</f>
        <v>0.66666666666666685</v>
      </c>
      <c r="K668" s="92" cm="1">
        <f t="array" aca="1" ref="K66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68" s="95">
        <f ca="1">IF(Table2[[#This Row],[Team]]="FA",0,Table2[[#This Row],[Pts/G]]*(Table2[[#This Row],[Games Playable]]/82))</f>
        <v>3.6219512195121952</v>
      </c>
      <c r="M668" s="95" cm="1">
        <f t="array" aca="1" ref="M668" ca="1">Table2[[#This Row],[Playable x Score]]*_xlfn.IFS(Table2[[#This Row],[Pos]]="D",assumptions!$B$15,Table2[[#This Row],[Pos]]="F", assumptions!$B$14,Table2[[#This Row],[Pos]]="G",assumptions!$B$16)</f>
        <v>3.6219512195121952</v>
      </c>
    </row>
    <row r="669" spans="1:13" x14ac:dyDescent="0.3">
      <c r="A669">
        <f>'score estimates'!$A669</f>
        <v>666</v>
      </c>
      <c r="B669" t="str">
        <f>'score estimates'!$B669</f>
        <v>Zach Bogosian</v>
      </c>
      <c r="C669" t="str">
        <f>'score estimates'!$D669</f>
        <v>D</v>
      </c>
      <c r="D669" t="str">
        <f>'score estimates'!$C669</f>
        <v>TB</v>
      </c>
      <c r="E669" s="75">
        <f>'score estimates'!$F669</f>
        <v>8.1585365853658534</v>
      </c>
      <c r="F669" s="71">
        <f>'score estimates'!$G669</f>
        <v>616</v>
      </c>
      <c r="G669" s="71" t="s">
        <v>983</v>
      </c>
      <c r="H669" s="72" cm="1">
        <f t="array" aca="1" ref="H66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69" s="96">
        <f ca="1">IF(Table2[[#This Row],[Team]]="FA",0,Table2[[#This Row],[Pts/G]]*(1-Table2[[#This Row],[% Pos Overlap]]))</f>
        <v>8.1585365853658534</v>
      </c>
      <c r="J669" s="72" cm="1">
        <f t="array" aca="1" ref="J669" ca="1">(INDIRECT(ADDRESS((_xlfn.XMATCH(Table2[[#This Row],[Team]],Schedule!$A$1:$A$33)),5,1,1,"Sched Overlap")))</f>
        <v>0.66422466422466431</v>
      </c>
      <c r="K669" s="92" cm="1">
        <f t="array" aca="1" ref="K66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69" s="95">
        <f ca="1">IF(Table2[[#This Row],[Team]]="FA",0,Table2[[#This Row],[Pts/G]]*(Table2[[#This Row],[Games Playable]]/82))</f>
        <v>8.1585365853658534</v>
      </c>
      <c r="M669" s="95" cm="1">
        <f t="array" aca="1" ref="M669" ca="1">Table2[[#This Row],[Playable x Score]]*_xlfn.IFS(Table2[[#This Row],[Pos]]="D",assumptions!$B$15,Table2[[#This Row],[Pos]]="F", assumptions!$B$14,Table2[[#This Row],[Pos]]="G",assumptions!$B$16)</f>
        <v>10.198170731707316</v>
      </c>
    </row>
    <row r="670" spans="1:13" x14ac:dyDescent="0.3">
      <c r="A670">
        <f>'score estimates'!$A670</f>
        <v>667</v>
      </c>
      <c r="B670" t="str">
        <f>'score estimates'!$B670</f>
        <v>Brendan Smith</v>
      </c>
      <c r="C670" t="str">
        <f>'score estimates'!$D670</f>
        <v>D</v>
      </c>
      <c r="D670" t="str">
        <f>'score estimates'!$C670</f>
        <v>NJ</v>
      </c>
      <c r="E670" s="75">
        <f>'score estimates'!$F670</f>
        <v>7.0365853658536581</v>
      </c>
      <c r="F670" s="71">
        <f>'score estimates'!$G670</f>
        <v>643</v>
      </c>
      <c r="G670" s="71" t="s">
        <v>983</v>
      </c>
      <c r="H670" s="72" cm="1">
        <f t="array" aca="1" ref="H67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70" s="96">
        <f ca="1">IF(Table2[[#This Row],[Team]]="FA",0,Table2[[#This Row],[Pts/G]]*(1-Table2[[#This Row],[% Pos Overlap]]))</f>
        <v>7.0365853658536581</v>
      </c>
      <c r="J670" s="72" cm="1">
        <f t="array" aca="1" ref="J670" ca="1">(INDIRECT(ADDRESS((_xlfn.XMATCH(Table2[[#This Row],[Team]],Schedule!$A$1:$A$33)),5,1,1,"Sched Overlap")))</f>
        <v>0.66259666259666272</v>
      </c>
      <c r="K670" s="92" cm="1">
        <f t="array" aca="1" ref="K67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70" s="95">
        <f ca="1">IF(Table2[[#This Row],[Team]]="FA",0,Table2[[#This Row],[Pts/G]]*(Table2[[#This Row],[Games Playable]]/82))</f>
        <v>7.0365853658536581</v>
      </c>
      <c r="M670" s="95" cm="1">
        <f t="array" aca="1" ref="M670" ca="1">Table2[[#This Row],[Playable x Score]]*_xlfn.IFS(Table2[[#This Row],[Pos]]="D",assumptions!$B$15,Table2[[#This Row],[Pos]]="F", assumptions!$B$14,Table2[[#This Row],[Pos]]="G",assumptions!$B$16)</f>
        <v>8.7957317073170724</v>
      </c>
    </row>
    <row r="671" spans="1:13" x14ac:dyDescent="0.3">
      <c r="A671">
        <f>'score estimates'!$A671</f>
        <v>668</v>
      </c>
      <c r="B671" t="str">
        <f>'score estimates'!$B671</f>
        <v>Kyle Turris</v>
      </c>
      <c r="C671" t="str">
        <f>'score estimates'!$D671</f>
        <v>F</v>
      </c>
      <c r="D671" t="str">
        <f>'score estimates'!$C671</f>
        <v>FA</v>
      </c>
      <c r="E671" s="75">
        <f>'score estimates'!$F671</f>
        <v>2.7317073170731709</v>
      </c>
      <c r="F671" s="71">
        <f>'score estimates'!$G671</f>
        <v>812</v>
      </c>
      <c r="G671" s="71" t="s">
        <v>983</v>
      </c>
      <c r="H671" s="72" t="e" cm="1">
        <f t="array" aca="1" ref="H671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671" s="96">
        <f>IF(Table2[[#This Row],[Team]]="FA",0,Table2[[#This Row],[Pts/G]]*(1-Table2[[#This Row],[% Pos Overlap]]))</f>
        <v>0</v>
      </c>
      <c r="J671" s="72" t="e" cm="1">
        <f t="array" aca="1" ref="J671" ca="1">(INDIRECT(ADDRESS((_xlfn.XMATCH(Table2[[#This Row],[Team]],Schedule!$A$1:$A$33)),5,1,1,"Sched Overlap")))</f>
        <v>#N/A</v>
      </c>
      <c r="K671" s="92" t="e" cm="1">
        <f t="array" aca="1" ref="K671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671" s="95">
        <f>IF(Table2[[#This Row],[Team]]="FA",0,Table2[[#This Row],[Pts/G]]*(Table2[[#This Row],[Games Playable]]/82))</f>
        <v>0</v>
      </c>
      <c r="M671" s="95" cm="1">
        <f t="array" ref="M671">Table2[[#This Row],[Playable x Score]]*_xlfn.IFS(Table2[[#This Row],[Pos]]="D",assumptions!$B$15,Table2[[#This Row],[Pos]]="F", assumptions!$B$14,Table2[[#This Row],[Pos]]="G",assumptions!$B$16)</f>
        <v>0</v>
      </c>
    </row>
    <row r="672" spans="1:13" x14ac:dyDescent="0.3">
      <c r="A672">
        <f>'score estimates'!$A672</f>
        <v>669</v>
      </c>
      <c r="B672" t="str">
        <f>'score estimates'!$B672</f>
        <v>James Neal</v>
      </c>
      <c r="C672" t="str">
        <f>'score estimates'!$D672</f>
        <v>F</v>
      </c>
      <c r="D672" t="str">
        <f>'score estimates'!$C672</f>
        <v>CLS</v>
      </c>
      <c r="E672" s="75">
        <f>'score estimates'!$F672</f>
        <v>3.8536585365853657</v>
      </c>
      <c r="F672" s="71">
        <f>'score estimates'!$G672</f>
        <v>763</v>
      </c>
      <c r="G672" s="71" t="s">
        <v>983</v>
      </c>
      <c r="H672" s="72" cm="1">
        <f t="array" aca="1" ref="H67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72" s="96">
        <f ca="1">IF(Table2[[#This Row],[Team]]="FA",0,Table2[[#This Row],[Pts/G]]*(1-Table2[[#This Row],[% Pos Overlap]]))</f>
        <v>3.8536585365853657</v>
      </c>
      <c r="J672" s="72" cm="1">
        <f t="array" aca="1" ref="J672" ca="1">(INDIRECT(ADDRESS((_xlfn.XMATCH(Table2[[#This Row],[Team]],Schedule!$A$1:$A$33)),5,1,1,"Sched Overlap")))</f>
        <v>0.64875864875864886</v>
      </c>
      <c r="K672" s="92" cm="1">
        <f t="array" aca="1" ref="K67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72" s="95">
        <f ca="1">IF(Table2[[#This Row],[Team]]="FA",0,Table2[[#This Row],[Pts/G]]*(Table2[[#This Row],[Games Playable]]/82))</f>
        <v>3.8536585365853657</v>
      </c>
      <c r="M672" s="95" cm="1">
        <f t="array" aca="1" ref="M672" ca="1">Table2[[#This Row],[Playable x Score]]*_xlfn.IFS(Table2[[#This Row],[Pos]]="D",assumptions!$B$15,Table2[[#This Row],[Pos]]="F", assumptions!$B$14,Table2[[#This Row],[Pos]]="G",assumptions!$B$16)</f>
        <v>3.8536585365853657</v>
      </c>
    </row>
    <row r="673" spans="1:13" x14ac:dyDescent="0.3">
      <c r="A673">
        <f>'score estimates'!$A673</f>
        <v>670</v>
      </c>
      <c r="B673" t="str">
        <f>'score estimates'!$B673</f>
        <v>Jack Johnson</v>
      </c>
      <c r="C673" t="str">
        <f>'score estimates'!$D673</f>
        <v>D</v>
      </c>
      <c r="D673" t="str">
        <f>'score estimates'!$C673</f>
        <v>CHI</v>
      </c>
      <c r="E673" s="75">
        <f>'score estimates'!$F673</f>
        <v>7.8414634146341466</v>
      </c>
      <c r="F673" s="71">
        <f>'score estimates'!$G673</f>
        <v>618</v>
      </c>
      <c r="G673" s="71" t="s">
        <v>983</v>
      </c>
      <c r="H673" s="72" cm="1">
        <f t="array" aca="1" ref="H67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73" s="96">
        <f ca="1">IF(Table2[[#This Row],[Team]]="FA",0,Table2[[#This Row],[Pts/G]]*(1-Table2[[#This Row],[% Pos Overlap]]))</f>
        <v>7.8414634146341466</v>
      </c>
      <c r="J673" s="72" cm="1">
        <f t="array" aca="1" ref="J673" ca="1">(INDIRECT(ADDRESS((_xlfn.XMATCH(Table2[[#This Row],[Team]],Schedule!$A$1:$A$33)),5,1,1,"Sched Overlap")))</f>
        <v>0.6243386243386243</v>
      </c>
      <c r="K673" s="92" cm="1">
        <f t="array" aca="1" ref="K67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73" s="95">
        <f ca="1">IF(Table2[[#This Row],[Team]]="FA",0,Table2[[#This Row],[Pts/G]]*(Table2[[#This Row],[Games Playable]]/82))</f>
        <v>7.8414634146341466</v>
      </c>
      <c r="M673" s="95" cm="1">
        <f t="array" aca="1" ref="M673" ca="1">Table2[[#This Row],[Playable x Score]]*_xlfn.IFS(Table2[[#This Row],[Pos]]="D",assumptions!$B$15,Table2[[#This Row],[Pos]]="F", assumptions!$B$14,Table2[[#This Row],[Pos]]="G",assumptions!$B$16)</f>
        <v>9.8018292682926838</v>
      </c>
    </row>
    <row r="674" spans="1:13" x14ac:dyDescent="0.3">
      <c r="A674">
        <f>'score estimates'!$A674</f>
        <v>671</v>
      </c>
      <c r="B674" t="str">
        <f>'score estimates'!$B674</f>
        <v>Kyle Clifford</v>
      </c>
      <c r="C674" t="str">
        <f>'score estimates'!$D674</f>
        <v>F</v>
      </c>
      <c r="D674" t="str">
        <f>'score estimates'!$C674</f>
        <v>TOR</v>
      </c>
      <c r="E674" s="75">
        <f>'score estimates'!$F674</f>
        <v>5.2439024390243905</v>
      </c>
      <c r="F674" s="71">
        <f>'score estimates'!$G674</f>
        <v>715</v>
      </c>
      <c r="G674" s="71" t="s">
        <v>983</v>
      </c>
      <c r="H674" s="72" cm="1">
        <f t="array" aca="1" ref="H67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74" s="96">
        <f ca="1">IF(Table2[[#This Row],[Team]]="FA",0,Table2[[#This Row],[Pts/G]]*(1-Table2[[#This Row],[% Pos Overlap]]))</f>
        <v>5.2439024390243905</v>
      </c>
      <c r="J674" s="72" cm="1">
        <f t="array" aca="1" ref="J674" ca="1">(INDIRECT(ADDRESS((_xlfn.XMATCH(Table2[[#This Row],[Team]],Schedule!$A$1:$A$33)),5,1,1,"Sched Overlap")))</f>
        <v>0.62922262922262928</v>
      </c>
      <c r="K674" s="92" cm="1">
        <f t="array" aca="1" ref="K67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74" s="95">
        <f ca="1">IF(Table2[[#This Row],[Team]]="FA",0,Table2[[#This Row],[Pts/G]]*(Table2[[#This Row],[Games Playable]]/82))</f>
        <v>5.2439024390243905</v>
      </c>
      <c r="M674" s="95" cm="1">
        <f t="array" aca="1" ref="M674" ca="1">Table2[[#This Row],[Playable x Score]]*_xlfn.IFS(Table2[[#This Row],[Pos]]="D",assumptions!$B$15,Table2[[#This Row],[Pos]]="F", assumptions!$B$14,Table2[[#This Row],[Pos]]="G",assumptions!$B$16)</f>
        <v>5.2439024390243905</v>
      </c>
    </row>
    <row r="675" spans="1:13" x14ac:dyDescent="0.3">
      <c r="A675">
        <f>'score estimates'!$A675</f>
        <v>672</v>
      </c>
      <c r="B675" t="str">
        <f>'score estimates'!$B675</f>
        <v>Tyler Pitlick</v>
      </c>
      <c r="C675" t="str">
        <f>'score estimates'!$D675</f>
        <v>F</v>
      </c>
      <c r="D675" t="str">
        <f>'score estimates'!$C675</f>
        <v>STL</v>
      </c>
      <c r="E675" s="75">
        <f>'score estimates'!$F675</f>
        <v>4.4024390243902438</v>
      </c>
      <c r="F675" s="71">
        <f>'score estimates'!$G675</f>
        <v>739</v>
      </c>
      <c r="G675" s="71" t="s">
        <v>983</v>
      </c>
      <c r="H675" s="72" cm="1">
        <f t="array" aca="1" ref="H67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75" s="96">
        <f ca="1">IF(Table2[[#This Row],[Team]]="FA",0,Table2[[#This Row],[Pts/G]]*(1-Table2[[#This Row],[% Pos Overlap]]))</f>
        <v>4.4024390243902438</v>
      </c>
      <c r="J675" s="72" cm="1">
        <f t="array" aca="1" ref="J675" ca="1">(INDIRECT(ADDRESS((_xlfn.XMATCH(Table2[[#This Row],[Team]],Schedule!$A$1:$A$33)),5,1,1,"Sched Overlap")))</f>
        <v>0.65120065120065118</v>
      </c>
      <c r="K675" s="92" cm="1">
        <f t="array" aca="1" ref="K67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75" s="95">
        <f ca="1">IF(Table2[[#This Row],[Team]]="FA",0,Table2[[#This Row],[Pts/G]]*(Table2[[#This Row],[Games Playable]]/82))</f>
        <v>4.4024390243902438</v>
      </c>
      <c r="M675" s="95" cm="1">
        <f t="array" aca="1" ref="M675" ca="1">Table2[[#This Row],[Playable x Score]]*_xlfn.IFS(Table2[[#This Row],[Pos]]="D",assumptions!$B$15,Table2[[#This Row],[Pos]]="F", assumptions!$B$14,Table2[[#This Row],[Pos]]="G",assumptions!$B$16)</f>
        <v>4.4024390243902438</v>
      </c>
    </row>
    <row r="676" spans="1:13" x14ac:dyDescent="0.3">
      <c r="A676">
        <f>'score estimates'!$A676</f>
        <v>673</v>
      </c>
      <c r="B676" t="str">
        <f>'score estimates'!$B676</f>
        <v>Mark Pysyk</v>
      </c>
      <c r="C676" t="str">
        <f>'score estimates'!$D676</f>
        <v>D</v>
      </c>
      <c r="D676" t="str">
        <f>'score estimates'!$C676</f>
        <v>DET</v>
      </c>
      <c r="E676" s="75">
        <f>'score estimates'!$F676</f>
        <v>5</v>
      </c>
      <c r="F676" s="71">
        <f>'score estimates'!$G676</f>
        <v>720</v>
      </c>
      <c r="G676" s="71" t="s">
        <v>983</v>
      </c>
      <c r="H676" s="72" cm="1">
        <f t="array" aca="1" ref="H67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76" s="96">
        <f ca="1">IF(Table2[[#This Row],[Team]]="FA",0,Table2[[#This Row],[Pts/G]]*(1-Table2[[#This Row],[% Pos Overlap]]))</f>
        <v>5</v>
      </c>
      <c r="J676" s="72" cm="1">
        <f t="array" aca="1" ref="J676" ca="1">(INDIRECT(ADDRESS((_xlfn.XMATCH(Table2[[#This Row],[Team]],Schedule!$A$1:$A$33)),5,1,1,"Sched Overlap")))</f>
        <v>0.64550264550264547</v>
      </c>
      <c r="K676" s="92" cm="1">
        <f t="array" aca="1" ref="K67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76" s="95">
        <f ca="1">IF(Table2[[#This Row],[Team]]="FA",0,Table2[[#This Row],[Pts/G]]*(Table2[[#This Row],[Games Playable]]/82))</f>
        <v>5</v>
      </c>
      <c r="M676" s="95" cm="1">
        <f t="array" aca="1" ref="M676" ca="1">Table2[[#This Row],[Playable x Score]]*_xlfn.IFS(Table2[[#This Row],[Pos]]="D",assumptions!$B$15,Table2[[#This Row],[Pos]]="F", assumptions!$B$14,Table2[[#This Row],[Pos]]="G",assumptions!$B$16)</f>
        <v>6.25</v>
      </c>
    </row>
    <row r="677" spans="1:13" x14ac:dyDescent="0.3">
      <c r="A677">
        <f>'score estimates'!$A677</f>
        <v>674</v>
      </c>
      <c r="B677" t="str">
        <f>'score estimates'!$B677</f>
        <v>Danny DeKeyser</v>
      </c>
      <c r="C677" t="str">
        <f>'score estimates'!$D677</f>
        <v>D</v>
      </c>
      <c r="D677" t="str">
        <f>'score estimates'!$C677</f>
        <v>VAN</v>
      </c>
      <c r="E677" s="75">
        <f>'score estimates'!$F677</f>
        <v>5.5609756097560972</v>
      </c>
      <c r="F677" s="71">
        <f>'score estimates'!$G677</f>
        <v>704</v>
      </c>
      <c r="G677" s="71" t="s">
        <v>983</v>
      </c>
      <c r="H677" s="72" cm="1">
        <f t="array" aca="1" ref="H67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77" s="96">
        <f ca="1">IF(Table2[[#This Row],[Team]]="FA",0,Table2[[#This Row],[Pts/G]]*(1-Table2[[#This Row],[% Pos Overlap]]))</f>
        <v>5.5609756097560972</v>
      </c>
      <c r="J677" s="72" cm="1">
        <f t="array" aca="1" ref="J677" ca="1">(INDIRECT(ADDRESS((_xlfn.XMATCH(Table2[[#This Row],[Team]],Schedule!$A$1:$A$33)),5,1,1,"Sched Overlap")))</f>
        <v>0.62922262922262917</v>
      </c>
      <c r="K677" s="92" cm="1">
        <f t="array" aca="1" ref="K67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77" s="95">
        <f ca="1">IF(Table2[[#This Row],[Team]]="FA",0,Table2[[#This Row],[Pts/G]]*(Table2[[#This Row],[Games Playable]]/82))</f>
        <v>5.5609756097560972</v>
      </c>
      <c r="M677" s="95" cm="1">
        <f t="array" aca="1" ref="M677" ca="1">Table2[[#This Row],[Playable x Score]]*_xlfn.IFS(Table2[[#This Row],[Pos]]="D",assumptions!$B$15,Table2[[#This Row],[Pos]]="F", assumptions!$B$14,Table2[[#This Row],[Pos]]="G",assumptions!$B$16)</f>
        <v>6.9512195121951219</v>
      </c>
    </row>
    <row r="678" spans="1:13" x14ac:dyDescent="0.3">
      <c r="A678">
        <f>'score estimates'!$A678</f>
        <v>675</v>
      </c>
      <c r="B678" t="str">
        <f>'score estimates'!$B678</f>
        <v>Robert Hagg</v>
      </c>
      <c r="C678" t="str">
        <f>'score estimates'!$D678</f>
        <v>D</v>
      </c>
      <c r="D678" t="str">
        <f>'score estimates'!$C678</f>
        <v>DET</v>
      </c>
      <c r="E678" s="75">
        <f>'score estimates'!$F678</f>
        <v>6.5975609756097562</v>
      </c>
      <c r="F678" s="71">
        <f>'score estimates'!$G678</f>
        <v>662</v>
      </c>
      <c r="G678" s="71" t="s">
        <v>983</v>
      </c>
      <c r="H678" s="72" cm="1">
        <f t="array" aca="1" ref="H67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78" s="96">
        <f ca="1">IF(Table2[[#This Row],[Team]]="FA",0,Table2[[#This Row],[Pts/G]]*(1-Table2[[#This Row],[% Pos Overlap]]))</f>
        <v>6.5975609756097562</v>
      </c>
      <c r="J678" s="72" cm="1">
        <f t="array" aca="1" ref="J678" ca="1">(INDIRECT(ADDRESS((_xlfn.XMATCH(Table2[[#This Row],[Team]],Schedule!$A$1:$A$33)),5,1,1,"Sched Overlap")))</f>
        <v>0.64550264550264547</v>
      </c>
      <c r="K678" s="92" cm="1">
        <f t="array" aca="1" ref="K67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78" s="95">
        <f ca="1">IF(Table2[[#This Row],[Team]]="FA",0,Table2[[#This Row],[Pts/G]]*(Table2[[#This Row],[Games Playable]]/82))</f>
        <v>6.5975609756097562</v>
      </c>
      <c r="M678" s="95" cm="1">
        <f t="array" aca="1" ref="M678" ca="1">Table2[[#This Row],[Playable x Score]]*_xlfn.IFS(Table2[[#This Row],[Pos]]="D",assumptions!$B$15,Table2[[#This Row],[Pos]]="F", assumptions!$B$14,Table2[[#This Row],[Pos]]="G",assumptions!$B$16)</f>
        <v>8.2469512195121943</v>
      </c>
    </row>
    <row r="679" spans="1:13" x14ac:dyDescent="0.3">
      <c r="A679">
        <f>'score estimates'!$A679</f>
        <v>676</v>
      </c>
      <c r="B679" t="str">
        <f>'score estimates'!$B679</f>
        <v>Chad Ruhwedel</v>
      </c>
      <c r="C679" t="str">
        <f>'score estimates'!$D679</f>
        <v>D</v>
      </c>
      <c r="D679" t="str">
        <f>'score estimates'!$C679</f>
        <v>PIT</v>
      </c>
      <c r="E679" s="75">
        <f>'score estimates'!$F679</f>
        <v>6.0975609756097562</v>
      </c>
      <c r="F679" s="71">
        <f>'score estimates'!$G679</f>
        <v>681</v>
      </c>
      <c r="G679" s="71" t="s">
        <v>983</v>
      </c>
      <c r="H679" s="72" cm="1">
        <f t="array" aca="1" ref="H67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79" s="96">
        <f ca="1">IF(Table2[[#This Row],[Team]]="FA",0,Table2[[#This Row],[Pts/G]]*(1-Table2[[#This Row],[% Pos Overlap]]))</f>
        <v>6.0975609756097562</v>
      </c>
      <c r="J679" s="72" cm="1">
        <f t="array" aca="1" ref="J679" ca="1">(INDIRECT(ADDRESS((_xlfn.XMATCH(Table2[[#This Row],[Team]],Schedule!$A$1:$A$33)),5,1,1,"Sched Overlap")))</f>
        <v>0.63492063492063477</v>
      </c>
      <c r="K679" s="92" cm="1">
        <f t="array" aca="1" ref="K67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79" s="95">
        <f ca="1">IF(Table2[[#This Row],[Team]]="FA",0,Table2[[#This Row],[Pts/G]]*(Table2[[#This Row],[Games Playable]]/82))</f>
        <v>6.0975609756097562</v>
      </c>
      <c r="M679" s="95" cm="1">
        <f t="array" aca="1" ref="M679" ca="1">Table2[[#This Row],[Playable x Score]]*_xlfn.IFS(Table2[[#This Row],[Pos]]="D",assumptions!$B$15,Table2[[#This Row],[Pos]]="F", assumptions!$B$14,Table2[[#This Row],[Pos]]="G",assumptions!$B$16)</f>
        <v>7.6219512195121952</v>
      </c>
    </row>
    <row r="680" spans="1:13" x14ac:dyDescent="0.3">
      <c r="A680">
        <f>'score estimates'!$A680</f>
        <v>677</v>
      </c>
      <c r="B680" t="str">
        <f>'score estimates'!$B680</f>
        <v>Olli Maatta</v>
      </c>
      <c r="C680" t="str">
        <f>'score estimates'!$D680</f>
        <v>D</v>
      </c>
      <c r="D680" t="str">
        <f>'score estimates'!$C680</f>
        <v>DET</v>
      </c>
      <c r="E680" s="75">
        <f>'score estimates'!$F680</f>
        <v>7.8414634146341466</v>
      </c>
      <c r="F680" s="71">
        <f>'score estimates'!$G680</f>
        <v>618</v>
      </c>
      <c r="G680" s="71" t="s">
        <v>983</v>
      </c>
      <c r="H680" s="72" cm="1">
        <f t="array" aca="1" ref="H68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80" s="96">
        <f ca="1">IF(Table2[[#This Row],[Team]]="FA",0,Table2[[#This Row],[Pts/G]]*(1-Table2[[#This Row],[% Pos Overlap]]))</f>
        <v>7.8414634146341466</v>
      </c>
      <c r="J680" s="72" cm="1">
        <f t="array" aca="1" ref="J680" ca="1">(INDIRECT(ADDRESS((_xlfn.XMATCH(Table2[[#This Row],[Team]],Schedule!$A$1:$A$33)),5,1,1,"Sched Overlap")))</f>
        <v>0.64550264550264547</v>
      </c>
      <c r="K680" s="92" cm="1">
        <f t="array" aca="1" ref="K68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80" s="95">
        <f ca="1">IF(Table2[[#This Row],[Team]]="FA",0,Table2[[#This Row],[Pts/G]]*(Table2[[#This Row],[Games Playable]]/82))</f>
        <v>7.8414634146341466</v>
      </c>
      <c r="M680" s="95" cm="1">
        <f t="array" aca="1" ref="M680" ca="1">Table2[[#This Row],[Playable x Score]]*_xlfn.IFS(Table2[[#This Row],[Pos]]="D",assumptions!$B$15,Table2[[#This Row],[Pos]]="F", assumptions!$B$14,Table2[[#This Row],[Pos]]="G",assumptions!$B$16)</f>
        <v>9.8018292682926838</v>
      </c>
    </row>
    <row r="681" spans="1:13" x14ac:dyDescent="0.3">
      <c r="A681">
        <f>'score estimates'!$A681</f>
        <v>678</v>
      </c>
      <c r="B681" t="str">
        <f>'score estimates'!$B681</f>
        <v>Jaycob Megna</v>
      </c>
      <c r="C681" t="str">
        <f>'score estimates'!$D681</f>
        <v>D</v>
      </c>
      <c r="D681" t="str">
        <f>'score estimates'!$C681</f>
        <v>SJ</v>
      </c>
      <c r="E681" s="75">
        <f>'score estimates'!$F681</f>
        <v>6.5975609756097562</v>
      </c>
      <c r="F681" s="71">
        <f>'score estimates'!$G681</f>
        <v>662</v>
      </c>
      <c r="G681" s="71" t="s">
        <v>983</v>
      </c>
      <c r="H681" s="72" cm="1">
        <f t="array" aca="1" ref="H68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81" s="96">
        <f ca="1">IF(Table2[[#This Row],[Team]]="FA",0,Table2[[#This Row],[Pts/G]]*(1-Table2[[#This Row],[% Pos Overlap]]))</f>
        <v>6.5975609756097562</v>
      </c>
      <c r="J681" s="72" cm="1">
        <f t="array" aca="1" ref="J681" ca="1">(INDIRECT(ADDRESS((_xlfn.XMATCH(Table2[[#This Row],[Team]],Schedule!$A$1:$A$33)),5,1,1,"Sched Overlap")))</f>
        <v>0.63492063492063477</v>
      </c>
      <c r="K681" s="92" cm="1">
        <f t="array" aca="1" ref="K68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81" s="95">
        <f ca="1">IF(Table2[[#This Row],[Team]]="FA",0,Table2[[#This Row],[Pts/G]]*(Table2[[#This Row],[Games Playable]]/82))</f>
        <v>6.5975609756097562</v>
      </c>
      <c r="M681" s="95" cm="1">
        <f t="array" aca="1" ref="M681" ca="1">Table2[[#This Row],[Playable x Score]]*_xlfn.IFS(Table2[[#This Row],[Pos]]="D",assumptions!$B$15,Table2[[#This Row],[Pos]]="F", assumptions!$B$14,Table2[[#This Row],[Pos]]="G",assumptions!$B$16)</f>
        <v>8.2469512195121943</v>
      </c>
    </row>
    <row r="682" spans="1:13" x14ac:dyDescent="0.3">
      <c r="A682">
        <f>'score estimates'!$A682</f>
        <v>679</v>
      </c>
      <c r="B682" t="str">
        <f>'score estimates'!$B682</f>
        <v>Anders Bjork</v>
      </c>
      <c r="C682" t="str">
        <f>'score estimates'!$D682</f>
        <v>F</v>
      </c>
      <c r="D682" t="str">
        <f>'score estimates'!$C682</f>
        <v>BUF</v>
      </c>
      <c r="E682" s="75">
        <f>'score estimates'!$F682</f>
        <v>3.2073170731707319</v>
      </c>
      <c r="F682" s="71">
        <f>'score estimates'!$G682</f>
        <v>791</v>
      </c>
      <c r="G682" s="71" t="s">
        <v>983</v>
      </c>
      <c r="H682" s="72" cm="1">
        <f t="array" aca="1" ref="H68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82" s="96">
        <f ca="1">IF(Table2[[#This Row],[Team]]="FA",0,Table2[[#This Row],[Pts/G]]*(1-Table2[[#This Row],[% Pos Overlap]]))</f>
        <v>3.2073170731707319</v>
      </c>
      <c r="J682" s="72" cm="1">
        <f t="array" aca="1" ref="J682" ca="1">(INDIRECT(ADDRESS((_xlfn.XMATCH(Table2[[#This Row],[Team]],Schedule!$A$1:$A$33)),5,1,1,"Sched Overlap")))</f>
        <v>0.63573463573463573</v>
      </c>
      <c r="K682" s="92" cm="1">
        <f t="array" aca="1" ref="K68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82" s="95">
        <f ca="1">IF(Table2[[#This Row],[Team]]="FA",0,Table2[[#This Row],[Pts/G]]*(Table2[[#This Row],[Games Playable]]/82))</f>
        <v>3.2073170731707319</v>
      </c>
      <c r="M682" s="95" cm="1">
        <f t="array" aca="1" ref="M682" ca="1">Table2[[#This Row],[Playable x Score]]*_xlfn.IFS(Table2[[#This Row],[Pos]]="D",assumptions!$B$15,Table2[[#This Row],[Pos]]="F", assumptions!$B$14,Table2[[#This Row],[Pos]]="G",assumptions!$B$16)</f>
        <v>3.2073170731707319</v>
      </c>
    </row>
    <row r="683" spans="1:13" x14ac:dyDescent="0.3">
      <c r="A683">
        <f>'score estimates'!$A683</f>
        <v>680</v>
      </c>
      <c r="B683" t="str">
        <f>'score estimates'!$B683</f>
        <v>Kevin Stenlund</v>
      </c>
      <c r="C683" t="str">
        <f>'score estimates'!$D683</f>
        <v>F</v>
      </c>
      <c r="D683" t="str">
        <f>'score estimates'!$C683</f>
        <v>WPG</v>
      </c>
      <c r="E683" s="75">
        <f>'score estimates'!$F683</f>
        <v>4.2682926829268295</v>
      </c>
      <c r="F683" s="71">
        <f>'score estimates'!$G683</f>
        <v>746</v>
      </c>
      <c r="G683" s="71" t="s">
        <v>983</v>
      </c>
      <c r="H683" s="72" cm="1">
        <f t="array" aca="1" ref="H68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83" s="96">
        <f ca="1">IF(Table2[[#This Row],[Team]]="FA",0,Table2[[#This Row],[Pts/G]]*(1-Table2[[#This Row],[% Pos Overlap]]))</f>
        <v>4.2682926829268295</v>
      </c>
      <c r="J683" s="72" cm="1">
        <f t="array" aca="1" ref="J683" ca="1">(INDIRECT(ADDRESS((_xlfn.XMATCH(Table2[[#This Row],[Team]],Schedule!$A$1:$A$33)),5,1,1,"Sched Overlap")))</f>
        <v>0.61212861212861214</v>
      </c>
      <c r="K683" s="92" cm="1">
        <f t="array" aca="1" ref="K68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83" s="95">
        <f ca="1">IF(Table2[[#This Row],[Team]]="FA",0,Table2[[#This Row],[Pts/G]]*(Table2[[#This Row],[Games Playable]]/82))</f>
        <v>4.2682926829268295</v>
      </c>
      <c r="M683" s="95" cm="1">
        <f t="array" aca="1" ref="M683" ca="1">Table2[[#This Row],[Playable x Score]]*_xlfn.IFS(Table2[[#This Row],[Pos]]="D",assumptions!$B$15,Table2[[#This Row],[Pos]]="F", assumptions!$B$14,Table2[[#This Row],[Pos]]="G",assumptions!$B$16)</f>
        <v>4.2682926829268295</v>
      </c>
    </row>
    <row r="684" spans="1:13" x14ac:dyDescent="0.3">
      <c r="A684">
        <f>'score estimates'!$A684</f>
        <v>681</v>
      </c>
      <c r="B684" t="str">
        <f>'score estimates'!$B684</f>
        <v>Philippe Myers</v>
      </c>
      <c r="C684" t="str">
        <f>'score estimates'!$D684</f>
        <v>D</v>
      </c>
      <c r="D684" t="str">
        <f>'score estimates'!$C684</f>
        <v>TB</v>
      </c>
      <c r="E684" s="75">
        <f>'score estimates'!$F684</f>
        <v>6.8048780487804876</v>
      </c>
      <c r="F684" s="71">
        <f>'score estimates'!$G684</f>
        <v>654</v>
      </c>
      <c r="G684" s="71" t="s">
        <v>983</v>
      </c>
      <c r="H684" s="72" cm="1">
        <f t="array" aca="1" ref="H68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84" s="96">
        <f ca="1">IF(Table2[[#This Row],[Team]]="FA",0,Table2[[#This Row],[Pts/G]]*(1-Table2[[#This Row],[% Pos Overlap]]))</f>
        <v>6.8048780487804876</v>
      </c>
      <c r="J684" s="72" cm="1">
        <f t="array" aca="1" ref="J684" ca="1">(INDIRECT(ADDRESS((_xlfn.XMATCH(Table2[[#This Row],[Team]],Schedule!$A$1:$A$33)),5,1,1,"Sched Overlap")))</f>
        <v>0.66422466422466431</v>
      </c>
      <c r="K684" s="92" cm="1">
        <f t="array" aca="1" ref="K68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84" s="95">
        <f ca="1">IF(Table2[[#This Row],[Team]]="FA",0,Table2[[#This Row],[Pts/G]]*(Table2[[#This Row],[Games Playable]]/82))</f>
        <v>6.8048780487804876</v>
      </c>
      <c r="M684" s="95" cm="1">
        <f t="array" aca="1" ref="M684" ca="1">Table2[[#This Row],[Playable x Score]]*_xlfn.IFS(Table2[[#This Row],[Pos]]="D",assumptions!$B$15,Table2[[#This Row],[Pos]]="F", assumptions!$B$14,Table2[[#This Row],[Pos]]="G",assumptions!$B$16)</f>
        <v>8.5060975609756095</v>
      </c>
    </row>
    <row r="685" spans="1:13" x14ac:dyDescent="0.3">
      <c r="A685">
        <f>'score estimates'!$A685</f>
        <v>682</v>
      </c>
      <c r="B685" t="str">
        <f>'score estimates'!$B685</f>
        <v>Kale Clague</v>
      </c>
      <c r="C685" t="str">
        <f>'score estimates'!$D685</f>
        <v>D</v>
      </c>
      <c r="D685" t="str">
        <f>'score estimates'!$C685</f>
        <v>BUF</v>
      </c>
      <c r="E685" s="75">
        <f>'score estimates'!$F685</f>
        <v>2.9512195121951219</v>
      </c>
      <c r="F685" s="71">
        <f>'score estimates'!$G685</f>
        <v>800</v>
      </c>
      <c r="G685" s="71" t="s">
        <v>983</v>
      </c>
      <c r="H685" s="72" cm="1">
        <f t="array" aca="1" ref="H68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85" s="96">
        <f ca="1">IF(Table2[[#This Row],[Team]]="FA",0,Table2[[#This Row],[Pts/G]]*(1-Table2[[#This Row],[% Pos Overlap]]))</f>
        <v>2.9512195121951219</v>
      </c>
      <c r="J685" s="72" cm="1">
        <f t="array" aca="1" ref="J685" ca="1">(INDIRECT(ADDRESS((_xlfn.XMATCH(Table2[[#This Row],[Team]],Schedule!$A$1:$A$33)),5,1,1,"Sched Overlap")))</f>
        <v>0.63573463573463573</v>
      </c>
      <c r="K685" s="92" cm="1">
        <f t="array" aca="1" ref="K68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85" s="95">
        <f ca="1">IF(Table2[[#This Row],[Team]]="FA",0,Table2[[#This Row],[Pts/G]]*(Table2[[#This Row],[Games Playable]]/82))</f>
        <v>2.9512195121951219</v>
      </c>
      <c r="M685" s="95" cm="1">
        <f t="array" aca="1" ref="M685" ca="1">Table2[[#This Row],[Playable x Score]]*_xlfn.IFS(Table2[[#This Row],[Pos]]="D",assumptions!$B$15,Table2[[#This Row],[Pos]]="F", assumptions!$B$14,Table2[[#This Row],[Pos]]="G",assumptions!$B$16)</f>
        <v>3.6890243902439024</v>
      </c>
    </row>
    <row r="686" spans="1:13" x14ac:dyDescent="0.3">
      <c r="A686">
        <f>'score estimates'!$A686</f>
        <v>683</v>
      </c>
      <c r="B686" t="str">
        <f>'score estimates'!$B686</f>
        <v>Isaac Ratcliffe</v>
      </c>
      <c r="C686" t="str">
        <f>'score estimates'!$D686</f>
        <v>F</v>
      </c>
      <c r="D686" t="str">
        <f>'score estimates'!$C686</f>
        <v>PHI</v>
      </c>
      <c r="E686" s="75">
        <f>'score estimates'!$F686</f>
        <v>3.7317073170731709</v>
      </c>
      <c r="F686" s="71">
        <f>'score estimates'!$G686</f>
        <v>767</v>
      </c>
      <c r="G686" s="71" t="s">
        <v>983</v>
      </c>
      <c r="H686" s="72" cm="1">
        <f t="array" aca="1" ref="H68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86" s="96">
        <f ca="1">IF(Table2[[#This Row],[Team]]="FA",0,Table2[[#This Row],[Pts/G]]*(1-Table2[[#This Row],[% Pos Overlap]]))</f>
        <v>3.7317073170731709</v>
      </c>
      <c r="J686" s="72" cm="1">
        <f t="array" aca="1" ref="J686" ca="1">(INDIRECT(ADDRESS((_xlfn.XMATCH(Table2[[#This Row],[Team]],Schedule!$A$1:$A$33)),5,1,1,"Sched Overlap")))</f>
        <v>0.66910866910866917</v>
      </c>
      <c r="K686" s="92" cm="1">
        <f t="array" aca="1" ref="K68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86" s="95">
        <f ca="1">IF(Table2[[#This Row],[Team]]="FA",0,Table2[[#This Row],[Pts/G]]*(Table2[[#This Row],[Games Playable]]/82))</f>
        <v>3.7317073170731709</v>
      </c>
      <c r="M686" s="95" cm="1">
        <f t="array" aca="1" ref="M686" ca="1">Table2[[#This Row],[Playable x Score]]*_xlfn.IFS(Table2[[#This Row],[Pos]]="D",assumptions!$B$15,Table2[[#This Row],[Pos]]="F", assumptions!$B$14,Table2[[#This Row],[Pos]]="G",assumptions!$B$16)</f>
        <v>3.7317073170731709</v>
      </c>
    </row>
    <row r="687" spans="1:13" x14ac:dyDescent="0.3">
      <c r="A687">
        <f>'score estimates'!$A687</f>
        <v>684</v>
      </c>
      <c r="B687" t="str">
        <f>'score estimates'!$B687</f>
        <v>Adam Brooks</v>
      </c>
      <c r="C687" t="str">
        <f>'score estimates'!$D687</f>
        <v>F</v>
      </c>
      <c r="D687" t="str">
        <f>'score estimates'!$C687</f>
        <v>PHI</v>
      </c>
      <c r="E687" s="75">
        <f>'score estimates'!$F687</f>
        <v>4.2195121951219514</v>
      </c>
      <c r="F687" s="71">
        <f>'score estimates'!$G687</f>
        <v>750</v>
      </c>
      <c r="G687" s="71" t="s">
        <v>983</v>
      </c>
      <c r="H687" s="72" cm="1">
        <f t="array" aca="1" ref="H68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87" s="96">
        <f ca="1">IF(Table2[[#This Row],[Team]]="FA",0,Table2[[#This Row],[Pts/G]]*(1-Table2[[#This Row],[% Pos Overlap]]))</f>
        <v>4.2195121951219514</v>
      </c>
      <c r="J687" s="72" cm="1">
        <f t="array" aca="1" ref="J687" ca="1">(INDIRECT(ADDRESS((_xlfn.XMATCH(Table2[[#This Row],[Team]],Schedule!$A$1:$A$33)),5,1,1,"Sched Overlap")))</f>
        <v>0.66910866910866917</v>
      </c>
      <c r="K687" s="92" cm="1">
        <f t="array" aca="1" ref="K68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87" s="95">
        <f ca="1">IF(Table2[[#This Row],[Team]]="FA",0,Table2[[#This Row],[Pts/G]]*(Table2[[#This Row],[Games Playable]]/82))</f>
        <v>4.2195121951219514</v>
      </c>
      <c r="M687" s="95" cm="1">
        <f t="array" aca="1" ref="M687" ca="1">Table2[[#This Row],[Playable x Score]]*_xlfn.IFS(Table2[[#This Row],[Pos]]="D",assumptions!$B$15,Table2[[#This Row],[Pos]]="F", assumptions!$B$14,Table2[[#This Row],[Pos]]="G",assumptions!$B$16)</f>
        <v>4.2195121951219514</v>
      </c>
    </row>
    <row r="688" spans="1:13" x14ac:dyDescent="0.3">
      <c r="A688">
        <f>'score estimates'!$A688</f>
        <v>685</v>
      </c>
      <c r="B688" t="str">
        <f>'score estimates'!$B688</f>
        <v>Ian Mitchell</v>
      </c>
      <c r="C688" t="str">
        <f>'score estimates'!$D688</f>
        <v>D</v>
      </c>
      <c r="D688" t="str">
        <f>'score estimates'!$C688</f>
        <v>CHI</v>
      </c>
      <c r="E688" s="75">
        <f>'score estimates'!$F688</f>
        <v>3.0609756097560976</v>
      </c>
      <c r="F688" s="71">
        <f>'score estimates'!$G688</f>
        <v>796</v>
      </c>
      <c r="G688" s="71" t="s">
        <v>983</v>
      </c>
      <c r="H688" s="72" cm="1">
        <f t="array" aca="1" ref="H68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88" s="96">
        <f ca="1">IF(Table2[[#This Row],[Team]]="FA",0,Table2[[#This Row],[Pts/G]]*(1-Table2[[#This Row],[% Pos Overlap]]))</f>
        <v>3.0609756097560976</v>
      </c>
      <c r="J688" s="72" cm="1">
        <f t="array" aca="1" ref="J688" ca="1">(INDIRECT(ADDRESS((_xlfn.XMATCH(Table2[[#This Row],[Team]],Schedule!$A$1:$A$33)),5,1,1,"Sched Overlap")))</f>
        <v>0.6243386243386243</v>
      </c>
      <c r="K688" s="92" cm="1">
        <f t="array" aca="1" ref="K68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88" s="95">
        <f ca="1">IF(Table2[[#This Row],[Team]]="FA",0,Table2[[#This Row],[Pts/G]]*(Table2[[#This Row],[Games Playable]]/82))</f>
        <v>3.0609756097560976</v>
      </c>
      <c r="M688" s="95" cm="1">
        <f t="array" aca="1" ref="M688" ca="1">Table2[[#This Row],[Playable x Score]]*_xlfn.IFS(Table2[[#This Row],[Pos]]="D",assumptions!$B$15,Table2[[#This Row],[Pos]]="F", assumptions!$B$14,Table2[[#This Row],[Pos]]="G",assumptions!$B$16)</f>
        <v>3.8262195121951219</v>
      </c>
    </row>
    <row r="689" spans="1:13" x14ac:dyDescent="0.3">
      <c r="A689">
        <f>'score estimates'!$A689</f>
        <v>686</v>
      </c>
      <c r="B689" t="str">
        <f>'score estimates'!$B689</f>
        <v>Dylan Coghlan</v>
      </c>
      <c r="C689" t="str">
        <f>'score estimates'!$D689</f>
        <v>D</v>
      </c>
      <c r="D689" t="str">
        <f>'score estimates'!$C689</f>
        <v>CAR</v>
      </c>
      <c r="E689" s="75">
        <f>'score estimates'!$F689</f>
        <v>6.2804878048780486</v>
      </c>
      <c r="F689" s="71">
        <f>'score estimates'!$G689</f>
        <v>676</v>
      </c>
      <c r="G689" s="71" t="s">
        <v>983</v>
      </c>
      <c r="H689" s="72" cm="1">
        <f t="array" aca="1" ref="H68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89" s="96">
        <f ca="1">IF(Table2[[#This Row],[Team]]="FA",0,Table2[[#This Row],[Pts/G]]*(1-Table2[[#This Row],[% Pos Overlap]]))</f>
        <v>6.2804878048780486</v>
      </c>
      <c r="J689" s="72" cm="1">
        <f t="array" aca="1" ref="J689" ca="1">(INDIRECT(ADDRESS((_xlfn.XMATCH(Table2[[#This Row],[Team]],Schedule!$A$1:$A$33)),5,1,1,"Sched Overlap")))</f>
        <v>0.63247863247863245</v>
      </c>
      <c r="K689" s="92" cm="1">
        <f t="array" aca="1" ref="K68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89" s="95">
        <f ca="1">IF(Table2[[#This Row],[Team]]="FA",0,Table2[[#This Row],[Pts/G]]*(Table2[[#This Row],[Games Playable]]/82))</f>
        <v>6.2804878048780486</v>
      </c>
      <c r="M689" s="95" cm="1">
        <f t="array" aca="1" ref="M689" ca="1">Table2[[#This Row],[Playable x Score]]*_xlfn.IFS(Table2[[#This Row],[Pos]]="D",assumptions!$B$15,Table2[[#This Row],[Pos]]="F", assumptions!$B$14,Table2[[#This Row],[Pos]]="G",assumptions!$B$16)</f>
        <v>7.850609756097561</v>
      </c>
    </row>
    <row r="690" spans="1:13" x14ac:dyDescent="0.3">
      <c r="A690">
        <f>'score estimates'!$A690</f>
        <v>687</v>
      </c>
      <c r="B690" t="str">
        <f>'score estimates'!$B690</f>
        <v>Jack Quinn</v>
      </c>
      <c r="C690" t="str">
        <f>'score estimates'!$D690</f>
        <v>F</v>
      </c>
      <c r="D690" t="str">
        <f>'score estimates'!$C690</f>
        <v>BUF</v>
      </c>
      <c r="E690" s="75">
        <f>'score estimates'!$F690</f>
        <v>3.2804878048780486</v>
      </c>
      <c r="F690" s="71">
        <f>'score estimates'!$G690</f>
        <v>786</v>
      </c>
      <c r="G690" s="71" t="s">
        <v>983</v>
      </c>
      <c r="H690" s="72" cm="1">
        <f t="array" aca="1" ref="H69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90" s="96">
        <f ca="1">IF(Table2[[#This Row],[Team]]="FA",0,Table2[[#This Row],[Pts/G]]*(1-Table2[[#This Row],[% Pos Overlap]]))</f>
        <v>3.2804878048780486</v>
      </c>
      <c r="J690" s="72" cm="1">
        <f t="array" aca="1" ref="J690" ca="1">(INDIRECT(ADDRESS((_xlfn.XMATCH(Table2[[#This Row],[Team]],Schedule!$A$1:$A$33)),5,1,1,"Sched Overlap")))</f>
        <v>0.63573463573463573</v>
      </c>
      <c r="K690" s="92" cm="1">
        <f t="array" aca="1" ref="K69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90" s="95">
        <f ca="1">IF(Table2[[#This Row],[Team]]="FA",0,Table2[[#This Row],[Pts/G]]*(Table2[[#This Row],[Games Playable]]/82))</f>
        <v>3.2804878048780486</v>
      </c>
      <c r="M690" s="95" cm="1">
        <f t="array" aca="1" ref="M690" ca="1">Table2[[#This Row],[Playable x Score]]*_xlfn.IFS(Table2[[#This Row],[Pos]]="D",assumptions!$B$15,Table2[[#This Row],[Pos]]="F", assumptions!$B$14,Table2[[#This Row],[Pos]]="G",assumptions!$B$16)</f>
        <v>3.2804878048780486</v>
      </c>
    </row>
    <row r="691" spans="1:13" x14ac:dyDescent="0.3">
      <c r="A691">
        <f>'score estimates'!$A691</f>
        <v>688</v>
      </c>
      <c r="B691" t="str">
        <f>'score estimates'!$B691</f>
        <v>Jake Sanderson</v>
      </c>
      <c r="C691" t="str">
        <f>'score estimates'!$D691</f>
        <v>D</v>
      </c>
      <c r="D691" t="str">
        <f>'score estimates'!$C691</f>
        <v>OTT</v>
      </c>
      <c r="E691" s="75">
        <f>'score estimates'!$F691</f>
        <v>3.4146341463414633</v>
      </c>
      <c r="F691" s="71">
        <f>'score estimates'!$G691</f>
        <v>781</v>
      </c>
      <c r="G691" s="71" t="s">
        <v>983</v>
      </c>
      <c r="H691" s="72" cm="1">
        <f t="array" aca="1" ref="H69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91" s="96">
        <f ca="1">IF(Table2[[#This Row],[Team]]="FA",0,Table2[[#This Row],[Pts/G]]*(1-Table2[[#This Row],[% Pos Overlap]]))</f>
        <v>3.4146341463414633</v>
      </c>
      <c r="J691" s="72" cm="1">
        <f t="array" aca="1" ref="J691" ca="1">(INDIRECT(ADDRESS((_xlfn.XMATCH(Table2[[#This Row],[Team]],Schedule!$A$1:$A$33)),5,1,1,"Sched Overlap")))</f>
        <v>0.64306064306064303</v>
      </c>
      <c r="K691" s="92" cm="1">
        <f t="array" aca="1" ref="K69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91" s="95">
        <f ca="1">IF(Table2[[#This Row],[Team]]="FA",0,Table2[[#This Row],[Pts/G]]*(Table2[[#This Row],[Games Playable]]/82))</f>
        <v>3.4146341463414633</v>
      </c>
      <c r="M691" s="95" cm="1">
        <f t="array" aca="1" ref="M691" ca="1">Table2[[#This Row],[Playable x Score]]*_xlfn.IFS(Table2[[#This Row],[Pos]]="D",assumptions!$B$15,Table2[[#This Row],[Pos]]="F", assumptions!$B$14,Table2[[#This Row],[Pos]]="G",assumptions!$B$16)</f>
        <v>4.2682926829268295</v>
      </c>
    </row>
    <row r="692" spans="1:13" x14ac:dyDescent="0.3">
      <c r="A692">
        <f>'score estimates'!$A692</f>
        <v>689</v>
      </c>
      <c r="B692" t="str">
        <f>'score estimates'!$B692</f>
        <v>John Leonard</v>
      </c>
      <c r="C692" t="str">
        <f>'score estimates'!$D692</f>
        <v>F</v>
      </c>
      <c r="D692" t="str">
        <f>'score estimates'!$C692</f>
        <v>NSH</v>
      </c>
      <c r="E692" s="75">
        <f>'score estimates'!$F692</f>
        <v>3.2439024390243905</v>
      </c>
      <c r="F692" s="71">
        <f>'score estimates'!$G692</f>
        <v>788</v>
      </c>
      <c r="G692" s="71" t="s">
        <v>983</v>
      </c>
      <c r="H692" s="72" cm="1">
        <f t="array" aca="1" ref="H69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92" s="96">
        <f ca="1">IF(Table2[[#This Row],[Team]]="FA",0,Table2[[#This Row],[Pts/G]]*(1-Table2[[#This Row],[% Pos Overlap]]))</f>
        <v>3.2439024390243905</v>
      </c>
      <c r="J692" s="72" cm="1">
        <f t="array" aca="1" ref="J692" ca="1">(INDIRECT(ADDRESS((_xlfn.XMATCH(Table2[[#This Row],[Team]],Schedule!$A$1:$A$33)),5,1,1,"Sched Overlap")))</f>
        <v>0.67806267806267806</v>
      </c>
      <c r="K692" s="92" cm="1">
        <f t="array" aca="1" ref="K69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92" s="95">
        <f ca="1">IF(Table2[[#This Row],[Team]]="FA",0,Table2[[#This Row],[Pts/G]]*(Table2[[#This Row],[Games Playable]]/82))</f>
        <v>3.2439024390243905</v>
      </c>
      <c r="M692" s="95" cm="1">
        <f t="array" aca="1" ref="M692" ca="1">Table2[[#This Row],[Playable x Score]]*_xlfn.IFS(Table2[[#This Row],[Pos]]="D",assumptions!$B$15,Table2[[#This Row],[Pos]]="F", assumptions!$B$14,Table2[[#This Row],[Pos]]="G",assumptions!$B$16)</f>
        <v>3.2439024390243905</v>
      </c>
    </row>
    <row r="693" spans="1:13" x14ac:dyDescent="0.3">
      <c r="A693">
        <f>'score estimates'!$A693</f>
        <v>690</v>
      </c>
      <c r="B693" t="str">
        <f>'score estimates'!$B693</f>
        <v>John-Jason Peterka</v>
      </c>
      <c r="C693" t="str">
        <f>'score estimates'!$D693</f>
        <v>F</v>
      </c>
      <c r="D693" t="str">
        <f>'score estimates'!$C693</f>
        <v>BUF</v>
      </c>
      <c r="E693" s="75">
        <f>'score estimates'!$F693</f>
        <v>2.5975609756097562</v>
      </c>
      <c r="F693" s="71">
        <f>'score estimates'!$G693</f>
        <v>820</v>
      </c>
      <c r="G693" s="71" t="s">
        <v>983</v>
      </c>
      <c r="H693" s="72" cm="1">
        <f t="array" aca="1" ref="H69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93" s="96">
        <f ca="1">IF(Table2[[#This Row],[Team]]="FA",0,Table2[[#This Row],[Pts/G]]*(1-Table2[[#This Row],[% Pos Overlap]]))</f>
        <v>2.5975609756097562</v>
      </c>
      <c r="J693" s="72" cm="1">
        <f t="array" aca="1" ref="J693" ca="1">(INDIRECT(ADDRESS((_xlfn.XMATCH(Table2[[#This Row],[Team]],Schedule!$A$1:$A$33)),5,1,1,"Sched Overlap")))</f>
        <v>0.63573463573463573</v>
      </c>
      <c r="K693" s="92" cm="1">
        <f t="array" aca="1" ref="K69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93" s="95">
        <f ca="1">IF(Table2[[#This Row],[Team]]="FA",0,Table2[[#This Row],[Pts/G]]*(Table2[[#This Row],[Games Playable]]/82))</f>
        <v>2.5975609756097562</v>
      </c>
      <c r="M693" s="95" cm="1">
        <f t="array" aca="1" ref="M693" ca="1">Table2[[#This Row],[Playable x Score]]*_xlfn.IFS(Table2[[#This Row],[Pos]]="D",assumptions!$B$15,Table2[[#This Row],[Pos]]="F", assumptions!$B$14,Table2[[#This Row],[Pos]]="G",assumptions!$B$16)</f>
        <v>2.5975609756097562</v>
      </c>
    </row>
    <row r="694" spans="1:13" x14ac:dyDescent="0.3">
      <c r="A694">
        <f>'score estimates'!$A694</f>
        <v>691</v>
      </c>
      <c r="B694" t="str">
        <f>'score estimates'!$B694</f>
        <v>Gregory Hofmann</v>
      </c>
      <c r="C694" t="str">
        <f>'score estimates'!$D694</f>
        <v>F</v>
      </c>
      <c r="D694" t="str">
        <f>'score estimates'!$C694</f>
        <v>FA</v>
      </c>
      <c r="E694" s="75">
        <f>'score estimates'!$F694</f>
        <v>4.975609756097561</v>
      </c>
      <c r="F694" s="71">
        <f>'score estimates'!$G694</f>
        <v>722</v>
      </c>
      <c r="G694" s="71" t="s">
        <v>983</v>
      </c>
      <c r="H694" s="72" t="e" cm="1">
        <f t="array" aca="1" ref="H694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694" s="96">
        <f>IF(Table2[[#This Row],[Team]]="FA",0,Table2[[#This Row],[Pts/G]]*(1-Table2[[#This Row],[% Pos Overlap]]))</f>
        <v>0</v>
      </c>
      <c r="J694" s="72" t="e" cm="1">
        <f t="array" aca="1" ref="J694" ca="1">(INDIRECT(ADDRESS((_xlfn.XMATCH(Table2[[#This Row],[Team]],Schedule!$A$1:$A$33)),5,1,1,"Sched Overlap")))</f>
        <v>#N/A</v>
      </c>
      <c r="K694" s="92" t="e" cm="1">
        <f t="array" aca="1" ref="K694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694" s="95">
        <f>IF(Table2[[#This Row],[Team]]="FA",0,Table2[[#This Row],[Pts/G]]*(Table2[[#This Row],[Games Playable]]/82))</f>
        <v>0</v>
      </c>
      <c r="M694" s="95" cm="1">
        <f t="array" ref="M694">Table2[[#This Row],[Playable x Score]]*_xlfn.IFS(Table2[[#This Row],[Pos]]="D",assumptions!$B$15,Table2[[#This Row],[Pos]]="F", assumptions!$B$14,Table2[[#This Row],[Pos]]="G",assumptions!$B$16)</f>
        <v>0</v>
      </c>
    </row>
    <row r="695" spans="1:13" x14ac:dyDescent="0.3">
      <c r="A695">
        <f>'score estimates'!$A695</f>
        <v>692</v>
      </c>
      <c r="B695" t="str">
        <f>'score estimates'!$B695</f>
        <v>Yegor Chinakhov</v>
      </c>
      <c r="C695" t="str">
        <f>'score estimates'!$D695</f>
        <v>F</v>
      </c>
      <c r="D695" t="str">
        <f>'score estimates'!$C695</f>
        <v>CLS</v>
      </c>
      <c r="E695" s="75">
        <f>'score estimates'!$F695</f>
        <v>3.2682926829268291</v>
      </c>
      <c r="F695" s="71">
        <f>'score estimates'!$G695</f>
        <v>787</v>
      </c>
      <c r="G695" s="71" t="s">
        <v>983</v>
      </c>
      <c r="H695" s="72" cm="1">
        <f t="array" aca="1" ref="H69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95" s="96">
        <f ca="1">IF(Table2[[#This Row],[Team]]="FA",0,Table2[[#This Row],[Pts/G]]*(1-Table2[[#This Row],[% Pos Overlap]]))</f>
        <v>3.2682926829268291</v>
      </c>
      <c r="J695" s="72" cm="1">
        <f t="array" aca="1" ref="J695" ca="1">(INDIRECT(ADDRESS((_xlfn.XMATCH(Table2[[#This Row],[Team]],Schedule!$A$1:$A$33)),5,1,1,"Sched Overlap")))</f>
        <v>0.64875864875864886</v>
      </c>
      <c r="K695" s="92" cm="1">
        <f t="array" aca="1" ref="K69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95" s="95">
        <f ca="1">IF(Table2[[#This Row],[Team]]="FA",0,Table2[[#This Row],[Pts/G]]*(Table2[[#This Row],[Games Playable]]/82))</f>
        <v>3.2682926829268291</v>
      </c>
      <c r="M695" s="95" cm="1">
        <f t="array" aca="1" ref="M695" ca="1">Table2[[#This Row],[Playable x Score]]*_xlfn.IFS(Table2[[#This Row],[Pos]]="D",assumptions!$B$15,Table2[[#This Row],[Pos]]="F", assumptions!$B$14,Table2[[#This Row],[Pos]]="G",assumptions!$B$16)</f>
        <v>3.2682926829268291</v>
      </c>
    </row>
    <row r="696" spans="1:13" x14ac:dyDescent="0.3">
      <c r="A696">
        <f>'score estimates'!$A696</f>
        <v>693</v>
      </c>
      <c r="B696" t="str">
        <f>'score estimates'!$B696</f>
        <v>Benoit-Olivier Groulx</v>
      </c>
      <c r="C696" t="str">
        <f>'score estimates'!$D696</f>
        <v>F</v>
      </c>
      <c r="D696" t="str">
        <f>'score estimates'!$C696</f>
        <v>ANH</v>
      </c>
      <c r="E696" s="75">
        <f>'score estimates'!$F696</f>
        <v>4.0609756097560972</v>
      </c>
      <c r="F696" s="71">
        <f>'score estimates'!$G696</f>
        <v>757</v>
      </c>
      <c r="G696" s="71" t="s">
        <v>983</v>
      </c>
      <c r="H696" s="72" cm="1">
        <f t="array" aca="1" ref="H69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96" s="96">
        <f ca="1">IF(Table2[[#This Row],[Team]]="FA",0,Table2[[#This Row],[Pts/G]]*(1-Table2[[#This Row],[% Pos Overlap]]))</f>
        <v>4.0609756097560972</v>
      </c>
      <c r="J696" s="72" cm="1">
        <f t="array" aca="1" ref="J696" ca="1">(INDIRECT(ADDRESS((_xlfn.XMATCH(Table2[[#This Row],[Team]],Schedule!$A$1:$A$33)),5,1,1,"Sched Overlap")))</f>
        <v>0.56410256410256399</v>
      </c>
      <c r="K696" s="92" cm="1">
        <f t="array" aca="1" ref="K69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96" s="95">
        <f ca="1">IF(Table2[[#This Row],[Team]]="FA",0,Table2[[#This Row],[Pts/G]]*(Table2[[#This Row],[Games Playable]]/82))</f>
        <v>4.0609756097560972</v>
      </c>
      <c r="M696" s="95" cm="1">
        <f t="array" aca="1" ref="M696" ca="1">Table2[[#This Row],[Playable x Score]]*_xlfn.IFS(Table2[[#This Row],[Pos]]="D",assumptions!$B$15,Table2[[#This Row],[Pos]]="F", assumptions!$B$14,Table2[[#This Row],[Pos]]="G",assumptions!$B$16)</f>
        <v>4.0609756097560972</v>
      </c>
    </row>
    <row r="697" spans="1:13" x14ac:dyDescent="0.3">
      <c r="A697">
        <f>'score estimates'!$A697</f>
        <v>694</v>
      </c>
      <c r="B697" t="str">
        <f>'score estimates'!$B697</f>
        <v>Zac Jones</v>
      </c>
      <c r="C697" t="str">
        <f>'score estimates'!$D697</f>
        <v>D</v>
      </c>
      <c r="D697" t="str">
        <f>'score estimates'!$C697</f>
        <v>NYR</v>
      </c>
      <c r="E697" s="75">
        <f>'score estimates'!$F697</f>
        <v>2.9512195121951219</v>
      </c>
      <c r="F697" s="71">
        <f>'score estimates'!$G697</f>
        <v>800</v>
      </c>
      <c r="G697" s="71" t="s">
        <v>983</v>
      </c>
      <c r="H697" s="72" cm="1">
        <f t="array" aca="1" ref="H69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97" s="96">
        <f ca="1">IF(Table2[[#This Row],[Team]]="FA",0,Table2[[#This Row],[Pts/G]]*(1-Table2[[#This Row],[% Pos Overlap]]))</f>
        <v>2.9512195121951219</v>
      </c>
      <c r="J697" s="72" cm="1">
        <f t="array" aca="1" ref="J697" ca="1">(INDIRECT(ADDRESS((_xlfn.XMATCH(Table2[[#This Row],[Team]],Schedule!$A$1:$A$33)),5,1,1,"Sched Overlap")))</f>
        <v>0.60236060236060229</v>
      </c>
      <c r="K697" s="92" cm="1">
        <f t="array" aca="1" ref="K69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97" s="95">
        <f ca="1">IF(Table2[[#This Row],[Team]]="FA",0,Table2[[#This Row],[Pts/G]]*(Table2[[#This Row],[Games Playable]]/82))</f>
        <v>2.9512195121951219</v>
      </c>
      <c r="M697" s="95" cm="1">
        <f t="array" aca="1" ref="M697" ca="1">Table2[[#This Row],[Playable x Score]]*_xlfn.IFS(Table2[[#This Row],[Pos]]="D",assumptions!$B$15,Table2[[#This Row],[Pos]]="F", assumptions!$B$14,Table2[[#This Row],[Pos]]="G",assumptions!$B$16)</f>
        <v>3.6890243902439024</v>
      </c>
    </row>
    <row r="698" spans="1:13" x14ac:dyDescent="0.3">
      <c r="A698">
        <f>'score estimates'!$A698</f>
        <v>695</v>
      </c>
      <c r="B698" t="str">
        <f>'score estimates'!$B698</f>
        <v>Gerald Mayhew</v>
      </c>
      <c r="C698" t="str">
        <f>'score estimates'!$D698</f>
        <v>F</v>
      </c>
      <c r="D698" t="str">
        <f>'score estimates'!$C698</f>
        <v>FLA</v>
      </c>
      <c r="E698" s="75">
        <f>'score estimates'!$F698</f>
        <v>5.2560975609756095</v>
      </c>
      <c r="F698" s="71">
        <f>'score estimates'!$G698</f>
        <v>714</v>
      </c>
      <c r="G698" s="71" t="s">
        <v>983</v>
      </c>
      <c r="H698" s="72" cm="1">
        <f t="array" aca="1" ref="H69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98" s="96">
        <f ca="1">IF(Table2[[#This Row],[Team]]="FA",0,Table2[[#This Row],[Pts/G]]*(1-Table2[[#This Row],[% Pos Overlap]]))</f>
        <v>5.2560975609756095</v>
      </c>
      <c r="J698" s="72" cm="1">
        <f t="array" aca="1" ref="J698" ca="1">(INDIRECT(ADDRESS((_xlfn.XMATCH(Table2[[#This Row],[Team]],Schedule!$A$1:$A$33)),5,1,1,"Sched Overlap")))</f>
        <v>0.64387464387464377</v>
      </c>
      <c r="K698" s="92" cm="1">
        <f t="array" aca="1" ref="K69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98" s="95">
        <f ca="1">IF(Table2[[#This Row],[Team]]="FA",0,Table2[[#This Row],[Pts/G]]*(Table2[[#This Row],[Games Playable]]/82))</f>
        <v>5.2560975609756095</v>
      </c>
      <c r="M698" s="95" cm="1">
        <f t="array" aca="1" ref="M698" ca="1">Table2[[#This Row],[Playable x Score]]*_xlfn.IFS(Table2[[#This Row],[Pos]]="D",assumptions!$B$15,Table2[[#This Row],[Pos]]="F", assumptions!$B$14,Table2[[#This Row],[Pos]]="G",assumptions!$B$16)</f>
        <v>5.2560975609756095</v>
      </c>
    </row>
    <row r="699" spans="1:13" x14ac:dyDescent="0.3">
      <c r="A699">
        <f>'score estimates'!$A699</f>
        <v>696</v>
      </c>
      <c r="B699" t="str">
        <f>'score estimates'!$B699</f>
        <v>Mathieu Olivier</v>
      </c>
      <c r="C699" t="str">
        <f>'score estimates'!$D699</f>
        <v>F</v>
      </c>
      <c r="D699" t="str">
        <f>'score estimates'!$C699</f>
        <v>CLS</v>
      </c>
      <c r="E699" s="75">
        <f>'score estimates'!$F699</f>
        <v>5.5121951219512191</v>
      </c>
      <c r="F699" s="71">
        <f>'score estimates'!$G699</f>
        <v>706</v>
      </c>
      <c r="G699" s="71" t="s">
        <v>983</v>
      </c>
      <c r="H699" s="72" cm="1">
        <f t="array" aca="1" ref="H69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699" s="96">
        <f ca="1">IF(Table2[[#This Row],[Team]]="FA",0,Table2[[#This Row],[Pts/G]]*(1-Table2[[#This Row],[% Pos Overlap]]))</f>
        <v>5.5121951219512191</v>
      </c>
      <c r="J699" s="72" cm="1">
        <f t="array" aca="1" ref="J699" ca="1">(INDIRECT(ADDRESS((_xlfn.XMATCH(Table2[[#This Row],[Team]],Schedule!$A$1:$A$33)),5,1,1,"Sched Overlap")))</f>
        <v>0.64875864875864886</v>
      </c>
      <c r="K699" s="92" cm="1">
        <f t="array" aca="1" ref="K69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699" s="95">
        <f ca="1">IF(Table2[[#This Row],[Team]]="FA",0,Table2[[#This Row],[Pts/G]]*(Table2[[#This Row],[Games Playable]]/82))</f>
        <v>5.5121951219512191</v>
      </c>
      <c r="M699" s="95" cm="1">
        <f t="array" aca="1" ref="M699" ca="1">Table2[[#This Row],[Playable x Score]]*_xlfn.IFS(Table2[[#This Row],[Pos]]="D",assumptions!$B$15,Table2[[#This Row],[Pos]]="F", assumptions!$B$14,Table2[[#This Row],[Pos]]="G",assumptions!$B$16)</f>
        <v>5.5121951219512191</v>
      </c>
    </row>
    <row r="700" spans="1:13" x14ac:dyDescent="0.3">
      <c r="A700">
        <f>'score estimates'!$A700</f>
        <v>697</v>
      </c>
      <c r="B700" t="str">
        <f>'score estimates'!$B700</f>
        <v>Reese Johnson</v>
      </c>
      <c r="C700" t="str">
        <f>'score estimates'!$D700</f>
        <v>F</v>
      </c>
      <c r="D700" t="str">
        <f>'score estimates'!$C700</f>
        <v>CHI</v>
      </c>
      <c r="E700" s="75">
        <f>'score estimates'!$F700</f>
        <v>5.4512195121951219</v>
      </c>
      <c r="F700" s="71">
        <f>'score estimates'!$G700</f>
        <v>708</v>
      </c>
      <c r="G700" s="71" t="s">
        <v>983</v>
      </c>
      <c r="H700" s="72" cm="1">
        <f t="array" aca="1" ref="H70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00" s="96">
        <f ca="1">IF(Table2[[#This Row],[Team]]="FA",0,Table2[[#This Row],[Pts/G]]*(1-Table2[[#This Row],[% Pos Overlap]]))</f>
        <v>5.4512195121951219</v>
      </c>
      <c r="J700" s="72" cm="1">
        <f t="array" aca="1" ref="J700" ca="1">(INDIRECT(ADDRESS((_xlfn.XMATCH(Table2[[#This Row],[Team]],Schedule!$A$1:$A$33)),5,1,1,"Sched Overlap")))</f>
        <v>0.6243386243386243</v>
      </c>
      <c r="K700" s="92" cm="1">
        <f t="array" aca="1" ref="K70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00" s="95">
        <f ca="1">IF(Table2[[#This Row],[Team]]="FA",0,Table2[[#This Row],[Pts/G]]*(Table2[[#This Row],[Games Playable]]/82))</f>
        <v>5.4512195121951219</v>
      </c>
      <c r="M700" s="95" cm="1">
        <f t="array" aca="1" ref="M700" ca="1">Table2[[#This Row],[Playable x Score]]*_xlfn.IFS(Table2[[#This Row],[Pos]]="D",assumptions!$B$15,Table2[[#This Row],[Pos]]="F", assumptions!$B$14,Table2[[#This Row],[Pos]]="G",assumptions!$B$16)</f>
        <v>5.4512195121951219</v>
      </c>
    </row>
    <row r="701" spans="1:13" x14ac:dyDescent="0.3">
      <c r="A701">
        <f>'score estimates'!$A701</f>
        <v>698</v>
      </c>
      <c r="B701" t="str">
        <f>'score estimates'!$B701</f>
        <v>Jakob Pelletier</v>
      </c>
      <c r="C701" t="str">
        <f>'score estimates'!$D701</f>
        <v>F</v>
      </c>
      <c r="D701" t="str">
        <f>'score estimates'!$C701</f>
        <v>CGY</v>
      </c>
      <c r="E701" s="75">
        <f>'score estimates'!$F701</f>
        <v>2</v>
      </c>
      <c r="F701" s="71">
        <f>'score estimates'!$G701</f>
        <v>853</v>
      </c>
      <c r="G701" s="71" t="s">
        <v>983</v>
      </c>
      <c r="H701" s="72" cm="1">
        <f t="array" aca="1" ref="H70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01" s="96">
        <f ca="1">IF(Table2[[#This Row],[Team]]="FA",0,Table2[[#This Row],[Pts/G]]*(1-Table2[[#This Row],[% Pos Overlap]]))</f>
        <v>2</v>
      </c>
      <c r="J701" s="72" cm="1">
        <f t="array" aca="1" ref="J701" ca="1">(INDIRECT(ADDRESS((_xlfn.XMATCH(Table2[[#This Row],[Team]],Schedule!$A$1:$A$33)),5,1,1,"Sched Overlap")))</f>
        <v>0.63003663003663002</v>
      </c>
      <c r="K701" s="92" cm="1">
        <f t="array" aca="1" ref="K70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01" s="95">
        <f ca="1">IF(Table2[[#This Row],[Team]]="FA",0,Table2[[#This Row],[Pts/G]]*(Table2[[#This Row],[Games Playable]]/82))</f>
        <v>2</v>
      </c>
      <c r="M701" s="95" cm="1">
        <f t="array" aca="1" ref="M701" ca="1">Table2[[#This Row],[Playable x Score]]*_xlfn.IFS(Table2[[#This Row],[Pos]]="D",assumptions!$B$15,Table2[[#This Row],[Pos]]="F", assumptions!$B$14,Table2[[#This Row],[Pos]]="G",assumptions!$B$16)</f>
        <v>2</v>
      </c>
    </row>
    <row r="702" spans="1:13" x14ac:dyDescent="0.3">
      <c r="A702">
        <f>'score estimates'!$A702</f>
        <v>699</v>
      </c>
      <c r="B702" t="str">
        <f>'score estimates'!$B702</f>
        <v>Mikhail Maltsev</v>
      </c>
      <c r="C702" t="str">
        <f>'score estimates'!$D702</f>
        <v>F</v>
      </c>
      <c r="D702" t="str">
        <f>'score estimates'!$C702</f>
        <v>COL</v>
      </c>
      <c r="E702" s="75">
        <f>'score estimates'!$F702</f>
        <v>4.3048780487804876</v>
      </c>
      <c r="F702" s="71">
        <f>'score estimates'!$G702</f>
        <v>742</v>
      </c>
      <c r="G702" s="71" t="s">
        <v>983</v>
      </c>
      <c r="H702" s="72" cm="1">
        <f t="array" aca="1" ref="H70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02" s="96">
        <f ca="1">IF(Table2[[#This Row],[Team]]="FA",0,Table2[[#This Row],[Pts/G]]*(1-Table2[[#This Row],[% Pos Overlap]]))</f>
        <v>4.3048780487804876</v>
      </c>
      <c r="J702" s="72" cm="1">
        <f t="array" aca="1" ref="J702" ca="1">(INDIRECT(ADDRESS((_xlfn.XMATCH(Table2[[#This Row],[Team]],Schedule!$A$1:$A$33)),5,1,1,"Sched Overlap")))</f>
        <v>0.61131461131461151</v>
      </c>
      <c r="K702" s="92" cm="1">
        <f t="array" aca="1" ref="K70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02" s="95">
        <f ca="1">IF(Table2[[#This Row],[Team]]="FA",0,Table2[[#This Row],[Pts/G]]*(Table2[[#This Row],[Games Playable]]/82))</f>
        <v>4.3048780487804876</v>
      </c>
      <c r="M702" s="95" cm="1">
        <f t="array" aca="1" ref="M702" ca="1">Table2[[#This Row],[Playable x Score]]*_xlfn.IFS(Table2[[#This Row],[Pos]]="D",assumptions!$B$15,Table2[[#This Row],[Pos]]="F", assumptions!$B$14,Table2[[#This Row],[Pos]]="G",assumptions!$B$16)</f>
        <v>4.3048780487804876</v>
      </c>
    </row>
    <row r="703" spans="1:13" x14ac:dyDescent="0.3">
      <c r="A703">
        <f>'score estimates'!$A703</f>
        <v>700</v>
      </c>
      <c r="B703" t="str">
        <f>'score estimates'!$B703</f>
        <v>Nick Robertson</v>
      </c>
      <c r="C703" t="str">
        <f>'score estimates'!$D703</f>
        <v>F</v>
      </c>
      <c r="D703" t="str">
        <f>'score estimates'!$C703</f>
        <v>TOR</v>
      </c>
      <c r="E703" s="75">
        <f>'score estimates'!$F703</f>
        <v>3.3292682926829267</v>
      </c>
      <c r="F703" s="71">
        <f>'score estimates'!$G703</f>
        <v>783</v>
      </c>
      <c r="G703" s="71" t="s">
        <v>983</v>
      </c>
      <c r="H703" s="72" cm="1">
        <f t="array" aca="1" ref="H70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03" s="96">
        <f ca="1">IF(Table2[[#This Row],[Team]]="FA",0,Table2[[#This Row],[Pts/G]]*(1-Table2[[#This Row],[% Pos Overlap]]))</f>
        <v>3.3292682926829267</v>
      </c>
      <c r="J703" s="72" cm="1">
        <f t="array" aca="1" ref="J703" ca="1">(INDIRECT(ADDRESS((_xlfn.XMATCH(Table2[[#This Row],[Team]],Schedule!$A$1:$A$33)),5,1,1,"Sched Overlap")))</f>
        <v>0.62922262922262928</v>
      </c>
      <c r="K703" s="92" cm="1">
        <f t="array" aca="1" ref="K70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03" s="95">
        <f ca="1">IF(Table2[[#This Row],[Team]]="FA",0,Table2[[#This Row],[Pts/G]]*(Table2[[#This Row],[Games Playable]]/82))</f>
        <v>3.3292682926829267</v>
      </c>
      <c r="M703" s="95" cm="1">
        <f t="array" aca="1" ref="M703" ca="1">Table2[[#This Row],[Playable x Score]]*_xlfn.IFS(Table2[[#This Row],[Pos]]="D",assumptions!$B$15,Table2[[#This Row],[Pos]]="F", assumptions!$B$14,Table2[[#This Row],[Pos]]="G",assumptions!$B$16)</f>
        <v>3.3292682926829267</v>
      </c>
    </row>
    <row r="704" spans="1:13" x14ac:dyDescent="0.3">
      <c r="A704">
        <f>'score estimates'!$A704</f>
        <v>701</v>
      </c>
      <c r="B704" t="str">
        <f>'score estimates'!$B704</f>
        <v>Connor McMichael</v>
      </c>
      <c r="C704" t="str">
        <f>'score estimates'!$D704</f>
        <v>F</v>
      </c>
      <c r="D704" t="str">
        <f>'score estimates'!$C704</f>
        <v>WAS</v>
      </c>
      <c r="E704" s="75">
        <f>'score estimates'!$F704</f>
        <v>2.6463414634146343</v>
      </c>
      <c r="F704" s="71">
        <f>'score estimates'!$G704</f>
        <v>818</v>
      </c>
      <c r="G704" s="71" t="s">
        <v>983</v>
      </c>
      <c r="H704" s="72" cm="1">
        <f t="array" aca="1" ref="H70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04" s="96">
        <f ca="1">IF(Table2[[#This Row],[Team]]="FA",0,Table2[[#This Row],[Pts/G]]*(1-Table2[[#This Row],[% Pos Overlap]]))</f>
        <v>2.6463414634146343</v>
      </c>
      <c r="J704" s="72" cm="1">
        <f t="array" aca="1" ref="J704" ca="1">(INDIRECT(ADDRESS((_xlfn.XMATCH(Table2[[#This Row],[Team]],Schedule!$A$1:$A$33)),5,1,1,"Sched Overlap")))</f>
        <v>0.65282865282865288</v>
      </c>
      <c r="K704" s="92" cm="1">
        <f t="array" aca="1" ref="K70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04" s="95">
        <f ca="1">IF(Table2[[#This Row],[Team]]="FA",0,Table2[[#This Row],[Pts/G]]*(Table2[[#This Row],[Games Playable]]/82))</f>
        <v>2.6463414634146343</v>
      </c>
      <c r="M704" s="95" cm="1">
        <f t="array" aca="1" ref="M704" ca="1">Table2[[#This Row],[Playable x Score]]*_xlfn.IFS(Table2[[#This Row],[Pos]]="D",assumptions!$B$15,Table2[[#This Row],[Pos]]="F", assumptions!$B$14,Table2[[#This Row],[Pos]]="G",assumptions!$B$16)</f>
        <v>2.6463414634146343</v>
      </c>
    </row>
    <row r="705" spans="1:13" x14ac:dyDescent="0.3">
      <c r="A705">
        <f>'score estimates'!$A705</f>
        <v>702</v>
      </c>
      <c r="B705" t="str">
        <f>'score estimates'!$B705</f>
        <v>Ville Heinola</v>
      </c>
      <c r="C705" t="str">
        <f>'score estimates'!$D705</f>
        <v>D</v>
      </c>
      <c r="D705" t="str">
        <f>'score estimates'!$C705</f>
        <v>WPG</v>
      </c>
      <c r="E705" s="75">
        <f>'score estimates'!$F705</f>
        <v>3.5121951219512195</v>
      </c>
      <c r="F705" s="71">
        <f>'score estimates'!$G705</f>
        <v>775</v>
      </c>
      <c r="G705" s="71" t="s">
        <v>983</v>
      </c>
      <c r="H705" s="72" cm="1">
        <f t="array" aca="1" ref="H70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05" s="96">
        <f ca="1">IF(Table2[[#This Row],[Team]]="FA",0,Table2[[#This Row],[Pts/G]]*(1-Table2[[#This Row],[% Pos Overlap]]))</f>
        <v>3.5121951219512195</v>
      </c>
      <c r="J705" s="72" cm="1">
        <f t="array" aca="1" ref="J705" ca="1">(INDIRECT(ADDRESS((_xlfn.XMATCH(Table2[[#This Row],[Team]],Schedule!$A$1:$A$33)),5,1,1,"Sched Overlap")))</f>
        <v>0.61212861212861214</v>
      </c>
      <c r="K705" s="92" cm="1">
        <f t="array" aca="1" ref="K70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05" s="95">
        <f ca="1">IF(Table2[[#This Row],[Team]]="FA",0,Table2[[#This Row],[Pts/G]]*(Table2[[#This Row],[Games Playable]]/82))</f>
        <v>3.5121951219512195</v>
      </c>
      <c r="M705" s="95" cm="1">
        <f t="array" aca="1" ref="M705" ca="1">Table2[[#This Row],[Playable x Score]]*_xlfn.IFS(Table2[[#This Row],[Pos]]="D",assumptions!$B$15,Table2[[#This Row],[Pos]]="F", assumptions!$B$14,Table2[[#This Row],[Pos]]="G",assumptions!$B$16)</f>
        <v>4.3902439024390247</v>
      </c>
    </row>
    <row r="706" spans="1:13" x14ac:dyDescent="0.3">
      <c r="A706">
        <f>'score estimates'!$A706</f>
        <v>703</v>
      </c>
      <c r="B706" t="str">
        <f>'score estimates'!$B706</f>
        <v>Karson Kuhlman</v>
      </c>
      <c r="C706" t="str">
        <f>'score estimates'!$D706</f>
        <v>F</v>
      </c>
      <c r="D706" t="str">
        <f>'score estimates'!$C706</f>
        <v>SEA</v>
      </c>
      <c r="E706" s="75">
        <f>'score estimates'!$F706</f>
        <v>3.1219512195121952</v>
      </c>
      <c r="F706" s="71">
        <f>'score estimates'!$G706</f>
        <v>795</v>
      </c>
      <c r="G706" s="71" t="s">
        <v>983</v>
      </c>
      <c r="H706" s="72" cm="1">
        <f t="array" aca="1" ref="H70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06" s="96">
        <f ca="1">IF(Table2[[#This Row],[Team]]="FA",0,Table2[[#This Row],[Pts/G]]*(1-Table2[[#This Row],[% Pos Overlap]]))</f>
        <v>3.1219512195121952</v>
      </c>
      <c r="J706" s="72" cm="1">
        <f t="array" aca="1" ref="J706" ca="1">(INDIRECT(ADDRESS((_xlfn.XMATCH(Table2[[#This Row],[Team]],Schedule!$A$1:$A$33)),5,1,1,"Sched Overlap")))</f>
        <v>0.63085063085063087</v>
      </c>
      <c r="K706" s="92" cm="1">
        <f t="array" aca="1" ref="K70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06" s="95">
        <f ca="1">IF(Table2[[#This Row],[Team]]="FA",0,Table2[[#This Row],[Pts/G]]*(Table2[[#This Row],[Games Playable]]/82))</f>
        <v>3.1219512195121952</v>
      </c>
      <c r="M706" s="95" cm="1">
        <f t="array" aca="1" ref="M706" ca="1">Table2[[#This Row],[Playable x Score]]*_xlfn.IFS(Table2[[#This Row],[Pos]]="D",assumptions!$B$15,Table2[[#This Row],[Pos]]="F", assumptions!$B$14,Table2[[#This Row],[Pos]]="G",assumptions!$B$16)</f>
        <v>3.1219512195121952</v>
      </c>
    </row>
    <row r="707" spans="1:13" x14ac:dyDescent="0.3">
      <c r="A707">
        <f>'score estimates'!$A707</f>
        <v>704</v>
      </c>
      <c r="B707" t="str">
        <f>'score estimates'!$B707</f>
        <v>Vinni Lettieri</v>
      </c>
      <c r="C707" t="str">
        <f>'score estimates'!$D707</f>
        <v>F</v>
      </c>
      <c r="D707" t="str">
        <f>'score estimates'!$C707</f>
        <v>BOS</v>
      </c>
      <c r="E707" s="75">
        <f>'score estimates'!$F707</f>
        <v>3.4634146341463414</v>
      </c>
      <c r="F707" s="71">
        <f>'score estimates'!$G707</f>
        <v>777</v>
      </c>
      <c r="G707" s="71" t="s">
        <v>983</v>
      </c>
      <c r="H707" s="72" cm="1">
        <f t="array" aca="1" ref="H70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07" s="96">
        <f ca="1">IF(Table2[[#This Row],[Team]]="FA",0,Table2[[#This Row],[Pts/G]]*(1-Table2[[#This Row],[% Pos Overlap]]))</f>
        <v>3.4634146341463414</v>
      </c>
      <c r="J707" s="72" cm="1">
        <f t="array" aca="1" ref="J707" ca="1">(INDIRECT(ADDRESS((_xlfn.XMATCH(Table2[[#This Row],[Team]],Schedule!$A$1:$A$33)),5,1,1,"Sched Overlap")))</f>
        <v>0.67236467236467234</v>
      </c>
      <c r="K707" s="92" cm="1">
        <f t="array" aca="1" ref="K70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07" s="95">
        <f ca="1">IF(Table2[[#This Row],[Team]]="FA",0,Table2[[#This Row],[Pts/G]]*(Table2[[#This Row],[Games Playable]]/82))</f>
        <v>3.4634146341463414</v>
      </c>
      <c r="M707" s="95" cm="1">
        <f t="array" aca="1" ref="M707" ca="1">Table2[[#This Row],[Playable x Score]]*_xlfn.IFS(Table2[[#This Row],[Pos]]="D",assumptions!$B$15,Table2[[#This Row],[Pos]]="F", assumptions!$B$14,Table2[[#This Row],[Pos]]="G",assumptions!$B$16)</f>
        <v>3.4634146341463414</v>
      </c>
    </row>
    <row r="708" spans="1:13" x14ac:dyDescent="0.3">
      <c r="A708">
        <f>'score estimates'!$A708</f>
        <v>705</v>
      </c>
      <c r="B708" t="str">
        <f>'score estimates'!$B708</f>
        <v>Kristian Vesalainen</v>
      </c>
      <c r="C708" t="str">
        <f>'score estimates'!$D708</f>
        <v>F</v>
      </c>
      <c r="D708" t="str">
        <f>'score estimates'!$C708</f>
        <v>WPG</v>
      </c>
      <c r="E708" s="75">
        <f>'score estimates'!$F708</f>
        <v>3.1463414634146343</v>
      </c>
      <c r="F708" s="71">
        <f>'score estimates'!$G708</f>
        <v>793</v>
      </c>
      <c r="G708" s="71" t="s">
        <v>983</v>
      </c>
      <c r="H708" s="72" cm="1">
        <f t="array" aca="1" ref="H70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08" s="96">
        <f ca="1">IF(Table2[[#This Row],[Team]]="FA",0,Table2[[#This Row],[Pts/G]]*(1-Table2[[#This Row],[% Pos Overlap]]))</f>
        <v>3.1463414634146343</v>
      </c>
      <c r="J708" s="72" cm="1">
        <f t="array" aca="1" ref="J708" ca="1">(INDIRECT(ADDRESS((_xlfn.XMATCH(Table2[[#This Row],[Team]],Schedule!$A$1:$A$33)),5,1,1,"Sched Overlap")))</f>
        <v>0.61212861212861214</v>
      </c>
      <c r="K708" s="92" cm="1">
        <f t="array" aca="1" ref="K70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08" s="95">
        <f ca="1">IF(Table2[[#This Row],[Team]]="FA",0,Table2[[#This Row],[Pts/G]]*(Table2[[#This Row],[Games Playable]]/82))</f>
        <v>3.1463414634146343</v>
      </c>
      <c r="M708" s="95" cm="1">
        <f t="array" aca="1" ref="M708" ca="1">Table2[[#This Row],[Playable x Score]]*_xlfn.IFS(Table2[[#This Row],[Pos]]="D",assumptions!$B$15,Table2[[#This Row],[Pos]]="F", assumptions!$B$14,Table2[[#This Row],[Pos]]="G",assumptions!$B$16)</f>
        <v>3.1463414634146343</v>
      </c>
    </row>
    <row r="709" spans="1:13" x14ac:dyDescent="0.3">
      <c r="A709">
        <f>'score estimates'!$A709</f>
        <v>706</v>
      </c>
      <c r="B709" t="str">
        <f>'score estimates'!$B709</f>
        <v>Julien Gauthier</v>
      </c>
      <c r="C709" t="str">
        <f>'score estimates'!$D709</f>
        <v>F</v>
      </c>
      <c r="D709" t="str">
        <f>'score estimates'!$C709</f>
        <v>NYR</v>
      </c>
      <c r="E709" s="75">
        <f>'score estimates'!$F709</f>
        <v>4.2073170731707314</v>
      </c>
      <c r="F709" s="71">
        <f>'score estimates'!$G709</f>
        <v>751</v>
      </c>
      <c r="G709" s="71" t="s">
        <v>983</v>
      </c>
      <c r="H709" s="72" cm="1">
        <f t="array" aca="1" ref="H70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09" s="96">
        <f ca="1">IF(Table2[[#This Row],[Team]]="FA",0,Table2[[#This Row],[Pts/G]]*(1-Table2[[#This Row],[% Pos Overlap]]))</f>
        <v>4.2073170731707314</v>
      </c>
      <c r="J709" s="72" cm="1">
        <f t="array" aca="1" ref="J709" ca="1">(INDIRECT(ADDRESS((_xlfn.XMATCH(Table2[[#This Row],[Team]],Schedule!$A$1:$A$33)),5,1,1,"Sched Overlap")))</f>
        <v>0.60236060236060229</v>
      </c>
      <c r="K709" s="92" cm="1">
        <f t="array" aca="1" ref="K70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09" s="95">
        <f ca="1">IF(Table2[[#This Row],[Team]]="FA",0,Table2[[#This Row],[Pts/G]]*(Table2[[#This Row],[Games Playable]]/82))</f>
        <v>4.2073170731707314</v>
      </c>
      <c r="M709" s="95" cm="1">
        <f t="array" aca="1" ref="M709" ca="1">Table2[[#This Row],[Playable x Score]]*_xlfn.IFS(Table2[[#This Row],[Pos]]="D",assumptions!$B$15,Table2[[#This Row],[Pos]]="F", assumptions!$B$14,Table2[[#This Row],[Pos]]="G",assumptions!$B$16)</f>
        <v>4.2073170731707314</v>
      </c>
    </row>
    <row r="710" spans="1:13" x14ac:dyDescent="0.3">
      <c r="A710">
        <f>'score estimates'!$A710</f>
        <v>707</v>
      </c>
      <c r="B710" t="str">
        <f>'score estimates'!$B710</f>
        <v>Jeremy Lauzon</v>
      </c>
      <c r="C710" t="str">
        <f>'score estimates'!$D710</f>
        <v>D</v>
      </c>
      <c r="D710" t="str">
        <f>'score estimates'!$C710</f>
        <v>NSH</v>
      </c>
      <c r="E710" s="75">
        <f>'score estimates'!$F710</f>
        <v>10.353658536585366</v>
      </c>
      <c r="F710" s="71">
        <f>'score estimates'!$G710</f>
        <v>553</v>
      </c>
      <c r="G710" s="71" t="s">
        <v>983</v>
      </c>
      <c r="H710" s="72" cm="1">
        <f t="array" aca="1" ref="H71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10" s="96">
        <f ca="1">IF(Table2[[#This Row],[Team]]="FA",0,Table2[[#This Row],[Pts/G]]*(1-Table2[[#This Row],[% Pos Overlap]]))</f>
        <v>10.353658536585366</v>
      </c>
      <c r="J710" s="72" cm="1">
        <f t="array" aca="1" ref="J710" ca="1">(INDIRECT(ADDRESS((_xlfn.XMATCH(Table2[[#This Row],[Team]],Schedule!$A$1:$A$33)),5,1,1,"Sched Overlap")))</f>
        <v>0.67806267806267806</v>
      </c>
      <c r="K710" s="92" cm="1">
        <f t="array" aca="1" ref="K71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10" s="95">
        <f ca="1">IF(Table2[[#This Row],[Team]]="FA",0,Table2[[#This Row],[Pts/G]]*(Table2[[#This Row],[Games Playable]]/82))</f>
        <v>10.353658536585366</v>
      </c>
      <c r="M710" s="95" cm="1">
        <f t="array" aca="1" ref="M710" ca="1">Table2[[#This Row],[Playable x Score]]*_xlfn.IFS(Table2[[#This Row],[Pos]]="D",assumptions!$B$15,Table2[[#This Row],[Pos]]="F", assumptions!$B$14,Table2[[#This Row],[Pos]]="G",assumptions!$B$16)</f>
        <v>12.942073170731707</v>
      </c>
    </row>
    <row r="711" spans="1:13" x14ac:dyDescent="0.3">
      <c r="A711">
        <f>'score estimates'!$A711</f>
        <v>708</v>
      </c>
      <c r="B711" t="str">
        <f>'score estimates'!$B711</f>
        <v>Sami Niku</v>
      </c>
      <c r="C711" t="str">
        <f>'score estimates'!$D711</f>
        <v>D</v>
      </c>
      <c r="D711" t="str">
        <f>'score estimates'!$C711</f>
        <v>FA</v>
      </c>
      <c r="E711" s="75">
        <f>'score estimates'!$F711</f>
        <v>2.975609756097561</v>
      </c>
      <c r="F711" s="71">
        <f>'score estimates'!$G711</f>
        <v>799</v>
      </c>
      <c r="G711" s="71" t="s">
        <v>983</v>
      </c>
      <c r="H711" s="72" t="e" cm="1">
        <f t="array" aca="1" ref="H711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11" s="96">
        <f>IF(Table2[[#This Row],[Team]]="FA",0,Table2[[#This Row],[Pts/G]]*(1-Table2[[#This Row],[% Pos Overlap]]))</f>
        <v>0</v>
      </c>
      <c r="J711" s="72" t="e" cm="1">
        <f t="array" aca="1" ref="J711" ca="1">(INDIRECT(ADDRESS((_xlfn.XMATCH(Table2[[#This Row],[Team]],Schedule!$A$1:$A$33)),5,1,1,"Sched Overlap")))</f>
        <v>#N/A</v>
      </c>
      <c r="K711" s="92" t="e" cm="1">
        <f t="array" aca="1" ref="K711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11" s="95">
        <f>IF(Table2[[#This Row],[Team]]="FA",0,Table2[[#This Row],[Pts/G]]*(Table2[[#This Row],[Games Playable]]/82))</f>
        <v>0</v>
      </c>
      <c r="M711" s="95" cm="1">
        <f t="array" ref="M711">Table2[[#This Row],[Playable x Score]]*_xlfn.IFS(Table2[[#This Row],[Pos]]="D",assumptions!$B$15,Table2[[#This Row],[Pos]]="F", assumptions!$B$14,Table2[[#This Row],[Pos]]="G",assumptions!$B$16)</f>
        <v>0</v>
      </c>
    </row>
    <row r="712" spans="1:13" x14ac:dyDescent="0.3">
      <c r="A712">
        <f>'score estimates'!$A712</f>
        <v>709</v>
      </c>
      <c r="B712" t="str">
        <f>'score estimates'!$B712</f>
        <v>Tanner Kero</v>
      </c>
      <c r="C712" t="str">
        <f>'score estimates'!$D712</f>
        <v>F</v>
      </c>
      <c r="D712" t="str">
        <f>'score estimates'!$C712</f>
        <v>DAL</v>
      </c>
      <c r="E712" s="75">
        <f>'score estimates'!$F712</f>
        <v>2.5609756097560976</v>
      </c>
      <c r="F712" s="71">
        <f>'score estimates'!$G712</f>
        <v>824</v>
      </c>
      <c r="G712" s="71" t="s">
        <v>983</v>
      </c>
      <c r="H712" s="72" cm="1">
        <f t="array" aca="1" ref="H71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12" s="96">
        <f ca="1">IF(Table2[[#This Row],[Team]]="FA",0,Table2[[#This Row],[Pts/G]]*(1-Table2[[#This Row],[% Pos Overlap]]))</f>
        <v>2.5609756097560976</v>
      </c>
      <c r="J712" s="72" cm="1">
        <f t="array" aca="1" ref="J712" ca="1">(INDIRECT(ADDRESS((_xlfn.XMATCH(Table2[[#This Row],[Team]],Schedule!$A$1:$A$33)),5,1,1,"Sched Overlap")))</f>
        <v>0.65364265364265373</v>
      </c>
      <c r="K712" s="92" cm="1">
        <f t="array" aca="1" ref="K71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12" s="95">
        <f ca="1">IF(Table2[[#This Row],[Team]]="FA",0,Table2[[#This Row],[Pts/G]]*(Table2[[#This Row],[Games Playable]]/82))</f>
        <v>2.5609756097560976</v>
      </c>
      <c r="M712" s="95" cm="1">
        <f t="array" aca="1" ref="M712" ca="1">Table2[[#This Row],[Playable x Score]]*_xlfn.IFS(Table2[[#This Row],[Pos]]="D",assumptions!$B$15,Table2[[#This Row],[Pos]]="F", assumptions!$B$14,Table2[[#This Row],[Pos]]="G",assumptions!$B$16)</f>
        <v>2.5609756097560976</v>
      </c>
    </row>
    <row r="713" spans="1:13" x14ac:dyDescent="0.3">
      <c r="A713">
        <f>'score estimates'!$A713</f>
        <v>710</v>
      </c>
      <c r="B713" t="str">
        <f>'score estimates'!$B713</f>
        <v>Cedric Paquette</v>
      </c>
      <c r="C713" t="str">
        <f>'score estimates'!$D713</f>
        <v>F</v>
      </c>
      <c r="D713" t="str">
        <f>'score estimates'!$C713</f>
        <v>FA</v>
      </c>
      <c r="E713" s="75">
        <f>'score estimates'!$F713</f>
        <v>4.1951219512195124</v>
      </c>
      <c r="F713" s="71">
        <f>'score estimates'!$G713</f>
        <v>753</v>
      </c>
      <c r="G713" s="71" t="s">
        <v>983</v>
      </c>
      <c r="H713" s="72" t="e" cm="1">
        <f t="array" aca="1" ref="H713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13" s="96">
        <f>IF(Table2[[#This Row],[Team]]="FA",0,Table2[[#This Row],[Pts/G]]*(1-Table2[[#This Row],[% Pos Overlap]]))</f>
        <v>0</v>
      </c>
      <c r="J713" s="72" t="e" cm="1">
        <f t="array" aca="1" ref="J713" ca="1">(INDIRECT(ADDRESS((_xlfn.XMATCH(Table2[[#This Row],[Team]],Schedule!$A$1:$A$33)),5,1,1,"Sched Overlap")))</f>
        <v>#N/A</v>
      </c>
      <c r="K713" s="92" t="e" cm="1">
        <f t="array" aca="1" ref="K713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13" s="95">
        <f>IF(Table2[[#This Row],[Team]]="FA",0,Table2[[#This Row],[Pts/G]]*(Table2[[#This Row],[Games Playable]]/82))</f>
        <v>0</v>
      </c>
      <c r="M713" s="95" cm="1">
        <f t="array" ref="M713">Table2[[#This Row],[Playable x Score]]*_xlfn.IFS(Table2[[#This Row],[Pos]]="D",assumptions!$B$15,Table2[[#This Row],[Pos]]="F", assumptions!$B$14,Table2[[#This Row],[Pos]]="G",assumptions!$B$16)</f>
        <v>0</v>
      </c>
    </row>
    <row r="714" spans="1:13" x14ac:dyDescent="0.3">
      <c r="A714">
        <f>'score estimates'!$A714</f>
        <v>711</v>
      </c>
      <c r="B714" t="str">
        <f>'score estimates'!$B714</f>
        <v>Mark Borowiecki</v>
      </c>
      <c r="C714" t="str">
        <f>'score estimates'!$D714</f>
        <v>D</v>
      </c>
      <c r="D714" t="str">
        <f>'score estimates'!$C714</f>
        <v>NSH</v>
      </c>
      <c r="E714" s="75">
        <f>'score estimates'!$F714</f>
        <v>11</v>
      </c>
      <c r="F714" s="71">
        <f>'score estimates'!$G714</f>
        <v>530</v>
      </c>
      <c r="G714" s="71" t="s">
        <v>983</v>
      </c>
      <c r="H714" s="72" cm="1">
        <f t="array" aca="1" ref="H71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14" s="96">
        <f ca="1">IF(Table2[[#This Row],[Team]]="FA",0,Table2[[#This Row],[Pts/G]]*(1-Table2[[#This Row],[% Pos Overlap]]))</f>
        <v>11</v>
      </c>
      <c r="J714" s="72" cm="1">
        <f t="array" aca="1" ref="J714" ca="1">(INDIRECT(ADDRESS((_xlfn.XMATCH(Table2[[#This Row],[Team]],Schedule!$A$1:$A$33)),5,1,1,"Sched Overlap")))</f>
        <v>0.67806267806267806</v>
      </c>
      <c r="K714" s="92" cm="1">
        <f t="array" aca="1" ref="K71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14" s="95">
        <f ca="1">IF(Table2[[#This Row],[Team]]="FA",0,Table2[[#This Row],[Pts/G]]*(Table2[[#This Row],[Games Playable]]/82))</f>
        <v>11</v>
      </c>
      <c r="M714" s="95" cm="1">
        <f t="array" aca="1" ref="M714" ca="1">Table2[[#This Row],[Playable x Score]]*_xlfn.IFS(Table2[[#This Row],[Pos]]="D",assumptions!$B$15,Table2[[#This Row],[Pos]]="F", assumptions!$B$14,Table2[[#This Row],[Pos]]="G",assumptions!$B$16)</f>
        <v>13.75</v>
      </c>
    </row>
    <row r="715" spans="1:13" x14ac:dyDescent="0.3">
      <c r="A715">
        <f>'score estimates'!$A715</f>
        <v>712</v>
      </c>
      <c r="B715" t="str">
        <f>'score estimates'!$B715</f>
        <v>Brett Connolly</v>
      </c>
      <c r="C715" t="str">
        <f>'score estimates'!$D715</f>
        <v>F</v>
      </c>
      <c r="D715" t="str">
        <f>'score estimates'!$C715</f>
        <v>FA</v>
      </c>
      <c r="E715" s="75">
        <f>'score estimates'!$F715</f>
        <v>3.2195121951219514</v>
      </c>
      <c r="F715" s="71">
        <f>'score estimates'!$G715</f>
        <v>790</v>
      </c>
      <c r="G715" s="71" t="s">
        <v>983</v>
      </c>
      <c r="H715" s="72" t="e" cm="1">
        <f t="array" aca="1" ref="H715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15" s="96">
        <f>IF(Table2[[#This Row],[Team]]="FA",0,Table2[[#This Row],[Pts/G]]*(1-Table2[[#This Row],[% Pos Overlap]]))</f>
        <v>0</v>
      </c>
      <c r="J715" s="72" t="e" cm="1">
        <f t="array" aca="1" ref="J715" ca="1">(INDIRECT(ADDRESS((_xlfn.XMATCH(Table2[[#This Row],[Team]],Schedule!$A$1:$A$33)),5,1,1,"Sched Overlap")))</f>
        <v>#N/A</v>
      </c>
      <c r="K715" s="92" t="e" cm="1">
        <f t="array" aca="1" ref="K715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15" s="95">
        <f>IF(Table2[[#This Row],[Team]]="FA",0,Table2[[#This Row],[Pts/G]]*(Table2[[#This Row],[Games Playable]]/82))</f>
        <v>0</v>
      </c>
      <c r="M715" s="95" cm="1">
        <f t="array" ref="M715">Table2[[#This Row],[Playable x Score]]*_xlfn.IFS(Table2[[#This Row],[Pos]]="D",assumptions!$B$15,Table2[[#This Row],[Pos]]="F", assumptions!$B$14,Table2[[#This Row],[Pos]]="G",assumptions!$B$16)</f>
        <v>0</v>
      </c>
    </row>
    <row r="716" spans="1:13" x14ac:dyDescent="0.3">
      <c r="A716">
        <f>'score estimates'!$A716</f>
        <v>713</v>
      </c>
      <c r="B716" t="str">
        <f>'score estimates'!$B716</f>
        <v>Ryan Murray</v>
      </c>
      <c r="C716" t="str">
        <f>'score estimates'!$D716</f>
        <v>D</v>
      </c>
      <c r="D716" t="str">
        <f>'score estimates'!$C716</f>
        <v>EDM</v>
      </c>
      <c r="E716" s="75">
        <f>'score estimates'!$F716</f>
        <v>3.8780487804878048</v>
      </c>
      <c r="F716" s="71">
        <f>'score estimates'!$G716</f>
        <v>761</v>
      </c>
      <c r="G716" s="71" t="s">
        <v>983</v>
      </c>
      <c r="H716" s="72" cm="1">
        <f t="array" aca="1" ref="H71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16" s="96">
        <f ca="1">IF(Table2[[#This Row],[Team]]="FA",0,Table2[[#This Row],[Pts/G]]*(1-Table2[[#This Row],[% Pos Overlap]]))</f>
        <v>3.8780487804878048</v>
      </c>
      <c r="J716" s="72" cm="1">
        <f t="array" aca="1" ref="J716" ca="1">(INDIRECT(ADDRESS((_xlfn.XMATCH(Table2[[#This Row],[Team]],Schedule!$A$1:$A$33)),5,1,1,"Sched Overlap")))</f>
        <v>0.62026862026862029</v>
      </c>
      <c r="K716" s="92" cm="1">
        <f t="array" aca="1" ref="K71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16" s="95">
        <f ca="1">IF(Table2[[#This Row],[Team]]="FA",0,Table2[[#This Row],[Pts/G]]*(Table2[[#This Row],[Games Playable]]/82))</f>
        <v>3.8780487804878048</v>
      </c>
      <c r="M716" s="95" cm="1">
        <f t="array" aca="1" ref="M716" ca="1">Table2[[#This Row],[Playable x Score]]*_xlfn.IFS(Table2[[#This Row],[Pos]]="D",assumptions!$B$15,Table2[[#This Row],[Pos]]="F", assumptions!$B$14,Table2[[#This Row],[Pos]]="G",assumptions!$B$16)</f>
        <v>4.8475609756097562</v>
      </c>
    </row>
    <row r="717" spans="1:13" x14ac:dyDescent="0.3">
      <c r="A717">
        <f>'score estimates'!$A717</f>
        <v>714</v>
      </c>
      <c r="B717" t="str">
        <f>'score estimates'!$B717</f>
        <v>Rocco Grimaldi</v>
      </c>
      <c r="C717" t="str">
        <f>'score estimates'!$D717</f>
        <v>F</v>
      </c>
      <c r="D717" t="str">
        <f>'score estimates'!$C717</f>
        <v>FA</v>
      </c>
      <c r="E717" s="75">
        <f>'score estimates'!$F717</f>
        <v>2.9512195121951219</v>
      </c>
      <c r="F717" s="71">
        <f>'score estimates'!$G717</f>
        <v>800</v>
      </c>
      <c r="G717" s="71" t="s">
        <v>983</v>
      </c>
      <c r="H717" s="72" t="e" cm="1">
        <f t="array" aca="1" ref="H717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17" s="96">
        <f>IF(Table2[[#This Row],[Team]]="FA",0,Table2[[#This Row],[Pts/G]]*(1-Table2[[#This Row],[% Pos Overlap]]))</f>
        <v>0</v>
      </c>
      <c r="J717" s="72" t="e" cm="1">
        <f t="array" aca="1" ref="J717" ca="1">(INDIRECT(ADDRESS((_xlfn.XMATCH(Table2[[#This Row],[Team]],Schedule!$A$1:$A$33)),5,1,1,"Sched Overlap")))</f>
        <v>#N/A</v>
      </c>
      <c r="K717" s="92" t="e" cm="1">
        <f t="array" aca="1" ref="K717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17" s="95">
        <f>IF(Table2[[#This Row],[Team]]="FA",0,Table2[[#This Row],[Pts/G]]*(Table2[[#This Row],[Games Playable]]/82))</f>
        <v>0</v>
      </c>
      <c r="M717" s="95" cm="1">
        <f t="array" ref="M717">Table2[[#This Row],[Playable x Score]]*_xlfn.IFS(Table2[[#This Row],[Pos]]="D",assumptions!$B$15,Table2[[#This Row],[Pos]]="F", assumptions!$B$14,Table2[[#This Row],[Pos]]="G",assumptions!$B$16)</f>
        <v>0</v>
      </c>
    </row>
    <row r="718" spans="1:13" x14ac:dyDescent="0.3">
      <c r="A718">
        <f>'score estimates'!$A718</f>
        <v>715</v>
      </c>
      <c r="B718" t="str">
        <f>'score estimates'!$B718</f>
        <v>Blake Comeau</v>
      </c>
      <c r="C718" t="str">
        <f>'score estimates'!$D718</f>
        <v>F</v>
      </c>
      <c r="D718" t="str">
        <f>'score estimates'!$C718</f>
        <v>FA</v>
      </c>
      <c r="E718" s="75">
        <f>'score estimates'!$F718</f>
        <v>3.1341463414634148</v>
      </c>
      <c r="F718" s="71">
        <f>'score estimates'!$G718</f>
        <v>794</v>
      </c>
      <c r="G718" s="71" t="s">
        <v>983</v>
      </c>
      <c r="H718" s="72" t="e" cm="1">
        <f t="array" aca="1" ref="H718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18" s="96">
        <f>IF(Table2[[#This Row],[Team]]="FA",0,Table2[[#This Row],[Pts/G]]*(1-Table2[[#This Row],[% Pos Overlap]]))</f>
        <v>0</v>
      </c>
      <c r="J718" s="72" t="e" cm="1">
        <f t="array" aca="1" ref="J718" ca="1">(INDIRECT(ADDRESS((_xlfn.XMATCH(Table2[[#This Row],[Team]],Schedule!$A$1:$A$33)),5,1,1,"Sched Overlap")))</f>
        <v>#N/A</v>
      </c>
      <c r="K718" s="92" t="e" cm="1">
        <f t="array" aca="1" ref="K718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18" s="95">
        <f>IF(Table2[[#This Row],[Team]]="FA",0,Table2[[#This Row],[Pts/G]]*(Table2[[#This Row],[Games Playable]]/82))</f>
        <v>0</v>
      </c>
      <c r="M718" s="95" cm="1">
        <f t="array" ref="M718">Table2[[#This Row],[Playable x Score]]*_xlfn.IFS(Table2[[#This Row],[Pos]]="D",assumptions!$B$15,Table2[[#This Row],[Pos]]="F", assumptions!$B$14,Table2[[#This Row],[Pos]]="G",assumptions!$B$16)</f>
        <v>0</v>
      </c>
    </row>
    <row r="719" spans="1:13" x14ac:dyDescent="0.3">
      <c r="A719">
        <f>'score estimates'!$A719</f>
        <v>716</v>
      </c>
      <c r="B719" t="str">
        <f>'score estimates'!$B719</f>
        <v>Riley Nash</v>
      </c>
      <c r="C719" t="str">
        <f>'score estimates'!$D719</f>
        <v>F</v>
      </c>
      <c r="D719" t="str">
        <f>'score estimates'!$C719</f>
        <v>FA</v>
      </c>
      <c r="E719" s="75">
        <f>'score estimates'!$F719</f>
        <v>3.9878048780487805</v>
      </c>
      <c r="F719" s="71">
        <f>'score estimates'!$G719</f>
        <v>758</v>
      </c>
      <c r="G719" s="71" t="s">
        <v>983</v>
      </c>
      <c r="H719" s="72" t="e" cm="1">
        <f t="array" aca="1" ref="H719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19" s="96">
        <f>IF(Table2[[#This Row],[Team]]="FA",0,Table2[[#This Row],[Pts/G]]*(1-Table2[[#This Row],[% Pos Overlap]]))</f>
        <v>0</v>
      </c>
      <c r="J719" s="72" t="e" cm="1">
        <f t="array" aca="1" ref="J719" ca="1">(INDIRECT(ADDRESS((_xlfn.XMATCH(Table2[[#This Row],[Team]],Schedule!$A$1:$A$33)),5,1,1,"Sched Overlap")))</f>
        <v>#N/A</v>
      </c>
      <c r="K719" s="92" t="e" cm="1">
        <f t="array" aca="1" ref="K719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19" s="95">
        <f>IF(Table2[[#This Row],[Team]]="FA",0,Table2[[#This Row],[Pts/G]]*(Table2[[#This Row],[Games Playable]]/82))</f>
        <v>0</v>
      </c>
      <c r="M719" s="95" cm="1">
        <f t="array" ref="M719">Table2[[#This Row],[Playable x Score]]*_xlfn.IFS(Table2[[#This Row],[Pos]]="D",assumptions!$B$15,Table2[[#This Row],[Pos]]="F", assumptions!$B$14,Table2[[#This Row],[Pos]]="G",assumptions!$B$16)</f>
        <v>0</v>
      </c>
    </row>
    <row r="720" spans="1:13" x14ac:dyDescent="0.3">
      <c r="A720">
        <f>'score estimates'!$A720</f>
        <v>717</v>
      </c>
      <c r="B720" t="str">
        <f>'score estimates'!$B720</f>
        <v>Michael Stone</v>
      </c>
      <c r="C720" t="str">
        <f>'score estimates'!$D720</f>
        <v>D</v>
      </c>
      <c r="D720" t="str">
        <f>'score estimates'!$C720</f>
        <v>CGY</v>
      </c>
      <c r="E720" s="75">
        <f>'score estimates'!$F720</f>
        <v>4.2926829268292686</v>
      </c>
      <c r="F720" s="71">
        <f>'score estimates'!$G720</f>
        <v>743</v>
      </c>
      <c r="G720" s="71" t="s">
        <v>983</v>
      </c>
      <c r="H720" s="72" cm="1">
        <f t="array" aca="1" ref="H72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20" s="96">
        <f ca="1">IF(Table2[[#This Row],[Team]]="FA",0,Table2[[#This Row],[Pts/G]]*(1-Table2[[#This Row],[% Pos Overlap]]))</f>
        <v>4.2926829268292686</v>
      </c>
      <c r="J720" s="72" cm="1">
        <f t="array" aca="1" ref="J720" ca="1">(INDIRECT(ADDRESS((_xlfn.XMATCH(Table2[[#This Row],[Team]],Schedule!$A$1:$A$33)),5,1,1,"Sched Overlap")))</f>
        <v>0.63003663003663002</v>
      </c>
      <c r="K720" s="92" cm="1">
        <f t="array" aca="1" ref="K72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20" s="95">
        <f ca="1">IF(Table2[[#This Row],[Team]]="FA",0,Table2[[#This Row],[Pts/G]]*(Table2[[#This Row],[Games Playable]]/82))</f>
        <v>4.2926829268292686</v>
      </c>
      <c r="M720" s="95" cm="1">
        <f t="array" aca="1" ref="M720" ca="1">Table2[[#This Row],[Playable x Score]]*_xlfn.IFS(Table2[[#This Row],[Pos]]="D",assumptions!$B$15,Table2[[#This Row],[Pos]]="F", assumptions!$B$14,Table2[[#This Row],[Pos]]="G",assumptions!$B$16)</f>
        <v>5.3658536585365857</v>
      </c>
    </row>
    <row r="721" spans="1:13" x14ac:dyDescent="0.3">
      <c r="A721">
        <f>'score estimates'!$A721</f>
        <v>718</v>
      </c>
      <c r="B721" t="str">
        <f>'score estimates'!$B721</f>
        <v>Calvin de Haan</v>
      </c>
      <c r="C721" t="str">
        <f>'score estimates'!$D721</f>
        <v>D</v>
      </c>
      <c r="D721" t="str">
        <f>'score estimates'!$C721</f>
        <v>CAR</v>
      </c>
      <c r="E721" s="75">
        <f>'score estimates'!$F721</f>
        <v>6.4878048780487809</v>
      </c>
      <c r="F721" s="71">
        <f>'score estimates'!$G721</f>
        <v>666</v>
      </c>
      <c r="G721" s="71" t="s">
        <v>983</v>
      </c>
      <c r="H721" s="72" cm="1">
        <f t="array" aca="1" ref="H72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21" s="96">
        <f ca="1">IF(Table2[[#This Row],[Team]]="FA",0,Table2[[#This Row],[Pts/G]]*(1-Table2[[#This Row],[% Pos Overlap]]))</f>
        <v>6.4878048780487809</v>
      </c>
      <c r="J721" s="72" cm="1">
        <f t="array" aca="1" ref="J721" ca="1">(INDIRECT(ADDRESS((_xlfn.XMATCH(Table2[[#This Row],[Team]],Schedule!$A$1:$A$33)),5,1,1,"Sched Overlap")))</f>
        <v>0.63247863247863245</v>
      </c>
      <c r="K721" s="92" cm="1">
        <f t="array" aca="1" ref="K72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21" s="95">
        <f ca="1">IF(Table2[[#This Row],[Team]]="FA",0,Table2[[#This Row],[Pts/G]]*(Table2[[#This Row],[Games Playable]]/82))</f>
        <v>6.4878048780487809</v>
      </c>
      <c r="M721" s="95" cm="1">
        <f t="array" aca="1" ref="M721" ca="1">Table2[[#This Row],[Playable x Score]]*_xlfn.IFS(Table2[[#This Row],[Pos]]="D",assumptions!$B$15,Table2[[#This Row],[Pos]]="F", assumptions!$B$14,Table2[[#This Row],[Pos]]="G",assumptions!$B$16)</f>
        <v>8.1097560975609753</v>
      </c>
    </row>
    <row r="722" spans="1:13" x14ac:dyDescent="0.3">
      <c r="A722">
        <f>'score estimates'!$A722</f>
        <v>719</v>
      </c>
      <c r="B722" t="str">
        <f>'score estimates'!$B722</f>
        <v>Richard Panik</v>
      </c>
      <c r="C722" t="str">
        <f>'score estimates'!$D722</f>
        <v>F</v>
      </c>
      <c r="D722" t="str">
        <f>'score estimates'!$C722</f>
        <v>NYI</v>
      </c>
      <c r="E722" s="75">
        <f>'score estimates'!$F722</f>
        <v>3.0121951219512195</v>
      </c>
      <c r="F722" s="71">
        <f>'score estimates'!$G722</f>
        <v>798</v>
      </c>
      <c r="G722" s="71" t="s">
        <v>983</v>
      </c>
      <c r="H722" s="72" cm="1">
        <f t="array" aca="1" ref="H72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22" s="96">
        <f ca="1">IF(Table2[[#This Row],[Team]]="FA",0,Table2[[#This Row],[Pts/G]]*(1-Table2[[#This Row],[% Pos Overlap]]))</f>
        <v>3.0121951219512195</v>
      </c>
      <c r="J722" s="72" cm="1">
        <f t="array" aca="1" ref="J722" ca="1">(INDIRECT(ADDRESS((_xlfn.XMATCH(Table2[[#This Row],[Team]],Schedule!$A$1:$A$33)),5,1,1,"Sched Overlap")))</f>
        <v>0.63166463166463194</v>
      </c>
      <c r="K722" s="92" cm="1">
        <f t="array" aca="1" ref="K72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22" s="95">
        <f ca="1">IF(Table2[[#This Row],[Team]]="FA",0,Table2[[#This Row],[Pts/G]]*(Table2[[#This Row],[Games Playable]]/82))</f>
        <v>3.0121951219512195</v>
      </c>
      <c r="M722" s="95" cm="1">
        <f t="array" aca="1" ref="M722" ca="1">Table2[[#This Row],[Playable x Score]]*_xlfn.IFS(Table2[[#This Row],[Pos]]="D",assumptions!$B$15,Table2[[#This Row],[Pos]]="F", assumptions!$B$14,Table2[[#This Row],[Pos]]="G",assumptions!$B$16)</f>
        <v>3.0121951219512195</v>
      </c>
    </row>
    <row r="723" spans="1:13" x14ac:dyDescent="0.3">
      <c r="A723">
        <f>'score estimates'!$A723</f>
        <v>720</v>
      </c>
      <c r="B723" t="str">
        <f>'score estimates'!$B723</f>
        <v>Andrej Sekera</v>
      </c>
      <c r="C723" t="str">
        <f>'score estimates'!$D723</f>
        <v>D</v>
      </c>
      <c r="D723" t="str">
        <f>'score estimates'!$C723</f>
        <v>FA</v>
      </c>
      <c r="E723" s="75">
        <f>'score estimates'!$F723</f>
        <v>4.3780487804878048</v>
      </c>
      <c r="F723" s="71">
        <f>'score estimates'!$G723</f>
        <v>740</v>
      </c>
      <c r="G723" s="71" t="s">
        <v>983</v>
      </c>
      <c r="H723" s="72" t="e" cm="1">
        <f t="array" aca="1" ref="H723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23" s="96">
        <f>IF(Table2[[#This Row],[Team]]="FA",0,Table2[[#This Row],[Pts/G]]*(1-Table2[[#This Row],[% Pos Overlap]]))</f>
        <v>0</v>
      </c>
      <c r="J723" s="72" t="e" cm="1">
        <f t="array" aca="1" ref="J723" ca="1">(INDIRECT(ADDRESS((_xlfn.XMATCH(Table2[[#This Row],[Team]],Schedule!$A$1:$A$33)),5,1,1,"Sched Overlap")))</f>
        <v>#N/A</v>
      </c>
      <c r="K723" s="92" t="e" cm="1">
        <f t="array" aca="1" ref="K723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23" s="95">
        <f>IF(Table2[[#This Row],[Team]]="FA",0,Table2[[#This Row],[Pts/G]]*(Table2[[#This Row],[Games Playable]]/82))</f>
        <v>0</v>
      </c>
      <c r="M723" s="95" cm="1">
        <f t="array" ref="M723">Table2[[#This Row],[Playable x Score]]*_xlfn.IFS(Table2[[#This Row],[Pos]]="D",assumptions!$B$15,Table2[[#This Row],[Pos]]="F", assumptions!$B$14,Table2[[#This Row],[Pos]]="G",assumptions!$B$16)</f>
        <v>0</v>
      </c>
    </row>
    <row r="724" spans="1:13" x14ac:dyDescent="0.3">
      <c r="A724">
        <f>'score estimates'!$A724</f>
        <v>721</v>
      </c>
      <c r="B724" t="str">
        <f>'score estimates'!$B724</f>
        <v>Nate Thompson</v>
      </c>
      <c r="C724" t="str">
        <f>'score estimates'!$D724</f>
        <v>F</v>
      </c>
      <c r="D724" t="str">
        <f>'score estimates'!$C724</f>
        <v>LA</v>
      </c>
      <c r="E724" s="75">
        <f>'score estimates'!$F724</f>
        <v>3.3170731707317072</v>
      </c>
      <c r="F724" s="71">
        <f>'score estimates'!$G724</f>
        <v>785</v>
      </c>
      <c r="G724" s="71" t="s">
        <v>983</v>
      </c>
      <c r="H724" s="72" cm="1">
        <f t="array" aca="1" ref="H72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24" s="96">
        <f ca="1">IF(Table2[[#This Row],[Team]]="FA",0,Table2[[#This Row],[Pts/G]]*(1-Table2[[#This Row],[% Pos Overlap]]))</f>
        <v>3.3170731707317072</v>
      </c>
      <c r="J724" s="72" cm="1">
        <f t="array" aca="1" ref="J724" ca="1">(INDIRECT(ADDRESS((_xlfn.XMATCH(Table2[[#This Row],[Team]],Schedule!$A$1:$A$33)),5,1,1,"Sched Overlap")))</f>
        <v>0.65201465201465225</v>
      </c>
      <c r="K724" s="92" cm="1">
        <f t="array" aca="1" ref="K72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24" s="95">
        <f ca="1">IF(Table2[[#This Row],[Team]]="FA",0,Table2[[#This Row],[Pts/G]]*(Table2[[#This Row],[Games Playable]]/82))</f>
        <v>3.3170731707317072</v>
      </c>
      <c r="M724" s="95" cm="1">
        <f t="array" aca="1" ref="M724" ca="1">Table2[[#This Row],[Playable x Score]]*_xlfn.IFS(Table2[[#This Row],[Pos]]="D",assumptions!$B$15,Table2[[#This Row],[Pos]]="F", assumptions!$B$14,Table2[[#This Row],[Pos]]="G",assumptions!$B$16)</f>
        <v>3.3170731707317072</v>
      </c>
    </row>
    <row r="725" spans="1:13" x14ac:dyDescent="0.3">
      <c r="A725">
        <f>'score estimates'!$A725</f>
        <v>722</v>
      </c>
      <c r="B725" t="str">
        <f>'score estimates'!$B725</f>
        <v>Brett Ritchie</v>
      </c>
      <c r="C725" t="str">
        <f>'score estimates'!$D725</f>
        <v>F</v>
      </c>
      <c r="D725" t="str">
        <f>'score estimates'!$C725</f>
        <v>FA</v>
      </c>
      <c r="E725" s="75">
        <f>'score estimates'!$F725</f>
        <v>4.3292682926829267</v>
      </c>
      <c r="F725" s="71">
        <f>'score estimates'!$G725</f>
        <v>741</v>
      </c>
      <c r="G725" s="71" t="s">
        <v>983</v>
      </c>
      <c r="H725" s="72" t="e" cm="1">
        <f t="array" aca="1" ref="H725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25" s="96">
        <f>IF(Table2[[#This Row],[Team]]="FA",0,Table2[[#This Row],[Pts/G]]*(1-Table2[[#This Row],[% Pos Overlap]]))</f>
        <v>0</v>
      </c>
      <c r="J725" s="72" t="e" cm="1">
        <f t="array" aca="1" ref="J725" ca="1">(INDIRECT(ADDRESS((_xlfn.XMATCH(Table2[[#This Row],[Team]],Schedule!$A$1:$A$33)),5,1,1,"Sched Overlap")))</f>
        <v>#N/A</v>
      </c>
      <c r="K725" s="92" t="e" cm="1">
        <f t="array" aca="1" ref="K725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25" s="95">
        <f>IF(Table2[[#This Row],[Team]]="FA",0,Table2[[#This Row],[Pts/G]]*(Table2[[#This Row],[Games Playable]]/82))</f>
        <v>0</v>
      </c>
      <c r="M725" s="95" cm="1">
        <f t="array" ref="M725">Table2[[#This Row],[Playable x Score]]*_xlfn.IFS(Table2[[#This Row],[Pos]]="D",assumptions!$B$15,Table2[[#This Row],[Pos]]="F", assumptions!$B$14,Table2[[#This Row],[Pos]]="G",assumptions!$B$16)</f>
        <v>0</v>
      </c>
    </row>
    <row r="726" spans="1:13" x14ac:dyDescent="0.3">
      <c r="A726">
        <f>'score estimates'!$A726</f>
        <v>723</v>
      </c>
      <c r="B726" t="str">
        <f>'score estimates'!$B726</f>
        <v>Greg McKegg</v>
      </c>
      <c r="C726" t="str">
        <f>'score estimates'!$D726</f>
        <v>F</v>
      </c>
      <c r="D726" t="str">
        <f>'score estimates'!$C726</f>
        <v>EDM</v>
      </c>
      <c r="E726" s="75">
        <f>'score estimates'!$F726</f>
        <v>2.5121951219512195</v>
      </c>
      <c r="F726" s="71">
        <f>'score estimates'!$G726</f>
        <v>828</v>
      </c>
      <c r="G726" s="71" t="s">
        <v>983</v>
      </c>
      <c r="H726" s="72" cm="1">
        <f t="array" aca="1" ref="H72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26" s="96">
        <f ca="1">IF(Table2[[#This Row],[Team]]="FA",0,Table2[[#This Row],[Pts/G]]*(1-Table2[[#This Row],[% Pos Overlap]]))</f>
        <v>2.5121951219512195</v>
      </c>
      <c r="J726" s="72" cm="1">
        <f t="array" aca="1" ref="J726" ca="1">(INDIRECT(ADDRESS((_xlfn.XMATCH(Table2[[#This Row],[Team]],Schedule!$A$1:$A$33)),5,1,1,"Sched Overlap")))</f>
        <v>0.62026862026862029</v>
      </c>
      <c r="K726" s="92" cm="1">
        <f t="array" aca="1" ref="K72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26" s="95">
        <f ca="1">IF(Table2[[#This Row],[Team]]="FA",0,Table2[[#This Row],[Pts/G]]*(Table2[[#This Row],[Games Playable]]/82))</f>
        <v>2.5121951219512195</v>
      </c>
      <c r="M726" s="95" cm="1">
        <f t="array" aca="1" ref="M726" ca="1">Table2[[#This Row],[Playable x Score]]*_xlfn.IFS(Table2[[#This Row],[Pos]]="D",assumptions!$B$15,Table2[[#This Row],[Pos]]="F", assumptions!$B$14,Table2[[#This Row],[Pos]]="G",assumptions!$B$16)</f>
        <v>2.5121951219512195</v>
      </c>
    </row>
    <row r="727" spans="1:13" x14ac:dyDescent="0.3">
      <c r="A727">
        <f>'score estimates'!$A727</f>
        <v>724</v>
      </c>
      <c r="B727" t="str">
        <f>'score estimates'!$B727</f>
        <v>Jujhar Khaira</v>
      </c>
      <c r="C727" t="str">
        <f>'score estimates'!$D727</f>
        <v>F</v>
      </c>
      <c r="D727" t="str">
        <f>'score estimates'!$C727</f>
        <v>CHI</v>
      </c>
      <c r="E727" s="75">
        <f>'score estimates'!$F727</f>
        <v>4.6341463414634143</v>
      </c>
      <c r="F727" s="71">
        <f>'score estimates'!$G727</f>
        <v>733</v>
      </c>
      <c r="G727" s="71" t="s">
        <v>983</v>
      </c>
      <c r="H727" s="72" cm="1">
        <f t="array" aca="1" ref="H72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27" s="96">
        <f ca="1">IF(Table2[[#This Row],[Team]]="FA",0,Table2[[#This Row],[Pts/G]]*(1-Table2[[#This Row],[% Pos Overlap]]))</f>
        <v>4.6341463414634143</v>
      </c>
      <c r="J727" s="72" cm="1">
        <f t="array" aca="1" ref="J727" ca="1">(INDIRECT(ADDRESS((_xlfn.XMATCH(Table2[[#This Row],[Team]],Schedule!$A$1:$A$33)),5,1,1,"Sched Overlap")))</f>
        <v>0.6243386243386243</v>
      </c>
      <c r="K727" s="92" cm="1">
        <f t="array" aca="1" ref="K72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27" s="95">
        <f ca="1">IF(Table2[[#This Row],[Team]]="FA",0,Table2[[#This Row],[Pts/G]]*(Table2[[#This Row],[Games Playable]]/82))</f>
        <v>4.6341463414634143</v>
      </c>
      <c r="M727" s="95" cm="1">
        <f t="array" aca="1" ref="M727" ca="1">Table2[[#This Row],[Playable x Score]]*_xlfn.IFS(Table2[[#This Row],[Pos]]="D",assumptions!$B$15,Table2[[#This Row],[Pos]]="F", assumptions!$B$14,Table2[[#This Row],[Pos]]="G",assumptions!$B$16)</f>
        <v>4.6341463414634143</v>
      </c>
    </row>
    <row r="728" spans="1:13" x14ac:dyDescent="0.3">
      <c r="A728">
        <f>'score estimates'!$A728</f>
        <v>725</v>
      </c>
      <c r="B728" t="str">
        <f>'score estimates'!$B728</f>
        <v>Thomas Novak</v>
      </c>
      <c r="C728" t="str">
        <f>'score estimates'!$D728</f>
        <v>F</v>
      </c>
      <c r="D728" t="str">
        <f>'score estimates'!$C728</f>
        <v>NSH</v>
      </c>
      <c r="E728" s="75">
        <f>'score estimates'!$F728</f>
        <v>2.0365853658536586</v>
      </c>
      <c r="F728" s="71">
        <f>'score estimates'!$G728</f>
        <v>851</v>
      </c>
      <c r="G728" s="71" t="s">
        <v>983</v>
      </c>
      <c r="H728" s="72" cm="1">
        <f t="array" aca="1" ref="H72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28" s="96">
        <f ca="1">IF(Table2[[#This Row],[Team]]="FA",0,Table2[[#This Row],[Pts/G]]*(1-Table2[[#This Row],[% Pos Overlap]]))</f>
        <v>2.0365853658536586</v>
      </c>
      <c r="J728" s="72" cm="1">
        <f t="array" aca="1" ref="J728" ca="1">(INDIRECT(ADDRESS((_xlfn.XMATCH(Table2[[#This Row],[Team]],Schedule!$A$1:$A$33)),5,1,1,"Sched Overlap")))</f>
        <v>0.67806267806267806</v>
      </c>
      <c r="K728" s="92" cm="1">
        <f t="array" aca="1" ref="K72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28" s="95">
        <f ca="1">IF(Table2[[#This Row],[Team]]="FA",0,Table2[[#This Row],[Pts/G]]*(Table2[[#This Row],[Games Playable]]/82))</f>
        <v>2.0365853658536586</v>
      </c>
      <c r="M728" s="95" cm="1">
        <f t="array" aca="1" ref="M728" ca="1">Table2[[#This Row],[Playable x Score]]*_xlfn.IFS(Table2[[#This Row],[Pos]]="D",assumptions!$B$15,Table2[[#This Row],[Pos]]="F", assumptions!$B$14,Table2[[#This Row],[Pos]]="G",assumptions!$B$16)</f>
        <v>2.0365853658536586</v>
      </c>
    </row>
    <row r="729" spans="1:13" x14ac:dyDescent="0.3">
      <c r="A729">
        <f>'score estimates'!$A729</f>
        <v>726</v>
      </c>
      <c r="B729" t="str">
        <f>'score estimates'!$B729</f>
        <v>Joel Hanley</v>
      </c>
      <c r="C729" t="str">
        <f>'score estimates'!$D729</f>
        <v>D</v>
      </c>
      <c r="D729" t="str">
        <f>'score estimates'!$C729</f>
        <v>DAL</v>
      </c>
      <c r="E729" s="75">
        <f>'score estimates'!$F729</f>
        <v>2.8658536585365852</v>
      </c>
      <c r="F729" s="71">
        <f>'score estimates'!$G729</f>
        <v>806</v>
      </c>
      <c r="G729" s="71" t="s">
        <v>983</v>
      </c>
      <c r="H729" s="72" cm="1">
        <f t="array" aca="1" ref="H72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29" s="96">
        <f ca="1">IF(Table2[[#This Row],[Team]]="FA",0,Table2[[#This Row],[Pts/G]]*(1-Table2[[#This Row],[% Pos Overlap]]))</f>
        <v>2.8658536585365852</v>
      </c>
      <c r="J729" s="72" cm="1">
        <f t="array" aca="1" ref="J729" ca="1">(INDIRECT(ADDRESS((_xlfn.XMATCH(Table2[[#This Row],[Team]],Schedule!$A$1:$A$33)),5,1,1,"Sched Overlap")))</f>
        <v>0.65364265364265373</v>
      </c>
      <c r="K729" s="92" cm="1">
        <f t="array" aca="1" ref="K72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29" s="95">
        <f ca="1">IF(Table2[[#This Row],[Team]]="FA",0,Table2[[#This Row],[Pts/G]]*(Table2[[#This Row],[Games Playable]]/82))</f>
        <v>2.8658536585365852</v>
      </c>
      <c r="M729" s="95" cm="1">
        <f t="array" aca="1" ref="M729" ca="1">Table2[[#This Row],[Playable x Score]]*_xlfn.IFS(Table2[[#This Row],[Pos]]="D",assumptions!$B$15,Table2[[#This Row],[Pos]]="F", assumptions!$B$14,Table2[[#This Row],[Pos]]="G",assumptions!$B$16)</f>
        <v>3.5823170731707314</v>
      </c>
    </row>
    <row r="730" spans="1:13" x14ac:dyDescent="0.3">
      <c r="A730">
        <f>'score estimates'!$A730</f>
        <v>727</v>
      </c>
      <c r="B730" t="str">
        <f>'score estimates'!$B730</f>
        <v>Buddy Robinson</v>
      </c>
      <c r="C730" t="str">
        <f>'score estimates'!$D730</f>
        <v>F</v>
      </c>
      <c r="D730" t="str">
        <f>'score estimates'!$C730</f>
        <v>CHI</v>
      </c>
      <c r="E730" s="75">
        <f>'score estimates'!$F730</f>
        <v>3.8780487804878048</v>
      </c>
      <c r="F730" s="71">
        <f>'score estimates'!$G730</f>
        <v>761</v>
      </c>
      <c r="G730" s="71" t="s">
        <v>983</v>
      </c>
      <c r="H730" s="72" cm="1">
        <f t="array" aca="1" ref="H73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30" s="96">
        <f ca="1">IF(Table2[[#This Row],[Team]]="FA",0,Table2[[#This Row],[Pts/G]]*(1-Table2[[#This Row],[% Pos Overlap]]))</f>
        <v>3.8780487804878048</v>
      </c>
      <c r="J730" s="72" cm="1">
        <f t="array" aca="1" ref="J730" ca="1">(INDIRECT(ADDRESS((_xlfn.XMATCH(Table2[[#This Row],[Team]],Schedule!$A$1:$A$33)),5,1,1,"Sched Overlap")))</f>
        <v>0.6243386243386243</v>
      </c>
      <c r="K730" s="92" cm="1">
        <f t="array" aca="1" ref="K73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30" s="95">
        <f ca="1">IF(Table2[[#This Row],[Team]]="FA",0,Table2[[#This Row],[Pts/G]]*(Table2[[#This Row],[Games Playable]]/82))</f>
        <v>3.8780487804878048</v>
      </c>
      <c r="M730" s="95" cm="1">
        <f t="array" aca="1" ref="M730" ca="1">Table2[[#This Row],[Playable x Score]]*_xlfn.IFS(Table2[[#This Row],[Pos]]="D",assumptions!$B$15,Table2[[#This Row],[Pos]]="F", assumptions!$B$14,Table2[[#This Row],[Pos]]="G",assumptions!$B$16)</f>
        <v>3.8780487804878048</v>
      </c>
    </row>
    <row r="731" spans="1:13" x14ac:dyDescent="0.3">
      <c r="A731">
        <f>'score estimates'!$A731</f>
        <v>728</v>
      </c>
      <c r="B731" t="str">
        <f>'score estimates'!$B731</f>
        <v>Cam Dineen</v>
      </c>
      <c r="C731" t="str">
        <f>'score estimates'!$D731</f>
        <v>D</v>
      </c>
      <c r="D731" t="str">
        <f>'score estimates'!$C731</f>
        <v>ARI</v>
      </c>
      <c r="E731" s="75">
        <f>'score estimates'!$F731</f>
        <v>2.2317073170731709</v>
      </c>
      <c r="F731" s="71">
        <f>'score estimates'!$G731</f>
        <v>839</v>
      </c>
      <c r="G731" s="71" t="s">
        <v>983</v>
      </c>
      <c r="H731" s="72" cm="1">
        <f t="array" aca="1" ref="H73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31" s="96">
        <f ca="1">IF(Table2[[#This Row],[Team]]="FA",0,Table2[[#This Row],[Pts/G]]*(1-Table2[[#This Row],[% Pos Overlap]]))</f>
        <v>2.2317073170731709</v>
      </c>
      <c r="J731" s="72" cm="1">
        <f t="array" aca="1" ref="J731" ca="1">(INDIRECT(ADDRESS((_xlfn.XMATCH(Table2[[#This Row],[Team]],Schedule!$A$1:$A$33)),5,1,1,"Sched Overlap")))</f>
        <v>0.63247863247863279</v>
      </c>
      <c r="K731" s="92" cm="1">
        <f t="array" aca="1" ref="K73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31" s="95">
        <f ca="1">IF(Table2[[#This Row],[Team]]="FA",0,Table2[[#This Row],[Pts/G]]*(Table2[[#This Row],[Games Playable]]/82))</f>
        <v>2.2317073170731709</v>
      </c>
      <c r="M731" s="95" cm="1">
        <f t="array" aca="1" ref="M731" ca="1">Table2[[#This Row],[Playable x Score]]*_xlfn.IFS(Table2[[#This Row],[Pos]]="D",assumptions!$B$15,Table2[[#This Row],[Pos]]="F", assumptions!$B$14,Table2[[#This Row],[Pos]]="G",assumptions!$B$16)</f>
        <v>2.7896341463414638</v>
      </c>
    </row>
    <row r="732" spans="1:13" x14ac:dyDescent="0.3">
      <c r="A732">
        <f>'score estimates'!$A732</f>
        <v>729</v>
      </c>
      <c r="B732" t="str">
        <f>'score estimates'!$B732</f>
        <v>Brett Murray</v>
      </c>
      <c r="C732" t="str">
        <f>'score estimates'!$D732</f>
        <v>F</v>
      </c>
      <c r="D732" t="str">
        <f>'score estimates'!$C732</f>
        <v>BUF</v>
      </c>
      <c r="E732" s="75">
        <f>'score estimates'!$F732</f>
        <v>2.6219512195121952</v>
      </c>
      <c r="F732" s="71">
        <f>'score estimates'!$G732</f>
        <v>819</v>
      </c>
      <c r="G732" s="71" t="s">
        <v>983</v>
      </c>
      <c r="H732" s="72" cm="1">
        <f t="array" aca="1" ref="H73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32" s="96">
        <f ca="1">IF(Table2[[#This Row],[Team]]="FA",0,Table2[[#This Row],[Pts/G]]*(1-Table2[[#This Row],[% Pos Overlap]]))</f>
        <v>2.6219512195121952</v>
      </c>
      <c r="J732" s="72" cm="1">
        <f t="array" aca="1" ref="J732" ca="1">(INDIRECT(ADDRESS((_xlfn.XMATCH(Table2[[#This Row],[Team]],Schedule!$A$1:$A$33)),5,1,1,"Sched Overlap")))</f>
        <v>0.63573463573463573</v>
      </c>
      <c r="K732" s="92" cm="1">
        <f t="array" aca="1" ref="K73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32" s="95">
        <f ca="1">IF(Table2[[#This Row],[Team]]="FA",0,Table2[[#This Row],[Pts/G]]*(Table2[[#This Row],[Games Playable]]/82))</f>
        <v>2.6219512195121952</v>
      </c>
      <c r="M732" s="95" cm="1">
        <f t="array" aca="1" ref="M732" ca="1">Table2[[#This Row],[Playable x Score]]*_xlfn.IFS(Table2[[#This Row],[Pos]]="D",assumptions!$B$15,Table2[[#This Row],[Pos]]="F", assumptions!$B$14,Table2[[#This Row],[Pos]]="G",assumptions!$B$16)</f>
        <v>2.6219512195121952</v>
      </c>
    </row>
    <row r="733" spans="1:13" x14ac:dyDescent="0.3">
      <c r="A733">
        <f>'score estimates'!$A733</f>
        <v>730</v>
      </c>
      <c r="B733" t="str">
        <f>'score estimates'!$B733</f>
        <v>Michael Carcone</v>
      </c>
      <c r="C733" t="str">
        <f>'score estimates'!$D733</f>
        <v>F</v>
      </c>
      <c r="D733" t="str">
        <f>'score estimates'!$C733</f>
        <v>ARI</v>
      </c>
      <c r="E733" s="75">
        <f>'score estimates'!$F733</f>
        <v>2.4268292682926829</v>
      </c>
      <c r="F733" s="71">
        <f>'score estimates'!$G733</f>
        <v>831</v>
      </c>
      <c r="G733" s="71" t="s">
        <v>983</v>
      </c>
      <c r="H733" s="72" cm="1">
        <f t="array" aca="1" ref="H73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33" s="96">
        <f ca="1">IF(Table2[[#This Row],[Team]]="FA",0,Table2[[#This Row],[Pts/G]]*(1-Table2[[#This Row],[% Pos Overlap]]))</f>
        <v>2.4268292682926829</v>
      </c>
      <c r="J733" s="72" cm="1">
        <f t="array" aca="1" ref="J733" ca="1">(INDIRECT(ADDRESS((_xlfn.XMATCH(Table2[[#This Row],[Team]],Schedule!$A$1:$A$33)),5,1,1,"Sched Overlap")))</f>
        <v>0.63247863247863279</v>
      </c>
      <c r="K733" s="92" cm="1">
        <f t="array" aca="1" ref="K73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33" s="95">
        <f ca="1">IF(Table2[[#This Row],[Team]]="FA",0,Table2[[#This Row],[Pts/G]]*(Table2[[#This Row],[Games Playable]]/82))</f>
        <v>2.4268292682926829</v>
      </c>
      <c r="M733" s="95" cm="1">
        <f t="array" aca="1" ref="M733" ca="1">Table2[[#This Row],[Playable x Score]]*_xlfn.IFS(Table2[[#This Row],[Pos]]="D",assumptions!$B$15,Table2[[#This Row],[Pos]]="F", assumptions!$B$14,Table2[[#This Row],[Pos]]="G",assumptions!$B$16)</f>
        <v>2.4268292682926829</v>
      </c>
    </row>
    <row r="734" spans="1:13" x14ac:dyDescent="0.3">
      <c r="A734">
        <f>'score estimates'!$A734</f>
        <v>731</v>
      </c>
      <c r="B734" t="str">
        <f>'score estimates'!$B734</f>
        <v>Urho Vaakanainen</v>
      </c>
      <c r="C734" t="str">
        <f>'score estimates'!$D734</f>
        <v>D</v>
      </c>
      <c r="D734" t="str">
        <f>'score estimates'!$C734</f>
        <v>ANH</v>
      </c>
      <c r="E734" s="75">
        <f>'score estimates'!$F734</f>
        <v>2.9512195121951219</v>
      </c>
      <c r="F734" s="71">
        <f>'score estimates'!$G734</f>
        <v>800</v>
      </c>
      <c r="G734" s="71" t="s">
        <v>983</v>
      </c>
      <c r="H734" s="72" cm="1">
        <f t="array" aca="1" ref="H73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34" s="96">
        <f ca="1">IF(Table2[[#This Row],[Team]]="FA",0,Table2[[#This Row],[Pts/G]]*(1-Table2[[#This Row],[% Pos Overlap]]))</f>
        <v>2.9512195121951219</v>
      </c>
      <c r="J734" s="72" cm="1">
        <f t="array" aca="1" ref="J734" ca="1">(INDIRECT(ADDRESS((_xlfn.XMATCH(Table2[[#This Row],[Team]],Schedule!$A$1:$A$33)),5,1,1,"Sched Overlap")))</f>
        <v>0.56410256410256399</v>
      </c>
      <c r="K734" s="92" cm="1">
        <f t="array" aca="1" ref="K73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34" s="95">
        <f ca="1">IF(Table2[[#This Row],[Team]]="FA",0,Table2[[#This Row],[Pts/G]]*(Table2[[#This Row],[Games Playable]]/82))</f>
        <v>2.9512195121951219</v>
      </c>
      <c r="M734" s="95" cm="1">
        <f t="array" aca="1" ref="M734" ca="1">Table2[[#This Row],[Playable x Score]]*_xlfn.IFS(Table2[[#This Row],[Pos]]="D",assumptions!$B$15,Table2[[#This Row],[Pos]]="F", assumptions!$B$14,Table2[[#This Row],[Pos]]="G",assumptions!$B$16)</f>
        <v>3.6890243902439024</v>
      </c>
    </row>
    <row r="735" spans="1:13" x14ac:dyDescent="0.3">
      <c r="A735">
        <f>'score estimates'!$A735</f>
        <v>732</v>
      </c>
      <c r="B735" t="str">
        <f>'score estimates'!$B735</f>
        <v>Radim Simek</v>
      </c>
      <c r="C735" t="str">
        <f>'score estimates'!$D735</f>
        <v>D</v>
      </c>
      <c r="D735" t="str">
        <f>'score estimates'!$C735</f>
        <v>SJ</v>
      </c>
      <c r="E735" s="75">
        <f>'score estimates'!$F735</f>
        <v>3.7560975609756095</v>
      </c>
      <c r="F735" s="71">
        <f>'score estimates'!$G735</f>
        <v>765</v>
      </c>
      <c r="G735" s="71" t="s">
        <v>983</v>
      </c>
      <c r="H735" s="72" cm="1">
        <f t="array" aca="1" ref="H73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35" s="96">
        <f ca="1">IF(Table2[[#This Row],[Team]]="FA",0,Table2[[#This Row],[Pts/G]]*(1-Table2[[#This Row],[% Pos Overlap]]))</f>
        <v>3.7560975609756095</v>
      </c>
      <c r="J735" s="72" cm="1">
        <f t="array" aca="1" ref="J735" ca="1">(INDIRECT(ADDRESS((_xlfn.XMATCH(Table2[[#This Row],[Team]],Schedule!$A$1:$A$33)),5,1,1,"Sched Overlap")))</f>
        <v>0.63492063492063477</v>
      </c>
      <c r="K735" s="92" cm="1">
        <f t="array" aca="1" ref="K73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35" s="95">
        <f ca="1">IF(Table2[[#This Row],[Team]]="FA",0,Table2[[#This Row],[Pts/G]]*(Table2[[#This Row],[Games Playable]]/82))</f>
        <v>3.7560975609756095</v>
      </c>
      <c r="M735" s="95" cm="1">
        <f t="array" aca="1" ref="M735" ca="1">Table2[[#This Row],[Playable x Score]]*_xlfn.IFS(Table2[[#This Row],[Pos]]="D",assumptions!$B$15,Table2[[#This Row],[Pos]]="F", assumptions!$B$14,Table2[[#This Row],[Pos]]="G",assumptions!$B$16)</f>
        <v>4.6951219512195124</v>
      </c>
    </row>
    <row r="736" spans="1:13" x14ac:dyDescent="0.3">
      <c r="A736">
        <f>'score estimates'!$A736</f>
        <v>733</v>
      </c>
      <c r="B736" t="str">
        <f>'score estimates'!$B736</f>
        <v>Jack Studnicka</v>
      </c>
      <c r="C736" t="str">
        <f>'score estimates'!$D736</f>
        <v>F</v>
      </c>
      <c r="D736" t="str">
        <f>'score estimates'!$C736</f>
        <v>BOS</v>
      </c>
      <c r="E736" s="75">
        <f>'score estimates'!$F736</f>
        <v>2.5731707317073171</v>
      </c>
      <c r="F736" s="71">
        <f>'score estimates'!$G736</f>
        <v>823</v>
      </c>
      <c r="G736" s="71" t="s">
        <v>983</v>
      </c>
      <c r="H736" s="72" cm="1">
        <f t="array" aca="1" ref="H73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36" s="96">
        <f ca="1">IF(Table2[[#This Row],[Team]]="FA",0,Table2[[#This Row],[Pts/G]]*(1-Table2[[#This Row],[% Pos Overlap]]))</f>
        <v>2.5731707317073171</v>
      </c>
      <c r="J736" s="72" cm="1">
        <f t="array" aca="1" ref="J736" ca="1">(INDIRECT(ADDRESS((_xlfn.XMATCH(Table2[[#This Row],[Team]],Schedule!$A$1:$A$33)),5,1,1,"Sched Overlap")))</f>
        <v>0.67236467236467234</v>
      </c>
      <c r="K736" s="92" cm="1">
        <f t="array" aca="1" ref="K73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36" s="95">
        <f ca="1">IF(Table2[[#This Row],[Team]]="FA",0,Table2[[#This Row],[Pts/G]]*(Table2[[#This Row],[Games Playable]]/82))</f>
        <v>2.5731707317073171</v>
      </c>
      <c r="M736" s="95" cm="1">
        <f t="array" aca="1" ref="M736" ca="1">Table2[[#This Row],[Playable x Score]]*_xlfn.IFS(Table2[[#This Row],[Pos]]="D",assumptions!$B$15,Table2[[#This Row],[Pos]]="F", assumptions!$B$14,Table2[[#This Row],[Pos]]="G",assumptions!$B$16)</f>
        <v>2.5731707317073171</v>
      </c>
    </row>
    <row r="737" spans="1:13" x14ac:dyDescent="0.3">
      <c r="A737">
        <f>'score estimates'!$A737</f>
        <v>734</v>
      </c>
      <c r="B737" t="str">
        <f>'score estimates'!$B737</f>
        <v>Mattias Norlinder</v>
      </c>
      <c r="C737" t="str">
        <f>'score estimates'!$D737</f>
        <v>D</v>
      </c>
      <c r="D737" t="str">
        <f>'score estimates'!$C737</f>
        <v>MON</v>
      </c>
      <c r="E737" s="75">
        <f>'score estimates'!$F737</f>
        <v>2.5975609756097562</v>
      </c>
      <c r="F737" s="71">
        <f>'score estimates'!$G737</f>
        <v>820</v>
      </c>
      <c r="G737" s="71" t="s">
        <v>983</v>
      </c>
      <c r="H737" s="72" cm="1">
        <f t="array" aca="1" ref="H73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37" s="96">
        <f ca="1">IF(Table2[[#This Row],[Team]]="FA",0,Table2[[#This Row],[Pts/G]]*(1-Table2[[#This Row],[% Pos Overlap]]))</f>
        <v>2.5975609756097562</v>
      </c>
      <c r="J737" s="72" cm="1">
        <f t="array" aca="1" ref="J737" ca="1">(INDIRECT(ADDRESS((_xlfn.XMATCH(Table2[[#This Row],[Team]],Schedule!$A$1:$A$33)),5,1,1,"Sched Overlap")))</f>
        <v>0.66666666666666685</v>
      </c>
      <c r="K737" s="92" cm="1">
        <f t="array" aca="1" ref="K73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37" s="95">
        <f ca="1">IF(Table2[[#This Row],[Team]]="FA",0,Table2[[#This Row],[Pts/G]]*(Table2[[#This Row],[Games Playable]]/82))</f>
        <v>2.5975609756097562</v>
      </c>
      <c r="M737" s="95" cm="1">
        <f t="array" aca="1" ref="M737" ca="1">Table2[[#This Row],[Playable x Score]]*_xlfn.IFS(Table2[[#This Row],[Pos]]="D",assumptions!$B$15,Table2[[#This Row],[Pos]]="F", assumptions!$B$14,Table2[[#This Row],[Pos]]="G",assumptions!$B$16)</f>
        <v>3.2469512195121952</v>
      </c>
    </row>
    <row r="738" spans="1:13" x14ac:dyDescent="0.3">
      <c r="A738">
        <f>'score estimates'!$A738</f>
        <v>735</v>
      </c>
      <c r="B738" t="str">
        <f>'score estimates'!$B738</f>
        <v>Brett Leason</v>
      </c>
      <c r="C738" t="str">
        <f>'score estimates'!$D738</f>
        <v>F</v>
      </c>
      <c r="D738" t="str">
        <f>'score estimates'!$C738</f>
        <v>WAS</v>
      </c>
      <c r="E738" s="75">
        <f>'score estimates'!$F738</f>
        <v>2.5487804878048781</v>
      </c>
      <c r="F738" s="71">
        <f>'score estimates'!$G738</f>
        <v>826</v>
      </c>
      <c r="G738" s="71" t="s">
        <v>983</v>
      </c>
      <c r="H738" s="72" cm="1">
        <f t="array" aca="1" ref="H73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38" s="96">
        <f ca="1">IF(Table2[[#This Row],[Team]]="FA",0,Table2[[#This Row],[Pts/G]]*(1-Table2[[#This Row],[% Pos Overlap]]))</f>
        <v>2.5487804878048781</v>
      </c>
      <c r="J738" s="72" cm="1">
        <f t="array" aca="1" ref="J738" ca="1">(INDIRECT(ADDRESS((_xlfn.XMATCH(Table2[[#This Row],[Team]],Schedule!$A$1:$A$33)),5,1,1,"Sched Overlap")))</f>
        <v>0.65282865282865288</v>
      </c>
      <c r="K738" s="92" cm="1">
        <f t="array" aca="1" ref="K73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38" s="95">
        <f ca="1">IF(Table2[[#This Row],[Team]]="FA",0,Table2[[#This Row],[Pts/G]]*(Table2[[#This Row],[Games Playable]]/82))</f>
        <v>2.5487804878048781</v>
      </c>
      <c r="M738" s="95" cm="1">
        <f t="array" aca="1" ref="M738" ca="1">Table2[[#This Row],[Playable x Score]]*_xlfn.IFS(Table2[[#This Row],[Pos]]="D",assumptions!$B$15,Table2[[#This Row],[Pos]]="F", assumptions!$B$14,Table2[[#This Row],[Pos]]="G",assumptions!$B$16)</f>
        <v>2.5487804878048781</v>
      </c>
    </row>
    <row r="739" spans="1:13" x14ac:dyDescent="0.3">
      <c r="A739">
        <f>'score estimates'!$A739</f>
        <v>736</v>
      </c>
      <c r="B739" t="str">
        <f>'score estimates'!$B739</f>
        <v>Oskar Steen</v>
      </c>
      <c r="C739" t="str">
        <f>'score estimates'!$D739</f>
        <v>F</v>
      </c>
      <c r="D739" t="str">
        <f>'score estimates'!$C739</f>
        <v>BOS</v>
      </c>
      <c r="E739" s="75">
        <f>'score estimates'!$F739</f>
        <v>3.1707317073170733</v>
      </c>
      <c r="F739" s="71">
        <f>'score estimates'!$G739</f>
        <v>792</v>
      </c>
      <c r="G739" s="71" t="s">
        <v>983</v>
      </c>
      <c r="H739" s="72" cm="1">
        <f t="array" aca="1" ref="H73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39" s="96">
        <f ca="1">IF(Table2[[#This Row],[Team]]="FA",0,Table2[[#This Row],[Pts/G]]*(1-Table2[[#This Row],[% Pos Overlap]]))</f>
        <v>3.1707317073170733</v>
      </c>
      <c r="J739" s="72" cm="1">
        <f t="array" aca="1" ref="J739" ca="1">(INDIRECT(ADDRESS((_xlfn.XMATCH(Table2[[#This Row],[Team]],Schedule!$A$1:$A$33)),5,1,1,"Sched Overlap")))</f>
        <v>0.67236467236467234</v>
      </c>
      <c r="K739" s="92" cm="1">
        <f t="array" aca="1" ref="K73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39" s="95">
        <f ca="1">IF(Table2[[#This Row],[Team]]="FA",0,Table2[[#This Row],[Pts/G]]*(Table2[[#This Row],[Games Playable]]/82))</f>
        <v>3.1707317073170733</v>
      </c>
      <c r="M739" s="95" cm="1">
        <f t="array" aca="1" ref="M739" ca="1">Table2[[#This Row],[Playable x Score]]*_xlfn.IFS(Table2[[#This Row],[Pos]]="D",assumptions!$B$15,Table2[[#This Row],[Pos]]="F", assumptions!$B$14,Table2[[#This Row],[Pos]]="G",assumptions!$B$16)</f>
        <v>3.1707317073170733</v>
      </c>
    </row>
    <row r="740" spans="1:13" x14ac:dyDescent="0.3">
      <c r="A740">
        <f>'score estimates'!$A740</f>
        <v>737</v>
      </c>
      <c r="B740" t="str">
        <f>'score estimates'!$B740</f>
        <v>Justin Danforth</v>
      </c>
      <c r="C740" t="str">
        <f>'score estimates'!$D740</f>
        <v>F</v>
      </c>
      <c r="D740" t="str">
        <f>'score estimates'!$C740</f>
        <v>CLS</v>
      </c>
      <c r="E740" s="75">
        <f>'score estimates'!$F740</f>
        <v>3.0365853658536586</v>
      </c>
      <c r="F740" s="71">
        <f>'score estimates'!$G740</f>
        <v>797</v>
      </c>
      <c r="G740" s="71" t="s">
        <v>983</v>
      </c>
      <c r="H740" s="72" cm="1">
        <f t="array" aca="1" ref="H74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40" s="96">
        <f ca="1">IF(Table2[[#This Row],[Team]]="FA",0,Table2[[#This Row],[Pts/G]]*(1-Table2[[#This Row],[% Pos Overlap]]))</f>
        <v>3.0365853658536586</v>
      </c>
      <c r="J740" s="72" cm="1">
        <f t="array" aca="1" ref="J740" ca="1">(INDIRECT(ADDRESS((_xlfn.XMATCH(Table2[[#This Row],[Team]],Schedule!$A$1:$A$33)),5,1,1,"Sched Overlap")))</f>
        <v>0.64875864875864886</v>
      </c>
      <c r="K740" s="92" cm="1">
        <f t="array" aca="1" ref="K74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40" s="95">
        <f ca="1">IF(Table2[[#This Row],[Team]]="FA",0,Table2[[#This Row],[Pts/G]]*(Table2[[#This Row],[Games Playable]]/82))</f>
        <v>3.0365853658536586</v>
      </c>
      <c r="M740" s="95" cm="1">
        <f t="array" aca="1" ref="M740" ca="1">Table2[[#This Row],[Playable x Score]]*_xlfn.IFS(Table2[[#This Row],[Pos]]="D",assumptions!$B$15,Table2[[#This Row],[Pos]]="F", assumptions!$B$14,Table2[[#This Row],[Pos]]="G",assumptions!$B$16)</f>
        <v>3.0365853658536586</v>
      </c>
    </row>
    <row r="741" spans="1:13" x14ac:dyDescent="0.3">
      <c r="A741">
        <f>'score estimates'!$A741</f>
        <v>738</v>
      </c>
      <c r="B741" t="str">
        <f>'score estimates'!$B741</f>
        <v>Mark Kastelic</v>
      </c>
      <c r="C741" t="str">
        <f>'score estimates'!$D741</f>
        <v>F</v>
      </c>
      <c r="D741" t="str">
        <f>'score estimates'!$C741</f>
        <v>OTT</v>
      </c>
      <c r="E741" s="75">
        <f>'score estimates'!$F741</f>
        <v>4.2073170731707314</v>
      </c>
      <c r="F741" s="71">
        <f>'score estimates'!$G741</f>
        <v>751</v>
      </c>
      <c r="G741" s="71" t="s">
        <v>983</v>
      </c>
      <c r="H741" s="72" cm="1">
        <f t="array" aca="1" ref="H74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41" s="96">
        <f ca="1">IF(Table2[[#This Row],[Team]]="FA",0,Table2[[#This Row],[Pts/G]]*(1-Table2[[#This Row],[% Pos Overlap]]))</f>
        <v>4.2073170731707314</v>
      </c>
      <c r="J741" s="72" cm="1">
        <f t="array" aca="1" ref="J741" ca="1">(INDIRECT(ADDRESS((_xlfn.XMATCH(Table2[[#This Row],[Team]],Schedule!$A$1:$A$33)),5,1,1,"Sched Overlap")))</f>
        <v>0.64306064306064303</v>
      </c>
      <c r="K741" s="92" cm="1">
        <f t="array" aca="1" ref="K74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41" s="95">
        <f ca="1">IF(Table2[[#This Row],[Team]]="FA",0,Table2[[#This Row],[Pts/G]]*(Table2[[#This Row],[Games Playable]]/82))</f>
        <v>4.2073170731707314</v>
      </c>
      <c r="M741" s="95" cm="1">
        <f t="array" aca="1" ref="M741" ca="1">Table2[[#This Row],[Playable x Score]]*_xlfn.IFS(Table2[[#This Row],[Pos]]="D",assumptions!$B$15,Table2[[#This Row],[Pos]]="F", assumptions!$B$14,Table2[[#This Row],[Pos]]="G",assumptions!$B$16)</f>
        <v>4.2073170731707314</v>
      </c>
    </row>
    <row r="742" spans="1:13" x14ac:dyDescent="0.3">
      <c r="A742">
        <f>'score estimates'!$A742</f>
        <v>739</v>
      </c>
      <c r="B742" t="str">
        <f>'score estimates'!$B742</f>
        <v>Marc McLaughlin</v>
      </c>
      <c r="C742" t="str">
        <f>'score estimates'!$D742</f>
        <v>F</v>
      </c>
      <c r="D742" t="str">
        <f>'score estimates'!$C742</f>
        <v>BOS</v>
      </c>
      <c r="E742" s="75">
        <f>'score estimates'!$F742</f>
        <v>2.2926829268292681</v>
      </c>
      <c r="F742" s="71">
        <f>'score estimates'!$G742</f>
        <v>836</v>
      </c>
      <c r="G742" s="71" t="s">
        <v>983</v>
      </c>
      <c r="H742" s="72" cm="1">
        <f t="array" aca="1" ref="H74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42" s="96">
        <f ca="1">IF(Table2[[#This Row],[Team]]="FA",0,Table2[[#This Row],[Pts/G]]*(1-Table2[[#This Row],[% Pos Overlap]]))</f>
        <v>2.2926829268292681</v>
      </c>
      <c r="J742" s="72" cm="1">
        <f t="array" aca="1" ref="J742" ca="1">(INDIRECT(ADDRESS((_xlfn.XMATCH(Table2[[#This Row],[Team]],Schedule!$A$1:$A$33)),5,1,1,"Sched Overlap")))</f>
        <v>0.67236467236467234</v>
      </c>
      <c r="K742" s="92" cm="1">
        <f t="array" aca="1" ref="K74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42" s="95">
        <f ca="1">IF(Table2[[#This Row],[Team]]="FA",0,Table2[[#This Row],[Pts/G]]*(Table2[[#This Row],[Games Playable]]/82))</f>
        <v>2.2926829268292681</v>
      </c>
      <c r="M742" s="95" cm="1">
        <f t="array" aca="1" ref="M742" ca="1">Table2[[#This Row],[Playable x Score]]*_xlfn.IFS(Table2[[#This Row],[Pos]]="D",assumptions!$B$15,Table2[[#This Row],[Pos]]="F", assumptions!$B$14,Table2[[#This Row],[Pos]]="G",assumptions!$B$16)</f>
        <v>2.2926829268292681</v>
      </c>
    </row>
    <row r="743" spans="1:13" x14ac:dyDescent="0.3">
      <c r="A743">
        <f>'score estimates'!$A743</f>
        <v>740</v>
      </c>
      <c r="B743" t="str">
        <f>'score estimates'!$B743</f>
        <v>Alexei Protas</v>
      </c>
      <c r="C743" t="str">
        <f>'score estimates'!$D743</f>
        <v>F</v>
      </c>
      <c r="D743" t="str">
        <f>'score estimates'!$C743</f>
        <v>WAS</v>
      </c>
      <c r="E743" s="75">
        <f>'score estimates'!$F743</f>
        <v>1.9512195121951219</v>
      </c>
      <c r="F743" s="71">
        <f>'score estimates'!$G743</f>
        <v>858</v>
      </c>
      <c r="G743" s="71" t="s">
        <v>983</v>
      </c>
      <c r="H743" s="72" cm="1">
        <f t="array" aca="1" ref="H74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43" s="96">
        <f ca="1">IF(Table2[[#This Row],[Team]]="FA",0,Table2[[#This Row],[Pts/G]]*(1-Table2[[#This Row],[% Pos Overlap]]))</f>
        <v>1.9512195121951219</v>
      </c>
      <c r="J743" s="72" cm="1">
        <f t="array" aca="1" ref="J743" ca="1">(INDIRECT(ADDRESS((_xlfn.XMATCH(Table2[[#This Row],[Team]],Schedule!$A$1:$A$33)),5,1,1,"Sched Overlap")))</f>
        <v>0.65282865282865288</v>
      </c>
      <c r="K743" s="92" cm="1">
        <f t="array" aca="1" ref="K74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43" s="95">
        <f ca="1">IF(Table2[[#This Row],[Team]]="FA",0,Table2[[#This Row],[Pts/G]]*(Table2[[#This Row],[Games Playable]]/82))</f>
        <v>1.9512195121951219</v>
      </c>
      <c r="M743" s="95" cm="1">
        <f t="array" aca="1" ref="M743" ca="1">Table2[[#This Row],[Playable x Score]]*_xlfn.IFS(Table2[[#This Row],[Pos]]="D",assumptions!$B$15,Table2[[#This Row],[Pos]]="F", assumptions!$B$14,Table2[[#This Row],[Pos]]="G",assumptions!$B$16)</f>
        <v>1.9512195121951219</v>
      </c>
    </row>
    <row r="744" spans="1:13" x14ac:dyDescent="0.3">
      <c r="A744">
        <f>'score estimates'!$A744</f>
        <v>741</v>
      </c>
      <c r="B744" t="str">
        <f>'score estimates'!$B744</f>
        <v>Jordan Spence</v>
      </c>
      <c r="C744" t="str">
        <f>'score estimates'!$D744</f>
        <v>D</v>
      </c>
      <c r="D744" t="str">
        <f>'score estimates'!$C744</f>
        <v>LA</v>
      </c>
      <c r="E744" s="75">
        <f>'score estimates'!$F744</f>
        <v>2.524390243902439</v>
      </c>
      <c r="F744" s="71">
        <f>'score estimates'!$G744</f>
        <v>827</v>
      </c>
      <c r="G744" s="71" t="s">
        <v>983</v>
      </c>
      <c r="H744" s="72" cm="1">
        <f t="array" aca="1" ref="H74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44" s="96">
        <f ca="1">IF(Table2[[#This Row],[Team]]="FA",0,Table2[[#This Row],[Pts/G]]*(1-Table2[[#This Row],[% Pos Overlap]]))</f>
        <v>2.524390243902439</v>
      </c>
      <c r="J744" s="72" cm="1">
        <f t="array" aca="1" ref="J744" ca="1">(INDIRECT(ADDRESS((_xlfn.XMATCH(Table2[[#This Row],[Team]],Schedule!$A$1:$A$33)),5,1,1,"Sched Overlap")))</f>
        <v>0.65201465201465225</v>
      </c>
      <c r="K744" s="92" cm="1">
        <f t="array" aca="1" ref="K74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44" s="95">
        <f ca="1">IF(Table2[[#This Row],[Team]]="FA",0,Table2[[#This Row],[Pts/G]]*(Table2[[#This Row],[Games Playable]]/82))</f>
        <v>2.524390243902439</v>
      </c>
      <c r="M744" s="95" cm="1">
        <f t="array" aca="1" ref="M744" ca="1">Table2[[#This Row],[Playable x Score]]*_xlfn.IFS(Table2[[#This Row],[Pos]]="D",assumptions!$B$15,Table2[[#This Row],[Pos]]="F", assumptions!$B$14,Table2[[#This Row],[Pos]]="G",assumptions!$B$16)</f>
        <v>3.1554878048780486</v>
      </c>
    </row>
    <row r="745" spans="1:13" x14ac:dyDescent="0.3">
      <c r="A745">
        <f>'score estimates'!$A745</f>
        <v>742</v>
      </c>
      <c r="B745" t="str">
        <f>'score estimates'!$B745</f>
        <v>Arttu Ruotsalainen</v>
      </c>
      <c r="C745" t="str">
        <f>'score estimates'!$D745</f>
        <v>F</v>
      </c>
      <c r="D745" t="str">
        <f>'score estimates'!$C745</f>
        <v>BUF</v>
      </c>
      <c r="E745" s="75">
        <f>'score estimates'!$F745</f>
        <v>2.3292682926829267</v>
      </c>
      <c r="F745" s="71">
        <f>'score estimates'!$G745</f>
        <v>833</v>
      </c>
      <c r="G745" s="71" t="s">
        <v>983</v>
      </c>
      <c r="H745" s="72" cm="1">
        <f t="array" aca="1" ref="H74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45" s="96">
        <f ca="1">IF(Table2[[#This Row],[Team]]="FA",0,Table2[[#This Row],[Pts/G]]*(1-Table2[[#This Row],[% Pos Overlap]]))</f>
        <v>2.3292682926829267</v>
      </c>
      <c r="J745" s="72" cm="1">
        <f t="array" aca="1" ref="J745" ca="1">(INDIRECT(ADDRESS((_xlfn.XMATCH(Table2[[#This Row],[Team]],Schedule!$A$1:$A$33)),5,1,1,"Sched Overlap")))</f>
        <v>0.63573463573463573</v>
      </c>
      <c r="K745" s="92" cm="1">
        <f t="array" aca="1" ref="K74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45" s="95">
        <f ca="1">IF(Table2[[#This Row],[Team]]="FA",0,Table2[[#This Row],[Pts/G]]*(Table2[[#This Row],[Games Playable]]/82))</f>
        <v>2.3292682926829267</v>
      </c>
      <c r="M745" s="95" cm="1">
        <f t="array" aca="1" ref="M745" ca="1">Table2[[#This Row],[Playable x Score]]*_xlfn.IFS(Table2[[#This Row],[Pos]]="D",assumptions!$B$15,Table2[[#This Row],[Pos]]="F", assumptions!$B$14,Table2[[#This Row],[Pos]]="G",assumptions!$B$16)</f>
        <v>2.3292682926829267</v>
      </c>
    </row>
    <row r="746" spans="1:13" x14ac:dyDescent="0.3">
      <c r="A746">
        <f>'score estimates'!$A746</f>
        <v>743</v>
      </c>
      <c r="B746" t="str">
        <f>'score estimates'!$B746</f>
        <v>Martin Kaut</v>
      </c>
      <c r="C746" t="str">
        <f>'score estimates'!$D746</f>
        <v>F</v>
      </c>
      <c r="D746" t="str">
        <f>'score estimates'!$C746</f>
        <v>COL</v>
      </c>
      <c r="E746" s="75">
        <f>'score estimates'!$F746</f>
        <v>2.475609756097561</v>
      </c>
      <c r="F746" s="71">
        <f>'score estimates'!$G746</f>
        <v>830</v>
      </c>
      <c r="G746" s="71" t="s">
        <v>983</v>
      </c>
      <c r="H746" s="72" cm="1">
        <f t="array" aca="1" ref="H74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46" s="96">
        <f ca="1">IF(Table2[[#This Row],[Team]]="FA",0,Table2[[#This Row],[Pts/G]]*(1-Table2[[#This Row],[% Pos Overlap]]))</f>
        <v>2.475609756097561</v>
      </c>
      <c r="J746" s="72" cm="1">
        <f t="array" aca="1" ref="J746" ca="1">(INDIRECT(ADDRESS((_xlfn.XMATCH(Table2[[#This Row],[Team]],Schedule!$A$1:$A$33)),5,1,1,"Sched Overlap")))</f>
        <v>0.61131461131461151</v>
      </c>
      <c r="K746" s="92" cm="1">
        <f t="array" aca="1" ref="K74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46" s="95">
        <f ca="1">IF(Table2[[#This Row],[Team]]="FA",0,Table2[[#This Row],[Pts/G]]*(Table2[[#This Row],[Games Playable]]/82))</f>
        <v>2.475609756097561</v>
      </c>
      <c r="M746" s="95" cm="1">
        <f t="array" aca="1" ref="M746" ca="1">Table2[[#This Row],[Playable x Score]]*_xlfn.IFS(Table2[[#This Row],[Pos]]="D",assumptions!$B$15,Table2[[#This Row],[Pos]]="F", assumptions!$B$14,Table2[[#This Row],[Pos]]="G",assumptions!$B$16)</f>
        <v>2.475609756097561</v>
      </c>
    </row>
    <row r="747" spans="1:13" x14ac:dyDescent="0.3">
      <c r="A747">
        <f>'score estimates'!$A747</f>
        <v>744</v>
      </c>
      <c r="B747" t="str">
        <f>'score estimates'!$B747</f>
        <v>Nicolas Beaudin</v>
      </c>
      <c r="C747" t="str">
        <f>'score estimates'!$D747</f>
        <v>D</v>
      </c>
      <c r="D747" t="str">
        <f>'score estimates'!$C747</f>
        <v>CHI</v>
      </c>
      <c r="E747" s="75">
        <f>'score estimates'!$F747</f>
        <v>1.4634146341463414</v>
      </c>
      <c r="F747" s="71">
        <f>'score estimates'!$G747</f>
        <v>885</v>
      </c>
      <c r="G747" s="71" t="s">
        <v>983</v>
      </c>
      <c r="H747" s="72" cm="1">
        <f t="array" aca="1" ref="H74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47" s="96">
        <f ca="1">IF(Table2[[#This Row],[Team]]="FA",0,Table2[[#This Row],[Pts/G]]*(1-Table2[[#This Row],[% Pos Overlap]]))</f>
        <v>1.4634146341463414</v>
      </c>
      <c r="J747" s="72" cm="1">
        <f t="array" aca="1" ref="J747" ca="1">(INDIRECT(ADDRESS((_xlfn.XMATCH(Table2[[#This Row],[Team]],Schedule!$A$1:$A$33)),5,1,1,"Sched Overlap")))</f>
        <v>0.6243386243386243</v>
      </c>
      <c r="K747" s="92" cm="1">
        <f t="array" aca="1" ref="K74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47" s="95">
        <f ca="1">IF(Table2[[#This Row],[Team]]="FA",0,Table2[[#This Row],[Pts/G]]*(Table2[[#This Row],[Games Playable]]/82))</f>
        <v>1.4634146341463414</v>
      </c>
      <c r="M747" s="95" cm="1">
        <f t="array" aca="1" ref="M747" ca="1">Table2[[#This Row],[Playable x Score]]*_xlfn.IFS(Table2[[#This Row],[Pos]]="D",assumptions!$B$15,Table2[[#This Row],[Pos]]="F", assumptions!$B$14,Table2[[#This Row],[Pos]]="G",assumptions!$B$16)</f>
        <v>1.8292682926829267</v>
      </c>
    </row>
    <row r="748" spans="1:13" x14ac:dyDescent="0.3">
      <c r="A748">
        <f>'score estimates'!$A748</f>
        <v>745</v>
      </c>
      <c r="B748" t="str">
        <f>'score estimates'!$B748</f>
        <v>Ty Smith</v>
      </c>
      <c r="C748" t="str">
        <f>'score estimates'!$D748</f>
        <v>D</v>
      </c>
      <c r="D748" t="str">
        <f>'score estimates'!$C748</f>
        <v>PIT</v>
      </c>
      <c r="E748" s="75">
        <f>'score estimates'!$F748</f>
        <v>1.6341463414634145</v>
      </c>
      <c r="F748" s="71">
        <f>'score estimates'!$G748</f>
        <v>874</v>
      </c>
      <c r="G748" s="71" t="s">
        <v>983</v>
      </c>
      <c r="H748" s="72" cm="1">
        <f t="array" aca="1" ref="H74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48" s="96">
        <f ca="1">IF(Table2[[#This Row],[Team]]="FA",0,Table2[[#This Row],[Pts/G]]*(1-Table2[[#This Row],[% Pos Overlap]]))</f>
        <v>1.6341463414634145</v>
      </c>
      <c r="J748" s="72" cm="1">
        <f t="array" aca="1" ref="J748" ca="1">(INDIRECT(ADDRESS((_xlfn.XMATCH(Table2[[#This Row],[Team]],Schedule!$A$1:$A$33)),5,1,1,"Sched Overlap")))</f>
        <v>0.63492063492063477</v>
      </c>
      <c r="K748" s="92" cm="1">
        <f t="array" aca="1" ref="K74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48" s="95">
        <f ca="1">IF(Table2[[#This Row],[Team]]="FA",0,Table2[[#This Row],[Pts/G]]*(Table2[[#This Row],[Games Playable]]/82))</f>
        <v>1.6341463414634145</v>
      </c>
      <c r="M748" s="95" cm="1">
        <f t="array" aca="1" ref="M748" ca="1">Table2[[#This Row],[Playable x Score]]*_xlfn.IFS(Table2[[#This Row],[Pos]]="D",assumptions!$B$15,Table2[[#This Row],[Pos]]="F", assumptions!$B$14,Table2[[#This Row],[Pos]]="G",assumptions!$B$16)</f>
        <v>2.0426829268292681</v>
      </c>
    </row>
    <row r="749" spans="1:13" x14ac:dyDescent="0.3">
      <c r="A749">
        <f>'score estimates'!$A749</f>
        <v>746</v>
      </c>
      <c r="B749" t="str">
        <f>'score estimates'!$B749</f>
        <v>Alexei Toropchenko</v>
      </c>
      <c r="C749" t="str">
        <f>'score estimates'!$D749</f>
        <v>F</v>
      </c>
      <c r="D749" t="str">
        <f>'score estimates'!$C749</f>
        <v>STL</v>
      </c>
      <c r="E749" s="75">
        <f>'score estimates'!$F749</f>
        <v>3.6829268292682928</v>
      </c>
      <c r="F749" s="71">
        <f>'score estimates'!$G749</f>
        <v>770</v>
      </c>
      <c r="G749" s="71" t="s">
        <v>983</v>
      </c>
      <c r="H749" s="72" cm="1">
        <f t="array" aca="1" ref="H74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49" s="96">
        <f ca="1">IF(Table2[[#This Row],[Team]]="FA",0,Table2[[#This Row],[Pts/G]]*(1-Table2[[#This Row],[% Pos Overlap]]))</f>
        <v>3.6829268292682928</v>
      </c>
      <c r="J749" s="72" cm="1">
        <f t="array" aca="1" ref="J749" ca="1">(INDIRECT(ADDRESS((_xlfn.XMATCH(Table2[[#This Row],[Team]],Schedule!$A$1:$A$33)),5,1,1,"Sched Overlap")))</f>
        <v>0.65120065120065118</v>
      </c>
      <c r="K749" s="92" cm="1">
        <f t="array" aca="1" ref="K74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49" s="95">
        <f ca="1">IF(Table2[[#This Row],[Team]]="FA",0,Table2[[#This Row],[Pts/G]]*(Table2[[#This Row],[Games Playable]]/82))</f>
        <v>3.6829268292682928</v>
      </c>
      <c r="M749" s="95" cm="1">
        <f t="array" aca="1" ref="M749" ca="1">Table2[[#This Row],[Playable x Score]]*_xlfn.IFS(Table2[[#This Row],[Pos]]="D",assumptions!$B$15,Table2[[#This Row],[Pos]]="F", assumptions!$B$14,Table2[[#This Row],[Pos]]="G",assumptions!$B$16)</f>
        <v>3.6829268292682928</v>
      </c>
    </row>
    <row r="750" spans="1:13" x14ac:dyDescent="0.3">
      <c r="A750">
        <f>'score estimates'!$A750</f>
        <v>747</v>
      </c>
      <c r="B750" t="str">
        <f>'score estimates'!$B750</f>
        <v>Alec Regula</v>
      </c>
      <c r="C750" t="str">
        <f>'score estimates'!$D750</f>
        <v>D</v>
      </c>
      <c r="D750" t="str">
        <f>'score estimates'!$C750</f>
        <v>CHI</v>
      </c>
      <c r="E750" s="75">
        <f>'score estimates'!$F750</f>
        <v>4.2560975609756095</v>
      </c>
      <c r="F750" s="71">
        <f>'score estimates'!$G750</f>
        <v>747</v>
      </c>
      <c r="G750" s="71" t="s">
        <v>983</v>
      </c>
      <c r="H750" s="72" cm="1">
        <f t="array" aca="1" ref="H75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50" s="96">
        <f ca="1">IF(Table2[[#This Row],[Team]]="FA",0,Table2[[#This Row],[Pts/G]]*(1-Table2[[#This Row],[% Pos Overlap]]))</f>
        <v>4.2560975609756095</v>
      </c>
      <c r="J750" s="72" cm="1">
        <f t="array" aca="1" ref="J750" ca="1">(INDIRECT(ADDRESS((_xlfn.XMATCH(Table2[[#This Row],[Team]],Schedule!$A$1:$A$33)),5,1,1,"Sched Overlap")))</f>
        <v>0.6243386243386243</v>
      </c>
      <c r="K750" s="92" cm="1">
        <f t="array" aca="1" ref="K75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50" s="95">
        <f ca="1">IF(Table2[[#This Row],[Team]]="FA",0,Table2[[#This Row],[Pts/G]]*(Table2[[#This Row],[Games Playable]]/82))</f>
        <v>4.2560975609756095</v>
      </c>
      <c r="M750" s="95" cm="1">
        <f t="array" aca="1" ref="M750" ca="1">Table2[[#This Row],[Playable x Score]]*_xlfn.IFS(Table2[[#This Row],[Pos]]="D",assumptions!$B$15,Table2[[#This Row],[Pos]]="F", assumptions!$B$14,Table2[[#This Row],[Pos]]="G",assumptions!$B$16)</f>
        <v>5.3201219512195124</v>
      </c>
    </row>
    <row r="751" spans="1:13" x14ac:dyDescent="0.3">
      <c r="A751">
        <f>'score estimates'!$A751</f>
        <v>748</v>
      </c>
      <c r="B751" t="str">
        <f>'score estimates'!$B751</f>
        <v>Otto Koivula</v>
      </c>
      <c r="C751" t="str">
        <f>'score estimates'!$D751</f>
        <v>F</v>
      </c>
      <c r="D751" t="str">
        <f>'score estimates'!$C751</f>
        <v>NYI</v>
      </c>
      <c r="E751" s="75">
        <f>'score estimates'!$F751</f>
        <v>1.9634146341463414</v>
      </c>
      <c r="F751" s="71">
        <f>'score estimates'!$G751</f>
        <v>857</v>
      </c>
      <c r="G751" s="71" t="s">
        <v>983</v>
      </c>
      <c r="H751" s="72" cm="1">
        <f t="array" aca="1" ref="H75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51" s="96">
        <f ca="1">IF(Table2[[#This Row],[Team]]="FA",0,Table2[[#This Row],[Pts/G]]*(1-Table2[[#This Row],[% Pos Overlap]]))</f>
        <v>1.9634146341463414</v>
      </c>
      <c r="J751" s="72" cm="1">
        <f t="array" aca="1" ref="J751" ca="1">(INDIRECT(ADDRESS((_xlfn.XMATCH(Table2[[#This Row],[Team]],Schedule!$A$1:$A$33)),5,1,1,"Sched Overlap")))</f>
        <v>0.63166463166463194</v>
      </c>
      <c r="K751" s="92" cm="1">
        <f t="array" aca="1" ref="K75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51" s="95">
        <f ca="1">IF(Table2[[#This Row],[Team]]="FA",0,Table2[[#This Row],[Pts/G]]*(Table2[[#This Row],[Games Playable]]/82))</f>
        <v>1.9634146341463414</v>
      </c>
      <c r="M751" s="95" cm="1">
        <f t="array" aca="1" ref="M751" ca="1">Table2[[#This Row],[Playable x Score]]*_xlfn.IFS(Table2[[#This Row],[Pos]]="D",assumptions!$B$15,Table2[[#This Row],[Pos]]="F", assumptions!$B$14,Table2[[#This Row],[Pos]]="G",assumptions!$B$16)</f>
        <v>1.9634146341463414</v>
      </c>
    </row>
    <row r="752" spans="1:13" x14ac:dyDescent="0.3">
      <c r="A752">
        <f>'score estimates'!$A752</f>
        <v>749</v>
      </c>
      <c r="B752" t="str">
        <f>'score estimates'!$B752</f>
        <v>Kiefer Sherwood</v>
      </c>
      <c r="C752" t="str">
        <f>'score estimates'!$D752</f>
        <v>F</v>
      </c>
      <c r="D752" t="str">
        <f>'score estimates'!$C752</f>
        <v>NSH</v>
      </c>
      <c r="E752" s="75">
        <f>'score estimates'!$F752</f>
        <v>2.6585365853658538</v>
      </c>
      <c r="F752" s="71">
        <f>'score estimates'!$G752</f>
        <v>817</v>
      </c>
      <c r="G752" s="71" t="s">
        <v>983</v>
      </c>
      <c r="H752" s="72" cm="1">
        <f t="array" aca="1" ref="H75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52" s="96">
        <f ca="1">IF(Table2[[#This Row],[Team]]="FA",0,Table2[[#This Row],[Pts/G]]*(1-Table2[[#This Row],[% Pos Overlap]]))</f>
        <v>2.6585365853658538</v>
      </c>
      <c r="J752" s="72" cm="1">
        <f t="array" aca="1" ref="J752" ca="1">(INDIRECT(ADDRESS((_xlfn.XMATCH(Table2[[#This Row],[Team]],Schedule!$A$1:$A$33)),5,1,1,"Sched Overlap")))</f>
        <v>0.67806267806267806</v>
      </c>
      <c r="K752" s="92" cm="1">
        <f t="array" aca="1" ref="K75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52" s="95">
        <f ca="1">IF(Table2[[#This Row],[Team]]="FA",0,Table2[[#This Row],[Pts/G]]*(Table2[[#This Row],[Games Playable]]/82))</f>
        <v>2.6585365853658538</v>
      </c>
      <c r="M752" s="95" cm="1">
        <f t="array" aca="1" ref="M752" ca="1">Table2[[#This Row],[Playable x Score]]*_xlfn.IFS(Table2[[#This Row],[Pos]]="D",assumptions!$B$15,Table2[[#This Row],[Pos]]="F", assumptions!$B$14,Table2[[#This Row],[Pos]]="G",assumptions!$B$16)</f>
        <v>2.6585365853658538</v>
      </c>
    </row>
    <row r="753" spans="1:13" x14ac:dyDescent="0.3">
      <c r="A753">
        <f>'score estimates'!$A753</f>
        <v>750</v>
      </c>
      <c r="B753" t="str">
        <f>'score estimates'!$B753</f>
        <v>Lane Pederson</v>
      </c>
      <c r="C753" t="str">
        <f>'score estimates'!$D753</f>
        <v>F</v>
      </c>
      <c r="D753" t="str">
        <f>'score estimates'!$C753</f>
        <v>CAR</v>
      </c>
      <c r="E753" s="75">
        <f>'score estimates'!$F753</f>
        <v>2.6707317073170733</v>
      </c>
      <c r="F753" s="71">
        <f>'score estimates'!$G753</f>
        <v>816</v>
      </c>
      <c r="G753" s="71" t="s">
        <v>983</v>
      </c>
      <c r="H753" s="72" cm="1">
        <f t="array" aca="1" ref="H75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53" s="96">
        <f ca="1">IF(Table2[[#This Row],[Team]]="FA",0,Table2[[#This Row],[Pts/G]]*(1-Table2[[#This Row],[% Pos Overlap]]))</f>
        <v>2.6707317073170733</v>
      </c>
      <c r="J753" s="72" cm="1">
        <f t="array" aca="1" ref="J753" ca="1">(INDIRECT(ADDRESS((_xlfn.XMATCH(Table2[[#This Row],[Team]],Schedule!$A$1:$A$33)),5,1,1,"Sched Overlap")))</f>
        <v>0.63247863247863245</v>
      </c>
      <c r="K753" s="92" cm="1">
        <f t="array" aca="1" ref="K75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53" s="95">
        <f ca="1">IF(Table2[[#This Row],[Team]]="FA",0,Table2[[#This Row],[Pts/G]]*(Table2[[#This Row],[Games Playable]]/82))</f>
        <v>2.6707317073170733</v>
      </c>
      <c r="M753" s="95" cm="1">
        <f t="array" aca="1" ref="M753" ca="1">Table2[[#This Row],[Playable x Score]]*_xlfn.IFS(Table2[[#This Row],[Pos]]="D",assumptions!$B$15,Table2[[#This Row],[Pos]]="F", assumptions!$B$14,Table2[[#This Row],[Pos]]="G",assumptions!$B$16)</f>
        <v>2.6707317073170733</v>
      </c>
    </row>
    <row r="754" spans="1:13" x14ac:dyDescent="0.3">
      <c r="A754">
        <f>'score estimates'!$A754</f>
        <v>751</v>
      </c>
      <c r="B754" t="str">
        <f>'score estimates'!$B754</f>
        <v>Jaret Anderson-Dolan</v>
      </c>
      <c r="C754" t="str">
        <f>'score estimates'!$D754</f>
        <v>F</v>
      </c>
      <c r="D754" t="str">
        <f>'score estimates'!$C754</f>
        <v>LA</v>
      </c>
      <c r="E754" s="75">
        <f>'score estimates'!$F754</f>
        <v>1.8536585365853659</v>
      </c>
      <c r="F754" s="71">
        <f>'score estimates'!$G754</f>
        <v>864</v>
      </c>
      <c r="G754" s="71" t="s">
        <v>983</v>
      </c>
      <c r="H754" s="72" cm="1">
        <f t="array" aca="1" ref="H75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54" s="96">
        <f ca="1">IF(Table2[[#This Row],[Team]]="FA",0,Table2[[#This Row],[Pts/G]]*(1-Table2[[#This Row],[% Pos Overlap]]))</f>
        <v>1.8536585365853659</v>
      </c>
      <c r="J754" s="72" cm="1">
        <f t="array" aca="1" ref="J754" ca="1">(INDIRECT(ADDRESS((_xlfn.XMATCH(Table2[[#This Row],[Team]],Schedule!$A$1:$A$33)),5,1,1,"Sched Overlap")))</f>
        <v>0.65201465201465225</v>
      </c>
      <c r="K754" s="92" cm="1">
        <f t="array" aca="1" ref="K75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54" s="95">
        <f ca="1">IF(Table2[[#This Row],[Team]]="FA",0,Table2[[#This Row],[Pts/G]]*(Table2[[#This Row],[Games Playable]]/82))</f>
        <v>1.8536585365853659</v>
      </c>
      <c r="M754" s="95" cm="1">
        <f t="array" aca="1" ref="M754" ca="1">Table2[[#This Row],[Playable x Score]]*_xlfn.IFS(Table2[[#This Row],[Pos]]="D",assumptions!$B$15,Table2[[#This Row],[Pos]]="F", assumptions!$B$14,Table2[[#This Row],[Pos]]="G",assumptions!$B$16)</f>
        <v>1.8536585365853659</v>
      </c>
    </row>
    <row r="755" spans="1:13" x14ac:dyDescent="0.3">
      <c r="A755">
        <f>'score estimates'!$A755</f>
        <v>752</v>
      </c>
      <c r="B755" t="str">
        <f>'score estimates'!$B755</f>
        <v>Conor Timmins</v>
      </c>
      <c r="C755" t="str">
        <f>'score estimates'!$D755</f>
        <v>D</v>
      </c>
      <c r="D755" t="str">
        <f>'score estimates'!$C755</f>
        <v>ARI</v>
      </c>
      <c r="E755" s="75">
        <f>'score estimates'!$F755</f>
        <v>2.2073170731707319</v>
      </c>
      <c r="F755" s="71">
        <f>'score estimates'!$G755</f>
        <v>841</v>
      </c>
      <c r="G755" s="71" t="s">
        <v>983</v>
      </c>
      <c r="H755" s="72" cm="1">
        <f t="array" aca="1" ref="H75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55" s="96">
        <f ca="1">IF(Table2[[#This Row],[Team]]="FA",0,Table2[[#This Row],[Pts/G]]*(1-Table2[[#This Row],[% Pos Overlap]]))</f>
        <v>2.2073170731707319</v>
      </c>
      <c r="J755" s="72" cm="1">
        <f t="array" aca="1" ref="J755" ca="1">(INDIRECT(ADDRESS((_xlfn.XMATCH(Table2[[#This Row],[Team]],Schedule!$A$1:$A$33)),5,1,1,"Sched Overlap")))</f>
        <v>0.63247863247863279</v>
      </c>
      <c r="K755" s="92" cm="1">
        <f t="array" aca="1" ref="K75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55" s="95">
        <f ca="1">IF(Table2[[#This Row],[Team]]="FA",0,Table2[[#This Row],[Pts/G]]*(Table2[[#This Row],[Games Playable]]/82))</f>
        <v>2.2073170731707319</v>
      </c>
      <c r="M755" s="95" cm="1">
        <f t="array" aca="1" ref="M755" ca="1">Table2[[#This Row],[Playable x Score]]*_xlfn.IFS(Table2[[#This Row],[Pos]]="D",assumptions!$B$15,Table2[[#This Row],[Pos]]="F", assumptions!$B$14,Table2[[#This Row],[Pos]]="G",assumptions!$B$16)</f>
        <v>2.7591463414634148</v>
      </c>
    </row>
    <row r="756" spans="1:13" x14ac:dyDescent="0.3">
      <c r="A756">
        <f>'score estimates'!$A756</f>
        <v>753</v>
      </c>
      <c r="B756" t="str">
        <f>'score estimates'!$B756</f>
        <v>Tyler Benson</v>
      </c>
      <c r="C756" t="str">
        <f>'score estimates'!$D756</f>
        <v>F</v>
      </c>
      <c r="D756" t="str">
        <f>'score estimates'!$C756</f>
        <v>EDM</v>
      </c>
      <c r="E756" s="75">
        <f>'score estimates'!$F756</f>
        <v>2.7073170731707319</v>
      </c>
      <c r="F756" s="71">
        <f>'score estimates'!$G756</f>
        <v>814</v>
      </c>
      <c r="G756" s="71" t="s">
        <v>983</v>
      </c>
      <c r="H756" s="72" cm="1">
        <f t="array" aca="1" ref="H75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56" s="96">
        <f ca="1">IF(Table2[[#This Row],[Team]]="FA",0,Table2[[#This Row],[Pts/G]]*(1-Table2[[#This Row],[% Pos Overlap]]))</f>
        <v>2.7073170731707319</v>
      </c>
      <c r="J756" s="72" cm="1">
        <f t="array" aca="1" ref="J756" ca="1">(INDIRECT(ADDRESS((_xlfn.XMATCH(Table2[[#This Row],[Team]],Schedule!$A$1:$A$33)),5,1,1,"Sched Overlap")))</f>
        <v>0.62026862026862029</v>
      </c>
      <c r="K756" s="92" cm="1">
        <f t="array" aca="1" ref="K75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56" s="95">
        <f ca="1">IF(Table2[[#This Row],[Team]]="FA",0,Table2[[#This Row],[Pts/G]]*(Table2[[#This Row],[Games Playable]]/82))</f>
        <v>2.7073170731707319</v>
      </c>
      <c r="M756" s="95" cm="1">
        <f t="array" aca="1" ref="M756" ca="1">Table2[[#This Row],[Playable x Score]]*_xlfn.IFS(Table2[[#This Row],[Pos]]="D",assumptions!$B$15,Table2[[#This Row],[Pos]]="F", assumptions!$B$14,Table2[[#This Row],[Pos]]="G",assumptions!$B$16)</f>
        <v>2.7073170731707319</v>
      </c>
    </row>
    <row r="757" spans="1:13" x14ac:dyDescent="0.3">
      <c r="A757">
        <f>'score estimates'!$A757</f>
        <v>754</v>
      </c>
      <c r="B757" t="str">
        <f>'score estimates'!$B757</f>
        <v>Givani Smith</v>
      </c>
      <c r="C757" t="str">
        <f>'score estimates'!$D757</f>
        <v>F</v>
      </c>
      <c r="D757" t="str">
        <f>'score estimates'!$C757</f>
        <v>DET</v>
      </c>
      <c r="E757" s="75">
        <f>'score estimates'!$F757</f>
        <v>4.5487804878048781</v>
      </c>
      <c r="F757" s="71">
        <f>'score estimates'!$G757</f>
        <v>734</v>
      </c>
      <c r="G757" s="71" t="s">
        <v>983</v>
      </c>
      <c r="H757" s="72" cm="1">
        <f t="array" aca="1" ref="H75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57" s="96">
        <f ca="1">IF(Table2[[#This Row],[Team]]="FA",0,Table2[[#This Row],[Pts/G]]*(1-Table2[[#This Row],[% Pos Overlap]]))</f>
        <v>4.5487804878048781</v>
      </c>
      <c r="J757" s="72" cm="1">
        <f t="array" aca="1" ref="J757" ca="1">(INDIRECT(ADDRESS((_xlfn.XMATCH(Table2[[#This Row],[Team]],Schedule!$A$1:$A$33)),5,1,1,"Sched Overlap")))</f>
        <v>0.64550264550264547</v>
      </c>
      <c r="K757" s="92" cm="1">
        <f t="array" aca="1" ref="K75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57" s="95">
        <f ca="1">IF(Table2[[#This Row],[Team]]="FA",0,Table2[[#This Row],[Pts/G]]*(Table2[[#This Row],[Games Playable]]/82))</f>
        <v>4.5487804878048781</v>
      </c>
      <c r="M757" s="95" cm="1">
        <f t="array" aca="1" ref="M757" ca="1">Table2[[#This Row],[Playable x Score]]*_xlfn.IFS(Table2[[#This Row],[Pos]]="D",assumptions!$B$15,Table2[[#This Row],[Pos]]="F", assumptions!$B$14,Table2[[#This Row],[Pos]]="G",assumptions!$B$16)</f>
        <v>4.5487804878048781</v>
      </c>
    </row>
    <row r="758" spans="1:13" x14ac:dyDescent="0.3">
      <c r="A758">
        <f>'score estimates'!$A758</f>
        <v>755</v>
      </c>
      <c r="B758" t="str">
        <f>'score estimates'!$B758</f>
        <v>Henrik Borgstrom</v>
      </c>
      <c r="C758" t="str">
        <f>'score estimates'!$D758</f>
        <v>F</v>
      </c>
      <c r="D758" t="str">
        <f>'score estimates'!$C758</f>
        <v>WAS</v>
      </c>
      <c r="E758" s="75">
        <f>'score estimates'!$F758</f>
        <v>1.5853658536585367</v>
      </c>
      <c r="F758" s="71">
        <f>'score estimates'!$G758</f>
        <v>877</v>
      </c>
      <c r="G758" s="71" t="s">
        <v>983</v>
      </c>
      <c r="H758" s="72" cm="1">
        <f t="array" aca="1" ref="H75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58" s="96">
        <f ca="1">IF(Table2[[#This Row],[Team]]="FA",0,Table2[[#This Row],[Pts/G]]*(1-Table2[[#This Row],[% Pos Overlap]]))</f>
        <v>1.5853658536585367</v>
      </c>
      <c r="J758" s="72" cm="1">
        <f t="array" aca="1" ref="J758" ca="1">(INDIRECT(ADDRESS((_xlfn.XMATCH(Table2[[#This Row],[Team]],Schedule!$A$1:$A$33)),5,1,1,"Sched Overlap")))</f>
        <v>0.65282865282865288</v>
      </c>
      <c r="K758" s="92" cm="1">
        <f t="array" aca="1" ref="K75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58" s="95">
        <f ca="1">IF(Table2[[#This Row],[Team]]="FA",0,Table2[[#This Row],[Pts/G]]*(Table2[[#This Row],[Games Playable]]/82))</f>
        <v>1.5853658536585367</v>
      </c>
      <c r="M758" s="95" cm="1">
        <f t="array" aca="1" ref="M758" ca="1">Table2[[#This Row],[Playable x Score]]*_xlfn.IFS(Table2[[#This Row],[Pos]]="D",assumptions!$B$15,Table2[[#This Row],[Pos]]="F", assumptions!$B$14,Table2[[#This Row],[Pos]]="G",assumptions!$B$16)</f>
        <v>1.5853658536585367</v>
      </c>
    </row>
    <row r="759" spans="1:13" x14ac:dyDescent="0.3">
      <c r="A759">
        <f>'score estimates'!$A759</f>
        <v>756</v>
      </c>
      <c r="B759" t="str">
        <f>'score estimates'!$B759</f>
        <v>Andrew Poturalski</v>
      </c>
      <c r="C759" t="str">
        <f>'score estimates'!$D759</f>
        <v>F</v>
      </c>
      <c r="D759" t="str">
        <f>'score estimates'!$C759</f>
        <v>SEA</v>
      </c>
      <c r="E759" s="75">
        <f>'score estimates'!$F759</f>
        <v>1.2439024390243902</v>
      </c>
      <c r="F759" s="71">
        <f>'score estimates'!$G759</f>
        <v>909</v>
      </c>
      <c r="G759" s="71" t="s">
        <v>983</v>
      </c>
      <c r="H759" s="72" cm="1">
        <f t="array" aca="1" ref="H75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59" s="96">
        <f ca="1">IF(Table2[[#This Row],[Team]]="FA",0,Table2[[#This Row],[Pts/G]]*(1-Table2[[#This Row],[% Pos Overlap]]))</f>
        <v>1.2439024390243902</v>
      </c>
      <c r="J759" s="72" cm="1">
        <f t="array" aca="1" ref="J759" ca="1">(INDIRECT(ADDRESS((_xlfn.XMATCH(Table2[[#This Row],[Team]],Schedule!$A$1:$A$33)),5,1,1,"Sched Overlap")))</f>
        <v>0.63085063085063087</v>
      </c>
      <c r="K759" s="92" cm="1">
        <f t="array" aca="1" ref="K75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59" s="95">
        <f ca="1">IF(Table2[[#This Row],[Team]]="FA",0,Table2[[#This Row],[Pts/G]]*(Table2[[#This Row],[Games Playable]]/82))</f>
        <v>1.2439024390243902</v>
      </c>
      <c r="M759" s="95" cm="1">
        <f t="array" aca="1" ref="M759" ca="1">Table2[[#This Row],[Playable x Score]]*_xlfn.IFS(Table2[[#This Row],[Pos]]="D",assumptions!$B$15,Table2[[#This Row],[Pos]]="F", assumptions!$B$14,Table2[[#This Row],[Pos]]="G",assumptions!$B$16)</f>
        <v>1.2439024390243902</v>
      </c>
    </row>
    <row r="760" spans="1:13" x14ac:dyDescent="0.3">
      <c r="A760">
        <f>'score estimates'!$A760</f>
        <v>757</v>
      </c>
      <c r="B760" t="str">
        <f>'score estimates'!$B760</f>
        <v>Markus Nutivaara</v>
      </c>
      <c r="C760" t="str">
        <f>'score estimates'!$D760</f>
        <v>D</v>
      </c>
      <c r="D760" t="str">
        <f>'score estimates'!$C760</f>
        <v>SJ</v>
      </c>
      <c r="E760" s="75">
        <f>'score estimates'!$F760</f>
        <v>1.9390243902439024</v>
      </c>
      <c r="F760" s="71">
        <f>'score estimates'!$G760</f>
        <v>860</v>
      </c>
      <c r="G760" s="71" t="s">
        <v>983</v>
      </c>
      <c r="H760" s="72" cm="1">
        <f t="array" aca="1" ref="H76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60" s="96">
        <f ca="1">IF(Table2[[#This Row],[Team]]="FA",0,Table2[[#This Row],[Pts/G]]*(1-Table2[[#This Row],[% Pos Overlap]]))</f>
        <v>1.9390243902439024</v>
      </c>
      <c r="J760" s="72" cm="1">
        <f t="array" aca="1" ref="J760" ca="1">(INDIRECT(ADDRESS((_xlfn.XMATCH(Table2[[#This Row],[Team]],Schedule!$A$1:$A$33)),5,1,1,"Sched Overlap")))</f>
        <v>0.63492063492063477</v>
      </c>
      <c r="K760" s="92" cm="1">
        <f t="array" aca="1" ref="K76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60" s="95">
        <f ca="1">IF(Table2[[#This Row],[Team]]="FA",0,Table2[[#This Row],[Pts/G]]*(Table2[[#This Row],[Games Playable]]/82))</f>
        <v>1.9390243902439024</v>
      </c>
      <c r="M760" s="95" cm="1">
        <f t="array" aca="1" ref="M760" ca="1">Table2[[#This Row],[Playable x Score]]*_xlfn.IFS(Table2[[#This Row],[Pos]]="D",assumptions!$B$15,Table2[[#This Row],[Pos]]="F", assumptions!$B$14,Table2[[#This Row],[Pos]]="G",assumptions!$B$16)</f>
        <v>2.4237804878048781</v>
      </c>
    </row>
    <row r="761" spans="1:13" x14ac:dyDescent="0.3">
      <c r="A761">
        <f>'score estimates'!$A761</f>
        <v>758</v>
      </c>
      <c r="B761" t="str">
        <f>'score estimates'!$B761</f>
        <v>Ross Johnston</v>
      </c>
      <c r="C761" t="str">
        <f>'score estimates'!$D761</f>
        <v>F</v>
      </c>
      <c r="D761" t="str">
        <f>'score estimates'!$C761</f>
        <v>NYI</v>
      </c>
      <c r="E761" s="75">
        <f>'score estimates'!$F761</f>
        <v>3.6463414634146343</v>
      </c>
      <c r="F761" s="71">
        <f>'score estimates'!$G761</f>
        <v>772</v>
      </c>
      <c r="G761" s="71" t="s">
        <v>983</v>
      </c>
      <c r="H761" s="72" cm="1">
        <f t="array" aca="1" ref="H76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61" s="96">
        <f ca="1">IF(Table2[[#This Row],[Team]]="FA",0,Table2[[#This Row],[Pts/G]]*(1-Table2[[#This Row],[% Pos Overlap]]))</f>
        <v>3.6463414634146343</v>
      </c>
      <c r="J761" s="72" cm="1">
        <f t="array" aca="1" ref="J761" ca="1">(INDIRECT(ADDRESS((_xlfn.XMATCH(Table2[[#This Row],[Team]],Schedule!$A$1:$A$33)),5,1,1,"Sched Overlap")))</f>
        <v>0.63166463166463194</v>
      </c>
      <c r="K761" s="92" cm="1">
        <f t="array" aca="1" ref="K76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61" s="95">
        <f ca="1">IF(Table2[[#This Row],[Team]]="FA",0,Table2[[#This Row],[Pts/G]]*(Table2[[#This Row],[Games Playable]]/82))</f>
        <v>3.6463414634146343</v>
      </c>
      <c r="M761" s="95" cm="1">
        <f t="array" aca="1" ref="M761" ca="1">Table2[[#This Row],[Playable x Score]]*_xlfn.IFS(Table2[[#This Row],[Pos]]="D",assumptions!$B$15,Table2[[#This Row],[Pos]]="F", assumptions!$B$14,Table2[[#This Row],[Pos]]="G",assumptions!$B$16)</f>
        <v>3.6463414634146343</v>
      </c>
    </row>
    <row r="762" spans="1:13" x14ac:dyDescent="0.3">
      <c r="A762">
        <f>'score estimates'!$A762</f>
        <v>759</v>
      </c>
      <c r="B762" t="str">
        <f>'score estimates'!$B762</f>
        <v>Kurtis MacDermid</v>
      </c>
      <c r="C762" t="str">
        <f>'score estimates'!$D762</f>
        <v>D</v>
      </c>
      <c r="D762" t="str">
        <f>'score estimates'!$C762</f>
        <v>COL</v>
      </c>
      <c r="E762" s="75">
        <f>'score estimates'!$F762</f>
        <v>4.4146341463414638</v>
      </c>
      <c r="F762" s="71">
        <f>'score estimates'!$G762</f>
        <v>738</v>
      </c>
      <c r="G762" s="71" t="s">
        <v>983</v>
      </c>
      <c r="H762" s="72" cm="1">
        <f t="array" aca="1" ref="H76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62" s="96">
        <f ca="1">IF(Table2[[#This Row],[Team]]="FA",0,Table2[[#This Row],[Pts/G]]*(1-Table2[[#This Row],[% Pos Overlap]]))</f>
        <v>4.4146341463414638</v>
      </c>
      <c r="J762" s="72" cm="1">
        <f t="array" aca="1" ref="J762" ca="1">(INDIRECT(ADDRESS((_xlfn.XMATCH(Table2[[#This Row],[Team]],Schedule!$A$1:$A$33)),5,1,1,"Sched Overlap")))</f>
        <v>0.61131461131461151</v>
      </c>
      <c r="K762" s="92" cm="1">
        <f t="array" aca="1" ref="K76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62" s="95">
        <f ca="1">IF(Table2[[#This Row],[Team]]="FA",0,Table2[[#This Row],[Pts/G]]*(Table2[[#This Row],[Games Playable]]/82))</f>
        <v>4.4146341463414638</v>
      </c>
      <c r="M762" s="95" cm="1">
        <f t="array" aca="1" ref="M762" ca="1">Table2[[#This Row],[Playable x Score]]*_xlfn.IFS(Table2[[#This Row],[Pos]]="D",assumptions!$B$15,Table2[[#This Row],[Pos]]="F", assumptions!$B$14,Table2[[#This Row],[Pos]]="G",assumptions!$B$16)</f>
        <v>5.5182926829268295</v>
      </c>
    </row>
    <row r="763" spans="1:13" x14ac:dyDescent="0.3">
      <c r="A763">
        <f>'score estimates'!$A763</f>
        <v>760</v>
      </c>
      <c r="B763" t="str">
        <f>'score estimates'!$B763</f>
        <v>Jake Walman</v>
      </c>
      <c r="C763" t="str">
        <f>'score estimates'!$D763</f>
        <v>D</v>
      </c>
      <c r="D763" t="str">
        <f>'score estimates'!$C763</f>
        <v>DET</v>
      </c>
      <c r="E763" s="75">
        <f>'score estimates'!$F763</f>
        <v>2.9512195121951219</v>
      </c>
      <c r="F763" s="71">
        <f>'score estimates'!$G763</f>
        <v>800</v>
      </c>
      <c r="G763" s="71" t="s">
        <v>983</v>
      </c>
      <c r="H763" s="72" cm="1">
        <f t="array" aca="1" ref="H76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63" s="96">
        <f ca="1">IF(Table2[[#This Row],[Team]]="FA",0,Table2[[#This Row],[Pts/G]]*(1-Table2[[#This Row],[% Pos Overlap]]))</f>
        <v>2.9512195121951219</v>
      </c>
      <c r="J763" s="72" cm="1">
        <f t="array" aca="1" ref="J763" ca="1">(INDIRECT(ADDRESS((_xlfn.XMATCH(Table2[[#This Row],[Team]],Schedule!$A$1:$A$33)),5,1,1,"Sched Overlap")))</f>
        <v>0.64550264550264547</v>
      </c>
      <c r="K763" s="92" cm="1">
        <f t="array" aca="1" ref="K76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63" s="95">
        <f ca="1">IF(Table2[[#This Row],[Team]]="FA",0,Table2[[#This Row],[Pts/G]]*(Table2[[#This Row],[Games Playable]]/82))</f>
        <v>2.9512195121951219</v>
      </c>
      <c r="M763" s="95" cm="1">
        <f t="array" aca="1" ref="M763" ca="1">Table2[[#This Row],[Playable x Score]]*_xlfn.IFS(Table2[[#This Row],[Pos]]="D",assumptions!$B$15,Table2[[#This Row],[Pos]]="F", assumptions!$B$14,Table2[[#This Row],[Pos]]="G",assumptions!$B$16)</f>
        <v>3.6890243902439024</v>
      </c>
    </row>
    <row r="764" spans="1:13" x14ac:dyDescent="0.3">
      <c r="A764">
        <f>'score estimates'!$A764</f>
        <v>761</v>
      </c>
      <c r="B764" t="str">
        <f>'score estimates'!$B764</f>
        <v>Brendan Perlini</v>
      </c>
      <c r="C764" t="str">
        <f>'score estimates'!$D764</f>
        <v>F</v>
      </c>
      <c r="D764" t="str">
        <f>'score estimates'!$C764</f>
        <v>FA</v>
      </c>
      <c r="E764" s="75">
        <f>'score estimates'!$F764</f>
        <v>1.9878048780487805</v>
      </c>
      <c r="F764" s="71">
        <f>'score estimates'!$G764</f>
        <v>854</v>
      </c>
      <c r="G764" s="71" t="s">
        <v>983</v>
      </c>
      <c r="H764" s="72" t="e" cm="1">
        <f t="array" aca="1" ref="H764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64" s="96">
        <f>IF(Table2[[#This Row],[Team]]="FA",0,Table2[[#This Row],[Pts/G]]*(1-Table2[[#This Row],[% Pos Overlap]]))</f>
        <v>0</v>
      </c>
      <c r="J764" s="72" t="e" cm="1">
        <f t="array" aca="1" ref="J764" ca="1">(INDIRECT(ADDRESS((_xlfn.XMATCH(Table2[[#This Row],[Team]],Schedule!$A$1:$A$33)),5,1,1,"Sched Overlap")))</f>
        <v>#N/A</v>
      </c>
      <c r="K764" s="92" t="e" cm="1">
        <f t="array" aca="1" ref="K764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64" s="95">
        <f>IF(Table2[[#This Row],[Team]]="FA",0,Table2[[#This Row],[Pts/G]]*(Table2[[#This Row],[Games Playable]]/82))</f>
        <v>0</v>
      </c>
      <c r="M764" s="95" cm="1">
        <f t="array" ref="M764">Table2[[#This Row],[Playable x Score]]*_xlfn.IFS(Table2[[#This Row],[Pos]]="D",assumptions!$B$15,Table2[[#This Row],[Pos]]="F", assumptions!$B$14,Table2[[#This Row],[Pos]]="G",assumptions!$B$16)</f>
        <v>0</v>
      </c>
    </row>
    <row r="765" spans="1:13" x14ac:dyDescent="0.3">
      <c r="A765">
        <f>'score estimates'!$A765</f>
        <v>762</v>
      </c>
      <c r="B765" t="str">
        <f>'score estimates'!$B765</f>
        <v>Nicholas Merkley</v>
      </c>
      <c r="C765" t="str">
        <f>'score estimates'!$D765</f>
        <v>F</v>
      </c>
      <c r="D765" t="str">
        <f>'score estimates'!$C765</f>
        <v>NYR</v>
      </c>
      <c r="E765" s="75">
        <f>'score estimates'!$F765</f>
        <v>1.4146341463414633</v>
      </c>
      <c r="F765" s="71">
        <f>'score estimates'!$G765</f>
        <v>888</v>
      </c>
      <c r="G765" s="71" t="s">
        <v>983</v>
      </c>
      <c r="H765" s="72" cm="1">
        <f t="array" aca="1" ref="H76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65" s="96">
        <f ca="1">IF(Table2[[#This Row],[Team]]="FA",0,Table2[[#This Row],[Pts/G]]*(1-Table2[[#This Row],[% Pos Overlap]]))</f>
        <v>1.4146341463414633</v>
      </c>
      <c r="J765" s="72" cm="1">
        <f t="array" aca="1" ref="J765" ca="1">(INDIRECT(ADDRESS((_xlfn.XMATCH(Table2[[#This Row],[Team]],Schedule!$A$1:$A$33)),5,1,1,"Sched Overlap")))</f>
        <v>0.60236060236060229</v>
      </c>
      <c r="K765" s="92" cm="1">
        <f t="array" aca="1" ref="K76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65" s="95">
        <f ca="1">IF(Table2[[#This Row],[Team]]="FA",0,Table2[[#This Row],[Pts/G]]*(Table2[[#This Row],[Games Playable]]/82))</f>
        <v>1.4146341463414633</v>
      </c>
      <c r="M765" s="95" cm="1">
        <f t="array" aca="1" ref="M765" ca="1">Table2[[#This Row],[Playable x Score]]*_xlfn.IFS(Table2[[#This Row],[Pos]]="D",assumptions!$B$15,Table2[[#This Row],[Pos]]="F", assumptions!$B$14,Table2[[#This Row],[Pos]]="G",assumptions!$B$16)</f>
        <v>1.4146341463414633</v>
      </c>
    </row>
    <row r="766" spans="1:13" x14ac:dyDescent="0.3">
      <c r="A766">
        <f>'score estimates'!$A766</f>
        <v>763</v>
      </c>
      <c r="B766" t="str">
        <f>'score estimates'!$B766</f>
        <v>Gabriel Carlsson</v>
      </c>
      <c r="C766" t="str">
        <f>'score estimates'!$D766</f>
        <v>D</v>
      </c>
      <c r="D766" t="str">
        <f>'score estimates'!$C766</f>
        <v>WAS</v>
      </c>
      <c r="E766" s="75">
        <f>'score estimates'!$F766</f>
        <v>2.1463414634146343</v>
      </c>
      <c r="F766" s="71">
        <f>'score estimates'!$G766</f>
        <v>844</v>
      </c>
      <c r="G766" s="71" t="s">
        <v>983</v>
      </c>
      <c r="H766" s="72" cm="1">
        <f t="array" aca="1" ref="H76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66" s="96">
        <f ca="1">IF(Table2[[#This Row],[Team]]="FA",0,Table2[[#This Row],[Pts/G]]*(1-Table2[[#This Row],[% Pos Overlap]]))</f>
        <v>2.1463414634146343</v>
      </c>
      <c r="J766" s="72" cm="1">
        <f t="array" aca="1" ref="J766" ca="1">(INDIRECT(ADDRESS((_xlfn.XMATCH(Table2[[#This Row],[Team]],Schedule!$A$1:$A$33)),5,1,1,"Sched Overlap")))</f>
        <v>0.65282865282865288</v>
      </c>
      <c r="K766" s="92" cm="1">
        <f t="array" aca="1" ref="K76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66" s="95">
        <f ca="1">IF(Table2[[#This Row],[Team]]="FA",0,Table2[[#This Row],[Pts/G]]*(Table2[[#This Row],[Games Playable]]/82))</f>
        <v>2.1463414634146343</v>
      </c>
      <c r="M766" s="95" cm="1">
        <f t="array" aca="1" ref="M766" ca="1">Table2[[#This Row],[Playable x Score]]*_xlfn.IFS(Table2[[#This Row],[Pos]]="D",assumptions!$B$15,Table2[[#This Row],[Pos]]="F", assumptions!$B$14,Table2[[#This Row],[Pos]]="G",assumptions!$B$16)</f>
        <v>2.6829268292682928</v>
      </c>
    </row>
    <row r="767" spans="1:13" x14ac:dyDescent="0.3">
      <c r="A767">
        <f>'score estimates'!$A767</f>
        <v>764</v>
      </c>
      <c r="B767" t="str">
        <f>'score estimates'!$B767</f>
        <v>Jakub Zboril</v>
      </c>
      <c r="C767" t="str">
        <f>'score estimates'!$D767</f>
        <v>D</v>
      </c>
      <c r="D767" t="str">
        <f>'score estimates'!$C767</f>
        <v>BOS</v>
      </c>
      <c r="E767" s="75">
        <f>'score estimates'!$F767</f>
        <v>2.7560975609756095</v>
      </c>
      <c r="F767" s="71">
        <f>'score estimates'!$G767</f>
        <v>810</v>
      </c>
      <c r="G767" s="71" t="s">
        <v>983</v>
      </c>
      <c r="H767" s="72" cm="1">
        <f t="array" aca="1" ref="H76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67" s="96">
        <f ca="1">IF(Table2[[#This Row],[Team]]="FA",0,Table2[[#This Row],[Pts/G]]*(1-Table2[[#This Row],[% Pos Overlap]]))</f>
        <v>2.7560975609756095</v>
      </c>
      <c r="J767" s="72" cm="1">
        <f t="array" aca="1" ref="J767" ca="1">(INDIRECT(ADDRESS((_xlfn.XMATCH(Table2[[#This Row],[Team]],Schedule!$A$1:$A$33)),5,1,1,"Sched Overlap")))</f>
        <v>0.67236467236467234</v>
      </c>
      <c r="K767" s="92" cm="1">
        <f t="array" aca="1" ref="K76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67" s="95">
        <f ca="1">IF(Table2[[#This Row],[Team]]="FA",0,Table2[[#This Row],[Pts/G]]*(Table2[[#This Row],[Games Playable]]/82))</f>
        <v>2.7560975609756095</v>
      </c>
      <c r="M767" s="95" cm="1">
        <f t="array" aca="1" ref="M767" ca="1">Table2[[#This Row],[Playable x Score]]*_xlfn.IFS(Table2[[#This Row],[Pos]]="D",assumptions!$B$15,Table2[[#This Row],[Pos]]="F", assumptions!$B$14,Table2[[#This Row],[Pos]]="G",assumptions!$B$16)</f>
        <v>3.4451219512195119</v>
      </c>
    </row>
    <row r="768" spans="1:13" x14ac:dyDescent="0.3">
      <c r="A768">
        <f>'score estimates'!$A768</f>
        <v>765</v>
      </c>
      <c r="B768" t="str">
        <f>'score estimates'!$B768</f>
        <v>Madison Bowey</v>
      </c>
      <c r="C768" t="str">
        <f>'score estimates'!$D768</f>
        <v>D</v>
      </c>
      <c r="D768" t="str">
        <f>'score estimates'!$C768</f>
        <v>MON</v>
      </c>
      <c r="E768" s="75">
        <f>'score estimates'!$F768</f>
        <v>1.8780487804878048</v>
      </c>
      <c r="F768" s="71">
        <f>'score estimates'!$G768</f>
        <v>863</v>
      </c>
      <c r="G768" s="71" t="s">
        <v>983</v>
      </c>
      <c r="H768" s="72" cm="1">
        <f t="array" aca="1" ref="H76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68" s="96">
        <f ca="1">IF(Table2[[#This Row],[Team]]="FA",0,Table2[[#This Row],[Pts/G]]*(1-Table2[[#This Row],[% Pos Overlap]]))</f>
        <v>1.8780487804878048</v>
      </c>
      <c r="J768" s="72" cm="1">
        <f t="array" aca="1" ref="J768" ca="1">(INDIRECT(ADDRESS((_xlfn.XMATCH(Table2[[#This Row],[Team]],Schedule!$A$1:$A$33)),5,1,1,"Sched Overlap")))</f>
        <v>0.66666666666666685</v>
      </c>
      <c r="K768" s="92" cm="1">
        <f t="array" aca="1" ref="K76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68" s="95">
        <f ca="1">IF(Table2[[#This Row],[Team]]="FA",0,Table2[[#This Row],[Pts/G]]*(Table2[[#This Row],[Games Playable]]/82))</f>
        <v>1.8780487804878048</v>
      </c>
      <c r="M768" s="95" cm="1">
        <f t="array" aca="1" ref="M768" ca="1">Table2[[#This Row],[Playable x Score]]*_xlfn.IFS(Table2[[#This Row],[Pos]]="D",assumptions!$B$15,Table2[[#This Row],[Pos]]="F", assumptions!$B$14,Table2[[#This Row],[Pos]]="G",assumptions!$B$16)</f>
        <v>2.3475609756097562</v>
      </c>
    </row>
    <row r="769" spans="1:13" x14ac:dyDescent="0.3">
      <c r="A769">
        <f>'score estimates'!$A769</f>
        <v>766</v>
      </c>
      <c r="B769" t="str">
        <f>'score estimates'!$B769</f>
        <v>Scott Sabourin</v>
      </c>
      <c r="C769" t="str">
        <f>'score estimates'!$D769</f>
        <v>F</v>
      </c>
      <c r="D769" t="str">
        <f>'score estimates'!$C769</f>
        <v>OTT</v>
      </c>
      <c r="E769" s="75">
        <f>'score estimates'!$F769</f>
        <v>2.6829268292682928</v>
      </c>
      <c r="F769" s="71">
        <f>'score estimates'!$G769</f>
        <v>815</v>
      </c>
      <c r="G769" s="71" t="s">
        <v>983</v>
      </c>
      <c r="H769" s="72" cm="1">
        <f t="array" aca="1" ref="H76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69" s="96">
        <f ca="1">IF(Table2[[#This Row],[Team]]="FA",0,Table2[[#This Row],[Pts/G]]*(1-Table2[[#This Row],[% Pos Overlap]]))</f>
        <v>2.6829268292682928</v>
      </c>
      <c r="J769" s="72" cm="1">
        <f t="array" aca="1" ref="J769" ca="1">(INDIRECT(ADDRESS((_xlfn.XMATCH(Table2[[#This Row],[Team]],Schedule!$A$1:$A$33)),5,1,1,"Sched Overlap")))</f>
        <v>0.64306064306064303</v>
      </c>
      <c r="K769" s="92" cm="1">
        <f t="array" aca="1" ref="K76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69" s="95">
        <f ca="1">IF(Table2[[#This Row],[Team]]="FA",0,Table2[[#This Row],[Pts/G]]*(Table2[[#This Row],[Games Playable]]/82))</f>
        <v>2.6829268292682928</v>
      </c>
      <c r="M769" s="95" cm="1">
        <f t="array" aca="1" ref="M769" ca="1">Table2[[#This Row],[Playable x Score]]*_xlfn.IFS(Table2[[#This Row],[Pos]]="D",assumptions!$B$15,Table2[[#This Row],[Pos]]="F", assumptions!$B$14,Table2[[#This Row],[Pos]]="G",assumptions!$B$16)</f>
        <v>2.6829268292682928</v>
      </c>
    </row>
    <row r="770" spans="1:13" x14ac:dyDescent="0.3">
      <c r="A770">
        <f>'score estimates'!$A770</f>
        <v>767</v>
      </c>
      <c r="B770" t="str">
        <f>'score estimates'!$B770</f>
        <v>Slater Koekkoek</v>
      </c>
      <c r="C770" t="str">
        <f>'score estimates'!$D770</f>
        <v>D</v>
      </c>
      <c r="D770" t="str">
        <f>'score estimates'!$C770</f>
        <v>EDM</v>
      </c>
      <c r="E770" s="75">
        <f>'score estimates'!$F770</f>
        <v>4.1219512195121952</v>
      </c>
      <c r="F770" s="71">
        <f>'score estimates'!$G770</f>
        <v>755</v>
      </c>
      <c r="G770" s="71" t="s">
        <v>983</v>
      </c>
      <c r="H770" s="72" cm="1">
        <f t="array" aca="1" ref="H77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70" s="96">
        <f ca="1">IF(Table2[[#This Row],[Team]]="FA",0,Table2[[#This Row],[Pts/G]]*(1-Table2[[#This Row],[% Pos Overlap]]))</f>
        <v>4.1219512195121952</v>
      </c>
      <c r="J770" s="72" cm="1">
        <f t="array" aca="1" ref="J770" ca="1">(INDIRECT(ADDRESS((_xlfn.XMATCH(Table2[[#This Row],[Team]],Schedule!$A$1:$A$33)),5,1,1,"Sched Overlap")))</f>
        <v>0.62026862026862029</v>
      </c>
      <c r="K770" s="92" cm="1">
        <f t="array" aca="1" ref="K77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70" s="95">
        <f ca="1">IF(Table2[[#This Row],[Team]]="FA",0,Table2[[#This Row],[Pts/G]]*(Table2[[#This Row],[Games Playable]]/82))</f>
        <v>4.1219512195121952</v>
      </c>
      <c r="M770" s="95" cm="1">
        <f t="array" aca="1" ref="M770" ca="1">Table2[[#This Row],[Playable x Score]]*_xlfn.IFS(Table2[[#This Row],[Pos]]="D",assumptions!$B$15,Table2[[#This Row],[Pos]]="F", assumptions!$B$14,Table2[[#This Row],[Pos]]="G",assumptions!$B$16)</f>
        <v>5.1524390243902438</v>
      </c>
    </row>
    <row r="771" spans="1:13" x14ac:dyDescent="0.3">
      <c r="A771">
        <f>'score estimates'!$A771</f>
        <v>768</v>
      </c>
      <c r="B771" t="str">
        <f>'score estimates'!$B771</f>
        <v>Mark Jankowski</v>
      </c>
      <c r="C771" t="str">
        <f>'score estimates'!$D771</f>
        <v>F</v>
      </c>
      <c r="D771" t="str">
        <f>'score estimates'!$C771</f>
        <v>NSH</v>
      </c>
      <c r="E771" s="75">
        <f>'score estimates'!$F771</f>
        <v>2.0487804878048781</v>
      </c>
      <c r="F771" s="71">
        <f>'score estimates'!$G771</f>
        <v>850</v>
      </c>
      <c r="G771" s="71" t="s">
        <v>983</v>
      </c>
      <c r="H771" s="72" cm="1">
        <f t="array" aca="1" ref="H77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71" s="96">
        <f ca="1">IF(Table2[[#This Row],[Team]]="FA",0,Table2[[#This Row],[Pts/G]]*(1-Table2[[#This Row],[% Pos Overlap]]))</f>
        <v>2.0487804878048781</v>
      </c>
      <c r="J771" s="72" cm="1">
        <f t="array" aca="1" ref="J771" ca="1">(INDIRECT(ADDRESS((_xlfn.XMATCH(Table2[[#This Row],[Team]],Schedule!$A$1:$A$33)),5,1,1,"Sched Overlap")))</f>
        <v>0.67806267806267806</v>
      </c>
      <c r="K771" s="92" cm="1">
        <f t="array" aca="1" ref="K77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71" s="95">
        <f ca="1">IF(Table2[[#This Row],[Team]]="FA",0,Table2[[#This Row],[Pts/G]]*(Table2[[#This Row],[Games Playable]]/82))</f>
        <v>2.0487804878048781</v>
      </c>
      <c r="M771" s="95" cm="1">
        <f t="array" aca="1" ref="M771" ca="1">Table2[[#This Row],[Playable x Score]]*_xlfn.IFS(Table2[[#This Row],[Pos]]="D",assumptions!$B$15,Table2[[#This Row],[Pos]]="F", assumptions!$B$14,Table2[[#This Row],[Pos]]="G",assumptions!$B$16)</f>
        <v>2.0487804878048781</v>
      </c>
    </row>
    <row r="772" spans="1:13" x14ac:dyDescent="0.3">
      <c r="A772">
        <f>'score estimates'!$A772</f>
        <v>769</v>
      </c>
      <c r="B772" t="str">
        <f>'score estimates'!$B772</f>
        <v>Nathan Beaulieu</v>
      </c>
      <c r="C772" t="str">
        <f>'score estimates'!$D772</f>
        <v>D</v>
      </c>
      <c r="D772" t="str">
        <f>'score estimates'!$C772</f>
        <v>ANH</v>
      </c>
      <c r="E772" s="75">
        <f>'score estimates'!$F772</f>
        <v>3.4390243902439024</v>
      </c>
      <c r="F772" s="71">
        <f>'score estimates'!$G772</f>
        <v>779</v>
      </c>
      <c r="G772" s="71" t="s">
        <v>983</v>
      </c>
      <c r="H772" s="72" cm="1">
        <f t="array" aca="1" ref="H77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72" s="96">
        <f ca="1">IF(Table2[[#This Row],[Team]]="FA",0,Table2[[#This Row],[Pts/G]]*(1-Table2[[#This Row],[% Pos Overlap]]))</f>
        <v>3.4390243902439024</v>
      </c>
      <c r="J772" s="72" cm="1">
        <f t="array" aca="1" ref="J772" ca="1">(INDIRECT(ADDRESS((_xlfn.XMATCH(Table2[[#This Row],[Team]],Schedule!$A$1:$A$33)),5,1,1,"Sched Overlap")))</f>
        <v>0.56410256410256399</v>
      </c>
      <c r="K772" s="92" cm="1">
        <f t="array" aca="1" ref="K77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72" s="95">
        <f ca="1">IF(Table2[[#This Row],[Team]]="FA",0,Table2[[#This Row],[Pts/G]]*(Table2[[#This Row],[Games Playable]]/82))</f>
        <v>3.4390243902439024</v>
      </c>
      <c r="M772" s="95" cm="1">
        <f t="array" aca="1" ref="M772" ca="1">Table2[[#This Row],[Playable x Score]]*_xlfn.IFS(Table2[[#This Row],[Pos]]="D",assumptions!$B$15,Table2[[#This Row],[Pos]]="F", assumptions!$B$14,Table2[[#This Row],[Pos]]="G",assumptions!$B$16)</f>
        <v>4.2987804878048781</v>
      </c>
    </row>
    <row r="773" spans="1:13" x14ac:dyDescent="0.3">
      <c r="A773">
        <f>'score estimates'!$A773</f>
        <v>770</v>
      </c>
      <c r="B773" t="str">
        <f>'score estimates'!$B773</f>
        <v>Robert Bortuzzo</v>
      </c>
      <c r="C773" t="str">
        <f>'score estimates'!$D773</f>
        <v>D</v>
      </c>
      <c r="D773" t="str">
        <f>'score estimates'!$C773</f>
        <v>STL</v>
      </c>
      <c r="E773" s="75">
        <f>'score estimates'!$F773</f>
        <v>5.9634146341463419</v>
      </c>
      <c r="F773" s="71">
        <f>'score estimates'!$G773</f>
        <v>688</v>
      </c>
      <c r="G773" s="71" t="s">
        <v>983</v>
      </c>
      <c r="H773" s="72" cm="1">
        <f t="array" aca="1" ref="H77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73" s="96">
        <f ca="1">IF(Table2[[#This Row],[Team]]="FA",0,Table2[[#This Row],[Pts/G]]*(1-Table2[[#This Row],[% Pos Overlap]]))</f>
        <v>5.9634146341463419</v>
      </c>
      <c r="J773" s="72" cm="1">
        <f t="array" aca="1" ref="J773" ca="1">(INDIRECT(ADDRESS((_xlfn.XMATCH(Table2[[#This Row],[Team]],Schedule!$A$1:$A$33)),5,1,1,"Sched Overlap")))</f>
        <v>0.65120065120065118</v>
      </c>
      <c r="K773" s="92" cm="1">
        <f t="array" aca="1" ref="K77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73" s="95">
        <f ca="1">IF(Table2[[#This Row],[Team]]="FA",0,Table2[[#This Row],[Pts/G]]*(Table2[[#This Row],[Games Playable]]/82))</f>
        <v>5.9634146341463419</v>
      </c>
      <c r="M773" s="95" cm="1">
        <f t="array" aca="1" ref="M773" ca="1">Table2[[#This Row],[Playable x Score]]*_xlfn.IFS(Table2[[#This Row],[Pos]]="D",assumptions!$B$15,Table2[[#This Row],[Pos]]="F", assumptions!$B$14,Table2[[#This Row],[Pos]]="G",assumptions!$B$16)</f>
        <v>7.4542682926829276</v>
      </c>
    </row>
    <row r="774" spans="1:13" x14ac:dyDescent="0.3">
      <c r="A774">
        <f>'score estimates'!$A774</f>
        <v>771</v>
      </c>
      <c r="B774" t="str">
        <f>'score estimates'!$B774</f>
        <v>Jay Beagle</v>
      </c>
      <c r="C774" t="str">
        <f>'score estimates'!$D774</f>
        <v>F</v>
      </c>
      <c r="D774" t="str">
        <f>'score estimates'!$C774</f>
        <v>FA</v>
      </c>
      <c r="E774" s="75">
        <f>'score estimates'!$F774</f>
        <v>1.975609756097561</v>
      </c>
      <c r="F774" s="71">
        <f>'score estimates'!$G774</f>
        <v>855</v>
      </c>
      <c r="G774" s="71" t="s">
        <v>983</v>
      </c>
      <c r="H774" s="72" t="e" cm="1">
        <f t="array" aca="1" ref="H774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74" s="96">
        <f>IF(Table2[[#This Row],[Team]]="FA",0,Table2[[#This Row],[Pts/G]]*(1-Table2[[#This Row],[% Pos Overlap]]))</f>
        <v>0</v>
      </c>
      <c r="J774" s="72" t="e" cm="1">
        <f t="array" aca="1" ref="J774" ca="1">(INDIRECT(ADDRESS((_xlfn.XMATCH(Table2[[#This Row],[Team]],Schedule!$A$1:$A$33)),5,1,1,"Sched Overlap")))</f>
        <v>#N/A</v>
      </c>
      <c r="K774" s="92" t="e" cm="1">
        <f t="array" aca="1" ref="K774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74" s="95">
        <f>IF(Table2[[#This Row],[Team]]="FA",0,Table2[[#This Row],[Pts/G]]*(Table2[[#This Row],[Games Playable]]/82))</f>
        <v>0</v>
      </c>
      <c r="M774" s="95" cm="1">
        <f t="array" ref="M774">Table2[[#This Row],[Playable x Score]]*_xlfn.IFS(Table2[[#This Row],[Pos]]="D",assumptions!$B$15,Table2[[#This Row],[Pos]]="F", assumptions!$B$14,Table2[[#This Row],[Pos]]="G",assumptions!$B$16)</f>
        <v>0</v>
      </c>
    </row>
    <row r="775" spans="1:13" x14ac:dyDescent="0.3">
      <c r="A775">
        <f>'score estimates'!$A775</f>
        <v>772</v>
      </c>
      <c r="B775" t="str">
        <f>'score estimates'!$B775</f>
        <v>Greg Pateryn</v>
      </c>
      <c r="C775" t="str">
        <f>'score estimates'!$D775</f>
        <v>D</v>
      </c>
      <c r="D775" t="str">
        <f>'score estimates'!$C775</f>
        <v>FA</v>
      </c>
      <c r="E775" s="75">
        <f>'score estimates'!$F775</f>
        <v>2.2439024390243905</v>
      </c>
      <c r="F775" s="71">
        <f>'score estimates'!$G775</f>
        <v>838</v>
      </c>
      <c r="G775" s="71" t="s">
        <v>983</v>
      </c>
      <c r="H775" s="72" t="e" cm="1">
        <f t="array" aca="1" ref="H775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75" s="96">
        <f>IF(Table2[[#This Row],[Team]]="FA",0,Table2[[#This Row],[Pts/G]]*(1-Table2[[#This Row],[% Pos Overlap]]))</f>
        <v>0</v>
      </c>
      <c r="J775" s="72" t="e" cm="1">
        <f t="array" aca="1" ref="J775" ca="1">(INDIRECT(ADDRESS((_xlfn.XMATCH(Table2[[#This Row],[Team]],Schedule!$A$1:$A$33)),5,1,1,"Sched Overlap")))</f>
        <v>#N/A</v>
      </c>
      <c r="K775" s="92" t="e" cm="1">
        <f t="array" aca="1" ref="K775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75" s="95">
        <f>IF(Table2[[#This Row],[Team]]="FA",0,Table2[[#This Row],[Pts/G]]*(Table2[[#This Row],[Games Playable]]/82))</f>
        <v>0</v>
      </c>
      <c r="M775" s="95" cm="1">
        <f t="array" ref="M775">Table2[[#This Row],[Playable x Score]]*_xlfn.IFS(Table2[[#This Row],[Pos]]="D",assumptions!$B$15,Table2[[#This Row],[Pos]]="F", assumptions!$B$14,Table2[[#This Row],[Pos]]="G",assumptions!$B$16)</f>
        <v>0</v>
      </c>
    </row>
    <row r="776" spans="1:13" x14ac:dyDescent="0.3">
      <c r="A776">
        <f>'score estimates'!$A776</f>
        <v>773</v>
      </c>
      <c r="B776" t="str">
        <f>'score estimates'!$B776</f>
        <v>Nicklas Backstrom</v>
      </c>
      <c r="C776" t="str">
        <f>'score estimates'!$D776</f>
        <v>F</v>
      </c>
      <c r="D776" t="str">
        <f>'score estimates'!$C776</f>
        <v>WAS</v>
      </c>
      <c r="E776" s="75">
        <f>'score estimates'!$F776</f>
        <v>1.2073170731707317</v>
      </c>
      <c r="F776" s="71">
        <f>'score estimates'!$G776</f>
        <v>913</v>
      </c>
      <c r="G776" s="71" t="s">
        <v>983</v>
      </c>
      <c r="H776" s="72" cm="1">
        <f t="array" aca="1" ref="H77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76" s="96">
        <f ca="1">IF(Table2[[#This Row],[Team]]="FA",0,Table2[[#This Row],[Pts/G]]*(1-Table2[[#This Row],[% Pos Overlap]]))</f>
        <v>1.2073170731707317</v>
      </c>
      <c r="J776" s="72" cm="1">
        <f t="array" aca="1" ref="J776" ca="1">(INDIRECT(ADDRESS((_xlfn.XMATCH(Table2[[#This Row],[Team]],Schedule!$A$1:$A$33)),5,1,1,"Sched Overlap")))</f>
        <v>0.65282865282865288</v>
      </c>
      <c r="K776" s="92" cm="1">
        <f t="array" aca="1" ref="K77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76" s="95">
        <f ca="1">IF(Table2[[#This Row],[Team]]="FA",0,Table2[[#This Row],[Pts/G]]*(Table2[[#This Row],[Games Playable]]/82))</f>
        <v>1.2073170731707317</v>
      </c>
      <c r="M776" s="95" cm="1">
        <f t="array" aca="1" ref="M776" ca="1">Table2[[#This Row],[Playable x Score]]*_xlfn.IFS(Table2[[#This Row],[Pos]]="D",assumptions!$B$15,Table2[[#This Row],[Pos]]="F", assumptions!$B$14,Table2[[#This Row],[Pos]]="G",assumptions!$B$16)</f>
        <v>1.2073170731707317</v>
      </c>
    </row>
    <row r="777" spans="1:13" x14ac:dyDescent="0.3">
      <c r="A777">
        <f>'score estimates'!$A777</f>
        <v>774</v>
      </c>
      <c r="B777" t="str">
        <f>'score estimates'!$B777</f>
        <v>Leo Komarov</v>
      </c>
      <c r="C777" t="str">
        <f>'score estimates'!$D777</f>
        <v>F</v>
      </c>
      <c r="D777" t="str">
        <f>'score estimates'!$C777</f>
        <v>FA</v>
      </c>
      <c r="E777" s="75">
        <f>'score estimates'!$F777</f>
        <v>2.1585365853658538</v>
      </c>
      <c r="F777" s="71">
        <f>'score estimates'!$G777</f>
        <v>843</v>
      </c>
      <c r="G777" s="71" t="s">
        <v>983</v>
      </c>
      <c r="H777" s="72" t="e" cm="1">
        <f t="array" aca="1" ref="H777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77" s="96">
        <f>IF(Table2[[#This Row],[Team]]="FA",0,Table2[[#This Row],[Pts/G]]*(1-Table2[[#This Row],[% Pos Overlap]]))</f>
        <v>0</v>
      </c>
      <c r="J777" s="72" t="e" cm="1">
        <f t="array" aca="1" ref="J777" ca="1">(INDIRECT(ADDRESS((_xlfn.XMATCH(Table2[[#This Row],[Team]],Schedule!$A$1:$A$33)),5,1,1,"Sched Overlap")))</f>
        <v>#N/A</v>
      </c>
      <c r="K777" s="92" t="e" cm="1">
        <f t="array" aca="1" ref="K777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77" s="95">
        <f>IF(Table2[[#This Row],[Team]]="FA",0,Table2[[#This Row],[Pts/G]]*(Table2[[#This Row],[Games Playable]]/82))</f>
        <v>0</v>
      </c>
      <c r="M777" s="95" cm="1">
        <f t="array" ref="M777">Table2[[#This Row],[Playable x Score]]*_xlfn.IFS(Table2[[#This Row],[Pos]]="D",assumptions!$B$15,Table2[[#This Row],[Pos]]="F", assumptions!$B$14,Table2[[#This Row],[Pos]]="G",assumptions!$B$16)</f>
        <v>0</v>
      </c>
    </row>
    <row r="778" spans="1:13" x14ac:dyDescent="0.3">
      <c r="A778">
        <f>'score estimates'!$A778</f>
        <v>775</v>
      </c>
      <c r="B778" t="str">
        <f>'score estimates'!$B778</f>
        <v>Logan Shaw</v>
      </c>
      <c r="C778" t="str">
        <f>'score estimates'!$D778</f>
        <v>F</v>
      </c>
      <c r="D778" t="str">
        <f>'score estimates'!$C778</f>
        <v>FA</v>
      </c>
      <c r="E778" s="75">
        <f>'score estimates'!$F778</f>
        <v>1.3414634146341464</v>
      </c>
      <c r="F778" s="71">
        <f>'score estimates'!$G778</f>
        <v>895</v>
      </c>
      <c r="G778" s="71" t="s">
        <v>983</v>
      </c>
      <c r="H778" s="72" t="e" cm="1">
        <f t="array" aca="1" ref="H778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78" s="96">
        <f>IF(Table2[[#This Row],[Team]]="FA",0,Table2[[#This Row],[Pts/G]]*(1-Table2[[#This Row],[% Pos Overlap]]))</f>
        <v>0</v>
      </c>
      <c r="J778" s="72" t="e" cm="1">
        <f t="array" aca="1" ref="J778" ca="1">(INDIRECT(ADDRESS((_xlfn.XMATCH(Table2[[#This Row],[Team]],Schedule!$A$1:$A$33)),5,1,1,"Sched Overlap")))</f>
        <v>#N/A</v>
      </c>
      <c r="K778" s="92" t="e" cm="1">
        <f t="array" aca="1" ref="K778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78" s="95">
        <f>IF(Table2[[#This Row],[Team]]="FA",0,Table2[[#This Row],[Pts/G]]*(Table2[[#This Row],[Games Playable]]/82))</f>
        <v>0</v>
      </c>
      <c r="M778" s="95" cm="1">
        <f t="array" ref="M778">Table2[[#This Row],[Playable x Score]]*_xlfn.IFS(Table2[[#This Row],[Pos]]="D",assumptions!$B$15,Table2[[#This Row],[Pos]]="F", assumptions!$B$14,Table2[[#This Row],[Pos]]="G",assumptions!$B$16)</f>
        <v>0</v>
      </c>
    </row>
    <row r="779" spans="1:13" x14ac:dyDescent="0.3">
      <c r="A779">
        <f>'score estimates'!$A779</f>
        <v>776</v>
      </c>
      <c r="B779" t="str">
        <f>'score estimates'!$B779</f>
        <v>Derrick Pouliot</v>
      </c>
      <c r="C779" t="str">
        <f>'score estimates'!$D779</f>
        <v>D</v>
      </c>
      <c r="D779" t="str">
        <f>'score estimates'!$C779</f>
        <v>FA</v>
      </c>
      <c r="E779" s="75">
        <f>'score estimates'!$F779</f>
        <v>2.2073170731707319</v>
      </c>
      <c r="F779" s="71">
        <f>'score estimates'!$G779</f>
        <v>841</v>
      </c>
      <c r="G779" s="71" t="s">
        <v>983</v>
      </c>
      <c r="H779" s="72" t="e" cm="1">
        <f t="array" aca="1" ref="H779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779" s="96">
        <f>IF(Table2[[#This Row],[Team]]="FA",0,Table2[[#This Row],[Pts/G]]*(1-Table2[[#This Row],[% Pos Overlap]]))</f>
        <v>0</v>
      </c>
      <c r="J779" s="72" t="e" cm="1">
        <f t="array" aca="1" ref="J779" ca="1">(INDIRECT(ADDRESS((_xlfn.XMATCH(Table2[[#This Row],[Team]],Schedule!$A$1:$A$33)),5,1,1,"Sched Overlap")))</f>
        <v>#N/A</v>
      </c>
      <c r="K779" s="92" t="e" cm="1">
        <f t="array" aca="1" ref="K779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779" s="95">
        <f>IF(Table2[[#This Row],[Team]]="FA",0,Table2[[#This Row],[Pts/G]]*(Table2[[#This Row],[Games Playable]]/82))</f>
        <v>0</v>
      </c>
      <c r="M779" s="95" cm="1">
        <f t="array" ref="M779">Table2[[#This Row],[Playable x Score]]*_xlfn.IFS(Table2[[#This Row],[Pos]]="D",assumptions!$B$15,Table2[[#This Row],[Pos]]="F", assumptions!$B$14,Table2[[#This Row],[Pos]]="G",assumptions!$B$16)</f>
        <v>0</v>
      </c>
    </row>
    <row r="780" spans="1:13" x14ac:dyDescent="0.3">
      <c r="A780">
        <f>'score estimates'!$A780</f>
        <v>777</v>
      </c>
      <c r="B780" t="str">
        <f>'score estimates'!$B780</f>
        <v>Frederik Andersen</v>
      </c>
      <c r="C780" t="str">
        <f>'score estimates'!$D780</f>
        <v>G</v>
      </c>
      <c r="D780" t="str">
        <f>'score estimates'!$C780</f>
        <v>CAR</v>
      </c>
      <c r="E780" s="75">
        <f>'score estimates'!$F780</f>
        <v>29.073170731707318</v>
      </c>
      <c r="F780" s="71">
        <f>'score estimates'!$G780</f>
        <v>98</v>
      </c>
      <c r="G780" s="71" t="s">
        <v>983</v>
      </c>
      <c r="H780" s="72" cm="1">
        <f t="array" aca="1" ref="H78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80" s="96">
        <f ca="1">IF(Table2[[#This Row],[Team]]="FA",0,Table2[[#This Row],[Pts/G]]*(1-Table2[[#This Row],[% Pos Overlap]]))</f>
        <v>29.073170731707318</v>
      </c>
      <c r="J780" s="72" cm="1">
        <f t="array" aca="1" ref="J780" ca="1">(INDIRECT(ADDRESS((_xlfn.XMATCH(Table2[[#This Row],[Team]],Schedule!$A$1:$A$33)),5,1,1,"Sched Overlap")))</f>
        <v>0.63247863247863245</v>
      </c>
      <c r="K780" s="92" cm="1">
        <f t="array" aca="1" ref="K78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80" s="95">
        <f ca="1">IF(Table2[[#This Row],[Team]]="FA",0,Table2[[#This Row],[Pts/G]]*(Table2[[#This Row],[Games Playable]]/82))</f>
        <v>29.073170731707318</v>
      </c>
      <c r="M780" s="95" cm="1">
        <f t="array" aca="1" ref="M780" ca="1">Table2[[#This Row],[Playable x Score]]*_xlfn.IFS(Table2[[#This Row],[Pos]]="D",assumptions!$B$15,Table2[[#This Row],[Pos]]="F", assumptions!$B$14,Table2[[#This Row],[Pos]]="G",assumptions!$B$16)</f>
        <v>31.980487804878052</v>
      </c>
    </row>
    <row r="781" spans="1:13" x14ac:dyDescent="0.3">
      <c r="A781">
        <f>'score estimates'!$A781</f>
        <v>778</v>
      </c>
      <c r="B781" t="str">
        <f>'score estimates'!$B781</f>
        <v>Jayson Megna</v>
      </c>
      <c r="C781" t="str">
        <f>'score estimates'!$D781</f>
        <v>F</v>
      </c>
      <c r="D781" t="str">
        <f>'score estimates'!$C781</f>
        <v>COL</v>
      </c>
      <c r="E781" s="75">
        <f>'score estimates'!$F781</f>
        <v>2.0853658536585367</v>
      </c>
      <c r="F781" s="71">
        <f>'score estimates'!$G781</f>
        <v>847</v>
      </c>
      <c r="G781" s="71" t="s">
        <v>983</v>
      </c>
      <c r="H781" s="72" cm="1">
        <f t="array" aca="1" ref="H78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81" s="96">
        <f ca="1">IF(Table2[[#This Row],[Team]]="FA",0,Table2[[#This Row],[Pts/G]]*(1-Table2[[#This Row],[% Pos Overlap]]))</f>
        <v>2.0853658536585367</v>
      </c>
      <c r="J781" s="72" cm="1">
        <f t="array" aca="1" ref="J781" ca="1">(INDIRECT(ADDRESS((_xlfn.XMATCH(Table2[[#This Row],[Team]],Schedule!$A$1:$A$33)),5,1,1,"Sched Overlap")))</f>
        <v>0.61131461131461151</v>
      </c>
      <c r="K781" s="92" cm="1">
        <f t="array" aca="1" ref="K78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81" s="95">
        <f ca="1">IF(Table2[[#This Row],[Team]]="FA",0,Table2[[#This Row],[Pts/G]]*(Table2[[#This Row],[Games Playable]]/82))</f>
        <v>2.0853658536585367</v>
      </c>
      <c r="M781" s="95" cm="1">
        <f t="array" aca="1" ref="M781" ca="1">Table2[[#This Row],[Playable x Score]]*_xlfn.IFS(Table2[[#This Row],[Pos]]="D",assumptions!$B$15,Table2[[#This Row],[Pos]]="F", assumptions!$B$14,Table2[[#This Row],[Pos]]="G",assumptions!$B$16)</f>
        <v>2.0853658536585367</v>
      </c>
    </row>
    <row r="782" spans="1:13" x14ac:dyDescent="0.3">
      <c r="A782">
        <f>'score estimates'!$A782</f>
        <v>779</v>
      </c>
      <c r="B782" t="str">
        <f>'score estimates'!$B782</f>
        <v>Patrick Brown</v>
      </c>
      <c r="C782" t="str">
        <f>'score estimates'!$D782</f>
        <v>F</v>
      </c>
      <c r="D782" t="str">
        <f>'score estimates'!$C782</f>
        <v>PHI</v>
      </c>
      <c r="E782" s="75">
        <f>'score estimates'!$F782</f>
        <v>1.3292682926829269</v>
      </c>
      <c r="F782" s="71">
        <f>'score estimates'!$G782</f>
        <v>896</v>
      </c>
      <c r="G782" s="71" t="s">
        <v>983</v>
      </c>
      <c r="H782" s="72" cm="1">
        <f t="array" aca="1" ref="H78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82" s="96">
        <f ca="1">IF(Table2[[#This Row],[Team]]="FA",0,Table2[[#This Row],[Pts/G]]*(1-Table2[[#This Row],[% Pos Overlap]]))</f>
        <v>1.3292682926829269</v>
      </c>
      <c r="J782" s="72" cm="1">
        <f t="array" aca="1" ref="J782" ca="1">(INDIRECT(ADDRESS((_xlfn.XMATCH(Table2[[#This Row],[Team]],Schedule!$A$1:$A$33)),5,1,1,"Sched Overlap")))</f>
        <v>0.66910866910866917</v>
      </c>
      <c r="K782" s="92" cm="1">
        <f t="array" aca="1" ref="K78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82" s="95">
        <f ca="1">IF(Table2[[#This Row],[Team]]="FA",0,Table2[[#This Row],[Pts/G]]*(Table2[[#This Row],[Games Playable]]/82))</f>
        <v>1.3292682926829269</v>
      </c>
      <c r="M782" s="95" cm="1">
        <f t="array" aca="1" ref="M782" ca="1">Table2[[#This Row],[Playable x Score]]*_xlfn.IFS(Table2[[#This Row],[Pos]]="D",assumptions!$B$15,Table2[[#This Row],[Pos]]="F", assumptions!$B$14,Table2[[#This Row],[Pos]]="G",assumptions!$B$16)</f>
        <v>1.3292682926829269</v>
      </c>
    </row>
    <row r="783" spans="1:13" x14ac:dyDescent="0.3">
      <c r="A783">
        <f>'score estimates'!$A783</f>
        <v>780</v>
      </c>
      <c r="B783" t="str">
        <f>'score estimates'!$B783</f>
        <v>Justin Dowling</v>
      </c>
      <c r="C783" t="str">
        <f>'score estimates'!$D783</f>
        <v>F</v>
      </c>
      <c r="D783" t="str">
        <f>'score estimates'!$C783</f>
        <v>VAN</v>
      </c>
      <c r="E783" s="75">
        <f>'score estimates'!$F783</f>
        <v>1.5731707317073171</v>
      </c>
      <c r="F783" s="71">
        <f>'score estimates'!$G783</f>
        <v>878</v>
      </c>
      <c r="G783" s="71" t="s">
        <v>983</v>
      </c>
      <c r="H783" s="72" cm="1">
        <f t="array" aca="1" ref="H78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83" s="96">
        <f ca="1">IF(Table2[[#This Row],[Team]]="FA",0,Table2[[#This Row],[Pts/G]]*(1-Table2[[#This Row],[% Pos Overlap]]))</f>
        <v>1.5731707317073171</v>
      </c>
      <c r="J783" s="72" cm="1">
        <f t="array" aca="1" ref="J783" ca="1">(INDIRECT(ADDRESS((_xlfn.XMATCH(Table2[[#This Row],[Team]],Schedule!$A$1:$A$33)),5,1,1,"Sched Overlap")))</f>
        <v>0.62922262922262917</v>
      </c>
      <c r="K783" s="92" cm="1">
        <f t="array" aca="1" ref="K78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83" s="95">
        <f ca="1">IF(Table2[[#This Row],[Team]]="FA",0,Table2[[#This Row],[Pts/G]]*(Table2[[#This Row],[Games Playable]]/82))</f>
        <v>1.5731707317073171</v>
      </c>
      <c r="M783" s="95" cm="1">
        <f t="array" aca="1" ref="M783" ca="1">Table2[[#This Row],[Playable x Score]]*_xlfn.IFS(Table2[[#This Row],[Pos]]="D",assumptions!$B$15,Table2[[#This Row],[Pos]]="F", assumptions!$B$14,Table2[[#This Row],[Pos]]="G",assumptions!$B$16)</f>
        <v>1.5731707317073171</v>
      </c>
    </row>
    <row r="784" spans="1:13" x14ac:dyDescent="0.3">
      <c r="A784">
        <f>'score estimates'!$A784</f>
        <v>781</v>
      </c>
      <c r="B784" t="str">
        <f>'score estimates'!$B784</f>
        <v>Tristan Jarry</v>
      </c>
      <c r="C784" t="str">
        <f>'score estimates'!$D784</f>
        <v>G</v>
      </c>
      <c r="D784" t="str">
        <f>'score estimates'!$C784</f>
        <v>PIT</v>
      </c>
      <c r="E784" s="75">
        <f>'score estimates'!$F784</f>
        <v>30.414634146341463</v>
      </c>
      <c r="F784" s="71">
        <f>'score estimates'!$G784</f>
        <v>84</v>
      </c>
      <c r="G784" s="71" t="s">
        <v>983</v>
      </c>
      <c r="H784" s="72" cm="1">
        <f t="array" aca="1" ref="H78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84" s="96">
        <f ca="1">IF(Table2[[#This Row],[Team]]="FA",0,Table2[[#This Row],[Pts/G]]*(1-Table2[[#This Row],[% Pos Overlap]]))</f>
        <v>30.414634146341463</v>
      </c>
      <c r="J784" s="72" cm="1">
        <f t="array" aca="1" ref="J784" ca="1">(INDIRECT(ADDRESS((_xlfn.XMATCH(Table2[[#This Row],[Team]],Schedule!$A$1:$A$33)),5,1,1,"Sched Overlap")))</f>
        <v>0.63492063492063477</v>
      </c>
      <c r="K784" s="92" cm="1">
        <f t="array" aca="1" ref="K78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84" s="95">
        <f ca="1">IF(Table2[[#This Row],[Team]]="FA",0,Table2[[#This Row],[Pts/G]]*(Table2[[#This Row],[Games Playable]]/82))</f>
        <v>30.414634146341463</v>
      </c>
      <c r="M784" s="95" cm="1">
        <f t="array" aca="1" ref="M784" ca="1">Table2[[#This Row],[Playable x Score]]*_xlfn.IFS(Table2[[#This Row],[Pos]]="D",assumptions!$B$15,Table2[[#This Row],[Pos]]="F", assumptions!$B$14,Table2[[#This Row],[Pos]]="G",assumptions!$B$16)</f>
        <v>33.456097560975614</v>
      </c>
    </row>
    <row r="785" spans="1:13" x14ac:dyDescent="0.3">
      <c r="A785">
        <f>'score estimates'!$A785</f>
        <v>782</v>
      </c>
      <c r="B785" t="str">
        <f>'score estimates'!$B785</f>
        <v>Nicolas Petan</v>
      </c>
      <c r="C785" t="str">
        <f>'score estimates'!$D785</f>
        <v>F</v>
      </c>
      <c r="D785" t="str">
        <f>'score estimates'!$C785</f>
        <v>MIN</v>
      </c>
      <c r="E785" s="75">
        <f>'score estimates'!$F785</f>
        <v>1.9512195121951219</v>
      </c>
      <c r="F785" s="71">
        <f>'score estimates'!$G785</f>
        <v>858</v>
      </c>
      <c r="G785" s="71" t="s">
        <v>983</v>
      </c>
      <c r="H785" s="72" cm="1">
        <f t="array" aca="1" ref="H78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85" s="96">
        <f ca="1">IF(Table2[[#This Row],[Team]]="FA",0,Table2[[#This Row],[Pts/G]]*(1-Table2[[#This Row],[% Pos Overlap]]))</f>
        <v>1.9512195121951219</v>
      </c>
      <c r="J785" s="72" cm="1">
        <f t="array" aca="1" ref="J785" ca="1">(INDIRECT(ADDRESS((_xlfn.XMATCH(Table2[[#This Row],[Team]],Schedule!$A$1:$A$33)),5,1,1,"Sched Overlap")))</f>
        <v>0.62108262108262113</v>
      </c>
      <c r="K785" s="92" cm="1">
        <f t="array" aca="1" ref="K78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85" s="95">
        <f ca="1">IF(Table2[[#This Row],[Team]]="FA",0,Table2[[#This Row],[Pts/G]]*(Table2[[#This Row],[Games Playable]]/82))</f>
        <v>1.9512195121951219</v>
      </c>
      <c r="M785" s="95" cm="1">
        <f t="array" aca="1" ref="M785" ca="1">Table2[[#This Row],[Playable x Score]]*_xlfn.IFS(Table2[[#This Row],[Pos]]="D",assumptions!$B$15,Table2[[#This Row],[Pos]]="F", assumptions!$B$14,Table2[[#This Row],[Pos]]="G",assumptions!$B$16)</f>
        <v>1.9512195121951219</v>
      </c>
    </row>
    <row r="786" spans="1:13" x14ac:dyDescent="0.3">
      <c r="A786">
        <f>'score estimates'!$A786</f>
        <v>783</v>
      </c>
      <c r="B786" t="str">
        <f>'score estimates'!$B786</f>
        <v>Liam O'Brien</v>
      </c>
      <c r="C786" t="str">
        <f>'score estimates'!$D786</f>
        <v>F</v>
      </c>
      <c r="D786" t="str">
        <f>'score estimates'!$C786</f>
        <v>ARI</v>
      </c>
      <c r="E786" s="75">
        <f>'score estimates'!$F786</f>
        <v>6.9024390243902438</v>
      </c>
      <c r="F786" s="71">
        <f>'score estimates'!$G786</f>
        <v>648</v>
      </c>
      <c r="G786" s="71" t="s">
        <v>983</v>
      </c>
      <c r="H786" s="72" cm="1">
        <f t="array" aca="1" ref="H78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86" s="96">
        <f ca="1">IF(Table2[[#This Row],[Team]]="FA",0,Table2[[#This Row],[Pts/G]]*(1-Table2[[#This Row],[% Pos Overlap]]))</f>
        <v>6.9024390243902438</v>
      </c>
      <c r="J786" s="72" cm="1">
        <f t="array" aca="1" ref="J786" ca="1">(INDIRECT(ADDRESS((_xlfn.XMATCH(Table2[[#This Row],[Team]],Schedule!$A$1:$A$33)),5,1,1,"Sched Overlap")))</f>
        <v>0.63247863247863279</v>
      </c>
      <c r="K786" s="92" cm="1">
        <f t="array" aca="1" ref="K78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86" s="95">
        <f ca="1">IF(Table2[[#This Row],[Team]]="FA",0,Table2[[#This Row],[Pts/G]]*(Table2[[#This Row],[Games Playable]]/82))</f>
        <v>6.9024390243902438</v>
      </c>
      <c r="M786" s="95" cm="1">
        <f t="array" aca="1" ref="M786" ca="1">Table2[[#This Row],[Playable x Score]]*_xlfn.IFS(Table2[[#This Row],[Pos]]="D",assumptions!$B$15,Table2[[#This Row],[Pos]]="F", assumptions!$B$14,Table2[[#This Row],[Pos]]="G",assumptions!$B$16)</f>
        <v>6.9024390243902438</v>
      </c>
    </row>
    <row r="787" spans="1:13" x14ac:dyDescent="0.3">
      <c r="A787">
        <f>'score estimates'!$A787</f>
        <v>784</v>
      </c>
      <c r="B787" t="str">
        <f>'score estimates'!$B787</f>
        <v>Ben Harpur</v>
      </c>
      <c r="C787" t="str">
        <f>'score estimates'!$D787</f>
        <v>D</v>
      </c>
      <c r="D787" t="str">
        <f>'score estimates'!$C787</f>
        <v>CLS</v>
      </c>
      <c r="E787" s="75">
        <f>'score estimates'!$F787</f>
        <v>2.3292682926829267</v>
      </c>
      <c r="F787" s="71">
        <f>'score estimates'!$G787</f>
        <v>833</v>
      </c>
      <c r="G787" s="71" t="s">
        <v>983</v>
      </c>
      <c r="H787" s="72" cm="1">
        <f t="array" aca="1" ref="H78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87" s="96">
        <f ca="1">IF(Table2[[#This Row],[Team]]="FA",0,Table2[[#This Row],[Pts/G]]*(1-Table2[[#This Row],[% Pos Overlap]]))</f>
        <v>2.3292682926829267</v>
      </c>
      <c r="J787" s="72" cm="1">
        <f t="array" aca="1" ref="J787" ca="1">(INDIRECT(ADDRESS((_xlfn.XMATCH(Table2[[#This Row],[Team]],Schedule!$A$1:$A$33)),5,1,1,"Sched Overlap")))</f>
        <v>0.64875864875864886</v>
      </c>
      <c r="K787" s="92" cm="1">
        <f t="array" aca="1" ref="K78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87" s="95">
        <f ca="1">IF(Table2[[#This Row],[Team]]="FA",0,Table2[[#This Row],[Pts/G]]*(Table2[[#This Row],[Games Playable]]/82))</f>
        <v>2.3292682926829267</v>
      </c>
      <c r="M787" s="95" cm="1">
        <f t="array" aca="1" ref="M787" ca="1">Table2[[#This Row],[Playable x Score]]*_xlfn.IFS(Table2[[#This Row],[Pos]]="D",assumptions!$B$15,Table2[[#This Row],[Pos]]="F", assumptions!$B$14,Table2[[#This Row],[Pos]]="G",assumptions!$B$16)</f>
        <v>2.9115853658536581</v>
      </c>
    </row>
    <row r="788" spans="1:13" x14ac:dyDescent="0.3">
      <c r="A788">
        <f>'score estimates'!$A788</f>
        <v>785</v>
      </c>
      <c r="B788" t="str">
        <f>'score estimates'!$B788</f>
        <v>Mark Friedman</v>
      </c>
      <c r="C788" t="str">
        <f>'score estimates'!$D788</f>
        <v>D</v>
      </c>
      <c r="D788" t="str">
        <f>'score estimates'!$C788</f>
        <v>PIT</v>
      </c>
      <c r="E788" s="75">
        <f>'score estimates'!$F788</f>
        <v>2.8902439024390243</v>
      </c>
      <c r="F788" s="71">
        <f>'score estimates'!$G788</f>
        <v>805</v>
      </c>
      <c r="G788" s="71" t="s">
        <v>983</v>
      </c>
      <c r="H788" s="72" cm="1">
        <f t="array" aca="1" ref="H78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88" s="96">
        <f ca="1">IF(Table2[[#This Row],[Team]]="FA",0,Table2[[#This Row],[Pts/G]]*(1-Table2[[#This Row],[% Pos Overlap]]))</f>
        <v>2.8902439024390243</v>
      </c>
      <c r="J788" s="72" cm="1">
        <f t="array" aca="1" ref="J788" ca="1">(INDIRECT(ADDRESS((_xlfn.XMATCH(Table2[[#This Row],[Team]],Schedule!$A$1:$A$33)),5,1,1,"Sched Overlap")))</f>
        <v>0.63492063492063477</v>
      </c>
      <c r="K788" s="92" cm="1">
        <f t="array" aca="1" ref="K78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88" s="95">
        <f ca="1">IF(Table2[[#This Row],[Team]]="FA",0,Table2[[#This Row],[Pts/G]]*(Table2[[#This Row],[Games Playable]]/82))</f>
        <v>2.8902439024390243</v>
      </c>
      <c r="M788" s="95" cm="1">
        <f t="array" aca="1" ref="M788" ca="1">Table2[[#This Row],[Playable x Score]]*_xlfn.IFS(Table2[[#This Row],[Pos]]="D",assumptions!$B$15,Table2[[#This Row],[Pos]]="F", assumptions!$B$14,Table2[[#This Row],[Pos]]="G",assumptions!$B$16)</f>
        <v>3.6128048780487805</v>
      </c>
    </row>
    <row r="789" spans="1:13" x14ac:dyDescent="0.3">
      <c r="A789">
        <f>'score estimates'!$A789</f>
        <v>786</v>
      </c>
      <c r="B789" t="str">
        <f>'score estimates'!$B789</f>
        <v>Mitchell Stephens</v>
      </c>
      <c r="C789" t="str">
        <f>'score estimates'!$D789</f>
        <v>F</v>
      </c>
      <c r="D789" t="str">
        <f>'score estimates'!$C789</f>
        <v>MON</v>
      </c>
      <c r="E789" s="75">
        <f>'score estimates'!$F789</f>
        <v>1.0365853658536586</v>
      </c>
      <c r="F789" s="71">
        <f>'score estimates'!$G789</f>
        <v>932</v>
      </c>
      <c r="G789" s="71" t="s">
        <v>983</v>
      </c>
      <c r="H789" s="72" cm="1">
        <f t="array" aca="1" ref="H78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89" s="96">
        <f ca="1">IF(Table2[[#This Row],[Team]]="FA",0,Table2[[#This Row],[Pts/G]]*(1-Table2[[#This Row],[% Pos Overlap]]))</f>
        <v>1.0365853658536586</v>
      </c>
      <c r="J789" s="72" cm="1">
        <f t="array" aca="1" ref="J789" ca="1">(INDIRECT(ADDRESS((_xlfn.XMATCH(Table2[[#This Row],[Team]],Schedule!$A$1:$A$33)),5,1,1,"Sched Overlap")))</f>
        <v>0.66666666666666685</v>
      </c>
      <c r="K789" s="92" cm="1">
        <f t="array" aca="1" ref="K78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89" s="95">
        <f ca="1">IF(Table2[[#This Row],[Team]]="FA",0,Table2[[#This Row],[Pts/G]]*(Table2[[#This Row],[Games Playable]]/82))</f>
        <v>1.0365853658536586</v>
      </c>
      <c r="M789" s="95" cm="1">
        <f t="array" aca="1" ref="M789" ca="1">Table2[[#This Row],[Playable x Score]]*_xlfn.IFS(Table2[[#This Row],[Pos]]="D",assumptions!$B$15,Table2[[#This Row],[Pos]]="F", assumptions!$B$14,Table2[[#This Row],[Pos]]="G",assumptions!$B$16)</f>
        <v>1.0365853658536586</v>
      </c>
    </row>
    <row r="790" spans="1:13" x14ac:dyDescent="0.3">
      <c r="A790">
        <f>'score estimates'!$A790</f>
        <v>787</v>
      </c>
      <c r="B790" t="str">
        <f>'score estimates'!$B790</f>
        <v>Kyle Capobianco</v>
      </c>
      <c r="C790" t="str">
        <f>'score estimates'!$D790</f>
        <v>D</v>
      </c>
      <c r="D790" t="str">
        <f>'score estimates'!$C790</f>
        <v>WPG</v>
      </c>
      <c r="E790" s="75">
        <f>'score estimates'!$F790</f>
        <v>1.6829268292682926</v>
      </c>
      <c r="F790" s="71">
        <f>'score estimates'!$G790</f>
        <v>871</v>
      </c>
      <c r="G790" s="71" t="s">
        <v>983</v>
      </c>
      <c r="H790" s="72" cm="1">
        <f t="array" aca="1" ref="H79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90" s="96">
        <f ca="1">IF(Table2[[#This Row],[Team]]="FA",0,Table2[[#This Row],[Pts/G]]*(1-Table2[[#This Row],[% Pos Overlap]]))</f>
        <v>1.6829268292682926</v>
      </c>
      <c r="J790" s="72" cm="1">
        <f t="array" aca="1" ref="J790" ca="1">(INDIRECT(ADDRESS((_xlfn.XMATCH(Table2[[#This Row],[Team]],Schedule!$A$1:$A$33)),5,1,1,"Sched Overlap")))</f>
        <v>0.61212861212861214</v>
      </c>
      <c r="K790" s="92" cm="1">
        <f t="array" aca="1" ref="K79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90" s="95">
        <f ca="1">IF(Table2[[#This Row],[Team]]="FA",0,Table2[[#This Row],[Pts/G]]*(Table2[[#This Row],[Games Playable]]/82))</f>
        <v>1.6829268292682926</v>
      </c>
      <c r="M790" s="95" cm="1">
        <f t="array" aca="1" ref="M790" ca="1">Table2[[#This Row],[Playable x Score]]*_xlfn.IFS(Table2[[#This Row],[Pos]]="D",assumptions!$B$15,Table2[[#This Row],[Pos]]="F", assumptions!$B$14,Table2[[#This Row],[Pos]]="G",assumptions!$B$16)</f>
        <v>2.1036585365853657</v>
      </c>
    </row>
    <row r="791" spans="1:13" x14ac:dyDescent="0.3">
      <c r="A791">
        <f>'score estimates'!$A791</f>
        <v>788</v>
      </c>
      <c r="B791" t="str">
        <f>'score estimates'!$B791</f>
        <v>A.J. Greer</v>
      </c>
      <c r="C791" t="str">
        <f>'score estimates'!$D791</f>
        <v>F</v>
      </c>
      <c r="D791" t="str">
        <f>'score estimates'!$C791</f>
        <v>BOS</v>
      </c>
      <c r="E791" s="75">
        <f>'score estimates'!$F791</f>
        <v>2.5609756097560976</v>
      </c>
      <c r="F791" s="71">
        <f>'score estimates'!$G791</f>
        <v>824</v>
      </c>
      <c r="G791" s="71" t="s">
        <v>983</v>
      </c>
      <c r="H791" s="72" cm="1">
        <f t="array" aca="1" ref="H79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91" s="96">
        <f ca="1">IF(Table2[[#This Row],[Team]]="FA",0,Table2[[#This Row],[Pts/G]]*(1-Table2[[#This Row],[% Pos Overlap]]))</f>
        <v>2.5609756097560976</v>
      </c>
      <c r="J791" s="72" cm="1">
        <f t="array" aca="1" ref="J791" ca="1">(INDIRECT(ADDRESS((_xlfn.XMATCH(Table2[[#This Row],[Team]],Schedule!$A$1:$A$33)),5,1,1,"Sched Overlap")))</f>
        <v>0.67236467236467234</v>
      </c>
      <c r="K791" s="92" cm="1">
        <f t="array" aca="1" ref="K79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91" s="95">
        <f ca="1">IF(Table2[[#This Row],[Team]]="FA",0,Table2[[#This Row],[Pts/G]]*(Table2[[#This Row],[Games Playable]]/82))</f>
        <v>2.5609756097560976</v>
      </c>
      <c r="M791" s="95" cm="1">
        <f t="array" aca="1" ref="M791" ca="1">Table2[[#This Row],[Playable x Score]]*_xlfn.IFS(Table2[[#This Row],[Pos]]="D",assumptions!$B$15,Table2[[#This Row],[Pos]]="F", assumptions!$B$14,Table2[[#This Row],[Pos]]="G",assumptions!$B$16)</f>
        <v>2.5609756097560976</v>
      </c>
    </row>
    <row r="792" spans="1:13" x14ac:dyDescent="0.3">
      <c r="A792">
        <f>'score estimates'!$A792</f>
        <v>789</v>
      </c>
      <c r="B792" t="str">
        <f>'score estimates'!$B792</f>
        <v>Casey Fitzgerald</v>
      </c>
      <c r="C792" t="str">
        <f>'score estimates'!$D792</f>
        <v>D</v>
      </c>
      <c r="D792" t="str">
        <f>'score estimates'!$C792</f>
        <v>BUF</v>
      </c>
      <c r="E792" s="75">
        <f>'score estimates'!$F792</f>
        <v>2.0975609756097562</v>
      </c>
      <c r="F792" s="71">
        <f>'score estimates'!$G792</f>
        <v>846</v>
      </c>
      <c r="G792" s="71" t="s">
        <v>983</v>
      </c>
      <c r="H792" s="72" cm="1">
        <f t="array" aca="1" ref="H79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92" s="96">
        <f ca="1">IF(Table2[[#This Row],[Team]]="FA",0,Table2[[#This Row],[Pts/G]]*(1-Table2[[#This Row],[% Pos Overlap]]))</f>
        <v>2.0975609756097562</v>
      </c>
      <c r="J792" s="72" cm="1">
        <f t="array" aca="1" ref="J792" ca="1">(INDIRECT(ADDRESS((_xlfn.XMATCH(Table2[[#This Row],[Team]],Schedule!$A$1:$A$33)),5,1,1,"Sched Overlap")))</f>
        <v>0.63573463573463573</v>
      </c>
      <c r="K792" s="92" cm="1">
        <f t="array" aca="1" ref="K79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92" s="95">
        <f ca="1">IF(Table2[[#This Row],[Team]]="FA",0,Table2[[#This Row],[Pts/G]]*(Table2[[#This Row],[Games Playable]]/82))</f>
        <v>2.0975609756097562</v>
      </c>
      <c r="M792" s="95" cm="1">
        <f t="array" aca="1" ref="M792" ca="1">Table2[[#This Row],[Playable x Score]]*_xlfn.IFS(Table2[[#This Row],[Pos]]="D",assumptions!$B$15,Table2[[#This Row],[Pos]]="F", assumptions!$B$14,Table2[[#This Row],[Pos]]="G",assumptions!$B$16)</f>
        <v>2.6219512195121952</v>
      </c>
    </row>
    <row r="793" spans="1:13" x14ac:dyDescent="0.3">
      <c r="A793">
        <f>'score estimates'!$A793</f>
        <v>790</v>
      </c>
      <c r="B793" t="str">
        <f>'score estimates'!$B793</f>
        <v>Josh Mahura</v>
      </c>
      <c r="C793" t="str">
        <f>'score estimates'!$D793</f>
        <v>D</v>
      </c>
      <c r="D793" t="str">
        <f>'score estimates'!$C793</f>
        <v>ANH</v>
      </c>
      <c r="E793" s="75">
        <f>'score estimates'!$F793</f>
        <v>1.4512195121951219</v>
      </c>
      <c r="F793" s="71">
        <f>'score estimates'!$G793</f>
        <v>886</v>
      </c>
      <c r="G793" s="71" t="s">
        <v>983</v>
      </c>
      <c r="H793" s="72" cm="1">
        <f t="array" aca="1" ref="H79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93" s="96">
        <f ca="1">IF(Table2[[#This Row],[Team]]="FA",0,Table2[[#This Row],[Pts/G]]*(1-Table2[[#This Row],[% Pos Overlap]]))</f>
        <v>1.4512195121951219</v>
      </c>
      <c r="J793" s="72" cm="1">
        <f t="array" aca="1" ref="J793" ca="1">(INDIRECT(ADDRESS((_xlfn.XMATCH(Table2[[#This Row],[Team]],Schedule!$A$1:$A$33)),5,1,1,"Sched Overlap")))</f>
        <v>0.56410256410256399</v>
      </c>
      <c r="K793" s="92" cm="1">
        <f t="array" aca="1" ref="K79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93" s="95">
        <f ca="1">IF(Table2[[#This Row],[Team]]="FA",0,Table2[[#This Row],[Pts/G]]*(Table2[[#This Row],[Games Playable]]/82))</f>
        <v>1.4512195121951219</v>
      </c>
      <c r="M793" s="95" cm="1">
        <f t="array" aca="1" ref="M793" ca="1">Table2[[#This Row],[Playable x Score]]*_xlfn.IFS(Table2[[#This Row],[Pos]]="D",assumptions!$B$15,Table2[[#This Row],[Pos]]="F", assumptions!$B$14,Table2[[#This Row],[Pos]]="G",assumptions!$B$16)</f>
        <v>1.8140243902439024</v>
      </c>
    </row>
    <row r="794" spans="1:13" x14ac:dyDescent="0.3">
      <c r="A794">
        <f>'score estimates'!$A794</f>
        <v>791</v>
      </c>
      <c r="B794" t="str">
        <f>'score estimates'!$B794</f>
        <v>William Lockwood</v>
      </c>
      <c r="C794" t="str">
        <f>'score estimates'!$D794</f>
        <v>F</v>
      </c>
      <c r="D794" t="str">
        <f>'score estimates'!$C794</f>
        <v>VAN</v>
      </c>
      <c r="E794" s="75">
        <f>'score estimates'!$F794</f>
        <v>2.8170731707317072</v>
      </c>
      <c r="F794" s="71">
        <f>'score estimates'!$G794</f>
        <v>807</v>
      </c>
      <c r="G794" s="71" t="s">
        <v>983</v>
      </c>
      <c r="H794" s="72" cm="1">
        <f t="array" aca="1" ref="H79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94" s="96">
        <f ca="1">IF(Table2[[#This Row],[Team]]="FA",0,Table2[[#This Row],[Pts/G]]*(1-Table2[[#This Row],[% Pos Overlap]]))</f>
        <v>2.8170731707317072</v>
      </c>
      <c r="J794" s="72" cm="1">
        <f t="array" aca="1" ref="J794" ca="1">(INDIRECT(ADDRESS((_xlfn.XMATCH(Table2[[#This Row],[Team]],Schedule!$A$1:$A$33)),5,1,1,"Sched Overlap")))</f>
        <v>0.62922262922262917</v>
      </c>
      <c r="K794" s="92" cm="1">
        <f t="array" aca="1" ref="K79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94" s="95">
        <f ca="1">IF(Table2[[#This Row],[Team]]="FA",0,Table2[[#This Row],[Pts/G]]*(Table2[[#This Row],[Games Playable]]/82))</f>
        <v>2.8170731707317072</v>
      </c>
      <c r="M794" s="95" cm="1">
        <f t="array" aca="1" ref="M794" ca="1">Table2[[#This Row],[Playable x Score]]*_xlfn.IFS(Table2[[#This Row],[Pos]]="D",assumptions!$B$15,Table2[[#This Row],[Pos]]="F", assumptions!$B$14,Table2[[#This Row],[Pos]]="G",assumptions!$B$16)</f>
        <v>2.8170731707317072</v>
      </c>
    </row>
    <row r="795" spans="1:13" x14ac:dyDescent="0.3">
      <c r="A795">
        <f>'score estimates'!$A795</f>
        <v>792</v>
      </c>
      <c r="B795" t="str">
        <f>'score estimates'!$B795</f>
        <v>Dennis Cholowski</v>
      </c>
      <c r="C795" t="str">
        <f>'score estimates'!$D795</f>
        <v>D</v>
      </c>
      <c r="D795" t="str">
        <f>'score estimates'!$C795</f>
        <v>NYI</v>
      </c>
      <c r="E795" s="75">
        <f>'score estimates'!$F795</f>
        <v>1.3170731707317074</v>
      </c>
      <c r="F795" s="71">
        <f>'score estimates'!$G795</f>
        <v>898</v>
      </c>
      <c r="G795" s="71" t="s">
        <v>983</v>
      </c>
      <c r="H795" s="72" cm="1">
        <f t="array" aca="1" ref="H79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95" s="96">
        <f ca="1">IF(Table2[[#This Row],[Team]]="FA",0,Table2[[#This Row],[Pts/G]]*(1-Table2[[#This Row],[% Pos Overlap]]))</f>
        <v>1.3170731707317074</v>
      </c>
      <c r="J795" s="72" cm="1">
        <f t="array" aca="1" ref="J795" ca="1">(INDIRECT(ADDRESS((_xlfn.XMATCH(Table2[[#This Row],[Team]],Schedule!$A$1:$A$33)),5,1,1,"Sched Overlap")))</f>
        <v>0.63166463166463194</v>
      </c>
      <c r="K795" s="92" cm="1">
        <f t="array" aca="1" ref="K79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95" s="95">
        <f ca="1">IF(Table2[[#This Row],[Team]]="FA",0,Table2[[#This Row],[Pts/G]]*(Table2[[#This Row],[Games Playable]]/82))</f>
        <v>1.3170731707317074</v>
      </c>
      <c r="M795" s="95" cm="1">
        <f t="array" aca="1" ref="M795" ca="1">Table2[[#This Row],[Playable x Score]]*_xlfn.IFS(Table2[[#This Row],[Pos]]="D",assumptions!$B$15,Table2[[#This Row],[Pos]]="F", assumptions!$B$14,Table2[[#This Row],[Pos]]="G",assumptions!$B$16)</f>
        <v>1.6463414634146343</v>
      </c>
    </row>
    <row r="796" spans="1:13" x14ac:dyDescent="0.3">
      <c r="A796">
        <f>'score estimates'!$A796</f>
        <v>793</v>
      </c>
      <c r="B796" t="str">
        <f>'score estimates'!$B796</f>
        <v>Jonas Rondbjerg</v>
      </c>
      <c r="C796" t="str">
        <f>'score estimates'!$D796</f>
        <v>F</v>
      </c>
      <c r="D796" t="str">
        <f>'score estimates'!$C796</f>
        <v>VGK</v>
      </c>
      <c r="E796" s="75">
        <f>'score estimates'!$F796</f>
        <v>2.3536585365853657</v>
      </c>
      <c r="F796" s="71">
        <f>'score estimates'!$G796</f>
        <v>832</v>
      </c>
      <c r="G796" s="71" t="s">
        <v>983</v>
      </c>
      <c r="H796" s="72" cm="1">
        <f t="array" aca="1" ref="H79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96" s="96">
        <f ca="1">IF(Table2[[#This Row],[Team]]="FA",0,Table2[[#This Row],[Pts/G]]*(1-Table2[[#This Row],[% Pos Overlap]]))</f>
        <v>2.3536585365853657</v>
      </c>
      <c r="J796" s="72" cm="1">
        <f t="array" aca="1" ref="J796" ca="1">(INDIRECT(ADDRESS((_xlfn.XMATCH(Table2[[#This Row],[Team]],Schedule!$A$1:$A$33)),5,1,1,"Sched Overlap")))</f>
        <v>0.66992266992266991</v>
      </c>
      <c r="K796" s="92" cm="1">
        <f t="array" aca="1" ref="K79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96" s="95">
        <f ca="1">IF(Table2[[#This Row],[Team]]="FA",0,Table2[[#This Row],[Pts/G]]*(Table2[[#This Row],[Games Playable]]/82))</f>
        <v>2.3536585365853657</v>
      </c>
      <c r="M796" s="95" cm="1">
        <f t="array" aca="1" ref="M796" ca="1">Table2[[#This Row],[Playable x Score]]*_xlfn.IFS(Table2[[#This Row],[Pos]]="D",assumptions!$B$15,Table2[[#This Row],[Pos]]="F", assumptions!$B$14,Table2[[#This Row],[Pos]]="G",assumptions!$B$16)</f>
        <v>2.3536585365853657</v>
      </c>
    </row>
    <row r="797" spans="1:13" x14ac:dyDescent="0.3">
      <c r="A797">
        <f>'score estimates'!$A797</f>
        <v>794</v>
      </c>
      <c r="B797" t="str">
        <f>'score estimates'!$B797</f>
        <v>Kole Lind</v>
      </c>
      <c r="C797" t="str">
        <f>'score estimates'!$D797</f>
        <v>F</v>
      </c>
      <c r="D797" t="str">
        <f>'score estimates'!$C797</f>
        <v>SEA</v>
      </c>
      <c r="E797" s="75">
        <f>'score estimates'!$F797</f>
        <v>1.2926829268292683</v>
      </c>
      <c r="F797" s="71">
        <f>'score estimates'!$G797</f>
        <v>901</v>
      </c>
      <c r="G797" s="71" t="s">
        <v>983</v>
      </c>
      <c r="H797" s="72" cm="1">
        <f t="array" aca="1" ref="H79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97" s="96">
        <f ca="1">IF(Table2[[#This Row],[Team]]="FA",0,Table2[[#This Row],[Pts/G]]*(1-Table2[[#This Row],[% Pos Overlap]]))</f>
        <v>1.2926829268292683</v>
      </c>
      <c r="J797" s="72" cm="1">
        <f t="array" aca="1" ref="J797" ca="1">(INDIRECT(ADDRESS((_xlfn.XMATCH(Table2[[#This Row],[Team]],Schedule!$A$1:$A$33)),5,1,1,"Sched Overlap")))</f>
        <v>0.63085063085063087</v>
      </c>
      <c r="K797" s="92" cm="1">
        <f t="array" aca="1" ref="K79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97" s="95">
        <f ca="1">IF(Table2[[#This Row],[Team]]="FA",0,Table2[[#This Row],[Pts/G]]*(Table2[[#This Row],[Games Playable]]/82))</f>
        <v>1.2926829268292683</v>
      </c>
      <c r="M797" s="95" cm="1">
        <f t="array" aca="1" ref="M797" ca="1">Table2[[#This Row],[Playable x Score]]*_xlfn.IFS(Table2[[#This Row],[Pos]]="D",assumptions!$B$15,Table2[[#This Row],[Pos]]="F", assumptions!$B$14,Table2[[#This Row],[Pos]]="G",assumptions!$B$16)</f>
        <v>1.2926829268292683</v>
      </c>
    </row>
    <row r="798" spans="1:13" x14ac:dyDescent="0.3">
      <c r="A798">
        <f>'score estimates'!$A798</f>
        <v>795</v>
      </c>
      <c r="B798" t="str">
        <f>'score estimates'!$B798</f>
        <v>Colton White</v>
      </c>
      <c r="C798" t="str">
        <f>'score estimates'!$D798</f>
        <v>D</v>
      </c>
      <c r="D798" t="str">
        <f>'score estimates'!$C798</f>
        <v>ANH</v>
      </c>
      <c r="E798" s="75">
        <f>'score estimates'!$F798</f>
        <v>1.7195121951219512</v>
      </c>
      <c r="F798" s="71">
        <f>'score estimates'!$G798</f>
        <v>867</v>
      </c>
      <c r="G798" s="71" t="s">
        <v>983</v>
      </c>
      <c r="H798" s="72" cm="1">
        <f t="array" aca="1" ref="H79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98" s="96">
        <f ca="1">IF(Table2[[#This Row],[Team]]="FA",0,Table2[[#This Row],[Pts/G]]*(1-Table2[[#This Row],[% Pos Overlap]]))</f>
        <v>1.7195121951219512</v>
      </c>
      <c r="J798" s="72" cm="1">
        <f t="array" aca="1" ref="J798" ca="1">(INDIRECT(ADDRESS((_xlfn.XMATCH(Table2[[#This Row],[Team]],Schedule!$A$1:$A$33)),5,1,1,"Sched Overlap")))</f>
        <v>0.56410256410256399</v>
      </c>
      <c r="K798" s="92" cm="1">
        <f t="array" aca="1" ref="K79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98" s="95">
        <f ca="1">IF(Table2[[#This Row],[Team]]="FA",0,Table2[[#This Row],[Pts/G]]*(Table2[[#This Row],[Games Playable]]/82))</f>
        <v>1.7195121951219512</v>
      </c>
      <c r="M798" s="95" cm="1">
        <f t="array" aca="1" ref="M798" ca="1">Table2[[#This Row],[Playable x Score]]*_xlfn.IFS(Table2[[#This Row],[Pos]]="D",assumptions!$B$15,Table2[[#This Row],[Pos]]="F", assumptions!$B$14,Table2[[#This Row],[Pos]]="G",assumptions!$B$16)</f>
        <v>2.149390243902439</v>
      </c>
    </row>
    <row r="799" spans="1:13" x14ac:dyDescent="0.3">
      <c r="A799">
        <f>'score estimates'!$A799</f>
        <v>796</v>
      </c>
      <c r="B799" t="str">
        <f>'score estimates'!$B799</f>
        <v>Gavin Bayreuther</v>
      </c>
      <c r="C799" t="str">
        <f>'score estimates'!$D799</f>
        <v>D</v>
      </c>
      <c r="D799" t="str">
        <f>'score estimates'!$C799</f>
        <v>CLS</v>
      </c>
      <c r="E799" s="75">
        <f>'score estimates'!$F799</f>
        <v>2.5975609756097562</v>
      </c>
      <c r="F799" s="71">
        <f>'score estimates'!$G799</f>
        <v>820</v>
      </c>
      <c r="G799" s="71" t="s">
        <v>983</v>
      </c>
      <c r="H799" s="72" cm="1">
        <f t="array" aca="1" ref="H79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799" s="96">
        <f ca="1">IF(Table2[[#This Row],[Team]]="FA",0,Table2[[#This Row],[Pts/G]]*(1-Table2[[#This Row],[% Pos Overlap]]))</f>
        <v>2.5975609756097562</v>
      </c>
      <c r="J799" s="72" cm="1">
        <f t="array" aca="1" ref="J799" ca="1">(INDIRECT(ADDRESS((_xlfn.XMATCH(Table2[[#This Row],[Team]],Schedule!$A$1:$A$33)),5,1,1,"Sched Overlap")))</f>
        <v>0.64875864875864886</v>
      </c>
      <c r="K799" s="92" cm="1">
        <f t="array" aca="1" ref="K79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799" s="95">
        <f ca="1">IF(Table2[[#This Row],[Team]]="FA",0,Table2[[#This Row],[Pts/G]]*(Table2[[#This Row],[Games Playable]]/82))</f>
        <v>2.5975609756097562</v>
      </c>
      <c r="M799" s="95" cm="1">
        <f t="array" aca="1" ref="M799" ca="1">Table2[[#This Row],[Playable x Score]]*_xlfn.IFS(Table2[[#This Row],[Pos]]="D",assumptions!$B$15,Table2[[#This Row],[Pos]]="F", assumptions!$B$14,Table2[[#This Row],[Pos]]="G",assumptions!$B$16)</f>
        <v>3.2469512195121952</v>
      </c>
    </row>
    <row r="800" spans="1:13" x14ac:dyDescent="0.3">
      <c r="A800">
        <f>'score estimates'!$A800</f>
        <v>797</v>
      </c>
      <c r="B800" t="str">
        <f>'score estimates'!$B800</f>
        <v>Tucker Poolman</v>
      </c>
      <c r="C800" t="str">
        <f>'score estimates'!$D800</f>
        <v>D</v>
      </c>
      <c r="D800" t="str">
        <f>'score estimates'!$C800</f>
        <v>VAN</v>
      </c>
      <c r="E800" s="75">
        <f>'score estimates'!$F800</f>
        <v>3.3292682926829267</v>
      </c>
      <c r="F800" s="71">
        <f>'score estimates'!$G800</f>
        <v>783</v>
      </c>
      <c r="G800" s="71" t="s">
        <v>983</v>
      </c>
      <c r="H800" s="72" cm="1">
        <f t="array" aca="1" ref="H80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00" s="96">
        <f ca="1">IF(Table2[[#This Row],[Team]]="FA",0,Table2[[#This Row],[Pts/G]]*(1-Table2[[#This Row],[% Pos Overlap]]))</f>
        <v>3.3292682926829267</v>
      </c>
      <c r="J800" s="72" cm="1">
        <f t="array" aca="1" ref="J800" ca="1">(INDIRECT(ADDRESS((_xlfn.XMATCH(Table2[[#This Row],[Team]],Schedule!$A$1:$A$33)),5,1,1,"Sched Overlap")))</f>
        <v>0.62922262922262917</v>
      </c>
      <c r="K800" s="92" cm="1">
        <f t="array" aca="1" ref="K80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00" s="95">
        <f ca="1">IF(Table2[[#This Row],[Team]]="FA",0,Table2[[#This Row],[Pts/G]]*(Table2[[#This Row],[Games Playable]]/82))</f>
        <v>3.3292682926829267</v>
      </c>
      <c r="M800" s="95" cm="1">
        <f t="array" aca="1" ref="M800" ca="1">Table2[[#This Row],[Playable x Score]]*_xlfn.IFS(Table2[[#This Row],[Pos]]="D",assumptions!$B$15,Table2[[#This Row],[Pos]]="F", assumptions!$B$14,Table2[[#This Row],[Pos]]="G",assumptions!$B$16)</f>
        <v>4.1615853658536581</v>
      </c>
    </row>
    <row r="801" spans="1:13" x14ac:dyDescent="0.3">
      <c r="A801">
        <f>'score estimates'!$A801</f>
        <v>798</v>
      </c>
      <c r="B801" t="str">
        <f>'score estimates'!$B801</f>
        <v>Connor Bunnaman</v>
      </c>
      <c r="C801" t="str">
        <f>'score estimates'!$D801</f>
        <v>F</v>
      </c>
      <c r="D801" t="str">
        <f>'score estimates'!$C801</f>
        <v>FLA</v>
      </c>
      <c r="E801" s="75">
        <f>'score estimates'!$F801</f>
        <v>1.1097560975609757</v>
      </c>
      <c r="F801" s="71">
        <f>'score estimates'!$G801</f>
        <v>925</v>
      </c>
      <c r="G801" s="71" t="s">
        <v>983</v>
      </c>
      <c r="H801" s="72" cm="1">
        <f t="array" aca="1" ref="H80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01" s="96">
        <f ca="1">IF(Table2[[#This Row],[Team]]="FA",0,Table2[[#This Row],[Pts/G]]*(1-Table2[[#This Row],[% Pos Overlap]]))</f>
        <v>1.1097560975609757</v>
      </c>
      <c r="J801" s="72" cm="1">
        <f t="array" aca="1" ref="J801" ca="1">(INDIRECT(ADDRESS((_xlfn.XMATCH(Table2[[#This Row],[Team]],Schedule!$A$1:$A$33)),5,1,1,"Sched Overlap")))</f>
        <v>0.64387464387464377</v>
      </c>
      <c r="K801" s="92" cm="1">
        <f t="array" aca="1" ref="K80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01" s="95">
        <f ca="1">IF(Table2[[#This Row],[Team]]="FA",0,Table2[[#This Row],[Pts/G]]*(Table2[[#This Row],[Games Playable]]/82))</f>
        <v>1.1097560975609757</v>
      </c>
      <c r="M801" s="95" cm="1">
        <f t="array" aca="1" ref="M801" ca="1">Table2[[#This Row],[Playable x Score]]*_xlfn.IFS(Table2[[#This Row],[Pos]]="D",assumptions!$B$15,Table2[[#This Row],[Pos]]="F", assumptions!$B$14,Table2[[#This Row],[Pos]]="G",assumptions!$B$16)</f>
        <v>1.1097560975609757</v>
      </c>
    </row>
    <row r="802" spans="1:13" x14ac:dyDescent="0.3">
      <c r="A802">
        <f>'score estimates'!$A802</f>
        <v>799</v>
      </c>
      <c r="B802" t="str">
        <f>'score estimates'!$B802</f>
        <v>Jonny Brodzinski</v>
      </c>
      <c r="C802" t="str">
        <f>'score estimates'!$D802</f>
        <v>F</v>
      </c>
      <c r="D802" t="str">
        <f>'score estimates'!$C802</f>
        <v>NYR</v>
      </c>
      <c r="E802" s="75">
        <f>'score estimates'!$F802</f>
        <v>2.8170731707317072</v>
      </c>
      <c r="F802" s="71">
        <f>'score estimates'!$G802</f>
        <v>807</v>
      </c>
      <c r="G802" s="71" t="s">
        <v>983</v>
      </c>
      <c r="H802" s="72" cm="1">
        <f t="array" aca="1" ref="H80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02" s="96">
        <f ca="1">IF(Table2[[#This Row],[Team]]="FA",0,Table2[[#This Row],[Pts/G]]*(1-Table2[[#This Row],[% Pos Overlap]]))</f>
        <v>2.8170731707317072</v>
      </c>
      <c r="J802" s="72" cm="1">
        <f t="array" aca="1" ref="J802" ca="1">(INDIRECT(ADDRESS((_xlfn.XMATCH(Table2[[#This Row],[Team]],Schedule!$A$1:$A$33)),5,1,1,"Sched Overlap")))</f>
        <v>0.60236060236060229</v>
      </c>
      <c r="K802" s="92" cm="1">
        <f t="array" aca="1" ref="K80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02" s="95">
        <f ca="1">IF(Table2[[#This Row],[Team]]="FA",0,Table2[[#This Row],[Pts/G]]*(Table2[[#This Row],[Games Playable]]/82))</f>
        <v>2.8170731707317072</v>
      </c>
      <c r="M802" s="95" cm="1">
        <f t="array" aca="1" ref="M802" ca="1">Table2[[#This Row],[Playable x Score]]*_xlfn.IFS(Table2[[#This Row],[Pos]]="D",assumptions!$B$15,Table2[[#This Row],[Pos]]="F", assumptions!$B$14,Table2[[#This Row],[Pos]]="G",assumptions!$B$16)</f>
        <v>2.8170731707317072</v>
      </c>
    </row>
    <row r="803" spans="1:13" x14ac:dyDescent="0.3">
      <c r="A803">
        <f>'score estimates'!$A803</f>
        <v>800</v>
      </c>
      <c r="B803" t="str">
        <f>'score estimates'!$B803</f>
        <v>Nolan Patrick</v>
      </c>
      <c r="C803" t="str">
        <f>'score estimates'!$D803</f>
        <v>F</v>
      </c>
      <c r="D803" t="str">
        <f>'score estimates'!$C803</f>
        <v>VGK</v>
      </c>
      <c r="E803" s="75">
        <f>'score estimates'!$F803</f>
        <v>1.2195121951219512</v>
      </c>
      <c r="F803" s="71">
        <f>'score estimates'!$G803</f>
        <v>912</v>
      </c>
      <c r="G803" s="71" t="s">
        <v>983</v>
      </c>
      <c r="H803" s="72" cm="1">
        <f t="array" aca="1" ref="H80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03" s="96">
        <f ca="1">IF(Table2[[#This Row],[Team]]="FA",0,Table2[[#This Row],[Pts/G]]*(1-Table2[[#This Row],[% Pos Overlap]]))</f>
        <v>1.2195121951219512</v>
      </c>
      <c r="J803" s="72" cm="1">
        <f t="array" aca="1" ref="J803" ca="1">(INDIRECT(ADDRESS((_xlfn.XMATCH(Table2[[#This Row],[Team]],Schedule!$A$1:$A$33)),5,1,1,"Sched Overlap")))</f>
        <v>0.66992266992266991</v>
      </c>
      <c r="K803" s="92" cm="1">
        <f t="array" aca="1" ref="K80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03" s="95">
        <f ca="1">IF(Table2[[#This Row],[Team]]="FA",0,Table2[[#This Row],[Pts/G]]*(Table2[[#This Row],[Games Playable]]/82))</f>
        <v>1.2195121951219512</v>
      </c>
      <c r="M803" s="95" cm="1">
        <f t="array" aca="1" ref="M803" ca="1">Table2[[#This Row],[Playable x Score]]*_xlfn.IFS(Table2[[#This Row],[Pos]]="D",assumptions!$B$15,Table2[[#This Row],[Pos]]="F", assumptions!$B$14,Table2[[#This Row],[Pos]]="G",assumptions!$B$16)</f>
        <v>1.2195121951219512</v>
      </c>
    </row>
    <row r="804" spans="1:13" x14ac:dyDescent="0.3">
      <c r="A804">
        <f>'score estimates'!$A804</f>
        <v>801</v>
      </c>
      <c r="B804" t="str">
        <f>'score estimates'!$B804</f>
        <v>Dylan Sikura</v>
      </c>
      <c r="C804" t="str">
        <f>'score estimates'!$D804</f>
        <v>F</v>
      </c>
      <c r="D804" t="str">
        <f>'score estimates'!$C804</f>
        <v>CHI</v>
      </c>
      <c r="E804" s="75">
        <f>'score estimates'!$F804</f>
        <v>1.2560975609756098</v>
      </c>
      <c r="F804" s="71">
        <f>'score estimates'!$G804</f>
        <v>905</v>
      </c>
      <c r="G804" s="71" t="s">
        <v>983</v>
      </c>
      <c r="H804" s="72" cm="1">
        <f t="array" aca="1" ref="H80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04" s="96">
        <f ca="1">IF(Table2[[#This Row],[Team]]="FA",0,Table2[[#This Row],[Pts/G]]*(1-Table2[[#This Row],[% Pos Overlap]]))</f>
        <v>1.2560975609756098</v>
      </c>
      <c r="J804" s="72" cm="1">
        <f t="array" aca="1" ref="J804" ca="1">(INDIRECT(ADDRESS((_xlfn.XMATCH(Table2[[#This Row],[Team]],Schedule!$A$1:$A$33)),5,1,1,"Sched Overlap")))</f>
        <v>0.6243386243386243</v>
      </c>
      <c r="K804" s="92" cm="1">
        <f t="array" aca="1" ref="K80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04" s="95">
        <f ca="1">IF(Table2[[#This Row],[Team]]="FA",0,Table2[[#This Row],[Pts/G]]*(Table2[[#This Row],[Games Playable]]/82))</f>
        <v>1.2560975609756098</v>
      </c>
      <c r="M804" s="95" cm="1">
        <f t="array" aca="1" ref="M804" ca="1">Table2[[#This Row],[Playable x Score]]*_xlfn.IFS(Table2[[#This Row],[Pos]]="D",assumptions!$B$15,Table2[[#This Row],[Pos]]="F", assumptions!$B$14,Table2[[#This Row],[Pos]]="G",assumptions!$B$16)</f>
        <v>1.2560975609756098</v>
      </c>
    </row>
    <row r="805" spans="1:13" x14ac:dyDescent="0.3">
      <c r="A805">
        <f>'score estimates'!$A805</f>
        <v>802</v>
      </c>
      <c r="B805" t="str">
        <f>'score estimates'!$B805</f>
        <v>Jacob MacDonald</v>
      </c>
      <c r="C805" t="str">
        <f>'score estimates'!$D805</f>
        <v>D</v>
      </c>
      <c r="D805" t="str">
        <f>'score estimates'!$C805</f>
        <v>COL</v>
      </c>
      <c r="E805" s="75">
        <f>'score estimates'!$F805</f>
        <v>3.3902439024390243</v>
      </c>
      <c r="F805" s="71">
        <f>'score estimates'!$G805</f>
        <v>782</v>
      </c>
      <c r="G805" s="71" t="s">
        <v>983</v>
      </c>
      <c r="H805" s="72" cm="1">
        <f t="array" aca="1" ref="H80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05" s="96">
        <f ca="1">IF(Table2[[#This Row],[Team]]="FA",0,Table2[[#This Row],[Pts/G]]*(1-Table2[[#This Row],[% Pos Overlap]]))</f>
        <v>3.3902439024390243</v>
      </c>
      <c r="J805" s="72" cm="1">
        <f t="array" aca="1" ref="J805" ca="1">(INDIRECT(ADDRESS((_xlfn.XMATCH(Table2[[#This Row],[Team]],Schedule!$A$1:$A$33)),5,1,1,"Sched Overlap")))</f>
        <v>0.61131461131461151</v>
      </c>
      <c r="K805" s="92" cm="1">
        <f t="array" aca="1" ref="K80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05" s="95">
        <f ca="1">IF(Table2[[#This Row],[Team]]="FA",0,Table2[[#This Row],[Pts/G]]*(Table2[[#This Row],[Games Playable]]/82))</f>
        <v>3.3902439024390243</v>
      </c>
      <c r="M805" s="95" cm="1">
        <f t="array" aca="1" ref="M805" ca="1">Table2[[#This Row],[Playable x Score]]*_xlfn.IFS(Table2[[#This Row],[Pos]]="D",assumptions!$B$15,Table2[[#This Row],[Pos]]="F", assumptions!$B$14,Table2[[#This Row],[Pos]]="G",assumptions!$B$16)</f>
        <v>4.23780487804878</v>
      </c>
    </row>
    <row r="806" spans="1:13" x14ac:dyDescent="0.3">
      <c r="A806">
        <f>'score estimates'!$A806</f>
        <v>803</v>
      </c>
      <c r="B806" t="str">
        <f>'score estimates'!$B806</f>
        <v>Wyatt Kalynuk</v>
      </c>
      <c r="C806" t="str">
        <f>'score estimates'!$D806</f>
        <v>D</v>
      </c>
      <c r="D806" t="str">
        <f>'score estimates'!$C806</f>
        <v>VAN</v>
      </c>
      <c r="E806" s="75">
        <f>'score estimates'!$F806</f>
        <v>1.4146341463414633</v>
      </c>
      <c r="F806" s="71">
        <f>'score estimates'!$G806</f>
        <v>888</v>
      </c>
      <c r="G806" s="71" t="s">
        <v>983</v>
      </c>
      <c r="H806" s="72" cm="1">
        <f t="array" aca="1" ref="H80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06" s="96">
        <f ca="1">IF(Table2[[#This Row],[Team]]="FA",0,Table2[[#This Row],[Pts/G]]*(1-Table2[[#This Row],[% Pos Overlap]]))</f>
        <v>1.4146341463414633</v>
      </c>
      <c r="J806" s="72" cm="1">
        <f t="array" aca="1" ref="J806" ca="1">(INDIRECT(ADDRESS((_xlfn.XMATCH(Table2[[#This Row],[Team]],Schedule!$A$1:$A$33)),5,1,1,"Sched Overlap")))</f>
        <v>0.62922262922262917</v>
      </c>
      <c r="K806" s="92" cm="1">
        <f t="array" aca="1" ref="K80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06" s="95">
        <f ca="1">IF(Table2[[#This Row],[Team]]="FA",0,Table2[[#This Row],[Pts/G]]*(Table2[[#This Row],[Games Playable]]/82))</f>
        <v>1.4146341463414633</v>
      </c>
      <c r="M806" s="95" cm="1">
        <f t="array" aca="1" ref="M806" ca="1">Table2[[#This Row],[Playable x Score]]*_xlfn.IFS(Table2[[#This Row],[Pos]]="D",assumptions!$B$15,Table2[[#This Row],[Pos]]="F", assumptions!$B$14,Table2[[#This Row],[Pos]]="G",assumptions!$B$16)</f>
        <v>1.7682926829268291</v>
      </c>
    </row>
    <row r="807" spans="1:13" x14ac:dyDescent="0.3">
      <c r="A807">
        <f>'score estimates'!$A807</f>
        <v>804</v>
      </c>
      <c r="B807" t="str">
        <f>'score estimates'!$B807</f>
        <v>Trey Fix-Wolansky</v>
      </c>
      <c r="C807" t="str">
        <f>'score estimates'!$D807</f>
        <v>F</v>
      </c>
      <c r="D807" t="str">
        <f>'score estimates'!$C807</f>
        <v>CLS</v>
      </c>
      <c r="E807" s="75">
        <f>'score estimates'!$F807</f>
        <v>1.3536585365853659</v>
      </c>
      <c r="F807" s="71">
        <f>'score estimates'!$G807</f>
        <v>893</v>
      </c>
      <c r="G807" s="71" t="s">
        <v>983</v>
      </c>
      <c r="H807" s="72" cm="1">
        <f t="array" aca="1" ref="H80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07" s="96">
        <f ca="1">IF(Table2[[#This Row],[Team]]="FA",0,Table2[[#This Row],[Pts/G]]*(1-Table2[[#This Row],[% Pos Overlap]]))</f>
        <v>1.3536585365853659</v>
      </c>
      <c r="J807" s="72" cm="1">
        <f t="array" aca="1" ref="J807" ca="1">(INDIRECT(ADDRESS((_xlfn.XMATCH(Table2[[#This Row],[Team]],Schedule!$A$1:$A$33)),5,1,1,"Sched Overlap")))</f>
        <v>0.64875864875864886</v>
      </c>
      <c r="K807" s="92" cm="1">
        <f t="array" aca="1" ref="K80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07" s="95">
        <f ca="1">IF(Table2[[#This Row],[Team]]="FA",0,Table2[[#This Row],[Pts/G]]*(Table2[[#This Row],[Games Playable]]/82))</f>
        <v>1.3536585365853659</v>
      </c>
      <c r="M807" s="95" cm="1">
        <f t="array" aca="1" ref="M807" ca="1">Table2[[#This Row],[Playable x Score]]*_xlfn.IFS(Table2[[#This Row],[Pos]]="D",assumptions!$B$15,Table2[[#This Row],[Pos]]="F", assumptions!$B$14,Table2[[#This Row],[Pos]]="G",assumptions!$B$16)</f>
        <v>1.3536585365853659</v>
      </c>
    </row>
    <row r="808" spans="1:13" x14ac:dyDescent="0.3">
      <c r="A808">
        <f>'score estimates'!$A808</f>
        <v>805</v>
      </c>
      <c r="B808" t="str">
        <f>'score estimates'!$B808</f>
        <v>Mackenzie MacEachern</v>
      </c>
      <c r="C808" t="str">
        <f>'score estimates'!$D808</f>
        <v>F</v>
      </c>
      <c r="D808" t="str">
        <f>'score estimates'!$C808</f>
        <v>CAR</v>
      </c>
      <c r="E808" s="75">
        <f>'score estimates'!$F808</f>
        <v>3.6951219512195124</v>
      </c>
      <c r="F808" s="71">
        <f>'score estimates'!$G808</f>
        <v>769</v>
      </c>
      <c r="G808" s="71" t="s">
        <v>983</v>
      </c>
      <c r="H808" s="72" cm="1">
        <f t="array" aca="1" ref="H80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08" s="96">
        <f ca="1">IF(Table2[[#This Row],[Team]]="FA",0,Table2[[#This Row],[Pts/G]]*(1-Table2[[#This Row],[% Pos Overlap]]))</f>
        <v>3.6951219512195124</v>
      </c>
      <c r="J808" s="72" cm="1">
        <f t="array" aca="1" ref="J808" ca="1">(INDIRECT(ADDRESS((_xlfn.XMATCH(Table2[[#This Row],[Team]],Schedule!$A$1:$A$33)),5,1,1,"Sched Overlap")))</f>
        <v>0.63247863247863245</v>
      </c>
      <c r="K808" s="92" cm="1">
        <f t="array" aca="1" ref="K80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08" s="95">
        <f ca="1">IF(Table2[[#This Row],[Team]]="FA",0,Table2[[#This Row],[Pts/G]]*(Table2[[#This Row],[Games Playable]]/82))</f>
        <v>3.6951219512195124</v>
      </c>
      <c r="M808" s="95" cm="1">
        <f t="array" aca="1" ref="M808" ca="1">Table2[[#This Row],[Playable x Score]]*_xlfn.IFS(Table2[[#This Row],[Pos]]="D",assumptions!$B$15,Table2[[#This Row],[Pos]]="F", assumptions!$B$14,Table2[[#This Row],[Pos]]="G",assumptions!$B$16)</f>
        <v>3.6951219512195124</v>
      </c>
    </row>
    <row r="809" spans="1:13" x14ac:dyDescent="0.3">
      <c r="A809">
        <f>'score estimates'!$A809</f>
        <v>806</v>
      </c>
      <c r="B809" t="str">
        <f>'score estimates'!$B809</f>
        <v>Alexander Alexeyev</v>
      </c>
      <c r="C809" t="str">
        <f>'score estimates'!$D809</f>
        <v>D</v>
      </c>
      <c r="D809" t="str">
        <f>'score estimates'!$C809</f>
        <v>WAS</v>
      </c>
      <c r="E809" s="75">
        <f>'score estimates'!$F809</f>
        <v>2.2560975609756095</v>
      </c>
      <c r="F809" s="71">
        <f>'score estimates'!$G809</f>
        <v>837</v>
      </c>
      <c r="G809" s="71" t="s">
        <v>983</v>
      </c>
      <c r="H809" s="72" cm="1">
        <f t="array" aca="1" ref="H80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09" s="96">
        <f ca="1">IF(Table2[[#This Row],[Team]]="FA",0,Table2[[#This Row],[Pts/G]]*(1-Table2[[#This Row],[% Pos Overlap]]))</f>
        <v>2.2560975609756095</v>
      </c>
      <c r="J809" s="72" cm="1">
        <f t="array" aca="1" ref="J809" ca="1">(INDIRECT(ADDRESS((_xlfn.XMATCH(Table2[[#This Row],[Team]],Schedule!$A$1:$A$33)),5,1,1,"Sched Overlap")))</f>
        <v>0.65282865282865288</v>
      </c>
      <c r="K809" s="92" cm="1">
        <f t="array" aca="1" ref="K80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09" s="95">
        <f ca="1">IF(Table2[[#This Row],[Team]]="FA",0,Table2[[#This Row],[Pts/G]]*(Table2[[#This Row],[Games Playable]]/82))</f>
        <v>2.2560975609756095</v>
      </c>
      <c r="M809" s="95" cm="1">
        <f t="array" aca="1" ref="M809" ca="1">Table2[[#This Row],[Playable x Score]]*_xlfn.IFS(Table2[[#This Row],[Pos]]="D",assumptions!$B$15,Table2[[#This Row],[Pos]]="F", assumptions!$B$14,Table2[[#This Row],[Pos]]="G",assumptions!$B$16)</f>
        <v>2.8201219512195119</v>
      </c>
    </row>
    <row r="810" spans="1:13" x14ac:dyDescent="0.3">
      <c r="A810">
        <f>'score estimates'!$A810</f>
        <v>807</v>
      </c>
      <c r="B810" t="str">
        <f>'score estimates'!$B810</f>
        <v>Gabriel Fortier</v>
      </c>
      <c r="C810" t="str">
        <f>'score estimates'!$D810</f>
        <v>F</v>
      </c>
      <c r="D810" t="str">
        <f>'score estimates'!$C810</f>
        <v>TB</v>
      </c>
      <c r="E810" s="75">
        <f>'score estimates'!$F810</f>
        <v>1.9146341463414633</v>
      </c>
      <c r="F810" s="71">
        <f>'score estimates'!$G810</f>
        <v>862</v>
      </c>
      <c r="G810" s="71" t="s">
        <v>983</v>
      </c>
      <c r="H810" s="72" cm="1">
        <f t="array" aca="1" ref="H81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10" s="96">
        <f ca="1">IF(Table2[[#This Row],[Team]]="FA",0,Table2[[#This Row],[Pts/G]]*(1-Table2[[#This Row],[% Pos Overlap]]))</f>
        <v>1.9146341463414633</v>
      </c>
      <c r="J810" s="72" cm="1">
        <f t="array" aca="1" ref="J810" ca="1">(INDIRECT(ADDRESS((_xlfn.XMATCH(Table2[[#This Row],[Team]],Schedule!$A$1:$A$33)),5,1,1,"Sched Overlap")))</f>
        <v>0.66422466422466431</v>
      </c>
      <c r="K810" s="92" cm="1">
        <f t="array" aca="1" ref="K81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10" s="95">
        <f ca="1">IF(Table2[[#This Row],[Team]]="FA",0,Table2[[#This Row],[Pts/G]]*(Table2[[#This Row],[Games Playable]]/82))</f>
        <v>1.9146341463414633</v>
      </c>
      <c r="M810" s="95" cm="1">
        <f t="array" aca="1" ref="M810" ca="1">Table2[[#This Row],[Playable x Score]]*_xlfn.IFS(Table2[[#This Row],[Pos]]="D",assumptions!$B$15,Table2[[#This Row],[Pos]]="F", assumptions!$B$14,Table2[[#This Row],[Pos]]="G",assumptions!$B$16)</f>
        <v>1.9146341463414633</v>
      </c>
    </row>
    <row r="811" spans="1:13" x14ac:dyDescent="0.3">
      <c r="A811">
        <f>'score estimates'!$A811</f>
        <v>808</v>
      </c>
      <c r="B811" t="str">
        <f>'score estimates'!$B811</f>
        <v>Jacob Bernard-Docker</v>
      </c>
      <c r="C811" t="str">
        <f>'score estimates'!$D811</f>
        <v>D</v>
      </c>
      <c r="D811" t="str">
        <f>'score estimates'!$C811</f>
        <v>OTT</v>
      </c>
      <c r="E811" s="75">
        <f>'score estimates'!$F811</f>
        <v>2.0121951219512195</v>
      </c>
      <c r="F811" s="71">
        <f>'score estimates'!$G811</f>
        <v>852</v>
      </c>
      <c r="G811" s="71" t="s">
        <v>983</v>
      </c>
      <c r="H811" s="72" cm="1">
        <f t="array" aca="1" ref="H81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11" s="96">
        <f ca="1">IF(Table2[[#This Row],[Team]]="FA",0,Table2[[#This Row],[Pts/G]]*(1-Table2[[#This Row],[% Pos Overlap]]))</f>
        <v>2.0121951219512195</v>
      </c>
      <c r="J811" s="72" cm="1">
        <f t="array" aca="1" ref="J811" ca="1">(INDIRECT(ADDRESS((_xlfn.XMATCH(Table2[[#This Row],[Team]],Schedule!$A$1:$A$33)),5,1,1,"Sched Overlap")))</f>
        <v>0.64306064306064303</v>
      </c>
      <c r="K811" s="92" cm="1">
        <f t="array" aca="1" ref="K81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11" s="95">
        <f ca="1">IF(Table2[[#This Row],[Team]]="FA",0,Table2[[#This Row],[Pts/G]]*(Table2[[#This Row],[Games Playable]]/82))</f>
        <v>2.0121951219512195</v>
      </c>
      <c r="M811" s="95" cm="1">
        <f t="array" aca="1" ref="M811" ca="1">Table2[[#This Row],[Playable x Score]]*_xlfn.IFS(Table2[[#This Row],[Pos]]="D",assumptions!$B$15,Table2[[#This Row],[Pos]]="F", assumptions!$B$14,Table2[[#This Row],[Pos]]="G",assumptions!$B$16)</f>
        <v>2.5152439024390243</v>
      </c>
    </row>
    <row r="812" spans="1:13" x14ac:dyDescent="0.3">
      <c r="A812">
        <f>'score estimates'!$A812</f>
        <v>809</v>
      </c>
      <c r="B812" t="str">
        <f>'score estimates'!$B812</f>
        <v>Simon Benoit</v>
      </c>
      <c r="C812" t="str">
        <f>'score estimates'!$D812</f>
        <v>D</v>
      </c>
      <c r="D812" t="str">
        <f>'score estimates'!$C812</f>
        <v>ANH</v>
      </c>
      <c r="E812" s="75">
        <f>'score estimates'!$F812</f>
        <v>3.4390243902439024</v>
      </c>
      <c r="F812" s="71">
        <f>'score estimates'!$G812</f>
        <v>779</v>
      </c>
      <c r="G812" s="71" t="s">
        <v>983</v>
      </c>
      <c r="H812" s="72" cm="1">
        <f t="array" aca="1" ref="H81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12" s="96">
        <f ca="1">IF(Table2[[#This Row],[Team]]="FA",0,Table2[[#This Row],[Pts/G]]*(1-Table2[[#This Row],[% Pos Overlap]]))</f>
        <v>3.4390243902439024</v>
      </c>
      <c r="J812" s="72" cm="1">
        <f t="array" aca="1" ref="J812" ca="1">(INDIRECT(ADDRESS((_xlfn.XMATCH(Table2[[#This Row],[Team]],Schedule!$A$1:$A$33)),5,1,1,"Sched Overlap")))</f>
        <v>0.56410256410256399</v>
      </c>
      <c r="K812" s="92" cm="1">
        <f t="array" aca="1" ref="K81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12" s="95">
        <f ca="1">IF(Table2[[#This Row],[Team]]="FA",0,Table2[[#This Row],[Pts/G]]*(Table2[[#This Row],[Games Playable]]/82))</f>
        <v>3.4390243902439024</v>
      </c>
      <c r="M812" s="95" cm="1">
        <f t="array" aca="1" ref="M812" ca="1">Table2[[#This Row],[Playable x Score]]*_xlfn.IFS(Table2[[#This Row],[Pos]]="D",assumptions!$B$15,Table2[[#This Row],[Pos]]="F", assumptions!$B$14,Table2[[#This Row],[Pos]]="G",assumptions!$B$16)</f>
        <v>4.2987804878048781</v>
      </c>
    </row>
    <row r="813" spans="1:13" x14ac:dyDescent="0.3">
      <c r="A813">
        <f>'score estimates'!$A813</f>
        <v>810</v>
      </c>
      <c r="B813" t="str">
        <f>'score estimates'!$B813</f>
        <v>Riley Damiani</v>
      </c>
      <c r="C813" t="str">
        <f>'score estimates'!$D813</f>
        <v>F</v>
      </c>
      <c r="D813" t="str">
        <f>'score estimates'!$C813</f>
        <v>DAL</v>
      </c>
      <c r="E813" s="75">
        <f>'score estimates'!$F813</f>
        <v>1.5487804878048781</v>
      </c>
      <c r="F813" s="71">
        <f>'score estimates'!$G813</f>
        <v>880</v>
      </c>
      <c r="G813" s="71" t="s">
        <v>983</v>
      </c>
      <c r="H813" s="72" cm="1">
        <f t="array" aca="1" ref="H81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13" s="96">
        <f ca="1">IF(Table2[[#This Row],[Team]]="FA",0,Table2[[#This Row],[Pts/G]]*(1-Table2[[#This Row],[% Pos Overlap]]))</f>
        <v>1.5487804878048781</v>
      </c>
      <c r="J813" s="72" cm="1">
        <f t="array" aca="1" ref="J813" ca="1">(INDIRECT(ADDRESS((_xlfn.XMATCH(Table2[[#This Row],[Team]],Schedule!$A$1:$A$33)),5,1,1,"Sched Overlap")))</f>
        <v>0.65364265364265373</v>
      </c>
      <c r="K813" s="92" cm="1">
        <f t="array" aca="1" ref="K81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13" s="95">
        <f ca="1">IF(Table2[[#This Row],[Team]]="FA",0,Table2[[#This Row],[Pts/G]]*(Table2[[#This Row],[Games Playable]]/82))</f>
        <v>1.5487804878048781</v>
      </c>
      <c r="M813" s="95" cm="1">
        <f t="array" aca="1" ref="M813" ca="1">Table2[[#This Row],[Playable x Score]]*_xlfn.IFS(Table2[[#This Row],[Pos]]="D",assumptions!$B$15,Table2[[#This Row],[Pos]]="F", assumptions!$B$14,Table2[[#This Row],[Pos]]="G",assumptions!$B$16)</f>
        <v>1.5487804878048781</v>
      </c>
    </row>
    <row r="814" spans="1:13" x14ac:dyDescent="0.3">
      <c r="A814">
        <f>'score estimates'!$A814</f>
        <v>811</v>
      </c>
      <c r="B814" t="str">
        <f>'score estimates'!$B814</f>
        <v>Jakub Galvas</v>
      </c>
      <c r="C814" t="str">
        <f>'score estimates'!$D814</f>
        <v>D</v>
      </c>
      <c r="D814" t="str">
        <f>'score estimates'!$C814</f>
        <v>CHI</v>
      </c>
      <c r="E814" s="75">
        <f>'score estimates'!$F814</f>
        <v>1.8048780487804879</v>
      </c>
      <c r="F814" s="71">
        <f>'score estimates'!$G814</f>
        <v>865</v>
      </c>
      <c r="G814" s="71" t="s">
        <v>983</v>
      </c>
      <c r="H814" s="72" cm="1">
        <f t="array" aca="1" ref="H81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14" s="96">
        <f ca="1">IF(Table2[[#This Row],[Team]]="FA",0,Table2[[#This Row],[Pts/G]]*(1-Table2[[#This Row],[% Pos Overlap]]))</f>
        <v>1.8048780487804879</v>
      </c>
      <c r="J814" s="72" cm="1">
        <f t="array" aca="1" ref="J814" ca="1">(INDIRECT(ADDRESS((_xlfn.XMATCH(Table2[[#This Row],[Team]],Schedule!$A$1:$A$33)),5,1,1,"Sched Overlap")))</f>
        <v>0.6243386243386243</v>
      </c>
      <c r="K814" s="92" cm="1">
        <f t="array" aca="1" ref="K81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14" s="95">
        <f ca="1">IF(Table2[[#This Row],[Team]]="FA",0,Table2[[#This Row],[Pts/G]]*(Table2[[#This Row],[Games Playable]]/82))</f>
        <v>1.8048780487804879</v>
      </c>
      <c r="M814" s="95" cm="1">
        <f t="array" aca="1" ref="M814" ca="1">Table2[[#This Row],[Playable x Score]]*_xlfn.IFS(Table2[[#This Row],[Pos]]="D",assumptions!$B$15,Table2[[#This Row],[Pos]]="F", assumptions!$B$14,Table2[[#This Row],[Pos]]="G",assumptions!$B$16)</f>
        <v>2.25609756097561</v>
      </c>
    </row>
    <row r="815" spans="1:13" x14ac:dyDescent="0.3">
      <c r="A815">
        <f>'score estimates'!$A815</f>
        <v>812</v>
      </c>
      <c r="B815" t="str">
        <f>'score estimates'!$B815</f>
        <v>Santeri Hatakka</v>
      </c>
      <c r="C815" t="str">
        <f>'score estimates'!$D815</f>
        <v>D</v>
      </c>
      <c r="D815" t="str">
        <f>'score estimates'!$C815</f>
        <v>SJ</v>
      </c>
      <c r="E815" s="75">
        <f>'score estimates'!$F815</f>
        <v>0.91463414634146345</v>
      </c>
      <c r="F815" s="71">
        <f>'score estimates'!$G815</f>
        <v>949</v>
      </c>
      <c r="G815" s="71" t="s">
        <v>983</v>
      </c>
      <c r="H815" s="72" cm="1">
        <f t="array" aca="1" ref="H81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15" s="96">
        <f ca="1">IF(Table2[[#This Row],[Team]]="FA",0,Table2[[#This Row],[Pts/G]]*(1-Table2[[#This Row],[% Pos Overlap]]))</f>
        <v>0.91463414634146345</v>
      </c>
      <c r="J815" s="72" cm="1">
        <f t="array" aca="1" ref="J815" ca="1">(INDIRECT(ADDRESS((_xlfn.XMATCH(Table2[[#This Row],[Team]],Schedule!$A$1:$A$33)),5,1,1,"Sched Overlap")))</f>
        <v>0.63492063492063477</v>
      </c>
      <c r="K815" s="92" cm="1">
        <f t="array" aca="1" ref="K81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15" s="95">
        <f ca="1">IF(Table2[[#This Row],[Team]]="FA",0,Table2[[#This Row],[Pts/G]]*(Table2[[#This Row],[Games Playable]]/82))</f>
        <v>0.91463414634146345</v>
      </c>
      <c r="M815" s="95" cm="1">
        <f t="array" aca="1" ref="M815" ca="1">Table2[[#This Row],[Playable x Score]]*_xlfn.IFS(Table2[[#This Row],[Pos]]="D",assumptions!$B$15,Table2[[#This Row],[Pos]]="F", assumptions!$B$14,Table2[[#This Row],[Pos]]="G",assumptions!$B$16)</f>
        <v>1.1432926829268293</v>
      </c>
    </row>
    <row r="816" spans="1:13" x14ac:dyDescent="0.3">
      <c r="A816">
        <f>'score estimates'!$A816</f>
        <v>813</v>
      </c>
      <c r="B816" t="str">
        <f>'score estimates'!$B816</f>
        <v>Mike Hardman</v>
      </c>
      <c r="C816" t="str">
        <f>'score estimates'!$D816</f>
        <v>F</v>
      </c>
      <c r="D816" t="str">
        <f>'score estimates'!$C816</f>
        <v>CHI</v>
      </c>
      <c r="E816" s="75">
        <f>'score estimates'!$F816</f>
        <v>2.1097560975609757</v>
      </c>
      <c r="F816" s="71">
        <f>'score estimates'!$G816</f>
        <v>845</v>
      </c>
      <c r="G816" s="71" t="s">
        <v>983</v>
      </c>
      <c r="H816" s="72" cm="1">
        <f t="array" aca="1" ref="H81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16" s="96">
        <f ca="1">IF(Table2[[#This Row],[Team]]="FA",0,Table2[[#This Row],[Pts/G]]*(1-Table2[[#This Row],[% Pos Overlap]]))</f>
        <v>2.1097560975609757</v>
      </c>
      <c r="J816" s="72" cm="1">
        <f t="array" aca="1" ref="J816" ca="1">(INDIRECT(ADDRESS((_xlfn.XMATCH(Table2[[#This Row],[Team]],Schedule!$A$1:$A$33)),5,1,1,"Sched Overlap")))</f>
        <v>0.6243386243386243</v>
      </c>
      <c r="K816" s="92" cm="1">
        <f t="array" aca="1" ref="K81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16" s="95">
        <f ca="1">IF(Table2[[#This Row],[Team]]="FA",0,Table2[[#This Row],[Pts/G]]*(Table2[[#This Row],[Games Playable]]/82))</f>
        <v>2.1097560975609757</v>
      </c>
      <c r="M816" s="95" cm="1">
        <f t="array" aca="1" ref="M816" ca="1">Table2[[#This Row],[Playable x Score]]*_xlfn.IFS(Table2[[#This Row],[Pos]]="D",assumptions!$B$15,Table2[[#This Row],[Pos]]="F", assumptions!$B$14,Table2[[#This Row],[Pos]]="G",assumptions!$B$16)</f>
        <v>2.1097560975609757</v>
      </c>
    </row>
    <row r="817" spans="1:13" x14ac:dyDescent="0.3">
      <c r="A817">
        <f>'score estimates'!$A817</f>
        <v>814</v>
      </c>
      <c r="B817" t="str">
        <f>'score estimates'!$B817</f>
        <v>Matt Kiersted</v>
      </c>
      <c r="C817" t="str">
        <f>'score estimates'!$D817</f>
        <v>D</v>
      </c>
      <c r="D817" t="str">
        <f>'score estimates'!$C817</f>
        <v>FLA</v>
      </c>
      <c r="E817" s="75">
        <f>'score estimates'!$F817</f>
        <v>1.2804878048780488</v>
      </c>
      <c r="F817" s="71">
        <f>'score estimates'!$G817</f>
        <v>903</v>
      </c>
      <c r="G817" s="71" t="s">
        <v>983</v>
      </c>
      <c r="H817" s="72" cm="1">
        <f t="array" aca="1" ref="H81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17" s="96">
        <f ca="1">IF(Table2[[#This Row],[Team]]="FA",0,Table2[[#This Row],[Pts/G]]*(1-Table2[[#This Row],[% Pos Overlap]]))</f>
        <v>1.2804878048780488</v>
      </c>
      <c r="J817" s="72" cm="1">
        <f t="array" aca="1" ref="J817" ca="1">(INDIRECT(ADDRESS((_xlfn.XMATCH(Table2[[#This Row],[Team]],Schedule!$A$1:$A$33)),5,1,1,"Sched Overlap")))</f>
        <v>0.64387464387464377</v>
      </c>
      <c r="K817" s="92" cm="1">
        <f t="array" aca="1" ref="K81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17" s="95">
        <f ca="1">IF(Table2[[#This Row],[Team]]="FA",0,Table2[[#This Row],[Pts/G]]*(Table2[[#This Row],[Games Playable]]/82))</f>
        <v>1.2804878048780488</v>
      </c>
      <c r="M817" s="95" cm="1">
        <f t="array" aca="1" ref="M817" ca="1">Table2[[#This Row],[Playable x Score]]*_xlfn.IFS(Table2[[#This Row],[Pos]]="D",assumptions!$B$15,Table2[[#This Row],[Pos]]="F", assumptions!$B$14,Table2[[#This Row],[Pos]]="G",assumptions!$B$16)</f>
        <v>1.600609756097561</v>
      </c>
    </row>
    <row r="818" spans="1:13" x14ac:dyDescent="0.3">
      <c r="A818">
        <f>'score estimates'!$A818</f>
        <v>815</v>
      </c>
      <c r="B818" t="str">
        <f>'score estimates'!$B818</f>
        <v>Cole Reinhardt</v>
      </c>
      <c r="C818" t="str">
        <f>'score estimates'!$D818</f>
        <v>F</v>
      </c>
      <c r="D818" t="str">
        <f>'score estimates'!$C818</f>
        <v>OTT</v>
      </c>
      <c r="E818" s="75">
        <f>'score estimates'!$F818</f>
        <v>1.4024390243902438</v>
      </c>
      <c r="F818" s="71">
        <f>'score estimates'!$G818</f>
        <v>890</v>
      </c>
      <c r="G818" s="71" t="s">
        <v>983</v>
      </c>
      <c r="H818" s="72" cm="1">
        <f t="array" aca="1" ref="H81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18" s="96">
        <f ca="1">IF(Table2[[#This Row],[Team]]="FA",0,Table2[[#This Row],[Pts/G]]*(1-Table2[[#This Row],[% Pos Overlap]]))</f>
        <v>1.4024390243902438</v>
      </c>
      <c r="J818" s="72" cm="1">
        <f t="array" aca="1" ref="J818" ca="1">(INDIRECT(ADDRESS((_xlfn.XMATCH(Table2[[#This Row],[Team]],Schedule!$A$1:$A$33)),5,1,1,"Sched Overlap")))</f>
        <v>0.64306064306064303</v>
      </c>
      <c r="K818" s="92" cm="1">
        <f t="array" aca="1" ref="K81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18" s="95">
        <f ca="1">IF(Table2[[#This Row],[Team]]="FA",0,Table2[[#This Row],[Pts/G]]*(Table2[[#This Row],[Games Playable]]/82))</f>
        <v>1.4024390243902438</v>
      </c>
      <c r="M818" s="95" cm="1">
        <f t="array" aca="1" ref="M818" ca="1">Table2[[#This Row],[Playable x Score]]*_xlfn.IFS(Table2[[#This Row],[Pos]]="D",assumptions!$B$15,Table2[[#This Row],[Pos]]="F", assumptions!$B$14,Table2[[#This Row],[Pos]]="G",assumptions!$B$16)</f>
        <v>1.4024390243902438</v>
      </c>
    </row>
    <row r="819" spans="1:13" x14ac:dyDescent="0.3">
      <c r="A819">
        <f>'score estimates'!$A819</f>
        <v>816</v>
      </c>
      <c r="B819" t="str">
        <f>'score estimates'!$B819</f>
        <v>Josiah Slavin</v>
      </c>
      <c r="C819" t="str">
        <f>'score estimates'!$D819</f>
        <v>F</v>
      </c>
      <c r="D819" t="str">
        <f>'score estimates'!$C819</f>
        <v>CHI</v>
      </c>
      <c r="E819" s="75">
        <f>'score estimates'!$F819</f>
        <v>1.6463414634146341</v>
      </c>
      <c r="F819" s="71">
        <f>'score estimates'!$G819</f>
        <v>872</v>
      </c>
      <c r="G819" s="71" t="s">
        <v>983</v>
      </c>
      <c r="H819" s="72" cm="1">
        <f t="array" aca="1" ref="H81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19" s="96">
        <f ca="1">IF(Table2[[#This Row],[Team]]="FA",0,Table2[[#This Row],[Pts/G]]*(1-Table2[[#This Row],[% Pos Overlap]]))</f>
        <v>1.6463414634146341</v>
      </c>
      <c r="J819" s="72" cm="1">
        <f t="array" aca="1" ref="J819" ca="1">(INDIRECT(ADDRESS((_xlfn.XMATCH(Table2[[#This Row],[Team]],Schedule!$A$1:$A$33)),5,1,1,"Sched Overlap")))</f>
        <v>0.6243386243386243</v>
      </c>
      <c r="K819" s="92" cm="1">
        <f t="array" aca="1" ref="K81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19" s="95">
        <f ca="1">IF(Table2[[#This Row],[Team]]="FA",0,Table2[[#This Row],[Pts/G]]*(Table2[[#This Row],[Games Playable]]/82))</f>
        <v>1.6463414634146341</v>
      </c>
      <c r="M819" s="95" cm="1">
        <f t="array" aca="1" ref="M819" ca="1">Table2[[#This Row],[Playable x Score]]*_xlfn.IFS(Table2[[#This Row],[Pos]]="D",assumptions!$B$15,Table2[[#This Row],[Pos]]="F", assumptions!$B$14,Table2[[#This Row],[Pos]]="G",assumptions!$B$16)</f>
        <v>1.6463414634146341</v>
      </c>
    </row>
    <row r="820" spans="1:13" x14ac:dyDescent="0.3">
      <c r="A820">
        <f>'score estimates'!$A820</f>
        <v>817</v>
      </c>
      <c r="B820" t="str">
        <f>'score estimates'!$B820</f>
        <v>Max Willman</v>
      </c>
      <c r="C820" t="str">
        <f>'score estimates'!$D820</f>
        <v>F</v>
      </c>
      <c r="D820" t="str">
        <f>'score estimates'!$C820</f>
        <v>PHI</v>
      </c>
      <c r="E820" s="75">
        <f>'score estimates'!$F820</f>
        <v>1</v>
      </c>
      <c r="F820" s="71">
        <f>'score estimates'!$G820</f>
        <v>937</v>
      </c>
      <c r="G820" s="71" t="s">
        <v>983</v>
      </c>
      <c r="H820" s="72" cm="1">
        <f t="array" aca="1" ref="H82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20" s="96">
        <f ca="1">IF(Table2[[#This Row],[Team]]="FA",0,Table2[[#This Row],[Pts/G]]*(1-Table2[[#This Row],[% Pos Overlap]]))</f>
        <v>1</v>
      </c>
      <c r="J820" s="72" cm="1">
        <f t="array" aca="1" ref="J820" ca="1">(INDIRECT(ADDRESS((_xlfn.XMATCH(Table2[[#This Row],[Team]],Schedule!$A$1:$A$33)),5,1,1,"Sched Overlap")))</f>
        <v>0.66910866910866917</v>
      </c>
      <c r="K820" s="92" cm="1">
        <f t="array" aca="1" ref="K82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20" s="95">
        <f ca="1">IF(Table2[[#This Row],[Team]]="FA",0,Table2[[#This Row],[Pts/G]]*(Table2[[#This Row],[Games Playable]]/82))</f>
        <v>1</v>
      </c>
      <c r="M820" s="95" cm="1">
        <f t="array" aca="1" ref="M820" ca="1">Table2[[#This Row],[Playable x Score]]*_xlfn.IFS(Table2[[#This Row],[Pos]]="D",assumptions!$B$15,Table2[[#This Row],[Pos]]="F", assumptions!$B$14,Table2[[#This Row],[Pos]]="G",assumptions!$B$16)</f>
        <v>1</v>
      </c>
    </row>
    <row r="821" spans="1:13" x14ac:dyDescent="0.3">
      <c r="A821">
        <f>'score estimates'!$A821</f>
        <v>818</v>
      </c>
      <c r="B821" t="str">
        <f>'score estimates'!$B821</f>
        <v>Ben McCartney</v>
      </c>
      <c r="C821" t="str">
        <f>'score estimates'!$D821</f>
        <v>F</v>
      </c>
      <c r="D821" t="str">
        <f>'score estimates'!$C821</f>
        <v>ARI</v>
      </c>
      <c r="E821" s="75">
        <f>'score estimates'!$F821</f>
        <v>0.81707317073170727</v>
      </c>
      <c r="F821" s="71">
        <f>'score estimates'!$G821</f>
        <v>961</v>
      </c>
      <c r="G821" s="71" t="s">
        <v>983</v>
      </c>
      <c r="H821" s="72" cm="1">
        <f t="array" aca="1" ref="H82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21" s="96">
        <f ca="1">IF(Table2[[#This Row],[Team]]="FA",0,Table2[[#This Row],[Pts/G]]*(1-Table2[[#This Row],[% Pos Overlap]]))</f>
        <v>0.81707317073170727</v>
      </c>
      <c r="J821" s="72" cm="1">
        <f t="array" aca="1" ref="J821" ca="1">(INDIRECT(ADDRESS((_xlfn.XMATCH(Table2[[#This Row],[Team]],Schedule!$A$1:$A$33)),5,1,1,"Sched Overlap")))</f>
        <v>0.63247863247863279</v>
      </c>
      <c r="K821" s="92" cm="1">
        <f t="array" aca="1" ref="K82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21" s="95">
        <f ca="1">IF(Table2[[#This Row],[Team]]="FA",0,Table2[[#This Row],[Pts/G]]*(Table2[[#This Row],[Games Playable]]/82))</f>
        <v>0.81707317073170727</v>
      </c>
      <c r="M821" s="95" cm="1">
        <f t="array" aca="1" ref="M821" ca="1">Table2[[#This Row],[Playable x Score]]*_xlfn.IFS(Table2[[#This Row],[Pos]]="D",assumptions!$B$15,Table2[[#This Row],[Pos]]="F", assumptions!$B$14,Table2[[#This Row],[Pos]]="G",assumptions!$B$16)</f>
        <v>0.81707317073170727</v>
      </c>
    </row>
    <row r="822" spans="1:13" x14ac:dyDescent="0.3">
      <c r="A822">
        <f>'score estimates'!$A822</f>
        <v>819</v>
      </c>
      <c r="B822" t="str">
        <f>'score estimates'!$B822</f>
        <v>Vladimir Tkachev</v>
      </c>
      <c r="C822" t="str">
        <f>'score estimates'!$D822</f>
        <v>F</v>
      </c>
      <c r="D822" t="str">
        <f>'score estimates'!$C822</f>
        <v>FA</v>
      </c>
      <c r="E822" s="75">
        <f>'score estimates'!$F822</f>
        <v>0.47560975609756095</v>
      </c>
      <c r="F822" s="71">
        <f>'score estimates'!$G822</f>
        <v>1005</v>
      </c>
      <c r="G822" s="71" t="s">
        <v>983</v>
      </c>
      <c r="H822" s="72" t="e" cm="1">
        <f t="array" aca="1" ref="H822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822" s="96">
        <f>IF(Table2[[#This Row],[Team]]="FA",0,Table2[[#This Row],[Pts/G]]*(1-Table2[[#This Row],[% Pos Overlap]]))</f>
        <v>0</v>
      </c>
      <c r="J822" s="72" t="e" cm="1">
        <f t="array" aca="1" ref="J822" ca="1">(INDIRECT(ADDRESS((_xlfn.XMATCH(Table2[[#This Row],[Team]],Schedule!$A$1:$A$33)),5,1,1,"Sched Overlap")))</f>
        <v>#N/A</v>
      </c>
      <c r="K822" s="92" t="e" cm="1">
        <f t="array" aca="1" ref="K822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822" s="95">
        <f>IF(Table2[[#This Row],[Team]]="FA",0,Table2[[#This Row],[Pts/G]]*(Table2[[#This Row],[Games Playable]]/82))</f>
        <v>0</v>
      </c>
      <c r="M822" s="95" cm="1">
        <f t="array" ref="M822">Table2[[#This Row],[Playable x Score]]*_xlfn.IFS(Table2[[#This Row],[Pos]]="D",assumptions!$B$15,Table2[[#This Row],[Pos]]="F", assumptions!$B$14,Table2[[#This Row],[Pos]]="G",assumptions!$B$16)</f>
        <v>0</v>
      </c>
    </row>
    <row r="823" spans="1:13" x14ac:dyDescent="0.3">
      <c r="A823">
        <f>'score estimates'!$A823</f>
        <v>820</v>
      </c>
      <c r="B823" t="str">
        <f>'score estimates'!$B823</f>
        <v>Brandon Biro</v>
      </c>
      <c r="C823" t="str">
        <f>'score estimates'!$D823</f>
        <v>F</v>
      </c>
      <c r="D823" t="str">
        <f>'score estimates'!$C823</f>
        <v>BUF</v>
      </c>
      <c r="E823" s="75">
        <f>'score estimates'!$F823</f>
        <v>1.0609756097560976</v>
      </c>
      <c r="F823" s="71">
        <f>'score estimates'!$G823</f>
        <v>929</v>
      </c>
      <c r="G823" s="71" t="s">
        <v>983</v>
      </c>
      <c r="H823" s="72" cm="1">
        <f t="array" aca="1" ref="H82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23" s="96">
        <f ca="1">IF(Table2[[#This Row],[Team]]="FA",0,Table2[[#This Row],[Pts/G]]*(1-Table2[[#This Row],[% Pos Overlap]]))</f>
        <v>1.0609756097560976</v>
      </c>
      <c r="J823" s="72" cm="1">
        <f t="array" aca="1" ref="J823" ca="1">(INDIRECT(ADDRESS((_xlfn.XMATCH(Table2[[#This Row],[Team]],Schedule!$A$1:$A$33)),5,1,1,"Sched Overlap")))</f>
        <v>0.63573463573463573</v>
      </c>
      <c r="K823" s="92" cm="1">
        <f t="array" aca="1" ref="K82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23" s="95">
        <f ca="1">IF(Table2[[#This Row],[Team]]="FA",0,Table2[[#This Row],[Pts/G]]*(Table2[[#This Row],[Games Playable]]/82))</f>
        <v>1.0609756097560976</v>
      </c>
      <c r="M823" s="95" cm="1">
        <f t="array" aca="1" ref="M823" ca="1">Table2[[#This Row],[Playable x Score]]*_xlfn.IFS(Table2[[#This Row],[Pos]]="D",assumptions!$B$15,Table2[[#This Row],[Pos]]="F", assumptions!$B$14,Table2[[#This Row],[Pos]]="G",assumptions!$B$16)</f>
        <v>1.0609756097560976</v>
      </c>
    </row>
    <row r="824" spans="1:13" x14ac:dyDescent="0.3">
      <c r="A824">
        <f>'score estimates'!$A824</f>
        <v>821</v>
      </c>
      <c r="B824" t="str">
        <f>'score estimates'!$B824</f>
        <v>Jeffrey Viel</v>
      </c>
      <c r="C824" t="str">
        <f>'score estimates'!$D824</f>
        <v>F</v>
      </c>
      <c r="D824" t="str">
        <f>'score estimates'!$C824</f>
        <v>SJ</v>
      </c>
      <c r="E824" s="75">
        <f>'score estimates'!$F824</f>
        <v>3.2439024390243905</v>
      </c>
      <c r="F824" s="71">
        <f>'score estimates'!$G824</f>
        <v>788</v>
      </c>
      <c r="G824" s="71" t="s">
        <v>983</v>
      </c>
      <c r="H824" s="72" cm="1">
        <f t="array" aca="1" ref="H82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24" s="96">
        <f ca="1">IF(Table2[[#This Row],[Team]]="FA",0,Table2[[#This Row],[Pts/G]]*(1-Table2[[#This Row],[% Pos Overlap]]))</f>
        <v>3.2439024390243905</v>
      </c>
      <c r="J824" s="72" cm="1">
        <f t="array" aca="1" ref="J824" ca="1">(INDIRECT(ADDRESS((_xlfn.XMATCH(Table2[[#This Row],[Team]],Schedule!$A$1:$A$33)),5,1,1,"Sched Overlap")))</f>
        <v>0.63492063492063477</v>
      </c>
      <c r="K824" s="92" cm="1">
        <f t="array" aca="1" ref="K82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24" s="95">
        <f ca="1">IF(Table2[[#This Row],[Team]]="FA",0,Table2[[#This Row],[Pts/G]]*(Table2[[#This Row],[Games Playable]]/82))</f>
        <v>3.2439024390243905</v>
      </c>
      <c r="M824" s="95" cm="1">
        <f t="array" aca="1" ref="M824" ca="1">Table2[[#This Row],[Playable x Score]]*_xlfn.IFS(Table2[[#This Row],[Pos]]="D",assumptions!$B$15,Table2[[#This Row],[Pos]]="F", assumptions!$B$14,Table2[[#This Row],[Pos]]="G",assumptions!$B$16)</f>
        <v>3.2439024390243905</v>
      </c>
    </row>
    <row r="825" spans="1:13" x14ac:dyDescent="0.3">
      <c r="A825">
        <f>'score estimates'!$A825</f>
        <v>822</v>
      </c>
      <c r="B825" t="str">
        <f>'score estimates'!$B825</f>
        <v>Nick Abruzzese</v>
      </c>
      <c r="C825" t="str">
        <f>'score estimates'!$D825</f>
        <v>F</v>
      </c>
      <c r="D825" t="str">
        <f>'score estimates'!$C825</f>
        <v>TOR</v>
      </c>
      <c r="E825" s="75">
        <f>'score estimates'!$F825</f>
        <v>1.1097560975609757</v>
      </c>
      <c r="F825" s="71">
        <f>'score estimates'!$G825</f>
        <v>925</v>
      </c>
      <c r="G825" s="71" t="s">
        <v>983</v>
      </c>
      <c r="H825" s="72" cm="1">
        <f t="array" aca="1" ref="H82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25" s="96">
        <f ca="1">IF(Table2[[#This Row],[Team]]="FA",0,Table2[[#This Row],[Pts/G]]*(1-Table2[[#This Row],[% Pos Overlap]]))</f>
        <v>1.1097560975609757</v>
      </c>
      <c r="J825" s="72" cm="1">
        <f t="array" aca="1" ref="J825" ca="1">(INDIRECT(ADDRESS((_xlfn.XMATCH(Table2[[#This Row],[Team]],Schedule!$A$1:$A$33)),5,1,1,"Sched Overlap")))</f>
        <v>0.62922262922262928</v>
      </c>
      <c r="K825" s="92" cm="1">
        <f t="array" aca="1" ref="K82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25" s="95">
        <f ca="1">IF(Table2[[#This Row],[Team]]="FA",0,Table2[[#This Row],[Pts/G]]*(Table2[[#This Row],[Games Playable]]/82))</f>
        <v>1.1097560975609757</v>
      </c>
      <c r="M825" s="95" cm="1">
        <f t="array" aca="1" ref="M825" ca="1">Table2[[#This Row],[Playable x Score]]*_xlfn.IFS(Table2[[#This Row],[Pos]]="D",assumptions!$B$15,Table2[[#This Row],[Pos]]="F", assumptions!$B$14,Table2[[#This Row],[Pos]]="G",assumptions!$B$16)</f>
        <v>1.1097560975609757</v>
      </c>
    </row>
    <row r="826" spans="1:13" x14ac:dyDescent="0.3">
      <c r="A826">
        <f>'score estimates'!$A826</f>
        <v>823</v>
      </c>
      <c r="B826" t="str">
        <f>'score estimates'!$B826</f>
        <v>Jasper Weatherby</v>
      </c>
      <c r="C826" t="str">
        <f>'score estimates'!$D826</f>
        <v>F</v>
      </c>
      <c r="D826" t="str">
        <f>'score estimates'!$C826</f>
        <v>SJ</v>
      </c>
      <c r="E826" s="75">
        <f>'score estimates'!$F826</f>
        <v>0.85365853658536583</v>
      </c>
      <c r="F826" s="71">
        <f>'score estimates'!$G826</f>
        <v>955</v>
      </c>
      <c r="G826" s="71" t="s">
        <v>983</v>
      </c>
      <c r="H826" s="72" cm="1">
        <f t="array" aca="1" ref="H82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26" s="96">
        <f ca="1">IF(Table2[[#This Row],[Team]]="FA",0,Table2[[#This Row],[Pts/G]]*(1-Table2[[#This Row],[% Pos Overlap]]))</f>
        <v>0.85365853658536583</v>
      </c>
      <c r="J826" s="72" cm="1">
        <f t="array" aca="1" ref="J826" ca="1">(INDIRECT(ADDRESS((_xlfn.XMATCH(Table2[[#This Row],[Team]],Schedule!$A$1:$A$33)),5,1,1,"Sched Overlap")))</f>
        <v>0.63492063492063477</v>
      </c>
      <c r="K826" s="92" cm="1">
        <f t="array" aca="1" ref="K82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26" s="95">
        <f ca="1">IF(Table2[[#This Row],[Team]]="FA",0,Table2[[#This Row],[Pts/G]]*(Table2[[#This Row],[Games Playable]]/82))</f>
        <v>0.85365853658536583</v>
      </c>
      <c r="M826" s="95" cm="1">
        <f t="array" aca="1" ref="M826" ca="1">Table2[[#This Row],[Playable x Score]]*_xlfn.IFS(Table2[[#This Row],[Pos]]="D",assumptions!$B$15,Table2[[#This Row],[Pos]]="F", assumptions!$B$14,Table2[[#This Row],[Pos]]="G",assumptions!$B$16)</f>
        <v>0.85365853658536583</v>
      </c>
    </row>
    <row r="827" spans="1:13" x14ac:dyDescent="0.3">
      <c r="A827">
        <f>'score estimates'!$A827</f>
        <v>824</v>
      </c>
      <c r="B827" t="str">
        <f>'score estimates'!$B827</f>
        <v>Jeremy Davies</v>
      </c>
      <c r="C827" t="str">
        <f>'score estimates'!$D827</f>
        <v>D</v>
      </c>
      <c r="D827" t="str">
        <f>'score estimates'!$C827</f>
        <v>BUF</v>
      </c>
      <c r="E827" s="75">
        <f>'score estimates'!$F827</f>
        <v>0.82926829268292679</v>
      </c>
      <c r="F827" s="71">
        <f>'score estimates'!$G827</f>
        <v>959</v>
      </c>
      <c r="G827" s="71" t="s">
        <v>983</v>
      </c>
      <c r="H827" s="72" cm="1">
        <f t="array" aca="1" ref="H82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27" s="96">
        <f ca="1">IF(Table2[[#This Row],[Team]]="FA",0,Table2[[#This Row],[Pts/G]]*(1-Table2[[#This Row],[% Pos Overlap]]))</f>
        <v>0.82926829268292679</v>
      </c>
      <c r="J827" s="72" cm="1">
        <f t="array" aca="1" ref="J827" ca="1">(INDIRECT(ADDRESS((_xlfn.XMATCH(Table2[[#This Row],[Team]],Schedule!$A$1:$A$33)),5,1,1,"Sched Overlap")))</f>
        <v>0.63573463573463573</v>
      </c>
      <c r="K827" s="92" cm="1">
        <f t="array" aca="1" ref="K82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27" s="95">
        <f ca="1">IF(Table2[[#This Row],[Team]]="FA",0,Table2[[#This Row],[Pts/G]]*(Table2[[#This Row],[Games Playable]]/82))</f>
        <v>0.82926829268292679</v>
      </c>
      <c r="M827" s="95" cm="1">
        <f t="array" aca="1" ref="M827" ca="1">Table2[[#This Row],[Playable x Score]]*_xlfn.IFS(Table2[[#This Row],[Pos]]="D",assumptions!$B$15,Table2[[#This Row],[Pos]]="F", assumptions!$B$14,Table2[[#This Row],[Pos]]="G",assumptions!$B$16)</f>
        <v>1.0365853658536586</v>
      </c>
    </row>
    <row r="828" spans="1:13" x14ac:dyDescent="0.3">
      <c r="A828">
        <f>'score estimates'!$A828</f>
        <v>825</v>
      </c>
      <c r="B828" t="str">
        <f>'score estimates'!$B828</f>
        <v>Nolan Foote</v>
      </c>
      <c r="C828" t="str">
        <f>'score estimates'!$D828</f>
        <v>F</v>
      </c>
      <c r="D828" t="str">
        <f>'score estimates'!$C828</f>
        <v>NJ</v>
      </c>
      <c r="E828" s="75">
        <f>'score estimates'!$F828</f>
        <v>1.1951219512195121</v>
      </c>
      <c r="F828" s="71">
        <f>'score estimates'!$G828</f>
        <v>917</v>
      </c>
      <c r="G828" s="71" t="s">
        <v>983</v>
      </c>
      <c r="H828" s="72" cm="1">
        <f t="array" aca="1" ref="H82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28" s="96">
        <f ca="1">IF(Table2[[#This Row],[Team]]="FA",0,Table2[[#This Row],[Pts/G]]*(1-Table2[[#This Row],[% Pos Overlap]]))</f>
        <v>1.1951219512195121</v>
      </c>
      <c r="J828" s="72" cm="1">
        <f t="array" aca="1" ref="J828" ca="1">(INDIRECT(ADDRESS((_xlfn.XMATCH(Table2[[#This Row],[Team]],Schedule!$A$1:$A$33)),5,1,1,"Sched Overlap")))</f>
        <v>0.66259666259666272</v>
      </c>
      <c r="K828" s="92" cm="1">
        <f t="array" aca="1" ref="K82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28" s="95">
        <f ca="1">IF(Table2[[#This Row],[Team]]="FA",0,Table2[[#This Row],[Pts/G]]*(Table2[[#This Row],[Games Playable]]/82))</f>
        <v>1.1951219512195121</v>
      </c>
      <c r="M828" s="95" cm="1">
        <f t="array" aca="1" ref="M828" ca="1">Table2[[#This Row],[Playable x Score]]*_xlfn.IFS(Table2[[#This Row],[Pos]]="D",assumptions!$B$15,Table2[[#This Row],[Pos]]="F", assumptions!$B$14,Table2[[#This Row],[Pos]]="G",assumptions!$B$16)</f>
        <v>1.1951219512195121</v>
      </c>
    </row>
    <row r="829" spans="1:13" x14ac:dyDescent="0.3">
      <c r="A829">
        <f>'score estimates'!$A829</f>
        <v>826</v>
      </c>
      <c r="B829" t="str">
        <f>'score estimates'!$B829</f>
        <v>Vladislav Kolyachonok</v>
      </c>
      <c r="C829" t="str">
        <f>'score estimates'!$D829</f>
        <v>D</v>
      </c>
      <c r="D829" t="str">
        <f>'score estimates'!$C829</f>
        <v>ARI</v>
      </c>
      <c r="E829" s="75">
        <f>'score estimates'!$F829</f>
        <v>1.5487804878048781</v>
      </c>
      <c r="F829" s="71">
        <f>'score estimates'!$G829</f>
        <v>880</v>
      </c>
      <c r="G829" s="71" t="s">
        <v>983</v>
      </c>
      <c r="H829" s="72" cm="1">
        <f t="array" aca="1" ref="H82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29" s="96">
        <f ca="1">IF(Table2[[#This Row],[Team]]="FA",0,Table2[[#This Row],[Pts/G]]*(1-Table2[[#This Row],[% Pos Overlap]]))</f>
        <v>1.5487804878048781</v>
      </c>
      <c r="J829" s="72" cm="1">
        <f t="array" aca="1" ref="J829" ca="1">(INDIRECT(ADDRESS((_xlfn.XMATCH(Table2[[#This Row],[Team]],Schedule!$A$1:$A$33)),5,1,1,"Sched Overlap")))</f>
        <v>0.63247863247863279</v>
      </c>
      <c r="K829" s="92" cm="1">
        <f t="array" aca="1" ref="K82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29" s="95">
        <f ca="1">IF(Table2[[#This Row],[Team]]="FA",0,Table2[[#This Row],[Pts/G]]*(Table2[[#This Row],[Games Playable]]/82))</f>
        <v>1.5487804878048781</v>
      </c>
      <c r="M829" s="95" cm="1">
        <f t="array" aca="1" ref="M829" ca="1">Table2[[#This Row],[Playable x Score]]*_xlfn.IFS(Table2[[#This Row],[Pos]]="D",assumptions!$B$15,Table2[[#This Row],[Pos]]="F", assumptions!$B$14,Table2[[#This Row],[Pos]]="G",assumptions!$B$16)</f>
        <v>1.9359756097560976</v>
      </c>
    </row>
    <row r="830" spans="1:13" x14ac:dyDescent="0.3">
      <c r="A830">
        <f>'score estimates'!$A830</f>
        <v>827</v>
      </c>
      <c r="B830" t="str">
        <f>'score estimates'!$B830</f>
        <v>Ronnie Attard</v>
      </c>
      <c r="C830" t="str">
        <f>'score estimates'!$D830</f>
        <v>D</v>
      </c>
      <c r="D830" t="str">
        <f>'score estimates'!$C830</f>
        <v>PHI</v>
      </c>
      <c r="E830" s="75">
        <f>'score estimates'!$F830</f>
        <v>1.0487804878048781</v>
      </c>
      <c r="F830" s="71">
        <f>'score estimates'!$G830</f>
        <v>930</v>
      </c>
      <c r="G830" s="71" t="s">
        <v>983</v>
      </c>
      <c r="H830" s="72" cm="1">
        <f t="array" aca="1" ref="H83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30" s="96">
        <f ca="1">IF(Table2[[#This Row],[Team]]="FA",0,Table2[[#This Row],[Pts/G]]*(1-Table2[[#This Row],[% Pos Overlap]]))</f>
        <v>1.0487804878048781</v>
      </c>
      <c r="J830" s="72" cm="1">
        <f t="array" aca="1" ref="J830" ca="1">(INDIRECT(ADDRESS((_xlfn.XMATCH(Table2[[#This Row],[Team]],Schedule!$A$1:$A$33)),5,1,1,"Sched Overlap")))</f>
        <v>0.66910866910866917</v>
      </c>
      <c r="K830" s="92" cm="1">
        <f t="array" aca="1" ref="K83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30" s="95">
        <f ca="1">IF(Table2[[#This Row],[Team]]="FA",0,Table2[[#This Row],[Pts/G]]*(Table2[[#This Row],[Games Playable]]/82))</f>
        <v>1.0487804878048781</v>
      </c>
      <c r="M830" s="95" cm="1">
        <f t="array" aca="1" ref="M830" ca="1">Table2[[#This Row],[Playable x Score]]*_xlfn.IFS(Table2[[#This Row],[Pos]]="D",assumptions!$B$15,Table2[[#This Row],[Pos]]="F", assumptions!$B$14,Table2[[#This Row],[Pos]]="G",assumptions!$B$16)</f>
        <v>1.3109756097560976</v>
      </c>
    </row>
    <row r="831" spans="1:13" x14ac:dyDescent="0.3">
      <c r="A831">
        <f>'score estimates'!$A831</f>
        <v>828</v>
      </c>
      <c r="B831" t="str">
        <f>'score estimates'!$B831</f>
        <v>Nikita Okhotyuk</v>
      </c>
      <c r="C831" t="str">
        <f>'score estimates'!$D831</f>
        <v>D</v>
      </c>
      <c r="D831" t="str">
        <f>'score estimates'!$C831</f>
        <v>NJ</v>
      </c>
      <c r="E831" s="75">
        <f>'score estimates'!$F831</f>
        <v>1.0487804878048781</v>
      </c>
      <c r="F831" s="71">
        <f>'score estimates'!$G831</f>
        <v>930</v>
      </c>
      <c r="G831" s="71" t="s">
        <v>983</v>
      </c>
      <c r="H831" s="72" cm="1">
        <f t="array" aca="1" ref="H83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31" s="96">
        <f ca="1">IF(Table2[[#This Row],[Team]]="FA",0,Table2[[#This Row],[Pts/G]]*(1-Table2[[#This Row],[% Pos Overlap]]))</f>
        <v>1.0487804878048781</v>
      </c>
      <c r="J831" s="72" cm="1">
        <f t="array" aca="1" ref="J831" ca="1">(INDIRECT(ADDRESS((_xlfn.XMATCH(Table2[[#This Row],[Team]],Schedule!$A$1:$A$33)),5,1,1,"Sched Overlap")))</f>
        <v>0.66259666259666272</v>
      </c>
      <c r="K831" s="92" cm="1">
        <f t="array" aca="1" ref="K83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31" s="95">
        <f ca="1">IF(Table2[[#This Row],[Team]]="FA",0,Table2[[#This Row],[Pts/G]]*(Table2[[#This Row],[Games Playable]]/82))</f>
        <v>1.0487804878048781</v>
      </c>
      <c r="M831" s="95" cm="1">
        <f t="array" aca="1" ref="M831" ca="1">Table2[[#This Row],[Playable x Score]]*_xlfn.IFS(Table2[[#This Row],[Pos]]="D",assumptions!$B$15,Table2[[#This Row],[Pos]]="F", assumptions!$B$14,Table2[[#This Row],[Pos]]="G",assumptions!$B$16)</f>
        <v>1.3109756097560976</v>
      </c>
    </row>
    <row r="832" spans="1:13" x14ac:dyDescent="0.3">
      <c r="A832">
        <f>'score estimates'!$A832</f>
        <v>829</v>
      </c>
      <c r="B832" t="str">
        <f>'score estimates'!$B832</f>
        <v>Adam Beckman</v>
      </c>
      <c r="C832" t="str">
        <f>'score estimates'!$D832</f>
        <v>F</v>
      </c>
      <c r="D832" t="str">
        <f>'score estimates'!$C832</f>
        <v>MIN</v>
      </c>
      <c r="E832" s="75">
        <f>'score estimates'!$F832</f>
        <v>0.84146341463414631</v>
      </c>
      <c r="F832" s="71">
        <f>'score estimates'!$G832</f>
        <v>958</v>
      </c>
      <c r="G832" s="71" t="s">
        <v>983</v>
      </c>
      <c r="H832" s="72" cm="1">
        <f t="array" aca="1" ref="H83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32" s="96">
        <f ca="1">IF(Table2[[#This Row],[Team]]="FA",0,Table2[[#This Row],[Pts/G]]*(1-Table2[[#This Row],[% Pos Overlap]]))</f>
        <v>0.84146341463414631</v>
      </c>
      <c r="J832" s="72" cm="1">
        <f t="array" aca="1" ref="J832" ca="1">(INDIRECT(ADDRESS((_xlfn.XMATCH(Table2[[#This Row],[Team]],Schedule!$A$1:$A$33)),5,1,1,"Sched Overlap")))</f>
        <v>0.62108262108262113</v>
      </c>
      <c r="K832" s="92" cm="1">
        <f t="array" aca="1" ref="K83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32" s="95">
        <f ca="1">IF(Table2[[#This Row],[Team]]="FA",0,Table2[[#This Row],[Pts/G]]*(Table2[[#This Row],[Games Playable]]/82))</f>
        <v>0.84146341463414631</v>
      </c>
      <c r="M832" s="95" cm="1">
        <f t="array" aca="1" ref="M832" ca="1">Table2[[#This Row],[Playable x Score]]*_xlfn.IFS(Table2[[#This Row],[Pos]]="D",assumptions!$B$15,Table2[[#This Row],[Pos]]="F", assumptions!$B$14,Table2[[#This Row],[Pos]]="G",assumptions!$B$16)</f>
        <v>0.84146341463414631</v>
      </c>
    </row>
    <row r="833" spans="1:13" x14ac:dyDescent="0.3">
      <c r="A833">
        <f>'score estimates'!$A833</f>
        <v>830</v>
      </c>
      <c r="B833" t="str">
        <f>'score estimates'!$B833</f>
        <v>Alex Steeves</v>
      </c>
      <c r="C833" t="str">
        <f>'score estimates'!$D833</f>
        <v>F</v>
      </c>
      <c r="D833" t="str">
        <f>'score estimates'!$C833</f>
        <v>TOR</v>
      </c>
      <c r="E833" s="75">
        <f>'score estimates'!$F833</f>
        <v>0.62195121951219512</v>
      </c>
      <c r="F833" s="71">
        <f>'score estimates'!$G833</f>
        <v>986</v>
      </c>
      <c r="G833" s="71" t="s">
        <v>983</v>
      </c>
      <c r="H833" s="72" cm="1">
        <f t="array" aca="1" ref="H83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33" s="96">
        <f ca="1">IF(Table2[[#This Row],[Team]]="FA",0,Table2[[#This Row],[Pts/G]]*(1-Table2[[#This Row],[% Pos Overlap]]))</f>
        <v>0.62195121951219512</v>
      </c>
      <c r="J833" s="72" cm="1">
        <f t="array" aca="1" ref="J833" ca="1">(INDIRECT(ADDRESS((_xlfn.XMATCH(Table2[[#This Row],[Team]],Schedule!$A$1:$A$33)),5,1,1,"Sched Overlap")))</f>
        <v>0.62922262922262928</v>
      </c>
      <c r="K833" s="92" cm="1">
        <f t="array" aca="1" ref="K83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33" s="95">
        <f ca="1">IF(Table2[[#This Row],[Team]]="FA",0,Table2[[#This Row],[Pts/G]]*(Table2[[#This Row],[Games Playable]]/82))</f>
        <v>0.62195121951219512</v>
      </c>
      <c r="M833" s="95" cm="1">
        <f t="array" aca="1" ref="M833" ca="1">Table2[[#This Row],[Playable x Score]]*_xlfn.IFS(Table2[[#This Row],[Pos]]="D",assumptions!$B$15,Table2[[#This Row],[Pos]]="F", assumptions!$B$14,Table2[[#This Row],[Pos]]="G",assumptions!$B$16)</f>
        <v>0.62195121951219512</v>
      </c>
    </row>
    <row r="834" spans="1:13" x14ac:dyDescent="0.3">
      <c r="A834">
        <f>'score estimates'!$A834</f>
        <v>831</v>
      </c>
      <c r="B834" t="str">
        <f>'score estimates'!$B834</f>
        <v>Jesse Ylonen</v>
      </c>
      <c r="C834" t="str">
        <f>'score estimates'!$D834</f>
        <v>F</v>
      </c>
      <c r="D834" t="str">
        <f>'score estimates'!$C834</f>
        <v>MON</v>
      </c>
      <c r="E834" s="75">
        <f>'score estimates'!$F834</f>
        <v>0.96341463414634143</v>
      </c>
      <c r="F834" s="71">
        <f>'score estimates'!$G834</f>
        <v>942</v>
      </c>
      <c r="G834" s="71" t="s">
        <v>983</v>
      </c>
      <c r="H834" s="72" cm="1">
        <f t="array" aca="1" ref="H83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34" s="96">
        <f ca="1">IF(Table2[[#This Row],[Team]]="FA",0,Table2[[#This Row],[Pts/G]]*(1-Table2[[#This Row],[% Pos Overlap]]))</f>
        <v>0.96341463414634143</v>
      </c>
      <c r="J834" s="72" cm="1">
        <f t="array" aca="1" ref="J834" ca="1">(INDIRECT(ADDRESS((_xlfn.XMATCH(Table2[[#This Row],[Team]],Schedule!$A$1:$A$33)),5,1,1,"Sched Overlap")))</f>
        <v>0.66666666666666685</v>
      </c>
      <c r="K834" s="92" cm="1">
        <f t="array" aca="1" ref="K83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34" s="95">
        <f ca="1">IF(Table2[[#This Row],[Team]]="FA",0,Table2[[#This Row],[Pts/G]]*(Table2[[#This Row],[Games Playable]]/82))</f>
        <v>0.96341463414634143</v>
      </c>
      <c r="M834" s="95" cm="1">
        <f t="array" aca="1" ref="M834" ca="1">Table2[[#This Row],[Playable x Score]]*_xlfn.IFS(Table2[[#This Row],[Pos]]="D",assumptions!$B$15,Table2[[#This Row],[Pos]]="F", assumptions!$B$14,Table2[[#This Row],[Pos]]="G",assumptions!$B$16)</f>
        <v>0.96341463414634143</v>
      </c>
    </row>
    <row r="835" spans="1:13" x14ac:dyDescent="0.3">
      <c r="A835">
        <f>'score estimates'!$A835</f>
        <v>832</v>
      </c>
      <c r="B835" t="str">
        <f>'score estimates'!$B835</f>
        <v>Paul Cotter</v>
      </c>
      <c r="C835" t="str">
        <f>'score estimates'!$D835</f>
        <v>F</v>
      </c>
      <c r="D835" t="str">
        <f>'score estimates'!$C835</f>
        <v>VGK</v>
      </c>
      <c r="E835" s="75">
        <f>'score estimates'!$F835</f>
        <v>1.3170731707317074</v>
      </c>
      <c r="F835" s="71">
        <f>'score estimates'!$G835</f>
        <v>898</v>
      </c>
      <c r="G835" s="71" t="s">
        <v>983</v>
      </c>
      <c r="H835" s="72" cm="1">
        <f t="array" aca="1" ref="H83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35" s="96">
        <f ca="1">IF(Table2[[#This Row],[Team]]="FA",0,Table2[[#This Row],[Pts/G]]*(1-Table2[[#This Row],[% Pos Overlap]]))</f>
        <v>1.3170731707317074</v>
      </c>
      <c r="J835" s="72" cm="1">
        <f t="array" aca="1" ref="J835" ca="1">(INDIRECT(ADDRESS((_xlfn.XMATCH(Table2[[#This Row],[Team]],Schedule!$A$1:$A$33)),5,1,1,"Sched Overlap")))</f>
        <v>0.66992266992266991</v>
      </c>
      <c r="K835" s="92" cm="1">
        <f t="array" aca="1" ref="K83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35" s="95">
        <f ca="1">IF(Table2[[#This Row],[Team]]="FA",0,Table2[[#This Row],[Pts/G]]*(Table2[[#This Row],[Games Playable]]/82))</f>
        <v>1.3170731707317074</v>
      </c>
      <c r="M835" s="95" cm="1">
        <f t="array" aca="1" ref="M835" ca="1">Table2[[#This Row],[Playable x Score]]*_xlfn.IFS(Table2[[#This Row],[Pos]]="D",assumptions!$B$15,Table2[[#This Row],[Pos]]="F", assumptions!$B$14,Table2[[#This Row],[Pos]]="G",assumptions!$B$16)</f>
        <v>1.3170731707317074</v>
      </c>
    </row>
    <row r="836" spans="1:13" x14ac:dyDescent="0.3">
      <c r="A836">
        <f>'score estimates'!$A836</f>
        <v>833</v>
      </c>
      <c r="B836" t="str">
        <f>'score estimates'!$B836</f>
        <v>Liam Foudy</v>
      </c>
      <c r="C836" t="str">
        <f>'score estimates'!$D836</f>
        <v>F</v>
      </c>
      <c r="D836" t="str">
        <f>'score estimates'!$C836</f>
        <v>CLS</v>
      </c>
      <c r="E836" s="75">
        <f>'score estimates'!$F836</f>
        <v>0.95121951219512191</v>
      </c>
      <c r="F836" s="71">
        <f>'score estimates'!$G836</f>
        <v>943</v>
      </c>
      <c r="G836" s="71" t="s">
        <v>983</v>
      </c>
      <c r="H836" s="72" cm="1">
        <f t="array" aca="1" ref="H83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36" s="96">
        <f ca="1">IF(Table2[[#This Row],[Team]]="FA",0,Table2[[#This Row],[Pts/G]]*(1-Table2[[#This Row],[% Pos Overlap]]))</f>
        <v>0.95121951219512191</v>
      </c>
      <c r="J836" s="72" cm="1">
        <f t="array" aca="1" ref="J836" ca="1">(INDIRECT(ADDRESS((_xlfn.XMATCH(Table2[[#This Row],[Team]],Schedule!$A$1:$A$33)),5,1,1,"Sched Overlap")))</f>
        <v>0.64875864875864886</v>
      </c>
      <c r="K836" s="92" cm="1">
        <f t="array" aca="1" ref="K83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36" s="95">
        <f ca="1">IF(Table2[[#This Row],[Team]]="FA",0,Table2[[#This Row],[Pts/G]]*(Table2[[#This Row],[Games Playable]]/82))</f>
        <v>0.95121951219512191</v>
      </c>
      <c r="M836" s="95" cm="1">
        <f t="array" aca="1" ref="M836" ca="1">Table2[[#This Row],[Playable x Score]]*_xlfn.IFS(Table2[[#This Row],[Pos]]="D",assumptions!$B$15,Table2[[#This Row],[Pos]]="F", assumptions!$B$14,Table2[[#This Row],[Pos]]="G",assumptions!$B$16)</f>
        <v>0.95121951219512191</v>
      </c>
    </row>
    <row r="837" spans="1:13" x14ac:dyDescent="0.3">
      <c r="A837">
        <f>'score estimates'!$A837</f>
        <v>834</v>
      </c>
      <c r="B837" t="str">
        <f>'score estimates'!$B837</f>
        <v>Egor Sokolov</v>
      </c>
      <c r="C837" t="str">
        <f>'score estimates'!$D837</f>
        <v>F</v>
      </c>
      <c r="D837" t="str">
        <f>'score estimates'!$C837</f>
        <v>OTT</v>
      </c>
      <c r="E837" s="75">
        <f>'score estimates'!$F837</f>
        <v>0.93902439024390238</v>
      </c>
      <c r="F837" s="71">
        <f>'score estimates'!$G837</f>
        <v>945</v>
      </c>
      <c r="G837" s="71" t="s">
        <v>983</v>
      </c>
      <c r="H837" s="72" cm="1">
        <f t="array" aca="1" ref="H83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37" s="96">
        <f ca="1">IF(Table2[[#This Row],[Team]]="FA",0,Table2[[#This Row],[Pts/G]]*(1-Table2[[#This Row],[% Pos Overlap]]))</f>
        <v>0.93902439024390238</v>
      </c>
      <c r="J837" s="72" cm="1">
        <f t="array" aca="1" ref="J837" ca="1">(INDIRECT(ADDRESS((_xlfn.XMATCH(Table2[[#This Row],[Team]],Schedule!$A$1:$A$33)),5,1,1,"Sched Overlap")))</f>
        <v>0.64306064306064303</v>
      </c>
      <c r="K837" s="92" cm="1">
        <f t="array" aca="1" ref="K83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37" s="95">
        <f ca="1">IF(Table2[[#This Row],[Team]]="FA",0,Table2[[#This Row],[Pts/G]]*(Table2[[#This Row],[Games Playable]]/82))</f>
        <v>0.93902439024390238</v>
      </c>
      <c r="M837" s="95" cm="1">
        <f t="array" aca="1" ref="M837" ca="1">Table2[[#This Row],[Playable x Score]]*_xlfn.IFS(Table2[[#This Row],[Pos]]="D",assumptions!$B$15,Table2[[#This Row],[Pos]]="F", assumptions!$B$14,Table2[[#This Row],[Pos]]="G",assumptions!$B$16)</f>
        <v>0.93902439024390238</v>
      </c>
    </row>
    <row r="838" spans="1:13" x14ac:dyDescent="0.3">
      <c r="A838">
        <f>'score estimates'!$A838</f>
        <v>835</v>
      </c>
      <c r="B838" t="str">
        <f>'score estimates'!$B838</f>
        <v>Juuso Riikola</v>
      </c>
      <c r="C838" t="str">
        <f>'score estimates'!$D838</f>
        <v>D</v>
      </c>
      <c r="D838" t="str">
        <f>'score estimates'!$C838</f>
        <v>FA</v>
      </c>
      <c r="E838" s="75">
        <f>'score estimates'!$F838</f>
        <v>1.5</v>
      </c>
      <c r="F838" s="71">
        <f>'score estimates'!$G838</f>
        <v>883</v>
      </c>
      <c r="G838" s="71" t="s">
        <v>983</v>
      </c>
      <c r="H838" s="72" t="e" cm="1">
        <f t="array" aca="1" ref="H838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838" s="96">
        <f>IF(Table2[[#This Row],[Team]]="FA",0,Table2[[#This Row],[Pts/G]]*(1-Table2[[#This Row],[% Pos Overlap]]))</f>
        <v>0</v>
      </c>
      <c r="J838" s="72" t="e" cm="1">
        <f t="array" aca="1" ref="J838" ca="1">(INDIRECT(ADDRESS((_xlfn.XMATCH(Table2[[#This Row],[Team]],Schedule!$A$1:$A$33)),5,1,1,"Sched Overlap")))</f>
        <v>#N/A</v>
      </c>
      <c r="K838" s="92" t="e" cm="1">
        <f t="array" aca="1" ref="K838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838" s="95">
        <f>IF(Table2[[#This Row],[Team]]="FA",0,Table2[[#This Row],[Pts/G]]*(Table2[[#This Row],[Games Playable]]/82))</f>
        <v>0</v>
      </c>
      <c r="M838" s="95" cm="1">
        <f t="array" ref="M838">Table2[[#This Row],[Playable x Score]]*_xlfn.IFS(Table2[[#This Row],[Pos]]="D",assumptions!$B$15,Table2[[#This Row],[Pos]]="F", assumptions!$B$14,Table2[[#This Row],[Pos]]="G",assumptions!$B$16)</f>
        <v>0</v>
      </c>
    </row>
    <row r="839" spans="1:13" x14ac:dyDescent="0.3">
      <c r="A839">
        <f>'score estimates'!$A839</f>
        <v>836</v>
      </c>
      <c r="B839" t="str">
        <f>'score estimates'!$B839</f>
        <v>Cooper Marody</v>
      </c>
      <c r="C839" t="str">
        <f>'score estimates'!$D839</f>
        <v>F</v>
      </c>
      <c r="D839" t="str">
        <f>'score estimates'!$C839</f>
        <v>PHI</v>
      </c>
      <c r="E839" s="75">
        <f>'score estimates'!$F839</f>
        <v>0.70731707317073167</v>
      </c>
      <c r="F839" s="71">
        <f>'score estimates'!$G839</f>
        <v>972</v>
      </c>
      <c r="G839" s="71" t="s">
        <v>983</v>
      </c>
      <c r="H839" s="72" cm="1">
        <f t="array" aca="1" ref="H83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39" s="96">
        <f ca="1">IF(Table2[[#This Row],[Team]]="FA",0,Table2[[#This Row],[Pts/G]]*(1-Table2[[#This Row],[% Pos Overlap]]))</f>
        <v>0.70731707317073167</v>
      </c>
      <c r="J839" s="72" cm="1">
        <f t="array" aca="1" ref="J839" ca="1">(INDIRECT(ADDRESS((_xlfn.XMATCH(Table2[[#This Row],[Team]],Schedule!$A$1:$A$33)),5,1,1,"Sched Overlap")))</f>
        <v>0.66910866910866917</v>
      </c>
      <c r="K839" s="92" cm="1">
        <f t="array" aca="1" ref="K83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39" s="95">
        <f ca="1">IF(Table2[[#This Row],[Team]]="FA",0,Table2[[#This Row],[Pts/G]]*(Table2[[#This Row],[Games Playable]]/82))</f>
        <v>0.70731707317073167</v>
      </c>
      <c r="M839" s="95" cm="1">
        <f t="array" aca="1" ref="M839" ca="1">Table2[[#This Row],[Playable x Score]]*_xlfn.IFS(Table2[[#This Row],[Pos]]="D",assumptions!$B$15,Table2[[#This Row],[Pos]]="F", assumptions!$B$14,Table2[[#This Row],[Pos]]="G",assumptions!$B$16)</f>
        <v>0.70731707317073167</v>
      </c>
    </row>
    <row r="840" spans="1:13" x14ac:dyDescent="0.3">
      <c r="A840">
        <f>'score estimates'!$A840</f>
        <v>837</v>
      </c>
      <c r="B840" t="str">
        <f>'score estimates'!$B840</f>
        <v>Jonah Gadjovich</v>
      </c>
      <c r="C840" t="str">
        <f>'score estimates'!$D840</f>
        <v>F</v>
      </c>
      <c r="D840" t="str">
        <f>'score estimates'!$C840</f>
        <v>SJ</v>
      </c>
      <c r="E840" s="75">
        <f>'score estimates'!$F840</f>
        <v>1.6341463414634145</v>
      </c>
      <c r="F840" s="71">
        <f>'score estimates'!$G840</f>
        <v>874</v>
      </c>
      <c r="G840" s="71" t="s">
        <v>983</v>
      </c>
      <c r="H840" s="72" cm="1">
        <f t="array" aca="1" ref="H84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40" s="96">
        <f ca="1">IF(Table2[[#This Row],[Team]]="FA",0,Table2[[#This Row],[Pts/G]]*(1-Table2[[#This Row],[% Pos Overlap]]))</f>
        <v>1.6341463414634145</v>
      </c>
      <c r="J840" s="72" cm="1">
        <f t="array" aca="1" ref="J840" ca="1">(INDIRECT(ADDRESS((_xlfn.XMATCH(Table2[[#This Row],[Team]],Schedule!$A$1:$A$33)),5,1,1,"Sched Overlap")))</f>
        <v>0.63492063492063477</v>
      </c>
      <c r="K840" s="92" cm="1">
        <f t="array" aca="1" ref="K84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40" s="95">
        <f ca="1">IF(Table2[[#This Row],[Team]]="FA",0,Table2[[#This Row],[Pts/G]]*(Table2[[#This Row],[Games Playable]]/82))</f>
        <v>1.6341463414634145</v>
      </c>
      <c r="M840" s="95" cm="1">
        <f t="array" aca="1" ref="M840" ca="1">Table2[[#This Row],[Playable x Score]]*_xlfn.IFS(Table2[[#This Row],[Pos]]="D",assumptions!$B$15,Table2[[#This Row],[Pos]]="F", assumptions!$B$14,Table2[[#This Row],[Pos]]="G",assumptions!$B$16)</f>
        <v>1.6341463414634145</v>
      </c>
    </row>
    <row r="841" spans="1:13" x14ac:dyDescent="0.3">
      <c r="A841">
        <f>'score estimates'!$A841</f>
        <v>838</v>
      </c>
      <c r="B841" t="str">
        <f>'score estimates'!$B841</f>
        <v>Jake Oettinger</v>
      </c>
      <c r="C841" t="str">
        <f>'score estimates'!$D841</f>
        <v>G</v>
      </c>
      <c r="D841" t="str">
        <f>'score estimates'!$C841</f>
        <v>DAL</v>
      </c>
      <c r="E841" s="75">
        <f>'score estimates'!$F841</f>
        <v>33.414634146341463</v>
      </c>
      <c r="F841" s="71">
        <f>'score estimates'!$G841</f>
        <v>55</v>
      </c>
      <c r="G841" s="71" t="s">
        <v>983</v>
      </c>
      <c r="H841" s="72" cm="1">
        <f t="array" aca="1" ref="H84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41" s="96">
        <f ca="1">IF(Table2[[#This Row],[Team]]="FA",0,Table2[[#This Row],[Pts/G]]*(1-Table2[[#This Row],[% Pos Overlap]]))</f>
        <v>33.414634146341463</v>
      </c>
      <c r="J841" s="72" cm="1">
        <f t="array" aca="1" ref="J841" ca="1">(INDIRECT(ADDRESS((_xlfn.XMATCH(Table2[[#This Row],[Team]],Schedule!$A$1:$A$33)),5,1,1,"Sched Overlap")))</f>
        <v>0.65364265364265373</v>
      </c>
      <c r="K841" s="92" cm="1">
        <f t="array" aca="1" ref="K84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41" s="95">
        <f ca="1">IF(Table2[[#This Row],[Team]]="FA",0,Table2[[#This Row],[Pts/G]]*(Table2[[#This Row],[Games Playable]]/82))</f>
        <v>33.414634146341463</v>
      </c>
      <c r="M841" s="95" cm="1">
        <f t="array" aca="1" ref="M841" ca="1">Table2[[#This Row],[Playable x Score]]*_xlfn.IFS(Table2[[#This Row],[Pos]]="D",assumptions!$B$15,Table2[[#This Row],[Pos]]="F", assumptions!$B$14,Table2[[#This Row],[Pos]]="G",assumptions!$B$16)</f>
        <v>36.756097560975611</v>
      </c>
    </row>
    <row r="842" spans="1:13" x14ac:dyDescent="0.3">
      <c r="A842">
        <f>'score estimates'!$A842</f>
        <v>839</v>
      </c>
      <c r="B842" t="str">
        <f>'score estimates'!$B842</f>
        <v>William Lagesson</v>
      </c>
      <c r="C842" t="str">
        <f>'score estimates'!$D842</f>
        <v>D</v>
      </c>
      <c r="D842" t="str">
        <f>'score estimates'!$C842</f>
        <v>CAR</v>
      </c>
      <c r="E842" s="75">
        <f>'score estimates'!$F842</f>
        <v>1.5609756097560976</v>
      </c>
      <c r="F842" s="71">
        <f>'score estimates'!$G842</f>
        <v>879</v>
      </c>
      <c r="G842" s="71" t="s">
        <v>983</v>
      </c>
      <c r="H842" s="72" cm="1">
        <f t="array" aca="1" ref="H84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42" s="96">
        <f ca="1">IF(Table2[[#This Row],[Team]]="FA",0,Table2[[#This Row],[Pts/G]]*(1-Table2[[#This Row],[% Pos Overlap]]))</f>
        <v>1.5609756097560976</v>
      </c>
      <c r="J842" s="72" cm="1">
        <f t="array" aca="1" ref="J842" ca="1">(INDIRECT(ADDRESS((_xlfn.XMATCH(Table2[[#This Row],[Team]],Schedule!$A$1:$A$33)),5,1,1,"Sched Overlap")))</f>
        <v>0.63247863247863245</v>
      </c>
      <c r="K842" s="92" cm="1">
        <f t="array" aca="1" ref="K84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42" s="95">
        <f ca="1">IF(Table2[[#This Row],[Team]]="FA",0,Table2[[#This Row],[Pts/G]]*(Table2[[#This Row],[Games Playable]]/82))</f>
        <v>1.5609756097560976</v>
      </c>
      <c r="M842" s="95" cm="1">
        <f t="array" aca="1" ref="M842" ca="1">Table2[[#This Row],[Playable x Score]]*_xlfn.IFS(Table2[[#This Row],[Pos]]="D",assumptions!$B$15,Table2[[#This Row],[Pos]]="F", assumptions!$B$14,Table2[[#This Row],[Pos]]="G",assumptions!$B$16)</f>
        <v>1.9512195121951219</v>
      </c>
    </row>
    <row r="843" spans="1:13" x14ac:dyDescent="0.3">
      <c r="A843">
        <f>'score estimates'!$A843</f>
        <v>840</v>
      </c>
      <c r="B843" t="str">
        <f>'score estimates'!$B843</f>
        <v>Matt Luff</v>
      </c>
      <c r="C843" t="str">
        <f>'score estimates'!$D843</f>
        <v>F</v>
      </c>
      <c r="D843" t="str">
        <f>'score estimates'!$C843</f>
        <v>DET</v>
      </c>
      <c r="E843" s="75">
        <f>'score estimates'!$F843</f>
        <v>1.2560975609756098</v>
      </c>
      <c r="F843" s="71">
        <f>'score estimates'!$G843</f>
        <v>905</v>
      </c>
      <c r="G843" s="71" t="s">
        <v>983</v>
      </c>
      <c r="H843" s="72" cm="1">
        <f t="array" aca="1" ref="H84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43" s="96">
        <f ca="1">IF(Table2[[#This Row],[Team]]="FA",0,Table2[[#This Row],[Pts/G]]*(1-Table2[[#This Row],[% Pos Overlap]]))</f>
        <v>1.2560975609756098</v>
      </c>
      <c r="J843" s="72" cm="1">
        <f t="array" aca="1" ref="J843" ca="1">(INDIRECT(ADDRESS((_xlfn.XMATCH(Table2[[#This Row],[Team]],Schedule!$A$1:$A$33)),5,1,1,"Sched Overlap")))</f>
        <v>0.64550264550264547</v>
      </c>
      <c r="K843" s="92" cm="1">
        <f t="array" aca="1" ref="K84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43" s="95">
        <f ca="1">IF(Table2[[#This Row],[Team]]="FA",0,Table2[[#This Row],[Pts/G]]*(Table2[[#This Row],[Games Playable]]/82))</f>
        <v>1.2560975609756098</v>
      </c>
      <c r="M843" s="95" cm="1">
        <f t="array" aca="1" ref="M843" ca="1">Table2[[#This Row],[Playable x Score]]*_xlfn.IFS(Table2[[#This Row],[Pos]]="D",assumptions!$B$15,Table2[[#This Row],[Pos]]="F", assumptions!$B$14,Table2[[#This Row],[Pos]]="G",assumptions!$B$16)</f>
        <v>1.2560975609756098</v>
      </c>
    </row>
    <row r="844" spans="1:13" x14ac:dyDescent="0.3">
      <c r="A844">
        <f>'score estimates'!$A844</f>
        <v>841</v>
      </c>
      <c r="B844" t="str">
        <f>'score estimates'!$B844</f>
        <v>Axel Jonsson-Fjallby</v>
      </c>
      <c r="C844" t="str">
        <f>'score estimates'!$D844</f>
        <v>F</v>
      </c>
      <c r="D844" t="str">
        <f>'score estimates'!$C844</f>
        <v>WAS</v>
      </c>
      <c r="E844" s="75">
        <f>'score estimates'!$F844</f>
        <v>1.3536585365853659</v>
      </c>
      <c r="F844" s="71">
        <f>'score estimates'!$G844</f>
        <v>893</v>
      </c>
      <c r="G844" s="71" t="s">
        <v>983</v>
      </c>
      <c r="H844" s="72" cm="1">
        <f t="array" aca="1" ref="H84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44" s="96">
        <f ca="1">IF(Table2[[#This Row],[Team]]="FA",0,Table2[[#This Row],[Pts/G]]*(1-Table2[[#This Row],[% Pos Overlap]]))</f>
        <v>1.3536585365853659</v>
      </c>
      <c r="J844" s="72" cm="1">
        <f t="array" aca="1" ref="J844" ca="1">(INDIRECT(ADDRESS((_xlfn.XMATCH(Table2[[#This Row],[Team]],Schedule!$A$1:$A$33)),5,1,1,"Sched Overlap")))</f>
        <v>0.65282865282865288</v>
      </c>
      <c r="K844" s="92" cm="1">
        <f t="array" aca="1" ref="K84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44" s="95">
        <f ca="1">IF(Table2[[#This Row],[Team]]="FA",0,Table2[[#This Row],[Pts/G]]*(Table2[[#This Row],[Games Playable]]/82))</f>
        <v>1.3536585365853659</v>
      </c>
      <c r="M844" s="95" cm="1">
        <f t="array" aca="1" ref="M844" ca="1">Table2[[#This Row],[Playable x Score]]*_xlfn.IFS(Table2[[#This Row],[Pos]]="D",assumptions!$B$15,Table2[[#This Row],[Pos]]="F", assumptions!$B$14,Table2[[#This Row],[Pos]]="G",assumptions!$B$16)</f>
        <v>1.3536585365853659</v>
      </c>
    </row>
    <row r="845" spans="1:13" x14ac:dyDescent="0.3">
      <c r="A845">
        <f>'score estimates'!$A845</f>
        <v>842</v>
      </c>
      <c r="B845" t="str">
        <f>'score estimates'!$B845</f>
        <v>Cale Fleury</v>
      </c>
      <c r="C845" t="str">
        <f>'score estimates'!$D845</f>
        <v>D</v>
      </c>
      <c r="D845" t="str">
        <f>'score estimates'!$C845</f>
        <v>SEA</v>
      </c>
      <c r="E845" s="75">
        <f>'score estimates'!$F845</f>
        <v>1.3780487804878048</v>
      </c>
      <c r="F845" s="71">
        <f>'score estimates'!$G845</f>
        <v>892</v>
      </c>
      <c r="G845" s="71" t="s">
        <v>983</v>
      </c>
      <c r="H845" s="72" cm="1">
        <f t="array" aca="1" ref="H84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45" s="96">
        <f ca="1">IF(Table2[[#This Row],[Team]]="FA",0,Table2[[#This Row],[Pts/G]]*(1-Table2[[#This Row],[% Pos Overlap]]))</f>
        <v>1.3780487804878048</v>
      </c>
      <c r="J845" s="72" cm="1">
        <f t="array" aca="1" ref="J845" ca="1">(INDIRECT(ADDRESS((_xlfn.XMATCH(Table2[[#This Row],[Team]],Schedule!$A$1:$A$33)),5,1,1,"Sched Overlap")))</f>
        <v>0.63085063085063087</v>
      </c>
      <c r="K845" s="92" cm="1">
        <f t="array" aca="1" ref="K84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45" s="95">
        <f ca="1">IF(Table2[[#This Row],[Team]]="FA",0,Table2[[#This Row],[Pts/G]]*(Table2[[#This Row],[Games Playable]]/82))</f>
        <v>1.3780487804878048</v>
      </c>
      <c r="M845" s="95" cm="1">
        <f t="array" aca="1" ref="M845" ca="1">Table2[[#This Row],[Playable x Score]]*_xlfn.IFS(Table2[[#This Row],[Pos]]="D",assumptions!$B$15,Table2[[#This Row],[Pos]]="F", assumptions!$B$14,Table2[[#This Row],[Pos]]="G",assumptions!$B$16)</f>
        <v>1.722560975609756</v>
      </c>
    </row>
    <row r="846" spans="1:13" x14ac:dyDescent="0.3">
      <c r="A846">
        <f>'score estimates'!$A846</f>
        <v>843</v>
      </c>
      <c r="B846" t="str">
        <f>'score estimates'!$B846</f>
        <v>Scott Reedy</v>
      </c>
      <c r="C846" t="str">
        <f>'score estimates'!$D846</f>
        <v>F</v>
      </c>
      <c r="D846" t="str">
        <f>'score estimates'!$C846</f>
        <v>SJ</v>
      </c>
      <c r="E846" s="75">
        <f>'score estimates'!$F846</f>
        <v>1.2926829268292683</v>
      </c>
      <c r="F846" s="71">
        <f>'score estimates'!$G846</f>
        <v>901</v>
      </c>
      <c r="G846" s="71" t="s">
        <v>983</v>
      </c>
      <c r="H846" s="72" cm="1">
        <f t="array" aca="1" ref="H84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46" s="96">
        <f ca="1">IF(Table2[[#This Row],[Team]]="FA",0,Table2[[#This Row],[Pts/G]]*(1-Table2[[#This Row],[% Pos Overlap]]))</f>
        <v>1.2926829268292683</v>
      </c>
      <c r="J846" s="72" cm="1">
        <f t="array" aca="1" ref="J846" ca="1">(INDIRECT(ADDRESS((_xlfn.XMATCH(Table2[[#This Row],[Team]],Schedule!$A$1:$A$33)),5,1,1,"Sched Overlap")))</f>
        <v>0.63492063492063477</v>
      </c>
      <c r="K846" s="92" cm="1">
        <f t="array" aca="1" ref="K84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46" s="95">
        <f ca="1">IF(Table2[[#This Row],[Team]]="FA",0,Table2[[#This Row],[Pts/G]]*(Table2[[#This Row],[Games Playable]]/82))</f>
        <v>1.2926829268292683</v>
      </c>
      <c r="M846" s="95" cm="1">
        <f t="array" aca="1" ref="M846" ca="1">Table2[[#This Row],[Playable x Score]]*_xlfn.IFS(Table2[[#This Row],[Pos]]="D",assumptions!$B$15,Table2[[#This Row],[Pos]]="F", assumptions!$B$14,Table2[[#This Row],[Pos]]="G",assumptions!$B$16)</f>
        <v>1.2926829268292683</v>
      </c>
    </row>
    <row r="847" spans="1:13" x14ac:dyDescent="0.3">
      <c r="A847">
        <f>'score estimates'!$A847</f>
        <v>844</v>
      </c>
      <c r="B847" t="str">
        <f>'score estimates'!$B847</f>
        <v>Lias Andersson</v>
      </c>
      <c r="C847" t="str">
        <f>'score estimates'!$D847</f>
        <v>F</v>
      </c>
      <c r="D847" t="str">
        <f>'score estimates'!$C847</f>
        <v>LA</v>
      </c>
      <c r="E847" s="75">
        <f>'score estimates'!$F847</f>
        <v>0.85365853658536583</v>
      </c>
      <c r="F847" s="71">
        <f>'score estimates'!$G847</f>
        <v>955</v>
      </c>
      <c r="G847" s="71" t="s">
        <v>983</v>
      </c>
      <c r="H847" s="72" cm="1">
        <f t="array" aca="1" ref="H84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47" s="96">
        <f ca="1">IF(Table2[[#This Row],[Team]]="FA",0,Table2[[#This Row],[Pts/G]]*(1-Table2[[#This Row],[% Pos Overlap]]))</f>
        <v>0.85365853658536583</v>
      </c>
      <c r="J847" s="72" cm="1">
        <f t="array" aca="1" ref="J847" ca="1">(INDIRECT(ADDRESS((_xlfn.XMATCH(Table2[[#This Row],[Team]],Schedule!$A$1:$A$33)),5,1,1,"Sched Overlap")))</f>
        <v>0.65201465201465225</v>
      </c>
      <c r="K847" s="92" cm="1">
        <f t="array" aca="1" ref="K84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47" s="95">
        <f ca="1">IF(Table2[[#This Row],[Team]]="FA",0,Table2[[#This Row],[Pts/G]]*(Table2[[#This Row],[Games Playable]]/82))</f>
        <v>0.85365853658536583</v>
      </c>
      <c r="M847" s="95" cm="1">
        <f t="array" aca="1" ref="M847" ca="1">Table2[[#This Row],[Playable x Score]]*_xlfn.IFS(Table2[[#This Row],[Pos]]="D",assumptions!$B$15,Table2[[#This Row],[Pos]]="F", assumptions!$B$14,Table2[[#This Row],[Pos]]="G",assumptions!$B$16)</f>
        <v>0.85365853658536583</v>
      </c>
    </row>
    <row r="848" spans="1:13" x14ac:dyDescent="0.3">
      <c r="A848">
        <f>'score estimates'!$A848</f>
        <v>845</v>
      </c>
      <c r="B848" t="str">
        <f>'score estimates'!$B848</f>
        <v>Riley Tufte</v>
      </c>
      <c r="C848" t="str">
        <f>'score estimates'!$D848</f>
        <v>F</v>
      </c>
      <c r="D848" t="str">
        <f>'score estimates'!$C848</f>
        <v>DAL</v>
      </c>
      <c r="E848" s="75">
        <f>'score estimates'!$F848</f>
        <v>0.8902439024390244</v>
      </c>
      <c r="F848" s="71">
        <f>'score estimates'!$G848</f>
        <v>951</v>
      </c>
      <c r="G848" s="71" t="s">
        <v>983</v>
      </c>
      <c r="H848" s="72" cm="1">
        <f t="array" aca="1" ref="H84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48" s="96">
        <f ca="1">IF(Table2[[#This Row],[Team]]="FA",0,Table2[[#This Row],[Pts/G]]*(1-Table2[[#This Row],[% Pos Overlap]]))</f>
        <v>0.8902439024390244</v>
      </c>
      <c r="J848" s="72" cm="1">
        <f t="array" aca="1" ref="J848" ca="1">(INDIRECT(ADDRESS((_xlfn.XMATCH(Table2[[#This Row],[Team]],Schedule!$A$1:$A$33)),5,1,1,"Sched Overlap")))</f>
        <v>0.65364265364265373</v>
      </c>
      <c r="K848" s="92" cm="1">
        <f t="array" aca="1" ref="K84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48" s="95">
        <f ca="1">IF(Table2[[#This Row],[Team]]="FA",0,Table2[[#This Row],[Pts/G]]*(Table2[[#This Row],[Games Playable]]/82))</f>
        <v>0.8902439024390244</v>
      </c>
      <c r="M848" s="95" cm="1">
        <f t="array" aca="1" ref="M848" ca="1">Table2[[#This Row],[Playable x Score]]*_xlfn.IFS(Table2[[#This Row],[Pos]]="D",assumptions!$B$15,Table2[[#This Row],[Pos]]="F", assumptions!$B$14,Table2[[#This Row],[Pos]]="G",assumptions!$B$16)</f>
        <v>0.8902439024390244</v>
      </c>
    </row>
    <row r="849" spans="1:13" x14ac:dyDescent="0.3">
      <c r="A849">
        <f>'score estimates'!$A849</f>
        <v>846</v>
      </c>
      <c r="B849" t="str">
        <f>'score estimates'!$B849</f>
        <v>Fredrik Karlstrom</v>
      </c>
      <c r="C849" t="str">
        <f>'score estimates'!$D849</f>
        <v>F</v>
      </c>
      <c r="D849" t="str">
        <f>'score estimates'!$C849</f>
        <v>DAL</v>
      </c>
      <c r="E849" s="75">
        <f>'score estimates'!$F849</f>
        <v>1.2317073170731707</v>
      </c>
      <c r="F849" s="71">
        <f>'score estimates'!$G849</f>
        <v>910</v>
      </c>
      <c r="G849" s="71" t="s">
        <v>983</v>
      </c>
      <c r="H849" s="72" cm="1">
        <f t="array" aca="1" ref="H84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49" s="96">
        <f ca="1">IF(Table2[[#This Row],[Team]]="FA",0,Table2[[#This Row],[Pts/G]]*(1-Table2[[#This Row],[% Pos Overlap]]))</f>
        <v>1.2317073170731707</v>
      </c>
      <c r="J849" s="72" cm="1">
        <f t="array" aca="1" ref="J849" ca="1">(INDIRECT(ADDRESS((_xlfn.XMATCH(Table2[[#This Row],[Team]],Schedule!$A$1:$A$33)),5,1,1,"Sched Overlap")))</f>
        <v>0.65364265364265373</v>
      </c>
      <c r="K849" s="92" cm="1">
        <f t="array" aca="1" ref="K84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49" s="95">
        <f ca="1">IF(Table2[[#This Row],[Team]]="FA",0,Table2[[#This Row],[Pts/G]]*(Table2[[#This Row],[Games Playable]]/82))</f>
        <v>1.2317073170731707</v>
      </c>
      <c r="M849" s="95" cm="1">
        <f t="array" aca="1" ref="M849" ca="1">Table2[[#This Row],[Playable x Score]]*_xlfn.IFS(Table2[[#This Row],[Pos]]="D",assumptions!$B$15,Table2[[#This Row],[Pos]]="F", assumptions!$B$14,Table2[[#This Row],[Pos]]="G",assumptions!$B$16)</f>
        <v>1.2317073170731707</v>
      </c>
    </row>
    <row r="850" spans="1:13" x14ac:dyDescent="0.3">
      <c r="A850">
        <f>'score estimates'!$A850</f>
        <v>847</v>
      </c>
      <c r="B850" t="str">
        <f>'score estimates'!$B850</f>
        <v>Wade Allison</v>
      </c>
      <c r="C850" t="str">
        <f>'score estimates'!$D850</f>
        <v>F</v>
      </c>
      <c r="D850" t="str">
        <f>'score estimates'!$C850</f>
        <v>PHI</v>
      </c>
      <c r="E850" s="75">
        <f>'score estimates'!$F850</f>
        <v>0.92682926829268297</v>
      </c>
      <c r="F850" s="71">
        <f>'score estimates'!$G850</f>
        <v>947</v>
      </c>
      <c r="G850" s="71" t="s">
        <v>983</v>
      </c>
      <c r="H850" s="72" cm="1">
        <f t="array" aca="1" ref="H85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50" s="96">
        <f ca="1">IF(Table2[[#This Row],[Team]]="FA",0,Table2[[#This Row],[Pts/G]]*(1-Table2[[#This Row],[% Pos Overlap]]))</f>
        <v>0.92682926829268297</v>
      </c>
      <c r="J850" s="72" cm="1">
        <f t="array" aca="1" ref="J850" ca="1">(INDIRECT(ADDRESS((_xlfn.XMATCH(Table2[[#This Row],[Team]],Schedule!$A$1:$A$33)),5,1,1,"Sched Overlap")))</f>
        <v>0.66910866910866917</v>
      </c>
      <c r="K850" s="92" cm="1">
        <f t="array" aca="1" ref="K85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50" s="95">
        <f ca="1">IF(Table2[[#This Row],[Team]]="FA",0,Table2[[#This Row],[Pts/G]]*(Table2[[#This Row],[Games Playable]]/82))</f>
        <v>0.92682926829268297</v>
      </c>
      <c r="M850" s="95" cm="1">
        <f t="array" aca="1" ref="M850" ca="1">Table2[[#This Row],[Playable x Score]]*_xlfn.IFS(Table2[[#This Row],[Pos]]="D",assumptions!$B$15,Table2[[#This Row],[Pos]]="F", assumptions!$B$14,Table2[[#This Row],[Pos]]="G",assumptions!$B$16)</f>
        <v>0.92682926829268297</v>
      </c>
    </row>
    <row r="851" spans="1:13" x14ac:dyDescent="0.3">
      <c r="A851">
        <f>'score estimates'!$A851</f>
        <v>848</v>
      </c>
      <c r="B851" t="str">
        <f>'score estimates'!$B851</f>
        <v>Brendan Guhle</v>
      </c>
      <c r="C851" t="str">
        <f>'score estimates'!$D851</f>
        <v>D</v>
      </c>
      <c r="D851" t="str">
        <f>'score estimates'!$C851</f>
        <v>FA</v>
      </c>
      <c r="E851" s="75">
        <f>'score estimates'!$F851</f>
        <v>1.3170731707317074</v>
      </c>
      <c r="F851" s="71">
        <f>'score estimates'!$G851</f>
        <v>898</v>
      </c>
      <c r="G851" s="71" t="s">
        <v>983</v>
      </c>
      <c r="H851" s="72" t="e" cm="1">
        <f t="array" aca="1" ref="H851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851" s="96">
        <f>IF(Table2[[#This Row],[Team]]="FA",0,Table2[[#This Row],[Pts/G]]*(1-Table2[[#This Row],[% Pos Overlap]]))</f>
        <v>0</v>
      </c>
      <c r="J851" s="72" t="e" cm="1">
        <f t="array" aca="1" ref="J851" ca="1">(INDIRECT(ADDRESS((_xlfn.XMATCH(Table2[[#This Row],[Team]],Schedule!$A$1:$A$33)),5,1,1,"Sched Overlap")))</f>
        <v>#N/A</v>
      </c>
      <c r="K851" s="92" t="e" cm="1">
        <f t="array" aca="1" ref="K851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851" s="95">
        <f>IF(Table2[[#This Row],[Team]]="FA",0,Table2[[#This Row],[Pts/G]]*(Table2[[#This Row],[Games Playable]]/82))</f>
        <v>0</v>
      </c>
      <c r="M851" s="95" cm="1">
        <f t="array" ref="M851">Table2[[#This Row],[Playable x Score]]*_xlfn.IFS(Table2[[#This Row],[Pos]]="D",assumptions!$B$15,Table2[[#This Row],[Pos]]="F", assumptions!$B$14,Table2[[#This Row],[Pos]]="G",assumptions!$B$16)</f>
        <v>0</v>
      </c>
    </row>
    <row r="852" spans="1:13" x14ac:dyDescent="0.3">
      <c r="A852">
        <f>'score estimates'!$A852</f>
        <v>849</v>
      </c>
      <c r="B852" t="str">
        <f>'score estimates'!$B852</f>
        <v>Elvis Merzlikins</v>
      </c>
      <c r="C852" t="str">
        <f>'score estimates'!$D852</f>
        <v>G</v>
      </c>
      <c r="D852" t="str">
        <f>'score estimates'!$C852</f>
        <v>CLS</v>
      </c>
      <c r="E852" s="75">
        <f>'score estimates'!$F852</f>
        <v>26.646341463414632</v>
      </c>
      <c r="F852" s="71">
        <f>'score estimates'!$G852</f>
        <v>128</v>
      </c>
      <c r="G852" s="71" t="s">
        <v>983</v>
      </c>
      <c r="H852" s="72" cm="1">
        <f t="array" aca="1" ref="H85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52" s="96">
        <f ca="1">IF(Table2[[#This Row],[Team]]="FA",0,Table2[[#This Row],[Pts/G]]*(1-Table2[[#This Row],[% Pos Overlap]]))</f>
        <v>26.646341463414632</v>
      </c>
      <c r="J852" s="72" cm="1">
        <f t="array" aca="1" ref="J852" ca="1">(INDIRECT(ADDRESS((_xlfn.XMATCH(Table2[[#This Row],[Team]],Schedule!$A$1:$A$33)),5,1,1,"Sched Overlap")))</f>
        <v>0.64875864875864886</v>
      </c>
      <c r="K852" s="92" cm="1">
        <f t="array" aca="1" ref="K85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52" s="95">
        <f ca="1">IF(Table2[[#This Row],[Team]]="FA",0,Table2[[#This Row],[Pts/G]]*(Table2[[#This Row],[Games Playable]]/82))</f>
        <v>26.646341463414632</v>
      </c>
      <c r="M852" s="95" cm="1">
        <f t="array" aca="1" ref="M852" ca="1">Table2[[#This Row],[Playable x Score]]*_xlfn.IFS(Table2[[#This Row],[Pos]]="D",assumptions!$B$15,Table2[[#This Row],[Pos]]="F", assumptions!$B$14,Table2[[#This Row],[Pos]]="G",assumptions!$B$16)</f>
        <v>29.310975609756099</v>
      </c>
    </row>
    <row r="853" spans="1:13" x14ac:dyDescent="0.3">
      <c r="A853">
        <f>'score estimates'!$A853</f>
        <v>850</v>
      </c>
      <c r="B853" t="str">
        <f>'score estimates'!$B853</f>
        <v>Haydn Fleury</v>
      </c>
      <c r="C853" t="str">
        <f>'score estimates'!$D853</f>
        <v>D</v>
      </c>
      <c r="D853" t="str">
        <f>'score estimates'!$C853</f>
        <v>TB</v>
      </c>
      <c r="E853" s="75">
        <f>'score estimates'!$F853</f>
        <v>2.3048780487804876</v>
      </c>
      <c r="F853" s="71">
        <f>'score estimates'!$G853</f>
        <v>835</v>
      </c>
      <c r="G853" s="71" t="s">
        <v>983</v>
      </c>
      <c r="H853" s="72" cm="1">
        <f t="array" aca="1" ref="H85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53" s="96">
        <f ca="1">IF(Table2[[#This Row],[Team]]="FA",0,Table2[[#This Row],[Pts/G]]*(1-Table2[[#This Row],[% Pos Overlap]]))</f>
        <v>2.3048780487804876</v>
      </c>
      <c r="J853" s="72" cm="1">
        <f t="array" aca="1" ref="J853" ca="1">(INDIRECT(ADDRESS((_xlfn.XMATCH(Table2[[#This Row],[Team]],Schedule!$A$1:$A$33)),5,1,1,"Sched Overlap")))</f>
        <v>0.66422466422466431</v>
      </c>
      <c r="K853" s="92" cm="1">
        <f t="array" aca="1" ref="K85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53" s="95">
        <f ca="1">IF(Table2[[#This Row],[Team]]="FA",0,Table2[[#This Row],[Pts/G]]*(Table2[[#This Row],[Games Playable]]/82))</f>
        <v>2.3048780487804876</v>
      </c>
      <c r="M853" s="95" cm="1">
        <f t="array" aca="1" ref="M853" ca="1">Table2[[#This Row],[Playable x Score]]*_xlfn.IFS(Table2[[#This Row],[Pos]]="D",assumptions!$B$15,Table2[[#This Row],[Pos]]="F", assumptions!$B$14,Table2[[#This Row],[Pos]]="G",assumptions!$B$16)</f>
        <v>2.8810975609756095</v>
      </c>
    </row>
    <row r="854" spans="1:13" x14ac:dyDescent="0.3">
      <c r="A854">
        <f>'score estimates'!$A854</f>
        <v>851</v>
      </c>
      <c r="B854" t="str">
        <f>'score estimates'!$B854</f>
        <v>Thatcher Demko</v>
      </c>
      <c r="C854" t="str">
        <f>'score estimates'!$D854</f>
        <v>G</v>
      </c>
      <c r="D854" t="str">
        <f>'score estimates'!$C854</f>
        <v>VAN</v>
      </c>
      <c r="E854" s="75">
        <f>'score estimates'!$F854</f>
        <v>36.634146341463413</v>
      </c>
      <c r="F854" s="71">
        <f>'score estimates'!$G854</f>
        <v>37</v>
      </c>
      <c r="G854" s="71" t="s">
        <v>983</v>
      </c>
      <c r="H854" s="72" cm="1">
        <f t="array" aca="1" ref="H85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54" s="96">
        <f ca="1">IF(Table2[[#This Row],[Team]]="FA",0,Table2[[#This Row],[Pts/G]]*(1-Table2[[#This Row],[% Pos Overlap]]))</f>
        <v>36.634146341463413</v>
      </c>
      <c r="J854" s="72" cm="1">
        <f t="array" aca="1" ref="J854" ca="1">(INDIRECT(ADDRESS((_xlfn.XMATCH(Table2[[#This Row],[Team]],Schedule!$A$1:$A$33)),5,1,1,"Sched Overlap")))</f>
        <v>0.62922262922262917</v>
      </c>
      <c r="K854" s="92" cm="1">
        <f t="array" aca="1" ref="K85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54" s="95">
        <f ca="1">IF(Table2[[#This Row],[Team]]="FA",0,Table2[[#This Row],[Pts/G]]*(Table2[[#This Row],[Games Playable]]/82))</f>
        <v>36.634146341463413</v>
      </c>
      <c r="M854" s="95" cm="1">
        <f t="array" aca="1" ref="M854" ca="1">Table2[[#This Row],[Playable x Score]]*_xlfn.IFS(Table2[[#This Row],[Pos]]="D",assumptions!$B$15,Table2[[#This Row],[Pos]]="F", assumptions!$B$14,Table2[[#This Row],[Pos]]="G",assumptions!$B$16)</f>
        <v>40.297560975609755</v>
      </c>
    </row>
    <row r="855" spans="1:13" x14ac:dyDescent="0.3">
      <c r="A855">
        <f>'score estimates'!$A855</f>
        <v>852</v>
      </c>
      <c r="B855" t="str">
        <f>'score estimates'!$B855</f>
        <v>Alex Nedeljkovic</v>
      </c>
      <c r="C855" t="str">
        <f>'score estimates'!$D855</f>
        <v>G</v>
      </c>
      <c r="D855" t="str">
        <f>'score estimates'!$C855</f>
        <v>DET</v>
      </c>
      <c r="E855" s="75">
        <f>'score estimates'!$F855</f>
        <v>23.26829268292683</v>
      </c>
      <c r="F855" s="71">
        <f>'score estimates'!$G855</f>
        <v>178</v>
      </c>
      <c r="G855" s="71" t="s">
        <v>983</v>
      </c>
      <c r="H855" s="72" cm="1">
        <f t="array" aca="1" ref="H85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55" s="96">
        <f ca="1">IF(Table2[[#This Row],[Team]]="FA",0,Table2[[#This Row],[Pts/G]]*(1-Table2[[#This Row],[% Pos Overlap]]))</f>
        <v>23.26829268292683</v>
      </c>
      <c r="J855" s="72" cm="1">
        <f t="array" aca="1" ref="J855" ca="1">(INDIRECT(ADDRESS((_xlfn.XMATCH(Table2[[#This Row],[Team]],Schedule!$A$1:$A$33)),5,1,1,"Sched Overlap")))</f>
        <v>0.64550264550264547</v>
      </c>
      <c r="K855" s="92" cm="1">
        <f t="array" aca="1" ref="K85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55" s="95">
        <f ca="1">IF(Table2[[#This Row],[Team]]="FA",0,Table2[[#This Row],[Pts/G]]*(Table2[[#This Row],[Games Playable]]/82))</f>
        <v>23.26829268292683</v>
      </c>
      <c r="M855" s="95" cm="1">
        <f t="array" aca="1" ref="M855" ca="1">Table2[[#This Row],[Playable x Score]]*_xlfn.IFS(Table2[[#This Row],[Pos]]="D",assumptions!$B$15,Table2[[#This Row],[Pos]]="F", assumptions!$B$14,Table2[[#This Row],[Pos]]="G",assumptions!$B$16)</f>
        <v>25.595121951219515</v>
      </c>
    </row>
    <row r="856" spans="1:13" x14ac:dyDescent="0.3">
      <c r="A856">
        <f>'score estimates'!$A856</f>
        <v>853</v>
      </c>
      <c r="B856" t="str">
        <f>'score estimates'!$B856</f>
        <v>Austin Czarnik</v>
      </c>
      <c r="C856" t="str">
        <f>'score estimates'!$D856</f>
        <v>F</v>
      </c>
      <c r="D856" t="str">
        <f>'score estimates'!$C856</f>
        <v>DET</v>
      </c>
      <c r="E856" s="75">
        <f>'score estimates'!$F856</f>
        <v>0.86585365853658536</v>
      </c>
      <c r="F856" s="71">
        <f>'score estimates'!$G856</f>
        <v>954</v>
      </c>
      <c r="G856" s="71" t="s">
        <v>983</v>
      </c>
      <c r="H856" s="72" cm="1">
        <f t="array" aca="1" ref="H85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56" s="96">
        <f ca="1">IF(Table2[[#This Row],[Team]]="FA",0,Table2[[#This Row],[Pts/G]]*(1-Table2[[#This Row],[% Pos Overlap]]))</f>
        <v>0.86585365853658536</v>
      </c>
      <c r="J856" s="72" cm="1">
        <f t="array" aca="1" ref="J856" ca="1">(INDIRECT(ADDRESS((_xlfn.XMATCH(Table2[[#This Row],[Team]],Schedule!$A$1:$A$33)),5,1,1,"Sched Overlap")))</f>
        <v>0.64550264550264547</v>
      </c>
      <c r="K856" s="92" cm="1">
        <f t="array" aca="1" ref="K85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56" s="95">
        <f ca="1">IF(Table2[[#This Row],[Team]]="FA",0,Table2[[#This Row],[Pts/G]]*(Table2[[#This Row],[Games Playable]]/82))</f>
        <v>0.86585365853658536</v>
      </c>
      <c r="M856" s="95" cm="1">
        <f t="array" aca="1" ref="M856" ca="1">Table2[[#This Row],[Playable x Score]]*_xlfn.IFS(Table2[[#This Row],[Pos]]="D",assumptions!$B$15,Table2[[#This Row],[Pos]]="F", assumptions!$B$14,Table2[[#This Row],[Pos]]="G",assumptions!$B$16)</f>
        <v>0.86585365853658536</v>
      </c>
    </row>
    <row r="857" spans="1:13" x14ac:dyDescent="0.3">
      <c r="A857">
        <f>'score estimates'!$A857</f>
        <v>854</v>
      </c>
      <c r="B857" t="str">
        <f>'score estimates'!$B857</f>
        <v>Adin Hill</v>
      </c>
      <c r="C857" t="str">
        <f>'score estimates'!$D857</f>
        <v>G</v>
      </c>
      <c r="D857" t="str">
        <f>'score estimates'!$C857</f>
        <v>VGK</v>
      </c>
      <c r="E857" s="75">
        <f>'score estimates'!$F857</f>
        <v>2.2317073170731709</v>
      </c>
      <c r="F857" s="71">
        <f>'score estimates'!$G857</f>
        <v>839</v>
      </c>
      <c r="G857" s="71" t="s">
        <v>983</v>
      </c>
      <c r="H857" s="72" cm="1">
        <f t="array" aca="1" ref="H85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57" s="96">
        <f ca="1">IF(Table2[[#This Row],[Team]]="FA",0,Table2[[#This Row],[Pts/G]]*(1-Table2[[#This Row],[% Pos Overlap]]))</f>
        <v>2.2317073170731709</v>
      </c>
      <c r="J857" s="72" cm="1">
        <f t="array" aca="1" ref="J857" ca="1">(INDIRECT(ADDRESS((_xlfn.XMATCH(Table2[[#This Row],[Team]],Schedule!$A$1:$A$33)),5,1,1,"Sched Overlap")))</f>
        <v>0.66992266992266991</v>
      </c>
      <c r="K857" s="92" cm="1">
        <f t="array" aca="1" ref="K85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57" s="95">
        <f ca="1">IF(Table2[[#This Row],[Team]]="FA",0,Table2[[#This Row],[Pts/G]]*(Table2[[#This Row],[Games Playable]]/82))</f>
        <v>2.2317073170731709</v>
      </c>
      <c r="M857" s="95" cm="1">
        <f t="array" aca="1" ref="M857" ca="1">Table2[[#This Row],[Playable x Score]]*_xlfn.IFS(Table2[[#This Row],[Pos]]="D",assumptions!$B$15,Table2[[#This Row],[Pos]]="F", assumptions!$B$14,Table2[[#This Row],[Pos]]="G",assumptions!$B$16)</f>
        <v>2.4548780487804884</v>
      </c>
    </row>
    <row r="858" spans="1:13" x14ac:dyDescent="0.3">
      <c r="A858">
        <f>'score estimates'!$A858</f>
        <v>855</v>
      </c>
      <c r="B858" t="str">
        <f>'score estimates'!$B858</f>
        <v>Frederik Gauthier</v>
      </c>
      <c r="C858" t="str">
        <f>'score estimates'!$D858</f>
        <v>F</v>
      </c>
      <c r="D858" t="str">
        <f>'score estimates'!$C858</f>
        <v>FA</v>
      </c>
      <c r="E858" s="75">
        <f>'score estimates'!$F858</f>
        <v>1.024390243902439</v>
      </c>
      <c r="F858" s="71">
        <f>'score estimates'!$G858</f>
        <v>933</v>
      </c>
      <c r="G858" s="71" t="s">
        <v>983</v>
      </c>
      <c r="H858" s="72" t="e" cm="1">
        <f t="array" aca="1" ref="H858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858" s="96">
        <f>IF(Table2[[#This Row],[Team]]="FA",0,Table2[[#This Row],[Pts/G]]*(1-Table2[[#This Row],[% Pos Overlap]]))</f>
        <v>0</v>
      </c>
      <c r="J858" s="72" t="e" cm="1">
        <f t="array" aca="1" ref="J858" ca="1">(INDIRECT(ADDRESS((_xlfn.XMATCH(Table2[[#This Row],[Team]],Schedule!$A$1:$A$33)),5,1,1,"Sched Overlap")))</f>
        <v>#N/A</v>
      </c>
      <c r="K858" s="92" t="e" cm="1">
        <f t="array" aca="1" ref="K858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858" s="95">
        <f>IF(Table2[[#This Row],[Team]]="FA",0,Table2[[#This Row],[Pts/G]]*(Table2[[#This Row],[Games Playable]]/82))</f>
        <v>0</v>
      </c>
      <c r="M858" s="95" cm="1">
        <f t="array" ref="M858">Table2[[#This Row],[Playable x Score]]*_xlfn.IFS(Table2[[#This Row],[Pos]]="D",assumptions!$B$15,Table2[[#This Row],[Pos]]="F", assumptions!$B$14,Table2[[#This Row],[Pos]]="G",assumptions!$B$16)</f>
        <v>0</v>
      </c>
    </row>
    <row r="859" spans="1:13" x14ac:dyDescent="0.3">
      <c r="A859">
        <f>'score estimates'!$A859</f>
        <v>856</v>
      </c>
      <c r="B859" t="str">
        <f>'score estimates'!$B859</f>
        <v>Connor Hellebuyck</v>
      </c>
      <c r="C859" t="str">
        <f>'score estimates'!$D859</f>
        <v>G</v>
      </c>
      <c r="D859" t="str">
        <f>'score estimates'!$C859</f>
        <v>WPG</v>
      </c>
      <c r="E859" s="75">
        <f>'score estimates'!$F859</f>
        <v>33.341463414634148</v>
      </c>
      <c r="F859" s="71">
        <f>'score estimates'!$G859</f>
        <v>57</v>
      </c>
      <c r="G859" s="71" t="s">
        <v>983</v>
      </c>
      <c r="H859" s="72" cm="1">
        <f t="array" aca="1" ref="H85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59" s="96">
        <f ca="1">IF(Table2[[#This Row],[Team]]="FA",0,Table2[[#This Row],[Pts/G]]*(1-Table2[[#This Row],[% Pos Overlap]]))</f>
        <v>33.341463414634148</v>
      </c>
      <c r="J859" s="72" cm="1">
        <f t="array" aca="1" ref="J859" ca="1">(INDIRECT(ADDRESS((_xlfn.XMATCH(Table2[[#This Row],[Team]],Schedule!$A$1:$A$33)),5,1,1,"Sched Overlap")))</f>
        <v>0.61212861212861214</v>
      </c>
      <c r="K859" s="92" cm="1">
        <f t="array" aca="1" ref="K85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59" s="95">
        <f ca="1">IF(Table2[[#This Row],[Team]]="FA",0,Table2[[#This Row],[Pts/G]]*(Table2[[#This Row],[Games Playable]]/82))</f>
        <v>33.341463414634148</v>
      </c>
      <c r="M859" s="95" cm="1">
        <f t="array" aca="1" ref="M859" ca="1">Table2[[#This Row],[Playable x Score]]*_xlfn.IFS(Table2[[#This Row],[Pos]]="D",assumptions!$B$15,Table2[[#This Row],[Pos]]="F", assumptions!$B$14,Table2[[#This Row],[Pos]]="G",assumptions!$B$16)</f>
        <v>36.675609756097565</v>
      </c>
    </row>
    <row r="860" spans="1:13" x14ac:dyDescent="0.3">
      <c r="A860">
        <f>'score estimates'!$A860</f>
        <v>857</v>
      </c>
      <c r="B860" t="str">
        <f>'score estimates'!$B860</f>
        <v>Michael Dal Colle</v>
      </c>
      <c r="C860" t="str">
        <f>'score estimates'!$D860</f>
        <v>F</v>
      </c>
      <c r="D860" t="str">
        <f>'score estimates'!$C860</f>
        <v>OTT</v>
      </c>
      <c r="E860" s="75">
        <f>'score estimates'!$F860</f>
        <v>1.2560975609756098</v>
      </c>
      <c r="F860" s="71">
        <f>'score estimates'!$G860</f>
        <v>905</v>
      </c>
      <c r="G860" s="71" t="s">
        <v>983</v>
      </c>
      <c r="H860" s="72" cm="1">
        <f t="array" aca="1" ref="H86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60" s="96">
        <f ca="1">IF(Table2[[#This Row],[Team]]="FA",0,Table2[[#This Row],[Pts/G]]*(1-Table2[[#This Row],[% Pos Overlap]]))</f>
        <v>1.2560975609756098</v>
      </c>
      <c r="J860" s="72" cm="1">
        <f t="array" aca="1" ref="J860" ca="1">(INDIRECT(ADDRESS((_xlfn.XMATCH(Table2[[#This Row],[Team]],Schedule!$A$1:$A$33)),5,1,1,"Sched Overlap")))</f>
        <v>0.64306064306064303</v>
      </c>
      <c r="K860" s="92" cm="1">
        <f t="array" aca="1" ref="K86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60" s="95">
        <f ca="1">IF(Table2[[#This Row],[Team]]="FA",0,Table2[[#This Row],[Pts/G]]*(Table2[[#This Row],[Games Playable]]/82))</f>
        <v>1.2560975609756098</v>
      </c>
      <c r="M860" s="95" cm="1">
        <f t="array" aca="1" ref="M860" ca="1">Table2[[#This Row],[Playable x Score]]*_xlfn.IFS(Table2[[#This Row],[Pos]]="D",assumptions!$B$15,Table2[[#This Row],[Pos]]="F", assumptions!$B$14,Table2[[#This Row],[Pos]]="G",assumptions!$B$16)</f>
        <v>1.2560975609756098</v>
      </c>
    </row>
    <row r="861" spans="1:13" x14ac:dyDescent="0.3">
      <c r="A861">
        <f>'score estimates'!$A861</f>
        <v>858</v>
      </c>
      <c r="B861" t="str">
        <f>'score estimates'!$B861</f>
        <v>Andrej Sustr</v>
      </c>
      <c r="C861" t="str">
        <f>'score estimates'!$D861</f>
        <v>D</v>
      </c>
      <c r="D861" t="str">
        <f>'score estimates'!$C861</f>
        <v>MIN</v>
      </c>
      <c r="E861" s="75">
        <f>'score estimates'!$F861</f>
        <v>1.524390243902439</v>
      </c>
      <c r="F861" s="71">
        <f>'score estimates'!$G861</f>
        <v>882</v>
      </c>
      <c r="G861" s="71" t="s">
        <v>983</v>
      </c>
      <c r="H861" s="72" cm="1">
        <f t="array" aca="1" ref="H86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61" s="96">
        <f ca="1">IF(Table2[[#This Row],[Team]]="FA",0,Table2[[#This Row],[Pts/G]]*(1-Table2[[#This Row],[% Pos Overlap]]))</f>
        <v>1.524390243902439</v>
      </c>
      <c r="J861" s="72" cm="1">
        <f t="array" aca="1" ref="J861" ca="1">(INDIRECT(ADDRESS((_xlfn.XMATCH(Table2[[#This Row],[Team]],Schedule!$A$1:$A$33)),5,1,1,"Sched Overlap")))</f>
        <v>0.62108262108262113</v>
      </c>
      <c r="K861" s="92" cm="1">
        <f t="array" aca="1" ref="K86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61" s="95">
        <f ca="1">IF(Table2[[#This Row],[Team]]="FA",0,Table2[[#This Row],[Pts/G]]*(Table2[[#This Row],[Games Playable]]/82))</f>
        <v>1.524390243902439</v>
      </c>
      <c r="M861" s="95" cm="1">
        <f t="array" aca="1" ref="M861" ca="1">Table2[[#This Row],[Playable x Score]]*_xlfn.IFS(Table2[[#This Row],[Pos]]="D",assumptions!$B$15,Table2[[#This Row],[Pos]]="F", assumptions!$B$14,Table2[[#This Row],[Pos]]="G",assumptions!$B$16)</f>
        <v>1.9054878048780488</v>
      </c>
    </row>
    <row r="862" spans="1:13" x14ac:dyDescent="0.3">
      <c r="A862">
        <f>'score estimates'!$A862</f>
        <v>859</v>
      </c>
      <c r="B862" t="str">
        <f>'score estimates'!$B862</f>
        <v>Martin Frk</v>
      </c>
      <c r="C862" t="str">
        <f>'score estimates'!$D862</f>
        <v>F</v>
      </c>
      <c r="D862" t="str">
        <f>'score estimates'!$C862</f>
        <v>STL</v>
      </c>
      <c r="E862" s="75">
        <f>'score estimates'!$F862</f>
        <v>0.69512195121951215</v>
      </c>
      <c r="F862" s="71">
        <f>'score estimates'!$G862</f>
        <v>974</v>
      </c>
      <c r="G862" s="71" t="s">
        <v>983</v>
      </c>
      <c r="H862" s="72" cm="1">
        <f t="array" aca="1" ref="H86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62" s="96">
        <f ca="1">IF(Table2[[#This Row],[Team]]="FA",0,Table2[[#This Row],[Pts/G]]*(1-Table2[[#This Row],[% Pos Overlap]]))</f>
        <v>0.69512195121951215</v>
      </c>
      <c r="J862" s="72" cm="1">
        <f t="array" aca="1" ref="J862" ca="1">(INDIRECT(ADDRESS((_xlfn.XMATCH(Table2[[#This Row],[Team]],Schedule!$A$1:$A$33)),5,1,1,"Sched Overlap")))</f>
        <v>0.65120065120065118</v>
      </c>
      <c r="K862" s="92" cm="1">
        <f t="array" aca="1" ref="K86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62" s="95">
        <f ca="1">IF(Table2[[#This Row],[Team]]="FA",0,Table2[[#This Row],[Pts/G]]*(Table2[[#This Row],[Games Playable]]/82))</f>
        <v>0.69512195121951215</v>
      </c>
      <c r="M862" s="95" cm="1">
        <f t="array" aca="1" ref="M862" ca="1">Table2[[#This Row],[Playable x Score]]*_xlfn.IFS(Table2[[#This Row],[Pos]]="D",assumptions!$B$15,Table2[[#This Row],[Pos]]="F", assumptions!$B$14,Table2[[#This Row],[Pos]]="G",assumptions!$B$16)</f>
        <v>0.69512195121951215</v>
      </c>
    </row>
    <row r="863" spans="1:13" x14ac:dyDescent="0.3">
      <c r="A863">
        <f>'score estimates'!$A863</f>
        <v>860</v>
      </c>
      <c r="B863" t="str">
        <f>'score estimates'!$B863</f>
        <v>Gemel Smith</v>
      </c>
      <c r="C863" t="str">
        <f>'score estimates'!$D863</f>
        <v>F</v>
      </c>
      <c r="D863" t="str">
        <f>'score estimates'!$C863</f>
        <v>TB</v>
      </c>
      <c r="E863" s="75">
        <f>'score estimates'!$F863</f>
        <v>1.024390243902439</v>
      </c>
      <c r="F863" s="71">
        <f>'score estimates'!$G863</f>
        <v>933</v>
      </c>
      <c r="G863" s="71" t="s">
        <v>983</v>
      </c>
      <c r="H863" s="72" cm="1">
        <f t="array" aca="1" ref="H86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63" s="96">
        <f ca="1">IF(Table2[[#This Row],[Team]]="FA",0,Table2[[#This Row],[Pts/G]]*(1-Table2[[#This Row],[% Pos Overlap]]))</f>
        <v>1.024390243902439</v>
      </c>
      <c r="J863" s="72" cm="1">
        <f t="array" aca="1" ref="J863" ca="1">(INDIRECT(ADDRESS((_xlfn.XMATCH(Table2[[#This Row],[Team]],Schedule!$A$1:$A$33)),5,1,1,"Sched Overlap")))</f>
        <v>0.66422466422466431</v>
      </c>
      <c r="K863" s="92" cm="1">
        <f t="array" aca="1" ref="K86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63" s="95">
        <f ca="1">IF(Table2[[#This Row],[Team]]="FA",0,Table2[[#This Row],[Pts/G]]*(Table2[[#This Row],[Games Playable]]/82))</f>
        <v>1.024390243902439</v>
      </c>
      <c r="M863" s="95" cm="1">
        <f t="array" aca="1" ref="M863" ca="1">Table2[[#This Row],[Playable x Score]]*_xlfn.IFS(Table2[[#This Row],[Pos]]="D",assumptions!$B$15,Table2[[#This Row],[Pos]]="F", assumptions!$B$14,Table2[[#This Row],[Pos]]="G",assumptions!$B$16)</f>
        <v>1.024390243902439</v>
      </c>
    </row>
    <row r="864" spans="1:13" x14ac:dyDescent="0.3">
      <c r="A864">
        <f>'score estimates'!$A864</f>
        <v>861</v>
      </c>
      <c r="B864" t="str">
        <f>'score estimates'!$B864</f>
        <v>Andrei Vasilevskiy</v>
      </c>
      <c r="C864" t="str">
        <f>'score estimates'!$D864</f>
        <v>G</v>
      </c>
      <c r="D864" t="str">
        <f>'score estimates'!$C864</f>
        <v>TB</v>
      </c>
      <c r="E864" s="75">
        <f>'score estimates'!$F864</f>
        <v>42.085365853658537</v>
      </c>
      <c r="F864" s="71">
        <f>'score estimates'!$G864</f>
        <v>17</v>
      </c>
      <c r="G864" s="71" t="s">
        <v>983</v>
      </c>
      <c r="H864" s="72" cm="1">
        <f t="array" aca="1" ref="H86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64" s="96">
        <f ca="1">IF(Table2[[#This Row],[Team]]="FA",0,Table2[[#This Row],[Pts/G]]*(1-Table2[[#This Row],[% Pos Overlap]]))</f>
        <v>42.085365853658537</v>
      </c>
      <c r="J864" s="72" cm="1">
        <f t="array" aca="1" ref="J864" ca="1">(INDIRECT(ADDRESS((_xlfn.XMATCH(Table2[[#This Row],[Team]],Schedule!$A$1:$A$33)),5,1,1,"Sched Overlap")))</f>
        <v>0.66422466422466431</v>
      </c>
      <c r="K864" s="92" cm="1">
        <f t="array" aca="1" ref="K86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64" s="95">
        <f ca="1">IF(Table2[[#This Row],[Team]]="FA",0,Table2[[#This Row],[Pts/G]]*(Table2[[#This Row],[Games Playable]]/82))</f>
        <v>42.085365853658537</v>
      </c>
      <c r="M864" s="95" cm="1">
        <f t="array" aca="1" ref="M864" ca="1">Table2[[#This Row],[Playable x Score]]*_xlfn.IFS(Table2[[#This Row],[Pos]]="D",assumptions!$B$15,Table2[[#This Row],[Pos]]="F", assumptions!$B$14,Table2[[#This Row],[Pos]]="G",assumptions!$B$16)</f>
        <v>46.293902439024393</v>
      </c>
    </row>
    <row r="865" spans="1:13" x14ac:dyDescent="0.3">
      <c r="A865">
        <f>'score estimates'!$A865</f>
        <v>862</v>
      </c>
      <c r="B865" t="str">
        <f>'score estimates'!$B865</f>
        <v>Brendan Gaunce</v>
      </c>
      <c r="C865" t="str">
        <f>'score estimates'!$D865</f>
        <v>F</v>
      </c>
      <c r="D865" t="str">
        <f>'score estimates'!$C865</f>
        <v>CLS</v>
      </c>
      <c r="E865" s="75">
        <f>'score estimates'!$F865</f>
        <v>1.2560975609756098</v>
      </c>
      <c r="F865" s="71">
        <f>'score estimates'!$G865</f>
        <v>905</v>
      </c>
      <c r="G865" s="71" t="s">
        <v>983</v>
      </c>
      <c r="H865" s="72" cm="1">
        <f t="array" aca="1" ref="H86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65" s="96">
        <f ca="1">IF(Table2[[#This Row],[Team]]="FA",0,Table2[[#This Row],[Pts/G]]*(1-Table2[[#This Row],[% Pos Overlap]]))</f>
        <v>1.2560975609756098</v>
      </c>
      <c r="J865" s="72" cm="1">
        <f t="array" aca="1" ref="J865" ca="1">(INDIRECT(ADDRESS((_xlfn.XMATCH(Table2[[#This Row],[Team]],Schedule!$A$1:$A$33)),5,1,1,"Sched Overlap")))</f>
        <v>0.64875864875864886</v>
      </c>
      <c r="K865" s="92" cm="1">
        <f t="array" aca="1" ref="K86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65" s="95">
        <f ca="1">IF(Table2[[#This Row],[Team]]="FA",0,Table2[[#This Row],[Pts/G]]*(Table2[[#This Row],[Games Playable]]/82))</f>
        <v>1.2560975609756098</v>
      </c>
      <c r="M865" s="95" cm="1">
        <f t="array" aca="1" ref="M865" ca="1">Table2[[#This Row],[Playable x Score]]*_xlfn.IFS(Table2[[#This Row],[Pos]]="D",assumptions!$B$15,Table2[[#This Row],[Pos]]="F", assumptions!$B$14,Table2[[#This Row],[Pos]]="G",assumptions!$B$16)</f>
        <v>1.2560975609756098</v>
      </c>
    </row>
    <row r="866" spans="1:13" x14ac:dyDescent="0.3">
      <c r="A866">
        <f>'score estimates'!$A866</f>
        <v>863</v>
      </c>
      <c r="B866" t="str">
        <f>'score estimates'!$B866</f>
        <v>Scott Harrington</v>
      </c>
      <c r="C866" t="str">
        <f>'score estimates'!$D866</f>
        <v>D</v>
      </c>
      <c r="D866" t="str">
        <f>'score estimates'!$C866</f>
        <v>SJ</v>
      </c>
      <c r="E866" s="75">
        <f>'score estimates'!$F866</f>
        <v>1.2073170731707317</v>
      </c>
      <c r="F866" s="71">
        <f>'score estimates'!$G866</f>
        <v>913</v>
      </c>
      <c r="G866" s="71" t="s">
        <v>983</v>
      </c>
      <c r="H866" s="72" cm="1">
        <f t="array" aca="1" ref="H86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66" s="96">
        <f ca="1">IF(Table2[[#This Row],[Team]]="FA",0,Table2[[#This Row],[Pts/G]]*(1-Table2[[#This Row],[% Pos Overlap]]))</f>
        <v>1.2073170731707317</v>
      </c>
      <c r="J866" s="72" cm="1">
        <f t="array" aca="1" ref="J866" ca="1">(INDIRECT(ADDRESS((_xlfn.XMATCH(Table2[[#This Row],[Team]],Schedule!$A$1:$A$33)),5,1,1,"Sched Overlap")))</f>
        <v>0.63492063492063477</v>
      </c>
      <c r="K866" s="92" cm="1">
        <f t="array" aca="1" ref="K86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66" s="95">
        <f ca="1">IF(Table2[[#This Row],[Team]]="FA",0,Table2[[#This Row],[Pts/G]]*(Table2[[#This Row],[Games Playable]]/82))</f>
        <v>1.2073170731707317</v>
      </c>
      <c r="M866" s="95" cm="1">
        <f t="array" aca="1" ref="M866" ca="1">Table2[[#This Row],[Playable x Score]]*_xlfn.IFS(Table2[[#This Row],[Pos]]="D",assumptions!$B$15,Table2[[#This Row],[Pos]]="F", assumptions!$B$14,Table2[[#This Row],[Pos]]="G",assumptions!$B$16)</f>
        <v>1.5091463414634145</v>
      </c>
    </row>
    <row r="867" spans="1:13" x14ac:dyDescent="0.3">
      <c r="A867">
        <f>'score estimates'!$A867</f>
        <v>864</v>
      </c>
      <c r="B867" t="str">
        <f>'score estimates'!$B867</f>
        <v>Jordie Benn</v>
      </c>
      <c r="C867" t="str">
        <f>'score estimates'!$D867</f>
        <v>D</v>
      </c>
      <c r="D867" t="str">
        <f>'score estimates'!$C867</f>
        <v>TOR</v>
      </c>
      <c r="E867" s="75">
        <f>'score estimates'!$F867</f>
        <v>1.6951219512195121</v>
      </c>
      <c r="F867" s="71">
        <f>'score estimates'!$G867</f>
        <v>869</v>
      </c>
      <c r="G867" s="71" t="s">
        <v>983</v>
      </c>
      <c r="H867" s="72" cm="1">
        <f t="array" aca="1" ref="H86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67" s="96">
        <f ca="1">IF(Table2[[#This Row],[Team]]="FA",0,Table2[[#This Row],[Pts/G]]*(1-Table2[[#This Row],[% Pos Overlap]]))</f>
        <v>1.6951219512195121</v>
      </c>
      <c r="J867" s="72" cm="1">
        <f t="array" aca="1" ref="J867" ca="1">(INDIRECT(ADDRESS((_xlfn.XMATCH(Table2[[#This Row],[Team]],Schedule!$A$1:$A$33)),5,1,1,"Sched Overlap")))</f>
        <v>0.62922262922262928</v>
      </c>
      <c r="K867" s="92" cm="1">
        <f t="array" aca="1" ref="K86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67" s="95">
        <f ca="1">IF(Table2[[#This Row],[Team]]="FA",0,Table2[[#This Row],[Pts/G]]*(Table2[[#This Row],[Games Playable]]/82))</f>
        <v>1.6951219512195121</v>
      </c>
      <c r="M867" s="95" cm="1">
        <f t="array" aca="1" ref="M867" ca="1">Table2[[#This Row],[Playable x Score]]*_xlfn.IFS(Table2[[#This Row],[Pos]]="D",assumptions!$B$15,Table2[[#This Row],[Pos]]="F", assumptions!$B$14,Table2[[#This Row],[Pos]]="G",assumptions!$B$16)</f>
        <v>2.11890243902439</v>
      </c>
    </row>
    <row r="868" spans="1:13" x14ac:dyDescent="0.3">
      <c r="A868">
        <f>'score estimates'!$A868</f>
        <v>865</v>
      </c>
      <c r="B868" t="str">
        <f>'score estimates'!$B868</f>
        <v>Chris Wagner</v>
      </c>
      <c r="C868" t="str">
        <f>'score estimates'!$D868</f>
        <v>F</v>
      </c>
      <c r="D868" t="str">
        <f>'score estimates'!$C868</f>
        <v>BOS</v>
      </c>
      <c r="E868" s="75">
        <f>'score estimates'!$F868</f>
        <v>1.6463414634146341</v>
      </c>
      <c r="F868" s="71">
        <f>'score estimates'!$G868</f>
        <v>872</v>
      </c>
      <c r="G868" s="71" t="s">
        <v>983</v>
      </c>
      <c r="H868" s="72" cm="1">
        <f t="array" aca="1" ref="H86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68" s="96">
        <f ca="1">IF(Table2[[#This Row],[Team]]="FA",0,Table2[[#This Row],[Pts/G]]*(1-Table2[[#This Row],[% Pos Overlap]]))</f>
        <v>1.6463414634146341</v>
      </c>
      <c r="J868" s="72" cm="1">
        <f t="array" aca="1" ref="J868" ca="1">(INDIRECT(ADDRESS((_xlfn.XMATCH(Table2[[#This Row],[Team]],Schedule!$A$1:$A$33)),5,1,1,"Sched Overlap")))</f>
        <v>0.67236467236467234</v>
      </c>
      <c r="K868" s="92" cm="1">
        <f t="array" aca="1" ref="K86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68" s="95">
        <f ca="1">IF(Table2[[#This Row],[Team]]="FA",0,Table2[[#This Row],[Pts/G]]*(Table2[[#This Row],[Games Playable]]/82))</f>
        <v>1.6463414634146341</v>
      </c>
      <c r="M868" s="95" cm="1">
        <f t="array" aca="1" ref="M868" ca="1">Table2[[#This Row],[Playable x Score]]*_xlfn.IFS(Table2[[#This Row],[Pos]]="D",assumptions!$B$15,Table2[[#This Row],[Pos]]="F", assumptions!$B$14,Table2[[#This Row],[Pos]]="G",assumptions!$B$16)</f>
        <v>1.6463414634146341</v>
      </c>
    </row>
    <row r="869" spans="1:13" x14ac:dyDescent="0.3">
      <c r="A869">
        <f>'score estimates'!$A869</f>
        <v>866</v>
      </c>
      <c r="B869" t="str">
        <f>'score estimates'!$B869</f>
        <v>Matt Tennyson</v>
      </c>
      <c r="C869" t="str">
        <f>'score estimates'!$D869</f>
        <v>D</v>
      </c>
      <c r="D869" t="str">
        <f>'score estimates'!$C869</f>
        <v>FA</v>
      </c>
      <c r="E869" s="75">
        <f>'score estimates'!$F869</f>
        <v>1.4268292682926829</v>
      </c>
      <c r="F869" s="71">
        <f>'score estimates'!$G869</f>
        <v>887</v>
      </c>
      <c r="G869" s="71" t="s">
        <v>983</v>
      </c>
      <c r="H869" s="72" t="e" cm="1">
        <f t="array" aca="1" ref="H869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869" s="96">
        <f>IF(Table2[[#This Row],[Team]]="FA",0,Table2[[#This Row],[Pts/G]]*(1-Table2[[#This Row],[% Pos Overlap]]))</f>
        <v>0</v>
      </c>
      <c r="J869" s="72" t="e" cm="1">
        <f t="array" aca="1" ref="J869" ca="1">(INDIRECT(ADDRESS((_xlfn.XMATCH(Table2[[#This Row],[Team]],Schedule!$A$1:$A$33)),5,1,1,"Sched Overlap")))</f>
        <v>#N/A</v>
      </c>
      <c r="K869" s="92" t="e" cm="1">
        <f t="array" aca="1" ref="K869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869" s="95">
        <f>IF(Table2[[#This Row],[Team]]="FA",0,Table2[[#This Row],[Pts/G]]*(Table2[[#This Row],[Games Playable]]/82))</f>
        <v>0</v>
      </c>
      <c r="M869" s="95" cm="1">
        <f t="array" ref="M869">Table2[[#This Row],[Playable x Score]]*_xlfn.IFS(Table2[[#This Row],[Pos]]="D",assumptions!$B$15,Table2[[#This Row],[Pos]]="F", assumptions!$B$14,Table2[[#This Row],[Pos]]="G",assumptions!$B$16)</f>
        <v>0</v>
      </c>
    </row>
    <row r="870" spans="1:13" x14ac:dyDescent="0.3">
      <c r="A870">
        <f>'score estimates'!$A870</f>
        <v>867</v>
      </c>
      <c r="B870" t="str">
        <f>'score estimates'!$B870</f>
        <v>Stefan Noesen</v>
      </c>
      <c r="C870" t="str">
        <f>'score estimates'!$D870</f>
        <v>F</v>
      </c>
      <c r="D870" t="str">
        <f>'score estimates'!$C870</f>
        <v>CAR</v>
      </c>
      <c r="E870" s="75">
        <f>'score estimates'!$F870</f>
        <v>1.1829268292682926</v>
      </c>
      <c r="F870" s="71">
        <f>'score estimates'!$G870</f>
        <v>918</v>
      </c>
      <c r="G870" s="71" t="s">
        <v>983</v>
      </c>
      <c r="H870" s="72" cm="1">
        <f t="array" aca="1" ref="H87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70" s="96">
        <f ca="1">IF(Table2[[#This Row],[Team]]="FA",0,Table2[[#This Row],[Pts/G]]*(1-Table2[[#This Row],[% Pos Overlap]]))</f>
        <v>1.1829268292682926</v>
      </c>
      <c r="J870" s="72" cm="1">
        <f t="array" aca="1" ref="J870" ca="1">(INDIRECT(ADDRESS((_xlfn.XMATCH(Table2[[#This Row],[Team]],Schedule!$A$1:$A$33)),5,1,1,"Sched Overlap")))</f>
        <v>0.63247863247863245</v>
      </c>
      <c r="K870" s="92" cm="1">
        <f t="array" aca="1" ref="K87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70" s="95">
        <f ca="1">IF(Table2[[#This Row],[Team]]="FA",0,Table2[[#This Row],[Pts/G]]*(Table2[[#This Row],[Games Playable]]/82))</f>
        <v>1.1829268292682926</v>
      </c>
      <c r="M870" s="95" cm="1">
        <f t="array" aca="1" ref="M870" ca="1">Table2[[#This Row],[Playable x Score]]*_xlfn.IFS(Table2[[#This Row],[Pos]]="D",assumptions!$B$15,Table2[[#This Row],[Pos]]="F", assumptions!$B$14,Table2[[#This Row],[Pos]]="G",assumptions!$B$16)</f>
        <v>1.1829268292682926</v>
      </c>
    </row>
    <row r="871" spans="1:13" x14ac:dyDescent="0.3">
      <c r="A871">
        <f>'score estimates'!$A871</f>
        <v>868</v>
      </c>
      <c r="B871" t="str">
        <f>'score estimates'!$B871</f>
        <v>Matt Irwin</v>
      </c>
      <c r="C871" t="str">
        <f>'score estimates'!$D871</f>
        <v>D</v>
      </c>
      <c r="D871" t="str">
        <f>'score estimates'!$C871</f>
        <v>WAS</v>
      </c>
      <c r="E871" s="75">
        <f>'score estimates'!$F871</f>
        <v>1.7804878048780488</v>
      </c>
      <c r="F871" s="71">
        <f>'score estimates'!$G871</f>
        <v>866</v>
      </c>
      <c r="G871" s="71" t="s">
        <v>983</v>
      </c>
      <c r="H871" s="72" cm="1">
        <f t="array" aca="1" ref="H87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71" s="96">
        <f ca="1">IF(Table2[[#This Row],[Team]]="FA",0,Table2[[#This Row],[Pts/G]]*(1-Table2[[#This Row],[% Pos Overlap]]))</f>
        <v>1.7804878048780488</v>
      </c>
      <c r="J871" s="72" cm="1">
        <f t="array" aca="1" ref="J871" ca="1">(INDIRECT(ADDRESS((_xlfn.XMATCH(Table2[[#This Row],[Team]],Schedule!$A$1:$A$33)),5,1,1,"Sched Overlap")))</f>
        <v>0.65282865282865288</v>
      </c>
      <c r="K871" s="92" cm="1">
        <f t="array" aca="1" ref="K87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71" s="95">
        <f ca="1">IF(Table2[[#This Row],[Team]]="FA",0,Table2[[#This Row],[Pts/G]]*(Table2[[#This Row],[Games Playable]]/82))</f>
        <v>1.7804878048780488</v>
      </c>
      <c r="M871" s="95" cm="1">
        <f t="array" aca="1" ref="M871" ca="1">Table2[[#This Row],[Playable x Score]]*_xlfn.IFS(Table2[[#This Row],[Pos]]="D",assumptions!$B$15,Table2[[#This Row],[Pos]]="F", assumptions!$B$14,Table2[[#This Row],[Pos]]="G",assumptions!$B$16)</f>
        <v>2.225609756097561</v>
      </c>
    </row>
    <row r="872" spans="1:13" x14ac:dyDescent="0.3">
      <c r="A872">
        <f>'score estimates'!$A872</f>
        <v>869</v>
      </c>
      <c r="B872" t="str">
        <f>'score estimates'!$B872</f>
        <v>Marc-Andre Fleury</v>
      </c>
      <c r="C872" t="str">
        <f>'score estimates'!$D872</f>
        <v>G</v>
      </c>
      <c r="D872" t="str">
        <f>'score estimates'!$C872</f>
        <v>MIN</v>
      </c>
      <c r="E872" s="75">
        <f>'score estimates'!$F872</f>
        <v>31.963414634146343</v>
      </c>
      <c r="F872" s="71">
        <f>'score estimates'!$G872</f>
        <v>67</v>
      </c>
      <c r="G872" s="71" t="s">
        <v>983</v>
      </c>
      <c r="H872" s="72" cm="1">
        <f t="array" aca="1" ref="H87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72" s="96">
        <f ca="1">IF(Table2[[#This Row],[Team]]="FA",0,Table2[[#This Row],[Pts/G]]*(1-Table2[[#This Row],[% Pos Overlap]]))</f>
        <v>31.963414634146343</v>
      </c>
      <c r="J872" s="72" cm="1">
        <f t="array" aca="1" ref="J872" ca="1">(INDIRECT(ADDRESS((_xlfn.XMATCH(Table2[[#This Row],[Team]],Schedule!$A$1:$A$33)),5,1,1,"Sched Overlap")))</f>
        <v>0.62108262108262113</v>
      </c>
      <c r="K872" s="92" cm="1">
        <f t="array" aca="1" ref="K87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72" s="95">
        <f ca="1">IF(Table2[[#This Row],[Team]]="FA",0,Table2[[#This Row],[Pts/G]]*(Table2[[#This Row],[Games Playable]]/82))</f>
        <v>31.963414634146343</v>
      </c>
      <c r="M872" s="95" cm="1">
        <f t="array" aca="1" ref="M872" ca="1">Table2[[#This Row],[Playable x Score]]*_xlfn.IFS(Table2[[#This Row],[Pos]]="D",assumptions!$B$15,Table2[[#This Row],[Pos]]="F", assumptions!$B$14,Table2[[#This Row],[Pos]]="G",assumptions!$B$16)</f>
        <v>35.15975609756098</v>
      </c>
    </row>
    <row r="873" spans="1:13" x14ac:dyDescent="0.3">
      <c r="A873">
        <f>'score estimates'!$A873</f>
        <v>870</v>
      </c>
      <c r="B873" t="str">
        <f>'score estimates'!$B873</f>
        <v>Jacob Markstrom</v>
      </c>
      <c r="C873" t="str">
        <f>'score estimates'!$D873</f>
        <v>G</v>
      </c>
      <c r="D873" t="str">
        <f>'score estimates'!$C873</f>
        <v>CGY</v>
      </c>
      <c r="E873" s="75">
        <f>'score estimates'!$F873</f>
        <v>35.560975609756099</v>
      </c>
      <c r="F873" s="71">
        <f>'score estimates'!$G873</f>
        <v>42</v>
      </c>
      <c r="G873" s="71" t="s">
        <v>983</v>
      </c>
      <c r="H873" s="72" cm="1">
        <f t="array" aca="1" ref="H87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73" s="96">
        <f ca="1">IF(Table2[[#This Row],[Team]]="FA",0,Table2[[#This Row],[Pts/G]]*(1-Table2[[#This Row],[% Pos Overlap]]))</f>
        <v>35.560975609756099</v>
      </c>
      <c r="J873" s="72" cm="1">
        <f t="array" aca="1" ref="J873" ca="1">(INDIRECT(ADDRESS((_xlfn.XMATCH(Table2[[#This Row],[Team]],Schedule!$A$1:$A$33)),5,1,1,"Sched Overlap")))</f>
        <v>0.63003663003663002</v>
      </c>
      <c r="K873" s="92" cm="1">
        <f t="array" aca="1" ref="K87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73" s="95">
        <f ca="1">IF(Table2[[#This Row],[Team]]="FA",0,Table2[[#This Row],[Pts/G]]*(Table2[[#This Row],[Games Playable]]/82))</f>
        <v>35.560975609756099</v>
      </c>
      <c r="M873" s="95" cm="1">
        <f t="array" aca="1" ref="M873" ca="1">Table2[[#This Row],[Playable x Score]]*_xlfn.IFS(Table2[[#This Row],[Pos]]="D",assumptions!$B$15,Table2[[#This Row],[Pos]]="F", assumptions!$B$14,Table2[[#This Row],[Pos]]="G",assumptions!$B$16)</f>
        <v>39.117073170731715</v>
      </c>
    </row>
    <row r="874" spans="1:13" x14ac:dyDescent="0.3">
      <c r="A874">
        <f>'score estimates'!$A874</f>
        <v>871</v>
      </c>
      <c r="B874" t="str">
        <f>'score estimates'!$B874</f>
        <v>Robin Lehner</v>
      </c>
      <c r="C874" t="str">
        <f>'score estimates'!$D874</f>
        <v>G</v>
      </c>
      <c r="D874" t="str">
        <f>'score estimates'!$C874</f>
        <v>VGK</v>
      </c>
      <c r="E874" s="75">
        <f>'score estimates'!$F874</f>
        <v>0.62195121951219512</v>
      </c>
      <c r="F874" s="71">
        <f>'score estimates'!$G874</f>
        <v>986</v>
      </c>
      <c r="G874" s="71" t="s">
        <v>983</v>
      </c>
      <c r="H874" s="72" cm="1">
        <f t="array" aca="1" ref="H87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74" s="96">
        <f ca="1">IF(Table2[[#This Row],[Team]]="FA",0,Table2[[#This Row],[Pts/G]]*(1-Table2[[#This Row],[% Pos Overlap]]))</f>
        <v>0.62195121951219512</v>
      </c>
      <c r="J874" s="72" cm="1">
        <f t="array" aca="1" ref="J874" ca="1">(INDIRECT(ADDRESS((_xlfn.XMATCH(Table2[[#This Row],[Team]],Schedule!$A$1:$A$33)),5,1,1,"Sched Overlap")))</f>
        <v>0.66992266992266991</v>
      </c>
      <c r="K874" s="92" cm="1">
        <f t="array" aca="1" ref="K87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74" s="95">
        <f ca="1">IF(Table2[[#This Row],[Team]]="FA",0,Table2[[#This Row],[Pts/G]]*(Table2[[#This Row],[Games Playable]]/82))</f>
        <v>0.62195121951219512</v>
      </c>
      <c r="M874" s="95" cm="1">
        <f t="array" aca="1" ref="M874" ca="1">Table2[[#This Row],[Playable x Score]]*_xlfn.IFS(Table2[[#This Row],[Pos]]="D",assumptions!$B$15,Table2[[#This Row],[Pos]]="F", assumptions!$B$14,Table2[[#This Row],[Pos]]="G",assumptions!$B$16)</f>
        <v>0.68414634146341469</v>
      </c>
    </row>
    <row r="875" spans="1:13" x14ac:dyDescent="0.3">
      <c r="A875">
        <f>'score estimates'!$A875</f>
        <v>872</v>
      </c>
      <c r="B875" t="str">
        <f>'score estimates'!$B875</f>
        <v>Jean-Francois Berube</v>
      </c>
      <c r="C875" t="str">
        <f>'score estimates'!$D875</f>
        <v>G</v>
      </c>
      <c r="D875" t="str">
        <f>'score estimates'!$C875</f>
        <v>FLA</v>
      </c>
      <c r="E875" s="75">
        <f>'score estimates'!$F875</f>
        <v>2.5121951219512195</v>
      </c>
      <c r="F875" s="71">
        <f>'score estimates'!$G875</f>
        <v>828</v>
      </c>
      <c r="G875" s="71" t="s">
        <v>983</v>
      </c>
      <c r="H875" s="72" cm="1">
        <f t="array" aca="1" ref="H87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75" s="96">
        <f ca="1">IF(Table2[[#This Row],[Team]]="FA",0,Table2[[#This Row],[Pts/G]]*(1-Table2[[#This Row],[% Pos Overlap]]))</f>
        <v>2.5121951219512195</v>
      </c>
      <c r="J875" s="72" cm="1">
        <f t="array" aca="1" ref="J875" ca="1">(INDIRECT(ADDRESS((_xlfn.XMATCH(Table2[[#This Row],[Team]],Schedule!$A$1:$A$33)),5,1,1,"Sched Overlap")))</f>
        <v>0.64387464387464377</v>
      </c>
      <c r="K875" s="92" cm="1">
        <f t="array" aca="1" ref="K87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75" s="95">
        <f ca="1">IF(Table2[[#This Row],[Team]]="FA",0,Table2[[#This Row],[Pts/G]]*(Table2[[#This Row],[Games Playable]]/82))</f>
        <v>2.5121951219512195</v>
      </c>
      <c r="M875" s="95" cm="1">
        <f t="array" aca="1" ref="M875" ca="1">Table2[[#This Row],[Playable x Score]]*_xlfn.IFS(Table2[[#This Row],[Pos]]="D",assumptions!$B$15,Table2[[#This Row],[Pos]]="F", assumptions!$B$14,Table2[[#This Row],[Pos]]="G",assumptions!$B$16)</f>
        <v>2.7634146341463417</v>
      </c>
    </row>
    <row r="876" spans="1:13" x14ac:dyDescent="0.3">
      <c r="A876">
        <f>'score estimates'!$A876</f>
        <v>873</v>
      </c>
      <c r="B876" t="str">
        <f>'score estimates'!$B876</f>
        <v>Craig Anderson</v>
      </c>
      <c r="C876" t="str">
        <f>'score estimates'!$D876</f>
        <v>G</v>
      </c>
      <c r="D876" t="str">
        <f>'score estimates'!$C876</f>
        <v>BUF</v>
      </c>
      <c r="E876" s="75">
        <f>'score estimates'!$F876</f>
        <v>12.597560975609756</v>
      </c>
      <c r="F876" s="71">
        <f>'score estimates'!$G876</f>
        <v>471</v>
      </c>
      <c r="G876" s="71" t="s">
        <v>983</v>
      </c>
      <c r="H876" s="72" cm="1">
        <f t="array" aca="1" ref="H87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76" s="96">
        <f ca="1">IF(Table2[[#This Row],[Team]]="FA",0,Table2[[#This Row],[Pts/G]]*(1-Table2[[#This Row],[% Pos Overlap]]))</f>
        <v>12.597560975609756</v>
      </c>
      <c r="J876" s="72" cm="1">
        <f t="array" aca="1" ref="J876" ca="1">(INDIRECT(ADDRESS((_xlfn.XMATCH(Table2[[#This Row],[Team]],Schedule!$A$1:$A$33)),5,1,1,"Sched Overlap")))</f>
        <v>0.63573463573463573</v>
      </c>
      <c r="K876" s="92" cm="1">
        <f t="array" aca="1" ref="K87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76" s="95">
        <f ca="1">IF(Table2[[#This Row],[Team]]="FA",0,Table2[[#This Row],[Pts/G]]*(Table2[[#This Row],[Games Playable]]/82))</f>
        <v>12.597560975609756</v>
      </c>
      <c r="M876" s="95" cm="1">
        <f t="array" aca="1" ref="M876" ca="1">Table2[[#This Row],[Playable x Score]]*_xlfn.IFS(Table2[[#This Row],[Pos]]="D",assumptions!$B$15,Table2[[#This Row],[Pos]]="F", assumptions!$B$14,Table2[[#This Row],[Pos]]="G",assumptions!$B$16)</f>
        <v>13.857317073170734</v>
      </c>
    </row>
    <row r="877" spans="1:13" x14ac:dyDescent="0.3">
      <c r="A877">
        <f>'score estimates'!$A877</f>
        <v>874</v>
      </c>
      <c r="B877" t="str">
        <f>'score estimates'!$B877</f>
        <v>Mike Smith</v>
      </c>
      <c r="C877" t="str">
        <f>'score estimates'!$D877</f>
        <v>G</v>
      </c>
      <c r="D877" t="str">
        <f>'score estimates'!$C877</f>
        <v>EDM</v>
      </c>
      <c r="E877" s="75">
        <f>'score estimates'!$F877</f>
        <v>0.62195121951219512</v>
      </c>
      <c r="F877" s="71">
        <f>'score estimates'!$G877</f>
        <v>986</v>
      </c>
      <c r="G877" s="71" t="s">
        <v>983</v>
      </c>
      <c r="H877" s="72" cm="1">
        <f t="array" aca="1" ref="H87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77" s="96">
        <f ca="1">IF(Table2[[#This Row],[Team]]="FA",0,Table2[[#This Row],[Pts/G]]*(1-Table2[[#This Row],[% Pos Overlap]]))</f>
        <v>0.62195121951219512</v>
      </c>
      <c r="J877" s="72" cm="1">
        <f t="array" aca="1" ref="J877" ca="1">(INDIRECT(ADDRESS((_xlfn.XMATCH(Table2[[#This Row],[Team]],Schedule!$A$1:$A$33)),5,1,1,"Sched Overlap")))</f>
        <v>0.62026862026862029</v>
      </c>
      <c r="K877" s="92" cm="1">
        <f t="array" aca="1" ref="K87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77" s="95">
        <f ca="1">IF(Table2[[#This Row],[Team]]="FA",0,Table2[[#This Row],[Pts/G]]*(Table2[[#This Row],[Games Playable]]/82))</f>
        <v>0.62195121951219512</v>
      </c>
      <c r="M877" s="95" cm="1">
        <f t="array" aca="1" ref="M877" ca="1">Table2[[#This Row],[Playable x Score]]*_xlfn.IFS(Table2[[#This Row],[Pos]]="D",assumptions!$B$15,Table2[[#This Row],[Pos]]="F", assumptions!$B$14,Table2[[#This Row],[Pos]]="G",assumptions!$B$16)</f>
        <v>0.68414634146341469</v>
      </c>
    </row>
    <row r="878" spans="1:13" x14ac:dyDescent="0.3">
      <c r="A878">
        <f>'score estimates'!$A878</f>
        <v>875</v>
      </c>
      <c r="B878" t="str">
        <f>'score estimates'!$B878</f>
        <v>Jonathan Quick</v>
      </c>
      <c r="C878" t="str">
        <f>'score estimates'!$D878</f>
        <v>G</v>
      </c>
      <c r="D878" t="str">
        <f>'score estimates'!$C878</f>
        <v>LA</v>
      </c>
      <c r="E878" s="75">
        <f>'score estimates'!$F878</f>
        <v>20.512195121951219</v>
      </c>
      <c r="F878" s="71">
        <f>'score estimates'!$G878</f>
        <v>233</v>
      </c>
      <c r="G878" s="71" t="s">
        <v>983</v>
      </c>
      <c r="H878" s="72" cm="1">
        <f t="array" aca="1" ref="H87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78" s="96">
        <f ca="1">IF(Table2[[#This Row],[Team]]="FA",0,Table2[[#This Row],[Pts/G]]*(1-Table2[[#This Row],[% Pos Overlap]]))</f>
        <v>20.512195121951219</v>
      </c>
      <c r="J878" s="72" cm="1">
        <f t="array" aca="1" ref="J878" ca="1">(INDIRECT(ADDRESS((_xlfn.XMATCH(Table2[[#This Row],[Team]],Schedule!$A$1:$A$33)),5,1,1,"Sched Overlap")))</f>
        <v>0.65201465201465225</v>
      </c>
      <c r="K878" s="92" cm="1">
        <f t="array" aca="1" ref="K87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78" s="95">
        <f ca="1">IF(Table2[[#This Row],[Team]]="FA",0,Table2[[#This Row],[Pts/G]]*(Table2[[#This Row],[Games Playable]]/82))</f>
        <v>20.512195121951219</v>
      </c>
      <c r="M878" s="95" cm="1">
        <f t="array" aca="1" ref="M878" ca="1">Table2[[#This Row],[Playable x Score]]*_xlfn.IFS(Table2[[#This Row],[Pos]]="D",assumptions!$B$15,Table2[[#This Row],[Pos]]="F", assumptions!$B$14,Table2[[#This Row],[Pos]]="G",assumptions!$B$16)</f>
        <v>22.563414634146344</v>
      </c>
    </row>
    <row r="879" spans="1:13" x14ac:dyDescent="0.3">
      <c r="A879">
        <f>'score estimates'!$A879</f>
        <v>876</v>
      </c>
      <c r="B879" t="str">
        <f>'score estimates'!$B879</f>
        <v>Thomas Greiss</v>
      </c>
      <c r="C879" t="str">
        <f>'score estimates'!$D879</f>
        <v>G</v>
      </c>
      <c r="D879" t="str">
        <f>'score estimates'!$C879</f>
        <v>STL</v>
      </c>
      <c r="E879" s="75">
        <f>'score estimates'!$F879</f>
        <v>13.865853658536585</v>
      </c>
      <c r="F879" s="71">
        <f>'score estimates'!$G879</f>
        <v>429</v>
      </c>
      <c r="G879" s="71" t="s">
        <v>983</v>
      </c>
      <c r="H879" s="72" cm="1">
        <f t="array" aca="1" ref="H87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79" s="96">
        <f ca="1">IF(Table2[[#This Row],[Team]]="FA",0,Table2[[#This Row],[Pts/G]]*(1-Table2[[#This Row],[% Pos Overlap]]))</f>
        <v>13.865853658536585</v>
      </c>
      <c r="J879" s="72" cm="1">
        <f t="array" aca="1" ref="J879" ca="1">(INDIRECT(ADDRESS((_xlfn.XMATCH(Table2[[#This Row],[Team]],Schedule!$A$1:$A$33)),5,1,1,"Sched Overlap")))</f>
        <v>0.65120065120065118</v>
      </c>
      <c r="K879" s="92" cm="1">
        <f t="array" aca="1" ref="K87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79" s="95">
        <f ca="1">IF(Table2[[#This Row],[Team]]="FA",0,Table2[[#This Row],[Pts/G]]*(Table2[[#This Row],[Games Playable]]/82))</f>
        <v>13.865853658536585</v>
      </c>
      <c r="M879" s="95" cm="1">
        <f t="array" aca="1" ref="M879" ca="1">Table2[[#This Row],[Playable x Score]]*_xlfn.IFS(Table2[[#This Row],[Pos]]="D",assumptions!$B$15,Table2[[#This Row],[Pos]]="F", assumptions!$B$14,Table2[[#This Row],[Pos]]="G",assumptions!$B$16)</f>
        <v>15.252439024390245</v>
      </c>
    </row>
    <row r="880" spans="1:13" x14ac:dyDescent="0.3">
      <c r="A880">
        <f>'score estimates'!$A880</f>
        <v>877</v>
      </c>
      <c r="B880" t="str">
        <f>'score estimates'!$B880</f>
        <v>Cam Talbot</v>
      </c>
      <c r="C880" t="str">
        <f>'score estimates'!$D880</f>
        <v>G</v>
      </c>
      <c r="D880" t="str">
        <f>'score estimates'!$C880</f>
        <v>OTT</v>
      </c>
      <c r="E880" s="75">
        <f>'score estimates'!$F880</f>
        <v>23.548780487804876</v>
      </c>
      <c r="F880" s="71">
        <f>'score estimates'!$G880</f>
        <v>175</v>
      </c>
      <c r="G880" s="71" t="s">
        <v>983</v>
      </c>
      <c r="H880" s="72" cm="1">
        <f t="array" aca="1" ref="H88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80" s="96">
        <f ca="1">IF(Table2[[#This Row],[Team]]="FA",0,Table2[[#This Row],[Pts/G]]*(1-Table2[[#This Row],[% Pos Overlap]]))</f>
        <v>23.548780487804876</v>
      </c>
      <c r="J880" s="72" cm="1">
        <f t="array" aca="1" ref="J880" ca="1">(INDIRECT(ADDRESS((_xlfn.XMATCH(Table2[[#This Row],[Team]],Schedule!$A$1:$A$33)),5,1,1,"Sched Overlap")))</f>
        <v>0.64306064306064303</v>
      </c>
      <c r="K880" s="92" cm="1">
        <f t="array" aca="1" ref="K88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80" s="95">
        <f ca="1">IF(Table2[[#This Row],[Team]]="FA",0,Table2[[#This Row],[Pts/G]]*(Table2[[#This Row],[Games Playable]]/82))</f>
        <v>23.548780487804876</v>
      </c>
      <c r="M880" s="95" cm="1">
        <f t="array" aca="1" ref="M880" ca="1">Table2[[#This Row],[Playable x Score]]*_xlfn.IFS(Table2[[#This Row],[Pos]]="D",assumptions!$B$15,Table2[[#This Row],[Pos]]="F", assumptions!$B$14,Table2[[#This Row],[Pos]]="G",assumptions!$B$16)</f>
        <v>25.903658536585365</v>
      </c>
    </row>
    <row r="881" spans="1:13" x14ac:dyDescent="0.3">
      <c r="A881">
        <f>'score estimates'!$A881</f>
        <v>878</v>
      </c>
      <c r="B881" t="str">
        <f>'score estimates'!$B881</f>
        <v>Philipp Grubauer</v>
      </c>
      <c r="C881" t="str">
        <f>'score estimates'!$D881</f>
        <v>G</v>
      </c>
      <c r="D881" t="str">
        <f>'score estimates'!$C881</f>
        <v>SEA</v>
      </c>
      <c r="E881" s="75">
        <f>'score estimates'!$F881</f>
        <v>21.5</v>
      </c>
      <c r="F881" s="71">
        <f>'score estimates'!$G881</f>
        <v>210</v>
      </c>
      <c r="G881" s="71" t="s">
        <v>983</v>
      </c>
      <c r="H881" s="72" cm="1">
        <f t="array" aca="1" ref="H88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81" s="96">
        <f ca="1">IF(Table2[[#This Row],[Team]]="FA",0,Table2[[#This Row],[Pts/G]]*(1-Table2[[#This Row],[% Pos Overlap]]))</f>
        <v>21.5</v>
      </c>
      <c r="J881" s="72" cm="1">
        <f t="array" aca="1" ref="J881" ca="1">(INDIRECT(ADDRESS((_xlfn.XMATCH(Table2[[#This Row],[Team]],Schedule!$A$1:$A$33)),5,1,1,"Sched Overlap")))</f>
        <v>0.63085063085063087</v>
      </c>
      <c r="K881" s="92" cm="1">
        <f t="array" aca="1" ref="K88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81" s="95">
        <f ca="1">IF(Table2[[#This Row],[Team]]="FA",0,Table2[[#This Row],[Pts/G]]*(Table2[[#This Row],[Games Playable]]/82))</f>
        <v>21.5</v>
      </c>
      <c r="M881" s="95" cm="1">
        <f t="array" aca="1" ref="M881" ca="1">Table2[[#This Row],[Playable x Score]]*_xlfn.IFS(Table2[[#This Row],[Pos]]="D",assumptions!$B$15,Table2[[#This Row],[Pos]]="F", assumptions!$B$14,Table2[[#This Row],[Pos]]="G",assumptions!$B$16)</f>
        <v>23.650000000000002</v>
      </c>
    </row>
    <row r="882" spans="1:13" x14ac:dyDescent="0.3">
      <c r="A882">
        <f>'score estimates'!$A882</f>
        <v>879</v>
      </c>
      <c r="B882" t="str">
        <f>'score estimates'!$B882</f>
        <v>Jack Campbell</v>
      </c>
      <c r="C882" t="str">
        <f>'score estimates'!$D882</f>
        <v>G</v>
      </c>
      <c r="D882" t="str">
        <f>'score estimates'!$C882</f>
        <v>EDM</v>
      </c>
      <c r="E882" s="75">
        <f>'score estimates'!$F882</f>
        <v>32.658536585365852</v>
      </c>
      <c r="F882" s="71">
        <f>'score estimates'!$G882</f>
        <v>64</v>
      </c>
      <c r="G882" s="71" t="s">
        <v>983</v>
      </c>
      <c r="H882" s="72" cm="1">
        <f t="array" aca="1" ref="H88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82" s="96">
        <f ca="1">IF(Table2[[#This Row],[Team]]="FA",0,Table2[[#This Row],[Pts/G]]*(1-Table2[[#This Row],[% Pos Overlap]]))</f>
        <v>32.658536585365852</v>
      </c>
      <c r="J882" s="72" cm="1">
        <f t="array" aca="1" ref="J882" ca="1">(INDIRECT(ADDRESS((_xlfn.XMATCH(Table2[[#This Row],[Team]],Schedule!$A$1:$A$33)),5,1,1,"Sched Overlap")))</f>
        <v>0.62026862026862029</v>
      </c>
      <c r="K882" s="92" cm="1">
        <f t="array" aca="1" ref="K88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82" s="95">
        <f ca="1">IF(Table2[[#This Row],[Team]]="FA",0,Table2[[#This Row],[Pts/G]]*(Table2[[#This Row],[Games Playable]]/82))</f>
        <v>32.658536585365852</v>
      </c>
      <c r="M882" s="95" cm="1">
        <f t="array" aca="1" ref="M882" ca="1">Table2[[#This Row],[Playable x Score]]*_xlfn.IFS(Table2[[#This Row],[Pos]]="D",assumptions!$B$15,Table2[[#This Row],[Pos]]="F", assumptions!$B$14,Table2[[#This Row],[Pos]]="G",assumptions!$B$16)</f>
        <v>35.924390243902437</v>
      </c>
    </row>
    <row r="883" spans="1:13" x14ac:dyDescent="0.3">
      <c r="A883">
        <f>'score estimates'!$A883</f>
        <v>880</v>
      </c>
      <c r="B883" t="str">
        <f>'score estimates'!$B883</f>
        <v>Kevin Connauton</v>
      </c>
      <c r="C883" t="str">
        <f>'score estimates'!$D883</f>
        <v>D</v>
      </c>
      <c r="D883" t="str">
        <f>'score estimates'!$C883</f>
        <v>PHI</v>
      </c>
      <c r="E883" s="75">
        <f>'score estimates'!$F883</f>
        <v>0.37804878048780488</v>
      </c>
      <c r="F883" s="71">
        <f>'score estimates'!$G883</f>
        <v>1014</v>
      </c>
      <c r="G883" s="71" t="s">
        <v>983</v>
      </c>
      <c r="H883" s="72" cm="1">
        <f t="array" aca="1" ref="H88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83" s="96">
        <f ca="1">IF(Table2[[#This Row],[Team]]="FA",0,Table2[[#This Row],[Pts/G]]*(1-Table2[[#This Row],[% Pos Overlap]]))</f>
        <v>0.37804878048780488</v>
      </c>
      <c r="J883" s="72" cm="1">
        <f t="array" aca="1" ref="J883" ca="1">(INDIRECT(ADDRESS((_xlfn.XMATCH(Table2[[#This Row],[Team]],Schedule!$A$1:$A$33)),5,1,1,"Sched Overlap")))</f>
        <v>0.66910866910866917</v>
      </c>
      <c r="K883" s="92" cm="1">
        <f t="array" aca="1" ref="K88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83" s="95">
        <f ca="1">IF(Table2[[#This Row],[Team]]="FA",0,Table2[[#This Row],[Pts/G]]*(Table2[[#This Row],[Games Playable]]/82))</f>
        <v>0.37804878048780488</v>
      </c>
      <c r="M883" s="95" cm="1">
        <f t="array" aca="1" ref="M883" ca="1">Table2[[#This Row],[Playable x Score]]*_xlfn.IFS(Table2[[#This Row],[Pos]]="D",assumptions!$B$15,Table2[[#This Row],[Pos]]="F", assumptions!$B$14,Table2[[#This Row],[Pos]]="G",assumptions!$B$16)</f>
        <v>0.47256097560975607</v>
      </c>
    </row>
    <row r="884" spans="1:13" x14ac:dyDescent="0.3">
      <c r="A884">
        <f>'score estimates'!$A884</f>
        <v>881</v>
      </c>
      <c r="B884" t="str">
        <f>'score estimates'!$B884</f>
        <v>John Gibson</v>
      </c>
      <c r="C884" t="str">
        <f>'score estimates'!$D884</f>
        <v>G</v>
      </c>
      <c r="D884" t="str">
        <f>'score estimates'!$C884</f>
        <v>ANH</v>
      </c>
      <c r="E884" s="75">
        <f>'score estimates'!$F884</f>
        <v>21.890243902439025</v>
      </c>
      <c r="F884" s="71">
        <f>'score estimates'!$G884</f>
        <v>202</v>
      </c>
      <c r="G884" s="71" t="s">
        <v>983</v>
      </c>
      <c r="H884" s="72" cm="1">
        <f t="array" aca="1" ref="H88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84" s="96">
        <f ca="1">IF(Table2[[#This Row],[Team]]="FA",0,Table2[[#This Row],[Pts/G]]*(1-Table2[[#This Row],[% Pos Overlap]]))</f>
        <v>21.890243902439025</v>
      </c>
      <c r="J884" s="72" cm="1">
        <f t="array" aca="1" ref="J884" ca="1">(INDIRECT(ADDRESS((_xlfn.XMATCH(Table2[[#This Row],[Team]],Schedule!$A$1:$A$33)),5,1,1,"Sched Overlap")))</f>
        <v>0.56410256410256399</v>
      </c>
      <c r="K884" s="92" cm="1">
        <f t="array" aca="1" ref="K88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84" s="95">
        <f ca="1">IF(Table2[[#This Row],[Team]]="FA",0,Table2[[#This Row],[Pts/G]]*(Table2[[#This Row],[Games Playable]]/82))</f>
        <v>21.890243902439025</v>
      </c>
      <c r="M884" s="95" cm="1">
        <f t="array" aca="1" ref="M884" ca="1">Table2[[#This Row],[Playable x Score]]*_xlfn.IFS(Table2[[#This Row],[Pos]]="D",assumptions!$B$15,Table2[[#This Row],[Pos]]="F", assumptions!$B$14,Table2[[#This Row],[Pos]]="G",assumptions!$B$16)</f>
        <v>24.079268292682929</v>
      </c>
    </row>
    <row r="885" spans="1:13" x14ac:dyDescent="0.3">
      <c r="A885">
        <f>'score estimates'!$A885</f>
        <v>882</v>
      </c>
      <c r="B885" t="str">
        <f>'score estimates'!$B885</f>
        <v>Dmitrij Jaskin</v>
      </c>
      <c r="C885" t="str">
        <f>'score estimates'!$D885</f>
        <v>F</v>
      </c>
      <c r="D885" t="str">
        <f>'score estimates'!$C885</f>
        <v>FA</v>
      </c>
      <c r="E885" s="75">
        <f>'score estimates'!$F885</f>
        <v>1.0731707317073171</v>
      </c>
      <c r="F885" s="71">
        <f>'score estimates'!$G885</f>
        <v>928</v>
      </c>
      <c r="G885" s="71" t="s">
        <v>983</v>
      </c>
      <c r="H885" s="72" t="e" cm="1">
        <f t="array" aca="1" ref="H885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885" s="96">
        <f>IF(Table2[[#This Row],[Team]]="FA",0,Table2[[#This Row],[Pts/G]]*(1-Table2[[#This Row],[% Pos Overlap]]))</f>
        <v>0</v>
      </c>
      <c r="J885" s="72" t="e" cm="1">
        <f t="array" aca="1" ref="J885" ca="1">(INDIRECT(ADDRESS((_xlfn.XMATCH(Table2[[#This Row],[Team]],Schedule!$A$1:$A$33)),5,1,1,"Sched Overlap")))</f>
        <v>#N/A</v>
      </c>
      <c r="K885" s="92" t="e" cm="1">
        <f t="array" aca="1" ref="K885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885" s="95">
        <f>IF(Table2[[#This Row],[Team]]="FA",0,Table2[[#This Row],[Pts/G]]*(Table2[[#This Row],[Games Playable]]/82))</f>
        <v>0</v>
      </c>
      <c r="M885" s="95" cm="1">
        <f t="array" ref="M885">Table2[[#This Row],[Playable x Score]]*_xlfn.IFS(Table2[[#This Row],[Pos]]="D",assumptions!$B$15,Table2[[#This Row],[Pos]]="F", assumptions!$B$14,Table2[[#This Row],[Pos]]="G",assumptions!$B$16)</f>
        <v>0</v>
      </c>
    </row>
    <row r="886" spans="1:13" x14ac:dyDescent="0.3">
      <c r="A886">
        <f>'score estimates'!$A886</f>
        <v>883</v>
      </c>
      <c r="B886" t="str">
        <f>'score estimates'!$B886</f>
        <v>Brad Malone</v>
      </c>
      <c r="C886" t="str">
        <f>'score estimates'!$D886</f>
        <v>F</v>
      </c>
      <c r="D886" t="str">
        <f>'score estimates'!$C886</f>
        <v>EDM</v>
      </c>
      <c r="E886" s="75">
        <f>'score estimates'!$F886</f>
        <v>0.52439024390243905</v>
      </c>
      <c r="F886" s="71">
        <f>'score estimates'!$G886</f>
        <v>1002</v>
      </c>
      <c r="G886" s="71" t="s">
        <v>983</v>
      </c>
      <c r="H886" s="72" cm="1">
        <f t="array" aca="1" ref="H88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86" s="96">
        <f ca="1">IF(Table2[[#This Row],[Team]]="FA",0,Table2[[#This Row],[Pts/G]]*(1-Table2[[#This Row],[% Pos Overlap]]))</f>
        <v>0.52439024390243905</v>
      </c>
      <c r="J886" s="72" cm="1">
        <f t="array" aca="1" ref="J886" ca="1">(INDIRECT(ADDRESS((_xlfn.XMATCH(Table2[[#This Row],[Team]],Schedule!$A$1:$A$33)),5,1,1,"Sched Overlap")))</f>
        <v>0.62026862026862029</v>
      </c>
      <c r="K886" s="92" cm="1">
        <f t="array" aca="1" ref="K88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86" s="95">
        <f ca="1">IF(Table2[[#This Row],[Team]]="FA",0,Table2[[#This Row],[Pts/G]]*(Table2[[#This Row],[Games Playable]]/82))</f>
        <v>0.52439024390243905</v>
      </c>
      <c r="M886" s="95" cm="1">
        <f t="array" aca="1" ref="M886" ca="1">Table2[[#This Row],[Playable x Score]]*_xlfn.IFS(Table2[[#This Row],[Pos]]="D",assumptions!$B$15,Table2[[#This Row],[Pos]]="F", assumptions!$B$14,Table2[[#This Row],[Pos]]="G",assumptions!$B$16)</f>
        <v>0.52439024390243905</v>
      </c>
    </row>
    <row r="887" spans="1:13" x14ac:dyDescent="0.3">
      <c r="A887">
        <f>'score estimates'!$A887</f>
        <v>884</v>
      </c>
      <c r="B887" t="str">
        <f>'score estimates'!$B887</f>
        <v>Joseph Cramarossa</v>
      </c>
      <c r="C887" t="str">
        <f>'score estimates'!$D887</f>
        <v>F</v>
      </c>
      <c r="D887" t="str">
        <f>'score estimates'!$C887</f>
        <v>MIN</v>
      </c>
      <c r="E887" s="75">
        <f>'score estimates'!$F887</f>
        <v>0.58536585365853655</v>
      </c>
      <c r="F887" s="71">
        <f>'score estimates'!$G887</f>
        <v>992</v>
      </c>
      <c r="G887" s="71" t="s">
        <v>983</v>
      </c>
      <c r="H887" s="72" cm="1">
        <f t="array" aca="1" ref="H88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87" s="96">
        <f ca="1">IF(Table2[[#This Row],[Team]]="FA",0,Table2[[#This Row],[Pts/G]]*(1-Table2[[#This Row],[% Pos Overlap]]))</f>
        <v>0.58536585365853655</v>
      </c>
      <c r="J887" s="72" cm="1">
        <f t="array" aca="1" ref="J887" ca="1">(INDIRECT(ADDRESS((_xlfn.XMATCH(Table2[[#This Row],[Team]],Schedule!$A$1:$A$33)),5,1,1,"Sched Overlap")))</f>
        <v>0.62108262108262113</v>
      </c>
      <c r="K887" s="92" cm="1">
        <f t="array" aca="1" ref="K88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87" s="95">
        <f ca="1">IF(Table2[[#This Row],[Team]]="FA",0,Table2[[#This Row],[Pts/G]]*(Table2[[#This Row],[Games Playable]]/82))</f>
        <v>0.58536585365853655</v>
      </c>
      <c r="M887" s="95" cm="1">
        <f t="array" aca="1" ref="M887" ca="1">Table2[[#This Row],[Playable x Score]]*_xlfn.IFS(Table2[[#This Row],[Pos]]="D",assumptions!$B$15,Table2[[#This Row],[Pos]]="F", assumptions!$B$14,Table2[[#This Row],[Pos]]="G",assumptions!$B$16)</f>
        <v>0.58536585365853655</v>
      </c>
    </row>
    <row r="888" spans="1:13" x14ac:dyDescent="0.3">
      <c r="A888">
        <f>'score estimates'!$A888</f>
        <v>885</v>
      </c>
      <c r="B888" t="str">
        <f>'score estimates'!$B888</f>
        <v>Phil Di Giuseppe</v>
      </c>
      <c r="C888" t="str">
        <f>'score estimates'!$D888</f>
        <v>F</v>
      </c>
      <c r="D888" t="str">
        <f>'score estimates'!$C888</f>
        <v>VAN</v>
      </c>
      <c r="E888" s="75">
        <f>'score estimates'!$F888</f>
        <v>0.51219512195121952</v>
      </c>
      <c r="F888" s="71">
        <f>'score estimates'!$G888</f>
        <v>1003</v>
      </c>
      <c r="G888" s="71" t="s">
        <v>983</v>
      </c>
      <c r="H888" s="72" cm="1">
        <f t="array" aca="1" ref="H88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88" s="96">
        <f ca="1">IF(Table2[[#This Row],[Team]]="FA",0,Table2[[#This Row],[Pts/G]]*(1-Table2[[#This Row],[% Pos Overlap]]))</f>
        <v>0.51219512195121952</v>
      </c>
      <c r="J888" s="72" cm="1">
        <f t="array" aca="1" ref="J888" ca="1">(INDIRECT(ADDRESS((_xlfn.XMATCH(Table2[[#This Row],[Team]],Schedule!$A$1:$A$33)),5,1,1,"Sched Overlap")))</f>
        <v>0.62922262922262917</v>
      </c>
      <c r="K888" s="92" cm="1">
        <f t="array" aca="1" ref="K88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88" s="95">
        <f ca="1">IF(Table2[[#This Row],[Team]]="FA",0,Table2[[#This Row],[Pts/G]]*(Table2[[#This Row],[Games Playable]]/82))</f>
        <v>0.51219512195121952</v>
      </c>
      <c r="M888" s="95" cm="1">
        <f t="array" aca="1" ref="M888" ca="1">Table2[[#This Row],[Playable x Score]]*_xlfn.IFS(Table2[[#This Row],[Pos]]="D",assumptions!$B$15,Table2[[#This Row],[Pos]]="F", assumptions!$B$14,Table2[[#This Row],[Pos]]="G",assumptions!$B$16)</f>
        <v>0.51219512195121952</v>
      </c>
    </row>
    <row r="889" spans="1:13" x14ac:dyDescent="0.3">
      <c r="A889">
        <f>'score estimates'!$A889</f>
        <v>886</v>
      </c>
      <c r="B889" t="str">
        <f>'score estimates'!$B889</f>
        <v>Anthony Stolarz</v>
      </c>
      <c r="C889" t="str">
        <f>'score estimates'!$D889</f>
        <v>G</v>
      </c>
      <c r="D889" t="str">
        <f>'score estimates'!$C889</f>
        <v>ANH</v>
      </c>
      <c r="E889" s="75">
        <f>'score estimates'!$F889</f>
        <v>13.158536585365853</v>
      </c>
      <c r="F889" s="71">
        <f>'score estimates'!$G889</f>
        <v>459</v>
      </c>
      <c r="G889" s="71" t="s">
        <v>983</v>
      </c>
      <c r="H889" s="72" cm="1">
        <f t="array" aca="1" ref="H88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89" s="96">
        <f ca="1">IF(Table2[[#This Row],[Team]]="FA",0,Table2[[#This Row],[Pts/G]]*(1-Table2[[#This Row],[% Pos Overlap]]))</f>
        <v>13.158536585365853</v>
      </c>
      <c r="J889" s="72" cm="1">
        <f t="array" aca="1" ref="J889" ca="1">(INDIRECT(ADDRESS((_xlfn.XMATCH(Table2[[#This Row],[Team]],Schedule!$A$1:$A$33)),5,1,1,"Sched Overlap")))</f>
        <v>0.56410256410256399</v>
      </c>
      <c r="K889" s="92" cm="1">
        <f t="array" aca="1" ref="K88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89" s="95">
        <f ca="1">IF(Table2[[#This Row],[Team]]="FA",0,Table2[[#This Row],[Pts/G]]*(Table2[[#This Row],[Games Playable]]/82))</f>
        <v>13.158536585365853</v>
      </c>
      <c r="M889" s="95" cm="1">
        <f t="array" aca="1" ref="M889" ca="1">Table2[[#This Row],[Playable x Score]]*_xlfn.IFS(Table2[[#This Row],[Pos]]="D",assumptions!$B$15,Table2[[#This Row],[Pos]]="F", assumptions!$B$14,Table2[[#This Row],[Pos]]="G",assumptions!$B$16)</f>
        <v>14.474390243902439</v>
      </c>
    </row>
    <row r="890" spans="1:13" x14ac:dyDescent="0.3">
      <c r="A890">
        <f>'score estimates'!$A890</f>
        <v>887</v>
      </c>
      <c r="B890" t="str">
        <f>'score estimates'!$B890</f>
        <v>Alex Biega</v>
      </c>
      <c r="C890" t="str">
        <f>'score estimates'!$D890</f>
        <v>D</v>
      </c>
      <c r="D890" t="str">
        <f>'score estimates'!$C890</f>
        <v>FA</v>
      </c>
      <c r="E890" s="75">
        <f>'score estimates'!$F890</f>
        <v>0.71951219512195119</v>
      </c>
      <c r="F890" s="71">
        <f>'score estimates'!$G890</f>
        <v>970</v>
      </c>
      <c r="G890" s="71" t="s">
        <v>983</v>
      </c>
      <c r="H890" s="72" t="e" cm="1">
        <f t="array" aca="1" ref="H890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890" s="96">
        <f>IF(Table2[[#This Row],[Team]]="FA",0,Table2[[#This Row],[Pts/G]]*(1-Table2[[#This Row],[% Pos Overlap]]))</f>
        <v>0</v>
      </c>
      <c r="J890" s="72" t="e" cm="1">
        <f t="array" aca="1" ref="J890" ca="1">(INDIRECT(ADDRESS((_xlfn.XMATCH(Table2[[#This Row],[Team]],Schedule!$A$1:$A$33)),5,1,1,"Sched Overlap")))</f>
        <v>#N/A</v>
      </c>
      <c r="K890" s="92" t="e" cm="1">
        <f t="array" aca="1" ref="K890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890" s="95">
        <f>IF(Table2[[#This Row],[Team]]="FA",0,Table2[[#This Row],[Pts/G]]*(Table2[[#This Row],[Games Playable]]/82))</f>
        <v>0</v>
      </c>
      <c r="M890" s="95" cm="1">
        <f t="array" ref="M890">Table2[[#This Row],[Playable x Score]]*_xlfn.IFS(Table2[[#This Row],[Pos]]="D",assumptions!$B$15,Table2[[#This Row],[Pos]]="F", assumptions!$B$14,Table2[[#This Row],[Pos]]="G",assumptions!$B$16)</f>
        <v>0</v>
      </c>
    </row>
    <row r="891" spans="1:13" x14ac:dyDescent="0.3">
      <c r="A891">
        <f>'score estimates'!$A891</f>
        <v>888</v>
      </c>
      <c r="B891" t="str">
        <f>'score estimates'!$B891</f>
        <v>Linus Ullmark</v>
      </c>
      <c r="C891" t="str">
        <f>'score estimates'!$D891</f>
        <v>G</v>
      </c>
      <c r="D891" t="str">
        <f>'score estimates'!$C891</f>
        <v>BOS</v>
      </c>
      <c r="E891" s="75">
        <f>'score estimates'!$F891</f>
        <v>22.048780487804876</v>
      </c>
      <c r="F891" s="71">
        <f>'score estimates'!$G891</f>
        <v>201</v>
      </c>
      <c r="G891" s="71" t="s">
        <v>983</v>
      </c>
      <c r="H891" s="72" cm="1">
        <f t="array" aca="1" ref="H89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91" s="96">
        <f ca="1">IF(Table2[[#This Row],[Team]]="FA",0,Table2[[#This Row],[Pts/G]]*(1-Table2[[#This Row],[% Pos Overlap]]))</f>
        <v>22.048780487804876</v>
      </c>
      <c r="J891" s="72" cm="1">
        <f t="array" aca="1" ref="J891" ca="1">(INDIRECT(ADDRESS((_xlfn.XMATCH(Table2[[#This Row],[Team]],Schedule!$A$1:$A$33)),5,1,1,"Sched Overlap")))</f>
        <v>0.67236467236467234</v>
      </c>
      <c r="K891" s="92" cm="1">
        <f t="array" aca="1" ref="K89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91" s="95">
        <f ca="1">IF(Table2[[#This Row],[Team]]="FA",0,Table2[[#This Row],[Pts/G]]*(Table2[[#This Row],[Games Playable]]/82))</f>
        <v>22.048780487804876</v>
      </c>
      <c r="M891" s="95" cm="1">
        <f t="array" aca="1" ref="M891" ca="1">Table2[[#This Row],[Playable x Score]]*_xlfn.IFS(Table2[[#This Row],[Pos]]="D",assumptions!$B$15,Table2[[#This Row],[Pos]]="F", assumptions!$B$14,Table2[[#This Row],[Pos]]="G",assumptions!$B$16)</f>
        <v>24.253658536585366</v>
      </c>
    </row>
    <row r="892" spans="1:13" x14ac:dyDescent="0.3">
      <c r="A892">
        <f>'score estimates'!$A892</f>
        <v>889</v>
      </c>
      <c r="B892" t="str">
        <f>'score estimates'!$B892</f>
        <v>Jon Gillies</v>
      </c>
      <c r="C892" t="str">
        <f>'score estimates'!$D892</f>
        <v>G</v>
      </c>
      <c r="D892" t="str">
        <f>'score estimates'!$C892</f>
        <v>ARI</v>
      </c>
      <c r="E892" s="75">
        <f>'score estimates'!$F892</f>
        <v>5.7804878048780486</v>
      </c>
      <c r="F892" s="71">
        <f>'score estimates'!$G892</f>
        <v>696</v>
      </c>
      <c r="G892" s="71" t="s">
        <v>983</v>
      </c>
      <c r="H892" s="72" cm="1">
        <f t="array" aca="1" ref="H89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92" s="96">
        <f ca="1">IF(Table2[[#This Row],[Team]]="FA",0,Table2[[#This Row],[Pts/G]]*(1-Table2[[#This Row],[% Pos Overlap]]))</f>
        <v>5.7804878048780486</v>
      </c>
      <c r="J892" s="72" cm="1">
        <f t="array" aca="1" ref="J892" ca="1">(INDIRECT(ADDRESS((_xlfn.XMATCH(Table2[[#This Row],[Team]],Schedule!$A$1:$A$33)),5,1,1,"Sched Overlap")))</f>
        <v>0.63247863247863279</v>
      </c>
      <c r="K892" s="92" cm="1">
        <f t="array" aca="1" ref="K89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92" s="95">
        <f ca="1">IF(Table2[[#This Row],[Team]]="FA",0,Table2[[#This Row],[Pts/G]]*(Table2[[#This Row],[Games Playable]]/82))</f>
        <v>5.7804878048780486</v>
      </c>
      <c r="M892" s="95" cm="1">
        <f t="array" aca="1" ref="M892" ca="1">Table2[[#This Row],[Playable x Score]]*_xlfn.IFS(Table2[[#This Row],[Pos]]="D",assumptions!$B$15,Table2[[#This Row],[Pos]]="F", assumptions!$B$14,Table2[[#This Row],[Pos]]="G",assumptions!$B$16)</f>
        <v>6.3585365853658535</v>
      </c>
    </row>
    <row r="893" spans="1:13" x14ac:dyDescent="0.3">
      <c r="A893">
        <f>'score estimates'!$A893</f>
        <v>890</v>
      </c>
      <c r="B893" t="str">
        <f>'score estimates'!$B893</f>
        <v>Riley Barber</v>
      </c>
      <c r="C893" t="str">
        <f>'score estimates'!$D893</f>
        <v>F</v>
      </c>
      <c r="D893" t="str">
        <f>'score estimates'!$C893</f>
        <v>DAL</v>
      </c>
      <c r="E893" s="75">
        <f>'score estimates'!$F893</f>
        <v>0.10975609756097561</v>
      </c>
      <c r="F893" s="71">
        <f>'score estimates'!$G893</f>
        <v>1049</v>
      </c>
      <c r="G893" s="71" t="s">
        <v>983</v>
      </c>
      <c r="H893" s="72" cm="1">
        <f t="array" aca="1" ref="H89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93" s="96">
        <f ca="1">IF(Table2[[#This Row],[Team]]="FA",0,Table2[[#This Row],[Pts/G]]*(1-Table2[[#This Row],[% Pos Overlap]]))</f>
        <v>0.10975609756097561</v>
      </c>
      <c r="J893" s="72" cm="1">
        <f t="array" aca="1" ref="J893" ca="1">(INDIRECT(ADDRESS((_xlfn.XMATCH(Table2[[#This Row],[Team]],Schedule!$A$1:$A$33)),5,1,1,"Sched Overlap")))</f>
        <v>0.65364265364265373</v>
      </c>
      <c r="K893" s="92" cm="1">
        <f t="array" aca="1" ref="K89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93" s="95">
        <f ca="1">IF(Table2[[#This Row],[Team]]="FA",0,Table2[[#This Row],[Pts/G]]*(Table2[[#This Row],[Games Playable]]/82))</f>
        <v>0.10975609756097561</v>
      </c>
      <c r="M893" s="95" cm="1">
        <f t="array" aca="1" ref="M893" ca="1">Table2[[#This Row],[Playable x Score]]*_xlfn.IFS(Table2[[#This Row],[Pos]]="D",assumptions!$B$15,Table2[[#This Row],[Pos]]="F", assumptions!$B$14,Table2[[#This Row],[Pos]]="G",assumptions!$B$16)</f>
        <v>0.10975609756097561</v>
      </c>
    </row>
    <row r="894" spans="1:13" x14ac:dyDescent="0.3">
      <c r="A894">
        <f>'score estimates'!$A894</f>
        <v>891</v>
      </c>
      <c r="B894" t="str">
        <f>'score estimates'!$B894</f>
        <v>Petteri Lindbohm</v>
      </c>
      <c r="C894" t="str">
        <f>'score estimates'!$D894</f>
        <v>D</v>
      </c>
      <c r="D894" t="str">
        <f>'score estimates'!$C894</f>
        <v>FLA</v>
      </c>
      <c r="E894" s="75">
        <f>'score estimates'!$F894</f>
        <v>1.1707317073170731</v>
      </c>
      <c r="F894" s="71">
        <f>'score estimates'!$G894</f>
        <v>920</v>
      </c>
      <c r="G894" s="71" t="s">
        <v>983</v>
      </c>
      <c r="H894" s="72" cm="1">
        <f t="array" aca="1" ref="H89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94" s="96">
        <f ca="1">IF(Table2[[#This Row],[Team]]="FA",0,Table2[[#This Row],[Pts/G]]*(1-Table2[[#This Row],[% Pos Overlap]]))</f>
        <v>1.1707317073170731</v>
      </c>
      <c r="J894" s="72" cm="1">
        <f t="array" aca="1" ref="J894" ca="1">(INDIRECT(ADDRESS((_xlfn.XMATCH(Table2[[#This Row],[Team]],Schedule!$A$1:$A$33)),5,1,1,"Sched Overlap")))</f>
        <v>0.64387464387464377</v>
      </c>
      <c r="K894" s="92" cm="1">
        <f t="array" aca="1" ref="K89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94" s="95">
        <f ca="1">IF(Table2[[#This Row],[Team]]="FA",0,Table2[[#This Row],[Pts/G]]*(Table2[[#This Row],[Games Playable]]/82))</f>
        <v>1.1707317073170731</v>
      </c>
      <c r="M894" s="95" cm="1">
        <f t="array" aca="1" ref="M894" ca="1">Table2[[#This Row],[Playable x Score]]*_xlfn.IFS(Table2[[#This Row],[Pos]]="D",assumptions!$B$15,Table2[[#This Row],[Pos]]="F", assumptions!$B$14,Table2[[#This Row],[Pos]]="G",assumptions!$B$16)</f>
        <v>1.4634146341463414</v>
      </c>
    </row>
    <row r="895" spans="1:13" x14ac:dyDescent="0.3">
      <c r="A895">
        <f>'score estimates'!$A895</f>
        <v>892</v>
      </c>
      <c r="B895" t="str">
        <f>'score estimates'!$B895</f>
        <v>Eric Comrie</v>
      </c>
      <c r="C895" t="str">
        <f>'score estimates'!$D895</f>
        <v>G</v>
      </c>
      <c r="D895" t="str">
        <f>'score estimates'!$C895</f>
        <v>BUF</v>
      </c>
      <c r="E895" s="75">
        <f>'score estimates'!$F895</f>
        <v>8.2195121951219505</v>
      </c>
      <c r="F895" s="71">
        <f>'score estimates'!$G895</f>
        <v>613</v>
      </c>
      <c r="G895" s="71" t="s">
        <v>983</v>
      </c>
      <c r="H895" s="72" cm="1">
        <f t="array" aca="1" ref="H89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95" s="96">
        <f ca="1">IF(Table2[[#This Row],[Team]]="FA",0,Table2[[#This Row],[Pts/G]]*(1-Table2[[#This Row],[% Pos Overlap]]))</f>
        <v>8.2195121951219505</v>
      </c>
      <c r="J895" s="72" cm="1">
        <f t="array" aca="1" ref="J895" ca="1">(INDIRECT(ADDRESS((_xlfn.XMATCH(Table2[[#This Row],[Team]],Schedule!$A$1:$A$33)),5,1,1,"Sched Overlap")))</f>
        <v>0.63573463573463573</v>
      </c>
      <c r="K895" s="92" cm="1">
        <f t="array" aca="1" ref="K89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95" s="95">
        <f ca="1">IF(Table2[[#This Row],[Team]]="FA",0,Table2[[#This Row],[Pts/G]]*(Table2[[#This Row],[Games Playable]]/82))</f>
        <v>8.2195121951219505</v>
      </c>
      <c r="M895" s="95" cm="1">
        <f t="array" aca="1" ref="M895" ca="1">Table2[[#This Row],[Playable x Score]]*_xlfn.IFS(Table2[[#This Row],[Pos]]="D",assumptions!$B$15,Table2[[#This Row],[Pos]]="F", assumptions!$B$14,Table2[[#This Row],[Pos]]="G",assumptions!$B$16)</f>
        <v>9.0414634146341459</v>
      </c>
    </row>
    <row r="896" spans="1:13" x14ac:dyDescent="0.3">
      <c r="A896">
        <f>'score estimates'!$A896</f>
        <v>893</v>
      </c>
      <c r="B896" t="str">
        <f>'score estimates'!$B896</f>
        <v>Carl Dahlstrom</v>
      </c>
      <c r="C896" t="str">
        <f>'score estimates'!$D896</f>
        <v>D</v>
      </c>
      <c r="D896" t="str">
        <f>'score estimates'!$C896</f>
        <v>TOR</v>
      </c>
      <c r="E896" s="75">
        <f>'score estimates'!$F896</f>
        <v>0.67073170731707321</v>
      </c>
      <c r="F896" s="71">
        <f>'score estimates'!$G896</f>
        <v>979</v>
      </c>
      <c r="G896" s="71" t="s">
        <v>983</v>
      </c>
      <c r="H896" s="72" cm="1">
        <f t="array" aca="1" ref="H89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96" s="96">
        <f ca="1">IF(Table2[[#This Row],[Team]]="FA",0,Table2[[#This Row],[Pts/G]]*(1-Table2[[#This Row],[% Pos Overlap]]))</f>
        <v>0.67073170731707321</v>
      </c>
      <c r="J896" s="72" cm="1">
        <f t="array" aca="1" ref="J896" ca="1">(INDIRECT(ADDRESS((_xlfn.XMATCH(Table2[[#This Row],[Team]],Schedule!$A$1:$A$33)),5,1,1,"Sched Overlap")))</f>
        <v>0.62922262922262928</v>
      </c>
      <c r="K896" s="92" cm="1">
        <f t="array" aca="1" ref="K89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96" s="95">
        <f ca="1">IF(Table2[[#This Row],[Team]]="FA",0,Table2[[#This Row],[Pts/G]]*(Table2[[#This Row],[Games Playable]]/82))</f>
        <v>0.67073170731707321</v>
      </c>
      <c r="M896" s="95" cm="1">
        <f t="array" aca="1" ref="M896" ca="1">Table2[[#This Row],[Playable x Score]]*_xlfn.IFS(Table2[[#This Row],[Pos]]="D",assumptions!$B$15,Table2[[#This Row],[Pos]]="F", assumptions!$B$14,Table2[[#This Row],[Pos]]="G",assumptions!$B$16)</f>
        <v>0.83841463414634154</v>
      </c>
    </row>
    <row r="897" spans="1:13" x14ac:dyDescent="0.3">
      <c r="A897">
        <f>'score estimates'!$A897</f>
        <v>894</v>
      </c>
      <c r="B897" t="str">
        <f>'score estimates'!$B897</f>
        <v>John Hayden</v>
      </c>
      <c r="C897" t="str">
        <f>'score estimates'!$D897</f>
        <v>F</v>
      </c>
      <c r="D897" t="str">
        <f>'score estimates'!$C897</f>
        <v>SEA</v>
      </c>
      <c r="E897" s="75">
        <f>'score estimates'!$F897</f>
        <v>0.91463414634146345</v>
      </c>
      <c r="F897" s="71">
        <f>'score estimates'!$G897</f>
        <v>949</v>
      </c>
      <c r="G897" s="71" t="s">
        <v>983</v>
      </c>
      <c r="H897" s="72" cm="1">
        <f t="array" aca="1" ref="H89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97" s="96">
        <f ca="1">IF(Table2[[#This Row],[Team]]="FA",0,Table2[[#This Row],[Pts/G]]*(1-Table2[[#This Row],[% Pos Overlap]]))</f>
        <v>0.91463414634146345</v>
      </c>
      <c r="J897" s="72" cm="1">
        <f t="array" aca="1" ref="J897" ca="1">(INDIRECT(ADDRESS((_xlfn.XMATCH(Table2[[#This Row],[Team]],Schedule!$A$1:$A$33)),5,1,1,"Sched Overlap")))</f>
        <v>0.63085063085063087</v>
      </c>
      <c r="K897" s="92" cm="1">
        <f t="array" aca="1" ref="K89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97" s="95">
        <f ca="1">IF(Table2[[#This Row],[Team]]="FA",0,Table2[[#This Row],[Pts/G]]*(Table2[[#This Row],[Games Playable]]/82))</f>
        <v>0.91463414634146345</v>
      </c>
      <c r="M897" s="95" cm="1">
        <f t="array" aca="1" ref="M897" ca="1">Table2[[#This Row],[Playable x Score]]*_xlfn.IFS(Table2[[#This Row],[Pos]]="D",assumptions!$B$15,Table2[[#This Row],[Pos]]="F", assumptions!$B$14,Table2[[#This Row],[Pos]]="G",assumptions!$B$16)</f>
        <v>0.91463414634146345</v>
      </c>
    </row>
    <row r="898" spans="1:13" x14ac:dyDescent="0.3">
      <c r="A898">
        <f>'score estimates'!$A898</f>
        <v>895</v>
      </c>
      <c r="B898" t="str">
        <f>'score estimates'!$B898</f>
        <v>Jacob Larsson</v>
      </c>
      <c r="C898" t="str">
        <f>'score estimates'!$D898</f>
        <v>D</v>
      </c>
      <c r="D898" t="str">
        <f>'score estimates'!$C898</f>
        <v>OTT</v>
      </c>
      <c r="E898" s="75">
        <f>'score estimates'!$F898</f>
        <v>0.65853658536585369</v>
      </c>
      <c r="F898" s="71">
        <f>'score estimates'!$G898</f>
        <v>982</v>
      </c>
      <c r="G898" s="71" t="s">
        <v>983</v>
      </c>
      <c r="H898" s="72" cm="1">
        <f t="array" aca="1" ref="H89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98" s="96">
        <f ca="1">IF(Table2[[#This Row],[Team]]="FA",0,Table2[[#This Row],[Pts/G]]*(1-Table2[[#This Row],[% Pos Overlap]]))</f>
        <v>0.65853658536585369</v>
      </c>
      <c r="J898" s="72" cm="1">
        <f t="array" aca="1" ref="J898" ca="1">(INDIRECT(ADDRESS((_xlfn.XMATCH(Table2[[#This Row],[Team]],Schedule!$A$1:$A$33)),5,1,1,"Sched Overlap")))</f>
        <v>0.64306064306064303</v>
      </c>
      <c r="K898" s="92" cm="1">
        <f t="array" aca="1" ref="K89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98" s="95">
        <f ca="1">IF(Table2[[#This Row],[Team]]="FA",0,Table2[[#This Row],[Pts/G]]*(Table2[[#This Row],[Games Playable]]/82))</f>
        <v>0.65853658536585369</v>
      </c>
      <c r="M898" s="95" cm="1">
        <f t="array" aca="1" ref="M898" ca="1">Table2[[#This Row],[Playable x Score]]*_xlfn.IFS(Table2[[#This Row],[Pos]]="D",assumptions!$B$15,Table2[[#This Row],[Pos]]="F", assumptions!$B$14,Table2[[#This Row],[Pos]]="G",assumptions!$B$16)</f>
        <v>0.82317073170731714</v>
      </c>
    </row>
    <row r="899" spans="1:13" x14ac:dyDescent="0.3">
      <c r="A899">
        <f>'score estimates'!$A899</f>
        <v>896</v>
      </c>
      <c r="B899" t="str">
        <f>'score estimates'!$B899</f>
        <v>Noah Juulsen</v>
      </c>
      <c r="C899" t="str">
        <f>'score estimates'!$D899</f>
        <v>D</v>
      </c>
      <c r="D899" t="str">
        <f>'score estimates'!$C899</f>
        <v>VAN</v>
      </c>
      <c r="E899" s="75">
        <f>'score estimates'!$F899</f>
        <v>0.6097560975609756</v>
      </c>
      <c r="F899" s="71">
        <f>'score estimates'!$G899</f>
        <v>990</v>
      </c>
      <c r="G899" s="71" t="s">
        <v>983</v>
      </c>
      <c r="H899" s="72" cm="1">
        <f t="array" aca="1" ref="H89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899" s="96">
        <f ca="1">IF(Table2[[#This Row],[Team]]="FA",0,Table2[[#This Row],[Pts/G]]*(1-Table2[[#This Row],[% Pos Overlap]]))</f>
        <v>0.6097560975609756</v>
      </c>
      <c r="J899" s="72" cm="1">
        <f t="array" aca="1" ref="J899" ca="1">(INDIRECT(ADDRESS((_xlfn.XMATCH(Table2[[#This Row],[Team]],Schedule!$A$1:$A$33)),5,1,1,"Sched Overlap")))</f>
        <v>0.62922262922262917</v>
      </c>
      <c r="K899" s="92" cm="1">
        <f t="array" aca="1" ref="K89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899" s="95">
        <f ca="1">IF(Table2[[#This Row],[Team]]="FA",0,Table2[[#This Row],[Pts/G]]*(Table2[[#This Row],[Games Playable]]/82))</f>
        <v>0.6097560975609756</v>
      </c>
      <c r="M899" s="95" cm="1">
        <f t="array" aca="1" ref="M899" ca="1">Table2[[#This Row],[Playable x Score]]*_xlfn.IFS(Table2[[#This Row],[Pos]]="D",assumptions!$B$15,Table2[[#This Row],[Pos]]="F", assumptions!$B$14,Table2[[#This Row],[Pos]]="G",assumptions!$B$16)</f>
        <v>0.76219512195121952</v>
      </c>
    </row>
    <row r="900" spans="1:13" x14ac:dyDescent="0.3">
      <c r="A900">
        <f>'score estimates'!$A900</f>
        <v>897</v>
      </c>
      <c r="B900" t="str">
        <f>'score estimates'!$B900</f>
        <v>Dan Vladar</v>
      </c>
      <c r="C900" t="str">
        <f>'score estimates'!$D900</f>
        <v>G</v>
      </c>
      <c r="D900" t="str">
        <f>'score estimates'!$C900</f>
        <v>CGY</v>
      </c>
      <c r="E900" s="75">
        <f>'score estimates'!$F900</f>
        <v>10.536585365853659</v>
      </c>
      <c r="F900" s="71">
        <f>'score estimates'!$G900</f>
        <v>545</v>
      </c>
      <c r="G900" s="71" t="s">
        <v>983</v>
      </c>
      <c r="H900" s="72" cm="1">
        <f t="array" aca="1" ref="H90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00" s="96">
        <f ca="1">IF(Table2[[#This Row],[Team]]="FA",0,Table2[[#This Row],[Pts/G]]*(1-Table2[[#This Row],[% Pos Overlap]]))</f>
        <v>10.536585365853659</v>
      </c>
      <c r="J900" s="72" cm="1">
        <f t="array" aca="1" ref="J900" ca="1">(INDIRECT(ADDRESS((_xlfn.XMATCH(Table2[[#This Row],[Team]],Schedule!$A$1:$A$33)),5,1,1,"Sched Overlap")))</f>
        <v>0.63003663003663002</v>
      </c>
      <c r="K900" s="92" cm="1">
        <f t="array" aca="1" ref="K90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00" s="95">
        <f ca="1">IF(Table2[[#This Row],[Team]]="FA",0,Table2[[#This Row],[Pts/G]]*(Table2[[#This Row],[Games Playable]]/82))</f>
        <v>10.536585365853659</v>
      </c>
      <c r="M900" s="95" cm="1">
        <f t="array" aca="1" ref="M900" ca="1">Table2[[#This Row],[Playable x Score]]*_xlfn.IFS(Table2[[#This Row],[Pos]]="D",assumptions!$B$15,Table2[[#This Row],[Pos]]="F", assumptions!$B$14,Table2[[#This Row],[Pos]]="G",assumptions!$B$16)</f>
        <v>11.590243902439026</v>
      </c>
    </row>
    <row r="901" spans="1:13" x14ac:dyDescent="0.3">
      <c r="A901">
        <f>'score estimates'!$A901</f>
        <v>898</v>
      </c>
      <c r="B901" t="str">
        <f>'score estimates'!$B901</f>
        <v>Nicolas Meloche</v>
      </c>
      <c r="C901" t="str">
        <f>'score estimates'!$D901</f>
        <v>D</v>
      </c>
      <c r="D901" t="str">
        <f>'score estimates'!$C901</f>
        <v>CGY</v>
      </c>
      <c r="E901" s="75">
        <f>'score estimates'!$F901</f>
        <v>0.98780487804878048</v>
      </c>
      <c r="F901" s="71">
        <f>'score estimates'!$G901</f>
        <v>939</v>
      </c>
      <c r="G901" s="71" t="s">
        <v>983</v>
      </c>
      <c r="H901" s="72" cm="1">
        <f t="array" aca="1" ref="H90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01" s="96">
        <f ca="1">IF(Table2[[#This Row],[Team]]="FA",0,Table2[[#This Row],[Pts/G]]*(1-Table2[[#This Row],[% Pos Overlap]]))</f>
        <v>0.98780487804878048</v>
      </c>
      <c r="J901" s="72" cm="1">
        <f t="array" aca="1" ref="J901" ca="1">(INDIRECT(ADDRESS((_xlfn.XMATCH(Table2[[#This Row],[Team]],Schedule!$A$1:$A$33)),5,1,1,"Sched Overlap")))</f>
        <v>0.63003663003663002</v>
      </c>
      <c r="K901" s="92" cm="1">
        <f t="array" aca="1" ref="K90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01" s="95">
        <f ca="1">IF(Table2[[#This Row],[Team]]="FA",0,Table2[[#This Row],[Pts/G]]*(Table2[[#This Row],[Games Playable]]/82))</f>
        <v>0.98780487804878048</v>
      </c>
      <c r="M901" s="95" cm="1">
        <f t="array" aca="1" ref="M901" ca="1">Table2[[#This Row],[Playable x Score]]*_xlfn.IFS(Table2[[#This Row],[Pos]]="D",assumptions!$B$15,Table2[[#This Row],[Pos]]="F", assumptions!$B$14,Table2[[#This Row],[Pos]]="G",assumptions!$B$16)</f>
        <v>1.2347560975609757</v>
      </c>
    </row>
    <row r="902" spans="1:13" x14ac:dyDescent="0.3">
      <c r="A902">
        <f>'score estimates'!$A902</f>
        <v>899</v>
      </c>
      <c r="B902" t="str">
        <f>'score estimates'!$B902</f>
        <v>Kaapo Kahkonen</v>
      </c>
      <c r="C902" t="str">
        <f>'score estimates'!$D902</f>
        <v>G</v>
      </c>
      <c r="D902" t="str">
        <f>'score estimates'!$C902</f>
        <v>SJ</v>
      </c>
      <c r="E902" s="75">
        <f>'score estimates'!$F902</f>
        <v>15.365853658536585</v>
      </c>
      <c r="F902" s="71">
        <f>'score estimates'!$G902</f>
        <v>382</v>
      </c>
      <c r="G902" s="71" t="s">
        <v>983</v>
      </c>
      <c r="H902" s="72" cm="1">
        <f t="array" aca="1" ref="H90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02" s="96">
        <f ca="1">IF(Table2[[#This Row],[Team]]="FA",0,Table2[[#This Row],[Pts/G]]*(1-Table2[[#This Row],[% Pos Overlap]]))</f>
        <v>15.365853658536585</v>
      </c>
      <c r="J902" s="72" cm="1">
        <f t="array" aca="1" ref="J902" ca="1">(INDIRECT(ADDRESS((_xlfn.XMATCH(Table2[[#This Row],[Team]],Schedule!$A$1:$A$33)),5,1,1,"Sched Overlap")))</f>
        <v>0.63492063492063477</v>
      </c>
      <c r="K902" s="92" cm="1">
        <f t="array" aca="1" ref="K90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02" s="95">
        <f ca="1">IF(Table2[[#This Row],[Team]]="FA",0,Table2[[#This Row],[Pts/G]]*(Table2[[#This Row],[Games Playable]]/82))</f>
        <v>15.365853658536585</v>
      </c>
      <c r="M902" s="95" cm="1">
        <f t="array" aca="1" ref="M902" ca="1">Table2[[#This Row],[Playable x Score]]*_xlfn.IFS(Table2[[#This Row],[Pos]]="D",assumptions!$B$15,Table2[[#This Row],[Pos]]="F", assumptions!$B$14,Table2[[#This Row],[Pos]]="G",assumptions!$B$16)</f>
        <v>16.902439024390244</v>
      </c>
    </row>
    <row r="903" spans="1:13" x14ac:dyDescent="0.3">
      <c r="A903">
        <f>'score estimates'!$A903</f>
        <v>900</v>
      </c>
      <c r="B903" t="str">
        <f>'score estimates'!$B903</f>
        <v>Hayden Hodgson</v>
      </c>
      <c r="C903" t="str">
        <f>'score estimates'!$D903</f>
        <v>F</v>
      </c>
      <c r="D903" t="str">
        <f>'score estimates'!$C903</f>
        <v>PHI</v>
      </c>
      <c r="E903" s="75">
        <f>'score estimates'!$F903</f>
        <v>0.62195121951219512</v>
      </c>
      <c r="F903" s="71">
        <f>'score estimates'!$G903</f>
        <v>986</v>
      </c>
      <c r="G903" s="71" t="s">
        <v>983</v>
      </c>
      <c r="H903" s="72" cm="1">
        <f t="array" aca="1" ref="H90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03" s="96">
        <f ca="1">IF(Table2[[#This Row],[Team]]="FA",0,Table2[[#This Row],[Pts/G]]*(1-Table2[[#This Row],[% Pos Overlap]]))</f>
        <v>0.62195121951219512</v>
      </c>
      <c r="J903" s="72" cm="1">
        <f t="array" aca="1" ref="J903" ca="1">(INDIRECT(ADDRESS((_xlfn.XMATCH(Table2[[#This Row],[Team]],Schedule!$A$1:$A$33)),5,1,1,"Sched Overlap")))</f>
        <v>0.66910866910866917</v>
      </c>
      <c r="K903" s="92" cm="1">
        <f t="array" aca="1" ref="K90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03" s="95">
        <f ca="1">IF(Table2[[#This Row],[Team]]="FA",0,Table2[[#This Row],[Pts/G]]*(Table2[[#This Row],[Games Playable]]/82))</f>
        <v>0.62195121951219512</v>
      </c>
      <c r="M903" s="95" cm="1">
        <f t="array" aca="1" ref="M903" ca="1">Table2[[#This Row],[Playable x Score]]*_xlfn.IFS(Table2[[#This Row],[Pos]]="D",assumptions!$B$15,Table2[[#This Row],[Pos]]="F", assumptions!$B$14,Table2[[#This Row],[Pos]]="G",assumptions!$B$16)</f>
        <v>0.62195121951219512</v>
      </c>
    </row>
    <row r="904" spans="1:13" x14ac:dyDescent="0.3">
      <c r="A904">
        <f>'score estimates'!$A904</f>
        <v>901</v>
      </c>
      <c r="B904" t="str">
        <f>'score estimates'!$B904</f>
        <v>Kyle Burroughs</v>
      </c>
      <c r="C904" t="str">
        <f>'score estimates'!$D904</f>
        <v>D</v>
      </c>
      <c r="D904" t="str">
        <f>'score estimates'!$C904</f>
        <v>VAN</v>
      </c>
      <c r="E904" s="75">
        <f>'score estimates'!$F904</f>
        <v>1.7073170731707317</v>
      </c>
      <c r="F904" s="71">
        <f>'score estimates'!$G904</f>
        <v>868</v>
      </c>
      <c r="G904" s="71" t="s">
        <v>983</v>
      </c>
      <c r="H904" s="72" cm="1">
        <f t="array" aca="1" ref="H90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04" s="96">
        <f ca="1">IF(Table2[[#This Row],[Team]]="FA",0,Table2[[#This Row],[Pts/G]]*(1-Table2[[#This Row],[% Pos Overlap]]))</f>
        <v>1.7073170731707317</v>
      </c>
      <c r="J904" s="72" cm="1">
        <f t="array" aca="1" ref="J904" ca="1">(INDIRECT(ADDRESS((_xlfn.XMATCH(Table2[[#This Row],[Team]],Schedule!$A$1:$A$33)),5,1,1,"Sched Overlap")))</f>
        <v>0.62922262922262917</v>
      </c>
      <c r="K904" s="92" cm="1">
        <f t="array" aca="1" ref="K90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04" s="95">
        <f ca="1">IF(Table2[[#This Row],[Team]]="FA",0,Table2[[#This Row],[Pts/G]]*(Table2[[#This Row],[Games Playable]]/82))</f>
        <v>1.7073170731707317</v>
      </c>
      <c r="M904" s="95" cm="1">
        <f t="array" aca="1" ref="M904" ca="1">Table2[[#This Row],[Playable x Score]]*_xlfn.IFS(Table2[[#This Row],[Pos]]="D",assumptions!$B$15,Table2[[#This Row],[Pos]]="F", assumptions!$B$14,Table2[[#This Row],[Pos]]="G",assumptions!$B$16)</f>
        <v>2.1341463414634148</v>
      </c>
    </row>
    <row r="905" spans="1:13" x14ac:dyDescent="0.3">
      <c r="A905">
        <f>'score estimates'!$A905</f>
        <v>902</v>
      </c>
      <c r="B905" t="str">
        <f>'score estimates'!$B905</f>
        <v>Austin Strand</v>
      </c>
      <c r="C905" t="str">
        <f>'score estimates'!$D905</f>
        <v>D</v>
      </c>
      <c r="D905" t="str">
        <f>'score estimates'!$C905</f>
        <v>ANH</v>
      </c>
      <c r="E905" s="75">
        <f>'score estimates'!$F905</f>
        <v>0.54878048780487809</v>
      </c>
      <c r="F905" s="71">
        <f>'score estimates'!$G905</f>
        <v>998</v>
      </c>
      <c r="G905" s="71" t="s">
        <v>983</v>
      </c>
      <c r="H905" s="72" cm="1">
        <f t="array" aca="1" ref="H90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05" s="96">
        <f ca="1">IF(Table2[[#This Row],[Team]]="FA",0,Table2[[#This Row],[Pts/G]]*(1-Table2[[#This Row],[% Pos Overlap]]))</f>
        <v>0.54878048780487809</v>
      </c>
      <c r="J905" s="72" cm="1">
        <f t="array" aca="1" ref="J905" ca="1">(INDIRECT(ADDRESS((_xlfn.XMATCH(Table2[[#This Row],[Team]],Schedule!$A$1:$A$33)),5,1,1,"Sched Overlap")))</f>
        <v>0.56410256410256399</v>
      </c>
      <c r="K905" s="92" cm="1">
        <f t="array" aca="1" ref="K90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05" s="95">
        <f ca="1">IF(Table2[[#This Row],[Team]]="FA",0,Table2[[#This Row],[Pts/G]]*(Table2[[#This Row],[Games Playable]]/82))</f>
        <v>0.54878048780487809</v>
      </c>
      <c r="M905" s="95" cm="1">
        <f t="array" aca="1" ref="M905" ca="1">Table2[[#This Row],[Playable x Score]]*_xlfn.IFS(Table2[[#This Row],[Pos]]="D",assumptions!$B$15,Table2[[#This Row],[Pos]]="F", assumptions!$B$14,Table2[[#This Row],[Pos]]="G",assumptions!$B$16)</f>
        <v>0.68597560975609762</v>
      </c>
    </row>
    <row r="906" spans="1:13" x14ac:dyDescent="0.3">
      <c r="A906">
        <f>'score estimates'!$A906</f>
        <v>903</v>
      </c>
      <c r="B906" t="str">
        <f>'score estimates'!$B906</f>
        <v>Olli Juolevi</v>
      </c>
      <c r="C906" t="str">
        <f>'score estimates'!$D906</f>
        <v>D</v>
      </c>
      <c r="D906" t="str">
        <f>'score estimates'!$C906</f>
        <v>ANH</v>
      </c>
      <c r="E906" s="75">
        <f>'score estimates'!$F906</f>
        <v>1.2317073170731707</v>
      </c>
      <c r="F906" s="71">
        <f>'score estimates'!$G906</f>
        <v>910</v>
      </c>
      <c r="G906" s="71" t="s">
        <v>983</v>
      </c>
      <c r="H906" s="72" cm="1">
        <f t="array" aca="1" ref="H90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06" s="96">
        <f ca="1">IF(Table2[[#This Row],[Team]]="FA",0,Table2[[#This Row],[Pts/G]]*(1-Table2[[#This Row],[% Pos Overlap]]))</f>
        <v>1.2317073170731707</v>
      </c>
      <c r="J906" s="72" cm="1">
        <f t="array" aca="1" ref="J906" ca="1">(INDIRECT(ADDRESS((_xlfn.XMATCH(Table2[[#This Row],[Team]],Schedule!$A$1:$A$33)),5,1,1,"Sched Overlap")))</f>
        <v>0.56410256410256399</v>
      </c>
      <c r="K906" s="92" cm="1">
        <f t="array" aca="1" ref="K90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06" s="95">
        <f ca="1">IF(Table2[[#This Row],[Team]]="FA",0,Table2[[#This Row],[Pts/G]]*(Table2[[#This Row],[Games Playable]]/82))</f>
        <v>1.2317073170731707</v>
      </c>
      <c r="M906" s="95" cm="1">
        <f t="array" aca="1" ref="M906" ca="1">Table2[[#This Row],[Playable x Score]]*_xlfn.IFS(Table2[[#This Row],[Pos]]="D",assumptions!$B$15,Table2[[#This Row],[Pos]]="F", assumptions!$B$14,Table2[[#This Row],[Pos]]="G",assumptions!$B$16)</f>
        <v>1.5396341463414633</v>
      </c>
    </row>
    <row r="907" spans="1:13" x14ac:dyDescent="0.3">
      <c r="A907">
        <f>'score estimates'!$A907</f>
        <v>904</v>
      </c>
      <c r="B907" t="str">
        <f>'score estimates'!$B907</f>
        <v>Igor Shesterkin</v>
      </c>
      <c r="C907" t="str">
        <f>'score estimates'!$D907</f>
        <v>G</v>
      </c>
      <c r="D907" t="str">
        <f>'score estimates'!$C907</f>
        <v>NYR</v>
      </c>
      <c r="E907" s="75">
        <f>'score estimates'!$F907</f>
        <v>42.573170731707314</v>
      </c>
      <c r="F907" s="71">
        <f>'score estimates'!$G907</f>
        <v>15</v>
      </c>
      <c r="G907" s="71" t="s">
        <v>983</v>
      </c>
      <c r="H907" s="72" cm="1">
        <f t="array" aca="1" ref="H90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07" s="96">
        <f ca="1">IF(Table2[[#This Row],[Team]]="FA",0,Table2[[#This Row],[Pts/G]]*(1-Table2[[#This Row],[% Pos Overlap]]))</f>
        <v>42.573170731707314</v>
      </c>
      <c r="J907" s="72" cm="1">
        <f t="array" aca="1" ref="J907" ca="1">(INDIRECT(ADDRESS((_xlfn.XMATCH(Table2[[#This Row],[Team]],Schedule!$A$1:$A$33)),5,1,1,"Sched Overlap")))</f>
        <v>0.60236060236060229</v>
      </c>
      <c r="K907" s="92" cm="1">
        <f t="array" aca="1" ref="K90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07" s="95">
        <f ca="1">IF(Table2[[#This Row],[Team]]="FA",0,Table2[[#This Row],[Pts/G]]*(Table2[[#This Row],[Games Playable]]/82))</f>
        <v>42.573170731707314</v>
      </c>
      <c r="M907" s="95" cm="1">
        <f t="array" aca="1" ref="M907" ca="1">Table2[[#This Row],[Playable x Score]]*_xlfn.IFS(Table2[[#This Row],[Pos]]="D",assumptions!$B$15,Table2[[#This Row],[Pos]]="F", assumptions!$B$14,Table2[[#This Row],[Pos]]="G",assumptions!$B$16)</f>
        <v>46.830487804878047</v>
      </c>
    </row>
    <row r="908" spans="1:13" x14ac:dyDescent="0.3">
      <c r="A908">
        <f>'score estimates'!$A908</f>
        <v>905</v>
      </c>
      <c r="B908" t="str">
        <f>'score estimates'!$B908</f>
        <v>Nick Seeler</v>
      </c>
      <c r="C908" t="str">
        <f>'score estimates'!$D908</f>
        <v>D</v>
      </c>
      <c r="D908" t="str">
        <f>'score estimates'!$C908</f>
        <v>PHI</v>
      </c>
      <c r="E908" s="75">
        <f>'score estimates'!$F908</f>
        <v>0.93902439024390238</v>
      </c>
      <c r="F908" s="71">
        <f>'score estimates'!$G908</f>
        <v>945</v>
      </c>
      <c r="G908" s="71" t="s">
        <v>983</v>
      </c>
      <c r="H908" s="72" cm="1">
        <f t="array" aca="1" ref="H90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08" s="96">
        <f ca="1">IF(Table2[[#This Row],[Team]]="FA",0,Table2[[#This Row],[Pts/G]]*(1-Table2[[#This Row],[% Pos Overlap]]))</f>
        <v>0.93902439024390238</v>
      </c>
      <c r="J908" s="72" cm="1">
        <f t="array" aca="1" ref="J908" ca="1">(INDIRECT(ADDRESS((_xlfn.XMATCH(Table2[[#This Row],[Team]],Schedule!$A$1:$A$33)),5,1,1,"Sched Overlap")))</f>
        <v>0.66910866910866917</v>
      </c>
      <c r="K908" s="92" cm="1">
        <f t="array" aca="1" ref="K90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08" s="95">
        <f ca="1">IF(Table2[[#This Row],[Team]]="FA",0,Table2[[#This Row],[Pts/G]]*(Table2[[#This Row],[Games Playable]]/82))</f>
        <v>0.93902439024390238</v>
      </c>
      <c r="M908" s="95" cm="1">
        <f t="array" aca="1" ref="M908" ca="1">Table2[[#This Row],[Playable x Score]]*_xlfn.IFS(Table2[[#This Row],[Pos]]="D",assumptions!$B$15,Table2[[#This Row],[Pos]]="F", assumptions!$B$14,Table2[[#This Row],[Pos]]="G",assumptions!$B$16)</f>
        <v>1.1737804878048781</v>
      </c>
    </row>
    <row r="909" spans="1:13" x14ac:dyDescent="0.3">
      <c r="A909">
        <f>'score estimates'!$A909</f>
        <v>906</v>
      </c>
      <c r="B909" t="str">
        <f>'score estimates'!$B909</f>
        <v>Ethan Prow</v>
      </c>
      <c r="C909" t="str">
        <f>'score estimates'!$D909</f>
        <v>D</v>
      </c>
      <c r="D909" t="str">
        <f>'score estimates'!$C909</f>
        <v>FA</v>
      </c>
      <c r="E909" s="75">
        <f>'score estimates'!$F909</f>
        <v>0.32926829268292684</v>
      </c>
      <c r="F909" s="71">
        <f>'score estimates'!$G909</f>
        <v>1021</v>
      </c>
      <c r="G909" s="71" t="s">
        <v>983</v>
      </c>
      <c r="H909" s="72" t="e" cm="1">
        <f t="array" aca="1" ref="H909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909" s="96">
        <f>IF(Table2[[#This Row],[Team]]="FA",0,Table2[[#This Row],[Pts/G]]*(1-Table2[[#This Row],[% Pos Overlap]]))</f>
        <v>0</v>
      </c>
      <c r="J909" s="72" t="e" cm="1">
        <f t="array" aca="1" ref="J909" ca="1">(INDIRECT(ADDRESS((_xlfn.XMATCH(Table2[[#This Row],[Team]],Schedule!$A$1:$A$33)),5,1,1,"Sched Overlap")))</f>
        <v>#N/A</v>
      </c>
      <c r="K909" s="92" t="e" cm="1">
        <f t="array" aca="1" ref="K909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909" s="95">
        <f>IF(Table2[[#This Row],[Team]]="FA",0,Table2[[#This Row],[Pts/G]]*(Table2[[#This Row],[Games Playable]]/82))</f>
        <v>0</v>
      </c>
      <c r="M909" s="95" cm="1">
        <f t="array" ref="M909">Table2[[#This Row],[Playable x Score]]*_xlfn.IFS(Table2[[#This Row],[Pos]]="D",assumptions!$B$15,Table2[[#This Row],[Pos]]="F", assumptions!$B$14,Table2[[#This Row],[Pos]]="G",assumptions!$B$16)</f>
        <v>0</v>
      </c>
    </row>
    <row r="910" spans="1:13" x14ac:dyDescent="0.3">
      <c r="A910">
        <f>'score estimates'!$A910</f>
        <v>907</v>
      </c>
      <c r="B910" t="str">
        <f>'score estimates'!$B910</f>
        <v>Tanner Laczynski</v>
      </c>
      <c r="C910" t="str">
        <f>'score estimates'!$D910</f>
        <v>F</v>
      </c>
      <c r="D910" t="str">
        <f>'score estimates'!$C910</f>
        <v>PHI</v>
      </c>
      <c r="E910" s="75">
        <f>'score estimates'!$F910</f>
        <v>0.34146341463414637</v>
      </c>
      <c r="F910" s="71">
        <f>'score estimates'!$G910</f>
        <v>1017</v>
      </c>
      <c r="G910" s="71" t="s">
        <v>983</v>
      </c>
      <c r="H910" s="72" cm="1">
        <f t="array" aca="1" ref="H91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10" s="96">
        <f ca="1">IF(Table2[[#This Row],[Team]]="FA",0,Table2[[#This Row],[Pts/G]]*(1-Table2[[#This Row],[% Pos Overlap]]))</f>
        <v>0.34146341463414637</v>
      </c>
      <c r="J910" s="72" cm="1">
        <f t="array" aca="1" ref="J910" ca="1">(INDIRECT(ADDRESS((_xlfn.XMATCH(Table2[[#This Row],[Team]],Schedule!$A$1:$A$33)),5,1,1,"Sched Overlap")))</f>
        <v>0.66910866910866917</v>
      </c>
      <c r="K910" s="92" cm="1">
        <f t="array" aca="1" ref="K91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10" s="95">
        <f ca="1">IF(Table2[[#This Row],[Team]]="FA",0,Table2[[#This Row],[Pts/G]]*(Table2[[#This Row],[Games Playable]]/82))</f>
        <v>0.34146341463414637</v>
      </c>
      <c r="M910" s="95" cm="1">
        <f t="array" aca="1" ref="M910" ca="1">Table2[[#This Row],[Playable x Score]]*_xlfn.IFS(Table2[[#This Row],[Pos]]="D",assumptions!$B$15,Table2[[#This Row],[Pos]]="F", assumptions!$B$14,Table2[[#This Row],[Pos]]="G",assumptions!$B$16)</f>
        <v>0.34146341463414637</v>
      </c>
    </row>
    <row r="911" spans="1:13" x14ac:dyDescent="0.3">
      <c r="A911">
        <f>'score estimates'!$A911</f>
        <v>908</v>
      </c>
      <c r="B911" t="str">
        <f>'score estimates'!$B911</f>
        <v>Jacob Moverare</v>
      </c>
      <c r="C911" t="str">
        <f>'score estimates'!$D911</f>
        <v>D</v>
      </c>
      <c r="D911" t="str">
        <f>'score estimates'!$C911</f>
        <v>LA</v>
      </c>
      <c r="E911" s="75">
        <f>'score estimates'!$F911</f>
        <v>0.97560975609756095</v>
      </c>
      <c r="F911" s="71">
        <f>'score estimates'!$G911</f>
        <v>941</v>
      </c>
      <c r="G911" s="71" t="s">
        <v>983</v>
      </c>
      <c r="H911" s="72" cm="1">
        <f t="array" aca="1" ref="H91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11" s="96">
        <f ca="1">IF(Table2[[#This Row],[Team]]="FA",0,Table2[[#This Row],[Pts/G]]*(1-Table2[[#This Row],[% Pos Overlap]]))</f>
        <v>0.97560975609756095</v>
      </c>
      <c r="J911" s="72" cm="1">
        <f t="array" aca="1" ref="J911" ca="1">(INDIRECT(ADDRESS((_xlfn.XMATCH(Table2[[#This Row],[Team]],Schedule!$A$1:$A$33)),5,1,1,"Sched Overlap")))</f>
        <v>0.65201465201465225</v>
      </c>
      <c r="K911" s="92" cm="1">
        <f t="array" aca="1" ref="K91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11" s="95">
        <f ca="1">IF(Table2[[#This Row],[Team]]="FA",0,Table2[[#This Row],[Pts/G]]*(Table2[[#This Row],[Games Playable]]/82))</f>
        <v>0.97560975609756095</v>
      </c>
      <c r="M911" s="95" cm="1">
        <f t="array" aca="1" ref="M911" ca="1">Table2[[#This Row],[Playable x Score]]*_xlfn.IFS(Table2[[#This Row],[Pos]]="D",assumptions!$B$15,Table2[[#This Row],[Pos]]="F", assumptions!$B$14,Table2[[#This Row],[Pos]]="G",assumptions!$B$16)</f>
        <v>1.2195121951219512</v>
      </c>
    </row>
    <row r="912" spans="1:13" x14ac:dyDescent="0.3">
      <c r="A912">
        <f>'score estimates'!$A912</f>
        <v>909</v>
      </c>
      <c r="B912" t="str">
        <f>'score estimates'!$B912</f>
        <v>Beck Malenstyn</v>
      </c>
      <c r="C912" t="str">
        <f>'score estimates'!$D912</f>
        <v>F</v>
      </c>
      <c r="D912" t="str">
        <f>'score estimates'!$C912</f>
        <v>WAS</v>
      </c>
      <c r="E912" s="75">
        <f>'score estimates'!$F912</f>
        <v>0.87804878048780488</v>
      </c>
      <c r="F912" s="71">
        <f>'score estimates'!$G912</f>
        <v>953</v>
      </c>
      <c r="G912" s="71" t="s">
        <v>983</v>
      </c>
      <c r="H912" s="72" cm="1">
        <f t="array" aca="1" ref="H91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12" s="96">
        <f ca="1">IF(Table2[[#This Row],[Team]]="FA",0,Table2[[#This Row],[Pts/G]]*(1-Table2[[#This Row],[% Pos Overlap]]))</f>
        <v>0.87804878048780488</v>
      </c>
      <c r="J912" s="72" cm="1">
        <f t="array" aca="1" ref="J912" ca="1">(INDIRECT(ADDRESS((_xlfn.XMATCH(Table2[[#This Row],[Team]],Schedule!$A$1:$A$33)),5,1,1,"Sched Overlap")))</f>
        <v>0.65282865282865288</v>
      </c>
      <c r="K912" s="92" cm="1">
        <f t="array" aca="1" ref="K91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12" s="95">
        <f ca="1">IF(Table2[[#This Row],[Team]]="FA",0,Table2[[#This Row],[Pts/G]]*(Table2[[#This Row],[Games Playable]]/82))</f>
        <v>0.87804878048780488</v>
      </c>
      <c r="M912" s="95" cm="1">
        <f t="array" aca="1" ref="M912" ca="1">Table2[[#This Row],[Playable x Score]]*_xlfn.IFS(Table2[[#This Row],[Pos]]="D",assumptions!$B$15,Table2[[#This Row],[Pos]]="F", assumptions!$B$14,Table2[[#This Row],[Pos]]="G",assumptions!$B$16)</f>
        <v>0.87804878048780488</v>
      </c>
    </row>
    <row r="913" spans="1:13" x14ac:dyDescent="0.3">
      <c r="A913">
        <f>'score estimates'!$A913</f>
        <v>910</v>
      </c>
      <c r="B913" t="str">
        <f>'score estimates'!$B913</f>
        <v>Kasper Bjorkqvist</v>
      </c>
      <c r="C913" t="str">
        <f>'score estimates'!$D913</f>
        <v>F</v>
      </c>
      <c r="D913" t="str">
        <f>'score estimates'!$C913</f>
        <v>PIT</v>
      </c>
      <c r="E913" s="75">
        <f>'score estimates'!$F913</f>
        <v>0.6097560975609756</v>
      </c>
      <c r="F913" s="71">
        <f>'score estimates'!$G913</f>
        <v>990</v>
      </c>
      <c r="G913" s="71" t="s">
        <v>983</v>
      </c>
      <c r="H913" s="72" cm="1">
        <f t="array" aca="1" ref="H91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13" s="96">
        <f ca="1">IF(Table2[[#This Row],[Team]]="FA",0,Table2[[#This Row],[Pts/G]]*(1-Table2[[#This Row],[% Pos Overlap]]))</f>
        <v>0.6097560975609756</v>
      </c>
      <c r="J913" s="72" cm="1">
        <f t="array" aca="1" ref="J913" ca="1">(INDIRECT(ADDRESS((_xlfn.XMATCH(Table2[[#This Row],[Team]],Schedule!$A$1:$A$33)),5,1,1,"Sched Overlap")))</f>
        <v>0.63492063492063477</v>
      </c>
      <c r="K913" s="92" cm="1">
        <f t="array" aca="1" ref="K91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13" s="95">
        <f ca="1">IF(Table2[[#This Row],[Team]]="FA",0,Table2[[#This Row],[Pts/G]]*(Table2[[#This Row],[Games Playable]]/82))</f>
        <v>0.6097560975609756</v>
      </c>
      <c r="M913" s="95" cm="1">
        <f t="array" aca="1" ref="M913" ca="1">Table2[[#This Row],[Playable x Score]]*_xlfn.IFS(Table2[[#This Row],[Pos]]="D",assumptions!$B$15,Table2[[#This Row],[Pos]]="F", assumptions!$B$14,Table2[[#This Row],[Pos]]="G",assumptions!$B$16)</f>
        <v>0.6097560975609756</v>
      </c>
    </row>
    <row r="914" spans="1:13" x14ac:dyDescent="0.3">
      <c r="A914">
        <f>'score estimates'!$A914</f>
        <v>911</v>
      </c>
      <c r="B914" t="str">
        <f>'score estimates'!$B914</f>
        <v>Markus Niemelainen</v>
      </c>
      <c r="C914" t="str">
        <f>'score estimates'!$D914</f>
        <v>D</v>
      </c>
      <c r="D914" t="str">
        <f>'score estimates'!$C914</f>
        <v>EDM</v>
      </c>
      <c r="E914" s="75">
        <f>'score estimates'!$F914</f>
        <v>0.63414634146341464</v>
      </c>
      <c r="F914" s="71">
        <f>'score estimates'!$G914</f>
        <v>985</v>
      </c>
      <c r="G914" s="71" t="s">
        <v>983</v>
      </c>
      <c r="H914" s="72" cm="1">
        <f t="array" aca="1" ref="H91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14" s="96">
        <f ca="1">IF(Table2[[#This Row],[Team]]="FA",0,Table2[[#This Row],[Pts/G]]*(1-Table2[[#This Row],[% Pos Overlap]]))</f>
        <v>0.63414634146341464</v>
      </c>
      <c r="J914" s="72" cm="1">
        <f t="array" aca="1" ref="J914" ca="1">(INDIRECT(ADDRESS((_xlfn.XMATCH(Table2[[#This Row],[Team]],Schedule!$A$1:$A$33)),5,1,1,"Sched Overlap")))</f>
        <v>0.62026862026862029</v>
      </c>
      <c r="K914" s="92" cm="1">
        <f t="array" aca="1" ref="K91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14" s="95">
        <f ca="1">IF(Table2[[#This Row],[Team]]="FA",0,Table2[[#This Row],[Pts/G]]*(Table2[[#This Row],[Games Playable]]/82))</f>
        <v>0.63414634146341464</v>
      </c>
      <c r="M914" s="95" cm="1">
        <f t="array" aca="1" ref="M914" ca="1">Table2[[#This Row],[Playable x Score]]*_xlfn.IFS(Table2[[#This Row],[Pos]]="D",assumptions!$B$15,Table2[[#This Row],[Pos]]="F", assumptions!$B$14,Table2[[#This Row],[Pos]]="G",assumptions!$B$16)</f>
        <v>0.79268292682926833</v>
      </c>
    </row>
    <row r="915" spans="1:13" x14ac:dyDescent="0.3">
      <c r="A915">
        <f>'score estimates'!$A915</f>
        <v>912</v>
      </c>
      <c r="B915" t="str">
        <f>'score estimates'!$B915</f>
        <v>Lucas Johansen</v>
      </c>
      <c r="C915" t="str">
        <f>'score estimates'!$D915</f>
        <v>D</v>
      </c>
      <c r="D915" t="str">
        <f>'score estimates'!$C915</f>
        <v>WAS</v>
      </c>
      <c r="E915" s="75">
        <f>'score estimates'!$F915</f>
        <v>0.64634146341463417</v>
      </c>
      <c r="F915" s="71">
        <f>'score estimates'!$G915</f>
        <v>983</v>
      </c>
      <c r="G915" s="71" t="s">
        <v>983</v>
      </c>
      <c r="H915" s="72" cm="1">
        <f t="array" aca="1" ref="H91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15" s="96">
        <f ca="1">IF(Table2[[#This Row],[Team]]="FA",0,Table2[[#This Row],[Pts/G]]*(1-Table2[[#This Row],[% Pos Overlap]]))</f>
        <v>0.64634146341463417</v>
      </c>
      <c r="J915" s="72" cm="1">
        <f t="array" aca="1" ref="J915" ca="1">(INDIRECT(ADDRESS((_xlfn.XMATCH(Table2[[#This Row],[Team]],Schedule!$A$1:$A$33)),5,1,1,"Sched Overlap")))</f>
        <v>0.65282865282865288</v>
      </c>
      <c r="K915" s="92" cm="1">
        <f t="array" aca="1" ref="K91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15" s="95">
        <f ca="1">IF(Table2[[#This Row],[Team]]="FA",0,Table2[[#This Row],[Pts/G]]*(Table2[[#This Row],[Games Playable]]/82))</f>
        <v>0.64634146341463417</v>
      </c>
      <c r="M915" s="95" cm="1">
        <f t="array" aca="1" ref="M915" ca="1">Table2[[#This Row],[Playable x Score]]*_xlfn.IFS(Table2[[#This Row],[Pos]]="D",assumptions!$B$15,Table2[[#This Row],[Pos]]="F", assumptions!$B$14,Table2[[#This Row],[Pos]]="G",assumptions!$B$16)</f>
        <v>0.80792682926829273</v>
      </c>
    </row>
    <row r="916" spans="1:13" x14ac:dyDescent="0.3">
      <c r="A916">
        <f>'score estimates'!$A916</f>
        <v>913</v>
      </c>
      <c r="B916" t="str">
        <f>'score estimates'!$B916</f>
        <v>Libor Hajek</v>
      </c>
      <c r="C916" t="str">
        <f>'score estimates'!$D916</f>
        <v>D</v>
      </c>
      <c r="D916" t="str">
        <f>'score estimates'!$C916</f>
        <v>NYR</v>
      </c>
      <c r="E916" s="75">
        <f>'score estimates'!$F916</f>
        <v>0.76829268292682928</v>
      </c>
      <c r="F916" s="71">
        <f>'score estimates'!$G916</f>
        <v>965</v>
      </c>
      <c r="G916" s="71" t="s">
        <v>983</v>
      </c>
      <c r="H916" s="72" cm="1">
        <f t="array" aca="1" ref="H91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16" s="96">
        <f ca="1">IF(Table2[[#This Row],[Team]]="FA",0,Table2[[#This Row],[Pts/G]]*(1-Table2[[#This Row],[% Pos Overlap]]))</f>
        <v>0.76829268292682928</v>
      </c>
      <c r="J916" s="72" cm="1">
        <f t="array" aca="1" ref="J916" ca="1">(INDIRECT(ADDRESS((_xlfn.XMATCH(Table2[[#This Row],[Team]],Schedule!$A$1:$A$33)),5,1,1,"Sched Overlap")))</f>
        <v>0.60236060236060229</v>
      </c>
      <c r="K916" s="92" cm="1">
        <f t="array" aca="1" ref="K91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16" s="95">
        <f ca="1">IF(Table2[[#This Row],[Team]]="FA",0,Table2[[#This Row],[Pts/G]]*(Table2[[#This Row],[Games Playable]]/82))</f>
        <v>0.76829268292682928</v>
      </c>
      <c r="M916" s="95" cm="1">
        <f t="array" aca="1" ref="M916" ca="1">Table2[[#This Row],[Playable x Score]]*_xlfn.IFS(Table2[[#This Row],[Pos]]="D",assumptions!$B$15,Table2[[#This Row],[Pos]]="F", assumptions!$B$14,Table2[[#This Row],[Pos]]="G",assumptions!$B$16)</f>
        <v>0.96036585365853666</v>
      </c>
    </row>
    <row r="917" spans="1:13" x14ac:dyDescent="0.3">
      <c r="A917">
        <f>'score estimates'!$A917</f>
        <v>914</v>
      </c>
      <c r="B917" t="str">
        <f>'score estimates'!$B917</f>
        <v>Carter Hart</v>
      </c>
      <c r="C917" t="str">
        <f>'score estimates'!$D917</f>
        <v>G</v>
      </c>
      <c r="D917" t="str">
        <f>'score estimates'!$C917</f>
        <v>PHI</v>
      </c>
      <c r="E917" s="75">
        <f>'score estimates'!$F917</f>
        <v>21.402439024390244</v>
      </c>
      <c r="F917" s="71">
        <f>'score estimates'!$G917</f>
        <v>213</v>
      </c>
      <c r="G917" s="71" t="s">
        <v>983</v>
      </c>
      <c r="H917" s="72" cm="1">
        <f t="array" aca="1" ref="H91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17" s="96">
        <f ca="1">IF(Table2[[#This Row],[Team]]="FA",0,Table2[[#This Row],[Pts/G]]*(1-Table2[[#This Row],[% Pos Overlap]]))</f>
        <v>21.402439024390244</v>
      </c>
      <c r="J917" s="72" cm="1">
        <f t="array" aca="1" ref="J917" ca="1">(INDIRECT(ADDRESS((_xlfn.XMATCH(Table2[[#This Row],[Team]],Schedule!$A$1:$A$33)),5,1,1,"Sched Overlap")))</f>
        <v>0.66910866910866917</v>
      </c>
      <c r="K917" s="92" cm="1">
        <f t="array" aca="1" ref="K91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17" s="95">
        <f ca="1">IF(Table2[[#This Row],[Team]]="FA",0,Table2[[#This Row],[Pts/G]]*(Table2[[#This Row],[Games Playable]]/82))</f>
        <v>21.402439024390244</v>
      </c>
      <c r="M917" s="95" cm="1">
        <f t="array" aca="1" ref="M917" ca="1">Table2[[#This Row],[Playable x Score]]*_xlfn.IFS(Table2[[#This Row],[Pos]]="D",assumptions!$B$15,Table2[[#This Row],[Pos]]="F", assumptions!$B$14,Table2[[#This Row],[Pos]]="G",assumptions!$B$16)</f>
        <v>23.542682926829269</v>
      </c>
    </row>
    <row r="918" spans="1:13" x14ac:dyDescent="0.3">
      <c r="A918">
        <f>'score estimates'!$A918</f>
        <v>915</v>
      </c>
      <c r="B918" t="str">
        <f>'score estimates'!$B918</f>
        <v>Victor Mete</v>
      </c>
      <c r="C918" t="str">
        <f>'score estimates'!$D918</f>
        <v>D</v>
      </c>
      <c r="D918" t="str">
        <f>'score estimates'!$C918</f>
        <v>TOR</v>
      </c>
      <c r="E918" s="75">
        <f>'score estimates'!$F918</f>
        <v>0.45121951219512196</v>
      </c>
      <c r="F918" s="71">
        <f>'score estimates'!$G918</f>
        <v>1008</v>
      </c>
      <c r="G918" s="71" t="s">
        <v>983</v>
      </c>
      <c r="H918" s="72" cm="1">
        <f t="array" aca="1" ref="H91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18" s="96">
        <f ca="1">IF(Table2[[#This Row],[Team]]="FA",0,Table2[[#This Row],[Pts/G]]*(1-Table2[[#This Row],[% Pos Overlap]]))</f>
        <v>0.45121951219512196</v>
      </c>
      <c r="J918" s="72" cm="1">
        <f t="array" aca="1" ref="J918" ca="1">(INDIRECT(ADDRESS((_xlfn.XMATCH(Table2[[#This Row],[Team]],Schedule!$A$1:$A$33)),5,1,1,"Sched Overlap")))</f>
        <v>0.62922262922262928</v>
      </c>
      <c r="K918" s="92" cm="1">
        <f t="array" aca="1" ref="K91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18" s="95">
        <f ca="1">IF(Table2[[#This Row],[Team]]="FA",0,Table2[[#This Row],[Pts/G]]*(Table2[[#This Row],[Games Playable]]/82))</f>
        <v>0.45121951219512196</v>
      </c>
      <c r="M918" s="95" cm="1">
        <f t="array" aca="1" ref="M918" ca="1">Table2[[#This Row],[Playable x Score]]*_xlfn.IFS(Table2[[#This Row],[Pos]]="D",assumptions!$B$15,Table2[[#This Row],[Pos]]="F", assumptions!$B$14,Table2[[#This Row],[Pos]]="G",assumptions!$B$16)</f>
        <v>0.5640243902439025</v>
      </c>
    </row>
    <row r="919" spans="1:13" x14ac:dyDescent="0.3">
      <c r="A919">
        <f>'score estimates'!$A919</f>
        <v>916</v>
      </c>
      <c r="B919" t="str">
        <f>'score estimates'!$B919</f>
        <v>Calle Rosen</v>
      </c>
      <c r="C919" t="str">
        <f>'score estimates'!$D919</f>
        <v>D</v>
      </c>
      <c r="D919" t="str">
        <f>'score estimates'!$C919</f>
        <v>STL</v>
      </c>
      <c r="E919" s="75">
        <f>'score estimates'!$F919</f>
        <v>0.53658536585365857</v>
      </c>
      <c r="F919" s="71">
        <f>'score estimates'!$G919</f>
        <v>1001</v>
      </c>
      <c r="G919" s="71" t="s">
        <v>983</v>
      </c>
      <c r="H919" s="72" cm="1">
        <f t="array" aca="1" ref="H91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19" s="96">
        <f ca="1">IF(Table2[[#This Row],[Team]]="FA",0,Table2[[#This Row],[Pts/G]]*(1-Table2[[#This Row],[% Pos Overlap]]))</f>
        <v>0.53658536585365857</v>
      </c>
      <c r="J919" s="72" cm="1">
        <f t="array" aca="1" ref="J919" ca="1">(INDIRECT(ADDRESS((_xlfn.XMATCH(Table2[[#This Row],[Team]],Schedule!$A$1:$A$33)),5,1,1,"Sched Overlap")))</f>
        <v>0.65120065120065118</v>
      </c>
      <c r="K919" s="92" cm="1">
        <f t="array" aca="1" ref="K91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19" s="95">
        <f ca="1">IF(Table2[[#This Row],[Team]]="FA",0,Table2[[#This Row],[Pts/G]]*(Table2[[#This Row],[Games Playable]]/82))</f>
        <v>0.53658536585365857</v>
      </c>
      <c r="M919" s="95" cm="1">
        <f t="array" aca="1" ref="M919" ca="1">Table2[[#This Row],[Playable x Score]]*_xlfn.IFS(Table2[[#This Row],[Pos]]="D",assumptions!$B$15,Table2[[#This Row],[Pos]]="F", assumptions!$B$14,Table2[[#This Row],[Pos]]="G",assumptions!$B$16)</f>
        <v>0.67073170731707321</v>
      </c>
    </row>
    <row r="920" spans="1:13" x14ac:dyDescent="0.3">
      <c r="A920">
        <f>'score estimates'!$A920</f>
        <v>917</v>
      </c>
      <c r="B920" t="str">
        <f>'score estimates'!$B920</f>
        <v>Aleksi Heponiemi</v>
      </c>
      <c r="C920" t="str">
        <f>'score estimates'!$D920</f>
        <v>F</v>
      </c>
      <c r="D920" t="str">
        <f>'score estimates'!$C920</f>
        <v>FLA</v>
      </c>
      <c r="E920" s="75">
        <f>'score estimates'!$F920</f>
        <v>0.32926829268292684</v>
      </c>
      <c r="F920" s="71">
        <f>'score estimates'!$G920</f>
        <v>1021</v>
      </c>
      <c r="G920" s="71" t="s">
        <v>983</v>
      </c>
      <c r="H920" s="72" cm="1">
        <f t="array" aca="1" ref="H92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20" s="96">
        <f ca="1">IF(Table2[[#This Row],[Team]]="FA",0,Table2[[#This Row],[Pts/G]]*(1-Table2[[#This Row],[% Pos Overlap]]))</f>
        <v>0.32926829268292684</v>
      </c>
      <c r="J920" s="72" cm="1">
        <f t="array" aca="1" ref="J920" ca="1">(INDIRECT(ADDRESS((_xlfn.XMATCH(Table2[[#This Row],[Team]],Schedule!$A$1:$A$33)),5,1,1,"Sched Overlap")))</f>
        <v>0.64387464387464377</v>
      </c>
      <c r="K920" s="92" cm="1">
        <f t="array" aca="1" ref="K92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20" s="95">
        <f ca="1">IF(Table2[[#This Row],[Team]]="FA",0,Table2[[#This Row],[Pts/G]]*(Table2[[#This Row],[Games Playable]]/82))</f>
        <v>0.32926829268292684</v>
      </c>
      <c r="M920" s="95" cm="1">
        <f t="array" aca="1" ref="M920" ca="1">Table2[[#This Row],[Playable x Score]]*_xlfn.IFS(Table2[[#This Row],[Pos]]="D",assumptions!$B$15,Table2[[#This Row],[Pos]]="F", assumptions!$B$14,Table2[[#This Row],[Pos]]="G",assumptions!$B$16)</f>
        <v>0.32926829268292684</v>
      </c>
    </row>
    <row r="921" spans="1:13" x14ac:dyDescent="0.3">
      <c r="A921">
        <f>'score estimates'!$A921</f>
        <v>918</v>
      </c>
      <c r="B921" t="str">
        <f>'score estimates'!$B921</f>
        <v>Grant Mismash</v>
      </c>
      <c r="C921" t="str">
        <f>'score estimates'!$D921</f>
        <v>F</v>
      </c>
      <c r="D921" t="str">
        <f>'score estimates'!$C921</f>
        <v>TB</v>
      </c>
      <c r="E921" s="75">
        <f>'score estimates'!$F921</f>
        <v>0.58536585365853655</v>
      </c>
      <c r="F921" s="71">
        <f>'score estimates'!$G921</f>
        <v>992</v>
      </c>
      <c r="G921" s="71" t="s">
        <v>983</v>
      </c>
      <c r="H921" s="72" cm="1">
        <f t="array" aca="1" ref="H92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21" s="96">
        <f ca="1">IF(Table2[[#This Row],[Team]]="FA",0,Table2[[#This Row],[Pts/G]]*(1-Table2[[#This Row],[% Pos Overlap]]))</f>
        <v>0.58536585365853655</v>
      </c>
      <c r="J921" s="72" cm="1">
        <f t="array" aca="1" ref="J921" ca="1">(INDIRECT(ADDRESS((_xlfn.XMATCH(Table2[[#This Row],[Team]],Schedule!$A$1:$A$33)),5,1,1,"Sched Overlap")))</f>
        <v>0.66422466422466431</v>
      </c>
      <c r="K921" s="92" cm="1">
        <f t="array" aca="1" ref="K92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21" s="95">
        <f ca="1">IF(Table2[[#This Row],[Team]]="FA",0,Table2[[#This Row],[Pts/G]]*(Table2[[#This Row],[Games Playable]]/82))</f>
        <v>0.58536585365853655</v>
      </c>
      <c r="M921" s="95" cm="1">
        <f t="array" aca="1" ref="M921" ca="1">Table2[[#This Row],[Playable x Score]]*_xlfn.IFS(Table2[[#This Row],[Pos]]="D",assumptions!$B$15,Table2[[#This Row],[Pos]]="F", assumptions!$B$14,Table2[[#This Row],[Pos]]="G",assumptions!$B$16)</f>
        <v>0.58536585365853655</v>
      </c>
    </row>
    <row r="922" spans="1:13" x14ac:dyDescent="0.3">
      <c r="A922">
        <f>'score estimates'!$A922</f>
        <v>919</v>
      </c>
      <c r="B922" t="str">
        <f>'score estimates'!$B922</f>
        <v>Christian Wolanin</v>
      </c>
      <c r="C922" t="str">
        <f>'score estimates'!$D922</f>
        <v>D</v>
      </c>
      <c r="D922" t="str">
        <f>'score estimates'!$C922</f>
        <v>VAN</v>
      </c>
      <c r="E922" s="75">
        <f>'score estimates'!$F922</f>
        <v>0.71951219512195119</v>
      </c>
      <c r="F922" s="71">
        <f>'score estimates'!$G922</f>
        <v>970</v>
      </c>
      <c r="G922" s="71" t="s">
        <v>983</v>
      </c>
      <c r="H922" s="72" cm="1">
        <f t="array" aca="1" ref="H92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22" s="96">
        <f ca="1">IF(Table2[[#This Row],[Team]]="FA",0,Table2[[#This Row],[Pts/G]]*(1-Table2[[#This Row],[% Pos Overlap]]))</f>
        <v>0.71951219512195119</v>
      </c>
      <c r="J922" s="72" cm="1">
        <f t="array" aca="1" ref="J922" ca="1">(INDIRECT(ADDRESS((_xlfn.XMATCH(Table2[[#This Row],[Team]],Schedule!$A$1:$A$33)),5,1,1,"Sched Overlap")))</f>
        <v>0.62922262922262917</v>
      </c>
      <c r="K922" s="92" cm="1">
        <f t="array" aca="1" ref="K92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22" s="95">
        <f ca="1">IF(Table2[[#This Row],[Team]]="FA",0,Table2[[#This Row],[Pts/G]]*(Table2[[#This Row],[Games Playable]]/82))</f>
        <v>0.71951219512195119</v>
      </c>
      <c r="M922" s="95" cm="1">
        <f t="array" aca="1" ref="M922" ca="1">Table2[[#This Row],[Playable x Score]]*_xlfn.IFS(Table2[[#This Row],[Pos]]="D",assumptions!$B$15,Table2[[#This Row],[Pos]]="F", assumptions!$B$14,Table2[[#This Row],[Pos]]="G",assumptions!$B$16)</f>
        <v>0.89939024390243905</v>
      </c>
    </row>
    <row r="923" spans="1:13" x14ac:dyDescent="0.3">
      <c r="A923">
        <f>'score estimates'!$A923</f>
        <v>920</v>
      </c>
      <c r="B923" t="str">
        <f>'score estimates'!$B923</f>
        <v>Jordan Gross</v>
      </c>
      <c r="C923" t="str">
        <f>'score estimates'!$D923</f>
        <v>D</v>
      </c>
      <c r="D923" t="str">
        <f>'score estimates'!$C923</f>
        <v>NSH</v>
      </c>
      <c r="E923" s="75">
        <f>'score estimates'!$F923</f>
        <v>0.41463414634146339</v>
      </c>
      <c r="F923" s="71">
        <f>'score estimates'!$G923</f>
        <v>1011</v>
      </c>
      <c r="G923" s="71" t="s">
        <v>983</v>
      </c>
      <c r="H923" s="72" cm="1">
        <f t="array" aca="1" ref="H92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23" s="96">
        <f ca="1">IF(Table2[[#This Row],[Team]]="FA",0,Table2[[#This Row],[Pts/G]]*(1-Table2[[#This Row],[% Pos Overlap]]))</f>
        <v>0.41463414634146339</v>
      </c>
      <c r="J923" s="72" cm="1">
        <f t="array" aca="1" ref="J923" ca="1">(INDIRECT(ADDRESS((_xlfn.XMATCH(Table2[[#This Row],[Team]],Schedule!$A$1:$A$33)),5,1,1,"Sched Overlap")))</f>
        <v>0.67806267806267806</v>
      </c>
      <c r="K923" s="92" cm="1">
        <f t="array" aca="1" ref="K92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23" s="95">
        <f ca="1">IF(Table2[[#This Row],[Team]]="FA",0,Table2[[#This Row],[Pts/G]]*(Table2[[#This Row],[Games Playable]]/82))</f>
        <v>0.41463414634146339</v>
      </c>
      <c r="M923" s="95" cm="1">
        <f t="array" aca="1" ref="M923" ca="1">Table2[[#This Row],[Playable x Score]]*_xlfn.IFS(Table2[[#This Row],[Pos]]="D",assumptions!$B$15,Table2[[#This Row],[Pos]]="F", assumptions!$B$14,Table2[[#This Row],[Pos]]="G",assumptions!$B$16)</f>
        <v>0.51829268292682928</v>
      </c>
    </row>
    <row r="924" spans="1:13" x14ac:dyDescent="0.3">
      <c r="A924">
        <f>'score estimates'!$A924</f>
        <v>921</v>
      </c>
      <c r="B924" t="str">
        <f>'score estimates'!$B924</f>
        <v>Jayden Halbgewachs</v>
      </c>
      <c r="C924" t="str">
        <f>'score estimates'!$D924</f>
        <v>F</v>
      </c>
      <c r="D924" t="str">
        <f>'score estimates'!$C924</f>
        <v>FA</v>
      </c>
      <c r="E924" s="75">
        <f>'score estimates'!$F924</f>
        <v>0.78048780487804881</v>
      </c>
      <c r="F924" s="71">
        <f>'score estimates'!$G924</f>
        <v>964</v>
      </c>
      <c r="G924" s="71" t="s">
        <v>983</v>
      </c>
      <c r="H924" s="72" t="e" cm="1">
        <f t="array" aca="1" ref="H924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924" s="96">
        <f>IF(Table2[[#This Row],[Team]]="FA",0,Table2[[#This Row],[Pts/G]]*(1-Table2[[#This Row],[% Pos Overlap]]))</f>
        <v>0</v>
      </c>
      <c r="J924" s="72" t="e" cm="1">
        <f t="array" aca="1" ref="J924" ca="1">(INDIRECT(ADDRESS((_xlfn.XMATCH(Table2[[#This Row],[Team]],Schedule!$A$1:$A$33)),5,1,1,"Sched Overlap")))</f>
        <v>#N/A</v>
      </c>
      <c r="K924" s="92" t="e" cm="1">
        <f t="array" aca="1" ref="K924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924" s="95">
        <f>IF(Table2[[#This Row],[Team]]="FA",0,Table2[[#This Row],[Pts/G]]*(Table2[[#This Row],[Games Playable]]/82))</f>
        <v>0</v>
      </c>
      <c r="M924" s="95" cm="1">
        <f t="array" ref="M924">Table2[[#This Row],[Playable x Score]]*_xlfn.IFS(Table2[[#This Row],[Pos]]="D",assumptions!$B$15,Table2[[#This Row],[Pos]]="F", assumptions!$B$14,Table2[[#This Row],[Pos]]="G",assumptions!$B$16)</f>
        <v>0</v>
      </c>
    </row>
    <row r="925" spans="1:13" x14ac:dyDescent="0.3">
      <c r="A925">
        <f>'score estimates'!$A925</f>
        <v>922</v>
      </c>
      <c r="B925" t="str">
        <f>'score estimates'!$B925</f>
        <v>Kevin Lankinen</v>
      </c>
      <c r="C925" t="str">
        <f>'score estimates'!$D925</f>
        <v>G</v>
      </c>
      <c r="D925" t="str">
        <f>'score estimates'!$C925</f>
        <v>NSH</v>
      </c>
      <c r="E925" s="75">
        <f>'score estimates'!$F925</f>
        <v>7.6463414634146343</v>
      </c>
      <c r="F925" s="71">
        <f>'score estimates'!$G925</f>
        <v>625</v>
      </c>
      <c r="G925" s="71" t="s">
        <v>983</v>
      </c>
      <c r="H925" s="72" cm="1">
        <f t="array" aca="1" ref="H92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25" s="96">
        <f ca="1">IF(Table2[[#This Row],[Team]]="FA",0,Table2[[#This Row],[Pts/G]]*(1-Table2[[#This Row],[% Pos Overlap]]))</f>
        <v>7.6463414634146343</v>
      </c>
      <c r="J925" s="72" cm="1">
        <f t="array" aca="1" ref="J925" ca="1">(INDIRECT(ADDRESS((_xlfn.XMATCH(Table2[[#This Row],[Team]],Schedule!$A$1:$A$33)),5,1,1,"Sched Overlap")))</f>
        <v>0.67806267806267806</v>
      </c>
      <c r="K925" s="92" cm="1">
        <f t="array" aca="1" ref="K92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25" s="95">
        <f ca="1">IF(Table2[[#This Row],[Team]]="FA",0,Table2[[#This Row],[Pts/G]]*(Table2[[#This Row],[Games Playable]]/82))</f>
        <v>7.6463414634146343</v>
      </c>
      <c r="M925" s="95" cm="1">
        <f t="array" aca="1" ref="M925" ca="1">Table2[[#This Row],[Playable x Score]]*_xlfn.IFS(Table2[[#This Row],[Pos]]="D",assumptions!$B$15,Table2[[#This Row],[Pos]]="F", assumptions!$B$14,Table2[[#This Row],[Pos]]="G",assumptions!$B$16)</f>
        <v>8.4109756097560986</v>
      </c>
    </row>
    <row r="926" spans="1:13" x14ac:dyDescent="0.3">
      <c r="A926">
        <f>'score estimates'!$A926</f>
        <v>923</v>
      </c>
      <c r="B926" t="str">
        <f>'score estimates'!$B926</f>
        <v>Declan Chisholm</v>
      </c>
      <c r="C926" t="str">
        <f>'score estimates'!$D926</f>
        <v>D</v>
      </c>
      <c r="D926" t="str">
        <f>'score estimates'!$C926</f>
        <v>WPG</v>
      </c>
      <c r="E926" s="75">
        <f>'score estimates'!$F926</f>
        <v>1.1585365853658536</v>
      </c>
      <c r="F926" s="71">
        <f>'score estimates'!$G926</f>
        <v>921</v>
      </c>
      <c r="G926" s="71" t="s">
        <v>983</v>
      </c>
      <c r="H926" s="72" cm="1">
        <f t="array" aca="1" ref="H92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26" s="96">
        <f ca="1">IF(Table2[[#This Row],[Team]]="FA",0,Table2[[#This Row],[Pts/G]]*(1-Table2[[#This Row],[% Pos Overlap]]))</f>
        <v>1.1585365853658536</v>
      </c>
      <c r="J926" s="72" cm="1">
        <f t="array" aca="1" ref="J926" ca="1">(INDIRECT(ADDRESS((_xlfn.XMATCH(Table2[[#This Row],[Team]],Schedule!$A$1:$A$33)),5,1,1,"Sched Overlap")))</f>
        <v>0.61212861212861214</v>
      </c>
      <c r="K926" s="92" cm="1">
        <f t="array" aca="1" ref="K92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26" s="95">
        <f ca="1">IF(Table2[[#This Row],[Team]]="FA",0,Table2[[#This Row],[Pts/G]]*(Table2[[#This Row],[Games Playable]]/82))</f>
        <v>1.1585365853658536</v>
      </c>
      <c r="M926" s="95" cm="1">
        <f t="array" aca="1" ref="M926" ca="1">Table2[[#This Row],[Playable x Score]]*_xlfn.IFS(Table2[[#This Row],[Pos]]="D",assumptions!$B$15,Table2[[#This Row],[Pos]]="F", assumptions!$B$14,Table2[[#This Row],[Pos]]="G",assumptions!$B$16)</f>
        <v>1.4481707317073169</v>
      </c>
    </row>
    <row r="927" spans="1:13" x14ac:dyDescent="0.3">
      <c r="A927">
        <f>'score estimates'!$A927</f>
        <v>924</v>
      </c>
      <c r="B927" t="str">
        <f>'score estimates'!$B927</f>
        <v>Jalen Chatfield</v>
      </c>
      <c r="C927" t="str">
        <f>'score estimates'!$D927</f>
        <v>D</v>
      </c>
      <c r="D927" t="str">
        <f>'score estimates'!$C927</f>
        <v>CAR</v>
      </c>
      <c r="E927" s="75">
        <f>'score estimates'!$F927</f>
        <v>1</v>
      </c>
      <c r="F927" s="71">
        <f>'score estimates'!$G927</f>
        <v>937</v>
      </c>
      <c r="G927" s="71" t="s">
        <v>983</v>
      </c>
      <c r="H927" s="72" cm="1">
        <f t="array" aca="1" ref="H92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27" s="96">
        <f ca="1">IF(Table2[[#This Row],[Team]]="FA",0,Table2[[#This Row],[Pts/G]]*(1-Table2[[#This Row],[% Pos Overlap]]))</f>
        <v>1</v>
      </c>
      <c r="J927" s="72" cm="1">
        <f t="array" aca="1" ref="J927" ca="1">(INDIRECT(ADDRESS((_xlfn.XMATCH(Table2[[#This Row],[Team]],Schedule!$A$1:$A$33)),5,1,1,"Sched Overlap")))</f>
        <v>0.63247863247863245</v>
      </c>
      <c r="K927" s="92" cm="1">
        <f t="array" aca="1" ref="K92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27" s="95">
        <f ca="1">IF(Table2[[#This Row],[Team]]="FA",0,Table2[[#This Row],[Pts/G]]*(Table2[[#This Row],[Games Playable]]/82))</f>
        <v>1</v>
      </c>
      <c r="M927" s="95" cm="1">
        <f t="array" aca="1" ref="M927" ca="1">Table2[[#This Row],[Playable x Score]]*_xlfn.IFS(Table2[[#This Row],[Pos]]="D",assumptions!$B$15,Table2[[#This Row],[Pos]]="F", assumptions!$B$14,Table2[[#This Row],[Pos]]="G",assumptions!$B$16)</f>
        <v>1.25</v>
      </c>
    </row>
    <row r="928" spans="1:13" x14ac:dyDescent="0.3">
      <c r="A928">
        <f>'score estimates'!$A928</f>
        <v>925</v>
      </c>
      <c r="B928" t="str">
        <f>'score estimates'!$B928</f>
        <v>Sheldon Dries</v>
      </c>
      <c r="C928" t="str">
        <f>'score estimates'!$D928</f>
        <v>F</v>
      </c>
      <c r="D928" t="str">
        <f>'score estimates'!$C928</f>
        <v>VAN</v>
      </c>
      <c r="E928" s="75">
        <f>'score estimates'!$F928</f>
        <v>0.47560975609756095</v>
      </c>
      <c r="F928" s="71">
        <f>'score estimates'!$G928</f>
        <v>1005</v>
      </c>
      <c r="G928" s="71" t="s">
        <v>983</v>
      </c>
      <c r="H928" s="72" cm="1">
        <f t="array" aca="1" ref="H92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28" s="96">
        <f ca="1">IF(Table2[[#This Row],[Team]]="FA",0,Table2[[#This Row],[Pts/G]]*(1-Table2[[#This Row],[% Pos Overlap]]))</f>
        <v>0.47560975609756095</v>
      </c>
      <c r="J928" s="72" cm="1">
        <f t="array" aca="1" ref="J928" ca="1">(INDIRECT(ADDRESS((_xlfn.XMATCH(Table2[[#This Row],[Team]],Schedule!$A$1:$A$33)),5,1,1,"Sched Overlap")))</f>
        <v>0.62922262922262917</v>
      </c>
      <c r="K928" s="92" cm="1">
        <f t="array" aca="1" ref="K92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28" s="95">
        <f ca="1">IF(Table2[[#This Row],[Team]]="FA",0,Table2[[#This Row],[Pts/G]]*(Table2[[#This Row],[Games Playable]]/82))</f>
        <v>0.47560975609756095</v>
      </c>
      <c r="M928" s="95" cm="1">
        <f t="array" aca="1" ref="M928" ca="1">Table2[[#This Row],[Playable x Score]]*_xlfn.IFS(Table2[[#This Row],[Pos]]="D",assumptions!$B$15,Table2[[#This Row],[Pos]]="F", assumptions!$B$14,Table2[[#This Row],[Pos]]="G",assumptions!$B$16)</f>
        <v>0.47560975609756095</v>
      </c>
    </row>
    <row r="929" spans="1:13" x14ac:dyDescent="0.3">
      <c r="A929">
        <f>'score estimates'!$A929</f>
        <v>926</v>
      </c>
      <c r="B929" t="str">
        <f>'score estimates'!$B929</f>
        <v>Grigori Denisenko</v>
      </c>
      <c r="C929" t="str">
        <f>'score estimates'!$D929</f>
        <v>F</v>
      </c>
      <c r="D929" t="str">
        <f>'score estimates'!$C929</f>
        <v>FLA</v>
      </c>
      <c r="E929" s="75">
        <f>'score estimates'!$F929</f>
        <v>0.67073170731707321</v>
      </c>
      <c r="F929" s="71">
        <f>'score estimates'!$G929</f>
        <v>979</v>
      </c>
      <c r="G929" s="71" t="s">
        <v>983</v>
      </c>
      <c r="H929" s="72" cm="1">
        <f t="array" aca="1" ref="H92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29" s="96">
        <f ca="1">IF(Table2[[#This Row],[Team]]="FA",0,Table2[[#This Row],[Pts/G]]*(1-Table2[[#This Row],[% Pos Overlap]]))</f>
        <v>0.67073170731707321</v>
      </c>
      <c r="J929" s="72" cm="1">
        <f t="array" aca="1" ref="J929" ca="1">(INDIRECT(ADDRESS((_xlfn.XMATCH(Table2[[#This Row],[Team]],Schedule!$A$1:$A$33)),5,1,1,"Sched Overlap")))</f>
        <v>0.64387464387464377</v>
      </c>
      <c r="K929" s="92" cm="1">
        <f t="array" aca="1" ref="K92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29" s="95">
        <f ca="1">IF(Table2[[#This Row],[Team]]="FA",0,Table2[[#This Row],[Pts/G]]*(Table2[[#This Row],[Games Playable]]/82))</f>
        <v>0.67073170731707321</v>
      </c>
      <c r="M929" s="95" cm="1">
        <f t="array" aca="1" ref="M929" ca="1">Table2[[#This Row],[Playable x Score]]*_xlfn.IFS(Table2[[#This Row],[Pos]]="D",assumptions!$B$15,Table2[[#This Row],[Pos]]="F", assumptions!$B$14,Table2[[#This Row],[Pos]]="G",assumptions!$B$16)</f>
        <v>0.67073170731707321</v>
      </c>
    </row>
    <row r="930" spans="1:13" x14ac:dyDescent="0.3">
      <c r="A930">
        <f>'score estimates'!$A930</f>
        <v>927</v>
      </c>
      <c r="B930" t="str">
        <f>'score estimates'!$B930</f>
        <v>Victor Soderstrom</v>
      </c>
      <c r="C930" t="str">
        <f>'score estimates'!$D930</f>
        <v>D</v>
      </c>
      <c r="D930" t="str">
        <f>'score estimates'!$C930</f>
        <v>ARI</v>
      </c>
      <c r="E930" s="75">
        <f>'score estimates'!$F930</f>
        <v>0.56097560975609762</v>
      </c>
      <c r="F930" s="71">
        <f>'score estimates'!$G930</f>
        <v>997</v>
      </c>
      <c r="G930" s="71" t="s">
        <v>983</v>
      </c>
      <c r="H930" s="72" cm="1">
        <f t="array" aca="1" ref="H93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30" s="96">
        <f ca="1">IF(Table2[[#This Row],[Team]]="FA",0,Table2[[#This Row],[Pts/G]]*(1-Table2[[#This Row],[% Pos Overlap]]))</f>
        <v>0.56097560975609762</v>
      </c>
      <c r="J930" s="72" cm="1">
        <f t="array" aca="1" ref="J930" ca="1">(INDIRECT(ADDRESS((_xlfn.XMATCH(Table2[[#This Row],[Team]],Schedule!$A$1:$A$33)),5,1,1,"Sched Overlap")))</f>
        <v>0.63247863247863279</v>
      </c>
      <c r="K930" s="92" cm="1">
        <f t="array" aca="1" ref="K93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30" s="95">
        <f ca="1">IF(Table2[[#This Row],[Team]]="FA",0,Table2[[#This Row],[Pts/G]]*(Table2[[#This Row],[Games Playable]]/82))</f>
        <v>0.56097560975609762</v>
      </c>
      <c r="M930" s="95" cm="1">
        <f t="array" aca="1" ref="M930" ca="1">Table2[[#This Row],[Playable x Score]]*_xlfn.IFS(Table2[[#This Row],[Pos]]="D",assumptions!$B$15,Table2[[#This Row],[Pos]]="F", assumptions!$B$14,Table2[[#This Row],[Pos]]="G",assumptions!$B$16)</f>
        <v>0.70121951219512202</v>
      </c>
    </row>
    <row r="931" spans="1:13" x14ac:dyDescent="0.3">
      <c r="A931">
        <f>'score estimates'!$A931</f>
        <v>928</v>
      </c>
      <c r="B931" t="str">
        <f>'score estimates'!$B931</f>
        <v>Cole Schwindt</v>
      </c>
      <c r="C931" t="str">
        <f>'score estimates'!$D931</f>
        <v>F</v>
      </c>
      <c r="D931" t="str">
        <f>'score estimates'!$C931</f>
        <v>CGY</v>
      </c>
      <c r="E931" s="75">
        <f>'score estimates'!$F931</f>
        <v>0.41463414634146339</v>
      </c>
      <c r="F931" s="71">
        <f>'score estimates'!$G931</f>
        <v>1011</v>
      </c>
      <c r="G931" s="71" t="s">
        <v>983</v>
      </c>
      <c r="H931" s="72" cm="1">
        <f t="array" aca="1" ref="H93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31" s="96">
        <f ca="1">IF(Table2[[#This Row],[Team]]="FA",0,Table2[[#This Row],[Pts/G]]*(1-Table2[[#This Row],[% Pos Overlap]]))</f>
        <v>0.41463414634146339</v>
      </c>
      <c r="J931" s="72" cm="1">
        <f t="array" aca="1" ref="J931" ca="1">(INDIRECT(ADDRESS((_xlfn.XMATCH(Table2[[#This Row],[Team]],Schedule!$A$1:$A$33)),5,1,1,"Sched Overlap")))</f>
        <v>0.63003663003663002</v>
      </c>
      <c r="K931" s="92" cm="1">
        <f t="array" aca="1" ref="K93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31" s="95">
        <f ca="1">IF(Table2[[#This Row],[Team]]="FA",0,Table2[[#This Row],[Pts/G]]*(Table2[[#This Row],[Games Playable]]/82))</f>
        <v>0.41463414634146339</v>
      </c>
      <c r="M931" s="95" cm="1">
        <f t="array" aca="1" ref="M931" ca="1">Table2[[#This Row],[Playable x Score]]*_xlfn.IFS(Table2[[#This Row],[Pos]]="D",assumptions!$B$15,Table2[[#This Row],[Pos]]="F", assumptions!$B$14,Table2[[#This Row],[Pos]]="G",assumptions!$B$16)</f>
        <v>0.41463414634146339</v>
      </c>
    </row>
    <row r="932" spans="1:13" x14ac:dyDescent="0.3">
      <c r="A932">
        <f>'score estimates'!$A932</f>
        <v>929</v>
      </c>
      <c r="B932" t="str">
        <f>'score estimates'!$B932</f>
        <v>Nikolai Knyzhov</v>
      </c>
      <c r="C932" t="str">
        <f>'score estimates'!$D932</f>
        <v>D</v>
      </c>
      <c r="D932" t="str">
        <f>'score estimates'!$C932</f>
        <v>SJ</v>
      </c>
      <c r="E932" s="75">
        <f>'score estimates'!$F932</f>
        <v>0.64634146341463417</v>
      </c>
      <c r="F932" s="71">
        <f>'score estimates'!$G932</f>
        <v>983</v>
      </c>
      <c r="G932" s="71" t="s">
        <v>983</v>
      </c>
      <c r="H932" s="72" cm="1">
        <f t="array" aca="1" ref="H93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32" s="96">
        <f ca="1">IF(Table2[[#This Row],[Team]]="FA",0,Table2[[#This Row],[Pts/G]]*(1-Table2[[#This Row],[% Pos Overlap]]))</f>
        <v>0.64634146341463417</v>
      </c>
      <c r="J932" s="72" cm="1">
        <f t="array" aca="1" ref="J932" ca="1">(INDIRECT(ADDRESS((_xlfn.XMATCH(Table2[[#This Row],[Team]],Schedule!$A$1:$A$33)),5,1,1,"Sched Overlap")))</f>
        <v>0.63492063492063477</v>
      </c>
      <c r="K932" s="92" cm="1">
        <f t="array" aca="1" ref="K93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32" s="95">
        <f ca="1">IF(Table2[[#This Row],[Team]]="FA",0,Table2[[#This Row],[Pts/G]]*(Table2[[#This Row],[Games Playable]]/82))</f>
        <v>0.64634146341463417</v>
      </c>
      <c r="M932" s="95" cm="1">
        <f t="array" aca="1" ref="M932" ca="1">Table2[[#This Row],[Playable x Score]]*_xlfn.IFS(Table2[[#This Row],[Pos]]="D",assumptions!$B$15,Table2[[#This Row],[Pos]]="F", assumptions!$B$14,Table2[[#This Row],[Pos]]="G",assumptions!$B$16)</f>
        <v>0.80792682926829273</v>
      </c>
    </row>
    <row r="933" spans="1:13" x14ac:dyDescent="0.3">
      <c r="A933">
        <f>'score estimates'!$A933</f>
        <v>930</v>
      </c>
      <c r="B933" t="str">
        <f>'score estimates'!$B933</f>
        <v>Taro Hirose</v>
      </c>
      <c r="C933" t="str">
        <f>'score estimates'!$D933</f>
        <v>F</v>
      </c>
      <c r="D933" t="str">
        <f>'score estimates'!$C933</f>
        <v>DET</v>
      </c>
      <c r="E933" s="75">
        <f>'score estimates'!$F933</f>
        <v>0.21951219512195122</v>
      </c>
      <c r="F933" s="71">
        <f>'score estimates'!$G933</f>
        <v>1040</v>
      </c>
      <c r="G933" s="71" t="s">
        <v>983</v>
      </c>
      <c r="H933" s="72" cm="1">
        <f t="array" aca="1" ref="H93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33" s="96">
        <f ca="1">IF(Table2[[#This Row],[Team]]="FA",0,Table2[[#This Row],[Pts/G]]*(1-Table2[[#This Row],[% Pos Overlap]]))</f>
        <v>0.21951219512195122</v>
      </c>
      <c r="J933" s="72" cm="1">
        <f t="array" aca="1" ref="J933" ca="1">(INDIRECT(ADDRESS((_xlfn.XMATCH(Table2[[#This Row],[Team]],Schedule!$A$1:$A$33)),5,1,1,"Sched Overlap")))</f>
        <v>0.64550264550264547</v>
      </c>
      <c r="K933" s="92" cm="1">
        <f t="array" aca="1" ref="K93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33" s="95">
        <f ca="1">IF(Table2[[#This Row],[Team]]="FA",0,Table2[[#This Row],[Pts/G]]*(Table2[[#This Row],[Games Playable]]/82))</f>
        <v>0.21951219512195122</v>
      </c>
      <c r="M933" s="95" cm="1">
        <f t="array" aca="1" ref="M933" ca="1">Table2[[#This Row],[Playable x Score]]*_xlfn.IFS(Table2[[#This Row],[Pos]]="D",assumptions!$B$15,Table2[[#This Row],[Pos]]="F", assumptions!$B$14,Table2[[#This Row],[Pos]]="G",assumptions!$B$16)</f>
        <v>0.21951219512195122</v>
      </c>
    </row>
    <row r="934" spans="1:13" x14ac:dyDescent="0.3">
      <c r="A934">
        <f>'score estimates'!$A934</f>
        <v>931</v>
      </c>
      <c r="B934" t="str">
        <f>'score estimates'!$B934</f>
        <v>Joe Snively</v>
      </c>
      <c r="C934" t="str">
        <f>'score estimates'!$D934</f>
        <v>F</v>
      </c>
      <c r="D934" t="str">
        <f>'score estimates'!$C934</f>
        <v>WAS</v>
      </c>
      <c r="E934" s="75">
        <f>'score estimates'!$F934</f>
        <v>0.67073170731707321</v>
      </c>
      <c r="F934" s="71">
        <f>'score estimates'!$G934</f>
        <v>979</v>
      </c>
      <c r="G934" s="71" t="s">
        <v>983</v>
      </c>
      <c r="H934" s="72" cm="1">
        <f t="array" aca="1" ref="H93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34" s="96">
        <f ca="1">IF(Table2[[#This Row],[Team]]="FA",0,Table2[[#This Row],[Pts/G]]*(1-Table2[[#This Row],[% Pos Overlap]]))</f>
        <v>0.67073170731707321</v>
      </c>
      <c r="J934" s="72" cm="1">
        <f t="array" aca="1" ref="J934" ca="1">(INDIRECT(ADDRESS((_xlfn.XMATCH(Table2[[#This Row],[Team]],Schedule!$A$1:$A$33)),5,1,1,"Sched Overlap")))</f>
        <v>0.65282865282865288</v>
      </c>
      <c r="K934" s="92" cm="1">
        <f t="array" aca="1" ref="K93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34" s="95">
        <f ca="1">IF(Table2[[#This Row],[Team]]="FA",0,Table2[[#This Row],[Pts/G]]*(Table2[[#This Row],[Games Playable]]/82))</f>
        <v>0.67073170731707321</v>
      </c>
      <c r="M934" s="95" cm="1">
        <f t="array" aca="1" ref="M934" ca="1">Table2[[#This Row],[Playable x Score]]*_xlfn.IFS(Table2[[#This Row],[Pos]]="D",assumptions!$B$15,Table2[[#This Row],[Pos]]="F", assumptions!$B$14,Table2[[#This Row],[Pos]]="G",assumptions!$B$16)</f>
        <v>0.67073170731707321</v>
      </c>
    </row>
    <row r="935" spans="1:13" x14ac:dyDescent="0.3">
      <c r="A935">
        <f>'score estimates'!$A935</f>
        <v>932</v>
      </c>
      <c r="B935" t="str">
        <f>'score estimates'!$B935</f>
        <v>Rhett Gardner</v>
      </c>
      <c r="C935" t="str">
        <f>'score estimates'!$D935</f>
        <v>F</v>
      </c>
      <c r="D935" t="str">
        <f>'score estimates'!$C935</f>
        <v>DAL</v>
      </c>
      <c r="E935" s="75">
        <f>'score estimates'!$F935</f>
        <v>0.32926829268292684</v>
      </c>
      <c r="F935" s="71">
        <f>'score estimates'!$G935</f>
        <v>1021</v>
      </c>
      <c r="G935" s="71" t="s">
        <v>983</v>
      </c>
      <c r="H935" s="72" cm="1">
        <f t="array" aca="1" ref="H93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35" s="96">
        <f ca="1">IF(Table2[[#This Row],[Team]]="FA",0,Table2[[#This Row],[Pts/G]]*(1-Table2[[#This Row],[% Pos Overlap]]))</f>
        <v>0.32926829268292684</v>
      </c>
      <c r="J935" s="72" cm="1">
        <f t="array" aca="1" ref="J935" ca="1">(INDIRECT(ADDRESS((_xlfn.XMATCH(Table2[[#This Row],[Team]],Schedule!$A$1:$A$33)),5,1,1,"Sched Overlap")))</f>
        <v>0.65364265364265373</v>
      </c>
      <c r="K935" s="92" cm="1">
        <f t="array" aca="1" ref="K93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35" s="95">
        <f ca="1">IF(Table2[[#This Row],[Team]]="FA",0,Table2[[#This Row],[Pts/G]]*(Table2[[#This Row],[Games Playable]]/82))</f>
        <v>0.32926829268292684</v>
      </c>
      <c r="M935" s="95" cm="1">
        <f t="array" aca="1" ref="M935" ca="1">Table2[[#This Row],[Playable x Score]]*_xlfn.IFS(Table2[[#This Row],[Pos]]="D",assumptions!$B$15,Table2[[#This Row],[Pos]]="F", assumptions!$B$14,Table2[[#This Row],[Pos]]="G",assumptions!$B$16)</f>
        <v>0.32926829268292684</v>
      </c>
    </row>
    <row r="936" spans="1:13" x14ac:dyDescent="0.3">
      <c r="A936">
        <f>'score estimates'!$A936</f>
        <v>933</v>
      </c>
      <c r="B936" t="str">
        <f>'score estimates'!$B936</f>
        <v>Grant Hutton</v>
      </c>
      <c r="C936" t="str">
        <f>'score estimates'!$D936</f>
        <v>D</v>
      </c>
      <c r="D936" t="str">
        <f>'score estimates'!$C936</f>
        <v>NYI</v>
      </c>
      <c r="E936" s="75">
        <f>'score estimates'!$F936</f>
        <v>1.1829268292682926</v>
      </c>
      <c r="F936" s="71">
        <f>'score estimates'!$G936</f>
        <v>918</v>
      </c>
      <c r="G936" s="71" t="s">
        <v>983</v>
      </c>
      <c r="H936" s="72" cm="1">
        <f t="array" aca="1" ref="H93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36" s="96">
        <f ca="1">IF(Table2[[#This Row],[Team]]="FA",0,Table2[[#This Row],[Pts/G]]*(1-Table2[[#This Row],[% Pos Overlap]]))</f>
        <v>1.1829268292682926</v>
      </c>
      <c r="J936" s="72" cm="1">
        <f t="array" aca="1" ref="J936" ca="1">(INDIRECT(ADDRESS((_xlfn.XMATCH(Table2[[#This Row],[Team]],Schedule!$A$1:$A$33)),5,1,1,"Sched Overlap")))</f>
        <v>0.63166463166463194</v>
      </c>
      <c r="K936" s="92" cm="1">
        <f t="array" aca="1" ref="K93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36" s="95">
        <f ca="1">IF(Table2[[#This Row],[Team]]="FA",0,Table2[[#This Row],[Pts/G]]*(Table2[[#This Row],[Games Playable]]/82))</f>
        <v>1.1829268292682926</v>
      </c>
      <c r="M936" s="95" cm="1">
        <f t="array" aca="1" ref="M936" ca="1">Table2[[#This Row],[Playable x Score]]*_xlfn.IFS(Table2[[#This Row],[Pos]]="D",assumptions!$B$15,Table2[[#This Row],[Pos]]="F", assumptions!$B$14,Table2[[#This Row],[Pos]]="G",assumptions!$B$16)</f>
        <v>1.4786585365853657</v>
      </c>
    </row>
    <row r="937" spans="1:13" x14ac:dyDescent="0.3">
      <c r="A937">
        <f>'score estimates'!$A937</f>
        <v>934</v>
      </c>
      <c r="B937" t="str">
        <f>'score estimates'!$B937</f>
        <v>Joel Hofer</v>
      </c>
      <c r="C937" t="str">
        <f>'score estimates'!$D937</f>
        <v>G</v>
      </c>
      <c r="D937" t="str">
        <f>'score estimates'!$C937</f>
        <v>STL</v>
      </c>
      <c r="E937" s="75">
        <f>'score estimates'!$F937</f>
        <v>1.024390243902439</v>
      </c>
      <c r="F937" s="71">
        <f>'score estimates'!$G937</f>
        <v>933</v>
      </c>
      <c r="G937" s="71" t="s">
        <v>983</v>
      </c>
      <c r="H937" s="72" cm="1">
        <f t="array" aca="1" ref="H93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37" s="96">
        <f ca="1">IF(Table2[[#This Row],[Team]]="FA",0,Table2[[#This Row],[Pts/G]]*(1-Table2[[#This Row],[% Pos Overlap]]))</f>
        <v>1.024390243902439</v>
      </c>
      <c r="J937" s="72" cm="1">
        <f t="array" aca="1" ref="J937" ca="1">(INDIRECT(ADDRESS((_xlfn.XMATCH(Table2[[#This Row],[Team]],Schedule!$A$1:$A$33)),5,1,1,"Sched Overlap")))</f>
        <v>0.65120065120065118</v>
      </c>
      <c r="K937" s="92" cm="1">
        <f t="array" aca="1" ref="K93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37" s="95">
        <f ca="1">IF(Table2[[#This Row],[Team]]="FA",0,Table2[[#This Row],[Pts/G]]*(Table2[[#This Row],[Games Playable]]/82))</f>
        <v>1.024390243902439</v>
      </c>
      <c r="M937" s="95" cm="1">
        <f t="array" aca="1" ref="M937" ca="1">Table2[[#This Row],[Playable x Score]]*_xlfn.IFS(Table2[[#This Row],[Pos]]="D",assumptions!$B$15,Table2[[#This Row],[Pos]]="F", assumptions!$B$14,Table2[[#This Row],[Pos]]="G",assumptions!$B$16)</f>
        <v>1.126829268292683</v>
      </c>
    </row>
    <row r="938" spans="1:13" x14ac:dyDescent="0.3">
      <c r="A938">
        <f>'score estimates'!$A938</f>
        <v>935</v>
      </c>
      <c r="B938" t="str">
        <f>'score estimates'!$B938</f>
        <v>Viktor Lodin</v>
      </c>
      <c r="C938" t="str">
        <f>'score estimates'!$D938</f>
        <v>F</v>
      </c>
      <c r="D938" t="str">
        <f>'score estimates'!$C938</f>
        <v>OTT</v>
      </c>
      <c r="E938" s="75">
        <f>'score estimates'!$F938</f>
        <v>0.95121951219512191</v>
      </c>
      <c r="F938" s="71">
        <f>'score estimates'!$G938</f>
        <v>943</v>
      </c>
      <c r="G938" s="71" t="s">
        <v>983</v>
      </c>
      <c r="H938" s="72" cm="1">
        <f t="array" aca="1" ref="H93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38" s="96">
        <f ca="1">IF(Table2[[#This Row],[Team]]="FA",0,Table2[[#This Row],[Pts/G]]*(1-Table2[[#This Row],[% Pos Overlap]]))</f>
        <v>0.95121951219512191</v>
      </c>
      <c r="J938" s="72" cm="1">
        <f t="array" aca="1" ref="J938" ca="1">(INDIRECT(ADDRESS((_xlfn.XMATCH(Table2[[#This Row],[Team]],Schedule!$A$1:$A$33)),5,1,1,"Sched Overlap")))</f>
        <v>0.64306064306064303</v>
      </c>
      <c r="K938" s="92" cm="1">
        <f t="array" aca="1" ref="K93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38" s="95">
        <f ca="1">IF(Table2[[#This Row],[Team]]="FA",0,Table2[[#This Row],[Pts/G]]*(Table2[[#This Row],[Games Playable]]/82))</f>
        <v>0.95121951219512191</v>
      </c>
      <c r="M938" s="95" cm="1">
        <f t="array" aca="1" ref="M938" ca="1">Table2[[#This Row],[Playable x Score]]*_xlfn.IFS(Table2[[#This Row],[Pos]]="D",assumptions!$B$15,Table2[[#This Row],[Pos]]="F", assumptions!$B$14,Table2[[#This Row],[Pos]]="G",assumptions!$B$16)</f>
        <v>0.95121951219512191</v>
      </c>
    </row>
    <row r="939" spans="1:13" x14ac:dyDescent="0.3">
      <c r="A939">
        <f>'score estimates'!$A939</f>
        <v>936</v>
      </c>
      <c r="B939" t="str">
        <f>'score estimates'!$B939</f>
        <v>Owen Pickering</v>
      </c>
      <c r="C939" t="str">
        <f>'score estimates'!$D939</f>
        <v>D</v>
      </c>
      <c r="D939" t="str">
        <f>'score estimates'!$C939</f>
        <v>PIT</v>
      </c>
      <c r="E939" s="75">
        <f>'score estimates'!$F939</f>
        <v>1.0121951219512195</v>
      </c>
      <c r="F939" s="71">
        <f>'score estimates'!$G939</f>
        <v>936</v>
      </c>
      <c r="G939" s="71" t="s">
        <v>983</v>
      </c>
      <c r="H939" s="72" cm="1">
        <f t="array" aca="1" ref="H93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39" s="96">
        <f ca="1">IF(Table2[[#This Row],[Team]]="FA",0,Table2[[#This Row],[Pts/G]]*(1-Table2[[#This Row],[% Pos Overlap]]))</f>
        <v>1.0121951219512195</v>
      </c>
      <c r="J939" s="72" cm="1">
        <f t="array" aca="1" ref="J939" ca="1">(INDIRECT(ADDRESS((_xlfn.XMATCH(Table2[[#This Row],[Team]],Schedule!$A$1:$A$33)),5,1,1,"Sched Overlap")))</f>
        <v>0.63492063492063477</v>
      </c>
      <c r="K939" s="92" cm="1">
        <f t="array" aca="1" ref="K93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39" s="95">
        <f ca="1">IF(Table2[[#This Row],[Team]]="FA",0,Table2[[#This Row],[Pts/G]]*(Table2[[#This Row],[Games Playable]]/82))</f>
        <v>1.0121951219512195</v>
      </c>
      <c r="M939" s="95" cm="1">
        <f t="array" aca="1" ref="M939" ca="1">Table2[[#This Row],[Playable x Score]]*_xlfn.IFS(Table2[[#This Row],[Pos]]="D",assumptions!$B$15,Table2[[#This Row],[Pos]]="F", assumptions!$B$14,Table2[[#This Row],[Pos]]="G",assumptions!$B$16)</f>
        <v>1.2652439024390243</v>
      </c>
    </row>
    <row r="940" spans="1:13" x14ac:dyDescent="0.3">
      <c r="A940">
        <f>'score estimates'!$A940</f>
        <v>937</v>
      </c>
      <c r="B940" t="str">
        <f>'score estimates'!$B940</f>
        <v>Alexander Holtz</v>
      </c>
      <c r="C940" t="str">
        <f>'score estimates'!$D940</f>
        <v>F</v>
      </c>
      <c r="D940" t="str">
        <f>'score estimates'!$C940</f>
        <v>NJ</v>
      </c>
      <c r="E940" s="75">
        <f>'score estimates'!$F940</f>
        <v>0.40243902439024393</v>
      </c>
      <c r="F940" s="71">
        <f>'score estimates'!$G940</f>
        <v>1013</v>
      </c>
      <c r="G940" s="71" t="s">
        <v>983</v>
      </c>
      <c r="H940" s="72" cm="1">
        <f t="array" aca="1" ref="H94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40" s="96">
        <f ca="1">IF(Table2[[#This Row],[Team]]="FA",0,Table2[[#This Row],[Pts/G]]*(1-Table2[[#This Row],[% Pos Overlap]]))</f>
        <v>0.40243902439024393</v>
      </c>
      <c r="J940" s="72" cm="1">
        <f t="array" aca="1" ref="J940" ca="1">(INDIRECT(ADDRESS((_xlfn.XMATCH(Table2[[#This Row],[Team]],Schedule!$A$1:$A$33)),5,1,1,"Sched Overlap")))</f>
        <v>0.66259666259666272</v>
      </c>
      <c r="K940" s="92" cm="1">
        <f t="array" aca="1" ref="K94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40" s="95">
        <f ca="1">IF(Table2[[#This Row],[Team]]="FA",0,Table2[[#This Row],[Pts/G]]*(Table2[[#This Row],[Games Playable]]/82))</f>
        <v>0.40243902439024393</v>
      </c>
      <c r="M940" s="95" cm="1">
        <f t="array" aca="1" ref="M940" ca="1">Table2[[#This Row],[Playable x Score]]*_xlfn.IFS(Table2[[#This Row],[Pos]]="D",assumptions!$B$15,Table2[[#This Row],[Pos]]="F", assumptions!$B$14,Table2[[#This Row],[Pos]]="G",assumptions!$B$16)</f>
        <v>0.40243902439024393</v>
      </c>
    </row>
    <row r="941" spans="1:13" x14ac:dyDescent="0.3">
      <c r="A941">
        <f>'score estimates'!$A941</f>
        <v>938</v>
      </c>
      <c r="B941" t="str">
        <f>'score estimates'!$B941</f>
        <v>Connor Mackey</v>
      </c>
      <c r="C941" t="str">
        <f>'score estimates'!$D941</f>
        <v>D</v>
      </c>
      <c r="D941" t="str">
        <f>'score estimates'!$C941</f>
        <v>CGY</v>
      </c>
      <c r="E941" s="75">
        <f>'score estimates'!$F941</f>
        <v>0.82926829268292679</v>
      </c>
      <c r="F941" s="71">
        <f>'score estimates'!$G941</f>
        <v>959</v>
      </c>
      <c r="G941" s="71" t="s">
        <v>983</v>
      </c>
      <c r="H941" s="72" cm="1">
        <f t="array" aca="1" ref="H94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41" s="96">
        <f ca="1">IF(Table2[[#This Row],[Team]]="FA",0,Table2[[#This Row],[Pts/G]]*(1-Table2[[#This Row],[% Pos Overlap]]))</f>
        <v>0.82926829268292679</v>
      </c>
      <c r="J941" s="72" cm="1">
        <f t="array" aca="1" ref="J941" ca="1">(INDIRECT(ADDRESS((_xlfn.XMATCH(Table2[[#This Row],[Team]],Schedule!$A$1:$A$33)),5,1,1,"Sched Overlap")))</f>
        <v>0.63003663003663002</v>
      </c>
      <c r="K941" s="92" cm="1">
        <f t="array" aca="1" ref="K94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41" s="95">
        <f ca="1">IF(Table2[[#This Row],[Team]]="FA",0,Table2[[#This Row],[Pts/G]]*(Table2[[#This Row],[Games Playable]]/82))</f>
        <v>0.82926829268292679</v>
      </c>
      <c r="M941" s="95" cm="1">
        <f t="array" aca="1" ref="M941" ca="1">Table2[[#This Row],[Playable x Score]]*_xlfn.IFS(Table2[[#This Row],[Pos]]="D",assumptions!$B$15,Table2[[#This Row],[Pos]]="F", assumptions!$B$14,Table2[[#This Row],[Pos]]="G",assumptions!$B$16)</f>
        <v>1.0365853658536586</v>
      </c>
    </row>
    <row r="942" spans="1:13" x14ac:dyDescent="0.3">
      <c r="A942">
        <f>'score estimates'!$A942</f>
        <v>939</v>
      </c>
      <c r="B942" t="str">
        <f>'score estimates'!$B942</f>
        <v>Jack Ahcan</v>
      </c>
      <c r="C942" t="str">
        <f>'score estimates'!$D942</f>
        <v>D</v>
      </c>
      <c r="D942" t="str">
        <f>'score estimates'!$C942</f>
        <v>BOS</v>
      </c>
      <c r="E942" s="75">
        <f>'score estimates'!$F942</f>
        <v>0.32926829268292684</v>
      </c>
      <c r="F942" s="71">
        <f>'score estimates'!$G942</f>
        <v>1021</v>
      </c>
      <c r="G942" s="71" t="s">
        <v>983</v>
      </c>
      <c r="H942" s="72" cm="1">
        <f t="array" aca="1" ref="H94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42" s="96">
        <f ca="1">IF(Table2[[#This Row],[Team]]="FA",0,Table2[[#This Row],[Pts/G]]*(1-Table2[[#This Row],[% Pos Overlap]]))</f>
        <v>0.32926829268292684</v>
      </c>
      <c r="J942" s="72" cm="1">
        <f t="array" aca="1" ref="J942" ca="1">(INDIRECT(ADDRESS((_xlfn.XMATCH(Table2[[#This Row],[Team]],Schedule!$A$1:$A$33)),5,1,1,"Sched Overlap")))</f>
        <v>0.67236467236467234</v>
      </c>
      <c r="K942" s="92" cm="1">
        <f t="array" aca="1" ref="K94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42" s="95">
        <f ca="1">IF(Table2[[#This Row],[Team]]="FA",0,Table2[[#This Row],[Pts/G]]*(Table2[[#This Row],[Games Playable]]/82))</f>
        <v>0.32926829268292684</v>
      </c>
      <c r="M942" s="95" cm="1">
        <f t="array" aca="1" ref="M942" ca="1">Table2[[#This Row],[Playable x Score]]*_xlfn.IFS(Table2[[#This Row],[Pos]]="D",assumptions!$B$15,Table2[[#This Row],[Pos]]="F", assumptions!$B$14,Table2[[#This Row],[Pos]]="G",assumptions!$B$16)</f>
        <v>0.41158536585365857</v>
      </c>
    </row>
    <row r="943" spans="1:13" x14ac:dyDescent="0.3">
      <c r="A943">
        <f>'score estimates'!$A943</f>
        <v>940</v>
      </c>
      <c r="B943" t="str">
        <f>'score estimates'!$B943</f>
        <v>Jake Christiansen</v>
      </c>
      <c r="C943" t="str">
        <f>'score estimates'!$D943</f>
        <v>D</v>
      </c>
      <c r="D943" t="str">
        <f>'score estimates'!$C943</f>
        <v>CLS</v>
      </c>
      <c r="E943" s="75">
        <f>'score estimates'!$F943</f>
        <v>0.92682926829268297</v>
      </c>
      <c r="F943" s="71">
        <f>'score estimates'!$G943</f>
        <v>947</v>
      </c>
      <c r="G943" s="71" t="s">
        <v>983</v>
      </c>
      <c r="H943" s="72" cm="1">
        <f t="array" aca="1" ref="H94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43" s="96">
        <f ca="1">IF(Table2[[#This Row],[Team]]="FA",0,Table2[[#This Row],[Pts/G]]*(1-Table2[[#This Row],[% Pos Overlap]]))</f>
        <v>0.92682926829268297</v>
      </c>
      <c r="J943" s="72" cm="1">
        <f t="array" aca="1" ref="J943" ca="1">(INDIRECT(ADDRESS((_xlfn.XMATCH(Table2[[#This Row],[Team]],Schedule!$A$1:$A$33)),5,1,1,"Sched Overlap")))</f>
        <v>0.64875864875864886</v>
      </c>
      <c r="K943" s="92" cm="1">
        <f t="array" aca="1" ref="K94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43" s="95">
        <f ca="1">IF(Table2[[#This Row],[Team]]="FA",0,Table2[[#This Row],[Pts/G]]*(Table2[[#This Row],[Games Playable]]/82))</f>
        <v>0.92682926829268297</v>
      </c>
      <c r="M943" s="95" cm="1">
        <f t="array" aca="1" ref="M943" ca="1">Table2[[#This Row],[Playable x Score]]*_xlfn.IFS(Table2[[#This Row],[Pos]]="D",assumptions!$B$15,Table2[[#This Row],[Pos]]="F", assumptions!$B$14,Table2[[#This Row],[Pos]]="G",assumptions!$B$16)</f>
        <v>1.1585365853658538</v>
      </c>
    </row>
    <row r="944" spans="1:13" x14ac:dyDescent="0.3">
      <c r="A944">
        <f>'score estimates'!$A944</f>
        <v>941</v>
      </c>
      <c r="B944" t="str">
        <f>'score estimates'!$B944</f>
        <v>Adam Raska</v>
      </c>
      <c r="C944" t="str">
        <f>'score estimates'!$D944</f>
        <v>F</v>
      </c>
      <c r="D944" t="str">
        <f>'score estimates'!$C944</f>
        <v>SJ</v>
      </c>
      <c r="E944" s="75">
        <f>'score estimates'!$F944</f>
        <v>0.51219512195121952</v>
      </c>
      <c r="F944" s="71">
        <f>'score estimates'!$G944</f>
        <v>1003</v>
      </c>
      <c r="G944" s="71" t="s">
        <v>983</v>
      </c>
      <c r="H944" s="72" cm="1">
        <f t="array" aca="1" ref="H94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44" s="96">
        <f ca="1">IF(Table2[[#This Row],[Team]]="FA",0,Table2[[#This Row],[Pts/G]]*(1-Table2[[#This Row],[% Pos Overlap]]))</f>
        <v>0.51219512195121952</v>
      </c>
      <c r="J944" s="72" cm="1">
        <f t="array" aca="1" ref="J944" ca="1">(INDIRECT(ADDRESS((_xlfn.XMATCH(Table2[[#This Row],[Team]],Schedule!$A$1:$A$33)),5,1,1,"Sched Overlap")))</f>
        <v>0.63492063492063477</v>
      </c>
      <c r="K944" s="92" cm="1">
        <f t="array" aca="1" ref="K94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44" s="95">
        <f ca="1">IF(Table2[[#This Row],[Team]]="FA",0,Table2[[#This Row],[Pts/G]]*(Table2[[#This Row],[Games Playable]]/82))</f>
        <v>0.51219512195121952</v>
      </c>
      <c r="M944" s="95" cm="1">
        <f t="array" aca="1" ref="M944" ca="1">Table2[[#This Row],[Playable x Score]]*_xlfn.IFS(Table2[[#This Row],[Pos]]="D",assumptions!$B$15,Table2[[#This Row],[Pos]]="F", assumptions!$B$14,Table2[[#This Row],[Pos]]="G",assumptions!$B$16)</f>
        <v>0.51219512195121952</v>
      </c>
    </row>
    <row r="945" spans="1:13" x14ac:dyDescent="0.3">
      <c r="A945">
        <f>'score estimates'!$A945</f>
        <v>942</v>
      </c>
      <c r="B945" t="str">
        <f>'score estimates'!$B945</f>
        <v>Brayden Pachal</v>
      </c>
      <c r="C945" t="str">
        <f>'score estimates'!$D945</f>
        <v>D</v>
      </c>
      <c r="D945" t="str">
        <f>'score estimates'!$C945</f>
        <v>VGK</v>
      </c>
      <c r="E945" s="75">
        <f>'score estimates'!$F945</f>
        <v>0.45121951219512196</v>
      </c>
      <c r="F945" s="71">
        <f>'score estimates'!$G945</f>
        <v>1008</v>
      </c>
      <c r="G945" s="71" t="s">
        <v>983</v>
      </c>
      <c r="H945" s="72" cm="1">
        <f t="array" aca="1" ref="H94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45" s="96">
        <f ca="1">IF(Table2[[#This Row],[Team]]="FA",0,Table2[[#This Row],[Pts/G]]*(1-Table2[[#This Row],[% Pos Overlap]]))</f>
        <v>0.45121951219512196</v>
      </c>
      <c r="J945" s="72" cm="1">
        <f t="array" aca="1" ref="J945" ca="1">(INDIRECT(ADDRESS((_xlfn.XMATCH(Table2[[#This Row],[Team]],Schedule!$A$1:$A$33)),5,1,1,"Sched Overlap")))</f>
        <v>0.66992266992266991</v>
      </c>
      <c r="K945" s="92" cm="1">
        <f t="array" aca="1" ref="K94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45" s="95">
        <f ca="1">IF(Table2[[#This Row],[Team]]="FA",0,Table2[[#This Row],[Pts/G]]*(Table2[[#This Row],[Games Playable]]/82))</f>
        <v>0.45121951219512196</v>
      </c>
      <c r="M945" s="95" cm="1">
        <f t="array" aca="1" ref="M945" ca="1">Table2[[#This Row],[Playable x Score]]*_xlfn.IFS(Table2[[#This Row],[Pos]]="D",assumptions!$B$15,Table2[[#This Row],[Pos]]="F", assumptions!$B$14,Table2[[#This Row],[Pos]]="G",assumptions!$B$16)</f>
        <v>0.5640243902439025</v>
      </c>
    </row>
    <row r="946" spans="1:13" x14ac:dyDescent="0.3">
      <c r="A946">
        <f>'score estimates'!$A946</f>
        <v>943</v>
      </c>
      <c r="B946" t="str">
        <f>'score estimates'!$B946</f>
        <v>Valtteri Puustinen</v>
      </c>
      <c r="C946" t="str">
        <f>'score estimates'!$D946</f>
        <v>F</v>
      </c>
      <c r="D946" t="str">
        <f>'score estimates'!$C946</f>
        <v>PIT</v>
      </c>
      <c r="E946" s="75">
        <f>'score estimates'!$F946</f>
        <v>0.58536585365853655</v>
      </c>
      <c r="F946" s="71">
        <f>'score estimates'!$G946</f>
        <v>992</v>
      </c>
      <c r="G946" s="71" t="s">
        <v>983</v>
      </c>
      <c r="H946" s="72" cm="1">
        <f t="array" aca="1" ref="H94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46" s="96">
        <f ca="1">IF(Table2[[#This Row],[Team]]="FA",0,Table2[[#This Row],[Pts/G]]*(1-Table2[[#This Row],[% Pos Overlap]]))</f>
        <v>0.58536585365853655</v>
      </c>
      <c r="J946" s="72" cm="1">
        <f t="array" aca="1" ref="J946" ca="1">(INDIRECT(ADDRESS((_xlfn.XMATCH(Table2[[#This Row],[Team]],Schedule!$A$1:$A$33)),5,1,1,"Sched Overlap")))</f>
        <v>0.63492063492063477</v>
      </c>
      <c r="K946" s="92" cm="1">
        <f t="array" aca="1" ref="K94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46" s="95">
        <f ca="1">IF(Table2[[#This Row],[Team]]="FA",0,Table2[[#This Row],[Pts/G]]*(Table2[[#This Row],[Games Playable]]/82))</f>
        <v>0.58536585365853655</v>
      </c>
      <c r="M946" s="95" cm="1">
        <f t="array" aca="1" ref="M946" ca="1">Table2[[#This Row],[Playable x Score]]*_xlfn.IFS(Table2[[#This Row],[Pos]]="D",assumptions!$B$15,Table2[[#This Row],[Pos]]="F", assumptions!$B$14,Table2[[#This Row],[Pos]]="G",assumptions!$B$16)</f>
        <v>0.58536585365853655</v>
      </c>
    </row>
    <row r="947" spans="1:13" x14ac:dyDescent="0.3">
      <c r="A947">
        <f>'score estimates'!$A947</f>
        <v>944</v>
      </c>
      <c r="B947" t="str">
        <f>'score estimates'!$B947</f>
        <v>Daniil Miromanov</v>
      </c>
      <c r="C947" t="str">
        <f>'score estimates'!$D947</f>
        <v>D</v>
      </c>
      <c r="D947" t="str">
        <f>'score estimates'!$C947</f>
        <v>VGK</v>
      </c>
      <c r="E947" s="75">
        <f>'score estimates'!$F947</f>
        <v>0.81707317073170727</v>
      </c>
      <c r="F947" s="71">
        <f>'score estimates'!$G947</f>
        <v>961</v>
      </c>
      <c r="G947" s="71" t="s">
        <v>983</v>
      </c>
      <c r="H947" s="72" cm="1">
        <f t="array" aca="1" ref="H94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47" s="96">
        <f ca="1">IF(Table2[[#This Row],[Team]]="FA",0,Table2[[#This Row],[Pts/G]]*(1-Table2[[#This Row],[% Pos Overlap]]))</f>
        <v>0.81707317073170727</v>
      </c>
      <c r="J947" s="72" cm="1">
        <f t="array" aca="1" ref="J947" ca="1">(INDIRECT(ADDRESS((_xlfn.XMATCH(Table2[[#This Row],[Team]],Schedule!$A$1:$A$33)),5,1,1,"Sched Overlap")))</f>
        <v>0.66992266992266991</v>
      </c>
      <c r="K947" s="92" cm="1">
        <f t="array" aca="1" ref="K94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47" s="95">
        <f ca="1">IF(Table2[[#This Row],[Team]]="FA",0,Table2[[#This Row],[Pts/G]]*(Table2[[#This Row],[Games Playable]]/82))</f>
        <v>0.81707317073170727</v>
      </c>
      <c r="M947" s="95" cm="1">
        <f t="array" aca="1" ref="M947" ca="1">Table2[[#This Row],[Playable x Score]]*_xlfn.IFS(Table2[[#This Row],[Pos]]="D",assumptions!$B$15,Table2[[#This Row],[Pos]]="F", assumptions!$B$14,Table2[[#This Row],[Pos]]="G",assumptions!$B$16)</f>
        <v>1.0213414634146341</v>
      </c>
    </row>
    <row r="948" spans="1:13" x14ac:dyDescent="0.3">
      <c r="A948">
        <f>'score estimates'!$A948</f>
        <v>945</v>
      </c>
      <c r="B948" t="str">
        <f>'score estimates'!$B948</f>
        <v>Carson Meyer</v>
      </c>
      <c r="C948" t="str">
        <f>'score estimates'!$D948</f>
        <v>F</v>
      </c>
      <c r="D948" t="str">
        <f>'score estimates'!$C948</f>
        <v>CLS</v>
      </c>
      <c r="E948" s="75">
        <f>'score estimates'!$F948</f>
        <v>0.58536585365853655</v>
      </c>
      <c r="F948" s="71">
        <f>'score estimates'!$G948</f>
        <v>992</v>
      </c>
      <c r="G948" s="71" t="s">
        <v>983</v>
      </c>
      <c r="H948" s="72" cm="1">
        <f t="array" aca="1" ref="H94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48" s="96">
        <f ca="1">IF(Table2[[#This Row],[Team]]="FA",0,Table2[[#This Row],[Pts/G]]*(1-Table2[[#This Row],[% Pos Overlap]]))</f>
        <v>0.58536585365853655</v>
      </c>
      <c r="J948" s="72" cm="1">
        <f t="array" aca="1" ref="J948" ca="1">(INDIRECT(ADDRESS((_xlfn.XMATCH(Table2[[#This Row],[Team]],Schedule!$A$1:$A$33)),5,1,1,"Sched Overlap")))</f>
        <v>0.64875864875864886</v>
      </c>
      <c r="K948" s="92" cm="1">
        <f t="array" aca="1" ref="K94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48" s="95">
        <f ca="1">IF(Table2[[#This Row],[Team]]="FA",0,Table2[[#This Row],[Pts/G]]*(Table2[[#This Row],[Games Playable]]/82))</f>
        <v>0.58536585365853655</v>
      </c>
      <c r="M948" s="95" cm="1">
        <f t="array" aca="1" ref="M948" ca="1">Table2[[#This Row],[Playable x Score]]*_xlfn.IFS(Table2[[#This Row],[Pos]]="D",assumptions!$B$15,Table2[[#This Row],[Pos]]="F", assumptions!$B$14,Table2[[#This Row],[Pos]]="G",assumptions!$B$16)</f>
        <v>0.58536585365853655</v>
      </c>
    </row>
    <row r="949" spans="1:13" x14ac:dyDescent="0.3">
      <c r="A949">
        <f>'score estimates'!$A949</f>
        <v>946</v>
      </c>
      <c r="B949" t="str">
        <f>'score estimates'!$B949</f>
        <v>Jackson Cates</v>
      </c>
      <c r="C949" t="str">
        <f>'score estimates'!$D949</f>
        <v>F</v>
      </c>
      <c r="D949" t="str">
        <f>'score estimates'!$C949</f>
        <v>PHI</v>
      </c>
      <c r="E949" s="75">
        <f>'score estimates'!$F949</f>
        <v>0.25609756097560976</v>
      </c>
      <c r="F949" s="71">
        <f>'score estimates'!$G949</f>
        <v>1034</v>
      </c>
      <c r="G949" s="71" t="s">
        <v>983</v>
      </c>
      <c r="H949" s="72" cm="1">
        <f t="array" aca="1" ref="H94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49" s="96">
        <f ca="1">IF(Table2[[#This Row],[Team]]="FA",0,Table2[[#This Row],[Pts/G]]*(1-Table2[[#This Row],[% Pos Overlap]]))</f>
        <v>0.25609756097560976</v>
      </c>
      <c r="J949" s="72" cm="1">
        <f t="array" aca="1" ref="J949" ca="1">(INDIRECT(ADDRESS((_xlfn.XMATCH(Table2[[#This Row],[Team]],Schedule!$A$1:$A$33)),5,1,1,"Sched Overlap")))</f>
        <v>0.66910866910866917</v>
      </c>
      <c r="K949" s="92" cm="1">
        <f t="array" aca="1" ref="K94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49" s="95">
        <f ca="1">IF(Table2[[#This Row],[Team]]="FA",0,Table2[[#This Row],[Pts/G]]*(Table2[[#This Row],[Games Playable]]/82))</f>
        <v>0.25609756097560976</v>
      </c>
      <c r="M949" s="95" cm="1">
        <f t="array" aca="1" ref="M949" ca="1">Table2[[#This Row],[Playable x Score]]*_xlfn.IFS(Table2[[#This Row],[Pos]]="D",assumptions!$B$15,Table2[[#This Row],[Pos]]="F", assumptions!$B$14,Table2[[#This Row],[Pos]]="G",assumptions!$B$16)</f>
        <v>0.25609756097560976</v>
      </c>
    </row>
    <row r="950" spans="1:13" x14ac:dyDescent="0.3">
      <c r="A950">
        <f>'score estimates'!$A950</f>
        <v>947</v>
      </c>
      <c r="B950" t="str">
        <f>'score estimates'!$B950</f>
        <v>Isaak Phillips</v>
      </c>
      <c r="C950" t="str">
        <f>'score estimates'!$D950</f>
        <v>D</v>
      </c>
      <c r="D950" t="str">
        <f>'score estimates'!$C950</f>
        <v>CHI</v>
      </c>
      <c r="E950" s="75">
        <f>'score estimates'!$F950</f>
        <v>1.2073170731707317</v>
      </c>
      <c r="F950" s="71">
        <f>'score estimates'!$G950</f>
        <v>913</v>
      </c>
      <c r="G950" s="71" t="s">
        <v>983</v>
      </c>
      <c r="H950" s="72" cm="1">
        <f t="array" aca="1" ref="H95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50" s="96">
        <f ca="1">IF(Table2[[#This Row],[Team]]="FA",0,Table2[[#This Row],[Pts/G]]*(1-Table2[[#This Row],[% Pos Overlap]]))</f>
        <v>1.2073170731707317</v>
      </c>
      <c r="J950" s="72" cm="1">
        <f t="array" aca="1" ref="J950" ca="1">(INDIRECT(ADDRESS((_xlfn.XMATCH(Table2[[#This Row],[Team]],Schedule!$A$1:$A$33)),5,1,1,"Sched Overlap")))</f>
        <v>0.6243386243386243</v>
      </c>
      <c r="K950" s="92" cm="1">
        <f t="array" aca="1" ref="K95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50" s="95">
        <f ca="1">IF(Table2[[#This Row],[Team]]="FA",0,Table2[[#This Row],[Pts/G]]*(Table2[[#This Row],[Games Playable]]/82))</f>
        <v>1.2073170731707317</v>
      </c>
      <c r="M950" s="95" cm="1">
        <f t="array" aca="1" ref="M950" ca="1">Table2[[#This Row],[Playable x Score]]*_xlfn.IFS(Table2[[#This Row],[Pos]]="D",assumptions!$B$15,Table2[[#This Row],[Pos]]="F", assumptions!$B$14,Table2[[#This Row],[Pos]]="G",assumptions!$B$16)</f>
        <v>1.5091463414634145</v>
      </c>
    </row>
    <row r="951" spans="1:13" x14ac:dyDescent="0.3">
      <c r="A951">
        <f>'score estimates'!$A951</f>
        <v>948</v>
      </c>
      <c r="B951" t="str">
        <f>'score estimates'!$B951</f>
        <v>Zack Hayes</v>
      </c>
      <c r="C951" t="str">
        <f>'score estimates'!$D951</f>
        <v>D</v>
      </c>
      <c r="D951" t="str">
        <f>'score estimates'!$C951</f>
        <v>VGK</v>
      </c>
      <c r="E951" s="75">
        <f>'score estimates'!$F951</f>
        <v>9.7560975609756101E-2</v>
      </c>
      <c r="F951" s="71">
        <f>'score estimates'!$G951</f>
        <v>1050</v>
      </c>
      <c r="G951" s="71" t="s">
        <v>983</v>
      </c>
      <c r="H951" s="72" cm="1">
        <f t="array" aca="1" ref="H95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51" s="96">
        <f ca="1">IF(Table2[[#This Row],[Team]]="FA",0,Table2[[#This Row],[Pts/G]]*(1-Table2[[#This Row],[% Pos Overlap]]))</f>
        <v>9.7560975609756101E-2</v>
      </c>
      <c r="J951" s="72" cm="1">
        <f t="array" aca="1" ref="J951" ca="1">(INDIRECT(ADDRESS((_xlfn.XMATCH(Table2[[#This Row],[Team]],Schedule!$A$1:$A$33)),5,1,1,"Sched Overlap")))</f>
        <v>0.66992266992266991</v>
      </c>
      <c r="K951" s="92" cm="1">
        <f t="array" aca="1" ref="K95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51" s="95">
        <f ca="1">IF(Table2[[#This Row],[Team]]="FA",0,Table2[[#This Row],[Pts/G]]*(Table2[[#This Row],[Games Playable]]/82))</f>
        <v>9.7560975609756101E-2</v>
      </c>
      <c r="M951" s="95" cm="1">
        <f t="array" aca="1" ref="M951" ca="1">Table2[[#This Row],[Playable x Score]]*_xlfn.IFS(Table2[[#This Row],[Pos]]="D",assumptions!$B$15,Table2[[#This Row],[Pos]]="F", assumptions!$B$14,Table2[[#This Row],[Pos]]="G",assumptions!$B$16)</f>
        <v>0.12195121951219512</v>
      </c>
    </row>
    <row r="952" spans="1:13" x14ac:dyDescent="0.3">
      <c r="A952">
        <f>'score estimates'!$A952</f>
        <v>949</v>
      </c>
      <c r="B952" t="str">
        <f>'score estimates'!$B952</f>
        <v>Peter Diliberatore</v>
      </c>
      <c r="C952" t="str">
        <f>'score estimates'!$D952</f>
        <v>D</v>
      </c>
      <c r="D952" t="str">
        <f>'score estimates'!$C952</f>
        <v>VGK</v>
      </c>
      <c r="E952" s="75">
        <f>'score estimates'!$F952</f>
        <v>-1.2195121951219513E-2</v>
      </c>
      <c r="F952" s="71">
        <f>'score estimates'!$G952</f>
        <v>1065</v>
      </c>
      <c r="G952" s="71" t="s">
        <v>983</v>
      </c>
      <c r="H952" s="72" cm="1">
        <f t="array" aca="1" ref="H95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52" s="96">
        <f ca="1">IF(Table2[[#This Row],[Team]]="FA",0,Table2[[#This Row],[Pts/G]]*(1-Table2[[#This Row],[% Pos Overlap]]))</f>
        <v>-1.2195121951219513E-2</v>
      </c>
      <c r="J952" s="72" cm="1">
        <f t="array" aca="1" ref="J952" ca="1">(INDIRECT(ADDRESS((_xlfn.XMATCH(Table2[[#This Row],[Team]],Schedule!$A$1:$A$33)),5,1,1,"Sched Overlap")))</f>
        <v>0.66992266992266991</v>
      </c>
      <c r="K952" s="92" cm="1">
        <f t="array" aca="1" ref="K95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52" s="95">
        <f ca="1">IF(Table2[[#This Row],[Team]]="FA",0,Table2[[#This Row],[Pts/G]]*(Table2[[#This Row],[Games Playable]]/82))</f>
        <v>-1.2195121951219513E-2</v>
      </c>
      <c r="M952" s="95" cm="1">
        <f t="array" aca="1" ref="M952" ca="1">Table2[[#This Row],[Playable x Score]]*_xlfn.IFS(Table2[[#This Row],[Pos]]="D",assumptions!$B$15,Table2[[#This Row],[Pos]]="F", assumptions!$B$14,Table2[[#This Row],[Pos]]="G",assumptions!$B$16)</f>
        <v>-1.524390243902439E-2</v>
      </c>
    </row>
    <row r="953" spans="1:13" x14ac:dyDescent="0.3">
      <c r="A953">
        <f>'score estimates'!$A953</f>
        <v>950</v>
      </c>
      <c r="B953" t="str">
        <f>'score estimates'!$B953</f>
        <v>Logan Thompson</v>
      </c>
      <c r="C953" t="str">
        <f>'score estimates'!$D953</f>
        <v>G</v>
      </c>
      <c r="D953" t="str">
        <f>'score estimates'!$C953</f>
        <v>VGK</v>
      </c>
      <c r="E953" s="75">
        <f>'score estimates'!$F953</f>
        <v>26.073170731707318</v>
      </c>
      <c r="F953" s="71">
        <f>'score estimates'!$G953</f>
        <v>138</v>
      </c>
      <c r="G953" s="71" t="s">
        <v>983</v>
      </c>
      <c r="H953" s="72" cm="1">
        <f t="array" aca="1" ref="H95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53" s="96">
        <f ca="1">IF(Table2[[#This Row],[Team]]="FA",0,Table2[[#This Row],[Pts/G]]*(1-Table2[[#This Row],[% Pos Overlap]]))</f>
        <v>26.073170731707318</v>
      </c>
      <c r="J953" s="72" cm="1">
        <f t="array" aca="1" ref="J953" ca="1">(INDIRECT(ADDRESS((_xlfn.XMATCH(Table2[[#This Row],[Team]],Schedule!$A$1:$A$33)),5,1,1,"Sched Overlap")))</f>
        <v>0.66992266992266991</v>
      </c>
      <c r="K953" s="92" cm="1">
        <f t="array" aca="1" ref="K95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53" s="95">
        <f ca="1">IF(Table2[[#This Row],[Team]]="FA",0,Table2[[#This Row],[Pts/G]]*(Table2[[#This Row],[Games Playable]]/82))</f>
        <v>26.073170731707318</v>
      </c>
      <c r="M953" s="95" cm="1">
        <f t="array" aca="1" ref="M953" ca="1">Table2[[#This Row],[Playable x Score]]*_xlfn.IFS(Table2[[#This Row],[Pos]]="D",assumptions!$B$15,Table2[[#This Row],[Pos]]="F", assumptions!$B$14,Table2[[#This Row],[Pos]]="G",assumptions!$B$16)</f>
        <v>28.680487804878052</v>
      </c>
    </row>
    <row r="954" spans="1:13" x14ac:dyDescent="0.3">
      <c r="A954">
        <f>'score estimates'!$A954</f>
        <v>951</v>
      </c>
      <c r="B954" t="str">
        <f>'score estimates'!$B954</f>
        <v>Rafael Harvey-Pinard</v>
      </c>
      <c r="C954" t="str">
        <f>'score estimates'!$D954</f>
        <v>F</v>
      </c>
      <c r="D954" t="str">
        <f>'score estimates'!$C954</f>
        <v>MON</v>
      </c>
      <c r="E954" s="75">
        <f>'score estimates'!$F954</f>
        <v>0.12195121951219512</v>
      </c>
      <c r="F954" s="71">
        <f>'score estimates'!$G954</f>
        <v>1048</v>
      </c>
      <c r="G954" s="71" t="s">
        <v>983</v>
      </c>
      <c r="H954" s="72" cm="1">
        <f t="array" aca="1" ref="H95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54" s="96">
        <f ca="1">IF(Table2[[#This Row],[Team]]="FA",0,Table2[[#This Row],[Pts/G]]*(1-Table2[[#This Row],[% Pos Overlap]]))</f>
        <v>0.12195121951219512</v>
      </c>
      <c r="J954" s="72" cm="1">
        <f t="array" aca="1" ref="J954" ca="1">(INDIRECT(ADDRESS((_xlfn.XMATCH(Table2[[#This Row],[Team]],Schedule!$A$1:$A$33)),5,1,1,"Sched Overlap")))</f>
        <v>0.66666666666666685</v>
      </c>
      <c r="K954" s="92" cm="1">
        <f t="array" aca="1" ref="K95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54" s="95">
        <f ca="1">IF(Table2[[#This Row],[Team]]="FA",0,Table2[[#This Row],[Pts/G]]*(Table2[[#This Row],[Games Playable]]/82))</f>
        <v>0.12195121951219512</v>
      </c>
      <c r="M954" s="95" cm="1">
        <f t="array" aca="1" ref="M954" ca="1">Table2[[#This Row],[Playable x Score]]*_xlfn.IFS(Table2[[#This Row],[Pos]]="D",assumptions!$B$15,Table2[[#This Row],[Pos]]="F", assumptions!$B$14,Table2[[#This Row],[Pos]]="G",assumptions!$B$16)</f>
        <v>0.12195121951219512</v>
      </c>
    </row>
    <row r="955" spans="1:13" x14ac:dyDescent="0.3">
      <c r="A955">
        <f>'score estimates'!$A955</f>
        <v>952</v>
      </c>
      <c r="B955" t="str">
        <f>'score estimates'!$B955</f>
        <v>Karel Vejmelka</v>
      </c>
      <c r="C955" t="str">
        <f>'score estimates'!$D955</f>
        <v>G</v>
      </c>
      <c r="D955" t="str">
        <f>'score estimates'!$C955</f>
        <v>ARI</v>
      </c>
      <c r="E955" s="75">
        <f>'score estimates'!$F955</f>
        <v>18.085365853658537</v>
      </c>
      <c r="F955" s="71">
        <f>'score estimates'!$G955</f>
        <v>297</v>
      </c>
      <c r="G955" s="71" t="s">
        <v>983</v>
      </c>
      <c r="H955" s="72" cm="1">
        <f t="array" aca="1" ref="H95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55" s="96">
        <f ca="1">IF(Table2[[#This Row],[Team]]="FA",0,Table2[[#This Row],[Pts/G]]*(1-Table2[[#This Row],[% Pos Overlap]]))</f>
        <v>18.085365853658537</v>
      </c>
      <c r="J955" s="72" cm="1">
        <f t="array" aca="1" ref="J955" ca="1">(INDIRECT(ADDRESS((_xlfn.XMATCH(Table2[[#This Row],[Team]],Schedule!$A$1:$A$33)),5,1,1,"Sched Overlap")))</f>
        <v>0.63247863247863279</v>
      </c>
      <c r="K955" s="92" cm="1">
        <f t="array" aca="1" ref="K95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55" s="95">
        <f ca="1">IF(Table2[[#This Row],[Team]]="FA",0,Table2[[#This Row],[Pts/G]]*(Table2[[#This Row],[Games Playable]]/82))</f>
        <v>18.085365853658537</v>
      </c>
      <c r="M955" s="95" cm="1">
        <f t="array" aca="1" ref="M955" ca="1">Table2[[#This Row],[Playable x Score]]*_xlfn.IFS(Table2[[#This Row],[Pos]]="D",assumptions!$B$15,Table2[[#This Row],[Pos]]="F", assumptions!$B$14,Table2[[#This Row],[Pos]]="G",assumptions!$B$16)</f>
        <v>19.893902439024391</v>
      </c>
    </row>
    <row r="956" spans="1:13" x14ac:dyDescent="0.3">
      <c r="A956">
        <f>'score estimates'!$A956</f>
        <v>953</v>
      </c>
      <c r="B956" t="str">
        <f>'score estimates'!$B956</f>
        <v>Kirill Semyonov</v>
      </c>
      <c r="C956" t="str">
        <f>'score estimates'!$D956</f>
        <v>F</v>
      </c>
      <c r="D956" t="str">
        <f>'score estimates'!$C956</f>
        <v>FA</v>
      </c>
      <c r="E956" s="75">
        <f>'score estimates'!$F956</f>
        <v>-0.17073170731707318</v>
      </c>
      <c r="F956" s="71">
        <f>'score estimates'!$G956</f>
        <v>1073</v>
      </c>
      <c r="G956" s="71" t="s">
        <v>983</v>
      </c>
      <c r="H956" s="72" t="e" cm="1">
        <f t="array" aca="1" ref="H956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956" s="96">
        <f>IF(Table2[[#This Row],[Team]]="FA",0,Table2[[#This Row],[Pts/G]]*(1-Table2[[#This Row],[% Pos Overlap]]))</f>
        <v>0</v>
      </c>
      <c r="J956" s="72" t="e" cm="1">
        <f t="array" aca="1" ref="J956" ca="1">(INDIRECT(ADDRESS((_xlfn.XMATCH(Table2[[#This Row],[Team]],Schedule!$A$1:$A$33)),5,1,1,"Sched Overlap")))</f>
        <v>#N/A</v>
      </c>
      <c r="K956" s="92" t="e" cm="1">
        <f t="array" aca="1" ref="K956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956" s="95">
        <f>IF(Table2[[#This Row],[Team]]="FA",0,Table2[[#This Row],[Pts/G]]*(Table2[[#This Row],[Games Playable]]/82))</f>
        <v>0</v>
      </c>
      <c r="M956" s="95" cm="1">
        <f t="array" ref="M956">Table2[[#This Row],[Playable x Score]]*_xlfn.IFS(Table2[[#This Row],[Pos]]="D",assumptions!$B$15,Table2[[#This Row],[Pos]]="F", assumptions!$B$14,Table2[[#This Row],[Pos]]="G",assumptions!$B$16)</f>
        <v>0</v>
      </c>
    </row>
    <row r="957" spans="1:13" x14ac:dyDescent="0.3">
      <c r="A957">
        <f>'score estimates'!$A957</f>
        <v>954</v>
      </c>
      <c r="B957" t="str">
        <f>'score estimates'!$B957</f>
        <v>Arvid Soderblom</v>
      </c>
      <c r="C957" t="str">
        <f>'score estimates'!$D957</f>
        <v>G</v>
      </c>
      <c r="D957" t="str">
        <f>'score estimates'!$C957</f>
        <v>CHI</v>
      </c>
      <c r="E957" s="75">
        <f>'score estimates'!$F957</f>
        <v>-0.69512195121951215</v>
      </c>
      <c r="F957" s="71">
        <f>'score estimates'!$G957</f>
        <v>1081</v>
      </c>
      <c r="G957" s="71" t="s">
        <v>983</v>
      </c>
      <c r="H957" s="72" cm="1">
        <f t="array" aca="1" ref="H95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57" s="96">
        <f ca="1">IF(Table2[[#This Row],[Team]]="FA",0,Table2[[#This Row],[Pts/G]]*(1-Table2[[#This Row],[% Pos Overlap]]))</f>
        <v>-0.69512195121951215</v>
      </c>
      <c r="J957" s="72" cm="1">
        <f t="array" aca="1" ref="J957" ca="1">(INDIRECT(ADDRESS((_xlfn.XMATCH(Table2[[#This Row],[Team]],Schedule!$A$1:$A$33)),5,1,1,"Sched Overlap")))</f>
        <v>0.6243386243386243</v>
      </c>
      <c r="K957" s="92" cm="1">
        <f t="array" aca="1" ref="K95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57" s="95">
        <f ca="1">IF(Table2[[#This Row],[Team]]="FA",0,Table2[[#This Row],[Pts/G]]*(Table2[[#This Row],[Games Playable]]/82))</f>
        <v>-0.69512195121951215</v>
      </c>
      <c r="M957" s="95" cm="1">
        <f t="array" aca="1" ref="M957" ca="1">Table2[[#This Row],[Playable x Score]]*_xlfn.IFS(Table2[[#This Row],[Pos]]="D",assumptions!$B$15,Table2[[#This Row],[Pos]]="F", assumptions!$B$14,Table2[[#This Row],[Pos]]="G",assumptions!$B$16)</f>
        <v>-0.76463414634146343</v>
      </c>
    </row>
    <row r="958" spans="1:13" x14ac:dyDescent="0.3">
      <c r="A958">
        <f>'score estimates'!$A958</f>
        <v>955</v>
      </c>
      <c r="B958" t="str">
        <f>'score estimates'!$B958</f>
        <v>Jeff Malott</v>
      </c>
      <c r="C958" t="str">
        <f>'score estimates'!$D958</f>
        <v>F</v>
      </c>
      <c r="D958" t="str">
        <f>'score estimates'!$C958</f>
        <v>WPG</v>
      </c>
      <c r="E958" s="75">
        <f>'score estimates'!$F958</f>
        <v>0.21951219512195122</v>
      </c>
      <c r="F958" s="71">
        <f>'score estimates'!$G958</f>
        <v>1040</v>
      </c>
      <c r="G958" s="71" t="s">
        <v>983</v>
      </c>
      <c r="H958" s="72" cm="1">
        <f t="array" aca="1" ref="H95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58" s="96">
        <f ca="1">IF(Table2[[#This Row],[Team]]="FA",0,Table2[[#This Row],[Pts/G]]*(1-Table2[[#This Row],[% Pos Overlap]]))</f>
        <v>0.21951219512195122</v>
      </c>
      <c r="J958" s="72" cm="1">
        <f t="array" aca="1" ref="J958" ca="1">(INDIRECT(ADDRESS((_xlfn.XMATCH(Table2[[#This Row],[Team]],Schedule!$A$1:$A$33)),5,1,1,"Sched Overlap")))</f>
        <v>0.61212861212861214</v>
      </c>
      <c r="K958" s="92" cm="1">
        <f t="array" aca="1" ref="K95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58" s="95">
        <f ca="1">IF(Table2[[#This Row],[Team]]="FA",0,Table2[[#This Row],[Pts/G]]*(Table2[[#This Row],[Games Playable]]/82))</f>
        <v>0.21951219512195122</v>
      </c>
      <c r="M958" s="95" cm="1">
        <f t="array" aca="1" ref="M958" ca="1">Table2[[#This Row],[Playable x Score]]*_xlfn.IFS(Table2[[#This Row],[Pos]]="D",assumptions!$B$15,Table2[[#This Row],[Pos]]="F", assumptions!$B$14,Table2[[#This Row],[Pos]]="G",assumptions!$B$16)</f>
        <v>0.21951219512195122</v>
      </c>
    </row>
    <row r="959" spans="1:13" x14ac:dyDescent="0.3">
      <c r="A959">
        <f>'score estimates'!$A959</f>
        <v>956</v>
      </c>
      <c r="B959" t="str">
        <f>'score estimates'!$B959</f>
        <v>Bryce Kindopp</v>
      </c>
      <c r="C959" t="str">
        <f>'score estimates'!$D959</f>
        <v>F</v>
      </c>
      <c r="D959" t="str">
        <f>'score estimates'!$C959</f>
        <v>ANH</v>
      </c>
      <c r="E959" s="75">
        <f>'score estimates'!$F959</f>
        <v>-0.65853658536585369</v>
      </c>
      <c r="F959" s="71">
        <f>'score estimates'!$G959</f>
        <v>1080</v>
      </c>
      <c r="G959" s="71" t="s">
        <v>983</v>
      </c>
      <c r="H959" s="72" cm="1">
        <f t="array" aca="1" ref="H95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59" s="96">
        <f ca="1">IF(Table2[[#This Row],[Team]]="FA",0,Table2[[#This Row],[Pts/G]]*(1-Table2[[#This Row],[% Pos Overlap]]))</f>
        <v>-0.65853658536585369</v>
      </c>
      <c r="J959" s="72" cm="1">
        <f t="array" aca="1" ref="J959" ca="1">(INDIRECT(ADDRESS((_xlfn.XMATCH(Table2[[#This Row],[Team]],Schedule!$A$1:$A$33)),5,1,1,"Sched Overlap")))</f>
        <v>0.56410256410256399</v>
      </c>
      <c r="K959" s="92" cm="1">
        <f t="array" aca="1" ref="K95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59" s="95">
        <f ca="1">IF(Table2[[#This Row],[Team]]="FA",0,Table2[[#This Row],[Pts/G]]*(Table2[[#This Row],[Games Playable]]/82))</f>
        <v>-0.65853658536585369</v>
      </c>
      <c r="M959" s="95" cm="1">
        <f t="array" aca="1" ref="M959" ca="1">Table2[[#This Row],[Playable x Score]]*_xlfn.IFS(Table2[[#This Row],[Pos]]="D",assumptions!$B$15,Table2[[#This Row],[Pos]]="F", assumptions!$B$14,Table2[[#This Row],[Pos]]="G",assumptions!$B$16)</f>
        <v>-0.65853658536585369</v>
      </c>
    </row>
    <row r="960" spans="1:13" x14ac:dyDescent="0.3">
      <c r="A960">
        <f>'score estimates'!$A960</f>
        <v>957</v>
      </c>
      <c r="B960" t="str">
        <f>'score estimates'!$B960</f>
        <v>Hunter Drew</v>
      </c>
      <c r="C960" t="str">
        <f>'score estimates'!$D960</f>
        <v>D</v>
      </c>
      <c r="D960" t="str">
        <f>'score estimates'!$C960</f>
        <v>ANH</v>
      </c>
      <c r="E960" s="75">
        <f>'score estimates'!$F960</f>
        <v>0</v>
      </c>
      <c r="F960" s="71">
        <f>'score estimates'!$G960</f>
        <v>1061</v>
      </c>
      <c r="G960" s="71" t="s">
        <v>983</v>
      </c>
      <c r="H960" s="72" cm="1">
        <f t="array" aca="1" ref="H96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60" s="96">
        <f ca="1">IF(Table2[[#This Row],[Team]]="FA",0,Table2[[#This Row],[Pts/G]]*(1-Table2[[#This Row],[% Pos Overlap]]))</f>
        <v>0</v>
      </c>
      <c r="J960" s="72" cm="1">
        <f t="array" aca="1" ref="J960" ca="1">(INDIRECT(ADDRESS((_xlfn.XMATCH(Table2[[#This Row],[Team]],Schedule!$A$1:$A$33)),5,1,1,"Sched Overlap")))</f>
        <v>0.56410256410256399</v>
      </c>
      <c r="K960" s="92" cm="1">
        <f t="array" aca="1" ref="K96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60" s="95">
        <f ca="1">IF(Table2[[#This Row],[Team]]="FA",0,Table2[[#This Row],[Pts/G]]*(Table2[[#This Row],[Games Playable]]/82))</f>
        <v>0</v>
      </c>
      <c r="M960" s="95" cm="1">
        <f t="array" aca="1" ref="M960" ca="1">Table2[[#This Row],[Playable x Score]]*_xlfn.IFS(Table2[[#This Row],[Pos]]="D",assumptions!$B$15,Table2[[#This Row],[Pos]]="F", assumptions!$B$14,Table2[[#This Row],[Pos]]="G",assumptions!$B$16)</f>
        <v>0</v>
      </c>
    </row>
    <row r="961" spans="1:13" x14ac:dyDescent="0.3">
      <c r="A961">
        <f>'score estimates'!$A961</f>
        <v>958</v>
      </c>
      <c r="B961" t="str">
        <f>'score estimates'!$B961</f>
        <v>Nico Daws</v>
      </c>
      <c r="C961" t="str">
        <f>'score estimates'!$D961</f>
        <v>G</v>
      </c>
      <c r="D961" t="str">
        <f>'score estimates'!$C961</f>
        <v>NJ</v>
      </c>
      <c r="E961" s="75">
        <f>'score estimates'!$F961</f>
        <v>2.7195121951219514</v>
      </c>
      <c r="F961" s="71">
        <f>'score estimates'!$G961</f>
        <v>813</v>
      </c>
      <c r="G961" s="71" t="s">
        <v>983</v>
      </c>
      <c r="H961" s="72" cm="1">
        <f t="array" aca="1" ref="H96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61" s="96">
        <f ca="1">IF(Table2[[#This Row],[Team]]="FA",0,Table2[[#This Row],[Pts/G]]*(1-Table2[[#This Row],[% Pos Overlap]]))</f>
        <v>2.7195121951219514</v>
      </c>
      <c r="J961" s="72" cm="1">
        <f t="array" aca="1" ref="J961" ca="1">(INDIRECT(ADDRESS((_xlfn.XMATCH(Table2[[#This Row],[Team]],Schedule!$A$1:$A$33)),5,1,1,"Sched Overlap")))</f>
        <v>0.66259666259666272</v>
      </c>
      <c r="K961" s="92" cm="1">
        <f t="array" aca="1" ref="K96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61" s="95">
        <f ca="1">IF(Table2[[#This Row],[Team]]="FA",0,Table2[[#This Row],[Pts/G]]*(Table2[[#This Row],[Games Playable]]/82))</f>
        <v>2.7195121951219514</v>
      </c>
      <c r="M961" s="95" cm="1">
        <f t="array" aca="1" ref="M961" ca="1">Table2[[#This Row],[Playable x Score]]*_xlfn.IFS(Table2[[#This Row],[Pos]]="D",assumptions!$B$15,Table2[[#This Row],[Pos]]="F", assumptions!$B$14,Table2[[#This Row],[Pos]]="G",assumptions!$B$16)</f>
        <v>2.991463414634147</v>
      </c>
    </row>
    <row r="962" spans="1:13" x14ac:dyDescent="0.3">
      <c r="A962">
        <f>'score estimates'!$A962</f>
        <v>959</v>
      </c>
      <c r="B962" t="str">
        <f>'score estimates'!$B962</f>
        <v>Mitchell Chaffee</v>
      </c>
      <c r="C962" t="str">
        <f>'score estimates'!$D962</f>
        <v>F</v>
      </c>
      <c r="D962" t="str">
        <f>'score estimates'!$C962</f>
        <v>MIN</v>
      </c>
      <c r="E962" s="75">
        <f>'score estimates'!$F962</f>
        <v>0.18292682926829268</v>
      </c>
      <c r="F962" s="71">
        <f>'score estimates'!$G962</f>
        <v>1043</v>
      </c>
      <c r="G962" s="71" t="s">
        <v>983</v>
      </c>
      <c r="H962" s="72" cm="1">
        <f t="array" aca="1" ref="H96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62" s="96">
        <f ca="1">IF(Table2[[#This Row],[Team]]="FA",0,Table2[[#This Row],[Pts/G]]*(1-Table2[[#This Row],[% Pos Overlap]]))</f>
        <v>0.18292682926829268</v>
      </c>
      <c r="J962" s="72" cm="1">
        <f t="array" aca="1" ref="J962" ca="1">(INDIRECT(ADDRESS((_xlfn.XMATCH(Table2[[#This Row],[Team]],Schedule!$A$1:$A$33)),5,1,1,"Sched Overlap")))</f>
        <v>0.62108262108262113</v>
      </c>
      <c r="K962" s="92" cm="1">
        <f t="array" aca="1" ref="K96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62" s="95">
        <f ca="1">IF(Table2[[#This Row],[Team]]="FA",0,Table2[[#This Row],[Pts/G]]*(Table2[[#This Row],[Games Playable]]/82))</f>
        <v>0.18292682926829268</v>
      </c>
      <c r="M962" s="95" cm="1">
        <f t="array" aca="1" ref="M962" ca="1">Table2[[#This Row],[Playable x Score]]*_xlfn.IFS(Table2[[#This Row],[Pos]]="D",assumptions!$B$15,Table2[[#This Row],[Pos]]="F", assumptions!$B$14,Table2[[#This Row],[Pos]]="G",assumptions!$B$16)</f>
        <v>0.18292682926829268</v>
      </c>
    </row>
    <row r="963" spans="1:13" x14ac:dyDescent="0.3">
      <c r="A963">
        <f>'score estimates'!$A963</f>
        <v>960</v>
      </c>
      <c r="B963" t="str">
        <f>'score estimates'!$B963</f>
        <v>Jacob Perreault</v>
      </c>
      <c r="C963" t="str">
        <f>'score estimates'!$D963</f>
        <v>F</v>
      </c>
      <c r="D963" t="str">
        <f>'score estimates'!$C963</f>
        <v>ANH</v>
      </c>
      <c r="E963" s="75">
        <f>'score estimates'!$F963</f>
        <v>-0.62195121951219512</v>
      </c>
      <c r="F963" s="71">
        <f>'score estimates'!$G963</f>
        <v>1079</v>
      </c>
      <c r="G963" s="71" t="s">
        <v>983</v>
      </c>
      <c r="H963" s="72" cm="1">
        <f t="array" aca="1" ref="H96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63" s="96">
        <f ca="1">IF(Table2[[#This Row],[Team]]="FA",0,Table2[[#This Row],[Pts/G]]*(1-Table2[[#This Row],[% Pos Overlap]]))</f>
        <v>-0.62195121951219512</v>
      </c>
      <c r="J963" s="72" cm="1">
        <f t="array" aca="1" ref="J963" ca="1">(INDIRECT(ADDRESS((_xlfn.XMATCH(Table2[[#This Row],[Team]],Schedule!$A$1:$A$33)),5,1,1,"Sched Overlap")))</f>
        <v>0.56410256410256399</v>
      </c>
      <c r="K963" s="92" cm="1">
        <f t="array" aca="1" ref="K96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63" s="95">
        <f ca="1">IF(Table2[[#This Row],[Team]]="FA",0,Table2[[#This Row],[Pts/G]]*(Table2[[#This Row],[Games Playable]]/82))</f>
        <v>-0.62195121951219512</v>
      </c>
      <c r="M963" s="95" cm="1">
        <f t="array" aca="1" ref="M963" ca="1">Table2[[#This Row],[Playable x Score]]*_xlfn.IFS(Table2[[#This Row],[Pos]]="D",assumptions!$B$15,Table2[[#This Row],[Pos]]="F", assumptions!$B$14,Table2[[#This Row],[Pos]]="G",assumptions!$B$16)</f>
        <v>-0.62195121951219512</v>
      </c>
    </row>
    <row r="964" spans="1:13" x14ac:dyDescent="0.3">
      <c r="A964">
        <f>'score estimates'!$A964</f>
        <v>961</v>
      </c>
      <c r="B964" t="str">
        <f>'score estimates'!$B964</f>
        <v>Tyce Thompson</v>
      </c>
      <c r="C964" t="str">
        <f>'score estimates'!$D964</f>
        <v>F</v>
      </c>
      <c r="D964" t="str">
        <f>'score estimates'!$C964</f>
        <v>NJ</v>
      </c>
      <c r="E964" s="75">
        <f>'score estimates'!$F964</f>
        <v>4.878048780487805E-2</v>
      </c>
      <c r="F964" s="71">
        <f>'score estimates'!$G964</f>
        <v>1055</v>
      </c>
      <c r="G964" s="71" t="s">
        <v>983</v>
      </c>
      <c r="H964" s="72" cm="1">
        <f t="array" aca="1" ref="H96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64" s="96">
        <f ca="1">IF(Table2[[#This Row],[Team]]="FA",0,Table2[[#This Row],[Pts/G]]*(1-Table2[[#This Row],[% Pos Overlap]]))</f>
        <v>4.878048780487805E-2</v>
      </c>
      <c r="J964" s="72" cm="1">
        <f t="array" aca="1" ref="J964" ca="1">(INDIRECT(ADDRESS((_xlfn.XMATCH(Table2[[#This Row],[Team]],Schedule!$A$1:$A$33)),5,1,1,"Sched Overlap")))</f>
        <v>0.66259666259666272</v>
      </c>
      <c r="K964" s="92" cm="1">
        <f t="array" aca="1" ref="K96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64" s="95">
        <f ca="1">IF(Table2[[#This Row],[Team]]="FA",0,Table2[[#This Row],[Pts/G]]*(Table2[[#This Row],[Games Playable]]/82))</f>
        <v>4.878048780487805E-2</v>
      </c>
      <c r="M964" s="95" cm="1">
        <f t="array" aca="1" ref="M964" ca="1">Table2[[#This Row],[Playable x Score]]*_xlfn.IFS(Table2[[#This Row],[Pos]]="D",assumptions!$B$15,Table2[[#This Row],[Pos]]="F", assumptions!$B$14,Table2[[#This Row],[Pos]]="G",assumptions!$B$16)</f>
        <v>4.878048780487805E-2</v>
      </c>
    </row>
    <row r="965" spans="1:13" x14ac:dyDescent="0.3">
      <c r="A965">
        <f>'score estimates'!$A965</f>
        <v>962</v>
      </c>
      <c r="B965" t="str">
        <f>'score estimates'!$B965</f>
        <v>Jon Lizotte</v>
      </c>
      <c r="C965" t="str">
        <f>'score estimates'!$D965</f>
        <v>D</v>
      </c>
      <c r="D965" t="str">
        <f>'score estimates'!$C965</f>
        <v>PIT</v>
      </c>
      <c r="E965" s="75">
        <f>'score estimates'!$F965</f>
        <v>0.23170731707317074</v>
      </c>
      <c r="F965" s="71">
        <f>'score estimates'!$G965</f>
        <v>1038</v>
      </c>
      <c r="G965" s="71" t="s">
        <v>983</v>
      </c>
      <c r="H965" s="72" cm="1">
        <f t="array" aca="1" ref="H96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65" s="96">
        <f ca="1">IF(Table2[[#This Row],[Team]]="FA",0,Table2[[#This Row],[Pts/G]]*(1-Table2[[#This Row],[% Pos Overlap]]))</f>
        <v>0.23170731707317074</v>
      </c>
      <c r="J965" s="72" cm="1">
        <f t="array" aca="1" ref="J965" ca="1">(INDIRECT(ADDRESS((_xlfn.XMATCH(Table2[[#This Row],[Team]],Schedule!$A$1:$A$33)),5,1,1,"Sched Overlap")))</f>
        <v>0.63492063492063477</v>
      </c>
      <c r="K965" s="92" cm="1">
        <f t="array" aca="1" ref="K96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65" s="95">
        <f ca="1">IF(Table2[[#This Row],[Team]]="FA",0,Table2[[#This Row],[Pts/G]]*(Table2[[#This Row],[Games Playable]]/82))</f>
        <v>0.23170731707317074</v>
      </c>
      <c r="M965" s="95" cm="1">
        <f t="array" aca="1" ref="M965" ca="1">Table2[[#This Row],[Playable x Score]]*_xlfn.IFS(Table2[[#This Row],[Pos]]="D",assumptions!$B$15,Table2[[#This Row],[Pos]]="F", assumptions!$B$14,Table2[[#This Row],[Pos]]="G",assumptions!$B$16)</f>
        <v>0.28963414634146345</v>
      </c>
    </row>
    <row r="966" spans="1:13" x14ac:dyDescent="0.3">
      <c r="A966">
        <f>'score estimates'!$A966</f>
        <v>963</v>
      </c>
      <c r="B966" t="str">
        <f>'score estimates'!$B966</f>
        <v>Erik Kallgren</v>
      </c>
      <c r="C966" t="str">
        <f>'score estimates'!$D966</f>
        <v>G</v>
      </c>
      <c r="D966" t="str">
        <f>'score estimates'!$C966</f>
        <v>TOR</v>
      </c>
      <c r="E966" s="75">
        <f>'score estimates'!$F966</f>
        <v>1.3902439024390243</v>
      </c>
      <c r="F966" s="71">
        <f>'score estimates'!$G966</f>
        <v>891</v>
      </c>
      <c r="G966" s="71" t="s">
        <v>983</v>
      </c>
      <c r="H966" s="72" cm="1">
        <f t="array" aca="1" ref="H96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66" s="96">
        <f ca="1">IF(Table2[[#This Row],[Team]]="FA",0,Table2[[#This Row],[Pts/G]]*(1-Table2[[#This Row],[% Pos Overlap]]))</f>
        <v>1.3902439024390243</v>
      </c>
      <c r="J966" s="72" cm="1">
        <f t="array" aca="1" ref="J966" ca="1">(INDIRECT(ADDRESS((_xlfn.XMATCH(Table2[[#This Row],[Team]],Schedule!$A$1:$A$33)),5,1,1,"Sched Overlap")))</f>
        <v>0.62922262922262928</v>
      </c>
      <c r="K966" s="92" cm="1">
        <f t="array" aca="1" ref="K96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66" s="95">
        <f ca="1">IF(Table2[[#This Row],[Team]]="FA",0,Table2[[#This Row],[Pts/G]]*(Table2[[#This Row],[Games Playable]]/82))</f>
        <v>1.3902439024390243</v>
      </c>
      <c r="M966" s="95" cm="1">
        <f t="array" aca="1" ref="M966" ca="1">Table2[[#This Row],[Playable x Score]]*_xlfn.IFS(Table2[[#This Row],[Pos]]="D",assumptions!$B$15,Table2[[#This Row],[Pos]]="F", assumptions!$B$14,Table2[[#This Row],[Pos]]="G",assumptions!$B$16)</f>
        <v>1.5292682926829269</v>
      </c>
    </row>
    <row r="967" spans="1:13" x14ac:dyDescent="0.3">
      <c r="A967">
        <f>'score estimates'!$A967</f>
        <v>964</v>
      </c>
      <c r="B967" t="str">
        <f>'score estimates'!$B967</f>
        <v>Spencer Knight</v>
      </c>
      <c r="C967" t="str">
        <f>'score estimates'!$D967</f>
        <v>G</v>
      </c>
      <c r="D967" t="str">
        <f>'score estimates'!$C967</f>
        <v>FLA</v>
      </c>
      <c r="E967" s="75">
        <f>'score estimates'!$F967</f>
        <v>15</v>
      </c>
      <c r="F967" s="71">
        <f>'score estimates'!$G967</f>
        <v>389</v>
      </c>
      <c r="G967" s="71" t="s">
        <v>983</v>
      </c>
      <c r="H967" s="72" cm="1">
        <f t="array" aca="1" ref="H96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67" s="96">
        <f ca="1">IF(Table2[[#This Row],[Team]]="FA",0,Table2[[#This Row],[Pts/G]]*(1-Table2[[#This Row],[% Pos Overlap]]))</f>
        <v>15</v>
      </c>
      <c r="J967" s="72" cm="1">
        <f t="array" aca="1" ref="J967" ca="1">(INDIRECT(ADDRESS((_xlfn.XMATCH(Table2[[#This Row],[Team]],Schedule!$A$1:$A$33)),5,1,1,"Sched Overlap")))</f>
        <v>0.64387464387464377</v>
      </c>
      <c r="K967" s="92" cm="1">
        <f t="array" aca="1" ref="K96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67" s="95">
        <f ca="1">IF(Table2[[#This Row],[Team]]="FA",0,Table2[[#This Row],[Pts/G]]*(Table2[[#This Row],[Games Playable]]/82))</f>
        <v>15</v>
      </c>
      <c r="M967" s="95" cm="1">
        <f t="array" aca="1" ref="M967" ca="1">Table2[[#This Row],[Playable x Score]]*_xlfn.IFS(Table2[[#This Row],[Pos]]="D",assumptions!$B$15,Table2[[#This Row],[Pos]]="F", assumptions!$B$14,Table2[[#This Row],[Pos]]="G",assumptions!$B$16)</f>
        <v>16.5</v>
      </c>
    </row>
    <row r="968" spans="1:13" x14ac:dyDescent="0.3">
      <c r="A968">
        <f>'score estimates'!$A968</f>
        <v>965</v>
      </c>
      <c r="B968" t="str">
        <f>'score estimates'!$B968</f>
        <v>Mads Sogaard</v>
      </c>
      <c r="C968" t="str">
        <f>'score estimates'!$D968</f>
        <v>G</v>
      </c>
      <c r="D968" t="str">
        <f>'score estimates'!$C968</f>
        <v>OTT</v>
      </c>
      <c r="E968" s="75">
        <f>'score estimates'!$F968</f>
        <v>0.54878048780487809</v>
      </c>
      <c r="F968" s="71">
        <f>'score estimates'!$G968</f>
        <v>998</v>
      </c>
      <c r="G968" s="71" t="s">
        <v>983</v>
      </c>
      <c r="H968" s="72" cm="1">
        <f t="array" aca="1" ref="H96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68" s="96">
        <f ca="1">IF(Table2[[#This Row],[Team]]="FA",0,Table2[[#This Row],[Pts/G]]*(1-Table2[[#This Row],[% Pos Overlap]]))</f>
        <v>0.54878048780487809</v>
      </c>
      <c r="J968" s="72" cm="1">
        <f t="array" aca="1" ref="J968" ca="1">(INDIRECT(ADDRESS((_xlfn.XMATCH(Table2[[#This Row],[Team]],Schedule!$A$1:$A$33)),5,1,1,"Sched Overlap")))</f>
        <v>0.64306064306064303</v>
      </c>
      <c r="K968" s="92" cm="1">
        <f t="array" aca="1" ref="K96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68" s="95">
        <f ca="1">IF(Table2[[#This Row],[Team]]="FA",0,Table2[[#This Row],[Pts/G]]*(Table2[[#This Row],[Games Playable]]/82))</f>
        <v>0.54878048780487809</v>
      </c>
      <c r="M968" s="95" cm="1">
        <f t="array" aca="1" ref="M968" ca="1">Table2[[#This Row],[Playable x Score]]*_xlfn.IFS(Table2[[#This Row],[Pos]]="D",assumptions!$B$15,Table2[[#This Row],[Pos]]="F", assumptions!$B$14,Table2[[#This Row],[Pos]]="G",assumptions!$B$16)</f>
        <v>0.60365853658536595</v>
      </c>
    </row>
    <row r="969" spans="1:13" x14ac:dyDescent="0.3">
      <c r="A969">
        <f>'score estimates'!$A969</f>
        <v>966</v>
      </c>
      <c r="B969" t="str">
        <f>'score estimates'!$B969</f>
        <v>Pyotr Kochetkov</v>
      </c>
      <c r="C969" t="str">
        <f>'score estimates'!$D969</f>
        <v>G</v>
      </c>
      <c r="D969" t="str">
        <f>'score estimates'!$C969</f>
        <v>CAR</v>
      </c>
      <c r="E969" s="75">
        <f>'score estimates'!$F969</f>
        <v>2.0609756097560976</v>
      </c>
      <c r="F969" s="71">
        <f>'score estimates'!$G969</f>
        <v>849</v>
      </c>
      <c r="G969" s="71" t="s">
        <v>983</v>
      </c>
      <c r="H969" s="72" cm="1">
        <f t="array" aca="1" ref="H96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69" s="96">
        <f ca="1">IF(Table2[[#This Row],[Team]]="FA",0,Table2[[#This Row],[Pts/G]]*(1-Table2[[#This Row],[% Pos Overlap]]))</f>
        <v>2.0609756097560976</v>
      </c>
      <c r="J969" s="72" cm="1">
        <f t="array" aca="1" ref="J969" ca="1">(INDIRECT(ADDRESS((_xlfn.XMATCH(Table2[[#This Row],[Team]],Schedule!$A$1:$A$33)),5,1,1,"Sched Overlap")))</f>
        <v>0.63247863247863245</v>
      </c>
      <c r="K969" s="92" cm="1">
        <f t="array" aca="1" ref="K96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69" s="95">
        <f ca="1">IF(Table2[[#This Row],[Team]]="FA",0,Table2[[#This Row],[Pts/G]]*(Table2[[#This Row],[Games Playable]]/82))</f>
        <v>2.0609756097560976</v>
      </c>
      <c r="M969" s="95" cm="1">
        <f t="array" aca="1" ref="M969" ca="1">Table2[[#This Row],[Playable x Score]]*_xlfn.IFS(Table2[[#This Row],[Pos]]="D",assumptions!$B$15,Table2[[#This Row],[Pos]]="F", assumptions!$B$14,Table2[[#This Row],[Pos]]="G",assumptions!$B$16)</f>
        <v>2.2670731707317078</v>
      </c>
    </row>
    <row r="970" spans="1:13" x14ac:dyDescent="0.3">
      <c r="A970">
        <f>'score estimates'!$A970</f>
        <v>967</v>
      </c>
      <c r="B970" t="str">
        <f>'score estimates'!$B970</f>
        <v>Alex Turcotte</v>
      </c>
      <c r="C970" t="str">
        <f>'score estimates'!$D970</f>
        <v>F</v>
      </c>
      <c r="D970" t="str">
        <f>'score estimates'!$C970</f>
        <v>LA</v>
      </c>
      <c r="E970" s="75">
        <f>'score estimates'!$F970</f>
        <v>0.29268292682926828</v>
      </c>
      <c r="F970" s="71">
        <f>'score estimates'!$G970</f>
        <v>1029</v>
      </c>
      <c r="G970" s="71" t="s">
        <v>983</v>
      </c>
      <c r="H970" s="72" cm="1">
        <f t="array" aca="1" ref="H97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70" s="96">
        <f ca="1">IF(Table2[[#This Row],[Team]]="FA",0,Table2[[#This Row],[Pts/G]]*(1-Table2[[#This Row],[% Pos Overlap]]))</f>
        <v>0.29268292682926828</v>
      </c>
      <c r="J970" s="72" cm="1">
        <f t="array" aca="1" ref="J970" ca="1">(INDIRECT(ADDRESS((_xlfn.XMATCH(Table2[[#This Row],[Team]],Schedule!$A$1:$A$33)),5,1,1,"Sched Overlap")))</f>
        <v>0.65201465201465225</v>
      </c>
      <c r="K970" s="92" cm="1">
        <f t="array" aca="1" ref="K97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70" s="95">
        <f ca="1">IF(Table2[[#This Row],[Team]]="FA",0,Table2[[#This Row],[Pts/G]]*(Table2[[#This Row],[Games Playable]]/82))</f>
        <v>0.29268292682926828</v>
      </c>
      <c r="M970" s="95" cm="1">
        <f t="array" aca="1" ref="M970" ca="1">Table2[[#This Row],[Playable x Score]]*_xlfn.IFS(Table2[[#This Row],[Pos]]="D",assumptions!$B$15,Table2[[#This Row],[Pos]]="F", assumptions!$B$14,Table2[[#This Row],[Pos]]="G",assumptions!$B$16)</f>
        <v>0.29268292682926828</v>
      </c>
    </row>
    <row r="971" spans="1:13" x14ac:dyDescent="0.3">
      <c r="A971">
        <f>'score estimates'!$A971</f>
        <v>968</v>
      </c>
      <c r="B971" t="str">
        <f>'score estimates'!$B971</f>
        <v>Alex Belzile</v>
      </c>
      <c r="C971" t="str">
        <f>'score estimates'!$D971</f>
        <v>F</v>
      </c>
      <c r="D971" t="str">
        <f>'score estimates'!$C971</f>
        <v>MON</v>
      </c>
      <c r="E971" s="75">
        <f>'score estimates'!$F971</f>
        <v>0.24390243902439024</v>
      </c>
      <c r="F971" s="71">
        <f>'score estimates'!$G971</f>
        <v>1035</v>
      </c>
      <c r="G971" s="71" t="s">
        <v>983</v>
      </c>
      <c r="H971" s="72" cm="1">
        <f t="array" aca="1" ref="H97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71" s="96">
        <f ca="1">IF(Table2[[#This Row],[Team]]="FA",0,Table2[[#This Row],[Pts/G]]*(1-Table2[[#This Row],[% Pos Overlap]]))</f>
        <v>0.24390243902439024</v>
      </c>
      <c r="J971" s="72" cm="1">
        <f t="array" aca="1" ref="J971" ca="1">(INDIRECT(ADDRESS((_xlfn.XMATCH(Table2[[#This Row],[Team]],Schedule!$A$1:$A$33)),5,1,1,"Sched Overlap")))</f>
        <v>0.66666666666666685</v>
      </c>
      <c r="K971" s="92" cm="1">
        <f t="array" aca="1" ref="K97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71" s="95">
        <f ca="1">IF(Table2[[#This Row],[Team]]="FA",0,Table2[[#This Row],[Pts/G]]*(Table2[[#This Row],[Games Playable]]/82))</f>
        <v>0.24390243902439024</v>
      </c>
      <c r="M971" s="95" cm="1">
        <f t="array" aca="1" ref="M971" ca="1">Table2[[#This Row],[Playable x Score]]*_xlfn.IFS(Table2[[#This Row],[Pos]]="D",assumptions!$B$15,Table2[[#This Row],[Pos]]="F", assumptions!$B$14,Table2[[#This Row],[Pos]]="G",assumptions!$B$16)</f>
        <v>0.24390243902439024</v>
      </c>
    </row>
    <row r="972" spans="1:13" x14ac:dyDescent="0.3">
      <c r="A972">
        <f>'score estimates'!$A972</f>
        <v>969</v>
      </c>
      <c r="B972" t="str">
        <f>'score estimates'!$B972</f>
        <v>Brayden Tracey</v>
      </c>
      <c r="C972" t="str">
        <f>'score estimates'!$D972</f>
        <v>F</v>
      </c>
      <c r="D972" t="str">
        <f>'score estimates'!$C972</f>
        <v>ANH</v>
      </c>
      <c r="E972" s="75">
        <f>'score estimates'!$F972</f>
        <v>-0.80487804878048785</v>
      </c>
      <c r="F972" s="71">
        <f>'score estimates'!$G972</f>
        <v>1082</v>
      </c>
      <c r="G972" s="71" t="s">
        <v>983</v>
      </c>
      <c r="H972" s="72" cm="1">
        <f t="array" aca="1" ref="H97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72" s="96">
        <f ca="1">IF(Table2[[#This Row],[Team]]="FA",0,Table2[[#This Row],[Pts/G]]*(1-Table2[[#This Row],[% Pos Overlap]]))</f>
        <v>-0.80487804878048785</v>
      </c>
      <c r="J972" s="72" cm="1">
        <f t="array" aca="1" ref="J972" ca="1">(INDIRECT(ADDRESS((_xlfn.XMATCH(Table2[[#This Row],[Team]],Schedule!$A$1:$A$33)),5,1,1,"Sched Overlap")))</f>
        <v>0.56410256410256399</v>
      </c>
      <c r="K972" s="92" cm="1">
        <f t="array" aca="1" ref="K97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72" s="95">
        <f ca="1">IF(Table2[[#This Row],[Team]]="FA",0,Table2[[#This Row],[Pts/G]]*(Table2[[#This Row],[Games Playable]]/82))</f>
        <v>-0.80487804878048785</v>
      </c>
      <c r="M972" s="95" cm="1">
        <f t="array" aca="1" ref="M972" ca="1">Table2[[#This Row],[Playable x Score]]*_xlfn.IFS(Table2[[#This Row],[Pos]]="D",assumptions!$B$15,Table2[[#This Row],[Pos]]="F", assumptions!$B$14,Table2[[#This Row],[Pos]]="G",assumptions!$B$16)</f>
        <v>-0.80487804878048785</v>
      </c>
    </row>
    <row r="973" spans="1:13" x14ac:dyDescent="0.3">
      <c r="A973">
        <f>'score estimates'!$A973</f>
        <v>970</v>
      </c>
      <c r="B973" t="str">
        <f>'score estimates'!$B973</f>
        <v>Ivan Prosvetov</v>
      </c>
      <c r="C973" t="str">
        <f>'score estimates'!$D973</f>
        <v>G</v>
      </c>
      <c r="D973" t="str">
        <f>'score estimates'!$C973</f>
        <v>ARI</v>
      </c>
      <c r="E973" s="75">
        <f>'score estimates'!$F973</f>
        <v>4.878048780487805E-2</v>
      </c>
      <c r="F973" s="71">
        <f>'score estimates'!$G973</f>
        <v>1055</v>
      </c>
      <c r="G973" s="71" t="s">
        <v>983</v>
      </c>
      <c r="H973" s="72" cm="1">
        <f t="array" aca="1" ref="H97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73" s="96">
        <f ca="1">IF(Table2[[#This Row],[Team]]="FA",0,Table2[[#This Row],[Pts/G]]*(1-Table2[[#This Row],[% Pos Overlap]]))</f>
        <v>4.878048780487805E-2</v>
      </c>
      <c r="J973" s="72" cm="1">
        <f t="array" aca="1" ref="J973" ca="1">(INDIRECT(ADDRESS((_xlfn.XMATCH(Table2[[#This Row],[Team]],Schedule!$A$1:$A$33)),5,1,1,"Sched Overlap")))</f>
        <v>0.63247863247863279</v>
      </c>
      <c r="K973" s="92" cm="1">
        <f t="array" aca="1" ref="K97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73" s="95">
        <f ca="1">IF(Table2[[#This Row],[Team]]="FA",0,Table2[[#This Row],[Pts/G]]*(Table2[[#This Row],[Games Playable]]/82))</f>
        <v>4.878048780487805E-2</v>
      </c>
      <c r="M973" s="95" cm="1">
        <f t="array" aca="1" ref="M973" ca="1">Table2[[#This Row],[Playable x Score]]*_xlfn.IFS(Table2[[#This Row],[Pos]]="D",assumptions!$B$15,Table2[[#This Row],[Pos]]="F", assumptions!$B$14,Table2[[#This Row],[Pos]]="G",assumptions!$B$16)</f>
        <v>5.365853658536586E-2</v>
      </c>
    </row>
    <row r="974" spans="1:13" x14ac:dyDescent="0.3">
      <c r="A974">
        <f>'score estimates'!$A974</f>
        <v>971</v>
      </c>
      <c r="B974" t="str">
        <f>'score estimates'!$B974</f>
        <v>Kaedan Korczak</v>
      </c>
      <c r="C974" t="str">
        <f>'score estimates'!$D974</f>
        <v>D</v>
      </c>
      <c r="D974" t="str">
        <f>'score estimates'!$C974</f>
        <v>VGK</v>
      </c>
      <c r="E974" s="75">
        <f>'score estimates'!$F974</f>
        <v>7.3170731707317069E-2</v>
      </c>
      <c r="F974" s="71">
        <f>'score estimates'!$G974</f>
        <v>1052</v>
      </c>
      <c r="G974" s="71" t="s">
        <v>983</v>
      </c>
      <c r="H974" s="72" cm="1">
        <f t="array" aca="1" ref="H97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74" s="96">
        <f ca="1">IF(Table2[[#This Row],[Team]]="FA",0,Table2[[#This Row],[Pts/G]]*(1-Table2[[#This Row],[% Pos Overlap]]))</f>
        <v>7.3170731707317069E-2</v>
      </c>
      <c r="J974" s="72" cm="1">
        <f t="array" aca="1" ref="J974" ca="1">(INDIRECT(ADDRESS((_xlfn.XMATCH(Table2[[#This Row],[Team]],Schedule!$A$1:$A$33)),5,1,1,"Sched Overlap")))</f>
        <v>0.66992266992266991</v>
      </c>
      <c r="K974" s="92" cm="1">
        <f t="array" aca="1" ref="K97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74" s="95">
        <f ca="1">IF(Table2[[#This Row],[Team]]="FA",0,Table2[[#This Row],[Pts/G]]*(Table2[[#This Row],[Games Playable]]/82))</f>
        <v>7.3170731707317069E-2</v>
      </c>
      <c r="M974" s="95" cm="1">
        <f t="array" aca="1" ref="M974" ca="1">Table2[[#This Row],[Playable x Score]]*_xlfn.IFS(Table2[[#This Row],[Pos]]="D",assumptions!$B$15,Table2[[#This Row],[Pos]]="F", assumptions!$B$14,Table2[[#This Row],[Pos]]="G",assumptions!$B$16)</f>
        <v>9.1463414634146339E-2</v>
      </c>
    </row>
    <row r="975" spans="1:13" x14ac:dyDescent="0.3">
      <c r="A975">
        <f>'score estimates'!$A975</f>
        <v>972</v>
      </c>
      <c r="B975" t="str">
        <f>'score estimates'!$B975</f>
        <v>Samuel Fagemo</v>
      </c>
      <c r="C975" t="str">
        <f>'score estimates'!$D975</f>
        <v>F</v>
      </c>
      <c r="D975" t="str">
        <f>'score estimates'!$C975</f>
        <v>LA</v>
      </c>
      <c r="E975" s="75">
        <f>'score estimates'!$F975</f>
        <v>-2.4390243902439025E-2</v>
      </c>
      <c r="F975" s="71">
        <f>'score estimates'!$G975</f>
        <v>1067</v>
      </c>
      <c r="G975" s="71" t="s">
        <v>983</v>
      </c>
      <c r="H975" s="72" cm="1">
        <f t="array" aca="1" ref="H97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75" s="96">
        <f ca="1">IF(Table2[[#This Row],[Team]]="FA",0,Table2[[#This Row],[Pts/G]]*(1-Table2[[#This Row],[% Pos Overlap]]))</f>
        <v>-2.4390243902439025E-2</v>
      </c>
      <c r="J975" s="72" cm="1">
        <f t="array" aca="1" ref="J975" ca="1">(INDIRECT(ADDRESS((_xlfn.XMATCH(Table2[[#This Row],[Team]],Schedule!$A$1:$A$33)),5,1,1,"Sched Overlap")))</f>
        <v>0.65201465201465225</v>
      </c>
      <c r="K975" s="92" cm="1">
        <f t="array" aca="1" ref="K97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75" s="95">
        <f ca="1">IF(Table2[[#This Row],[Team]]="FA",0,Table2[[#This Row],[Pts/G]]*(Table2[[#This Row],[Games Playable]]/82))</f>
        <v>-2.4390243902439025E-2</v>
      </c>
      <c r="M975" s="95" cm="1">
        <f t="array" aca="1" ref="M975" ca="1">Table2[[#This Row],[Playable x Score]]*_xlfn.IFS(Table2[[#This Row],[Pos]]="D",assumptions!$B$15,Table2[[#This Row],[Pos]]="F", assumptions!$B$14,Table2[[#This Row],[Pos]]="G",assumptions!$B$16)</f>
        <v>-2.4390243902439025E-2</v>
      </c>
    </row>
    <row r="976" spans="1:13" x14ac:dyDescent="0.3">
      <c r="A976">
        <f>'score estimates'!$A976</f>
        <v>973</v>
      </c>
      <c r="B976" t="str">
        <f>'score estimates'!$B976</f>
        <v>David Gustafsson</v>
      </c>
      <c r="C976" t="str">
        <f>'score estimates'!$D976</f>
        <v>F</v>
      </c>
      <c r="D976" t="str">
        <f>'score estimates'!$C976</f>
        <v>WPG</v>
      </c>
      <c r="E976" s="75">
        <f>'score estimates'!$F976</f>
        <v>0.47560975609756095</v>
      </c>
      <c r="F976" s="71">
        <f>'score estimates'!$G976</f>
        <v>1005</v>
      </c>
      <c r="G976" s="71" t="s">
        <v>983</v>
      </c>
      <c r="H976" s="72" cm="1">
        <f t="array" aca="1" ref="H97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76" s="96">
        <f ca="1">IF(Table2[[#This Row],[Team]]="FA",0,Table2[[#This Row],[Pts/G]]*(1-Table2[[#This Row],[% Pos Overlap]]))</f>
        <v>0.47560975609756095</v>
      </c>
      <c r="J976" s="72" cm="1">
        <f t="array" aca="1" ref="J976" ca="1">(INDIRECT(ADDRESS((_xlfn.XMATCH(Table2[[#This Row],[Team]],Schedule!$A$1:$A$33)),5,1,1,"Sched Overlap")))</f>
        <v>0.61212861212861214</v>
      </c>
      <c r="K976" s="92" cm="1">
        <f t="array" aca="1" ref="K97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76" s="95">
        <f ca="1">IF(Table2[[#This Row],[Team]]="FA",0,Table2[[#This Row],[Pts/G]]*(Table2[[#This Row],[Games Playable]]/82))</f>
        <v>0.47560975609756095</v>
      </c>
      <c r="M976" s="95" cm="1">
        <f t="array" aca="1" ref="M976" ca="1">Table2[[#This Row],[Playable x Score]]*_xlfn.IFS(Table2[[#This Row],[Pos]]="D",assumptions!$B$15,Table2[[#This Row],[Pos]]="F", assumptions!$B$14,Table2[[#This Row],[Pos]]="G",assumptions!$B$16)</f>
        <v>0.47560975609756095</v>
      </c>
    </row>
    <row r="977" spans="1:13" x14ac:dyDescent="0.3">
      <c r="A977">
        <f>'score estimates'!$A977</f>
        <v>974</v>
      </c>
      <c r="B977" t="str">
        <f>'score estimates'!$B977</f>
        <v>Filip Hallander</v>
      </c>
      <c r="C977" t="str">
        <f>'score estimates'!$D977</f>
        <v>F</v>
      </c>
      <c r="D977" t="str">
        <f>'score estimates'!$C977</f>
        <v>PIT</v>
      </c>
      <c r="E977" s="75">
        <f>'score estimates'!$F977</f>
        <v>0</v>
      </c>
      <c r="F977" s="71">
        <f>'score estimates'!$G977</f>
        <v>1061</v>
      </c>
      <c r="G977" s="71" t="s">
        <v>983</v>
      </c>
      <c r="H977" s="72" cm="1">
        <f t="array" aca="1" ref="H97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77" s="96">
        <f ca="1">IF(Table2[[#This Row],[Team]]="FA",0,Table2[[#This Row],[Pts/G]]*(1-Table2[[#This Row],[% Pos Overlap]]))</f>
        <v>0</v>
      </c>
      <c r="J977" s="72" cm="1">
        <f t="array" aca="1" ref="J977" ca="1">(INDIRECT(ADDRESS((_xlfn.XMATCH(Table2[[#This Row],[Team]],Schedule!$A$1:$A$33)),5,1,1,"Sched Overlap")))</f>
        <v>0.63492063492063477</v>
      </c>
      <c r="K977" s="92" cm="1">
        <f t="array" aca="1" ref="K97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77" s="95">
        <f ca="1">IF(Table2[[#This Row],[Team]]="FA",0,Table2[[#This Row],[Pts/G]]*(Table2[[#This Row],[Games Playable]]/82))</f>
        <v>0</v>
      </c>
      <c r="M977" s="95" cm="1">
        <f t="array" aca="1" ref="M977" ca="1">Table2[[#This Row],[Playable x Score]]*_xlfn.IFS(Table2[[#This Row],[Pos]]="D",assumptions!$B$15,Table2[[#This Row],[Pos]]="F", assumptions!$B$14,Table2[[#This Row],[Pos]]="G",assumptions!$B$16)</f>
        <v>0</v>
      </c>
    </row>
    <row r="978" spans="1:13" x14ac:dyDescent="0.3">
      <c r="A978">
        <f>'score estimates'!$A978</f>
        <v>975</v>
      </c>
      <c r="B978" t="str">
        <f>'score estimates'!$B978</f>
        <v>Alex True</v>
      </c>
      <c r="C978" t="str">
        <f>'score estimates'!$D978</f>
        <v>F</v>
      </c>
      <c r="D978" t="str">
        <f>'score estimates'!$C978</f>
        <v>SEA</v>
      </c>
      <c r="E978" s="75">
        <f>'score estimates'!$F978</f>
        <v>0.17073170731707318</v>
      </c>
      <c r="F978" s="71">
        <f>'score estimates'!$G978</f>
        <v>1044</v>
      </c>
      <c r="G978" s="71" t="s">
        <v>983</v>
      </c>
      <c r="H978" s="72" cm="1">
        <f t="array" aca="1" ref="H97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78" s="96">
        <f ca="1">IF(Table2[[#This Row],[Team]]="FA",0,Table2[[#This Row],[Pts/G]]*(1-Table2[[#This Row],[% Pos Overlap]]))</f>
        <v>0.17073170731707318</v>
      </c>
      <c r="J978" s="72" cm="1">
        <f t="array" aca="1" ref="J978" ca="1">(INDIRECT(ADDRESS((_xlfn.XMATCH(Table2[[#This Row],[Team]],Schedule!$A$1:$A$33)),5,1,1,"Sched Overlap")))</f>
        <v>0.63085063085063087</v>
      </c>
      <c r="K978" s="92" cm="1">
        <f t="array" aca="1" ref="K97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78" s="95">
        <f ca="1">IF(Table2[[#This Row],[Team]]="FA",0,Table2[[#This Row],[Pts/G]]*(Table2[[#This Row],[Games Playable]]/82))</f>
        <v>0.17073170731707318</v>
      </c>
      <c r="M978" s="95" cm="1">
        <f t="array" aca="1" ref="M978" ca="1">Table2[[#This Row],[Playable x Score]]*_xlfn.IFS(Table2[[#This Row],[Pos]]="D",assumptions!$B$15,Table2[[#This Row],[Pos]]="F", assumptions!$B$14,Table2[[#This Row],[Pos]]="G",assumptions!$B$16)</f>
        <v>0.17073170731707318</v>
      </c>
    </row>
    <row r="979" spans="1:13" x14ac:dyDescent="0.3">
      <c r="A979">
        <f>'score estimates'!$A979</f>
        <v>976</v>
      </c>
      <c r="B979" t="str">
        <f>'score estimates'!$B979</f>
        <v>Cayden Primeau</v>
      </c>
      <c r="C979" t="str">
        <f>'score estimates'!$D979</f>
        <v>G</v>
      </c>
      <c r="D979" t="str">
        <f>'score estimates'!$C979</f>
        <v>MON</v>
      </c>
      <c r="E979" s="75">
        <f>'score estimates'!$F979</f>
        <v>1.1341463414634145</v>
      </c>
      <c r="F979" s="71">
        <f>'score estimates'!$G979</f>
        <v>923</v>
      </c>
      <c r="G979" s="71" t="s">
        <v>983</v>
      </c>
      <c r="H979" s="72" cm="1">
        <f t="array" aca="1" ref="H97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79" s="96">
        <f ca="1">IF(Table2[[#This Row],[Team]]="FA",0,Table2[[#This Row],[Pts/G]]*(1-Table2[[#This Row],[% Pos Overlap]]))</f>
        <v>1.1341463414634145</v>
      </c>
      <c r="J979" s="72" cm="1">
        <f t="array" aca="1" ref="J979" ca="1">(INDIRECT(ADDRESS((_xlfn.XMATCH(Table2[[#This Row],[Team]],Schedule!$A$1:$A$33)),5,1,1,"Sched Overlap")))</f>
        <v>0.66666666666666685</v>
      </c>
      <c r="K979" s="92" cm="1">
        <f t="array" aca="1" ref="K97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79" s="95">
        <f ca="1">IF(Table2[[#This Row],[Team]]="FA",0,Table2[[#This Row],[Pts/G]]*(Table2[[#This Row],[Games Playable]]/82))</f>
        <v>1.1341463414634145</v>
      </c>
      <c r="M979" s="95" cm="1">
        <f t="array" aca="1" ref="M979" ca="1">Table2[[#This Row],[Playable x Score]]*_xlfn.IFS(Table2[[#This Row],[Pos]]="D",assumptions!$B$15,Table2[[#This Row],[Pos]]="F", assumptions!$B$14,Table2[[#This Row],[Pos]]="G",assumptions!$B$16)</f>
        <v>1.2475609756097561</v>
      </c>
    </row>
    <row r="980" spans="1:13" x14ac:dyDescent="0.3">
      <c r="A980">
        <f>'score estimates'!$A980</f>
        <v>977</v>
      </c>
      <c r="B980" t="str">
        <f>'score estimates'!$B980</f>
        <v>Lukas Dostal</v>
      </c>
      <c r="C980" t="str">
        <f>'score estimates'!$D980</f>
        <v>G</v>
      </c>
      <c r="D980" t="str">
        <f>'score estimates'!$C980</f>
        <v>ANH</v>
      </c>
      <c r="E980" s="75">
        <f>'score estimates'!$F980</f>
        <v>1.2073170731707317</v>
      </c>
      <c r="F980" s="71">
        <f>'score estimates'!$G980</f>
        <v>913</v>
      </c>
      <c r="G980" s="71" t="s">
        <v>983</v>
      </c>
      <c r="H980" s="72" cm="1">
        <f t="array" aca="1" ref="H98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80" s="96">
        <f ca="1">IF(Table2[[#This Row],[Team]]="FA",0,Table2[[#This Row],[Pts/G]]*(1-Table2[[#This Row],[% Pos Overlap]]))</f>
        <v>1.2073170731707317</v>
      </c>
      <c r="J980" s="72" cm="1">
        <f t="array" aca="1" ref="J980" ca="1">(INDIRECT(ADDRESS((_xlfn.XMATCH(Table2[[#This Row],[Team]],Schedule!$A$1:$A$33)),5,1,1,"Sched Overlap")))</f>
        <v>0.56410256410256399</v>
      </c>
      <c r="K980" s="92" cm="1">
        <f t="array" aca="1" ref="K98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80" s="95">
        <f ca="1">IF(Table2[[#This Row],[Team]]="FA",0,Table2[[#This Row],[Pts/G]]*(Table2[[#This Row],[Games Playable]]/82))</f>
        <v>1.2073170731707317</v>
      </c>
      <c r="M980" s="95" cm="1">
        <f t="array" aca="1" ref="M980" ca="1">Table2[[#This Row],[Playable x Score]]*_xlfn.IFS(Table2[[#This Row],[Pos]]="D",assumptions!$B$15,Table2[[#This Row],[Pos]]="F", assumptions!$B$14,Table2[[#This Row],[Pos]]="G",assumptions!$B$16)</f>
        <v>1.3280487804878049</v>
      </c>
    </row>
    <row r="981" spans="1:13" x14ac:dyDescent="0.3">
      <c r="A981">
        <f>'score estimates'!$A981</f>
        <v>978</v>
      </c>
      <c r="B981" t="str">
        <f>'score estimates'!$B981</f>
        <v>Darren Raddysh</v>
      </c>
      <c r="C981" t="str">
        <f>'score estimates'!$D981</f>
        <v>D</v>
      </c>
      <c r="D981" t="str">
        <f>'score estimates'!$C981</f>
        <v>TB</v>
      </c>
      <c r="E981" s="75">
        <f>'score estimates'!$F981</f>
        <v>0.76829268292682928</v>
      </c>
      <c r="F981" s="71">
        <f>'score estimates'!$G981</f>
        <v>965</v>
      </c>
      <c r="G981" s="71" t="s">
        <v>983</v>
      </c>
      <c r="H981" s="72" cm="1">
        <f t="array" aca="1" ref="H98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81" s="96">
        <f ca="1">IF(Table2[[#This Row],[Team]]="FA",0,Table2[[#This Row],[Pts/G]]*(1-Table2[[#This Row],[% Pos Overlap]]))</f>
        <v>0.76829268292682928</v>
      </c>
      <c r="J981" s="72" cm="1">
        <f t="array" aca="1" ref="J981" ca="1">(INDIRECT(ADDRESS((_xlfn.XMATCH(Table2[[#This Row],[Team]],Schedule!$A$1:$A$33)),5,1,1,"Sched Overlap")))</f>
        <v>0.66422466422466431</v>
      </c>
      <c r="K981" s="92" cm="1">
        <f t="array" aca="1" ref="K98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81" s="95">
        <f ca="1">IF(Table2[[#This Row],[Team]]="FA",0,Table2[[#This Row],[Pts/G]]*(Table2[[#This Row],[Games Playable]]/82))</f>
        <v>0.76829268292682928</v>
      </c>
      <c r="M981" s="95" cm="1">
        <f t="array" aca="1" ref="M981" ca="1">Table2[[#This Row],[Playable x Score]]*_xlfn.IFS(Table2[[#This Row],[Pos]]="D",assumptions!$B$15,Table2[[#This Row],[Pos]]="F", assumptions!$B$14,Table2[[#This Row],[Pos]]="G",assumptions!$B$16)</f>
        <v>0.96036585365853666</v>
      </c>
    </row>
    <row r="982" spans="1:13" x14ac:dyDescent="0.3">
      <c r="A982">
        <f>'score estimates'!$A982</f>
        <v>979</v>
      </c>
      <c r="B982" t="str">
        <f>'score estimates'!$B982</f>
        <v>Brett Seney</v>
      </c>
      <c r="C982" t="str">
        <f>'score estimates'!$D982</f>
        <v>F</v>
      </c>
      <c r="D982" t="str">
        <f>'score estimates'!$C982</f>
        <v>CHI</v>
      </c>
      <c r="E982" s="75">
        <f>'score estimates'!$F982</f>
        <v>0.29268292682926828</v>
      </c>
      <c r="F982" s="71">
        <f>'score estimates'!$G982</f>
        <v>1029</v>
      </c>
      <c r="G982" s="71" t="s">
        <v>983</v>
      </c>
      <c r="H982" s="72" cm="1">
        <f t="array" aca="1" ref="H98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82" s="96">
        <f ca="1">IF(Table2[[#This Row],[Team]]="FA",0,Table2[[#This Row],[Pts/G]]*(1-Table2[[#This Row],[% Pos Overlap]]))</f>
        <v>0.29268292682926828</v>
      </c>
      <c r="J982" s="72" cm="1">
        <f t="array" aca="1" ref="J982" ca="1">(INDIRECT(ADDRESS((_xlfn.XMATCH(Table2[[#This Row],[Team]],Schedule!$A$1:$A$33)),5,1,1,"Sched Overlap")))</f>
        <v>0.6243386243386243</v>
      </c>
      <c r="K982" s="92" cm="1">
        <f t="array" aca="1" ref="K98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82" s="95">
        <f ca="1">IF(Table2[[#This Row],[Team]]="FA",0,Table2[[#This Row],[Pts/G]]*(Table2[[#This Row],[Games Playable]]/82))</f>
        <v>0.29268292682926828</v>
      </c>
      <c r="M982" s="95" cm="1">
        <f t="array" aca="1" ref="M982" ca="1">Table2[[#This Row],[Playable x Score]]*_xlfn.IFS(Table2[[#This Row],[Pos]]="D",assumptions!$B$15,Table2[[#This Row],[Pos]]="F", assumptions!$B$14,Table2[[#This Row],[Pos]]="G",assumptions!$B$16)</f>
        <v>0.29268292682926828</v>
      </c>
    </row>
    <row r="983" spans="1:13" x14ac:dyDescent="0.3">
      <c r="A983">
        <f>'score estimates'!$A983</f>
        <v>980</v>
      </c>
      <c r="B983" t="str">
        <f>'score estimates'!$B983</f>
        <v>Jeremy Swayman</v>
      </c>
      <c r="C983" t="str">
        <f>'score estimates'!$D983</f>
        <v>G</v>
      </c>
      <c r="D983" t="str">
        <f>'score estimates'!$C983</f>
        <v>BOS</v>
      </c>
      <c r="E983" s="75">
        <f>'score estimates'!$F983</f>
        <v>18.548780487804876</v>
      </c>
      <c r="F983" s="71">
        <f>'score estimates'!$G983</f>
        <v>285</v>
      </c>
      <c r="G983" s="71" t="s">
        <v>983</v>
      </c>
      <c r="H983" s="72" cm="1">
        <f t="array" aca="1" ref="H98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83" s="96">
        <f ca="1">IF(Table2[[#This Row],[Team]]="FA",0,Table2[[#This Row],[Pts/G]]*(1-Table2[[#This Row],[% Pos Overlap]]))</f>
        <v>18.548780487804876</v>
      </c>
      <c r="J983" s="72" cm="1">
        <f t="array" aca="1" ref="J983" ca="1">(INDIRECT(ADDRESS((_xlfn.XMATCH(Table2[[#This Row],[Team]],Schedule!$A$1:$A$33)),5,1,1,"Sched Overlap")))</f>
        <v>0.67236467236467234</v>
      </c>
      <c r="K983" s="92" cm="1">
        <f t="array" aca="1" ref="K98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83" s="95">
        <f ca="1">IF(Table2[[#This Row],[Team]]="FA",0,Table2[[#This Row],[Pts/G]]*(Table2[[#This Row],[Games Playable]]/82))</f>
        <v>18.548780487804876</v>
      </c>
      <c r="M983" s="95" cm="1">
        <f t="array" aca="1" ref="M983" ca="1">Table2[[#This Row],[Playable x Score]]*_xlfn.IFS(Table2[[#This Row],[Pos]]="D",assumptions!$B$15,Table2[[#This Row],[Pos]]="F", assumptions!$B$14,Table2[[#This Row],[Pos]]="G",assumptions!$B$16)</f>
        <v>20.403658536585365</v>
      </c>
    </row>
    <row r="984" spans="1:13" x14ac:dyDescent="0.3">
      <c r="A984">
        <f>'score estimates'!$A984</f>
        <v>981</v>
      </c>
      <c r="B984" t="str">
        <f>'score estimates'!$B984</f>
        <v>Pavel Francouz</v>
      </c>
      <c r="C984" t="str">
        <f>'score estimates'!$D984</f>
        <v>G</v>
      </c>
      <c r="D984" t="str">
        <f>'score estimates'!$C984</f>
        <v>COL</v>
      </c>
      <c r="E984" s="75">
        <f>'score estimates'!$F984</f>
        <v>17.939024390243901</v>
      </c>
      <c r="F984" s="71">
        <f>'score estimates'!$G984</f>
        <v>304</v>
      </c>
      <c r="G984" s="71" t="s">
        <v>983</v>
      </c>
      <c r="H984" s="72" cm="1">
        <f t="array" aca="1" ref="H98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84" s="96">
        <f ca="1">IF(Table2[[#This Row],[Team]]="FA",0,Table2[[#This Row],[Pts/G]]*(1-Table2[[#This Row],[% Pos Overlap]]))</f>
        <v>17.939024390243901</v>
      </c>
      <c r="J984" s="72" cm="1">
        <f t="array" aca="1" ref="J984" ca="1">(INDIRECT(ADDRESS((_xlfn.XMATCH(Table2[[#This Row],[Team]],Schedule!$A$1:$A$33)),5,1,1,"Sched Overlap")))</f>
        <v>0.61131461131461151</v>
      </c>
      <c r="K984" s="92" cm="1">
        <f t="array" aca="1" ref="K98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84" s="95">
        <f ca="1">IF(Table2[[#This Row],[Team]]="FA",0,Table2[[#This Row],[Pts/G]]*(Table2[[#This Row],[Games Playable]]/82))</f>
        <v>17.939024390243901</v>
      </c>
      <c r="M984" s="95" cm="1">
        <f t="array" aca="1" ref="M984" ca="1">Table2[[#This Row],[Playable x Score]]*_xlfn.IFS(Table2[[#This Row],[Pos]]="D",assumptions!$B$15,Table2[[#This Row],[Pos]]="F", assumptions!$B$14,Table2[[#This Row],[Pos]]="G",assumptions!$B$16)</f>
        <v>19.732926829268294</v>
      </c>
    </row>
    <row r="985" spans="1:13" x14ac:dyDescent="0.3">
      <c r="A985">
        <f>'score estimates'!$A985</f>
        <v>982</v>
      </c>
      <c r="B985" t="str">
        <f>'score estimates'!$B985</f>
        <v>Anthony Angello</v>
      </c>
      <c r="C985" t="str">
        <f>'score estimates'!$D985</f>
        <v>F</v>
      </c>
      <c r="D985" t="str">
        <f>'score estimates'!$C985</f>
        <v>STL</v>
      </c>
      <c r="E985" s="75">
        <f>'score estimates'!$F985</f>
        <v>0.31707317073170732</v>
      </c>
      <c r="F985" s="71">
        <f>'score estimates'!$G985</f>
        <v>1026</v>
      </c>
      <c r="G985" s="71" t="s">
        <v>983</v>
      </c>
      <c r="H985" s="72" cm="1">
        <f t="array" aca="1" ref="H98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85" s="96">
        <f ca="1">IF(Table2[[#This Row],[Team]]="FA",0,Table2[[#This Row],[Pts/G]]*(1-Table2[[#This Row],[% Pos Overlap]]))</f>
        <v>0.31707317073170732</v>
      </c>
      <c r="J985" s="72" cm="1">
        <f t="array" aca="1" ref="J985" ca="1">(INDIRECT(ADDRESS((_xlfn.XMATCH(Table2[[#This Row],[Team]],Schedule!$A$1:$A$33)),5,1,1,"Sched Overlap")))</f>
        <v>0.65120065120065118</v>
      </c>
      <c r="K985" s="92" cm="1">
        <f t="array" aca="1" ref="K98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85" s="95">
        <f ca="1">IF(Table2[[#This Row],[Team]]="FA",0,Table2[[#This Row],[Pts/G]]*(Table2[[#This Row],[Games Playable]]/82))</f>
        <v>0.31707317073170732</v>
      </c>
      <c r="M985" s="95" cm="1">
        <f t="array" aca="1" ref="M985" ca="1">Table2[[#This Row],[Playable x Score]]*_xlfn.IFS(Table2[[#This Row],[Pos]]="D",assumptions!$B$15,Table2[[#This Row],[Pos]]="F", assumptions!$B$14,Table2[[#This Row],[Pos]]="G",assumptions!$B$16)</f>
        <v>0.31707317073170732</v>
      </c>
    </row>
    <row r="986" spans="1:13" x14ac:dyDescent="0.3">
      <c r="A986">
        <f>'score estimates'!$A986</f>
        <v>983</v>
      </c>
      <c r="B986" t="str">
        <f>'score estimates'!$B986</f>
        <v>Mikey Eyssimont</v>
      </c>
      <c r="C986" t="str">
        <f>'score estimates'!$D986</f>
        <v>F</v>
      </c>
      <c r="D986" t="str">
        <f>'score estimates'!$C986</f>
        <v>WPG</v>
      </c>
      <c r="E986" s="75">
        <f>'score estimates'!$F986</f>
        <v>0.26829268292682928</v>
      </c>
      <c r="F986" s="71">
        <f>'score estimates'!$G986</f>
        <v>1033</v>
      </c>
      <c r="G986" s="71" t="s">
        <v>983</v>
      </c>
      <c r="H986" s="72" cm="1">
        <f t="array" aca="1" ref="H98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86" s="96">
        <f ca="1">IF(Table2[[#This Row],[Team]]="FA",0,Table2[[#This Row],[Pts/G]]*(1-Table2[[#This Row],[% Pos Overlap]]))</f>
        <v>0.26829268292682928</v>
      </c>
      <c r="J986" s="72" cm="1">
        <f t="array" aca="1" ref="J986" ca="1">(INDIRECT(ADDRESS((_xlfn.XMATCH(Table2[[#This Row],[Team]],Schedule!$A$1:$A$33)),5,1,1,"Sched Overlap")))</f>
        <v>0.61212861212861214</v>
      </c>
      <c r="K986" s="92" cm="1">
        <f t="array" aca="1" ref="K98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86" s="95">
        <f ca="1">IF(Table2[[#This Row],[Team]]="FA",0,Table2[[#This Row],[Pts/G]]*(Table2[[#This Row],[Games Playable]]/82))</f>
        <v>0.26829268292682928</v>
      </c>
      <c r="M986" s="95" cm="1">
        <f t="array" aca="1" ref="M986" ca="1">Table2[[#This Row],[Playable x Score]]*_xlfn.IFS(Table2[[#This Row],[Pos]]="D",assumptions!$B$15,Table2[[#This Row],[Pos]]="F", assumptions!$B$14,Table2[[#This Row],[Pos]]="G",assumptions!$B$16)</f>
        <v>0.26829268292682928</v>
      </c>
    </row>
    <row r="987" spans="1:13" x14ac:dyDescent="0.3">
      <c r="A987">
        <f>'score estimates'!$A987</f>
        <v>984</v>
      </c>
      <c r="B987" t="str">
        <f>'score estimates'!$B987</f>
        <v>Christian Jaros</v>
      </c>
      <c r="C987" t="str">
        <f>'score estimates'!$D987</f>
        <v>D</v>
      </c>
      <c r="D987" t="str">
        <f>'score estimates'!$C987</f>
        <v>FA</v>
      </c>
      <c r="E987" s="75">
        <f>'score estimates'!$F987</f>
        <v>0.34146341463414637</v>
      </c>
      <c r="F987" s="71">
        <f>'score estimates'!$G987</f>
        <v>1017</v>
      </c>
      <c r="G987" s="71" t="s">
        <v>983</v>
      </c>
      <c r="H987" s="72" t="e" cm="1">
        <f t="array" aca="1" ref="H987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987" s="96">
        <f>IF(Table2[[#This Row],[Team]]="FA",0,Table2[[#This Row],[Pts/G]]*(1-Table2[[#This Row],[% Pos Overlap]]))</f>
        <v>0</v>
      </c>
      <c r="J987" s="72" t="e" cm="1">
        <f t="array" aca="1" ref="J987" ca="1">(INDIRECT(ADDRESS((_xlfn.XMATCH(Table2[[#This Row],[Team]],Schedule!$A$1:$A$33)),5,1,1,"Sched Overlap")))</f>
        <v>#N/A</v>
      </c>
      <c r="K987" s="92" t="e" cm="1">
        <f t="array" aca="1" ref="K987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987" s="95">
        <f>IF(Table2[[#This Row],[Team]]="FA",0,Table2[[#This Row],[Pts/G]]*(Table2[[#This Row],[Games Playable]]/82))</f>
        <v>0</v>
      </c>
      <c r="M987" s="95" cm="1">
        <f t="array" ref="M987">Table2[[#This Row],[Playable x Score]]*_xlfn.IFS(Table2[[#This Row],[Pos]]="D",assumptions!$B$15,Table2[[#This Row],[Pos]]="F", assumptions!$B$14,Table2[[#This Row],[Pos]]="G",assumptions!$B$16)</f>
        <v>0</v>
      </c>
    </row>
    <row r="988" spans="1:13" x14ac:dyDescent="0.3">
      <c r="A988">
        <f>'score estimates'!$A988</f>
        <v>985</v>
      </c>
      <c r="B988" t="str">
        <f>'score estimates'!$B988</f>
        <v>Bokondji Imama</v>
      </c>
      <c r="C988" t="str">
        <f>'score estimates'!$D988</f>
        <v>F</v>
      </c>
      <c r="D988" t="str">
        <f>'score estimates'!$C988</f>
        <v>ARI</v>
      </c>
      <c r="E988" s="75">
        <f>'score estimates'!$F988</f>
        <v>0.36585365853658536</v>
      </c>
      <c r="F988" s="71">
        <f>'score estimates'!$G988</f>
        <v>1015</v>
      </c>
      <c r="G988" s="71" t="s">
        <v>983</v>
      </c>
      <c r="H988" s="72" cm="1">
        <f t="array" aca="1" ref="H98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88" s="96">
        <f ca="1">IF(Table2[[#This Row],[Team]]="FA",0,Table2[[#This Row],[Pts/G]]*(1-Table2[[#This Row],[% Pos Overlap]]))</f>
        <v>0.36585365853658536</v>
      </c>
      <c r="J988" s="72" cm="1">
        <f t="array" aca="1" ref="J988" ca="1">(INDIRECT(ADDRESS((_xlfn.XMATCH(Table2[[#This Row],[Team]],Schedule!$A$1:$A$33)),5,1,1,"Sched Overlap")))</f>
        <v>0.63247863247863279</v>
      </c>
      <c r="K988" s="92" cm="1">
        <f t="array" aca="1" ref="K98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88" s="95">
        <f ca="1">IF(Table2[[#This Row],[Team]]="FA",0,Table2[[#This Row],[Pts/G]]*(Table2[[#This Row],[Games Playable]]/82))</f>
        <v>0.36585365853658536</v>
      </c>
      <c r="M988" s="95" cm="1">
        <f t="array" aca="1" ref="M988" ca="1">Table2[[#This Row],[Playable x Score]]*_xlfn.IFS(Table2[[#This Row],[Pos]]="D",assumptions!$B$15,Table2[[#This Row],[Pos]]="F", assumptions!$B$14,Table2[[#This Row],[Pos]]="G",assumptions!$B$16)</f>
        <v>0.36585365853658536</v>
      </c>
    </row>
    <row r="989" spans="1:13" x14ac:dyDescent="0.3">
      <c r="A989">
        <f>'score estimates'!$A989</f>
        <v>986</v>
      </c>
      <c r="B989" t="str">
        <f>'score estimates'!$B989</f>
        <v>Ukko-Pekka Luukkonen</v>
      </c>
      <c r="C989" t="str">
        <f>'score estimates'!$D989</f>
        <v>G</v>
      </c>
      <c r="D989" t="str">
        <f>'score estimates'!$C989</f>
        <v>BUF</v>
      </c>
      <c r="E989" s="75">
        <f>'score estimates'!$F989</f>
        <v>3.9390243902439024</v>
      </c>
      <c r="F989" s="71">
        <f>'score estimates'!$G989</f>
        <v>759</v>
      </c>
      <c r="G989" s="71" t="s">
        <v>983</v>
      </c>
      <c r="H989" s="72" cm="1">
        <f t="array" aca="1" ref="H98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89" s="96">
        <f ca="1">IF(Table2[[#This Row],[Team]]="FA",0,Table2[[#This Row],[Pts/G]]*(1-Table2[[#This Row],[% Pos Overlap]]))</f>
        <v>3.9390243902439024</v>
      </c>
      <c r="J989" s="72" cm="1">
        <f t="array" aca="1" ref="J989" ca="1">(INDIRECT(ADDRESS((_xlfn.XMATCH(Table2[[#This Row],[Team]],Schedule!$A$1:$A$33)),5,1,1,"Sched Overlap")))</f>
        <v>0.63573463573463573</v>
      </c>
      <c r="K989" s="92" cm="1">
        <f t="array" aca="1" ref="K98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89" s="95">
        <f ca="1">IF(Table2[[#This Row],[Team]]="FA",0,Table2[[#This Row],[Pts/G]]*(Table2[[#This Row],[Games Playable]]/82))</f>
        <v>3.9390243902439024</v>
      </c>
      <c r="M989" s="95" cm="1">
        <f t="array" aca="1" ref="M989" ca="1">Table2[[#This Row],[Playable x Score]]*_xlfn.IFS(Table2[[#This Row],[Pos]]="D",assumptions!$B$15,Table2[[#This Row],[Pos]]="F", assumptions!$B$14,Table2[[#This Row],[Pos]]="G",assumptions!$B$16)</f>
        <v>4.3329268292682928</v>
      </c>
    </row>
    <row r="990" spans="1:13" x14ac:dyDescent="0.3">
      <c r="A990">
        <f>'score estimates'!$A990</f>
        <v>987</v>
      </c>
      <c r="B990" t="str">
        <f>'score estimates'!$B990</f>
        <v>Dmitri Samorukov</v>
      </c>
      <c r="C990" t="str">
        <f>'score estimates'!$D990</f>
        <v>D</v>
      </c>
      <c r="D990" t="str">
        <f>'score estimates'!$C990</f>
        <v>EDM</v>
      </c>
      <c r="E990" s="75">
        <f>'score estimates'!$F990</f>
        <v>-6.097560975609756E-2</v>
      </c>
      <c r="F990" s="71">
        <f>'score estimates'!$G990</f>
        <v>1070</v>
      </c>
      <c r="G990" s="71" t="s">
        <v>983</v>
      </c>
      <c r="H990" s="72" cm="1">
        <f t="array" aca="1" ref="H99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90" s="96">
        <f ca="1">IF(Table2[[#This Row],[Team]]="FA",0,Table2[[#This Row],[Pts/G]]*(1-Table2[[#This Row],[% Pos Overlap]]))</f>
        <v>-6.097560975609756E-2</v>
      </c>
      <c r="J990" s="72" cm="1">
        <f t="array" aca="1" ref="J990" ca="1">(INDIRECT(ADDRESS((_xlfn.XMATCH(Table2[[#This Row],[Team]],Schedule!$A$1:$A$33)),5,1,1,"Sched Overlap")))</f>
        <v>0.62026862026862029</v>
      </c>
      <c r="K990" s="92" cm="1">
        <f t="array" aca="1" ref="K99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90" s="95">
        <f ca="1">IF(Table2[[#This Row],[Team]]="FA",0,Table2[[#This Row],[Pts/G]]*(Table2[[#This Row],[Games Playable]]/82))</f>
        <v>-6.097560975609756E-2</v>
      </c>
      <c r="M990" s="95" cm="1">
        <f t="array" aca="1" ref="M990" ca="1">Table2[[#This Row],[Playable x Score]]*_xlfn.IFS(Table2[[#This Row],[Pos]]="D",assumptions!$B$15,Table2[[#This Row],[Pos]]="F", assumptions!$B$14,Table2[[#This Row],[Pos]]="G",assumptions!$B$16)</f>
        <v>-7.621951219512195E-2</v>
      </c>
    </row>
    <row r="991" spans="1:13" x14ac:dyDescent="0.3">
      <c r="A991">
        <f>'score estimates'!$A991</f>
        <v>988</v>
      </c>
      <c r="B991" t="str">
        <f>'score estimates'!$B991</f>
        <v>Reilly Walsh</v>
      </c>
      <c r="C991" t="str">
        <f>'score estimates'!$D991</f>
        <v>D</v>
      </c>
      <c r="D991" t="str">
        <f>'score estimates'!$C991</f>
        <v>NJ</v>
      </c>
      <c r="E991" s="75">
        <f>'score estimates'!$F991</f>
        <v>0.31707317073170732</v>
      </c>
      <c r="F991" s="71">
        <f>'score estimates'!$G991</f>
        <v>1026</v>
      </c>
      <c r="G991" s="71" t="s">
        <v>983</v>
      </c>
      <c r="H991" s="72" cm="1">
        <f t="array" aca="1" ref="H99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91" s="96">
        <f ca="1">IF(Table2[[#This Row],[Team]]="FA",0,Table2[[#This Row],[Pts/G]]*(1-Table2[[#This Row],[% Pos Overlap]]))</f>
        <v>0.31707317073170732</v>
      </c>
      <c r="J991" s="72" cm="1">
        <f t="array" aca="1" ref="J991" ca="1">(INDIRECT(ADDRESS((_xlfn.XMATCH(Table2[[#This Row],[Team]],Schedule!$A$1:$A$33)),5,1,1,"Sched Overlap")))</f>
        <v>0.66259666259666272</v>
      </c>
      <c r="K991" s="92" cm="1">
        <f t="array" aca="1" ref="K99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91" s="95">
        <f ca="1">IF(Table2[[#This Row],[Team]]="FA",0,Table2[[#This Row],[Pts/G]]*(Table2[[#This Row],[Games Playable]]/82))</f>
        <v>0.31707317073170732</v>
      </c>
      <c r="M991" s="95" cm="1">
        <f t="array" aca="1" ref="M991" ca="1">Table2[[#This Row],[Playable x Score]]*_xlfn.IFS(Table2[[#This Row],[Pos]]="D",assumptions!$B$15,Table2[[#This Row],[Pos]]="F", assumptions!$B$14,Table2[[#This Row],[Pos]]="G",assumptions!$B$16)</f>
        <v>0.39634146341463417</v>
      </c>
    </row>
    <row r="992" spans="1:13" x14ac:dyDescent="0.3">
      <c r="A992">
        <f>'score estimates'!$A992</f>
        <v>989</v>
      </c>
      <c r="B992" t="str">
        <f>'score estimates'!$B992</f>
        <v>Johnny Kovacevic</v>
      </c>
      <c r="C992" t="str">
        <f>'score estimates'!$D992</f>
        <v>D</v>
      </c>
      <c r="D992" t="str">
        <f>'score estimates'!$C992</f>
        <v>WPG</v>
      </c>
      <c r="E992" s="75">
        <f>'score estimates'!$F992</f>
        <v>0.74390243902439024</v>
      </c>
      <c r="F992" s="71">
        <f>'score estimates'!$G992</f>
        <v>968</v>
      </c>
      <c r="G992" s="71" t="s">
        <v>983</v>
      </c>
      <c r="H992" s="72" cm="1">
        <f t="array" aca="1" ref="H99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92" s="96">
        <f ca="1">IF(Table2[[#This Row],[Team]]="FA",0,Table2[[#This Row],[Pts/G]]*(1-Table2[[#This Row],[% Pos Overlap]]))</f>
        <v>0.74390243902439024</v>
      </c>
      <c r="J992" s="72" cm="1">
        <f t="array" aca="1" ref="J992" ca="1">(INDIRECT(ADDRESS((_xlfn.XMATCH(Table2[[#This Row],[Team]],Schedule!$A$1:$A$33)),5,1,1,"Sched Overlap")))</f>
        <v>0.61212861212861214</v>
      </c>
      <c r="K992" s="92" cm="1">
        <f t="array" aca="1" ref="K99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92" s="95">
        <f ca="1">IF(Table2[[#This Row],[Team]]="FA",0,Table2[[#This Row],[Pts/G]]*(Table2[[#This Row],[Games Playable]]/82))</f>
        <v>0.74390243902439024</v>
      </c>
      <c r="M992" s="95" cm="1">
        <f t="array" aca="1" ref="M992" ca="1">Table2[[#This Row],[Playable x Score]]*_xlfn.IFS(Table2[[#This Row],[Pos]]="D",assumptions!$B$15,Table2[[#This Row],[Pos]]="F", assumptions!$B$14,Table2[[#This Row],[Pos]]="G",assumptions!$B$16)</f>
        <v>0.92987804878048785</v>
      </c>
    </row>
    <row r="993" spans="1:13" x14ac:dyDescent="0.3">
      <c r="A993">
        <f>'score estimates'!$A993</f>
        <v>990</v>
      </c>
      <c r="B993" t="str">
        <f>'score estimates'!$B993</f>
        <v>Stuart Skinner</v>
      </c>
      <c r="C993" t="str">
        <f>'score estimates'!$D993</f>
        <v>G</v>
      </c>
      <c r="D993" t="str">
        <f>'score estimates'!$C993</f>
        <v>EDM</v>
      </c>
      <c r="E993" s="75">
        <f>'score estimates'!$F993</f>
        <v>14.512195121951219</v>
      </c>
      <c r="F993" s="71">
        <f>'score estimates'!$G993</f>
        <v>407</v>
      </c>
      <c r="G993" s="71" t="s">
        <v>983</v>
      </c>
      <c r="H993" s="72" cm="1">
        <f t="array" aca="1" ref="H99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93" s="96">
        <f ca="1">IF(Table2[[#This Row],[Team]]="FA",0,Table2[[#This Row],[Pts/G]]*(1-Table2[[#This Row],[% Pos Overlap]]))</f>
        <v>14.512195121951219</v>
      </c>
      <c r="J993" s="72" cm="1">
        <f t="array" aca="1" ref="J993" ca="1">(INDIRECT(ADDRESS((_xlfn.XMATCH(Table2[[#This Row],[Team]],Schedule!$A$1:$A$33)),5,1,1,"Sched Overlap")))</f>
        <v>0.62026862026862029</v>
      </c>
      <c r="K993" s="92" cm="1">
        <f t="array" aca="1" ref="K99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93" s="95">
        <f ca="1">IF(Table2[[#This Row],[Team]]="FA",0,Table2[[#This Row],[Pts/G]]*(Table2[[#This Row],[Games Playable]]/82))</f>
        <v>14.512195121951219</v>
      </c>
      <c r="M993" s="95" cm="1">
        <f t="array" aca="1" ref="M993" ca="1">Table2[[#This Row],[Playable x Score]]*_xlfn.IFS(Table2[[#This Row],[Pos]]="D",assumptions!$B$15,Table2[[#This Row],[Pos]]="F", assumptions!$B$14,Table2[[#This Row],[Pos]]="G",assumptions!$B$16)</f>
        <v>15.963414634146343</v>
      </c>
    </row>
    <row r="994" spans="1:13" x14ac:dyDescent="0.3">
      <c r="A994">
        <f>'score estimates'!$A994</f>
        <v>991</v>
      </c>
      <c r="B994" t="str">
        <f>'score estimates'!$B994</f>
        <v>Daniil Tarasov</v>
      </c>
      <c r="C994" t="str">
        <f>'score estimates'!$D994</f>
        <v>G</v>
      </c>
      <c r="D994" t="str">
        <f>'score estimates'!$C994</f>
        <v>CLS</v>
      </c>
      <c r="E994" s="75">
        <f>'score estimates'!$F994</f>
        <v>1.3292682926829269</v>
      </c>
      <c r="F994" s="71">
        <f>'score estimates'!$G994</f>
        <v>896</v>
      </c>
      <c r="G994" s="71" t="s">
        <v>983</v>
      </c>
      <c r="H994" s="72" cm="1">
        <f t="array" aca="1" ref="H99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94" s="96">
        <f ca="1">IF(Table2[[#This Row],[Team]]="FA",0,Table2[[#This Row],[Pts/G]]*(1-Table2[[#This Row],[% Pos Overlap]]))</f>
        <v>1.3292682926829269</v>
      </c>
      <c r="J994" s="72" cm="1">
        <f t="array" aca="1" ref="J994" ca="1">(INDIRECT(ADDRESS((_xlfn.XMATCH(Table2[[#This Row],[Team]],Schedule!$A$1:$A$33)),5,1,1,"Sched Overlap")))</f>
        <v>0.64875864875864886</v>
      </c>
      <c r="K994" s="92" cm="1">
        <f t="array" aca="1" ref="K99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94" s="95">
        <f ca="1">IF(Table2[[#This Row],[Team]]="FA",0,Table2[[#This Row],[Pts/G]]*(Table2[[#This Row],[Games Playable]]/82))</f>
        <v>1.3292682926829269</v>
      </c>
      <c r="M994" s="95" cm="1">
        <f t="array" aca="1" ref="M994" ca="1">Table2[[#This Row],[Playable x Score]]*_xlfn.IFS(Table2[[#This Row],[Pos]]="D",assumptions!$B$15,Table2[[#This Row],[Pos]]="F", assumptions!$B$14,Table2[[#This Row],[Pos]]="G",assumptions!$B$16)</f>
        <v>1.4621951219512197</v>
      </c>
    </row>
    <row r="995" spans="1:13" x14ac:dyDescent="0.3">
      <c r="A995">
        <f>'score estimates'!$A995</f>
        <v>992</v>
      </c>
      <c r="B995" t="str">
        <f>'score estimates'!$B995</f>
        <v>Collin Delia</v>
      </c>
      <c r="C995" t="str">
        <f>'score estimates'!$D995</f>
        <v>G</v>
      </c>
      <c r="D995" t="str">
        <f>'score estimates'!$C995</f>
        <v>VAN</v>
      </c>
      <c r="E995" s="75">
        <f>'score estimates'!$F995</f>
        <v>3.4878048780487805</v>
      </c>
      <c r="F995" s="71">
        <f>'score estimates'!$G995</f>
        <v>776</v>
      </c>
      <c r="G995" s="71" t="s">
        <v>983</v>
      </c>
      <c r="H995" s="72" cm="1">
        <f t="array" aca="1" ref="H99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95" s="96">
        <f ca="1">IF(Table2[[#This Row],[Team]]="FA",0,Table2[[#This Row],[Pts/G]]*(1-Table2[[#This Row],[% Pos Overlap]]))</f>
        <v>3.4878048780487805</v>
      </c>
      <c r="J995" s="72" cm="1">
        <f t="array" aca="1" ref="J995" ca="1">(INDIRECT(ADDRESS((_xlfn.XMATCH(Table2[[#This Row],[Team]],Schedule!$A$1:$A$33)),5,1,1,"Sched Overlap")))</f>
        <v>0.62922262922262917</v>
      </c>
      <c r="K995" s="92" cm="1">
        <f t="array" aca="1" ref="K99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95" s="95">
        <f ca="1">IF(Table2[[#This Row],[Team]]="FA",0,Table2[[#This Row],[Pts/G]]*(Table2[[#This Row],[Games Playable]]/82))</f>
        <v>3.4878048780487805</v>
      </c>
      <c r="M995" s="95" cm="1">
        <f t="array" aca="1" ref="M995" ca="1">Table2[[#This Row],[Playable x Score]]*_xlfn.IFS(Table2[[#This Row],[Pos]]="D",assumptions!$B$15,Table2[[#This Row],[Pos]]="F", assumptions!$B$14,Table2[[#This Row],[Pos]]="G",assumptions!$B$16)</f>
        <v>3.8365853658536588</v>
      </c>
    </row>
    <row r="996" spans="1:13" x14ac:dyDescent="0.3">
      <c r="A996">
        <f>'score estimates'!$A996</f>
        <v>993</v>
      </c>
      <c r="B996" t="str">
        <f>'score estimates'!$B996</f>
        <v>Josef Korenar</v>
      </c>
      <c r="C996" t="str">
        <f>'score estimates'!$D996</f>
        <v>G</v>
      </c>
      <c r="D996" t="str">
        <f>'score estimates'!$C996</f>
        <v>FA</v>
      </c>
      <c r="E996" s="75">
        <f>'score estimates'!$F996</f>
        <v>0.74390243902439024</v>
      </c>
      <c r="F996" s="71">
        <f>'score estimates'!$G996</f>
        <v>968</v>
      </c>
      <c r="G996" s="71" t="s">
        <v>983</v>
      </c>
      <c r="H996" s="72" t="e" cm="1">
        <f t="array" aca="1" ref="H996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996" s="96">
        <f>IF(Table2[[#This Row],[Team]]="FA",0,Table2[[#This Row],[Pts/G]]*(1-Table2[[#This Row],[% Pos Overlap]]))</f>
        <v>0</v>
      </c>
      <c r="J996" s="72" t="e" cm="1">
        <f t="array" aca="1" ref="J996" ca="1">(INDIRECT(ADDRESS((_xlfn.XMATCH(Table2[[#This Row],[Team]],Schedule!$A$1:$A$33)),5,1,1,"Sched Overlap")))</f>
        <v>#N/A</v>
      </c>
      <c r="K996" s="92" t="e" cm="1">
        <f t="array" aca="1" ref="K996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996" s="95">
        <f>IF(Table2[[#This Row],[Team]]="FA",0,Table2[[#This Row],[Pts/G]]*(Table2[[#This Row],[Games Playable]]/82))</f>
        <v>0</v>
      </c>
      <c r="M996" s="95" cm="1">
        <f t="array" ref="M996">Table2[[#This Row],[Playable x Score]]*_xlfn.IFS(Table2[[#This Row],[Pos]]="D",assumptions!$B$15,Table2[[#This Row],[Pos]]="F", assumptions!$B$14,Table2[[#This Row],[Pos]]="G",assumptions!$B$16)</f>
        <v>0</v>
      </c>
    </row>
    <row r="997" spans="1:13" x14ac:dyDescent="0.3">
      <c r="A997">
        <f>'score estimates'!$A997</f>
        <v>994</v>
      </c>
      <c r="B997" t="str">
        <f>'score estimates'!$B997</f>
        <v>Alexandar Georgiev</v>
      </c>
      <c r="C997" t="str">
        <f>'score estimates'!$D997</f>
        <v>G</v>
      </c>
      <c r="D997" t="str">
        <f>'score estimates'!$C997</f>
        <v>COL</v>
      </c>
      <c r="E997" s="75">
        <f>'score estimates'!$F997</f>
        <v>19.719512195121951</v>
      </c>
      <c r="F997" s="71">
        <f>'score estimates'!$G997</f>
        <v>256</v>
      </c>
      <c r="G997" s="71" t="s">
        <v>983</v>
      </c>
      <c r="H997" s="72" cm="1">
        <f t="array" aca="1" ref="H99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97" s="96">
        <f ca="1">IF(Table2[[#This Row],[Team]]="FA",0,Table2[[#This Row],[Pts/G]]*(1-Table2[[#This Row],[% Pos Overlap]]))</f>
        <v>19.719512195121951</v>
      </c>
      <c r="J997" s="72" cm="1">
        <f t="array" aca="1" ref="J997" ca="1">(INDIRECT(ADDRESS((_xlfn.XMATCH(Table2[[#This Row],[Team]],Schedule!$A$1:$A$33)),5,1,1,"Sched Overlap")))</f>
        <v>0.61131461131461151</v>
      </c>
      <c r="K997" s="92" cm="1">
        <f t="array" aca="1" ref="K99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97" s="95">
        <f ca="1">IF(Table2[[#This Row],[Team]]="FA",0,Table2[[#This Row],[Pts/G]]*(Table2[[#This Row],[Games Playable]]/82))</f>
        <v>19.719512195121951</v>
      </c>
      <c r="M997" s="95" cm="1">
        <f t="array" aca="1" ref="M997" ca="1">Table2[[#This Row],[Playable x Score]]*_xlfn.IFS(Table2[[#This Row],[Pos]]="D",assumptions!$B$15,Table2[[#This Row],[Pos]]="F", assumptions!$B$14,Table2[[#This Row],[Pos]]="G",assumptions!$B$16)</f>
        <v>21.691463414634146</v>
      </c>
    </row>
    <row r="998" spans="1:13" x14ac:dyDescent="0.3">
      <c r="A998">
        <f>'score estimates'!$A998</f>
        <v>995</v>
      </c>
      <c r="B998" t="str">
        <f>'score estimates'!$B998</f>
        <v>Alexandre Texier</v>
      </c>
      <c r="C998" t="str">
        <f>'score estimates'!$D998</f>
        <v>F</v>
      </c>
      <c r="D998" t="str">
        <f>'score estimates'!$C998</f>
        <v>CLS</v>
      </c>
      <c r="E998" s="75">
        <f>'score estimates'!$F998</f>
        <v>2.7560975609756095</v>
      </c>
      <c r="F998" s="71">
        <f>'score estimates'!$G998</f>
        <v>810</v>
      </c>
      <c r="G998" s="71" t="s">
        <v>983</v>
      </c>
      <c r="H998" s="72" cm="1">
        <f t="array" aca="1" ref="H99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98" s="96">
        <f ca="1">IF(Table2[[#This Row],[Team]]="FA",0,Table2[[#This Row],[Pts/G]]*(1-Table2[[#This Row],[% Pos Overlap]]))</f>
        <v>2.7560975609756095</v>
      </c>
      <c r="J998" s="72" cm="1">
        <f t="array" aca="1" ref="J998" ca="1">(INDIRECT(ADDRESS((_xlfn.XMATCH(Table2[[#This Row],[Team]],Schedule!$A$1:$A$33)),5,1,1,"Sched Overlap")))</f>
        <v>0.64875864875864886</v>
      </c>
      <c r="K998" s="92" cm="1">
        <f t="array" aca="1" ref="K99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98" s="95">
        <f ca="1">IF(Table2[[#This Row],[Team]]="FA",0,Table2[[#This Row],[Pts/G]]*(Table2[[#This Row],[Games Playable]]/82))</f>
        <v>2.7560975609756095</v>
      </c>
      <c r="M998" s="95" cm="1">
        <f t="array" aca="1" ref="M998" ca="1">Table2[[#This Row],[Playable x Score]]*_xlfn.IFS(Table2[[#This Row],[Pos]]="D",assumptions!$B$15,Table2[[#This Row],[Pos]]="F", assumptions!$B$14,Table2[[#This Row],[Pos]]="G",assumptions!$B$16)</f>
        <v>2.7560975609756095</v>
      </c>
    </row>
    <row r="999" spans="1:13" x14ac:dyDescent="0.3">
      <c r="A999">
        <f>'score estimates'!$A999</f>
        <v>996</v>
      </c>
      <c r="B999" t="str">
        <f>'score estimates'!$B999</f>
        <v>Casey DeSmith</v>
      </c>
      <c r="C999" t="str">
        <f>'score estimates'!$D999</f>
        <v>G</v>
      </c>
      <c r="D999" t="str">
        <f>'score estimates'!$C999</f>
        <v>PIT</v>
      </c>
      <c r="E999" s="75">
        <f>'score estimates'!$F999</f>
        <v>9.8658536585365848</v>
      </c>
      <c r="F999" s="71">
        <f>'score estimates'!$G999</f>
        <v>570</v>
      </c>
      <c r="G999" s="71" t="s">
        <v>983</v>
      </c>
      <c r="H999" s="72" cm="1">
        <f t="array" aca="1" ref="H99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999" s="96">
        <f ca="1">IF(Table2[[#This Row],[Team]]="FA",0,Table2[[#This Row],[Pts/G]]*(1-Table2[[#This Row],[% Pos Overlap]]))</f>
        <v>9.8658536585365848</v>
      </c>
      <c r="J999" s="72" cm="1">
        <f t="array" aca="1" ref="J999" ca="1">(INDIRECT(ADDRESS((_xlfn.XMATCH(Table2[[#This Row],[Team]],Schedule!$A$1:$A$33)),5,1,1,"Sched Overlap")))</f>
        <v>0.63492063492063477</v>
      </c>
      <c r="K999" s="92" cm="1">
        <f t="array" aca="1" ref="K99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999" s="95">
        <f ca="1">IF(Table2[[#This Row],[Team]]="FA",0,Table2[[#This Row],[Pts/G]]*(Table2[[#This Row],[Games Playable]]/82))</f>
        <v>9.8658536585365848</v>
      </c>
      <c r="M999" s="95" cm="1">
        <f t="array" aca="1" ref="M999" ca="1">Table2[[#This Row],[Playable x Score]]*_xlfn.IFS(Table2[[#This Row],[Pos]]="D",assumptions!$B$15,Table2[[#This Row],[Pos]]="F", assumptions!$B$14,Table2[[#This Row],[Pos]]="G",assumptions!$B$16)</f>
        <v>10.852439024390245</v>
      </c>
    </row>
    <row r="1000" spans="1:13" x14ac:dyDescent="0.3">
      <c r="A1000">
        <f>'score estimates'!$A1000</f>
        <v>997</v>
      </c>
      <c r="B1000" t="str">
        <f>'score estimates'!$B1000</f>
        <v>Chase Priskie</v>
      </c>
      <c r="C1000" t="str">
        <f>'score estimates'!$D1000</f>
        <v>D</v>
      </c>
      <c r="D1000" t="str">
        <f>'score estimates'!$C1000</f>
        <v>BUF</v>
      </c>
      <c r="E1000" s="75">
        <f>'score estimates'!$F1000</f>
        <v>1.2195121951219513E-2</v>
      </c>
      <c r="F1000" s="71">
        <f>'score estimates'!$G1000</f>
        <v>1060</v>
      </c>
      <c r="G1000" s="71" t="s">
        <v>983</v>
      </c>
      <c r="H1000" s="72" cm="1">
        <f t="array" aca="1" ref="H100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00" s="96">
        <f ca="1">IF(Table2[[#This Row],[Team]]="FA",0,Table2[[#This Row],[Pts/G]]*(1-Table2[[#This Row],[% Pos Overlap]]))</f>
        <v>1.2195121951219513E-2</v>
      </c>
      <c r="J1000" s="72" cm="1">
        <f t="array" aca="1" ref="J1000" ca="1">(INDIRECT(ADDRESS((_xlfn.XMATCH(Table2[[#This Row],[Team]],Schedule!$A$1:$A$33)),5,1,1,"Sched Overlap")))</f>
        <v>0.63573463573463573</v>
      </c>
      <c r="K1000" s="92" cm="1">
        <f t="array" aca="1" ref="K100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00" s="95">
        <f ca="1">IF(Table2[[#This Row],[Team]]="FA",0,Table2[[#This Row],[Pts/G]]*(Table2[[#This Row],[Games Playable]]/82))</f>
        <v>1.2195121951219513E-2</v>
      </c>
      <c r="M1000" s="95" cm="1">
        <f t="array" aca="1" ref="M1000" ca="1">Table2[[#This Row],[Playable x Score]]*_xlfn.IFS(Table2[[#This Row],[Pos]]="D",assumptions!$B$15,Table2[[#This Row],[Pos]]="F", assumptions!$B$14,Table2[[#This Row],[Pos]]="G",assumptions!$B$16)</f>
        <v>1.524390243902439E-2</v>
      </c>
    </row>
    <row r="1001" spans="1:13" x14ac:dyDescent="0.3">
      <c r="A1001">
        <f>'score estimates'!$A1001</f>
        <v>998</v>
      </c>
      <c r="B1001" t="str">
        <f>'score estimates'!$B1001</f>
        <v>Cal Petersen</v>
      </c>
      <c r="C1001" t="str">
        <f>'score estimates'!$D1001</f>
        <v>G</v>
      </c>
      <c r="D1001" t="str">
        <f>'score estimates'!$C1001</f>
        <v>LA</v>
      </c>
      <c r="E1001" s="75">
        <f>'score estimates'!$F1001</f>
        <v>17.719512195121951</v>
      </c>
      <c r="F1001" s="71">
        <f>'score estimates'!$G1001</f>
        <v>310</v>
      </c>
      <c r="G1001" s="71" t="s">
        <v>983</v>
      </c>
      <c r="H1001" s="72" cm="1">
        <f t="array" aca="1" ref="H100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01" s="96">
        <f ca="1">IF(Table2[[#This Row],[Team]]="FA",0,Table2[[#This Row],[Pts/G]]*(1-Table2[[#This Row],[% Pos Overlap]]))</f>
        <v>17.719512195121951</v>
      </c>
      <c r="J1001" s="72" cm="1">
        <f t="array" aca="1" ref="J1001" ca="1">(INDIRECT(ADDRESS((_xlfn.XMATCH(Table2[[#This Row],[Team]],Schedule!$A$1:$A$33)),5,1,1,"Sched Overlap")))</f>
        <v>0.65201465201465225</v>
      </c>
      <c r="K1001" s="92" cm="1">
        <f t="array" aca="1" ref="K100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01" s="95">
        <f ca="1">IF(Table2[[#This Row],[Team]]="FA",0,Table2[[#This Row],[Pts/G]]*(Table2[[#This Row],[Games Playable]]/82))</f>
        <v>17.719512195121951</v>
      </c>
      <c r="M1001" s="95" cm="1">
        <f t="array" aca="1" ref="M1001" ca="1">Table2[[#This Row],[Playable x Score]]*_xlfn.IFS(Table2[[#This Row],[Pos]]="D",assumptions!$B$15,Table2[[#This Row],[Pos]]="F", assumptions!$B$14,Table2[[#This Row],[Pos]]="G",assumptions!$B$16)</f>
        <v>19.491463414634147</v>
      </c>
    </row>
    <row r="1002" spans="1:13" x14ac:dyDescent="0.3">
      <c r="A1002">
        <f>'score estimates'!$A1002</f>
        <v>999</v>
      </c>
      <c r="B1002" t="str">
        <f>'score estimates'!$B1002</f>
        <v>Filip Gustavsson</v>
      </c>
      <c r="C1002" t="str">
        <f>'score estimates'!$D1002</f>
        <v>G</v>
      </c>
      <c r="D1002" t="str">
        <f>'score estimates'!$C1002</f>
        <v>MIN</v>
      </c>
      <c r="E1002" s="75">
        <f>'score estimates'!$F1002</f>
        <v>11.097560975609756</v>
      </c>
      <c r="F1002" s="71">
        <f>'score estimates'!$G1002</f>
        <v>527</v>
      </c>
      <c r="G1002" s="71" t="s">
        <v>983</v>
      </c>
      <c r="H1002" s="72" cm="1">
        <f t="array" aca="1" ref="H100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02" s="96">
        <f ca="1">IF(Table2[[#This Row],[Team]]="FA",0,Table2[[#This Row],[Pts/G]]*(1-Table2[[#This Row],[% Pos Overlap]]))</f>
        <v>11.097560975609756</v>
      </c>
      <c r="J1002" s="72" cm="1">
        <f t="array" aca="1" ref="J1002" ca="1">(INDIRECT(ADDRESS((_xlfn.XMATCH(Table2[[#This Row],[Team]],Schedule!$A$1:$A$33)),5,1,1,"Sched Overlap")))</f>
        <v>0.62108262108262113</v>
      </c>
      <c r="K1002" s="92" cm="1">
        <f t="array" aca="1" ref="K100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02" s="95">
        <f ca="1">IF(Table2[[#This Row],[Team]]="FA",0,Table2[[#This Row],[Pts/G]]*(Table2[[#This Row],[Games Playable]]/82))</f>
        <v>11.097560975609756</v>
      </c>
      <c r="M1002" s="95" cm="1">
        <f t="array" aca="1" ref="M1002" ca="1">Table2[[#This Row],[Playable x Score]]*_xlfn.IFS(Table2[[#This Row],[Pos]]="D",assumptions!$B$15,Table2[[#This Row],[Pos]]="F", assumptions!$B$14,Table2[[#This Row],[Pos]]="G",assumptions!$B$16)</f>
        <v>12.207317073170733</v>
      </c>
    </row>
    <row r="1003" spans="1:13" x14ac:dyDescent="0.3">
      <c r="A1003">
        <f>'score estimates'!$A1003</f>
        <v>1000</v>
      </c>
      <c r="B1003" t="str">
        <f>'score estimates'!$B1003</f>
        <v>David Rittich</v>
      </c>
      <c r="C1003" t="str">
        <f>'score estimates'!$D1003</f>
        <v>G</v>
      </c>
      <c r="D1003" t="str">
        <f>'score estimates'!$C1003</f>
        <v>WPG</v>
      </c>
      <c r="E1003" s="75">
        <f>'score estimates'!$F1003</f>
        <v>5.3414634146341466</v>
      </c>
      <c r="F1003" s="71">
        <f>'score estimates'!$G1003</f>
        <v>710</v>
      </c>
      <c r="G1003" s="71" t="s">
        <v>983</v>
      </c>
      <c r="H1003" s="72" cm="1">
        <f t="array" aca="1" ref="H100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03" s="96">
        <f ca="1">IF(Table2[[#This Row],[Team]]="FA",0,Table2[[#This Row],[Pts/G]]*(1-Table2[[#This Row],[% Pos Overlap]]))</f>
        <v>5.3414634146341466</v>
      </c>
      <c r="J1003" s="72" cm="1">
        <f t="array" aca="1" ref="J1003" ca="1">(INDIRECT(ADDRESS((_xlfn.XMATCH(Table2[[#This Row],[Team]],Schedule!$A$1:$A$33)),5,1,1,"Sched Overlap")))</f>
        <v>0.61212861212861214</v>
      </c>
      <c r="K1003" s="92" cm="1">
        <f t="array" aca="1" ref="K100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03" s="95">
        <f ca="1">IF(Table2[[#This Row],[Team]]="FA",0,Table2[[#This Row],[Pts/G]]*(Table2[[#This Row],[Games Playable]]/82))</f>
        <v>5.3414634146341466</v>
      </c>
      <c r="M1003" s="95" cm="1">
        <f t="array" aca="1" ref="M1003" ca="1">Table2[[#This Row],[Playable x Score]]*_xlfn.IFS(Table2[[#This Row],[Pos]]="D",assumptions!$B$15,Table2[[#This Row],[Pos]]="F", assumptions!$B$14,Table2[[#This Row],[Pos]]="G",assumptions!$B$16)</f>
        <v>5.8756097560975622</v>
      </c>
    </row>
    <row r="1004" spans="1:13" x14ac:dyDescent="0.3">
      <c r="A1004">
        <f>'score estimates'!$A1004</f>
        <v>1001</v>
      </c>
      <c r="B1004" t="str">
        <f>'score estimates'!$B1004</f>
        <v>Max Lajoie</v>
      </c>
      <c r="C1004" t="str">
        <f>'score estimates'!$D1004</f>
        <v>D</v>
      </c>
      <c r="D1004" t="str">
        <f>'score estimates'!$C1004</f>
        <v>CAR</v>
      </c>
      <c r="E1004" s="75">
        <f>'score estimates'!$F1004</f>
        <v>0</v>
      </c>
      <c r="F1004" s="71">
        <f>'score estimates'!$G1004</f>
        <v>1061</v>
      </c>
      <c r="G1004" s="71" t="s">
        <v>983</v>
      </c>
      <c r="H1004" s="72" cm="1">
        <f t="array" aca="1" ref="H100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04" s="96">
        <f ca="1">IF(Table2[[#This Row],[Team]]="FA",0,Table2[[#This Row],[Pts/G]]*(1-Table2[[#This Row],[% Pos Overlap]]))</f>
        <v>0</v>
      </c>
      <c r="J1004" s="72" cm="1">
        <f t="array" aca="1" ref="J1004" ca="1">(INDIRECT(ADDRESS((_xlfn.XMATCH(Table2[[#This Row],[Team]],Schedule!$A$1:$A$33)),5,1,1,"Sched Overlap")))</f>
        <v>0.63247863247863245</v>
      </c>
      <c r="K1004" s="92" cm="1">
        <f t="array" aca="1" ref="K100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04" s="95">
        <f ca="1">IF(Table2[[#This Row],[Team]]="FA",0,Table2[[#This Row],[Pts/G]]*(Table2[[#This Row],[Games Playable]]/82))</f>
        <v>0</v>
      </c>
      <c r="M1004" s="95" cm="1">
        <f t="array" aca="1" ref="M1004" ca="1">Table2[[#This Row],[Playable x Score]]*_xlfn.IFS(Table2[[#This Row],[Pos]]="D",assumptions!$B$15,Table2[[#This Row],[Pos]]="F", assumptions!$B$14,Table2[[#This Row],[Pos]]="G",assumptions!$B$16)</f>
        <v>0</v>
      </c>
    </row>
    <row r="1005" spans="1:13" x14ac:dyDescent="0.3">
      <c r="A1005">
        <f>'score estimates'!$A1005</f>
        <v>1002</v>
      </c>
      <c r="B1005" t="str">
        <f>'score estimates'!$B1005</f>
        <v>Joey Anderson</v>
      </c>
      <c r="C1005" t="str">
        <f>'score estimates'!$D1005</f>
        <v>F</v>
      </c>
      <c r="D1005" t="str">
        <f>'score estimates'!$C1005</f>
        <v>TOR</v>
      </c>
      <c r="E1005" s="75">
        <f>'score estimates'!$F1005</f>
        <v>0.34146341463414637</v>
      </c>
      <c r="F1005" s="71">
        <f>'score estimates'!$G1005</f>
        <v>1017</v>
      </c>
      <c r="G1005" s="71" t="s">
        <v>983</v>
      </c>
      <c r="H1005" s="72" cm="1">
        <f t="array" aca="1" ref="H100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05" s="96">
        <f ca="1">IF(Table2[[#This Row],[Team]]="FA",0,Table2[[#This Row],[Pts/G]]*(1-Table2[[#This Row],[% Pos Overlap]]))</f>
        <v>0.34146341463414637</v>
      </c>
      <c r="J1005" s="72" cm="1">
        <f t="array" aca="1" ref="J1005" ca="1">(INDIRECT(ADDRESS((_xlfn.XMATCH(Table2[[#This Row],[Team]],Schedule!$A$1:$A$33)),5,1,1,"Sched Overlap")))</f>
        <v>0.62922262922262928</v>
      </c>
      <c r="K1005" s="92" cm="1">
        <f t="array" aca="1" ref="K100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05" s="95">
        <f ca="1">IF(Table2[[#This Row],[Team]]="FA",0,Table2[[#This Row],[Pts/G]]*(Table2[[#This Row],[Games Playable]]/82))</f>
        <v>0.34146341463414637</v>
      </c>
      <c r="M1005" s="95" cm="1">
        <f t="array" aca="1" ref="M1005" ca="1">Table2[[#This Row],[Playable x Score]]*_xlfn.IFS(Table2[[#This Row],[Pos]]="D",assumptions!$B$15,Table2[[#This Row],[Pos]]="F", assumptions!$B$14,Table2[[#This Row],[Pos]]="G",assumptions!$B$16)</f>
        <v>0.34146341463414637</v>
      </c>
    </row>
    <row r="1006" spans="1:13" x14ac:dyDescent="0.3">
      <c r="A1006">
        <f>'score estimates'!$A1006</f>
        <v>1003</v>
      </c>
      <c r="B1006" t="str">
        <f>'score estimates'!$B1006</f>
        <v>Garrett Pilon</v>
      </c>
      <c r="C1006" t="str">
        <f>'score estimates'!$D1006</f>
        <v>F</v>
      </c>
      <c r="D1006" t="str">
        <f>'score estimates'!$C1006</f>
        <v>WAS</v>
      </c>
      <c r="E1006" s="75">
        <f>'score estimates'!$F1006</f>
        <v>0.24390243902439024</v>
      </c>
      <c r="F1006" s="71">
        <f>'score estimates'!$G1006</f>
        <v>1035</v>
      </c>
      <c r="G1006" s="71" t="s">
        <v>983</v>
      </c>
      <c r="H1006" s="72" cm="1">
        <f t="array" aca="1" ref="H100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06" s="96">
        <f ca="1">IF(Table2[[#This Row],[Team]]="FA",0,Table2[[#This Row],[Pts/G]]*(1-Table2[[#This Row],[% Pos Overlap]]))</f>
        <v>0.24390243902439024</v>
      </c>
      <c r="J1006" s="72" cm="1">
        <f t="array" aca="1" ref="J1006" ca="1">(INDIRECT(ADDRESS((_xlfn.XMATCH(Table2[[#This Row],[Team]],Schedule!$A$1:$A$33)),5,1,1,"Sched Overlap")))</f>
        <v>0.65282865282865288</v>
      </c>
      <c r="K1006" s="92" cm="1">
        <f t="array" aca="1" ref="K100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06" s="95">
        <f ca="1">IF(Table2[[#This Row],[Team]]="FA",0,Table2[[#This Row],[Pts/G]]*(Table2[[#This Row],[Games Playable]]/82))</f>
        <v>0.24390243902439024</v>
      </c>
      <c r="M1006" s="95" cm="1">
        <f t="array" aca="1" ref="M1006" ca="1">Table2[[#This Row],[Playable x Score]]*_xlfn.IFS(Table2[[#This Row],[Pos]]="D",assumptions!$B$15,Table2[[#This Row],[Pos]]="F", assumptions!$B$14,Table2[[#This Row],[Pos]]="G",assumptions!$B$16)</f>
        <v>0.24390243902439024</v>
      </c>
    </row>
    <row r="1007" spans="1:13" x14ac:dyDescent="0.3">
      <c r="A1007">
        <f>'score estimates'!$A1007</f>
        <v>1004</v>
      </c>
      <c r="B1007" t="str">
        <f>'score estimates'!$B1007</f>
        <v>Connor Ingram</v>
      </c>
      <c r="C1007" t="str">
        <f>'score estimates'!$D1007</f>
        <v>G</v>
      </c>
      <c r="D1007" t="str">
        <f>'score estimates'!$C1007</f>
        <v>NSH</v>
      </c>
      <c r="E1007" s="75">
        <f>'score estimates'!$F1007</f>
        <v>0.69512195121951215</v>
      </c>
      <c r="F1007" s="71">
        <f>'score estimates'!$G1007</f>
        <v>974</v>
      </c>
      <c r="G1007" s="71" t="s">
        <v>983</v>
      </c>
      <c r="H1007" s="72" cm="1">
        <f t="array" aca="1" ref="H100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07" s="96">
        <f ca="1">IF(Table2[[#This Row],[Team]]="FA",0,Table2[[#This Row],[Pts/G]]*(1-Table2[[#This Row],[% Pos Overlap]]))</f>
        <v>0.69512195121951215</v>
      </c>
      <c r="J1007" s="72" cm="1">
        <f t="array" aca="1" ref="J1007" ca="1">(INDIRECT(ADDRESS((_xlfn.XMATCH(Table2[[#This Row],[Team]],Schedule!$A$1:$A$33)),5,1,1,"Sched Overlap")))</f>
        <v>0.67806267806267806</v>
      </c>
      <c r="K1007" s="92" cm="1">
        <f t="array" aca="1" ref="K100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07" s="95">
        <f ca="1">IF(Table2[[#This Row],[Team]]="FA",0,Table2[[#This Row],[Pts/G]]*(Table2[[#This Row],[Games Playable]]/82))</f>
        <v>0.69512195121951215</v>
      </c>
      <c r="M1007" s="95" cm="1">
        <f t="array" aca="1" ref="M1007" ca="1">Table2[[#This Row],[Playable x Score]]*_xlfn.IFS(Table2[[#This Row],[Pos]]="D",assumptions!$B$15,Table2[[#This Row],[Pos]]="F", assumptions!$B$14,Table2[[#This Row],[Pos]]="G",assumptions!$B$16)</f>
        <v>0.76463414634146343</v>
      </c>
    </row>
    <row r="1008" spans="1:13" x14ac:dyDescent="0.3">
      <c r="A1008">
        <f>'score estimates'!$A1008</f>
        <v>1005</v>
      </c>
      <c r="B1008" t="str">
        <f>'score estimates'!$B1008</f>
        <v>Joseph Woll</v>
      </c>
      <c r="C1008" t="str">
        <f>'score estimates'!$D1008</f>
        <v>G</v>
      </c>
      <c r="D1008" t="str">
        <f>'score estimates'!$C1008</f>
        <v>TOR</v>
      </c>
      <c r="E1008" s="75">
        <f>'score estimates'!$F1008</f>
        <v>0.85365853658536583</v>
      </c>
      <c r="F1008" s="71">
        <f>'score estimates'!$G1008</f>
        <v>955</v>
      </c>
      <c r="G1008" s="71" t="s">
        <v>983</v>
      </c>
      <c r="H1008" s="72" cm="1">
        <f t="array" aca="1" ref="H100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08" s="96">
        <f ca="1">IF(Table2[[#This Row],[Team]]="FA",0,Table2[[#This Row],[Pts/G]]*(1-Table2[[#This Row],[% Pos Overlap]]))</f>
        <v>0.85365853658536583</v>
      </c>
      <c r="J1008" s="72" cm="1">
        <f t="array" aca="1" ref="J1008" ca="1">(INDIRECT(ADDRESS((_xlfn.XMATCH(Table2[[#This Row],[Team]],Schedule!$A$1:$A$33)),5,1,1,"Sched Overlap")))</f>
        <v>0.62922262922262928</v>
      </c>
      <c r="K1008" s="92" cm="1">
        <f t="array" aca="1" ref="K100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08" s="95">
        <f ca="1">IF(Table2[[#This Row],[Team]]="FA",0,Table2[[#This Row],[Pts/G]]*(Table2[[#This Row],[Games Playable]]/82))</f>
        <v>0.85365853658536583</v>
      </c>
      <c r="M1008" s="95" cm="1">
        <f t="array" aca="1" ref="M1008" ca="1">Table2[[#This Row],[Playable x Score]]*_xlfn.IFS(Table2[[#This Row],[Pos]]="D",assumptions!$B$15,Table2[[#This Row],[Pos]]="F", assumptions!$B$14,Table2[[#This Row],[Pos]]="G",assumptions!$B$16)</f>
        <v>0.9390243902439025</v>
      </c>
    </row>
    <row r="1009" spans="1:13" x14ac:dyDescent="0.3">
      <c r="A1009">
        <f>'score estimates'!$A1009</f>
        <v>1006</v>
      </c>
      <c r="B1009" t="str">
        <f>'score estimates'!$B1009</f>
        <v>Sean Day</v>
      </c>
      <c r="C1009" t="str">
        <f>'score estimates'!$D1009</f>
        <v>D</v>
      </c>
      <c r="D1009" t="str">
        <f>'score estimates'!$C1009</f>
        <v>TB</v>
      </c>
      <c r="E1009" s="75">
        <f>'score estimates'!$F1009</f>
        <v>0.1951219512195122</v>
      </c>
      <c r="F1009" s="71">
        <f>'score estimates'!$G1009</f>
        <v>1042</v>
      </c>
      <c r="G1009" s="71" t="s">
        <v>983</v>
      </c>
      <c r="H1009" s="72" cm="1">
        <f t="array" aca="1" ref="H100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09" s="96">
        <f ca="1">IF(Table2[[#This Row],[Team]]="FA",0,Table2[[#This Row],[Pts/G]]*(1-Table2[[#This Row],[% Pos Overlap]]))</f>
        <v>0.1951219512195122</v>
      </c>
      <c r="J1009" s="72" cm="1">
        <f t="array" aca="1" ref="J1009" ca="1">(INDIRECT(ADDRESS((_xlfn.XMATCH(Table2[[#This Row],[Team]],Schedule!$A$1:$A$33)),5,1,1,"Sched Overlap")))</f>
        <v>0.66422466422466431</v>
      </c>
      <c r="K1009" s="92" cm="1">
        <f t="array" aca="1" ref="K100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09" s="95">
        <f ca="1">IF(Table2[[#This Row],[Team]]="FA",0,Table2[[#This Row],[Pts/G]]*(Table2[[#This Row],[Games Playable]]/82))</f>
        <v>0.1951219512195122</v>
      </c>
      <c r="M1009" s="95" cm="1">
        <f t="array" aca="1" ref="M1009" ca="1">Table2[[#This Row],[Playable x Score]]*_xlfn.IFS(Table2[[#This Row],[Pos]]="D",assumptions!$B$15,Table2[[#This Row],[Pos]]="F", assumptions!$B$14,Table2[[#This Row],[Pos]]="G",assumptions!$B$16)</f>
        <v>0.24390243902439024</v>
      </c>
    </row>
    <row r="1010" spans="1:13" x14ac:dyDescent="0.3">
      <c r="A1010">
        <f>'score estimates'!$A1010</f>
        <v>1007</v>
      </c>
      <c r="B1010" t="str">
        <f>'score estimates'!$B1010</f>
        <v>Tim Gettinger</v>
      </c>
      <c r="C1010" t="str">
        <f>'score estimates'!$D1010</f>
        <v>F</v>
      </c>
      <c r="D1010" t="str">
        <f>'score estimates'!$C1010</f>
        <v>NYR</v>
      </c>
      <c r="E1010" s="75">
        <f>'score estimates'!$F1010</f>
        <v>0.75609756097560976</v>
      </c>
      <c r="F1010" s="71">
        <f>'score estimates'!$G1010</f>
        <v>967</v>
      </c>
      <c r="G1010" s="71" t="s">
        <v>983</v>
      </c>
      <c r="H1010" s="72" cm="1">
        <f t="array" aca="1" ref="H101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10" s="96">
        <f ca="1">IF(Table2[[#This Row],[Team]]="FA",0,Table2[[#This Row],[Pts/G]]*(1-Table2[[#This Row],[% Pos Overlap]]))</f>
        <v>0.75609756097560976</v>
      </c>
      <c r="J1010" s="72" cm="1">
        <f t="array" aca="1" ref="J1010" ca="1">(INDIRECT(ADDRESS((_xlfn.XMATCH(Table2[[#This Row],[Team]],Schedule!$A$1:$A$33)),5,1,1,"Sched Overlap")))</f>
        <v>0.60236060236060229</v>
      </c>
      <c r="K1010" s="92" cm="1">
        <f t="array" aca="1" ref="K101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10" s="95">
        <f ca="1">IF(Table2[[#This Row],[Team]]="FA",0,Table2[[#This Row],[Pts/G]]*(Table2[[#This Row],[Games Playable]]/82))</f>
        <v>0.75609756097560976</v>
      </c>
      <c r="M1010" s="95" cm="1">
        <f t="array" aca="1" ref="M1010" ca="1">Table2[[#This Row],[Playable x Score]]*_xlfn.IFS(Table2[[#This Row],[Pos]]="D",assumptions!$B$15,Table2[[#This Row],[Pos]]="F", assumptions!$B$14,Table2[[#This Row],[Pos]]="G",assumptions!$B$16)</f>
        <v>0.75609756097560976</v>
      </c>
    </row>
    <row r="1011" spans="1:13" x14ac:dyDescent="0.3">
      <c r="A1011">
        <f>'score estimates'!$A1011</f>
        <v>1008</v>
      </c>
      <c r="B1011" t="str">
        <f>'score estimates'!$B1011</f>
        <v>Zach Sawchenko</v>
      </c>
      <c r="C1011" t="str">
        <f>'score estimates'!$D1011</f>
        <v>G</v>
      </c>
      <c r="D1011" t="str">
        <f>'score estimates'!$C1011</f>
        <v>CAR</v>
      </c>
      <c r="E1011" s="75">
        <f>'score estimates'!$F1011</f>
        <v>0.57317073170731703</v>
      </c>
      <c r="F1011" s="71">
        <f>'score estimates'!$G1011</f>
        <v>996</v>
      </c>
      <c r="G1011" s="71" t="s">
        <v>983</v>
      </c>
      <c r="H1011" s="72" cm="1">
        <f t="array" aca="1" ref="H101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11" s="96">
        <f ca="1">IF(Table2[[#This Row],[Team]]="FA",0,Table2[[#This Row],[Pts/G]]*(1-Table2[[#This Row],[% Pos Overlap]]))</f>
        <v>0.57317073170731703</v>
      </c>
      <c r="J1011" s="72" cm="1">
        <f t="array" aca="1" ref="J1011" ca="1">(INDIRECT(ADDRESS((_xlfn.XMATCH(Table2[[#This Row],[Team]],Schedule!$A$1:$A$33)),5,1,1,"Sched Overlap")))</f>
        <v>0.63247863247863245</v>
      </c>
      <c r="K1011" s="92" cm="1">
        <f t="array" aca="1" ref="K101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11" s="95">
        <f ca="1">IF(Table2[[#This Row],[Team]]="FA",0,Table2[[#This Row],[Pts/G]]*(Table2[[#This Row],[Games Playable]]/82))</f>
        <v>0.57317073170731703</v>
      </c>
      <c r="M1011" s="95" cm="1">
        <f t="array" aca="1" ref="M1011" ca="1">Table2[[#This Row],[Playable x Score]]*_xlfn.IFS(Table2[[#This Row],[Pos]]="D",assumptions!$B$15,Table2[[#This Row],[Pos]]="F", assumptions!$B$14,Table2[[#This Row],[Pos]]="G",assumptions!$B$16)</f>
        <v>0.63048780487804879</v>
      </c>
    </row>
    <row r="1012" spans="1:13" x14ac:dyDescent="0.3">
      <c r="A1012">
        <f>'score estimates'!$A1012</f>
        <v>1009</v>
      </c>
      <c r="B1012" t="str">
        <f>'score estimates'!$B1012</f>
        <v>Jack LaFontaine</v>
      </c>
      <c r="C1012" t="str">
        <f>'score estimates'!$D1012</f>
        <v>G</v>
      </c>
      <c r="D1012" t="str">
        <f>'score estimates'!$C1012</f>
        <v>FA</v>
      </c>
      <c r="E1012" s="75">
        <f>'score estimates'!$F1012</f>
        <v>-0.86585365853658536</v>
      </c>
      <c r="F1012" s="71">
        <f>'score estimates'!$G1012</f>
        <v>1083</v>
      </c>
      <c r="G1012" s="71" t="s">
        <v>983</v>
      </c>
      <c r="H1012" s="72" t="e" cm="1">
        <f t="array" aca="1" ref="H1012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1012" s="96">
        <f>IF(Table2[[#This Row],[Team]]="FA",0,Table2[[#This Row],[Pts/G]]*(1-Table2[[#This Row],[% Pos Overlap]]))</f>
        <v>0</v>
      </c>
      <c r="J1012" s="72" t="e" cm="1">
        <f t="array" aca="1" ref="J1012" ca="1">(INDIRECT(ADDRESS((_xlfn.XMATCH(Table2[[#This Row],[Team]],Schedule!$A$1:$A$33)),5,1,1,"Sched Overlap")))</f>
        <v>#N/A</v>
      </c>
      <c r="K1012" s="92" t="e" cm="1">
        <f t="array" aca="1" ref="K1012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1012" s="95">
        <f>IF(Table2[[#This Row],[Team]]="FA",0,Table2[[#This Row],[Pts/G]]*(Table2[[#This Row],[Games Playable]]/82))</f>
        <v>0</v>
      </c>
      <c r="M1012" s="95" cm="1">
        <f t="array" ref="M1012">Table2[[#This Row],[Playable x Score]]*_xlfn.IFS(Table2[[#This Row],[Pos]]="D",assumptions!$B$15,Table2[[#This Row],[Pos]]="F", assumptions!$B$14,Table2[[#This Row],[Pos]]="G",assumptions!$B$16)</f>
        <v>0</v>
      </c>
    </row>
    <row r="1013" spans="1:13" x14ac:dyDescent="0.3">
      <c r="A1013">
        <f>'score estimates'!$A1013</f>
        <v>1010</v>
      </c>
      <c r="B1013" t="str">
        <f>'score estimates'!$B1013</f>
        <v>Charlie Lindgren</v>
      </c>
      <c r="C1013" t="str">
        <f>'score estimates'!$D1013</f>
        <v>G</v>
      </c>
      <c r="D1013" t="str">
        <f>'score estimates'!$C1013</f>
        <v>WAS</v>
      </c>
      <c r="E1013" s="75">
        <f>'score estimates'!$F1013</f>
        <v>10.475609756097562</v>
      </c>
      <c r="F1013" s="71">
        <f>'score estimates'!$G1013</f>
        <v>547</v>
      </c>
      <c r="G1013" s="71" t="s">
        <v>983</v>
      </c>
      <c r="H1013" s="72" cm="1">
        <f t="array" aca="1" ref="H101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13" s="96">
        <f ca="1">IF(Table2[[#This Row],[Team]]="FA",0,Table2[[#This Row],[Pts/G]]*(1-Table2[[#This Row],[% Pos Overlap]]))</f>
        <v>10.475609756097562</v>
      </c>
      <c r="J1013" s="72" cm="1">
        <f t="array" aca="1" ref="J1013" ca="1">(INDIRECT(ADDRESS((_xlfn.XMATCH(Table2[[#This Row],[Team]],Schedule!$A$1:$A$33)),5,1,1,"Sched Overlap")))</f>
        <v>0.65282865282865288</v>
      </c>
      <c r="K1013" s="92" cm="1">
        <f t="array" aca="1" ref="K101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13" s="95">
        <f ca="1">IF(Table2[[#This Row],[Team]]="FA",0,Table2[[#This Row],[Pts/G]]*(Table2[[#This Row],[Games Playable]]/82))</f>
        <v>10.475609756097562</v>
      </c>
      <c r="M1013" s="95" cm="1">
        <f t="array" aca="1" ref="M1013" ca="1">Table2[[#This Row],[Playable x Score]]*_xlfn.IFS(Table2[[#This Row],[Pos]]="D",assumptions!$B$15,Table2[[#This Row],[Pos]]="F", assumptions!$B$14,Table2[[#This Row],[Pos]]="G",assumptions!$B$16)</f>
        <v>11.523170731707319</v>
      </c>
    </row>
    <row r="1014" spans="1:13" x14ac:dyDescent="0.3">
      <c r="A1014">
        <f>'score estimates'!$A1014</f>
        <v>1011</v>
      </c>
      <c r="B1014" t="str">
        <f>'score estimates'!$B1014</f>
        <v>Dan Renouf</v>
      </c>
      <c r="C1014" t="str">
        <f>'score estimates'!$D1014</f>
        <v>D</v>
      </c>
      <c r="D1014" t="str">
        <f>'score estimates'!$C1014</f>
        <v>BOS</v>
      </c>
      <c r="E1014" s="75">
        <f>'score estimates'!$F1014</f>
        <v>0</v>
      </c>
      <c r="F1014" s="71">
        <f>'score estimates'!$G1014</f>
        <v>1061</v>
      </c>
      <c r="G1014" s="71" t="s">
        <v>983</v>
      </c>
      <c r="H1014" s="72" cm="1">
        <f t="array" aca="1" ref="H101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14" s="96">
        <f ca="1">IF(Table2[[#This Row],[Team]]="FA",0,Table2[[#This Row],[Pts/G]]*(1-Table2[[#This Row],[% Pos Overlap]]))</f>
        <v>0</v>
      </c>
      <c r="J1014" s="72" cm="1">
        <f t="array" aca="1" ref="J1014" ca="1">(INDIRECT(ADDRESS((_xlfn.XMATCH(Table2[[#This Row],[Team]],Schedule!$A$1:$A$33)),5,1,1,"Sched Overlap")))</f>
        <v>0.67236467236467234</v>
      </c>
      <c r="K1014" s="92" cm="1">
        <f t="array" aca="1" ref="K101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14" s="95">
        <f ca="1">IF(Table2[[#This Row],[Team]]="FA",0,Table2[[#This Row],[Pts/G]]*(Table2[[#This Row],[Games Playable]]/82))</f>
        <v>0</v>
      </c>
      <c r="M1014" s="95" cm="1">
        <f t="array" aca="1" ref="M1014" ca="1">Table2[[#This Row],[Playable x Score]]*_xlfn.IFS(Table2[[#This Row],[Pos]]="D",assumptions!$B$15,Table2[[#This Row],[Pos]]="F", assumptions!$B$14,Table2[[#This Row],[Pos]]="G",assumptions!$B$16)</f>
        <v>0</v>
      </c>
    </row>
    <row r="1015" spans="1:13" x14ac:dyDescent="0.3">
      <c r="A1015">
        <f>'score estimates'!$A1015</f>
        <v>1012</v>
      </c>
      <c r="B1015" t="str">
        <f>'score estimates'!$B1015</f>
        <v>Garret Sparks</v>
      </c>
      <c r="C1015" t="str">
        <f>'score estimates'!$D1015</f>
        <v>G</v>
      </c>
      <c r="D1015" t="str">
        <f>'score estimates'!$C1015</f>
        <v>FA</v>
      </c>
      <c r="E1015" s="75">
        <f>'score estimates'!$F1015</f>
        <v>0.8902439024390244</v>
      </c>
      <c r="F1015" s="71">
        <f>'score estimates'!$G1015</f>
        <v>951</v>
      </c>
      <c r="G1015" s="71" t="s">
        <v>983</v>
      </c>
      <c r="H1015" s="72" t="e" cm="1">
        <f t="array" aca="1" ref="H1015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1015" s="96">
        <f>IF(Table2[[#This Row],[Team]]="FA",0,Table2[[#This Row],[Pts/G]]*(1-Table2[[#This Row],[% Pos Overlap]]))</f>
        <v>0</v>
      </c>
      <c r="J1015" s="72" t="e" cm="1">
        <f t="array" aca="1" ref="J1015" ca="1">(INDIRECT(ADDRESS((_xlfn.XMATCH(Table2[[#This Row],[Team]],Schedule!$A$1:$A$33)),5,1,1,"Sched Overlap")))</f>
        <v>#N/A</v>
      </c>
      <c r="K1015" s="92" t="e" cm="1">
        <f t="array" aca="1" ref="K1015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1015" s="95">
        <f>IF(Table2[[#This Row],[Team]]="FA",0,Table2[[#This Row],[Pts/G]]*(Table2[[#This Row],[Games Playable]]/82))</f>
        <v>0</v>
      </c>
      <c r="M1015" s="95" cm="1">
        <f t="array" ref="M1015">Table2[[#This Row],[Playable x Score]]*_xlfn.IFS(Table2[[#This Row],[Pos]]="D",assumptions!$B$15,Table2[[#This Row],[Pos]]="F", assumptions!$B$14,Table2[[#This Row],[Pos]]="G",assumptions!$B$16)</f>
        <v>0</v>
      </c>
    </row>
    <row r="1016" spans="1:13" x14ac:dyDescent="0.3">
      <c r="A1016">
        <f>'score estimates'!$A1016</f>
        <v>1013</v>
      </c>
      <c r="B1016" t="str">
        <f>'score estimates'!$B1016</f>
        <v>Paul LaDue</v>
      </c>
      <c r="C1016" t="str">
        <f>'score estimates'!$D1016</f>
        <v>D</v>
      </c>
      <c r="D1016" t="str">
        <f>'score estimates'!$C1016</f>
        <v>NYI</v>
      </c>
      <c r="E1016" s="75">
        <f>'score estimates'!$F1016</f>
        <v>-0.17073170731707318</v>
      </c>
      <c r="F1016" s="71">
        <f>'score estimates'!$G1016</f>
        <v>1073</v>
      </c>
      <c r="G1016" s="71" t="s">
        <v>983</v>
      </c>
      <c r="H1016" s="72" cm="1">
        <f t="array" aca="1" ref="H101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16" s="96">
        <f ca="1">IF(Table2[[#This Row],[Team]]="FA",0,Table2[[#This Row],[Pts/G]]*(1-Table2[[#This Row],[% Pos Overlap]]))</f>
        <v>-0.17073170731707318</v>
      </c>
      <c r="J1016" s="72" cm="1">
        <f t="array" aca="1" ref="J1016" ca="1">(INDIRECT(ADDRESS((_xlfn.XMATCH(Table2[[#This Row],[Team]],Schedule!$A$1:$A$33)),5,1,1,"Sched Overlap")))</f>
        <v>0.63166463166463194</v>
      </c>
      <c r="K1016" s="92" cm="1">
        <f t="array" aca="1" ref="K101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16" s="95">
        <f ca="1">IF(Table2[[#This Row],[Team]]="FA",0,Table2[[#This Row],[Pts/G]]*(Table2[[#This Row],[Games Playable]]/82))</f>
        <v>-0.17073170731707318</v>
      </c>
      <c r="M1016" s="95" cm="1">
        <f t="array" aca="1" ref="M1016" ca="1">Table2[[#This Row],[Playable x Score]]*_xlfn.IFS(Table2[[#This Row],[Pos]]="D",assumptions!$B$15,Table2[[#This Row],[Pos]]="F", assumptions!$B$14,Table2[[#This Row],[Pos]]="G",assumptions!$B$16)</f>
        <v>-0.21341463414634149</v>
      </c>
    </row>
    <row r="1017" spans="1:13" x14ac:dyDescent="0.3">
      <c r="A1017">
        <f>'score estimates'!$A1017</f>
        <v>1014</v>
      </c>
      <c r="B1017" t="str">
        <f>'score estimates'!$B1017</f>
        <v>Alex Lyon</v>
      </c>
      <c r="C1017" t="str">
        <f>'score estimates'!$D1017</f>
        <v>G</v>
      </c>
      <c r="D1017" t="str">
        <f>'score estimates'!$C1017</f>
        <v>FLA</v>
      </c>
      <c r="E1017" s="75">
        <f>'score estimates'!$F1017</f>
        <v>0.13414634146341464</v>
      </c>
      <c r="F1017" s="71">
        <f>'score estimates'!$G1017</f>
        <v>1047</v>
      </c>
      <c r="G1017" s="71" t="s">
        <v>983</v>
      </c>
      <c r="H1017" s="72" cm="1">
        <f t="array" aca="1" ref="H101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17" s="96">
        <f ca="1">IF(Table2[[#This Row],[Team]]="FA",0,Table2[[#This Row],[Pts/G]]*(1-Table2[[#This Row],[% Pos Overlap]]))</f>
        <v>0.13414634146341464</v>
      </c>
      <c r="J1017" s="72" cm="1">
        <f t="array" aca="1" ref="J1017" ca="1">(INDIRECT(ADDRESS((_xlfn.XMATCH(Table2[[#This Row],[Team]],Schedule!$A$1:$A$33)),5,1,1,"Sched Overlap")))</f>
        <v>0.64387464387464377</v>
      </c>
      <c r="K1017" s="92" cm="1">
        <f t="array" aca="1" ref="K101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17" s="95">
        <f ca="1">IF(Table2[[#This Row],[Team]]="FA",0,Table2[[#This Row],[Pts/G]]*(Table2[[#This Row],[Games Playable]]/82))</f>
        <v>0.13414634146341464</v>
      </c>
      <c r="M1017" s="95" cm="1">
        <f t="array" aca="1" ref="M1017" ca="1">Table2[[#This Row],[Playable x Score]]*_xlfn.IFS(Table2[[#This Row],[Pos]]="D",assumptions!$B$15,Table2[[#This Row],[Pos]]="F", assumptions!$B$14,Table2[[#This Row],[Pos]]="G",assumptions!$B$16)</f>
        <v>0.14756097560975612</v>
      </c>
    </row>
    <row r="1018" spans="1:13" x14ac:dyDescent="0.3">
      <c r="A1018">
        <f>'score estimates'!$A1018</f>
        <v>1015</v>
      </c>
      <c r="B1018" t="str">
        <f>'score estimates'!$B1018</f>
        <v>Kole Sherwood</v>
      </c>
      <c r="C1018" t="str">
        <f>'score estimates'!$D1018</f>
        <v>F</v>
      </c>
      <c r="D1018" t="str">
        <f>'score estimates'!$C1018</f>
        <v>FA</v>
      </c>
      <c r="E1018" s="75">
        <f>'score estimates'!$F1018</f>
        <v>0.29268292682926828</v>
      </c>
      <c r="F1018" s="71">
        <f>'score estimates'!$G1018</f>
        <v>1029</v>
      </c>
      <c r="G1018" s="71" t="s">
        <v>983</v>
      </c>
      <c r="H1018" s="72" t="e" cm="1">
        <f t="array" aca="1" ref="H1018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1018" s="96">
        <f>IF(Table2[[#This Row],[Team]]="FA",0,Table2[[#This Row],[Pts/G]]*(1-Table2[[#This Row],[% Pos Overlap]]))</f>
        <v>0</v>
      </c>
      <c r="J1018" s="72" t="e" cm="1">
        <f t="array" aca="1" ref="J1018" ca="1">(INDIRECT(ADDRESS((_xlfn.XMATCH(Table2[[#This Row],[Team]],Schedule!$A$1:$A$33)),5,1,1,"Sched Overlap")))</f>
        <v>#N/A</v>
      </c>
      <c r="K1018" s="92" t="e" cm="1">
        <f t="array" aca="1" ref="K1018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1018" s="95">
        <f>IF(Table2[[#This Row],[Team]]="FA",0,Table2[[#This Row],[Pts/G]]*(Table2[[#This Row],[Games Playable]]/82))</f>
        <v>0</v>
      </c>
      <c r="M1018" s="95" cm="1">
        <f t="array" ref="M1018">Table2[[#This Row],[Playable x Score]]*_xlfn.IFS(Table2[[#This Row],[Pos]]="D",assumptions!$B$15,Table2[[#This Row],[Pos]]="F", assumptions!$B$14,Table2[[#This Row],[Pos]]="G",assumptions!$B$16)</f>
        <v>0</v>
      </c>
    </row>
    <row r="1019" spans="1:13" x14ac:dyDescent="0.3">
      <c r="A1019">
        <f>'score estimates'!$A1019</f>
        <v>1016</v>
      </c>
      <c r="B1019" t="str">
        <f>'score estimates'!$B1019</f>
        <v>Zachary Senyshyn</v>
      </c>
      <c r="C1019" t="str">
        <f>'score estimates'!$D1019</f>
        <v>F</v>
      </c>
      <c r="D1019" t="str">
        <f>'score estimates'!$C1019</f>
        <v>NJ</v>
      </c>
      <c r="E1019" s="75">
        <f>'score estimates'!$F1019</f>
        <v>6.097560975609756E-2</v>
      </c>
      <c r="F1019" s="71">
        <f>'score estimates'!$G1019</f>
        <v>1054</v>
      </c>
      <c r="G1019" s="71" t="s">
        <v>983</v>
      </c>
      <c r="H1019" s="72" cm="1">
        <f t="array" aca="1" ref="H101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19" s="96">
        <f ca="1">IF(Table2[[#This Row],[Team]]="FA",0,Table2[[#This Row],[Pts/G]]*(1-Table2[[#This Row],[% Pos Overlap]]))</f>
        <v>6.097560975609756E-2</v>
      </c>
      <c r="J1019" s="72" cm="1">
        <f t="array" aca="1" ref="J1019" ca="1">(INDIRECT(ADDRESS((_xlfn.XMATCH(Table2[[#This Row],[Team]],Schedule!$A$1:$A$33)),5,1,1,"Sched Overlap")))</f>
        <v>0.66259666259666272</v>
      </c>
      <c r="K1019" s="92" cm="1">
        <f t="array" aca="1" ref="K101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19" s="95">
        <f ca="1">IF(Table2[[#This Row],[Team]]="FA",0,Table2[[#This Row],[Pts/G]]*(Table2[[#This Row],[Games Playable]]/82))</f>
        <v>6.097560975609756E-2</v>
      </c>
      <c r="M1019" s="95" cm="1">
        <f t="array" aca="1" ref="M1019" ca="1">Table2[[#This Row],[Playable x Score]]*_xlfn.IFS(Table2[[#This Row],[Pos]]="D",assumptions!$B$15,Table2[[#This Row],[Pos]]="F", assumptions!$B$14,Table2[[#This Row],[Pos]]="G",assumptions!$B$16)</f>
        <v>6.097560975609756E-2</v>
      </c>
    </row>
    <row r="1020" spans="1:13" x14ac:dyDescent="0.3">
      <c r="A1020">
        <f>'score estimates'!$A1020</f>
        <v>1017</v>
      </c>
      <c r="B1020" t="str">
        <f>'score estimates'!$B1020</f>
        <v>Aaron Dell</v>
      </c>
      <c r="C1020" t="str">
        <f>'score estimates'!$D1020</f>
        <v>G</v>
      </c>
      <c r="D1020" t="str">
        <f>'score estimates'!$C1020</f>
        <v>SJ</v>
      </c>
      <c r="E1020" s="75">
        <f>'score estimates'!$F1020</f>
        <v>0.29268292682926828</v>
      </c>
      <c r="F1020" s="71">
        <f>'score estimates'!$G1020</f>
        <v>1029</v>
      </c>
      <c r="G1020" s="71" t="s">
        <v>983</v>
      </c>
      <c r="H1020" s="72" cm="1">
        <f t="array" aca="1" ref="H102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20" s="96">
        <f ca="1">IF(Table2[[#This Row],[Team]]="FA",0,Table2[[#This Row],[Pts/G]]*(1-Table2[[#This Row],[% Pos Overlap]]))</f>
        <v>0.29268292682926828</v>
      </c>
      <c r="J1020" s="72" cm="1">
        <f t="array" aca="1" ref="J1020" ca="1">(INDIRECT(ADDRESS((_xlfn.XMATCH(Table2[[#This Row],[Team]],Schedule!$A$1:$A$33)),5,1,1,"Sched Overlap")))</f>
        <v>0.63492063492063477</v>
      </c>
      <c r="K1020" s="92" cm="1">
        <f t="array" aca="1" ref="K102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20" s="95">
        <f ca="1">IF(Table2[[#This Row],[Team]]="FA",0,Table2[[#This Row],[Pts/G]]*(Table2[[#This Row],[Games Playable]]/82))</f>
        <v>0.29268292682926828</v>
      </c>
      <c r="M1020" s="95" cm="1">
        <f t="array" aca="1" ref="M1020" ca="1">Table2[[#This Row],[Playable x Score]]*_xlfn.IFS(Table2[[#This Row],[Pos]]="D",assumptions!$B$15,Table2[[#This Row],[Pos]]="F", assumptions!$B$14,Table2[[#This Row],[Pos]]="G",assumptions!$B$16)</f>
        <v>0.32195121951219513</v>
      </c>
    </row>
    <row r="1021" spans="1:13" x14ac:dyDescent="0.3">
      <c r="A1021">
        <f>'score estimates'!$A1021</f>
        <v>1018</v>
      </c>
      <c r="B1021" t="str">
        <f>'score estimates'!$B1021</f>
        <v>Ilya Sorokin</v>
      </c>
      <c r="C1021" t="str">
        <f>'score estimates'!$D1021</f>
        <v>G</v>
      </c>
      <c r="D1021" t="str">
        <f>'score estimates'!$C1021</f>
        <v>NYI</v>
      </c>
      <c r="E1021" s="75">
        <f>'score estimates'!$F1021</f>
        <v>32.707317073170735</v>
      </c>
      <c r="F1021" s="71">
        <f>'score estimates'!$G1021</f>
        <v>63</v>
      </c>
      <c r="G1021" s="71" t="s">
        <v>983</v>
      </c>
      <c r="H1021" s="72" cm="1">
        <f t="array" aca="1" ref="H102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21" s="96">
        <f ca="1">IF(Table2[[#This Row],[Team]]="FA",0,Table2[[#This Row],[Pts/G]]*(1-Table2[[#This Row],[% Pos Overlap]]))</f>
        <v>32.707317073170735</v>
      </c>
      <c r="J1021" s="72" cm="1">
        <f t="array" aca="1" ref="J1021" ca="1">(INDIRECT(ADDRESS((_xlfn.XMATCH(Table2[[#This Row],[Team]],Schedule!$A$1:$A$33)),5,1,1,"Sched Overlap")))</f>
        <v>0.63166463166463194</v>
      </c>
      <c r="K1021" s="92" cm="1">
        <f t="array" aca="1" ref="K102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21" s="95">
        <f ca="1">IF(Table2[[#This Row],[Team]]="FA",0,Table2[[#This Row],[Pts/G]]*(Table2[[#This Row],[Games Playable]]/82))</f>
        <v>32.707317073170735</v>
      </c>
      <c r="M1021" s="95" cm="1">
        <f t="array" aca="1" ref="M1021" ca="1">Table2[[#This Row],[Playable x Score]]*_xlfn.IFS(Table2[[#This Row],[Pos]]="D",assumptions!$B$15,Table2[[#This Row],[Pos]]="F", assumptions!$B$14,Table2[[#This Row],[Pos]]="G",assumptions!$B$16)</f>
        <v>35.978048780487811</v>
      </c>
    </row>
    <row r="1022" spans="1:13" x14ac:dyDescent="0.3">
      <c r="A1022">
        <f>'score estimates'!$A1022</f>
        <v>1019</v>
      </c>
      <c r="B1022" t="str">
        <f>'score estimates'!$B1022</f>
        <v>Matt Murray</v>
      </c>
      <c r="C1022" t="str">
        <f>'score estimates'!$D1022</f>
        <v>G</v>
      </c>
      <c r="D1022" t="str">
        <f>'score estimates'!$C1022</f>
        <v>TOR</v>
      </c>
      <c r="E1022" s="75">
        <f>'score estimates'!$F1022</f>
        <v>16.365853658536587</v>
      </c>
      <c r="F1022" s="71">
        <f>'score estimates'!$G1022</f>
        <v>348</v>
      </c>
      <c r="G1022" s="71" t="s">
        <v>983</v>
      </c>
      <c r="H1022" s="72" cm="1">
        <f t="array" aca="1" ref="H102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22" s="96">
        <f ca="1">IF(Table2[[#This Row],[Team]]="FA",0,Table2[[#This Row],[Pts/G]]*(1-Table2[[#This Row],[% Pos Overlap]]))</f>
        <v>16.365853658536587</v>
      </c>
      <c r="J1022" s="72" cm="1">
        <f t="array" aca="1" ref="J1022" ca="1">(INDIRECT(ADDRESS((_xlfn.XMATCH(Table2[[#This Row],[Team]],Schedule!$A$1:$A$33)),5,1,1,"Sched Overlap")))</f>
        <v>0.62922262922262928</v>
      </c>
      <c r="K1022" s="92" cm="1">
        <f t="array" aca="1" ref="K102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22" s="95">
        <f ca="1">IF(Table2[[#This Row],[Team]]="FA",0,Table2[[#This Row],[Pts/G]]*(Table2[[#This Row],[Games Playable]]/82))</f>
        <v>16.365853658536587</v>
      </c>
      <c r="M1022" s="95" cm="1">
        <f t="array" aca="1" ref="M1022" ca="1">Table2[[#This Row],[Playable x Score]]*_xlfn.IFS(Table2[[#This Row],[Pos]]="D",assumptions!$B$15,Table2[[#This Row],[Pos]]="F", assumptions!$B$14,Table2[[#This Row],[Pos]]="G",assumptions!$B$16)</f>
        <v>18.002439024390245</v>
      </c>
    </row>
    <row r="1023" spans="1:13" x14ac:dyDescent="0.3">
      <c r="A1023">
        <f>'score estimates'!$A1023</f>
        <v>1020</v>
      </c>
      <c r="B1023" t="str">
        <f>'score estimates'!$B1023</f>
        <v>Chris Driedger</v>
      </c>
      <c r="C1023" t="str">
        <f>'score estimates'!$D1023</f>
        <v>G</v>
      </c>
      <c r="D1023" t="str">
        <f>'score estimates'!$C1023</f>
        <v>SEA</v>
      </c>
      <c r="E1023" s="75">
        <f>'score estimates'!$F1023</f>
        <v>1.6951219512195121</v>
      </c>
      <c r="F1023" s="71">
        <f>'score estimates'!$G1023</f>
        <v>869</v>
      </c>
      <c r="G1023" s="71" t="s">
        <v>983</v>
      </c>
      <c r="H1023" s="72" cm="1">
        <f t="array" aca="1" ref="H102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23" s="96">
        <f ca="1">IF(Table2[[#This Row],[Team]]="FA",0,Table2[[#This Row],[Pts/G]]*(1-Table2[[#This Row],[% Pos Overlap]]))</f>
        <v>1.6951219512195121</v>
      </c>
      <c r="J1023" s="72" cm="1">
        <f t="array" aca="1" ref="J1023" ca="1">(INDIRECT(ADDRESS((_xlfn.XMATCH(Table2[[#This Row],[Team]],Schedule!$A$1:$A$33)),5,1,1,"Sched Overlap")))</f>
        <v>0.63085063085063087</v>
      </c>
      <c r="K1023" s="92" cm="1">
        <f t="array" aca="1" ref="K102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23" s="95">
        <f ca="1">IF(Table2[[#This Row],[Team]]="FA",0,Table2[[#This Row],[Pts/G]]*(Table2[[#This Row],[Games Playable]]/82))</f>
        <v>1.6951219512195121</v>
      </c>
      <c r="M1023" s="95" cm="1">
        <f t="array" aca="1" ref="M1023" ca="1">Table2[[#This Row],[Playable x Score]]*_xlfn.IFS(Table2[[#This Row],[Pos]]="D",assumptions!$B$15,Table2[[#This Row],[Pos]]="F", assumptions!$B$14,Table2[[#This Row],[Pos]]="G",assumptions!$B$16)</f>
        <v>1.8646341463414635</v>
      </c>
    </row>
    <row r="1024" spans="1:13" x14ac:dyDescent="0.3">
      <c r="A1024">
        <f>'score estimates'!$A1024</f>
        <v>1021</v>
      </c>
      <c r="B1024" t="str">
        <f>'score estimates'!$B1024</f>
        <v>Chase De Leo</v>
      </c>
      <c r="C1024" t="str">
        <f>'score estimates'!$D1024</f>
        <v>F</v>
      </c>
      <c r="D1024" t="str">
        <f>'score estimates'!$C1024</f>
        <v>ANH</v>
      </c>
      <c r="E1024" s="75">
        <f>'score estimates'!$F1024</f>
        <v>-0.13414634146341464</v>
      </c>
      <c r="F1024" s="71">
        <f>'score estimates'!$G1024</f>
        <v>1072</v>
      </c>
      <c r="G1024" s="71" t="s">
        <v>983</v>
      </c>
      <c r="H1024" s="72" cm="1">
        <f t="array" aca="1" ref="H102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24" s="96">
        <f ca="1">IF(Table2[[#This Row],[Team]]="FA",0,Table2[[#This Row],[Pts/G]]*(1-Table2[[#This Row],[% Pos Overlap]]))</f>
        <v>-0.13414634146341464</v>
      </c>
      <c r="J1024" s="72" cm="1">
        <f t="array" aca="1" ref="J1024" ca="1">(INDIRECT(ADDRESS((_xlfn.XMATCH(Table2[[#This Row],[Team]],Schedule!$A$1:$A$33)),5,1,1,"Sched Overlap")))</f>
        <v>0.56410256410256399</v>
      </c>
      <c r="K1024" s="92" cm="1">
        <f t="array" aca="1" ref="K102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24" s="95">
        <f ca="1">IF(Table2[[#This Row],[Team]]="FA",0,Table2[[#This Row],[Pts/G]]*(Table2[[#This Row],[Games Playable]]/82))</f>
        <v>-0.13414634146341464</v>
      </c>
      <c r="M1024" s="95" cm="1">
        <f t="array" aca="1" ref="M1024" ca="1">Table2[[#This Row],[Playable x Score]]*_xlfn.IFS(Table2[[#This Row],[Pos]]="D",assumptions!$B$15,Table2[[#This Row],[Pos]]="F", assumptions!$B$14,Table2[[#This Row],[Pos]]="G",assumptions!$B$16)</f>
        <v>-0.13414634146341464</v>
      </c>
    </row>
    <row r="1025" spans="1:13" x14ac:dyDescent="0.3">
      <c r="A1025" s="109">
        <f>'score estimates'!$A1025</f>
        <v>1022</v>
      </c>
      <c r="B1025" s="109" t="str">
        <f>'score estimates'!$B1025</f>
        <v>Vitek Vanecek</v>
      </c>
      <c r="C1025" s="109" t="str">
        <f>'score estimates'!$D1025</f>
        <v>G</v>
      </c>
      <c r="D1025" s="109" t="str">
        <f>'score estimates'!$C1025</f>
        <v>NJ</v>
      </c>
      <c r="E1025" s="75">
        <f>'score estimates'!$F1025</f>
        <v>19.304878048780488</v>
      </c>
      <c r="F1025" s="110">
        <f>'score estimates'!$G1025</f>
        <v>265</v>
      </c>
      <c r="H1025" s="72" cm="1">
        <f t="array" aca="1" ref="H102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25" s="96">
        <f ca="1">IF(Table2[[#This Row],[Team]]="FA",0,Table2[[#This Row],[Pts/G]]*(1-Table2[[#This Row],[% Pos Overlap]]))</f>
        <v>19.304878048780488</v>
      </c>
      <c r="J1025" s="72" cm="1">
        <f t="array" aca="1" ref="J1025" ca="1">(INDIRECT(ADDRESS((_xlfn.XMATCH(Table2[[#This Row],[Team]],Schedule!$A$1:$A$33)),5,1,1,"Sched Overlap")))</f>
        <v>0.66259666259666272</v>
      </c>
      <c r="K1025" s="92" cm="1">
        <f t="array" aca="1" ref="K102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25" s="95">
        <f ca="1">IF(Table2[[#This Row],[Team]]="FA",0,Table2[[#This Row],[Pts/G]]*(Table2[[#This Row],[Games Playable]]/82))</f>
        <v>19.304878048780488</v>
      </c>
      <c r="M1025" s="95" cm="1">
        <f t="array" aca="1" ref="M1025" ca="1">Table2[[#This Row],[Playable x Score]]*_xlfn.IFS(Table2[[#This Row],[Pos]]="D",assumptions!$B$15,Table2[[#This Row],[Pos]]="F", assumptions!$B$14,Table2[[#This Row],[Pos]]="G",assumptions!$B$16)</f>
        <v>21.235365853658539</v>
      </c>
    </row>
    <row r="1026" spans="1:13" x14ac:dyDescent="0.3">
      <c r="A1026" s="109">
        <f>'score estimates'!$A1026</f>
        <v>1023</v>
      </c>
      <c r="B1026" s="109" t="str">
        <f>'score estimates'!$B1026</f>
        <v>Jonas Johansson</v>
      </c>
      <c r="C1026" s="109" t="str">
        <f>'score estimates'!$D1026</f>
        <v>G</v>
      </c>
      <c r="D1026" s="109" t="str">
        <f>'score estimates'!$C1026</f>
        <v>COL</v>
      </c>
      <c r="E1026" s="75">
        <f>'score estimates'!$F1026</f>
        <v>1.6219512195121952</v>
      </c>
      <c r="F1026" s="110">
        <f>'score estimates'!$G1026</f>
        <v>876</v>
      </c>
      <c r="H1026" s="72" cm="1">
        <f t="array" aca="1" ref="H102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26" s="96">
        <f ca="1">IF(Table2[[#This Row],[Team]]="FA",0,Table2[[#This Row],[Pts/G]]*(1-Table2[[#This Row],[% Pos Overlap]]))</f>
        <v>1.6219512195121952</v>
      </c>
      <c r="J1026" s="72" cm="1">
        <f t="array" aca="1" ref="J1026" ca="1">(INDIRECT(ADDRESS((_xlfn.XMATCH(Table2[[#This Row],[Team]],Schedule!$A$1:$A$33)),5,1,1,"Sched Overlap")))</f>
        <v>0.61131461131461151</v>
      </c>
      <c r="K1026" s="92" cm="1">
        <f t="array" aca="1" ref="K102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26" s="95">
        <f ca="1">IF(Table2[[#This Row],[Team]]="FA",0,Table2[[#This Row],[Pts/G]]*(Table2[[#This Row],[Games Playable]]/82))</f>
        <v>1.6219512195121952</v>
      </c>
      <c r="M1026" s="95" cm="1">
        <f t="array" aca="1" ref="M1026" ca="1">Table2[[#This Row],[Playable x Score]]*_xlfn.IFS(Table2[[#This Row],[Pos]]="D",assumptions!$B$15,Table2[[#This Row],[Pos]]="F", assumptions!$B$14,Table2[[#This Row],[Pos]]="G",assumptions!$B$16)</f>
        <v>1.7841463414634149</v>
      </c>
    </row>
    <row r="1027" spans="1:13" x14ac:dyDescent="0.3">
      <c r="A1027" s="109">
        <f>'score estimates'!$A1027</f>
        <v>1024</v>
      </c>
      <c r="B1027" s="109" t="str">
        <f>'score estimates'!$B1027</f>
        <v>Max McCormick</v>
      </c>
      <c r="C1027" s="109" t="str">
        <f>'score estimates'!$D1027</f>
        <v>F</v>
      </c>
      <c r="D1027" s="109" t="str">
        <f>'score estimates'!$C1027</f>
        <v>SEA</v>
      </c>
      <c r="E1027" s="75">
        <f>'score estimates'!$F1027</f>
        <v>0.32926829268292684</v>
      </c>
      <c r="F1027" s="110">
        <f>'score estimates'!$G1027</f>
        <v>1021</v>
      </c>
      <c r="H1027" s="72" cm="1">
        <f t="array" aca="1" ref="H102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27" s="96">
        <f ca="1">IF(Table2[[#This Row],[Team]]="FA",0,Table2[[#This Row],[Pts/G]]*(1-Table2[[#This Row],[% Pos Overlap]]))</f>
        <v>0.32926829268292684</v>
      </c>
      <c r="J1027" s="72" cm="1">
        <f t="array" aca="1" ref="J1027" ca="1">(INDIRECT(ADDRESS((_xlfn.XMATCH(Table2[[#This Row],[Team]],Schedule!$A$1:$A$33)),5,1,1,"Sched Overlap")))</f>
        <v>0.63085063085063087</v>
      </c>
      <c r="K1027" s="92" cm="1">
        <f t="array" aca="1" ref="K102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27" s="95">
        <f ca="1">IF(Table2[[#This Row],[Team]]="FA",0,Table2[[#This Row],[Pts/G]]*(Table2[[#This Row],[Games Playable]]/82))</f>
        <v>0.32926829268292684</v>
      </c>
      <c r="M1027" s="95" cm="1">
        <f t="array" aca="1" ref="M1027" ca="1">Table2[[#This Row],[Playable x Score]]*_xlfn.IFS(Table2[[#This Row],[Pos]]="D",assumptions!$B$15,Table2[[#This Row],[Pos]]="F", assumptions!$B$14,Table2[[#This Row],[Pos]]="G",assumptions!$B$16)</f>
        <v>0.32926829268292684</v>
      </c>
    </row>
    <row r="1028" spans="1:13" x14ac:dyDescent="0.3">
      <c r="A1028" s="109">
        <f>'score estimates'!$A1028</f>
        <v>1025</v>
      </c>
      <c r="B1028" s="109" t="str">
        <f>'score estimates'!$B1028</f>
        <v>Ryan MacInnis</v>
      </c>
      <c r="C1028" s="109" t="str">
        <f>'score estimates'!$D1028</f>
        <v>F</v>
      </c>
      <c r="D1028" s="109" t="str">
        <f>'score estimates'!$C1028</f>
        <v>BUF</v>
      </c>
      <c r="E1028" s="75">
        <f>'score estimates'!$F1028</f>
        <v>-8.5365853658536592E-2</v>
      </c>
      <c r="F1028" s="110">
        <f>'score estimates'!$G1028</f>
        <v>1071</v>
      </c>
      <c r="H1028" s="72" cm="1">
        <f t="array" aca="1" ref="H102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28" s="96">
        <f ca="1">IF(Table2[[#This Row],[Team]]="FA",0,Table2[[#This Row],[Pts/G]]*(1-Table2[[#This Row],[% Pos Overlap]]))</f>
        <v>-8.5365853658536592E-2</v>
      </c>
      <c r="J1028" s="72" cm="1">
        <f t="array" aca="1" ref="J1028" ca="1">(INDIRECT(ADDRESS((_xlfn.XMATCH(Table2[[#This Row],[Team]],Schedule!$A$1:$A$33)),5,1,1,"Sched Overlap")))</f>
        <v>0.63573463573463573</v>
      </c>
      <c r="K1028" s="92" cm="1">
        <f t="array" aca="1" ref="K102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28" s="95">
        <f ca="1">IF(Table2[[#This Row],[Team]]="FA",0,Table2[[#This Row],[Pts/G]]*(Table2[[#This Row],[Games Playable]]/82))</f>
        <v>-8.5365853658536592E-2</v>
      </c>
      <c r="M1028" s="95" cm="1">
        <f t="array" aca="1" ref="M1028" ca="1">Table2[[#This Row],[Playable x Score]]*_xlfn.IFS(Table2[[#This Row],[Pos]]="D",assumptions!$B$15,Table2[[#This Row],[Pos]]="F", assumptions!$B$14,Table2[[#This Row],[Pos]]="G",assumptions!$B$16)</f>
        <v>-8.5365853658536592E-2</v>
      </c>
    </row>
    <row r="1029" spans="1:13" x14ac:dyDescent="0.3">
      <c r="A1029" s="109">
        <f>'score estimates'!$A1029</f>
        <v>1026</v>
      </c>
      <c r="B1029" s="109" t="str">
        <f>'score estimates'!$B1029</f>
        <v>Blake Speers</v>
      </c>
      <c r="C1029" s="109" t="str">
        <f>'score estimates'!$D1029</f>
        <v>F</v>
      </c>
      <c r="D1029" s="109" t="str">
        <f>'score estimates'!$C1029</f>
        <v>FA</v>
      </c>
      <c r="E1029" s="75">
        <f>'score estimates'!$F1029</f>
        <v>-0.18292682926829268</v>
      </c>
      <c r="F1029" s="110">
        <f>'score estimates'!$G1029</f>
        <v>1075</v>
      </c>
      <c r="H1029" s="72" t="e" cm="1">
        <f t="array" aca="1" ref="H1029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1029" s="96">
        <f>IF(Table2[[#This Row],[Team]]="FA",0,Table2[[#This Row],[Pts/G]]*(1-Table2[[#This Row],[% Pos Overlap]]))</f>
        <v>0</v>
      </c>
      <c r="J1029" s="72" t="e" cm="1">
        <f t="array" aca="1" ref="J1029" ca="1">(INDIRECT(ADDRESS((_xlfn.XMATCH(Table2[[#This Row],[Team]],Schedule!$A$1:$A$33)),5,1,1,"Sched Overlap")))</f>
        <v>#N/A</v>
      </c>
      <c r="K1029" s="92" t="e" cm="1">
        <f t="array" aca="1" ref="K1029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1029" s="95">
        <f>IF(Table2[[#This Row],[Team]]="FA",0,Table2[[#This Row],[Pts/G]]*(Table2[[#This Row],[Games Playable]]/82))</f>
        <v>0</v>
      </c>
      <c r="M1029" s="95" cm="1">
        <f t="array" ref="M1029">Table2[[#This Row],[Playable x Score]]*_xlfn.IFS(Table2[[#This Row],[Pos]]="D",assumptions!$B$15,Table2[[#This Row],[Pos]]="F", assumptions!$B$14,Table2[[#This Row],[Pos]]="G",assumptions!$B$16)</f>
        <v>0</v>
      </c>
    </row>
    <row r="1030" spans="1:13" x14ac:dyDescent="0.3">
      <c r="A1030" s="109">
        <f>'score estimates'!$A1030</f>
        <v>1027</v>
      </c>
      <c r="B1030" s="109" t="str">
        <f>'score estimates'!$B1030</f>
        <v>Felix Sandstrom</v>
      </c>
      <c r="C1030" s="109" t="str">
        <f>'score estimates'!$D1030</f>
        <v>G</v>
      </c>
      <c r="D1030" s="109" t="str">
        <f>'score estimates'!$C1030</f>
        <v>PHI</v>
      </c>
      <c r="E1030" s="75">
        <f>'score estimates'!$F1030</f>
        <v>1.9390243902439024</v>
      </c>
      <c r="F1030" s="110">
        <f>'score estimates'!$G1030</f>
        <v>860</v>
      </c>
      <c r="H1030" s="72" cm="1">
        <f t="array" aca="1" ref="H103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30" s="96">
        <f ca="1">IF(Table2[[#This Row],[Team]]="FA",0,Table2[[#This Row],[Pts/G]]*(1-Table2[[#This Row],[% Pos Overlap]]))</f>
        <v>1.9390243902439024</v>
      </c>
      <c r="J1030" s="72" cm="1">
        <f t="array" aca="1" ref="J1030" ca="1">(INDIRECT(ADDRESS((_xlfn.XMATCH(Table2[[#This Row],[Team]],Schedule!$A$1:$A$33)),5,1,1,"Sched Overlap")))</f>
        <v>0.66910866910866917</v>
      </c>
      <c r="K1030" s="92" cm="1">
        <f t="array" aca="1" ref="K103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30" s="95">
        <f ca="1">IF(Table2[[#This Row],[Team]]="FA",0,Table2[[#This Row],[Pts/G]]*(Table2[[#This Row],[Games Playable]]/82))</f>
        <v>1.9390243902439024</v>
      </c>
      <c r="M1030" s="95" cm="1">
        <f t="array" aca="1" ref="M1030" ca="1">Table2[[#This Row],[Playable x Score]]*_xlfn.IFS(Table2[[#This Row],[Pos]]="D",assumptions!$B$15,Table2[[#This Row],[Pos]]="F", assumptions!$B$14,Table2[[#This Row],[Pos]]="G",assumptions!$B$16)</f>
        <v>2.1329268292682926</v>
      </c>
    </row>
    <row r="1031" spans="1:13" x14ac:dyDescent="0.3">
      <c r="A1031" s="109">
        <f>'score estimates'!$A1031</f>
        <v>1028</v>
      </c>
      <c r="B1031" s="109" t="str">
        <f>'score estimates'!$B1031</f>
        <v>Joey Daccord</v>
      </c>
      <c r="C1031" s="109" t="str">
        <f>'score estimates'!$D1031</f>
        <v>G</v>
      </c>
      <c r="D1031" s="109" t="str">
        <f>'score estimates'!$C1031</f>
        <v>SEA</v>
      </c>
      <c r="E1031" s="75">
        <f>'score estimates'!$F1031</f>
        <v>0.79268292682926833</v>
      </c>
      <c r="F1031" s="110">
        <f>'score estimates'!$G1031</f>
        <v>963</v>
      </c>
      <c r="H1031" s="72" cm="1">
        <f t="array" aca="1" ref="H103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31" s="96">
        <f ca="1">IF(Table2[[#This Row],[Team]]="FA",0,Table2[[#This Row],[Pts/G]]*(1-Table2[[#This Row],[% Pos Overlap]]))</f>
        <v>0.79268292682926833</v>
      </c>
      <c r="J1031" s="72" cm="1">
        <f t="array" aca="1" ref="J1031" ca="1">(INDIRECT(ADDRESS((_xlfn.XMATCH(Table2[[#This Row],[Team]],Schedule!$A$1:$A$33)),5,1,1,"Sched Overlap")))</f>
        <v>0.63085063085063087</v>
      </c>
      <c r="K1031" s="92" cm="1">
        <f t="array" aca="1" ref="K103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31" s="95">
        <f ca="1">IF(Table2[[#This Row],[Team]]="FA",0,Table2[[#This Row],[Pts/G]]*(Table2[[#This Row],[Games Playable]]/82))</f>
        <v>0.79268292682926833</v>
      </c>
      <c r="M1031" s="95" cm="1">
        <f t="array" aca="1" ref="M1031" ca="1">Table2[[#This Row],[Playable x Score]]*_xlfn.IFS(Table2[[#This Row],[Pos]]="D",assumptions!$B$15,Table2[[#This Row],[Pos]]="F", assumptions!$B$14,Table2[[#This Row],[Pos]]="G",assumptions!$B$16)</f>
        <v>0.87195121951219523</v>
      </c>
    </row>
    <row r="1032" spans="1:13" x14ac:dyDescent="0.3">
      <c r="A1032" s="109">
        <f>'score estimates'!$A1032</f>
        <v>1029</v>
      </c>
      <c r="B1032" s="109" t="str">
        <f>'score estimates'!$B1032</f>
        <v>Ilya Samsonov</v>
      </c>
      <c r="C1032" s="109" t="str">
        <f>'score estimates'!$D1032</f>
        <v>G</v>
      </c>
      <c r="D1032" s="109" t="str">
        <f>'score estimates'!$C1032</f>
        <v>TOR</v>
      </c>
      <c r="E1032" s="75">
        <f>'score estimates'!$F1032</f>
        <v>25.597560975609756</v>
      </c>
      <c r="F1032" s="110">
        <f>'score estimates'!$G1032</f>
        <v>150</v>
      </c>
      <c r="H1032" s="72" cm="1">
        <f t="array" aca="1" ref="H103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32" s="96">
        <f ca="1">IF(Table2[[#This Row],[Team]]="FA",0,Table2[[#This Row],[Pts/G]]*(1-Table2[[#This Row],[% Pos Overlap]]))</f>
        <v>25.597560975609756</v>
      </c>
      <c r="J1032" s="72" cm="1">
        <f t="array" aca="1" ref="J1032" ca="1">(INDIRECT(ADDRESS((_xlfn.XMATCH(Table2[[#This Row],[Team]],Schedule!$A$1:$A$33)),5,1,1,"Sched Overlap")))</f>
        <v>0.62922262922262928</v>
      </c>
      <c r="K1032" s="92" cm="1">
        <f t="array" aca="1" ref="K103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32" s="95">
        <f ca="1">IF(Table2[[#This Row],[Team]]="FA",0,Table2[[#This Row],[Pts/G]]*(Table2[[#This Row],[Games Playable]]/82))</f>
        <v>25.597560975609756</v>
      </c>
      <c r="M1032" s="95" cm="1">
        <f t="array" aca="1" ref="M1032" ca="1">Table2[[#This Row],[Playable x Score]]*_xlfn.IFS(Table2[[#This Row],[Pos]]="D",assumptions!$B$15,Table2[[#This Row],[Pos]]="F", assumptions!$B$14,Table2[[#This Row],[Pos]]="G",assumptions!$B$16)</f>
        <v>28.157317073170734</v>
      </c>
    </row>
    <row r="1033" spans="1:13" x14ac:dyDescent="0.3">
      <c r="A1033" s="109">
        <f>'score estimates'!$A1033</f>
        <v>1030</v>
      </c>
      <c r="B1033" s="109" t="str">
        <f>'score estimates'!$B1033</f>
        <v>Mackenzie Blackwood</v>
      </c>
      <c r="C1033" s="109" t="str">
        <f>'score estimates'!$D1033</f>
        <v>G</v>
      </c>
      <c r="D1033" s="109" t="str">
        <f>'score estimates'!$C1033</f>
        <v>NJ</v>
      </c>
      <c r="E1033" s="75">
        <f>'score estimates'!$F1033</f>
        <v>12.902439024390244</v>
      </c>
      <c r="F1033" s="110">
        <f>'score estimates'!$G1033</f>
        <v>463</v>
      </c>
      <c r="H1033" s="72" cm="1">
        <f t="array" aca="1" ref="H103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33" s="96">
        <f ca="1">IF(Table2[[#This Row],[Team]]="FA",0,Table2[[#This Row],[Pts/G]]*(1-Table2[[#This Row],[% Pos Overlap]]))</f>
        <v>12.902439024390244</v>
      </c>
      <c r="J1033" s="72" cm="1">
        <f t="array" aca="1" ref="J1033" ca="1">(INDIRECT(ADDRESS((_xlfn.XMATCH(Table2[[#This Row],[Team]],Schedule!$A$1:$A$33)),5,1,1,"Sched Overlap")))</f>
        <v>0.66259666259666272</v>
      </c>
      <c r="K1033" s="92" cm="1">
        <f t="array" aca="1" ref="K103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33" s="95">
        <f ca="1">IF(Table2[[#This Row],[Team]]="FA",0,Table2[[#This Row],[Pts/G]]*(Table2[[#This Row],[Games Playable]]/82))</f>
        <v>12.902439024390244</v>
      </c>
      <c r="M1033" s="95" cm="1">
        <f t="array" aca="1" ref="M1033" ca="1">Table2[[#This Row],[Playable x Score]]*_xlfn.IFS(Table2[[#This Row],[Pos]]="D",assumptions!$B$15,Table2[[#This Row],[Pos]]="F", assumptions!$B$14,Table2[[#This Row],[Pos]]="G",assumptions!$B$16)</f>
        <v>14.192682926829269</v>
      </c>
    </row>
    <row r="1034" spans="1:13" x14ac:dyDescent="0.3">
      <c r="A1034" s="109">
        <f>'score estimates'!$A1034</f>
        <v>1031</v>
      </c>
      <c r="B1034" s="109" t="str">
        <f>'score estimates'!$B1034</f>
        <v>Sam Montembeault</v>
      </c>
      <c r="C1034" s="109" t="str">
        <f>'score estimates'!$D1034</f>
        <v>G</v>
      </c>
      <c r="D1034" s="109" t="str">
        <f>'score estimates'!$C1034</f>
        <v>MON</v>
      </c>
      <c r="E1034" s="75">
        <f>'score estimates'!$F1034</f>
        <v>9.9268292682926838</v>
      </c>
      <c r="F1034" s="110">
        <f>'score estimates'!$G1034</f>
        <v>566</v>
      </c>
      <c r="H1034" s="72" cm="1">
        <f t="array" aca="1" ref="H103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34" s="96">
        <f ca="1">IF(Table2[[#This Row],[Team]]="FA",0,Table2[[#This Row],[Pts/G]]*(1-Table2[[#This Row],[% Pos Overlap]]))</f>
        <v>9.9268292682926838</v>
      </c>
      <c r="J1034" s="72" cm="1">
        <f t="array" aca="1" ref="J1034" ca="1">(INDIRECT(ADDRESS((_xlfn.XMATCH(Table2[[#This Row],[Team]],Schedule!$A$1:$A$33)),5,1,1,"Sched Overlap")))</f>
        <v>0.66666666666666685</v>
      </c>
      <c r="K1034" s="92" cm="1">
        <f t="array" aca="1" ref="K103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34" s="95">
        <f ca="1">IF(Table2[[#This Row],[Team]]="FA",0,Table2[[#This Row],[Pts/G]]*(Table2[[#This Row],[Games Playable]]/82))</f>
        <v>9.9268292682926838</v>
      </c>
      <c r="M1034" s="95" cm="1">
        <f t="array" aca="1" ref="M1034" ca="1">Table2[[#This Row],[Playable x Score]]*_xlfn.IFS(Table2[[#This Row],[Pos]]="D",assumptions!$B$15,Table2[[#This Row],[Pos]]="F", assumptions!$B$14,Table2[[#This Row],[Pos]]="G",assumptions!$B$16)</f>
        <v>10.919512195121953</v>
      </c>
    </row>
    <row r="1035" spans="1:13" x14ac:dyDescent="0.3">
      <c r="A1035" s="109">
        <f>'score estimates'!$A1035</f>
        <v>1032</v>
      </c>
      <c r="B1035" s="109" t="str">
        <f>'score estimates'!$B1035</f>
        <v>Michael McNiven</v>
      </c>
      <c r="C1035" s="109" t="str">
        <f>'score estimates'!$D1035</f>
        <v>G</v>
      </c>
      <c r="D1035" s="109" t="str">
        <f>'score estimates'!$C1035</f>
        <v>FA</v>
      </c>
      <c r="E1035" s="75">
        <f>'score estimates'!$F1035</f>
        <v>-0.45121951219512196</v>
      </c>
      <c r="F1035" s="110">
        <f>'score estimates'!$G1035</f>
        <v>1078</v>
      </c>
      <c r="H1035" s="72" t="e" cm="1">
        <f t="array" aca="1" ref="H1035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1035" s="96">
        <f>IF(Table2[[#This Row],[Team]]="FA",0,Table2[[#This Row],[Pts/G]]*(1-Table2[[#This Row],[% Pos Overlap]]))</f>
        <v>0</v>
      </c>
      <c r="J1035" s="72" t="e" cm="1">
        <f t="array" aca="1" ref="J1035" ca="1">(INDIRECT(ADDRESS((_xlfn.XMATCH(Table2[[#This Row],[Team]],Schedule!$A$1:$A$33)),5,1,1,"Sched Overlap")))</f>
        <v>#N/A</v>
      </c>
      <c r="K1035" s="92" t="e" cm="1">
        <f t="array" aca="1" ref="K1035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1035" s="95">
        <f>IF(Table2[[#This Row],[Team]]="FA",0,Table2[[#This Row],[Pts/G]]*(Table2[[#This Row],[Games Playable]]/82))</f>
        <v>0</v>
      </c>
      <c r="M1035" s="95" cm="1">
        <f t="array" ref="M1035">Table2[[#This Row],[Playable x Score]]*_xlfn.IFS(Table2[[#This Row],[Pos]]="D",assumptions!$B$15,Table2[[#This Row],[Pos]]="F", assumptions!$B$14,Table2[[#This Row],[Pos]]="G",assumptions!$B$16)</f>
        <v>0</v>
      </c>
    </row>
    <row r="1036" spans="1:13" x14ac:dyDescent="0.3">
      <c r="A1036" s="109">
        <f>'score estimates'!$A1036</f>
        <v>1033</v>
      </c>
      <c r="B1036" s="109" t="str">
        <f>'score estimates'!$B1036</f>
        <v>Zane McIntyre</v>
      </c>
      <c r="C1036" s="109" t="str">
        <f>'score estimates'!$D1036</f>
        <v>G</v>
      </c>
      <c r="D1036" s="109" t="str">
        <f>'score estimates'!$C1036</f>
        <v>MIN</v>
      </c>
      <c r="E1036" s="75">
        <f>'score estimates'!$F1036</f>
        <v>-1.2804878048780488</v>
      </c>
      <c r="F1036" s="110">
        <f>'score estimates'!$G1036</f>
        <v>1084</v>
      </c>
      <c r="H1036" s="72" cm="1">
        <f t="array" aca="1" ref="H103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36" s="96">
        <f ca="1">IF(Table2[[#This Row],[Team]]="FA",0,Table2[[#This Row],[Pts/G]]*(1-Table2[[#This Row],[% Pos Overlap]]))</f>
        <v>-1.2804878048780488</v>
      </c>
      <c r="J1036" s="72" cm="1">
        <f t="array" aca="1" ref="J1036" ca="1">(INDIRECT(ADDRESS((_xlfn.XMATCH(Table2[[#This Row],[Team]],Schedule!$A$1:$A$33)),5,1,1,"Sched Overlap")))</f>
        <v>0.62108262108262113</v>
      </c>
      <c r="K1036" s="92" cm="1">
        <f t="array" aca="1" ref="K103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36" s="95">
        <f ca="1">IF(Table2[[#This Row],[Team]]="FA",0,Table2[[#This Row],[Pts/G]]*(Table2[[#This Row],[Games Playable]]/82))</f>
        <v>-1.2804878048780488</v>
      </c>
      <c r="M1036" s="95" cm="1">
        <f t="array" aca="1" ref="M1036" ca="1">Table2[[#This Row],[Playable x Score]]*_xlfn.IFS(Table2[[#This Row],[Pos]]="D",assumptions!$B$15,Table2[[#This Row],[Pos]]="F", assumptions!$B$14,Table2[[#This Row],[Pos]]="G",assumptions!$B$16)</f>
        <v>-1.4085365853658538</v>
      </c>
    </row>
    <row r="1037" spans="1:13" x14ac:dyDescent="0.3">
      <c r="A1037" s="109">
        <f>'score estimates'!$A1037</f>
        <v>1034</v>
      </c>
      <c r="B1037" s="109" t="str">
        <f>'score estimates'!$B1037</f>
        <v>Fredrik Claesson</v>
      </c>
      <c r="C1037" s="109" t="str">
        <f>'score estimates'!$D1037</f>
        <v>D</v>
      </c>
      <c r="D1037" s="109" t="str">
        <f>'score estimates'!$C1037</f>
        <v>FA</v>
      </c>
      <c r="E1037" s="75">
        <f>'score estimates'!$F1037</f>
        <v>0.3048780487804878</v>
      </c>
      <c r="F1037" s="110">
        <f>'score estimates'!$G1037</f>
        <v>1028</v>
      </c>
      <c r="H1037" s="72" t="e" cm="1">
        <f t="array" aca="1" ref="H1037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1037" s="96">
        <f>IF(Table2[[#This Row],[Team]]="FA",0,Table2[[#This Row],[Pts/G]]*(1-Table2[[#This Row],[% Pos Overlap]]))</f>
        <v>0</v>
      </c>
      <c r="J1037" s="72" t="e" cm="1">
        <f t="array" aca="1" ref="J1037" ca="1">(INDIRECT(ADDRESS((_xlfn.XMATCH(Table2[[#This Row],[Team]],Schedule!$A$1:$A$33)),5,1,1,"Sched Overlap")))</f>
        <v>#N/A</v>
      </c>
      <c r="K1037" s="92" t="e" cm="1">
        <f t="array" aca="1" ref="K1037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1037" s="95">
        <f>IF(Table2[[#This Row],[Team]]="FA",0,Table2[[#This Row],[Pts/G]]*(Table2[[#This Row],[Games Playable]]/82))</f>
        <v>0</v>
      </c>
      <c r="M1037" s="95" cm="1">
        <f t="array" ref="M1037">Table2[[#This Row],[Playable x Score]]*_xlfn.IFS(Table2[[#This Row],[Pos]]="D",assumptions!$B$15,Table2[[#This Row],[Pos]]="F", assumptions!$B$14,Table2[[#This Row],[Pos]]="G",assumptions!$B$16)</f>
        <v>0</v>
      </c>
    </row>
    <row r="1038" spans="1:13" x14ac:dyDescent="0.3">
      <c r="A1038" s="109">
        <f>'score estimates'!$A1038</f>
        <v>1035</v>
      </c>
      <c r="B1038" s="109" t="str">
        <f>'score estimates'!$B1038</f>
        <v>Juuse Saros</v>
      </c>
      <c r="C1038" s="109" t="str">
        <f>'score estimates'!$D1038</f>
        <v>G</v>
      </c>
      <c r="D1038" s="109" t="str">
        <f>'score estimates'!$C1038</f>
        <v>NSH</v>
      </c>
      <c r="E1038" s="75">
        <f>'score estimates'!$F1038</f>
        <v>35.292682926829265</v>
      </c>
      <c r="F1038" s="110">
        <f>'score estimates'!$G1038</f>
        <v>44</v>
      </c>
      <c r="H1038" s="72" cm="1">
        <f t="array" aca="1" ref="H103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38" s="96">
        <f ca="1">IF(Table2[[#This Row],[Team]]="FA",0,Table2[[#This Row],[Pts/G]]*(1-Table2[[#This Row],[% Pos Overlap]]))</f>
        <v>35.292682926829265</v>
      </c>
      <c r="J1038" s="72" cm="1">
        <f t="array" aca="1" ref="J1038" ca="1">(INDIRECT(ADDRESS((_xlfn.XMATCH(Table2[[#This Row],[Team]],Schedule!$A$1:$A$33)),5,1,1,"Sched Overlap")))</f>
        <v>0.67806267806267806</v>
      </c>
      <c r="K1038" s="92" cm="1">
        <f t="array" aca="1" ref="K103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38" s="95">
        <f ca="1">IF(Table2[[#This Row],[Team]]="FA",0,Table2[[#This Row],[Pts/G]]*(Table2[[#This Row],[Games Playable]]/82))</f>
        <v>35.292682926829265</v>
      </c>
      <c r="M1038" s="95" cm="1">
        <f t="array" aca="1" ref="M1038" ca="1">Table2[[#This Row],[Playable x Score]]*_xlfn.IFS(Table2[[#This Row],[Pos]]="D",assumptions!$B$15,Table2[[#This Row],[Pos]]="F", assumptions!$B$14,Table2[[#This Row],[Pos]]="G",assumptions!$B$16)</f>
        <v>38.821951219512194</v>
      </c>
    </row>
    <row r="1039" spans="1:13" x14ac:dyDescent="0.3">
      <c r="A1039" s="109">
        <f>'score estimates'!$A1039</f>
        <v>1036</v>
      </c>
      <c r="B1039" s="109" t="str">
        <f>'score estimates'!$B1039</f>
        <v>Ville Husso</v>
      </c>
      <c r="C1039" s="109" t="str">
        <f>'score estimates'!$D1039</f>
        <v>G</v>
      </c>
      <c r="D1039" s="109" t="str">
        <f>'score estimates'!$C1039</f>
        <v>DET</v>
      </c>
      <c r="E1039" s="75">
        <f>'score estimates'!$F1039</f>
        <v>19.792682926829269</v>
      </c>
      <c r="F1039" s="110">
        <f>'score estimates'!$G1039</f>
        <v>254</v>
      </c>
      <c r="H1039" s="72" cm="1">
        <f t="array" aca="1" ref="H103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39" s="96">
        <f ca="1">IF(Table2[[#This Row],[Team]]="FA",0,Table2[[#This Row],[Pts/G]]*(1-Table2[[#This Row],[% Pos Overlap]]))</f>
        <v>19.792682926829269</v>
      </c>
      <c r="J1039" s="72" cm="1">
        <f t="array" aca="1" ref="J1039" ca="1">(INDIRECT(ADDRESS((_xlfn.XMATCH(Table2[[#This Row],[Team]],Schedule!$A$1:$A$33)),5,1,1,"Sched Overlap")))</f>
        <v>0.64550264550264547</v>
      </c>
      <c r="K1039" s="92" cm="1">
        <f t="array" aca="1" ref="K103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39" s="95">
        <f ca="1">IF(Table2[[#This Row],[Team]]="FA",0,Table2[[#This Row],[Pts/G]]*(Table2[[#This Row],[Games Playable]]/82))</f>
        <v>19.792682926829269</v>
      </c>
      <c r="M1039" s="95" cm="1">
        <f t="array" aca="1" ref="M1039" ca="1">Table2[[#This Row],[Playable x Score]]*_xlfn.IFS(Table2[[#This Row],[Pos]]="D",assumptions!$B$15,Table2[[#This Row],[Pos]]="F", assumptions!$B$14,Table2[[#This Row],[Pos]]="G",assumptions!$B$16)</f>
        <v>21.771951219512196</v>
      </c>
    </row>
    <row r="1040" spans="1:13" x14ac:dyDescent="0.3">
      <c r="A1040" s="109">
        <f>'score estimates'!$A1040</f>
        <v>1037</v>
      </c>
      <c r="B1040" s="109" t="str">
        <f>'score estimates'!$B1040</f>
        <v>Tyler Lewington</v>
      </c>
      <c r="C1040" s="109" t="str">
        <f>'score estimates'!$D1040</f>
        <v>D</v>
      </c>
      <c r="D1040" s="109" t="str">
        <f>'score estimates'!$C1040</f>
        <v>BOS</v>
      </c>
      <c r="E1040" s="75">
        <f>'score estimates'!$F1040</f>
        <v>0.17073170731707318</v>
      </c>
      <c r="F1040" s="110">
        <f>'score estimates'!$G1040</f>
        <v>1044</v>
      </c>
      <c r="H1040" s="72" cm="1">
        <f t="array" aca="1" ref="H104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40" s="96">
        <f ca="1">IF(Table2[[#This Row],[Team]]="FA",0,Table2[[#This Row],[Pts/G]]*(1-Table2[[#This Row],[% Pos Overlap]]))</f>
        <v>0.17073170731707318</v>
      </c>
      <c r="J1040" s="72" cm="1">
        <f t="array" aca="1" ref="J1040" ca="1">(INDIRECT(ADDRESS((_xlfn.XMATCH(Table2[[#This Row],[Team]],Schedule!$A$1:$A$33)),5,1,1,"Sched Overlap")))</f>
        <v>0.67236467236467234</v>
      </c>
      <c r="K1040" s="92" cm="1">
        <f t="array" aca="1" ref="K104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40" s="95">
        <f ca="1">IF(Table2[[#This Row],[Team]]="FA",0,Table2[[#This Row],[Pts/G]]*(Table2[[#This Row],[Games Playable]]/82))</f>
        <v>0.17073170731707318</v>
      </c>
      <c r="M1040" s="95" cm="1">
        <f t="array" aca="1" ref="M1040" ca="1">Table2[[#This Row],[Playable x Score]]*_xlfn.IFS(Table2[[#This Row],[Pos]]="D",assumptions!$B$15,Table2[[#This Row],[Pos]]="F", assumptions!$B$14,Table2[[#This Row],[Pos]]="G",assumptions!$B$16)</f>
        <v>0.21341463414634149</v>
      </c>
    </row>
    <row r="1041" spans="1:13" x14ac:dyDescent="0.3">
      <c r="A1041" s="109">
        <f>'score estimates'!$A1041</f>
        <v>1038</v>
      </c>
      <c r="B1041" s="109" t="str">
        <f>'score estimates'!$B1041</f>
        <v>Mason Geertsen</v>
      </c>
      <c r="C1041" s="109" t="str">
        <f>'score estimates'!$D1041</f>
        <v>D</v>
      </c>
      <c r="D1041" s="109" t="str">
        <f>'score estimates'!$C1041</f>
        <v>NJ</v>
      </c>
      <c r="E1041" s="75">
        <f>'score estimates'!$F1041</f>
        <v>0.69512195121951215</v>
      </c>
      <c r="F1041" s="110">
        <f>'score estimates'!$G1041</f>
        <v>974</v>
      </c>
      <c r="H1041" s="72" cm="1">
        <f t="array" aca="1" ref="H104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41" s="96">
        <f ca="1">IF(Table2[[#This Row],[Team]]="FA",0,Table2[[#This Row],[Pts/G]]*(1-Table2[[#This Row],[% Pos Overlap]]))</f>
        <v>0.69512195121951215</v>
      </c>
      <c r="J1041" s="72" cm="1">
        <f t="array" aca="1" ref="J1041" ca="1">(INDIRECT(ADDRESS((_xlfn.XMATCH(Table2[[#This Row],[Team]],Schedule!$A$1:$A$33)),5,1,1,"Sched Overlap")))</f>
        <v>0.66259666259666272</v>
      </c>
      <c r="K1041" s="92" cm="1">
        <f t="array" aca="1" ref="K104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41" s="95">
        <f ca="1">IF(Table2[[#This Row],[Team]]="FA",0,Table2[[#This Row],[Pts/G]]*(Table2[[#This Row],[Games Playable]]/82))</f>
        <v>0.69512195121951215</v>
      </c>
      <c r="M1041" s="95" cm="1">
        <f t="array" aca="1" ref="M1041" ca="1">Table2[[#This Row],[Playable x Score]]*_xlfn.IFS(Table2[[#This Row],[Pos]]="D",assumptions!$B$15,Table2[[#This Row],[Pos]]="F", assumptions!$B$14,Table2[[#This Row],[Pos]]="G",assumptions!$B$16)</f>
        <v>0.86890243902439024</v>
      </c>
    </row>
    <row r="1042" spans="1:13" x14ac:dyDescent="0.3">
      <c r="A1042" s="109">
        <f>'score estimates'!$A1042</f>
        <v>1039</v>
      </c>
      <c r="B1042" s="109" t="str">
        <f>'score estimates'!$B1042</f>
        <v>Spencer Martin</v>
      </c>
      <c r="C1042" s="109" t="str">
        <f>'score estimates'!$D1042</f>
        <v>G</v>
      </c>
      <c r="D1042" s="109" t="str">
        <f>'score estimates'!$C1042</f>
        <v>VAN</v>
      </c>
      <c r="E1042" s="75">
        <f>'score estimates'!$F1042</f>
        <v>3.9268292682926829</v>
      </c>
      <c r="F1042" s="110">
        <f>'score estimates'!$G1042</f>
        <v>760</v>
      </c>
      <c r="H1042" s="72" cm="1">
        <f t="array" aca="1" ref="H104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42" s="96">
        <f ca="1">IF(Table2[[#This Row],[Team]]="FA",0,Table2[[#This Row],[Pts/G]]*(1-Table2[[#This Row],[% Pos Overlap]]))</f>
        <v>3.9268292682926829</v>
      </c>
      <c r="J1042" s="72" cm="1">
        <f t="array" aca="1" ref="J1042" ca="1">(INDIRECT(ADDRESS((_xlfn.XMATCH(Table2[[#This Row],[Team]],Schedule!$A$1:$A$33)),5,1,1,"Sched Overlap")))</f>
        <v>0.62922262922262917</v>
      </c>
      <c r="K1042" s="92" cm="1">
        <f t="array" aca="1" ref="K104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42" s="95">
        <f ca="1">IF(Table2[[#This Row],[Team]]="FA",0,Table2[[#This Row],[Pts/G]]*(Table2[[#This Row],[Games Playable]]/82))</f>
        <v>3.9268292682926829</v>
      </c>
      <c r="M1042" s="95" cm="1">
        <f t="array" aca="1" ref="M1042" ca="1">Table2[[#This Row],[Playable x Score]]*_xlfn.IFS(Table2[[#This Row],[Pos]]="D",assumptions!$B$15,Table2[[#This Row],[Pos]]="F", assumptions!$B$14,Table2[[#This Row],[Pos]]="G",assumptions!$B$16)</f>
        <v>4.3195121951219511</v>
      </c>
    </row>
    <row r="1043" spans="1:13" x14ac:dyDescent="0.3">
      <c r="A1043" s="109">
        <f>'score estimates'!$A1043</f>
        <v>1040</v>
      </c>
      <c r="B1043" s="109" t="str">
        <f>'score estimates'!$B1043</f>
        <v>Kurtis Gabriel</v>
      </c>
      <c r="C1043" s="109" t="str">
        <f>'score estimates'!$D1043</f>
        <v>F</v>
      </c>
      <c r="D1043" s="109" t="str">
        <f>'score estimates'!$C1043</f>
        <v>CHI</v>
      </c>
      <c r="E1043" s="75">
        <f>'score estimates'!$F1043</f>
        <v>0.70731707317073167</v>
      </c>
      <c r="F1043" s="110">
        <f>'score estimates'!$G1043</f>
        <v>972</v>
      </c>
      <c r="H1043" s="72" cm="1">
        <f t="array" aca="1" ref="H104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43" s="96">
        <f ca="1">IF(Table2[[#This Row],[Team]]="FA",0,Table2[[#This Row],[Pts/G]]*(1-Table2[[#This Row],[% Pos Overlap]]))</f>
        <v>0.70731707317073167</v>
      </c>
      <c r="J1043" s="72" cm="1">
        <f t="array" aca="1" ref="J1043" ca="1">(INDIRECT(ADDRESS((_xlfn.XMATCH(Table2[[#This Row],[Team]],Schedule!$A$1:$A$33)),5,1,1,"Sched Overlap")))</f>
        <v>0.6243386243386243</v>
      </c>
      <c r="K1043" s="92" cm="1">
        <f t="array" aca="1" ref="K104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43" s="95">
        <f ca="1">IF(Table2[[#This Row],[Team]]="FA",0,Table2[[#This Row],[Pts/G]]*(Table2[[#This Row],[Games Playable]]/82))</f>
        <v>0.70731707317073167</v>
      </c>
      <c r="M1043" s="95" cm="1">
        <f t="array" aca="1" ref="M1043" ca="1">Table2[[#This Row],[Playable x Score]]*_xlfn.IFS(Table2[[#This Row],[Pos]]="D",assumptions!$B$15,Table2[[#This Row],[Pos]]="F", assumptions!$B$14,Table2[[#This Row],[Pos]]="G",assumptions!$B$16)</f>
        <v>0.70731707317073167</v>
      </c>
    </row>
    <row r="1044" spans="1:13" x14ac:dyDescent="0.3">
      <c r="A1044" s="109">
        <f>'score estimates'!$A1044</f>
        <v>1041</v>
      </c>
      <c r="B1044" s="109" t="str">
        <f>'score estimates'!$B1044</f>
        <v>Justin Bailey</v>
      </c>
      <c r="C1044" s="109" t="str">
        <f>'score estimates'!$D1044</f>
        <v>F</v>
      </c>
      <c r="D1044" s="109" t="str">
        <f>'score estimates'!$C1044</f>
        <v>EDM</v>
      </c>
      <c r="E1044" s="75">
        <f>'score estimates'!$F1044</f>
        <v>0.24390243902439024</v>
      </c>
      <c r="F1044" s="110">
        <f>'score estimates'!$G1044</f>
        <v>1035</v>
      </c>
      <c r="H1044" s="72" cm="1">
        <f t="array" aca="1" ref="H104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44" s="96">
        <f ca="1">IF(Table2[[#This Row],[Team]]="FA",0,Table2[[#This Row],[Pts/G]]*(1-Table2[[#This Row],[% Pos Overlap]]))</f>
        <v>0.24390243902439024</v>
      </c>
      <c r="J1044" s="72" cm="1">
        <f t="array" aca="1" ref="J1044" ca="1">(INDIRECT(ADDRESS((_xlfn.XMATCH(Table2[[#This Row],[Team]],Schedule!$A$1:$A$33)),5,1,1,"Sched Overlap")))</f>
        <v>0.62026862026862029</v>
      </c>
      <c r="K1044" s="92" cm="1">
        <f t="array" aca="1" ref="K104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44" s="95">
        <f ca="1">IF(Table2[[#This Row],[Team]]="FA",0,Table2[[#This Row],[Pts/G]]*(Table2[[#This Row],[Games Playable]]/82))</f>
        <v>0.24390243902439024</v>
      </c>
      <c r="M1044" s="95" cm="1">
        <f t="array" aca="1" ref="M1044" ca="1">Table2[[#This Row],[Playable x Score]]*_xlfn.IFS(Table2[[#This Row],[Pos]]="D",assumptions!$B$15,Table2[[#This Row],[Pos]]="F", assumptions!$B$14,Table2[[#This Row],[Pos]]="G",assumptions!$B$16)</f>
        <v>0.24390243902439024</v>
      </c>
    </row>
    <row r="1045" spans="1:13" x14ac:dyDescent="0.3">
      <c r="A1045" s="109">
        <f>'score estimates'!$A1045</f>
        <v>1042</v>
      </c>
      <c r="B1045" s="109" t="str">
        <f>'score estimates'!$B1045</f>
        <v>Dillon Heatherington</v>
      </c>
      <c r="C1045" s="109" t="str">
        <f>'score estimates'!$D1045</f>
        <v>D</v>
      </c>
      <c r="D1045" s="109" t="str">
        <f>'score estimates'!$C1045</f>
        <v>OTT</v>
      </c>
      <c r="E1045" s="75">
        <f>'score estimates'!$F1045</f>
        <v>0.36585365853658536</v>
      </c>
      <c r="F1045" s="110">
        <f>'score estimates'!$G1045</f>
        <v>1015</v>
      </c>
      <c r="H1045" s="72" cm="1">
        <f t="array" aca="1" ref="H104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45" s="96">
        <f ca="1">IF(Table2[[#This Row],[Team]]="FA",0,Table2[[#This Row],[Pts/G]]*(1-Table2[[#This Row],[% Pos Overlap]]))</f>
        <v>0.36585365853658536</v>
      </c>
      <c r="J1045" s="72" cm="1">
        <f t="array" aca="1" ref="J1045" ca="1">(INDIRECT(ADDRESS((_xlfn.XMATCH(Table2[[#This Row],[Team]],Schedule!$A$1:$A$33)),5,1,1,"Sched Overlap")))</f>
        <v>0.64306064306064303</v>
      </c>
      <c r="K1045" s="92" cm="1">
        <f t="array" aca="1" ref="K104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45" s="95">
        <f ca="1">IF(Table2[[#This Row],[Team]]="FA",0,Table2[[#This Row],[Pts/G]]*(Table2[[#This Row],[Games Playable]]/82))</f>
        <v>0.36585365853658536</v>
      </c>
      <c r="M1045" s="95" cm="1">
        <f t="array" aca="1" ref="M1045" ca="1">Table2[[#This Row],[Playable x Score]]*_xlfn.IFS(Table2[[#This Row],[Pos]]="D",assumptions!$B$15,Table2[[#This Row],[Pos]]="F", assumptions!$B$14,Table2[[#This Row],[Pos]]="G",assumptions!$B$16)</f>
        <v>0.45731707317073167</v>
      </c>
    </row>
    <row r="1046" spans="1:13" x14ac:dyDescent="0.3">
      <c r="A1046" s="109">
        <f>'score estimates'!$A1046</f>
        <v>1043</v>
      </c>
      <c r="B1046" s="109" t="str">
        <f>'score estimates'!$B1046</f>
        <v>Zach Fucale</v>
      </c>
      <c r="C1046" s="109" t="str">
        <f>'score estimates'!$D1046</f>
        <v>G</v>
      </c>
      <c r="D1046" s="109" t="str">
        <f>'score estimates'!$C1046</f>
        <v>WAS</v>
      </c>
      <c r="E1046" s="75">
        <f>'score estimates'!$F1046</f>
        <v>1.1463414634146341</v>
      </c>
      <c r="F1046" s="110">
        <f>'score estimates'!$G1046</f>
        <v>922</v>
      </c>
      <c r="H1046" s="72" cm="1">
        <f t="array" aca="1" ref="H104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46" s="96">
        <f ca="1">IF(Table2[[#This Row],[Team]]="FA",0,Table2[[#This Row],[Pts/G]]*(1-Table2[[#This Row],[% Pos Overlap]]))</f>
        <v>1.1463414634146341</v>
      </c>
      <c r="J1046" s="72" cm="1">
        <f t="array" aca="1" ref="J1046" ca="1">(INDIRECT(ADDRESS((_xlfn.XMATCH(Table2[[#This Row],[Team]],Schedule!$A$1:$A$33)),5,1,1,"Sched Overlap")))</f>
        <v>0.65282865282865288</v>
      </c>
      <c r="K1046" s="92" cm="1">
        <f t="array" aca="1" ref="K104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46" s="95">
        <f ca="1">IF(Table2[[#This Row],[Team]]="FA",0,Table2[[#This Row],[Pts/G]]*(Table2[[#This Row],[Games Playable]]/82))</f>
        <v>1.1463414634146341</v>
      </c>
      <c r="M1046" s="95" cm="1">
        <f t="array" aca="1" ref="M1046" ca="1">Table2[[#This Row],[Playable x Score]]*_xlfn.IFS(Table2[[#This Row],[Pos]]="D",assumptions!$B$15,Table2[[#This Row],[Pos]]="F", assumptions!$B$14,Table2[[#This Row],[Pos]]="G",assumptions!$B$16)</f>
        <v>1.2609756097560976</v>
      </c>
    </row>
    <row r="1047" spans="1:13" x14ac:dyDescent="0.3">
      <c r="A1047" s="109">
        <f>'score estimates'!$A1047</f>
        <v>1044</v>
      </c>
      <c r="B1047" s="109" t="str">
        <f>'score estimates'!$B1047</f>
        <v>Antti Raanta</v>
      </c>
      <c r="C1047" s="109" t="str">
        <f>'score estimates'!$D1047</f>
        <v>G</v>
      </c>
      <c r="D1047" s="109" t="str">
        <f>'score estimates'!$C1047</f>
        <v>CAR</v>
      </c>
      <c r="E1047" s="75">
        <f>'score estimates'!$F1047</f>
        <v>12.292682926829269</v>
      </c>
      <c r="F1047" s="110">
        <f>'score estimates'!$G1047</f>
        <v>482</v>
      </c>
      <c r="H1047" s="72" cm="1">
        <f t="array" aca="1" ref="H104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47" s="96">
        <f ca="1">IF(Table2[[#This Row],[Team]]="FA",0,Table2[[#This Row],[Pts/G]]*(1-Table2[[#This Row],[% Pos Overlap]]))</f>
        <v>12.292682926829269</v>
      </c>
      <c r="J1047" s="72" cm="1">
        <f t="array" aca="1" ref="J1047" ca="1">(INDIRECT(ADDRESS((_xlfn.XMATCH(Table2[[#This Row],[Team]],Schedule!$A$1:$A$33)),5,1,1,"Sched Overlap")))</f>
        <v>0.63247863247863245</v>
      </c>
      <c r="K1047" s="92" cm="1">
        <f t="array" aca="1" ref="K104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47" s="95">
        <f ca="1">IF(Table2[[#This Row],[Team]]="FA",0,Table2[[#This Row],[Pts/G]]*(Table2[[#This Row],[Games Playable]]/82))</f>
        <v>12.292682926829269</v>
      </c>
      <c r="M1047" s="95" cm="1">
        <f t="array" aca="1" ref="M1047" ca="1">Table2[[#This Row],[Playable x Score]]*_xlfn.IFS(Table2[[#This Row],[Pos]]="D",assumptions!$B$15,Table2[[#This Row],[Pos]]="F", assumptions!$B$14,Table2[[#This Row],[Pos]]="G",assumptions!$B$16)</f>
        <v>13.521951219512196</v>
      </c>
    </row>
    <row r="1048" spans="1:13" x14ac:dyDescent="0.3">
      <c r="A1048" s="109">
        <f>'score estimates'!$A1048</f>
        <v>1045</v>
      </c>
      <c r="B1048" s="109" t="str">
        <f>'score estimates'!$B1048</f>
        <v>Laurent Brossoit</v>
      </c>
      <c r="C1048" s="109" t="str">
        <f>'score estimates'!$D1048</f>
        <v>G</v>
      </c>
      <c r="D1048" s="109" t="str">
        <f>'score estimates'!$C1048</f>
        <v>VGK</v>
      </c>
      <c r="E1048" s="75">
        <f>'score estimates'!$F1048</f>
        <v>14.414634146341463</v>
      </c>
      <c r="F1048" s="110">
        <f>'score estimates'!$G1048</f>
        <v>410</v>
      </c>
      <c r="H1048" s="72" cm="1">
        <f t="array" aca="1" ref="H104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48" s="96">
        <f ca="1">IF(Table2[[#This Row],[Team]]="FA",0,Table2[[#This Row],[Pts/G]]*(1-Table2[[#This Row],[% Pos Overlap]]))</f>
        <v>14.414634146341463</v>
      </c>
      <c r="J1048" s="72" cm="1">
        <f t="array" aca="1" ref="J1048" ca="1">(INDIRECT(ADDRESS((_xlfn.XMATCH(Table2[[#This Row],[Team]],Schedule!$A$1:$A$33)),5,1,1,"Sched Overlap")))</f>
        <v>0.66992266992266991</v>
      </c>
      <c r="K1048" s="92" cm="1">
        <f t="array" aca="1" ref="K104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48" s="95">
        <f ca="1">IF(Table2[[#This Row],[Team]]="FA",0,Table2[[#This Row],[Pts/G]]*(Table2[[#This Row],[Games Playable]]/82))</f>
        <v>14.414634146341463</v>
      </c>
      <c r="M1048" s="95" cm="1">
        <f t="array" aca="1" ref="M1048" ca="1">Table2[[#This Row],[Playable x Score]]*_xlfn.IFS(Table2[[#This Row],[Pos]]="D",assumptions!$B$15,Table2[[#This Row],[Pos]]="F", assumptions!$B$14,Table2[[#This Row],[Pos]]="G",assumptions!$B$16)</f>
        <v>15.856097560975611</v>
      </c>
    </row>
    <row r="1049" spans="1:13" x14ac:dyDescent="0.3">
      <c r="A1049" s="109">
        <f>'score estimates'!$A1049</f>
        <v>1046</v>
      </c>
      <c r="B1049" s="109" t="str">
        <f>'score estimates'!$B1049</f>
        <v>Pheonix Copley</v>
      </c>
      <c r="C1049" s="109" t="str">
        <f>'score estimates'!$D1049</f>
        <v>G</v>
      </c>
      <c r="D1049" s="109" t="str">
        <f>'score estimates'!$C1049</f>
        <v>LA</v>
      </c>
      <c r="E1049" s="75">
        <f>'score estimates'!$F1049</f>
        <v>-3.6585365853658534E-2</v>
      </c>
      <c r="F1049" s="110">
        <f>'score estimates'!$G1049</f>
        <v>1069</v>
      </c>
      <c r="H1049" s="72" cm="1">
        <f t="array" aca="1" ref="H104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49" s="96">
        <f ca="1">IF(Table2[[#This Row],[Team]]="FA",0,Table2[[#This Row],[Pts/G]]*(1-Table2[[#This Row],[% Pos Overlap]]))</f>
        <v>-3.6585365853658534E-2</v>
      </c>
      <c r="J1049" s="72" cm="1">
        <f t="array" aca="1" ref="J1049" ca="1">(INDIRECT(ADDRESS((_xlfn.XMATCH(Table2[[#This Row],[Team]],Schedule!$A$1:$A$33)),5,1,1,"Sched Overlap")))</f>
        <v>0.65201465201465225</v>
      </c>
      <c r="K1049" s="92" cm="1">
        <f t="array" aca="1" ref="K104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49" s="95">
        <f ca="1">IF(Table2[[#This Row],[Team]]="FA",0,Table2[[#This Row],[Pts/G]]*(Table2[[#This Row],[Games Playable]]/82))</f>
        <v>-3.6585365853658534E-2</v>
      </c>
      <c r="M1049" s="95" cm="1">
        <f t="array" aca="1" ref="M1049" ca="1">Table2[[#This Row],[Playable x Score]]*_xlfn.IFS(Table2[[#This Row],[Pos]]="D",assumptions!$B$15,Table2[[#This Row],[Pos]]="F", assumptions!$B$14,Table2[[#This Row],[Pos]]="G",assumptions!$B$16)</f>
        <v>-4.0243902439024391E-2</v>
      </c>
    </row>
    <row r="1050" spans="1:13" x14ac:dyDescent="0.3">
      <c r="A1050" s="109">
        <f>'score estimates'!$A1050</f>
        <v>1047</v>
      </c>
      <c r="B1050" s="109" t="str">
        <f>'score estimates'!$B1050</f>
        <v>Hudson Fasching</v>
      </c>
      <c r="C1050" s="109" t="str">
        <f>'score estimates'!$D1050</f>
        <v>F</v>
      </c>
      <c r="D1050" s="109" t="str">
        <f>'score estimates'!$C1050</f>
        <v>NYI</v>
      </c>
      <c r="E1050" s="75">
        <f>'score estimates'!$F1050</f>
        <v>-0.2073170731707317</v>
      </c>
      <c r="F1050" s="110">
        <f>'score estimates'!$G1050</f>
        <v>1076</v>
      </c>
      <c r="H1050" s="72" cm="1">
        <f t="array" aca="1" ref="H105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50" s="96">
        <f ca="1">IF(Table2[[#This Row],[Team]]="FA",0,Table2[[#This Row],[Pts/G]]*(1-Table2[[#This Row],[% Pos Overlap]]))</f>
        <v>-0.2073170731707317</v>
      </c>
      <c r="J1050" s="72" cm="1">
        <f t="array" aca="1" ref="J1050" ca="1">(INDIRECT(ADDRESS((_xlfn.XMATCH(Table2[[#This Row],[Team]],Schedule!$A$1:$A$33)),5,1,1,"Sched Overlap")))</f>
        <v>0.63166463166463194</v>
      </c>
      <c r="K1050" s="92" cm="1">
        <f t="array" aca="1" ref="K105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50" s="95">
        <f ca="1">IF(Table2[[#This Row],[Team]]="FA",0,Table2[[#This Row],[Pts/G]]*(Table2[[#This Row],[Games Playable]]/82))</f>
        <v>-0.2073170731707317</v>
      </c>
      <c r="M1050" s="95" cm="1">
        <f t="array" aca="1" ref="M1050" ca="1">Table2[[#This Row],[Playable x Score]]*_xlfn.IFS(Table2[[#This Row],[Pos]]="D",assumptions!$B$15,Table2[[#This Row],[Pos]]="F", assumptions!$B$14,Table2[[#This Row],[Pos]]="G",assumptions!$B$16)</f>
        <v>-0.2073170731707317</v>
      </c>
    </row>
    <row r="1051" spans="1:13" x14ac:dyDescent="0.3">
      <c r="A1051" s="109">
        <f>'score estimates'!$A1051</f>
        <v>1048</v>
      </c>
      <c r="B1051" s="109" t="str">
        <f>'score estimates'!$B1051</f>
        <v>Danny O'Regan</v>
      </c>
      <c r="C1051" s="109" t="str">
        <f>'score estimates'!$D1051</f>
        <v>F</v>
      </c>
      <c r="D1051" s="109" t="str">
        <f>'score estimates'!$C1051</f>
        <v>ANH</v>
      </c>
      <c r="E1051" s="75">
        <f>'score estimates'!$F1051</f>
        <v>0.17073170731707318</v>
      </c>
      <c r="F1051" s="110">
        <f>'score estimates'!$G1051</f>
        <v>1044</v>
      </c>
      <c r="H1051" s="72" cm="1">
        <f t="array" aca="1" ref="H105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51" s="96">
        <f ca="1">IF(Table2[[#This Row],[Team]]="FA",0,Table2[[#This Row],[Pts/G]]*(1-Table2[[#This Row],[% Pos Overlap]]))</f>
        <v>0.17073170731707318</v>
      </c>
      <c r="J1051" s="72" cm="1">
        <f t="array" aca="1" ref="J1051" ca="1">(INDIRECT(ADDRESS((_xlfn.XMATCH(Table2[[#This Row],[Team]],Schedule!$A$1:$A$33)),5,1,1,"Sched Overlap")))</f>
        <v>0.56410256410256399</v>
      </c>
      <c r="K1051" s="92" cm="1">
        <f t="array" aca="1" ref="K105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51" s="95">
        <f ca="1">IF(Table2[[#This Row],[Team]]="FA",0,Table2[[#This Row],[Pts/G]]*(Table2[[#This Row],[Games Playable]]/82))</f>
        <v>0.17073170731707318</v>
      </c>
      <c r="M1051" s="95" cm="1">
        <f t="array" aca="1" ref="M1051" ca="1">Table2[[#This Row],[Playable x Score]]*_xlfn.IFS(Table2[[#This Row],[Pos]]="D",assumptions!$B$15,Table2[[#This Row],[Pos]]="F", assumptions!$B$14,Table2[[#This Row],[Pos]]="G",assumptions!$B$16)</f>
        <v>0.17073170731707318</v>
      </c>
    </row>
    <row r="1052" spans="1:13" x14ac:dyDescent="0.3">
      <c r="A1052" s="109">
        <f>'score estimates'!$A1052</f>
        <v>1049</v>
      </c>
      <c r="B1052" s="109" t="str">
        <f>'score estimates'!$B1052</f>
        <v>Andrew Hammond</v>
      </c>
      <c r="C1052" s="109" t="str">
        <f>'score estimates'!$D1052</f>
        <v>G</v>
      </c>
      <c r="D1052" s="109" t="str">
        <f>'score estimates'!$C1052</f>
        <v>FLA</v>
      </c>
      <c r="E1052" s="75">
        <f>'score estimates'!$F1052</f>
        <v>1.975609756097561</v>
      </c>
      <c r="F1052" s="110">
        <f>'score estimates'!$G1052</f>
        <v>855</v>
      </c>
      <c r="H1052" s="72" cm="1">
        <f t="array" aca="1" ref="H105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52" s="96">
        <f ca="1">IF(Table2[[#This Row],[Team]]="FA",0,Table2[[#This Row],[Pts/G]]*(1-Table2[[#This Row],[% Pos Overlap]]))</f>
        <v>1.975609756097561</v>
      </c>
      <c r="J1052" s="72" cm="1">
        <f t="array" aca="1" ref="J1052" ca="1">(INDIRECT(ADDRESS((_xlfn.XMATCH(Table2[[#This Row],[Team]],Schedule!$A$1:$A$33)),5,1,1,"Sched Overlap")))</f>
        <v>0.64387464387464377</v>
      </c>
      <c r="K1052" s="92" cm="1">
        <f t="array" aca="1" ref="K105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52" s="95">
        <f ca="1">IF(Table2[[#This Row],[Team]]="FA",0,Table2[[#This Row],[Pts/G]]*(Table2[[#This Row],[Games Playable]]/82))</f>
        <v>1.975609756097561</v>
      </c>
      <c r="M1052" s="95" cm="1">
        <f t="array" aca="1" ref="M1052" ca="1">Table2[[#This Row],[Playable x Score]]*_xlfn.IFS(Table2[[#This Row],[Pos]]="D",assumptions!$B$15,Table2[[#This Row],[Pos]]="F", assumptions!$B$14,Table2[[#This Row],[Pos]]="G",assumptions!$B$16)</f>
        <v>2.1731707317073172</v>
      </c>
    </row>
    <row r="1053" spans="1:13" x14ac:dyDescent="0.3">
      <c r="A1053" s="109">
        <f>'score estimates'!$A1053</f>
        <v>1050</v>
      </c>
      <c r="B1053" s="109" t="str">
        <f>'score estimates'!$B1053</f>
        <v>Jussi Olkinuora</v>
      </c>
      <c r="C1053" s="109" t="str">
        <f>'score estimates'!$D1053</f>
        <v>G</v>
      </c>
      <c r="D1053" s="109" t="str">
        <f>'score estimates'!$C1053</f>
        <v>DET</v>
      </c>
      <c r="E1053" s="75">
        <f>'score estimates'!$F1053</f>
        <v>-1.6463414634146341</v>
      </c>
      <c r="F1053" s="110">
        <f>'score estimates'!$G1053</f>
        <v>1085</v>
      </c>
      <c r="H1053" s="72" cm="1">
        <f t="array" aca="1" ref="H105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53" s="96">
        <f ca="1">IF(Table2[[#This Row],[Team]]="FA",0,Table2[[#This Row],[Pts/G]]*(1-Table2[[#This Row],[% Pos Overlap]]))</f>
        <v>-1.6463414634146341</v>
      </c>
      <c r="J1053" s="72" cm="1">
        <f t="array" aca="1" ref="J1053" ca="1">(INDIRECT(ADDRESS((_xlfn.XMATCH(Table2[[#This Row],[Team]],Schedule!$A$1:$A$33)),5,1,1,"Sched Overlap")))</f>
        <v>0.64550264550264547</v>
      </c>
      <c r="K1053" s="92" cm="1">
        <f t="array" aca="1" ref="K105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53" s="95">
        <f ca="1">IF(Table2[[#This Row],[Team]]="FA",0,Table2[[#This Row],[Pts/G]]*(Table2[[#This Row],[Games Playable]]/82))</f>
        <v>-1.6463414634146341</v>
      </c>
      <c r="M1053" s="95" cm="1">
        <f t="array" aca="1" ref="M1053" ca="1">Table2[[#This Row],[Playable x Score]]*_xlfn.IFS(Table2[[#This Row],[Pos]]="D",assumptions!$B$15,Table2[[#This Row],[Pos]]="F", assumptions!$B$14,Table2[[#This Row],[Pos]]="G",assumptions!$B$16)</f>
        <v>-1.8109756097560976</v>
      </c>
    </row>
    <row r="1054" spans="1:13" x14ac:dyDescent="0.3">
      <c r="A1054" s="109">
        <f>'score estimates'!$A1054</f>
        <v>1051</v>
      </c>
      <c r="B1054" s="109" t="str">
        <f>'score estimates'!$B1054</f>
        <v>Troy Grosenick</v>
      </c>
      <c r="C1054" s="109" t="str">
        <f>'score estimates'!$D1054</f>
        <v>G</v>
      </c>
      <c r="D1054" s="109" t="str">
        <f>'score estimates'!$C1054</f>
        <v>PHI</v>
      </c>
      <c r="E1054" s="75">
        <f>'score estimates'!$F1054</f>
        <v>-9.7560975609756095</v>
      </c>
      <c r="F1054" s="110">
        <f>'score estimates'!$G1054</f>
        <v>1086</v>
      </c>
      <c r="H1054" s="72" cm="1">
        <f t="array" aca="1" ref="H105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54" s="96">
        <f ca="1">IF(Table2[[#This Row],[Team]]="FA",0,Table2[[#This Row],[Pts/G]]*(1-Table2[[#This Row],[% Pos Overlap]]))</f>
        <v>-9.7560975609756095</v>
      </c>
      <c r="J1054" s="72" cm="1">
        <f t="array" aca="1" ref="J1054" ca="1">(INDIRECT(ADDRESS((_xlfn.XMATCH(Table2[[#This Row],[Team]],Schedule!$A$1:$A$33)),5,1,1,"Sched Overlap")))</f>
        <v>0.66910866910866917</v>
      </c>
      <c r="K1054" s="92" cm="1">
        <f t="array" aca="1" ref="K105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54" s="95">
        <f ca="1">IF(Table2[[#This Row],[Team]]="FA",0,Table2[[#This Row],[Pts/G]]*(Table2[[#This Row],[Games Playable]]/82))</f>
        <v>-9.7560975609756095</v>
      </c>
      <c r="M1054" s="95" cm="1">
        <f t="array" aca="1" ref="M1054" ca="1">Table2[[#This Row],[Playable x Score]]*_xlfn.IFS(Table2[[#This Row],[Pos]]="D",assumptions!$B$15,Table2[[#This Row],[Pos]]="F", assumptions!$B$14,Table2[[#This Row],[Pos]]="G",assumptions!$B$16)</f>
        <v>-10.731707317073171</v>
      </c>
    </row>
    <row r="1055" spans="1:13" x14ac:dyDescent="0.3">
      <c r="A1055" s="109">
        <f>'score estimates'!$A1055</f>
        <v>1052</v>
      </c>
      <c r="B1055" s="109" t="str">
        <f>'score estimates'!$B1055</f>
        <v>Joonas Korpisalo</v>
      </c>
      <c r="C1055" s="109" t="str">
        <f>'score estimates'!$D1055</f>
        <v>G</v>
      </c>
      <c r="D1055" s="109" t="str">
        <f>'score estimates'!$C1055</f>
        <v>CLS</v>
      </c>
      <c r="E1055" s="75">
        <f>'score estimates'!$F1055</f>
        <v>7</v>
      </c>
      <c r="F1055" s="110">
        <f>'score estimates'!$G1055</f>
        <v>645</v>
      </c>
      <c r="H1055" s="72" cm="1">
        <f t="array" aca="1" ref="H105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55" s="96">
        <f ca="1">IF(Table2[[#This Row],[Team]]="FA",0,Table2[[#This Row],[Pts/G]]*(1-Table2[[#This Row],[% Pos Overlap]]))</f>
        <v>7</v>
      </c>
      <c r="J1055" s="72" cm="1">
        <f t="array" aca="1" ref="J1055" ca="1">(INDIRECT(ADDRESS((_xlfn.XMATCH(Table2[[#This Row],[Team]],Schedule!$A$1:$A$33)),5,1,1,"Sched Overlap")))</f>
        <v>0.64875864875864886</v>
      </c>
      <c r="K1055" s="92" cm="1">
        <f t="array" aca="1" ref="K105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55" s="95">
        <f ca="1">IF(Table2[[#This Row],[Team]]="FA",0,Table2[[#This Row],[Pts/G]]*(Table2[[#This Row],[Games Playable]]/82))</f>
        <v>7</v>
      </c>
      <c r="M1055" s="95" cm="1">
        <f t="array" aca="1" ref="M1055" ca="1">Table2[[#This Row],[Playable x Score]]*_xlfn.IFS(Table2[[#This Row],[Pos]]="D",assumptions!$B$15,Table2[[#This Row],[Pos]]="F", assumptions!$B$14,Table2[[#This Row],[Pos]]="G",assumptions!$B$16)</f>
        <v>7.7000000000000011</v>
      </c>
    </row>
    <row r="1056" spans="1:13" x14ac:dyDescent="0.3">
      <c r="A1056" s="109">
        <f>'score estimates'!$A1056</f>
        <v>1053</v>
      </c>
      <c r="B1056" s="109" t="str">
        <f>'score estimates'!$B1056</f>
        <v>Malcolm Subban</v>
      </c>
      <c r="C1056" s="109" t="str">
        <f>'score estimates'!$D1056</f>
        <v>G</v>
      </c>
      <c r="D1056" s="109" t="str">
        <f>'score estimates'!$C1056</f>
        <v>BUF</v>
      </c>
      <c r="E1056" s="75">
        <f>'score estimates'!$F1056</f>
        <v>3.6097560975609757</v>
      </c>
      <c r="F1056" s="110">
        <f>'score estimates'!$G1056</f>
        <v>774</v>
      </c>
      <c r="H1056" s="72" cm="1">
        <f t="array" aca="1" ref="H105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56" s="96">
        <f ca="1">IF(Table2[[#This Row],[Team]]="FA",0,Table2[[#This Row],[Pts/G]]*(1-Table2[[#This Row],[% Pos Overlap]]))</f>
        <v>3.6097560975609757</v>
      </c>
      <c r="J1056" s="72" cm="1">
        <f t="array" aca="1" ref="J1056" ca="1">(INDIRECT(ADDRESS((_xlfn.XMATCH(Table2[[#This Row],[Team]],Schedule!$A$1:$A$33)),5,1,1,"Sched Overlap")))</f>
        <v>0.63573463573463573</v>
      </c>
      <c r="K1056" s="92" cm="1">
        <f t="array" aca="1" ref="K105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56" s="95">
        <f ca="1">IF(Table2[[#This Row],[Team]]="FA",0,Table2[[#This Row],[Pts/G]]*(Table2[[#This Row],[Games Playable]]/82))</f>
        <v>3.6097560975609757</v>
      </c>
      <c r="M1056" s="95" cm="1">
        <f t="array" aca="1" ref="M1056" ca="1">Table2[[#This Row],[Playable x Score]]*_xlfn.IFS(Table2[[#This Row],[Pos]]="D",assumptions!$B$15,Table2[[#This Row],[Pos]]="F", assumptions!$B$14,Table2[[#This Row],[Pos]]="G",assumptions!$B$16)</f>
        <v>3.9707317073170736</v>
      </c>
    </row>
    <row r="1057" spans="1:13" x14ac:dyDescent="0.3">
      <c r="A1057" s="109">
        <f>'score estimates'!$A1057</f>
        <v>1054</v>
      </c>
      <c r="B1057" s="109" t="str">
        <f>'score estimates'!$B1057</f>
        <v>Max Lagace</v>
      </c>
      <c r="C1057" s="109" t="str">
        <f>'score estimates'!$D1057</f>
        <v>G</v>
      </c>
      <c r="D1057" s="109" t="str">
        <f>'score estimates'!$C1057</f>
        <v>TB</v>
      </c>
      <c r="E1057" s="75">
        <f>'score estimates'!$F1057</f>
        <v>-1.2195121951219513E-2</v>
      </c>
      <c r="F1057" s="110">
        <f>'score estimates'!$G1057</f>
        <v>1065</v>
      </c>
      <c r="H1057" s="72" cm="1">
        <f t="array" aca="1" ref="H105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57" s="96">
        <f ca="1">IF(Table2[[#This Row],[Team]]="FA",0,Table2[[#This Row],[Pts/G]]*(1-Table2[[#This Row],[% Pos Overlap]]))</f>
        <v>-1.2195121951219513E-2</v>
      </c>
      <c r="J1057" s="72" cm="1">
        <f t="array" aca="1" ref="J1057" ca="1">(INDIRECT(ADDRESS((_xlfn.XMATCH(Table2[[#This Row],[Team]],Schedule!$A$1:$A$33)),5,1,1,"Sched Overlap")))</f>
        <v>0.66422466422466431</v>
      </c>
      <c r="K1057" s="92" cm="1">
        <f t="array" aca="1" ref="K105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57" s="95">
        <f ca="1">IF(Table2[[#This Row],[Team]]="FA",0,Table2[[#This Row],[Pts/G]]*(Table2[[#This Row],[Games Playable]]/82))</f>
        <v>-1.2195121951219513E-2</v>
      </c>
      <c r="M1057" s="95" cm="1">
        <f t="array" aca="1" ref="M1057" ca="1">Table2[[#This Row],[Playable x Score]]*_xlfn.IFS(Table2[[#This Row],[Pos]]="D",assumptions!$B$15,Table2[[#This Row],[Pos]]="F", assumptions!$B$14,Table2[[#This Row],[Pos]]="G",assumptions!$B$16)</f>
        <v>-1.3414634146341465E-2</v>
      </c>
    </row>
    <row r="1058" spans="1:13" x14ac:dyDescent="0.3">
      <c r="A1058" s="109">
        <f>'score estimates'!$A1058</f>
        <v>1055</v>
      </c>
      <c r="B1058" s="109" t="str">
        <f>'score estimates'!$B1058</f>
        <v>Anton Forsberg</v>
      </c>
      <c r="C1058" s="109" t="str">
        <f>'score estimates'!$D1058</f>
        <v>G</v>
      </c>
      <c r="D1058" s="109" t="str">
        <f>'score estimates'!$C1058</f>
        <v>OTT</v>
      </c>
      <c r="E1058" s="75">
        <f>'score estimates'!$F1058</f>
        <v>17.658536585365855</v>
      </c>
      <c r="F1058" s="110">
        <f>'score estimates'!$G1058</f>
        <v>311</v>
      </c>
      <c r="H1058" s="72" cm="1">
        <f t="array" aca="1" ref="H105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58" s="96">
        <f ca="1">IF(Table2[[#This Row],[Team]]="FA",0,Table2[[#This Row],[Pts/G]]*(1-Table2[[#This Row],[% Pos Overlap]]))</f>
        <v>17.658536585365855</v>
      </c>
      <c r="J1058" s="72" cm="1">
        <f t="array" aca="1" ref="J1058" ca="1">(INDIRECT(ADDRESS((_xlfn.XMATCH(Table2[[#This Row],[Team]],Schedule!$A$1:$A$33)),5,1,1,"Sched Overlap")))</f>
        <v>0.64306064306064303</v>
      </c>
      <c r="K1058" s="92" cm="1">
        <f t="array" aca="1" ref="K105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58" s="95">
        <f ca="1">IF(Table2[[#This Row],[Team]]="FA",0,Table2[[#This Row],[Pts/G]]*(Table2[[#This Row],[Games Playable]]/82))</f>
        <v>17.658536585365855</v>
      </c>
      <c r="M1058" s="95" cm="1">
        <f t="array" aca="1" ref="M1058" ca="1">Table2[[#This Row],[Playable x Score]]*_xlfn.IFS(Table2[[#This Row],[Pos]]="D",assumptions!$B$15,Table2[[#This Row],[Pos]]="F", assumptions!$B$14,Table2[[#This Row],[Pos]]="G",assumptions!$B$16)</f>
        <v>19.424390243902444</v>
      </c>
    </row>
    <row r="1059" spans="1:13" x14ac:dyDescent="0.3">
      <c r="A1059" s="109">
        <f>'score estimates'!$A1059</f>
        <v>1056</v>
      </c>
      <c r="B1059" s="109" t="str">
        <f>'score estimates'!$B1059</f>
        <v>Michael Houser</v>
      </c>
      <c r="C1059" s="109" t="str">
        <f>'score estimates'!$D1059</f>
        <v>G</v>
      </c>
      <c r="D1059" s="109" t="str">
        <f>'score estimates'!$C1059</f>
        <v>FA</v>
      </c>
      <c r="E1059" s="75">
        <f>'score estimates'!$F1059</f>
        <v>2.0731707317073171</v>
      </c>
      <c r="F1059" s="110">
        <f>'score estimates'!$G1059</f>
        <v>848</v>
      </c>
      <c r="H1059" s="72" t="e" cm="1">
        <f t="array" aca="1" ref="H1059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1059" s="96">
        <f>IF(Table2[[#This Row],[Team]]="FA",0,Table2[[#This Row],[Pts/G]]*(1-Table2[[#This Row],[% Pos Overlap]]))</f>
        <v>0</v>
      </c>
      <c r="J1059" s="72" t="e" cm="1">
        <f t="array" aca="1" ref="J1059" ca="1">(INDIRECT(ADDRESS((_xlfn.XMATCH(Table2[[#This Row],[Team]],Schedule!$A$1:$A$33)),5,1,1,"Sched Overlap")))</f>
        <v>#N/A</v>
      </c>
      <c r="K1059" s="92" t="e" cm="1">
        <f t="array" aca="1" ref="K1059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1059" s="95">
        <f>IF(Table2[[#This Row],[Team]]="FA",0,Table2[[#This Row],[Pts/G]]*(Table2[[#This Row],[Games Playable]]/82))</f>
        <v>0</v>
      </c>
      <c r="M1059" s="95" cm="1">
        <f t="array" ref="M1059">Table2[[#This Row],[Playable x Score]]*_xlfn.IFS(Table2[[#This Row],[Pos]]="D",assumptions!$B$15,Table2[[#This Row],[Pos]]="F", assumptions!$B$14,Table2[[#This Row],[Pos]]="G",assumptions!$B$16)</f>
        <v>0</v>
      </c>
    </row>
    <row r="1060" spans="1:13" x14ac:dyDescent="0.3">
      <c r="A1060" s="109">
        <f>'score estimates'!$A1060</f>
        <v>1057</v>
      </c>
      <c r="B1060" s="109" t="str">
        <f>'score estimates'!$B1060</f>
        <v>Steven Fogarty</v>
      </c>
      <c r="C1060" s="109" t="str">
        <f>'score estimates'!$D1060</f>
        <v>F</v>
      </c>
      <c r="D1060" s="109" t="str">
        <f>'score estimates'!$C1060</f>
        <v>MIN</v>
      </c>
      <c r="E1060" s="75">
        <f>'score estimates'!$F1060</f>
        <v>4.878048780487805E-2</v>
      </c>
      <c r="F1060" s="110">
        <f>'score estimates'!$G1060</f>
        <v>1055</v>
      </c>
      <c r="H1060" s="72" cm="1">
        <f t="array" aca="1" ref="H106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60" s="96">
        <f ca="1">IF(Table2[[#This Row],[Team]]="FA",0,Table2[[#This Row],[Pts/G]]*(1-Table2[[#This Row],[% Pos Overlap]]))</f>
        <v>4.878048780487805E-2</v>
      </c>
      <c r="J1060" s="72" cm="1">
        <f t="array" aca="1" ref="J1060" ca="1">(INDIRECT(ADDRESS((_xlfn.XMATCH(Table2[[#This Row],[Team]],Schedule!$A$1:$A$33)),5,1,1,"Sched Overlap")))</f>
        <v>0.62108262108262113</v>
      </c>
      <c r="K1060" s="92" cm="1">
        <f t="array" aca="1" ref="K106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60" s="95">
        <f ca="1">IF(Table2[[#This Row],[Team]]="FA",0,Table2[[#This Row],[Pts/G]]*(Table2[[#This Row],[Games Playable]]/82))</f>
        <v>4.878048780487805E-2</v>
      </c>
      <c r="M1060" s="95" cm="1">
        <f t="array" aca="1" ref="M1060" ca="1">Table2[[#This Row],[Playable x Score]]*_xlfn.IFS(Table2[[#This Row],[Pos]]="D",assumptions!$B$15,Table2[[#This Row],[Pos]]="F", assumptions!$B$14,Table2[[#This Row],[Pos]]="G",assumptions!$B$16)</f>
        <v>4.878048780487805E-2</v>
      </c>
    </row>
    <row r="1061" spans="1:13" x14ac:dyDescent="0.3">
      <c r="A1061" s="109">
        <f>'score estimates'!$A1061</f>
        <v>1058</v>
      </c>
      <c r="B1061" s="109" t="str">
        <f>'score estimates'!$B1061</f>
        <v>Louis Domingue</v>
      </c>
      <c r="C1061" s="109" t="str">
        <f>'score estimates'!$D1061</f>
        <v>G</v>
      </c>
      <c r="D1061" s="109" t="str">
        <f>'score estimates'!$C1061</f>
        <v>NYR</v>
      </c>
      <c r="E1061" s="75">
        <f>'score estimates'!$F1061</f>
        <v>1.4878048780487805</v>
      </c>
      <c r="F1061" s="110">
        <f>'score estimates'!$G1061</f>
        <v>884</v>
      </c>
      <c r="H1061" s="72" cm="1">
        <f t="array" aca="1" ref="H106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61" s="96">
        <f ca="1">IF(Table2[[#This Row],[Team]]="FA",0,Table2[[#This Row],[Pts/G]]*(1-Table2[[#This Row],[% Pos Overlap]]))</f>
        <v>1.4878048780487805</v>
      </c>
      <c r="J1061" s="72" cm="1">
        <f t="array" aca="1" ref="J1061" ca="1">(INDIRECT(ADDRESS((_xlfn.XMATCH(Table2[[#This Row],[Team]],Schedule!$A$1:$A$33)),5,1,1,"Sched Overlap")))</f>
        <v>0.60236060236060229</v>
      </c>
      <c r="K1061" s="92" cm="1">
        <f t="array" aca="1" ref="K106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61" s="95">
        <f ca="1">IF(Table2[[#This Row],[Team]]="FA",0,Table2[[#This Row],[Pts/G]]*(Table2[[#This Row],[Games Playable]]/82))</f>
        <v>1.4878048780487805</v>
      </c>
      <c r="M1061" s="95" cm="1">
        <f t="array" aca="1" ref="M1061" ca="1">Table2[[#This Row],[Playable x Score]]*_xlfn.IFS(Table2[[#This Row],[Pos]]="D",assumptions!$B$15,Table2[[#This Row],[Pos]]="F", assumptions!$B$14,Table2[[#This Row],[Pos]]="G",assumptions!$B$16)</f>
        <v>1.6365853658536587</v>
      </c>
    </row>
    <row r="1062" spans="1:13" x14ac:dyDescent="0.3">
      <c r="A1062" s="109">
        <f>'score estimates'!$A1062</f>
        <v>1059</v>
      </c>
      <c r="B1062" s="109" t="str">
        <f>'score estimates'!$B1062</f>
        <v>Andy Andreoff</v>
      </c>
      <c r="C1062" s="109" t="str">
        <f>'score estimates'!$D1062</f>
        <v>F</v>
      </c>
      <c r="D1062" s="109" t="str">
        <f>'score estimates'!$C1062</f>
        <v>NYI</v>
      </c>
      <c r="E1062" s="75">
        <f>'score estimates'!$F1062</f>
        <v>8.5365853658536592E-2</v>
      </c>
      <c r="F1062" s="110">
        <f>'score estimates'!$G1062</f>
        <v>1051</v>
      </c>
      <c r="H1062" s="72" cm="1">
        <f t="array" aca="1" ref="H106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62" s="96">
        <f ca="1">IF(Table2[[#This Row],[Team]]="FA",0,Table2[[#This Row],[Pts/G]]*(1-Table2[[#This Row],[% Pos Overlap]]))</f>
        <v>8.5365853658536592E-2</v>
      </c>
      <c r="J1062" s="72" cm="1">
        <f t="array" aca="1" ref="J1062" ca="1">(INDIRECT(ADDRESS((_xlfn.XMATCH(Table2[[#This Row],[Team]],Schedule!$A$1:$A$33)),5,1,1,"Sched Overlap")))</f>
        <v>0.63166463166463194</v>
      </c>
      <c r="K1062" s="92" cm="1">
        <f t="array" aca="1" ref="K106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62" s="95">
        <f ca="1">IF(Table2[[#This Row],[Team]]="FA",0,Table2[[#This Row],[Pts/G]]*(Table2[[#This Row],[Games Playable]]/82))</f>
        <v>8.5365853658536592E-2</v>
      </c>
      <c r="M1062" s="95" cm="1">
        <f t="array" aca="1" ref="M1062" ca="1">Table2[[#This Row],[Playable x Score]]*_xlfn.IFS(Table2[[#This Row],[Pos]]="D",assumptions!$B$15,Table2[[#This Row],[Pos]]="F", assumptions!$B$14,Table2[[#This Row],[Pos]]="G",assumptions!$B$16)</f>
        <v>8.5365853658536592E-2</v>
      </c>
    </row>
    <row r="1063" spans="1:13" x14ac:dyDescent="0.3">
      <c r="A1063" s="109">
        <f>'score estimates'!$A1063</f>
        <v>1060</v>
      </c>
      <c r="B1063" s="109" t="str">
        <f>'score estimates'!$B1063</f>
        <v>Jordan Binnington</v>
      </c>
      <c r="C1063" s="109" t="str">
        <f>'score estimates'!$D1063</f>
        <v>G</v>
      </c>
      <c r="D1063" s="109" t="str">
        <f>'score estimates'!$C1063</f>
        <v>STL</v>
      </c>
      <c r="E1063" s="75">
        <f>'score estimates'!$F1063</f>
        <v>27.853658536585368</v>
      </c>
      <c r="F1063" s="110">
        <f>'score estimates'!$G1063</f>
        <v>114</v>
      </c>
      <c r="H1063" s="72" cm="1">
        <f t="array" aca="1" ref="H106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63" s="96">
        <f ca="1">IF(Table2[[#This Row],[Team]]="FA",0,Table2[[#This Row],[Pts/G]]*(1-Table2[[#This Row],[% Pos Overlap]]))</f>
        <v>27.853658536585368</v>
      </c>
      <c r="J1063" s="72" cm="1">
        <f t="array" aca="1" ref="J1063" ca="1">(INDIRECT(ADDRESS((_xlfn.XMATCH(Table2[[#This Row],[Team]],Schedule!$A$1:$A$33)),5,1,1,"Sched Overlap")))</f>
        <v>0.65120065120065118</v>
      </c>
      <c r="K1063" s="92" cm="1">
        <f t="array" aca="1" ref="K106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63" s="95">
        <f ca="1">IF(Table2[[#This Row],[Team]]="FA",0,Table2[[#This Row],[Pts/G]]*(Table2[[#This Row],[Games Playable]]/82))</f>
        <v>27.853658536585368</v>
      </c>
      <c r="M1063" s="95" cm="1">
        <f t="array" aca="1" ref="M1063" ca="1">Table2[[#This Row],[Playable x Score]]*_xlfn.IFS(Table2[[#This Row],[Pos]]="D",assumptions!$B$15,Table2[[#This Row],[Pos]]="F", assumptions!$B$14,Table2[[#This Row],[Pos]]="G",assumptions!$B$16)</f>
        <v>30.639024390243907</v>
      </c>
    </row>
    <row r="1064" spans="1:13" x14ac:dyDescent="0.3">
      <c r="A1064" s="109">
        <f>'score estimates'!$A1064</f>
        <v>1061</v>
      </c>
      <c r="B1064" s="109" t="str">
        <f>'score estimates'!$B1064</f>
        <v>Kyle Rau</v>
      </c>
      <c r="C1064" s="109" t="str">
        <f>'score estimates'!$D1064</f>
        <v>F</v>
      </c>
      <c r="D1064" s="109" t="str">
        <f>'score estimates'!$C1064</f>
        <v>FA</v>
      </c>
      <c r="E1064" s="75">
        <f>'score estimates'!$F1064</f>
        <v>4.878048780487805E-2</v>
      </c>
      <c r="F1064" s="110">
        <f>'score estimates'!$G1064</f>
        <v>1055</v>
      </c>
      <c r="H1064" s="72" t="e" cm="1">
        <f t="array" aca="1" ref="H1064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1064" s="96">
        <f>IF(Table2[[#This Row],[Team]]="FA",0,Table2[[#This Row],[Pts/G]]*(1-Table2[[#This Row],[% Pos Overlap]]))</f>
        <v>0</v>
      </c>
      <c r="J1064" s="72" t="e" cm="1">
        <f t="array" aca="1" ref="J1064" ca="1">(INDIRECT(ADDRESS((_xlfn.XMATCH(Table2[[#This Row],[Team]],Schedule!$A$1:$A$33)),5,1,1,"Sched Overlap")))</f>
        <v>#N/A</v>
      </c>
      <c r="K1064" s="92" t="e" cm="1">
        <f t="array" aca="1" ref="K1064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1064" s="95">
        <f>IF(Table2[[#This Row],[Team]]="FA",0,Table2[[#This Row],[Pts/G]]*(Table2[[#This Row],[Games Playable]]/82))</f>
        <v>0</v>
      </c>
      <c r="M1064" s="95" cm="1">
        <f t="array" ref="M1064">Table2[[#This Row],[Playable x Score]]*_xlfn.IFS(Table2[[#This Row],[Pos]]="D",assumptions!$B$15,Table2[[#This Row],[Pos]]="F", assumptions!$B$14,Table2[[#This Row],[Pos]]="G",assumptions!$B$16)</f>
        <v>0</v>
      </c>
    </row>
    <row r="1065" spans="1:13" x14ac:dyDescent="0.3">
      <c r="A1065" s="109">
        <f>'score estimates'!$A1065</f>
        <v>1062</v>
      </c>
      <c r="B1065" s="109" t="str">
        <f>'score estimates'!$B1065</f>
        <v>Petr Mrazek</v>
      </c>
      <c r="C1065" s="109" t="str">
        <f>'score estimates'!$D1065</f>
        <v>G</v>
      </c>
      <c r="D1065" s="109" t="str">
        <f>'score estimates'!$C1065</f>
        <v>CHI</v>
      </c>
      <c r="E1065" s="75">
        <f>'score estimates'!$F1065</f>
        <v>10.621951219512194</v>
      </c>
      <c r="F1065" s="110">
        <f>'score estimates'!$G1065</f>
        <v>539</v>
      </c>
      <c r="H1065" s="72" cm="1">
        <f t="array" aca="1" ref="H106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65" s="96">
        <f ca="1">IF(Table2[[#This Row],[Team]]="FA",0,Table2[[#This Row],[Pts/G]]*(1-Table2[[#This Row],[% Pos Overlap]]))</f>
        <v>10.621951219512194</v>
      </c>
      <c r="J1065" s="72" cm="1">
        <f t="array" aca="1" ref="J1065" ca="1">(INDIRECT(ADDRESS((_xlfn.XMATCH(Table2[[#This Row],[Team]],Schedule!$A$1:$A$33)),5,1,1,"Sched Overlap")))</f>
        <v>0.6243386243386243</v>
      </c>
      <c r="K1065" s="92" cm="1">
        <f t="array" aca="1" ref="K106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65" s="95">
        <f ca="1">IF(Table2[[#This Row],[Team]]="FA",0,Table2[[#This Row],[Pts/G]]*(Table2[[#This Row],[Games Playable]]/82))</f>
        <v>10.621951219512194</v>
      </c>
      <c r="M1065" s="95" cm="1">
        <f t="array" aca="1" ref="M1065" ca="1">Table2[[#This Row],[Playable x Score]]*_xlfn.IFS(Table2[[#This Row],[Pos]]="D",assumptions!$B$15,Table2[[#This Row],[Pos]]="F", assumptions!$B$14,Table2[[#This Row],[Pos]]="G",assumptions!$B$16)</f>
        <v>11.684146341463414</v>
      </c>
    </row>
    <row r="1066" spans="1:13" x14ac:dyDescent="0.3">
      <c r="A1066" s="109">
        <f>'score estimates'!$A1066</f>
        <v>1063</v>
      </c>
      <c r="B1066" s="109" t="str">
        <f>'score estimates'!$B1066</f>
        <v>Scott Wedgewood</v>
      </c>
      <c r="C1066" s="109" t="str">
        <f>'score estimates'!$D1066</f>
        <v>G</v>
      </c>
      <c r="D1066" s="109" t="str">
        <f>'score estimates'!$C1066</f>
        <v>DAL</v>
      </c>
      <c r="E1066" s="75">
        <f>'score estimates'!$F1066</f>
        <v>11.012195121951219</v>
      </c>
      <c r="F1066" s="110">
        <f>'score estimates'!$G1066</f>
        <v>529</v>
      </c>
      <c r="H1066" s="72" cm="1">
        <f t="array" aca="1" ref="H106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66" s="96">
        <f ca="1">IF(Table2[[#This Row],[Team]]="FA",0,Table2[[#This Row],[Pts/G]]*(1-Table2[[#This Row],[% Pos Overlap]]))</f>
        <v>11.012195121951219</v>
      </c>
      <c r="J1066" s="72" cm="1">
        <f t="array" aca="1" ref="J1066" ca="1">(INDIRECT(ADDRESS((_xlfn.XMATCH(Table2[[#This Row],[Team]],Schedule!$A$1:$A$33)),5,1,1,"Sched Overlap")))</f>
        <v>0.65364265364265373</v>
      </c>
      <c r="K1066" s="92" cm="1">
        <f t="array" aca="1" ref="K106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66" s="95">
        <f ca="1">IF(Table2[[#This Row],[Team]]="FA",0,Table2[[#This Row],[Pts/G]]*(Table2[[#This Row],[Games Playable]]/82))</f>
        <v>11.012195121951219</v>
      </c>
      <c r="M1066" s="95" cm="1">
        <f t="array" aca="1" ref="M1066" ca="1">Table2[[#This Row],[Playable x Score]]*_xlfn.IFS(Table2[[#This Row],[Pos]]="D",assumptions!$B$15,Table2[[#This Row],[Pos]]="F", assumptions!$B$14,Table2[[#This Row],[Pos]]="G",assumptions!$B$16)</f>
        <v>12.113414634146341</v>
      </c>
    </row>
    <row r="1067" spans="1:13" x14ac:dyDescent="0.3">
      <c r="A1067" s="109">
        <f>'score estimates'!$A1067</f>
        <v>1064</v>
      </c>
      <c r="B1067" s="109" t="str">
        <f>'score estimates'!$B1067</f>
        <v>Keith Kinkaid</v>
      </c>
      <c r="C1067" s="109" t="str">
        <f>'score estimates'!$D1067</f>
        <v>G</v>
      </c>
      <c r="D1067" s="109" t="str">
        <f>'score estimates'!$C1067</f>
        <v>BOS</v>
      </c>
      <c r="E1067" s="75">
        <f>'score estimates'!$F1067</f>
        <v>1.0975609756097562</v>
      </c>
      <c r="F1067" s="110">
        <f>'score estimates'!$G1067</f>
        <v>927</v>
      </c>
      <c r="H1067" s="72" cm="1">
        <f t="array" aca="1" ref="H106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67" s="96">
        <f ca="1">IF(Table2[[#This Row],[Team]]="FA",0,Table2[[#This Row],[Pts/G]]*(1-Table2[[#This Row],[% Pos Overlap]]))</f>
        <v>1.0975609756097562</v>
      </c>
      <c r="J1067" s="72" cm="1">
        <f t="array" aca="1" ref="J1067" ca="1">(INDIRECT(ADDRESS((_xlfn.XMATCH(Table2[[#This Row],[Team]],Schedule!$A$1:$A$33)),5,1,1,"Sched Overlap")))</f>
        <v>0.67236467236467234</v>
      </c>
      <c r="K1067" s="92" cm="1">
        <f t="array" aca="1" ref="K106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67" s="95">
        <f ca="1">IF(Table2[[#This Row],[Team]]="FA",0,Table2[[#This Row],[Pts/G]]*(Table2[[#This Row],[Games Playable]]/82))</f>
        <v>1.0975609756097562</v>
      </c>
      <c r="M1067" s="95" cm="1">
        <f t="array" aca="1" ref="M1067" ca="1">Table2[[#This Row],[Playable x Score]]*_xlfn.IFS(Table2[[#This Row],[Pos]]="D",assumptions!$B$15,Table2[[#This Row],[Pos]]="F", assumptions!$B$14,Table2[[#This Row],[Pos]]="G",assumptions!$B$16)</f>
        <v>1.2073170731707319</v>
      </c>
    </row>
    <row r="1068" spans="1:13" x14ac:dyDescent="0.3">
      <c r="A1068" s="109">
        <f>'score estimates'!$A1068</f>
        <v>1065</v>
      </c>
      <c r="B1068" s="109" t="str">
        <f>'score estimates'!$B1068</f>
        <v>Martin Jones</v>
      </c>
      <c r="C1068" s="109" t="str">
        <f>'score estimates'!$D1068</f>
        <v>G</v>
      </c>
      <c r="D1068" s="109" t="str">
        <f>'score estimates'!$C1068</f>
        <v>SEA</v>
      </c>
      <c r="E1068" s="75">
        <f>'score estimates'!$F1068</f>
        <v>6.3902439024390247</v>
      </c>
      <c r="F1068" s="110">
        <f>'score estimates'!$G1068</f>
        <v>670</v>
      </c>
      <c r="H1068" s="72" cm="1">
        <f t="array" aca="1" ref="H106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68" s="96">
        <f ca="1">IF(Table2[[#This Row],[Team]]="FA",0,Table2[[#This Row],[Pts/G]]*(1-Table2[[#This Row],[% Pos Overlap]]))</f>
        <v>6.3902439024390247</v>
      </c>
      <c r="J1068" s="72" cm="1">
        <f t="array" aca="1" ref="J1068" ca="1">(INDIRECT(ADDRESS((_xlfn.XMATCH(Table2[[#This Row],[Team]],Schedule!$A$1:$A$33)),5,1,1,"Sched Overlap")))</f>
        <v>0.63085063085063087</v>
      </c>
      <c r="K1068" s="92" cm="1">
        <f t="array" aca="1" ref="K106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68" s="95">
        <f ca="1">IF(Table2[[#This Row],[Team]]="FA",0,Table2[[#This Row],[Pts/G]]*(Table2[[#This Row],[Games Playable]]/82))</f>
        <v>6.3902439024390247</v>
      </c>
      <c r="M1068" s="95" cm="1">
        <f t="array" aca="1" ref="M1068" ca="1">Table2[[#This Row],[Playable x Score]]*_xlfn.IFS(Table2[[#This Row],[Pos]]="D",assumptions!$B$15,Table2[[#This Row],[Pos]]="F", assumptions!$B$14,Table2[[#This Row],[Pos]]="G",assumptions!$B$16)</f>
        <v>7.0292682926829277</v>
      </c>
    </row>
    <row r="1069" spans="1:13" x14ac:dyDescent="0.3">
      <c r="A1069" s="109">
        <f>'score estimates'!$A1069</f>
        <v>1066</v>
      </c>
      <c r="B1069" s="109" t="str">
        <f>'score estimates'!$B1069</f>
        <v>Darcy Kuemper</v>
      </c>
      <c r="C1069" s="109" t="str">
        <f>'score estimates'!$D1069</f>
        <v>G</v>
      </c>
      <c r="D1069" s="109" t="str">
        <f>'score estimates'!$C1069</f>
        <v>WAS</v>
      </c>
      <c r="E1069" s="75">
        <f>'score estimates'!$F1069</f>
        <v>34.012195121951223</v>
      </c>
      <c r="F1069" s="110">
        <f>'score estimates'!$G1069</f>
        <v>51</v>
      </c>
      <c r="H1069" s="72" cm="1">
        <f t="array" aca="1" ref="H106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69" s="96">
        <f ca="1">IF(Table2[[#This Row],[Team]]="FA",0,Table2[[#This Row],[Pts/G]]*(1-Table2[[#This Row],[% Pos Overlap]]))</f>
        <v>34.012195121951223</v>
      </c>
      <c r="J1069" s="72" cm="1">
        <f t="array" aca="1" ref="J1069" ca="1">(INDIRECT(ADDRESS((_xlfn.XMATCH(Table2[[#This Row],[Team]],Schedule!$A$1:$A$33)),5,1,1,"Sched Overlap")))</f>
        <v>0.65282865282865288</v>
      </c>
      <c r="K1069" s="92" cm="1">
        <f t="array" aca="1" ref="K106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69" s="95">
        <f ca="1">IF(Table2[[#This Row],[Team]]="FA",0,Table2[[#This Row],[Pts/G]]*(Table2[[#This Row],[Games Playable]]/82))</f>
        <v>34.012195121951223</v>
      </c>
      <c r="M1069" s="95" cm="1">
        <f t="array" aca="1" ref="M1069" ca="1">Table2[[#This Row],[Playable x Score]]*_xlfn.IFS(Table2[[#This Row],[Pos]]="D",assumptions!$B$15,Table2[[#This Row],[Pos]]="F", assumptions!$B$14,Table2[[#This Row],[Pos]]="G",assumptions!$B$16)</f>
        <v>37.413414634146349</v>
      </c>
    </row>
    <row r="1070" spans="1:13" x14ac:dyDescent="0.3">
      <c r="A1070" s="109">
        <f>'score estimates'!$A1070</f>
        <v>1067</v>
      </c>
      <c r="B1070" s="109" t="str">
        <f>'score estimates'!$B1070</f>
        <v>James Reimer</v>
      </c>
      <c r="C1070" s="109" t="str">
        <f>'score estimates'!$D1070</f>
        <v>G</v>
      </c>
      <c r="D1070" s="109" t="str">
        <f>'score estimates'!$C1070</f>
        <v>SJ</v>
      </c>
      <c r="E1070" s="75">
        <f>'score estimates'!$F1070</f>
        <v>18.536585365853657</v>
      </c>
      <c r="F1070" s="110">
        <f>'score estimates'!$G1070</f>
        <v>286</v>
      </c>
      <c r="H1070" s="72" cm="1">
        <f t="array" aca="1" ref="H107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70" s="96">
        <f ca="1">IF(Table2[[#This Row],[Team]]="FA",0,Table2[[#This Row],[Pts/G]]*(1-Table2[[#This Row],[% Pos Overlap]]))</f>
        <v>18.536585365853657</v>
      </c>
      <c r="J1070" s="72" cm="1">
        <f t="array" aca="1" ref="J1070" ca="1">(INDIRECT(ADDRESS((_xlfn.XMATCH(Table2[[#This Row],[Team]],Schedule!$A$1:$A$33)),5,1,1,"Sched Overlap")))</f>
        <v>0.63492063492063477</v>
      </c>
      <c r="K1070" s="92" cm="1">
        <f t="array" aca="1" ref="K107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70" s="95">
        <f ca="1">IF(Table2[[#This Row],[Team]]="FA",0,Table2[[#This Row],[Pts/G]]*(Table2[[#This Row],[Games Playable]]/82))</f>
        <v>18.536585365853657</v>
      </c>
      <c r="M1070" s="95" cm="1">
        <f t="array" aca="1" ref="M1070" ca="1">Table2[[#This Row],[Playable x Score]]*_xlfn.IFS(Table2[[#This Row],[Pos]]="D",assumptions!$B$15,Table2[[#This Row],[Pos]]="F", assumptions!$B$14,Table2[[#This Row],[Pos]]="G",assumptions!$B$16)</f>
        <v>20.390243902439025</v>
      </c>
    </row>
    <row r="1071" spans="1:13" x14ac:dyDescent="0.3">
      <c r="A1071" s="109">
        <f>'score estimates'!$A1071</f>
        <v>1068</v>
      </c>
      <c r="B1071" s="109" t="str">
        <f>'score estimates'!$B1071</f>
        <v>Carter Hutton</v>
      </c>
      <c r="C1071" s="109" t="str">
        <f>'score estimates'!$D1071</f>
        <v>G</v>
      </c>
      <c r="D1071" s="109" t="str">
        <f>'score estimates'!$C1071</f>
        <v>FA</v>
      </c>
      <c r="E1071" s="75">
        <f>'score estimates'!$F1071</f>
        <v>-0.34146341463414637</v>
      </c>
      <c r="F1071" s="110">
        <f>'score estimates'!$G1071</f>
        <v>1077</v>
      </c>
      <c r="H1071" s="72" t="e" cm="1">
        <f t="array" aca="1" ref="H1071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1071" s="96">
        <f>IF(Table2[[#This Row],[Team]]="FA",0,Table2[[#This Row],[Pts/G]]*(1-Table2[[#This Row],[% Pos Overlap]]))</f>
        <v>0</v>
      </c>
      <c r="J1071" s="72" t="e" cm="1">
        <f t="array" aca="1" ref="J1071" ca="1">(INDIRECT(ADDRESS((_xlfn.XMATCH(Table2[[#This Row],[Team]],Schedule!$A$1:$A$33)),5,1,1,"Sched Overlap")))</f>
        <v>#N/A</v>
      </c>
      <c r="K1071" s="92" t="e" cm="1">
        <f t="array" aca="1" ref="K1071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1071" s="95">
        <f>IF(Table2[[#This Row],[Team]]="FA",0,Table2[[#This Row],[Pts/G]]*(Table2[[#This Row],[Games Playable]]/82))</f>
        <v>0</v>
      </c>
      <c r="M1071" s="95" cm="1">
        <f t="array" ref="M1071">Table2[[#This Row],[Playable x Score]]*_xlfn.IFS(Table2[[#This Row],[Pos]]="D",assumptions!$B$15,Table2[[#This Row],[Pos]]="F", assumptions!$B$14,Table2[[#This Row],[Pos]]="G",assumptions!$B$16)</f>
        <v>0</v>
      </c>
    </row>
    <row r="1072" spans="1:13" x14ac:dyDescent="0.3">
      <c r="A1072" s="109">
        <f>'score estimates'!$A1072</f>
        <v>1069</v>
      </c>
      <c r="B1072" s="109" t="str">
        <f>'score estimates'!$B1072</f>
        <v>Jarred Tinordi</v>
      </c>
      <c r="C1072" s="109" t="str">
        <f>'score estimates'!$D1072</f>
        <v>D</v>
      </c>
      <c r="D1072" s="109" t="str">
        <f>'score estimates'!$C1072</f>
        <v>NYR</v>
      </c>
      <c r="E1072" s="75">
        <f>'score estimates'!$F1072</f>
        <v>0.34146341463414637</v>
      </c>
      <c r="F1072" s="110">
        <f>'score estimates'!$G1072</f>
        <v>1017</v>
      </c>
      <c r="H1072" s="72" cm="1">
        <f t="array" aca="1" ref="H107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72" s="96">
        <f ca="1">IF(Table2[[#This Row],[Team]]="FA",0,Table2[[#This Row],[Pts/G]]*(1-Table2[[#This Row],[% Pos Overlap]]))</f>
        <v>0.34146341463414637</v>
      </c>
      <c r="J1072" s="72" cm="1">
        <f t="array" aca="1" ref="J1072" ca="1">(INDIRECT(ADDRESS((_xlfn.XMATCH(Table2[[#This Row],[Team]],Schedule!$A$1:$A$33)),5,1,1,"Sched Overlap")))</f>
        <v>0.60236060236060229</v>
      </c>
      <c r="K1072" s="92" cm="1">
        <f t="array" aca="1" ref="K107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72" s="95">
        <f ca="1">IF(Table2[[#This Row],[Team]]="FA",0,Table2[[#This Row],[Pts/G]]*(Table2[[#This Row],[Games Playable]]/82))</f>
        <v>0.34146341463414637</v>
      </c>
      <c r="M1072" s="95" cm="1">
        <f t="array" aca="1" ref="M1072" ca="1">Table2[[#This Row],[Playable x Score]]*_xlfn.IFS(Table2[[#This Row],[Pos]]="D",assumptions!$B$15,Table2[[#This Row],[Pos]]="F", assumptions!$B$14,Table2[[#This Row],[Pos]]="G",assumptions!$B$16)</f>
        <v>0.42682926829268297</v>
      </c>
    </row>
    <row r="1073" spans="1:13" x14ac:dyDescent="0.3">
      <c r="A1073" s="109">
        <f>'score estimates'!$A1073</f>
        <v>1070</v>
      </c>
      <c r="B1073" s="109" t="str">
        <f>'score estimates'!$B1073</f>
        <v>Calvin Pickard</v>
      </c>
      <c r="C1073" s="109" t="str">
        <f>'score estimates'!$D1073</f>
        <v>G</v>
      </c>
      <c r="D1073" s="109" t="str">
        <f>'score estimates'!$C1073</f>
        <v>EDM</v>
      </c>
      <c r="E1073" s="75">
        <f>'score estimates'!$F1073</f>
        <v>-2.4390243902439025E-2</v>
      </c>
      <c r="F1073" s="110">
        <f>'score estimates'!$G1073</f>
        <v>1067</v>
      </c>
      <c r="H1073" s="72" cm="1">
        <f t="array" aca="1" ref="H107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73" s="96">
        <f ca="1">IF(Table2[[#This Row],[Team]]="FA",0,Table2[[#This Row],[Pts/G]]*(1-Table2[[#This Row],[% Pos Overlap]]))</f>
        <v>-2.4390243902439025E-2</v>
      </c>
      <c r="J1073" s="72" cm="1">
        <f t="array" aca="1" ref="J1073" ca="1">(INDIRECT(ADDRESS((_xlfn.XMATCH(Table2[[#This Row],[Team]],Schedule!$A$1:$A$33)),5,1,1,"Sched Overlap")))</f>
        <v>0.62026862026862029</v>
      </c>
      <c r="K1073" s="92" cm="1">
        <f t="array" aca="1" ref="K107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73" s="95">
        <f ca="1">IF(Table2[[#This Row],[Team]]="FA",0,Table2[[#This Row],[Pts/G]]*(Table2[[#This Row],[Games Playable]]/82))</f>
        <v>-2.4390243902439025E-2</v>
      </c>
      <c r="M1073" s="95" cm="1">
        <f t="array" aca="1" ref="M1073" ca="1">Table2[[#This Row],[Playable x Score]]*_xlfn.IFS(Table2[[#This Row],[Pos]]="D",assumptions!$B$15,Table2[[#This Row],[Pos]]="F", assumptions!$B$14,Table2[[#This Row],[Pos]]="G",assumptions!$B$16)</f>
        <v>-2.682926829268293E-2</v>
      </c>
    </row>
    <row r="1074" spans="1:13" x14ac:dyDescent="0.3">
      <c r="A1074" s="109">
        <f>'score estimates'!$A1074</f>
        <v>1071</v>
      </c>
      <c r="B1074" s="109" t="str">
        <f>'score estimates'!$B1074</f>
        <v>Sergei Bobrovsky</v>
      </c>
      <c r="C1074" s="109" t="str">
        <f>'score estimates'!$D1074</f>
        <v>G</v>
      </c>
      <c r="D1074" s="109" t="str">
        <f>'score estimates'!$C1074</f>
        <v>FLA</v>
      </c>
      <c r="E1074" s="75">
        <f>'score estimates'!$F1074</f>
        <v>29.670731707317074</v>
      </c>
      <c r="F1074" s="110">
        <f>'score estimates'!$G1074</f>
        <v>92</v>
      </c>
      <c r="H1074" s="72" cm="1">
        <f t="array" aca="1" ref="H107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74" s="96">
        <f ca="1">IF(Table2[[#This Row],[Team]]="FA",0,Table2[[#This Row],[Pts/G]]*(1-Table2[[#This Row],[% Pos Overlap]]))</f>
        <v>29.670731707317074</v>
      </c>
      <c r="J1074" s="72" cm="1">
        <f t="array" aca="1" ref="J1074" ca="1">(INDIRECT(ADDRESS((_xlfn.XMATCH(Table2[[#This Row],[Team]],Schedule!$A$1:$A$33)),5,1,1,"Sched Overlap")))</f>
        <v>0.64387464387464377</v>
      </c>
      <c r="K1074" s="92" cm="1">
        <f t="array" aca="1" ref="K107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74" s="95">
        <f ca="1">IF(Table2[[#This Row],[Team]]="FA",0,Table2[[#This Row],[Pts/G]]*(Table2[[#This Row],[Games Playable]]/82))</f>
        <v>29.670731707317074</v>
      </c>
      <c r="M1074" s="95" cm="1">
        <f t="array" aca="1" ref="M1074" ca="1">Table2[[#This Row],[Playable x Score]]*_xlfn.IFS(Table2[[#This Row],[Pos]]="D",assumptions!$B$15,Table2[[#This Row],[Pos]]="F", assumptions!$B$14,Table2[[#This Row],[Pos]]="G",assumptions!$B$16)</f>
        <v>32.637804878048783</v>
      </c>
    </row>
    <row r="1075" spans="1:13" x14ac:dyDescent="0.3">
      <c r="A1075" s="109">
        <f>'score estimates'!$A1075</f>
        <v>1072</v>
      </c>
      <c r="B1075" s="109" t="str">
        <f>'score estimates'!$B1075</f>
        <v>Jaroslav Halak</v>
      </c>
      <c r="C1075" s="109" t="str">
        <f>'score estimates'!$D1075</f>
        <v>G</v>
      </c>
      <c r="D1075" s="109" t="str">
        <f>'score estimates'!$C1075</f>
        <v>NYR</v>
      </c>
      <c r="E1075" s="75">
        <f>'score estimates'!$F1075</f>
        <v>8.7439024390243905</v>
      </c>
      <c r="F1075" s="110">
        <f>'score estimates'!$G1075</f>
        <v>598</v>
      </c>
      <c r="H1075" s="72" cm="1">
        <f t="array" aca="1" ref="H1075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75" s="96">
        <f ca="1">IF(Table2[[#This Row],[Team]]="FA",0,Table2[[#This Row],[Pts/G]]*(1-Table2[[#This Row],[% Pos Overlap]]))</f>
        <v>8.7439024390243905</v>
      </c>
      <c r="J1075" s="72" cm="1">
        <f t="array" aca="1" ref="J1075" ca="1">(INDIRECT(ADDRESS((_xlfn.XMATCH(Table2[[#This Row],[Team]],Schedule!$A$1:$A$33)),5,1,1,"Sched Overlap")))</f>
        <v>0.60236060236060229</v>
      </c>
      <c r="K1075" s="92" cm="1">
        <f t="array" aca="1" ref="K1075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75" s="95">
        <f ca="1">IF(Table2[[#This Row],[Team]]="FA",0,Table2[[#This Row],[Pts/G]]*(Table2[[#This Row],[Games Playable]]/82))</f>
        <v>8.7439024390243905</v>
      </c>
      <c r="M1075" s="95" cm="1">
        <f t="array" aca="1" ref="M1075" ca="1">Table2[[#This Row],[Playable x Score]]*_xlfn.IFS(Table2[[#This Row],[Pos]]="D",assumptions!$B$15,Table2[[#This Row],[Pos]]="F", assumptions!$B$14,Table2[[#This Row],[Pos]]="G",assumptions!$B$16)</f>
        <v>9.61829268292683</v>
      </c>
    </row>
    <row r="1076" spans="1:13" x14ac:dyDescent="0.3">
      <c r="A1076" s="109">
        <f>'score estimates'!$A1076</f>
        <v>1073</v>
      </c>
      <c r="B1076" s="109" t="str">
        <f>'score estimates'!$B1076</f>
        <v>Jonathan Bernier</v>
      </c>
      <c r="C1076" s="109" t="str">
        <f>'score estimates'!$D1076</f>
        <v>G</v>
      </c>
      <c r="D1076" s="109" t="str">
        <f>'score estimates'!$C1076</f>
        <v>NJ</v>
      </c>
      <c r="E1076" s="75">
        <f>'score estimates'!$F1076</f>
        <v>0.98780487804878048</v>
      </c>
      <c r="F1076" s="110">
        <f>'score estimates'!$G1076</f>
        <v>939</v>
      </c>
      <c r="H1076" s="72" cm="1">
        <f t="array" aca="1" ref="H107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76" s="96">
        <f ca="1">IF(Table2[[#This Row],[Team]]="FA",0,Table2[[#This Row],[Pts/G]]*(1-Table2[[#This Row],[% Pos Overlap]]))</f>
        <v>0.98780487804878048</v>
      </c>
      <c r="J1076" s="72" cm="1">
        <f t="array" aca="1" ref="J1076" ca="1">(INDIRECT(ADDRESS((_xlfn.XMATCH(Table2[[#This Row],[Team]],Schedule!$A$1:$A$33)),5,1,1,"Sched Overlap")))</f>
        <v>0.66259666259666272</v>
      </c>
      <c r="K1076" s="92" cm="1">
        <f t="array" aca="1" ref="K107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76" s="95">
        <f ca="1">IF(Table2[[#This Row],[Team]]="FA",0,Table2[[#This Row],[Pts/G]]*(Table2[[#This Row],[Games Playable]]/82))</f>
        <v>0.98780487804878048</v>
      </c>
      <c r="M1076" s="95" cm="1">
        <f t="array" aca="1" ref="M1076" ca="1">Table2[[#This Row],[Playable x Score]]*_xlfn.IFS(Table2[[#This Row],[Pos]]="D",assumptions!$B$15,Table2[[#This Row],[Pos]]="F", assumptions!$B$14,Table2[[#This Row],[Pos]]="G",assumptions!$B$16)</f>
        <v>1.0865853658536586</v>
      </c>
    </row>
    <row r="1077" spans="1:13" x14ac:dyDescent="0.3">
      <c r="A1077" s="109">
        <f>'score estimates'!$A1077</f>
        <v>1074</v>
      </c>
      <c r="B1077" s="109" t="str">
        <f>'score estimates'!$B1077</f>
        <v>Semyon Varlamov</v>
      </c>
      <c r="C1077" s="109" t="str">
        <f>'score estimates'!$D1077</f>
        <v>G</v>
      </c>
      <c r="D1077" s="109" t="str">
        <f>'score estimates'!$C1077</f>
        <v>NYI</v>
      </c>
      <c r="E1077" s="75">
        <f>'score estimates'!$F1077</f>
        <v>14.987804878048781</v>
      </c>
      <c r="F1077" s="110">
        <f>'score estimates'!$G1077</f>
        <v>390</v>
      </c>
      <c r="H1077" s="72" cm="1">
        <f t="array" aca="1" ref="H1077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77" s="96">
        <f ca="1">IF(Table2[[#This Row],[Team]]="FA",0,Table2[[#This Row],[Pts/G]]*(1-Table2[[#This Row],[% Pos Overlap]]))</f>
        <v>14.987804878048781</v>
      </c>
      <c r="J1077" s="72" cm="1">
        <f t="array" aca="1" ref="J1077" ca="1">(INDIRECT(ADDRESS((_xlfn.XMATCH(Table2[[#This Row],[Team]],Schedule!$A$1:$A$33)),5,1,1,"Sched Overlap")))</f>
        <v>0.63166463166463194</v>
      </c>
      <c r="K1077" s="92" cm="1">
        <f t="array" aca="1" ref="K1077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77" s="95">
        <f ca="1">IF(Table2[[#This Row],[Team]]="FA",0,Table2[[#This Row],[Pts/G]]*(Table2[[#This Row],[Games Playable]]/82))</f>
        <v>14.987804878048781</v>
      </c>
      <c r="M1077" s="95" cm="1">
        <f t="array" aca="1" ref="M1077" ca="1">Table2[[#This Row],[Playable x Score]]*_xlfn.IFS(Table2[[#This Row],[Pos]]="D",assumptions!$B$15,Table2[[#This Row],[Pos]]="F", assumptions!$B$14,Table2[[#This Row],[Pos]]="G",assumptions!$B$16)</f>
        <v>16.48658536585366</v>
      </c>
    </row>
    <row r="1078" spans="1:13" x14ac:dyDescent="0.3">
      <c r="A1078" s="109">
        <f>'score estimates'!$A1078</f>
        <v>1075</v>
      </c>
      <c r="B1078" s="109" t="str">
        <f>'score estimates'!$B1078</f>
        <v>Cory Schneider</v>
      </c>
      <c r="C1078" s="109" t="str">
        <f>'score estimates'!$D1078</f>
        <v>G</v>
      </c>
      <c r="D1078" s="109" t="str">
        <f>'score estimates'!$C1078</f>
        <v>FA</v>
      </c>
      <c r="E1078" s="75">
        <f>'score estimates'!$F1078</f>
        <v>0.54878048780487809</v>
      </c>
      <c r="F1078" s="110">
        <f>'score estimates'!$G1078</f>
        <v>998</v>
      </c>
      <c r="H1078" s="72" t="e" cm="1">
        <f t="array" aca="1" ref="H1078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1078" s="96">
        <f>IF(Table2[[#This Row],[Team]]="FA",0,Table2[[#This Row],[Pts/G]]*(1-Table2[[#This Row],[% Pos Overlap]]))</f>
        <v>0</v>
      </c>
      <c r="J1078" s="72" t="e" cm="1">
        <f t="array" aca="1" ref="J1078" ca="1">(INDIRECT(ADDRESS((_xlfn.XMATCH(Table2[[#This Row],[Team]],Schedule!$A$1:$A$33)),5,1,1,"Sched Overlap")))</f>
        <v>#N/A</v>
      </c>
      <c r="K1078" s="92" t="e" cm="1">
        <f t="array" aca="1" ref="K1078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1078" s="95">
        <f>IF(Table2[[#This Row],[Team]]="FA",0,Table2[[#This Row],[Pts/G]]*(Table2[[#This Row],[Games Playable]]/82))</f>
        <v>0</v>
      </c>
      <c r="M1078" s="95" cm="1">
        <f t="array" ref="M1078">Table2[[#This Row],[Playable x Score]]*_xlfn.IFS(Table2[[#This Row],[Pos]]="D",assumptions!$B$15,Table2[[#This Row],[Pos]]="F", assumptions!$B$14,Table2[[#This Row],[Pos]]="G",assumptions!$B$16)</f>
        <v>0</v>
      </c>
    </row>
    <row r="1079" spans="1:13" x14ac:dyDescent="0.3">
      <c r="A1079" s="109">
        <f>'score estimates'!$A1079</f>
        <v>1076</v>
      </c>
      <c r="B1079" s="109" t="str">
        <f>'score estimates'!$B1079</f>
        <v>Carey Price</v>
      </c>
      <c r="C1079" s="109" t="str">
        <f>'score estimates'!$D1079</f>
        <v>G</v>
      </c>
      <c r="D1079" s="109" t="str">
        <f>'score estimates'!$C1079</f>
        <v>MON</v>
      </c>
      <c r="E1079" s="75">
        <f>'score estimates'!$F1079</f>
        <v>3.6585365853658534E-2</v>
      </c>
      <c r="F1079" s="110">
        <f>'score estimates'!$G1079</f>
        <v>1059</v>
      </c>
      <c r="H1079" s="72" cm="1">
        <f t="array" aca="1" ref="H107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79" s="96">
        <f ca="1">IF(Table2[[#This Row],[Team]]="FA",0,Table2[[#This Row],[Pts/G]]*(1-Table2[[#This Row],[% Pos Overlap]]))</f>
        <v>3.6585365853658534E-2</v>
      </c>
      <c r="J1079" s="72" cm="1">
        <f t="array" aca="1" ref="J1079" ca="1">(INDIRECT(ADDRESS((_xlfn.XMATCH(Table2[[#This Row],[Team]],Schedule!$A$1:$A$33)),5,1,1,"Sched Overlap")))</f>
        <v>0.66666666666666685</v>
      </c>
      <c r="K1079" s="92" cm="1">
        <f t="array" aca="1" ref="K107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79" s="95">
        <f ca="1">IF(Table2[[#This Row],[Team]]="FA",0,Table2[[#This Row],[Pts/G]]*(Table2[[#This Row],[Games Playable]]/82))</f>
        <v>3.6585365853658534E-2</v>
      </c>
      <c r="M1079" s="95" cm="1">
        <f t="array" aca="1" ref="M1079" ca="1">Table2[[#This Row],[Playable x Score]]*_xlfn.IFS(Table2[[#This Row],[Pos]]="D",assumptions!$B$15,Table2[[#This Row],[Pos]]="F", assumptions!$B$14,Table2[[#This Row],[Pos]]="G",assumptions!$B$16)</f>
        <v>4.0243902439024391E-2</v>
      </c>
    </row>
    <row r="1080" spans="1:13" x14ac:dyDescent="0.3">
      <c r="A1080" s="109">
        <f>'score estimates'!$A1080</f>
        <v>1077</v>
      </c>
      <c r="B1080" s="109" t="str">
        <f>'score estimates'!$B1080</f>
        <v>Tuukka Rask</v>
      </c>
      <c r="C1080" s="109" t="str">
        <f>'score estimates'!$D1080</f>
        <v>G</v>
      </c>
      <c r="D1080" s="109" t="str">
        <f>'score estimates'!$C1080</f>
        <v>FA</v>
      </c>
      <c r="E1080" s="75">
        <f>'score estimates'!$F1080</f>
        <v>0.68292682926829273</v>
      </c>
      <c r="F1080" s="110">
        <f>'score estimates'!$G1080</f>
        <v>978</v>
      </c>
      <c r="H1080" s="72" t="e" cm="1">
        <f t="array" aca="1" ref="H1080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1080" s="96">
        <f>IF(Table2[[#This Row],[Team]]="FA",0,Table2[[#This Row],[Pts/G]]*(1-Table2[[#This Row],[% Pos Overlap]]))</f>
        <v>0</v>
      </c>
      <c r="J1080" s="72" t="e" cm="1">
        <f t="array" aca="1" ref="J1080" ca="1">(INDIRECT(ADDRESS((_xlfn.XMATCH(Table2[[#This Row],[Team]],Schedule!$A$1:$A$33)),5,1,1,"Sched Overlap")))</f>
        <v>#N/A</v>
      </c>
      <c r="K1080" s="92" t="e" cm="1">
        <f t="array" aca="1" ref="K1080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1080" s="95">
        <f>IF(Table2[[#This Row],[Team]]="FA",0,Table2[[#This Row],[Pts/G]]*(Table2[[#This Row],[Games Playable]]/82))</f>
        <v>0</v>
      </c>
      <c r="M1080" s="95" cm="1">
        <f t="array" ref="M1080">Table2[[#This Row],[Playable x Score]]*_xlfn.IFS(Table2[[#This Row],[Pos]]="D",assumptions!$B$15,Table2[[#This Row],[Pos]]="F", assumptions!$B$14,Table2[[#This Row],[Pos]]="G",assumptions!$B$16)</f>
        <v>0</v>
      </c>
    </row>
    <row r="1081" spans="1:13" x14ac:dyDescent="0.3">
      <c r="A1081" s="109">
        <f>'score estimates'!$A1081</f>
        <v>1078</v>
      </c>
      <c r="B1081" s="109" t="str">
        <f>'score estimates'!$B1081</f>
        <v>John Moore</v>
      </c>
      <c r="C1081" s="109" t="str">
        <f>'score estimates'!$D1081</f>
        <v>D</v>
      </c>
      <c r="D1081" s="109" t="str">
        <f>'score estimates'!$C1081</f>
        <v>ANH</v>
      </c>
      <c r="E1081" s="75">
        <f>'score estimates'!$F1081</f>
        <v>0.42682926829268292</v>
      </c>
      <c r="F1081" s="110">
        <f>'score estimates'!$G1081</f>
        <v>1010</v>
      </c>
      <c r="H1081" s="72" cm="1">
        <f t="array" aca="1" ref="H1081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81" s="96">
        <f ca="1">IF(Table2[[#This Row],[Team]]="FA",0,Table2[[#This Row],[Pts/G]]*(1-Table2[[#This Row],[% Pos Overlap]]))</f>
        <v>0.42682926829268292</v>
      </c>
      <c r="J1081" s="72" cm="1">
        <f t="array" aca="1" ref="J1081" ca="1">(INDIRECT(ADDRESS((_xlfn.XMATCH(Table2[[#This Row],[Team]],Schedule!$A$1:$A$33)),5,1,1,"Sched Overlap")))</f>
        <v>0.56410256410256399</v>
      </c>
      <c r="K1081" s="92" cm="1">
        <f t="array" aca="1" ref="K1081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81" s="95">
        <f ca="1">IF(Table2[[#This Row],[Team]]="FA",0,Table2[[#This Row],[Pts/G]]*(Table2[[#This Row],[Games Playable]]/82))</f>
        <v>0.42682926829268292</v>
      </c>
      <c r="M1081" s="95" cm="1">
        <f t="array" aca="1" ref="M1081" ca="1">Table2[[#This Row],[Playable x Score]]*_xlfn.IFS(Table2[[#This Row],[Pos]]="D",assumptions!$B$15,Table2[[#This Row],[Pos]]="F", assumptions!$B$14,Table2[[#This Row],[Pos]]="G",assumptions!$B$16)</f>
        <v>0.53353658536585369</v>
      </c>
    </row>
    <row r="1082" spans="1:13" x14ac:dyDescent="0.3">
      <c r="A1082" s="109">
        <f>'score estimates'!$A1082</f>
        <v>1079</v>
      </c>
      <c r="B1082" s="109" t="str">
        <f>'score estimates'!$B1082</f>
        <v>Dustin Tokarski</v>
      </c>
      <c r="C1082" s="109" t="str">
        <f>'score estimates'!$D1082</f>
        <v>G</v>
      </c>
      <c r="D1082" s="109" t="str">
        <f>'score estimates'!$C1082</f>
        <v>PIT</v>
      </c>
      <c r="E1082" s="75">
        <f>'score estimates'!$F1082</f>
        <v>5.2073170731707314</v>
      </c>
      <c r="F1082" s="110">
        <f>'score estimates'!$G1082</f>
        <v>717</v>
      </c>
      <c r="H1082" s="72" cm="1">
        <f t="array" aca="1" ref="H1082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82" s="96">
        <f ca="1">IF(Table2[[#This Row],[Team]]="FA",0,Table2[[#This Row],[Pts/G]]*(1-Table2[[#This Row],[% Pos Overlap]]))</f>
        <v>5.2073170731707314</v>
      </c>
      <c r="J1082" s="72" cm="1">
        <f t="array" aca="1" ref="J1082" ca="1">(INDIRECT(ADDRESS((_xlfn.XMATCH(Table2[[#This Row],[Team]],Schedule!$A$1:$A$33)),5,1,1,"Sched Overlap")))</f>
        <v>0.63492063492063477</v>
      </c>
      <c r="K1082" s="92" cm="1">
        <f t="array" aca="1" ref="K1082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82" s="95">
        <f ca="1">IF(Table2[[#This Row],[Team]]="FA",0,Table2[[#This Row],[Pts/G]]*(Table2[[#This Row],[Games Playable]]/82))</f>
        <v>5.2073170731707314</v>
      </c>
      <c r="M1082" s="95" cm="1">
        <f t="array" aca="1" ref="M1082" ca="1">Table2[[#This Row],[Playable x Score]]*_xlfn.IFS(Table2[[#This Row],[Pos]]="D",assumptions!$B$15,Table2[[#This Row],[Pos]]="F", assumptions!$B$14,Table2[[#This Row],[Pos]]="G",assumptions!$B$16)</f>
        <v>5.7280487804878053</v>
      </c>
    </row>
    <row r="1083" spans="1:13" x14ac:dyDescent="0.3">
      <c r="A1083" s="109">
        <f>'score estimates'!$A1083</f>
        <v>1080</v>
      </c>
      <c r="B1083" s="109" t="str">
        <f>'score estimates'!$B1083</f>
        <v>Michael Hutchinson</v>
      </c>
      <c r="C1083" s="109" t="str">
        <f>'score estimates'!$D1083</f>
        <v>G</v>
      </c>
      <c r="D1083" s="109" t="str">
        <f>'score estimates'!$C1083</f>
        <v>VGK</v>
      </c>
      <c r="E1083" s="75">
        <f>'score estimates'!$F1083</f>
        <v>1.1219512195121952</v>
      </c>
      <c r="F1083" s="110">
        <f>'score estimates'!$G1083</f>
        <v>924</v>
      </c>
      <c r="H1083" s="72" cm="1">
        <f t="array" aca="1" ref="H1083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83" s="96">
        <f ca="1">IF(Table2[[#This Row],[Team]]="FA",0,Table2[[#This Row],[Pts/G]]*(1-Table2[[#This Row],[% Pos Overlap]]))</f>
        <v>1.1219512195121952</v>
      </c>
      <c r="J1083" s="72" cm="1">
        <f t="array" aca="1" ref="J1083" ca="1">(INDIRECT(ADDRESS((_xlfn.XMATCH(Table2[[#This Row],[Team]],Schedule!$A$1:$A$33)),5,1,1,"Sched Overlap")))</f>
        <v>0.66992266992266991</v>
      </c>
      <c r="K1083" s="92" cm="1">
        <f t="array" aca="1" ref="K1083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83" s="95">
        <f ca="1">IF(Table2[[#This Row],[Team]]="FA",0,Table2[[#This Row],[Pts/G]]*(Table2[[#This Row],[Games Playable]]/82))</f>
        <v>1.1219512195121952</v>
      </c>
      <c r="M1083" s="95" cm="1">
        <f t="array" aca="1" ref="M1083" ca="1">Table2[[#This Row],[Playable x Score]]*_xlfn.IFS(Table2[[#This Row],[Pos]]="D",assumptions!$B$15,Table2[[#This Row],[Pos]]="F", assumptions!$B$14,Table2[[#This Row],[Pos]]="G",assumptions!$B$16)</f>
        <v>1.2341463414634148</v>
      </c>
    </row>
    <row r="1084" spans="1:13" x14ac:dyDescent="0.3">
      <c r="A1084" s="109">
        <f>'score estimates'!$A1084</f>
        <v>1081</v>
      </c>
      <c r="B1084" s="109" t="str">
        <f>'score estimates'!$B1084</f>
        <v>Alex Stalock</v>
      </c>
      <c r="C1084" s="109" t="str">
        <f>'score estimates'!$D1084</f>
        <v>G</v>
      </c>
      <c r="D1084" s="109" t="str">
        <f>'score estimates'!$C1084</f>
        <v>CHI</v>
      </c>
      <c r="E1084" s="75">
        <f>'score estimates'!$F1084</f>
        <v>-16.829268292682926</v>
      </c>
      <c r="F1084" s="110">
        <f>'score estimates'!$G1084</f>
        <v>1087</v>
      </c>
      <c r="H1084" s="72" cm="1">
        <f t="array" aca="1" ref="H1084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84" s="96">
        <f ca="1">IF(Table2[[#This Row],[Team]]="FA",0,Table2[[#This Row],[Pts/G]]*(1-Table2[[#This Row],[% Pos Overlap]]))</f>
        <v>-16.829268292682926</v>
      </c>
      <c r="J1084" s="72" cm="1">
        <f t="array" aca="1" ref="J1084" ca="1">(INDIRECT(ADDRESS((_xlfn.XMATCH(Table2[[#This Row],[Team]],Schedule!$A$1:$A$33)),5,1,1,"Sched Overlap")))</f>
        <v>0.6243386243386243</v>
      </c>
      <c r="K1084" s="92" cm="1">
        <f t="array" aca="1" ref="K1084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84" s="95">
        <f ca="1">IF(Table2[[#This Row],[Team]]="FA",0,Table2[[#This Row],[Pts/G]]*(Table2[[#This Row],[Games Playable]]/82))</f>
        <v>-16.829268292682926</v>
      </c>
      <c r="M1084" s="95" cm="1">
        <f t="array" aca="1" ref="M1084" ca="1">Table2[[#This Row],[Playable x Score]]*_xlfn.IFS(Table2[[#This Row],[Pos]]="D",assumptions!$B$15,Table2[[#This Row],[Pos]]="F", assumptions!$B$14,Table2[[#This Row],[Pos]]="G",assumptions!$B$16)</f>
        <v>-18.512195121951219</v>
      </c>
    </row>
    <row r="1085" spans="1:13" x14ac:dyDescent="0.3">
      <c r="A1085" s="109">
        <f>'score estimates'!$A1085</f>
        <v>1082</v>
      </c>
      <c r="B1085" s="109" t="str">
        <f>'score estimates'!$B1085</f>
        <v>Harri Sateri</v>
      </c>
      <c r="C1085" s="109" t="str">
        <f>'score estimates'!$D1085</f>
        <v>G</v>
      </c>
      <c r="D1085" s="109" t="str">
        <f>'score estimates'!$C1085</f>
        <v>FA</v>
      </c>
      <c r="E1085" s="75">
        <f>'score estimates'!$F1085</f>
        <v>0.69512195121951215</v>
      </c>
      <c r="F1085" s="110">
        <f>'score estimates'!$G1085</f>
        <v>974</v>
      </c>
      <c r="H1085" s="72" t="e" cm="1">
        <f t="array" aca="1" ref="H1085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1085" s="96">
        <f>IF(Table2[[#This Row],[Team]]="FA",0,Table2[[#This Row],[Pts/G]]*(1-Table2[[#This Row],[% Pos Overlap]]))</f>
        <v>0</v>
      </c>
      <c r="J1085" s="72" t="e" cm="1">
        <f t="array" aca="1" ref="J1085" ca="1">(INDIRECT(ADDRESS((_xlfn.XMATCH(Table2[[#This Row],[Team]],Schedule!$A$1:$A$33)),5,1,1,"Sched Overlap")))</f>
        <v>#N/A</v>
      </c>
      <c r="K1085" s="92" t="e" cm="1">
        <f t="array" aca="1" ref="K1085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1085" s="95">
        <f>IF(Table2[[#This Row],[Team]]="FA",0,Table2[[#This Row],[Pts/G]]*(Table2[[#This Row],[Games Playable]]/82))</f>
        <v>0</v>
      </c>
      <c r="M1085" s="95" cm="1">
        <f t="array" ref="M1085">Table2[[#This Row],[Playable x Score]]*_xlfn.IFS(Table2[[#This Row],[Pos]]="D",assumptions!$B$15,Table2[[#This Row],[Pos]]="F", assumptions!$B$14,Table2[[#This Row],[Pos]]="G",assumptions!$B$16)</f>
        <v>0</v>
      </c>
    </row>
    <row r="1086" spans="1:13" x14ac:dyDescent="0.3">
      <c r="A1086" s="109">
        <f>'score estimates'!$A1086</f>
        <v>1083</v>
      </c>
      <c r="B1086" s="109" t="str">
        <f>'score estimates'!$B1086</f>
        <v>Jake Allen</v>
      </c>
      <c r="C1086" s="109" t="str">
        <f>'score estimates'!$D1086</f>
        <v>G</v>
      </c>
      <c r="D1086" s="109" t="str">
        <f>'score estimates'!$C1086</f>
        <v>MON</v>
      </c>
      <c r="E1086" s="75">
        <f>'score estimates'!$F1086</f>
        <v>19.439024390243901</v>
      </c>
      <c r="F1086" s="110">
        <f>'score estimates'!$G1086</f>
        <v>261</v>
      </c>
      <c r="H1086" s="72" cm="1">
        <f t="array" aca="1" ref="H1086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86" s="96">
        <f ca="1">IF(Table2[[#This Row],[Team]]="FA",0,Table2[[#This Row],[Pts/G]]*(1-Table2[[#This Row],[% Pos Overlap]]))</f>
        <v>19.439024390243901</v>
      </c>
      <c r="J1086" s="72" cm="1">
        <f t="array" aca="1" ref="J1086" ca="1">(INDIRECT(ADDRESS((_xlfn.XMATCH(Table2[[#This Row],[Team]],Schedule!$A$1:$A$33)),5,1,1,"Sched Overlap")))</f>
        <v>0.66666666666666685</v>
      </c>
      <c r="K1086" s="92" cm="1">
        <f t="array" aca="1" ref="K1086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86" s="95">
        <f ca="1">IF(Table2[[#This Row],[Team]]="FA",0,Table2[[#This Row],[Pts/G]]*(Table2[[#This Row],[Games Playable]]/82))</f>
        <v>19.439024390243901</v>
      </c>
      <c r="M1086" s="95" cm="1">
        <f t="array" aca="1" ref="M1086" ca="1">Table2[[#This Row],[Playable x Score]]*_xlfn.IFS(Table2[[#This Row],[Pos]]="D",assumptions!$B$15,Table2[[#This Row],[Pos]]="F", assumptions!$B$14,Table2[[#This Row],[Pos]]="G",assumptions!$B$16)</f>
        <v>21.382926829268293</v>
      </c>
    </row>
    <row r="1087" spans="1:13" x14ac:dyDescent="0.3">
      <c r="A1087" s="109">
        <f>'score estimates'!$A1087</f>
        <v>1084</v>
      </c>
      <c r="B1087" s="109" t="str">
        <f>'score estimates'!$B1087</f>
        <v>Braden Holtby</v>
      </c>
      <c r="C1087" s="109" t="str">
        <f>'score estimates'!$D1087</f>
        <v>G</v>
      </c>
      <c r="D1087" s="109" t="str">
        <f>'score estimates'!$C1087</f>
        <v>FA</v>
      </c>
      <c r="E1087" s="75">
        <f>'score estimates'!$F1087</f>
        <v>7.3170731707317069E-2</v>
      </c>
      <c r="F1087" s="110">
        <f>'score estimates'!$G1087</f>
        <v>1052</v>
      </c>
      <c r="H1087" s="72" t="e" cm="1">
        <f t="array" aca="1" ref="H1087" ca="1">(INDIRECT(ADDRESS((_xlfn.XMATCH(Table2[[#This Row],[Team]],Schedule!$A$1:$A$33)),_xlfn.IFS(Table2[[#This Row],[Pos]]="F",2,Table2[[#This Row],[Pos]]="D",3,Table2[[#This Row],[Pos]]="G",4,TRUE, "Error"),1,1,"Sched Overlap")))</f>
        <v>#N/A</v>
      </c>
      <c r="I1087" s="96">
        <f>IF(Table2[[#This Row],[Team]]="FA",0,Table2[[#This Row],[Pts/G]]*(1-Table2[[#This Row],[% Pos Overlap]]))</f>
        <v>0</v>
      </c>
      <c r="J1087" s="72" t="e" cm="1">
        <f t="array" aca="1" ref="J1087" ca="1">(INDIRECT(ADDRESS((_xlfn.XMATCH(Table2[[#This Row],[Team]],Schedule!$A$1:$A$33)),5,1,1,"Sched Overlap")))</f>
        <v>#N/A</v>
      </c>
      <c r="K1087" s="92" t="e" cm="1">
        <f t="array" aca="1" ref="K1087" ca="1">(INDIRECT(ADDRESS((_xlfn.XMATCH(Table2[[#This Row],[Team]],Schedule!$A$1:$A$33)),_xlfn.IFS(Table2[[#This Row],[Pos]]="F",8,Table2[[#This Row],[Pos]]="D",9,Table2[[#This Row],[Pos]]="G",10,TRUE, "Error"),1,1,"Sched Overlap")))</f>
        <v>#N/A</v>
      </c>
      <c r="L1087" s="95">
        <f>IF(Table2[[#This Row],[Team]]="FA",0,Table2[[#This Row],[Pts/G]]*(Table2[[#This Row],[Games Playable]]/82))</f>
        <v>0</v>
      </c>
      <c r="M1087" s="95" cm="1">
        <f t="array" ref="M1087">Table2[[#This Row],[Playable x Score]]*_xlfn.IFS(Table2[[#This Row],[Pos]]="D",assumptions!$B$15,Table2[[#This Row],[Pos]]="F", assumptions!$B$14,Table2[[#This Row],[Pos]]="G",assumptions!$B$16)</f>
        <v>0</v>
      </c>
    </row>
    <row r="1088" spans="1:13" x14ac:dyDescent="0.3">
      <c r="A1088" s="109">
        <f>'score estimates'!$A1088</f>
        <v>1085</v>
      </c>
      <c r="B1088" s="109" t="str">
        <f>'score estimates'!$B1088</f>
        <v>Thomas Hickey</v>
      </c>
      <c r="C1088" s="109" t="str">
        <f>'score estimates'!$D1088</f>
        <v>D</v>
      </c>
      <c r="D1088" s="109" t="str">
        <f>'score estimates'!$C1088</f>
        <v>NJ</v>
      </c>
      <c r="E1088" s="75">
        <f>'score estimates'!$F1088</f>
        <v>0.23170731707317074</v>
      </c>
      <c r="F1088" s="110">
        <f>'score estimates'!$G1088</f>
        <v>1038</v>
      </c>
      <c r="H1088" s="72" cm="1">
        <f t="array" aca="1" ref="H1088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88" s="96">
        <f ca="1">IF(Table2[[#This Row],[Team]]="FA",0,Table2[[#This Row],[Pts/G]]*(1-Table2[[#This Row],[% Pos Overlap]]))</f>
        <v>0.23170731707317074</v>
      </c>
      <c r="J1088" s="72" cm="1">
        <f t="array" aca="1" ref="J1088" ca="1">(INDIRECT(ADDRESS((_xlfn.XMATCH(Table2[[#This Row],[Team]],Schedule!$A$1:$A$33)),5,1,1,"Sched Overlap")))</f>
        <v>0.66259666259666272</v>
      </c>
      <c r="K1088" s="92" cm="1">
        <f t="array" aca="1" ref="K1088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88" s="95">
        <f ca="1">IF(Table2[[#This Row],[Team]]="FA",0,Table2[[#This Row],[Pts/G]]*(Table2[[#This Row],[Games Playable]]/82))</f>
        <v>0.23170731707317074</v>
      </c>
      <c r="M1088" s="95" cm="1">
        <f t="array" aca="1" ref="M1088" ca="1">Table2[[#This Row],[Playable x Score]]*_xlfn.IFS(Table2[[#This Row],[Pos]]="D",assumptions!$B$15,Table2[[#This Row],[Pos]]="F", assumptions!$B$14,Table2[[#This Row],[Pos]]="G",assumptions!$B$16)</f>
        <v>0.28963414634146345</v>
      </c>
    </row>
    <row r="1089" spans="1:13" x14ac:dyDescent="0.3">
      <c r="A1089" s="109">
        <f>'score estimates'!$A1089</f>
        <v>1086</v>
      </c>
      <c r="B1089" s="109" t="str">
        <f>'score estimates'!$B1089</f>
        <v>Brian Elliott</v>
      </c>
      <c r="C1089" s="109" t="str">
        <f>'score estimates'!$D1089</f>
        <v>G</v>
      </c>
      <c r="D1089" s="109" t="str">
        <f>'score estimates'!$C1089</f>
        <v>TB</v>
      </c>
      <c r="E1089" s="75">
        <f>'score estimates'!$F1089</f>
        <v>8.963414634146341</v>
      </c>
      <c r="F1089" s="110">
        <f>'score estimates'!$G1089</f>
        <v>591</v>
      </c>
      <c r="H1089" s="72" cm="1">
        <f t="array" aca="1" ref="H1089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89" s="96">
        <f ca="1">IF(Table2[[#This Row],[Team]]="FA",0,Table2[[#This Row],[Pts/G]]*(1-Table2[[#This Row],[% Pos Overlap]]))</f>
        <v>8.963414634146341</v>
      </c>
      <c r="J1089" s="72" cm="1">
        <f t="array" aca="1" ref="J1089" ca="1">(INDIRECT(ADDRESS((_xlfn.XMATCH(Table2[[#This Row],[Team]],Schedule!$A$1:$A$33)),5,1,1,"Sched Overlap")))</f>
        <v>0.66422466422466431</v>
      </c>
      <c r="K1089" s="92" cm="1">
        <f t="array" aca="1" ref="K1089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89" s="95">
        <f ca="1">IF(Table2[[#This Row],[Team]]="FA",0,Table2[[#This Row],[Pts/G]]*(Table2[[#This Row],[Games Playable]]/82))</f>
        <v>8.963414634146341</v>
      </c>
      <c r="M1089" s="95" cm="1">
        <f t="array" aca="1" ref="M1089" ca="1">Table2[[#This Row],[Playable x Score]]*_xlfn.IFS(Table2[[#This Row],[Pos]]="D",assumptions!$B$15,Table2[[#This Row],[Pos]]="F", assumptions!$B$14,Table2[[#This Row],[Pos]]="G",assumptions!$B$16)</f>
        <v>9.8597560975609753</v>
      </c>
    </row>
    <row r="1090" spans="1:13" x14ac:dyDescent="0.3">
      <c r="A1090" s="109">
        <f>'score estimates'!$A1090</f>
        <v>1087</v>
      </c>
      <c r="B1090" s="109" t="str">
        <f>'score estimates'!$B1090</f>
        <v>Anton Khudobin</v>
      </c>
      <c r="C1090" s="109" t="str">
        <f>'score estimates'!$D1090</f>
        <v>G</v>
      </c>
      <c r="D1090" s="109" t="str">
        <f>'score estimates'!$C1090</f>
        <v>DAL</v>
      </c>
      <c r="E1090" s="75">
        <f>'score estimates'!$F1090</f>
        <v>1.2682926829268293</v>
      </c>
      <c r="F1090" s="110">
        <f>'score estimates'!$G1090</f>
        <v>904</v>
      </c>
      <c r="H1090" s="72" cm="1">
        <f t="array" aca="1" ref="H1090" ca="1">(INDIRECT(ADDRESS((_xlfn.XMATCH(Table2[[#This Row],[Team]],Schedule!$A$1:$A$33)),_xlfn.IFS(Table2[[#This Row],[Pos]]="F",2,Table2[[#This Row],[Pos]]="D",3,Table2[[#This Row],[Pos]]="G",4,TRUE, "Error"),1,1,"Sched Overlap")))</f>
        <v>0</v>
      </c>
      <c r="I1090" s="96">
        <f ca="1">IF(Table2[[#This Row],[Team]]="FA",0,Table2[[#This Row],[Pts/G]]*(1-Table2[[#This Row],[% Pos Overlap]]))</f>
        <v>1.2682926829268293</v>
      </c>
      <c r="J1090" s="72" cm="1">
        <f t="array" aca="1" ref="J1090" ca="1">(INDIRECT(ADDRESS((_xlfn.XMATCH(Table2[[#This Row],[Team]],Schedule!$A$1:$A$33)),5,1,1,"Sched Overlap")))</f>
        <v>0.65364265364265373</v>
      </c>
      <c r="K1090" s="92" cm="1">
        <f t="array" aca="1" ref="K1090" ca="1">(INDIRECT(ADDRESS((_xlfn.XMATCH(Table2[[#This Row],[Team]],Schedule!$A$1:$A$33)),_xlfn.IFS(Table2[[#This Row],[Pos]]="F",8,Table2[[#This Row],[Pos]]="D",9,Table2[[#This Row],[Pos]]="G",10,TRUE, "Error"),1,1,"Sched Overlap")))</f>
        <v>82</v>
      </c>
      <c r="L1090" s="95">
        <f ca="1">IF(Table2[[#This Row],[Team]]="FA",0,Table2[[#This Row],[Pts/G]]*(Table2[[#This Row],[Games Playable]]/82))</f>
        <v>1.2682926829268293</v>
      </c>
      <c r="M1090" s="95" cm="1">
        <f t="array" aca="1" ref="M1090" ca="1">Table2[[#This Row],[Playable x Score]]*_xlfn.IFS(Table2[[#This Row],[Pos]]="D",assumptions!$B$15,Table2[[#This Row],[Pos]]="F", assumptions!$B$14,Table2[[#This Row],[Pos]]="G",assumptions!$B$16)</f>
        <v>1.3951219512195123</v>
      </c>
    </row>
    <row r="1091" spans="1:13" x14ac:dyDescent="0.3">
      <c r="A1091" s="109"/>
      <c r="B1091" s="109"/>
      <c r="C1091" s="109"/>
      <c r="D1091" s="109"/>
      <c r="E1091" s="75"/>
      <c r="F1091" s="110"/>
      <c r="J1091" s="72"/>
      <c r="K1091" s="92"/>
      <c r="L1091" s="95"/>
      <c r="M1091" s="95"/>
    </row>
    <row r="1092" spans="1:13" x14ac:dyDescent="0.3">
      <c r="A1092" s="109"/>
      <c r="B1092" s="109"/>
      <c r="C1092" s="109"/>
      <c r="D1092" s="109"/>
      <c r="E1092" s="75"/>
      <c r="F1092" s="110"/>
      <c r="J1092" s="72"/>
      <c r="K1092" s="92"/>
      <c r="L1092" s="95"/>
      <c r="M1092" s="95"/>
    </row>
    <row r="1093" spans="1:13" x14ac:dyDescent="0.3">
      <c r="A1093" s="109"/>
      <c r="B1093" s="109"/>
      <c r="C1093" s="109"/>
      <c r="D1093" s="109"/>
      <c r="E1093" s="75"/>
      <c r="F1093" s="110"/>
      <c r="J1093" s="72"/>
      <c r="K1093" s="92"/>
      <c r="L1093" s="95"/>
      <c r="M1093" s="95"/>
    </row>
    <row r="1094" spans="1:13" x14ac:dyDescent="0.3">
      <c r="A1094" s="109"/>
      <c r="B1094" s="109"/>
      <c r="C1094" s="109"/>
      <c r="D1094" s="109"/>
      <c r="E1094" s="75"/>
      <c r="F1094" s="110"/>
      <c r="J1094" s="72"/>
      <c r="K1094" s="92"/>
      <c r="L1094" s="95"/>
      <c r="M1094" s="95"/>
    </row>
    <row r="1095" spans="1:13" x14ac:dyDescent="0.3">
      <c r="A1095" s="109"/>
      <c r="B1095" s="109"/>
      <c r="C1095" s="109"/>
      <c r="D1095" s="109"/>
      <c r="E1095" s="75"/>
      <c r="F1095" s="110"/>
      <c r="J1095" s="72"/>
      <c r="K1095" s="92"/>
      <c r="L1095" s="95"/>
      <c r="M1095" s="95"/>
    </row>
    <row r="1096" spans="1:13" x14ac:dyDescent="0.3">
      <c r="A1096" s="109"/>
      <c r="B1096" s="109"/>
      <c r="C1096" s="109"/>
      <c r="D1096" s="109"/>
      <c r="E1096" s="75"/>
      <c r="F1096" s="110"/>
      <c r="J1096" s="72"/>
      <c r="K1096" s="92"/>
      <c r="L1096" s="95"/>
      <c r="M1096" s="95"/>
    </row>
    <row r="1097" spans="1:13" x14ac:dyDescent="0.3">
      <c r="A1097" s="109"/>
      <c r="B1097" s="109"/>
      <c r="C1097" s="109"/>
      <c r="D1097" s="109"/>
      <c r="E1097" s="75"/>
      <c r="F1097" s="110"/>
      <c r="J1097" s="72"/>
      <c r="K1097" s="92"/>
      <c r="L1097" s="95"/>
      <c r="M1097" s="95"/>
    </row>
    <row r="1098" spans="1:13" x14ac:dyDescent="0.3">
      <c r="A1098" s="109"/>
      <c r="B1098" s="109"/>
      <c r="C1098" s="109"/>
      <c r="D1098" s="109"/>
      <c r="E1098" s="75"/>
      <c r="F1098" s="110"/>
      <c r="J1098" s="72"/>
      <c r="K1098" s="92"/>
      <c r="L1098" s="95"/>
      <c r="M1098" s="95"/>
    </row>
    <row r="1099" spans="1:13" x14ac:dyDescent="0.3">
      <c r="A1099" s="109"/>
      <c r="B1099" s="109"/>
      <c r="C1099" s="109"/>
      <c r="D1099" s="109"/>
      <c r="E1099" s="75"/>
      <c r="F1099" s="110"/>
      <c r="J1099" s="72"/>
      <c r="K1099" s="92"/>
      <c r="L1099" s="95"/>
      <c r="M1099" s="95"/>
    </row>
    <row r="1100" spans="1:13" x14ac:dyDescent="0.3">
      <c r="A1100" s="109"/>
      <c r="B1100" s="109"/>
      <c r="C1100" s="109"/>
      <c r="D1100" s="109"/>
      <c r="E1100" s="75"/>
      <c r="F1100" s="110"/>
      <c r="J1100" s="72"/>
      <c r="K1100" s="92"/>
      <c r="L1100" s="95"/>
      <c r="M1100" s="95"/>
    </row>
    <row r="1101" spans="1:13" x14ac:dyDescent="0.3">
      <c r="A1101" s="109"/>
      <c r="B1101" s="109"/>
      <c r="C1101" s="109"/>
      <c r="D1101" s="109"/>
      <c r="E1101" s="75"/>
      <c r="F1101" s="110"/>
      <c r="J1101" s="72"/>
      <c r="K1101" s="92"/>
      <c r="L1101" s="95"/>
      <c r="M1101" s="95"/>
    </row>
    <row r="1102" spans="1:13" x14ac:dyDescent="0.3">
      <c r="A1102" s="109"/>
      <c r="B1102" s="109"/>
      <c r="C1102" s="109"/>
      <c r="D1102" s="109"/>
      <c r="E1102" s="75"/>
      <c r="F1102" s="110"/>
      <c r="J1102" s="72"/>
      <c r="K1102" s="92"/>
      <c r="L1102" s="95"/>
      <c r="M1102" s="95"/>
    </row>
    <row r="1103" spans="1:13" x14ac:dyDescent="0.3">
      <c r="A1103" s="109"/>
      <c r="B1103" s="109"/>
      <c r="C1103" s="109"/>
      <c r="D1103" s="109"/>
      <c r="E1103" s="75"/>
      <c r="F1103" s="110"/>
      <c r="J1103" s="72"/>
      <c r="K1103" s="92"/>
      <c r="L1103" s="95"/>
      <c r="M1103" s="95"/>
    </row>
    <row r="1104" spans="1:13" x14ac:dyDescent="0.3">
      <c r="A1104" s="109"/>
      <c r="B1104" s="109"/>
      <c r="C1104" s="109"/>
      <c r="D1104" s="109"/>
      <c r="E1104" s="75"/>
      <c r="F1104" s="110"/>
      <c r="J1104" s="72"/>
      <c r="K1104" s="92"/>
      <c r="L1104" s="95"/>
      <c r="M1104" s="95"/>
    </row>
    <row r="1105" spans="1:13" x14ac:dyDescent="0.3">
      <c r="A1105" s="109"/>
      <c r="B1105" s="109"/>
      <c r="C1105" s="109"/>
      <c r="D1105" s="109"/>
      <c r="E1105" s="75"/>
      <c r="F1105" s="110"/>
      <c r="J1105" s="72"/>
      <c r="K1105" s="92"/>
      <c r="L1105" s="95"/>
      <c r="M1105" s="95"/>
    </row>
    <row r="1106" spans="1:13" x14ac:dyDescent="0.3">
      <c r="A1106" s="109"/>
      <c r="B1106" s="109"/>
      <c r="C1106" s="109"/>
      <c r="D1106" s="109"/>
      <c r="E1106" s="75"/>
      <c r="F1106" s="110"/>
      <c r="J1106" s="72"/>
      <c r="K1106" s="92"/>
      <c r="L1106" s="95"/>
      <c r="M1106" s="95"/>
    </row>
    <row r="1107" spans="1:13" x14ac:dyDescent="0.3">
      <c r="A1107" s="109"/>
      <c r="B1107" s="109"/>
      <c r="C1107" s="109"/>
      <c r="D1107" s="109"/>
      <c r="E1107" s="75"/>
      <c r="F1107" s="110"/>
      <c r="J1107" s="72"/>
      <c r="K1107" s="92"/>
      <c r="L1107" s="95"/>
      <c r="M1107" s="95"/>
    </row>
    <row r="1108" spans="1:13" x14ac:dyDescent="0.3">
      <c r="A1108" s="109"/>
      <c r="B1108" s="109"/>
      <c r="C1108" s="109"/>
      <c r="D1108" s="109"/>
      <c r="E1108" s="75"/>
      <c r="F1108" s="110"/>
      <c r="J1108" s="72"/>
      <c r="K1108" s="92"/>
      <c r="L1108" s="95"/>
      <c r="M1108" s="95"/>
    </row>
    <row r="1109" spans="1:13" x14ac:dyDescent="0.3">
      <c r="A1109" s="109"/>
      <c r="B1109" s="109"/>
      <c r="C1109" s="109"/>
      <c r="D1109" s="109"/>
      <c r="E1109" s="75"/>
      <c r="F1109" s="110"/>
      <c r="J1109" s="72"/>
      <c r="K1109" s="92"/>
      <c r="L1109" s="95"/>
      <c r="M1109" s="95"/>
    </row>
    <row r="1110" spans="1:13" x14ac:dyDescent="0.3">
      <c r="A1110" s="109"/>
      <c r="B1110" s="109"/>
      <c r="C1110" s="109"/>
      <c r="D1110" s="109"/>
      <c r="E1110" s="75"/>
      <c r="F1110" s="110"/>
      <c r="J1110" s="72"/>
      <c r="K1110" s="92"/>
      <c r="L1110" s="95"/>
      <c r="M1110" s="95"/>
    </row>
    <row r="1111" spans="1:13" x14ac:dyDescent="0.3">
      <c r="A1111" s="109"/>
      <c r="B1111" s="109"/>
      <c r="C1111" s="109"/>
      <c r="D1111" s="109"/>
      <c r="E1111" s="75"/>
      <c r="F1111" s="110"/>
      <c r="J1111" s="72"/>
      <c r="K1111" s="92"/>
      <c r="L1111" s="95"/>
      <c r="M1111" s="95"/>
    </row>
    <row r="1112" spans="1:13" x14ac:dyDescent="0.3">
      <c r="A1112" s="109"/>
      <c r="B1112" s="109"/>
      <c r="C1112" s="109"/>
      <c r="D1112" s="109"/>
      <c r="E1112" s="75"/>
      <c r="F1112" s="110"/>
      <c r="J1112" s="72"/>
      <c r="K1112" s="92"/>
      <c r="L1112" s="95"/>
      <c r="M1112" s="95"/>
    </row>
  </sheetData>
  <mergeCells count="2">
    <mergeCell ref="U27:Y27"/>
    <mergeCell ref="U5:Y5"/>
  </mergeCells>
  <phoneticPr fontId="8" type="noConversion"/>
  <conditionalFormatting sqref="B1025:C1302 A4:D1090">
    <cfRule type="expression" dxfId="50" priority="12">
      <formula>$C4="G"</formula>
    </cfRule>
    <cfRule type="expression" dxfId="49" priority="13">
      <formula>$C4="F"</formula>
    </cfRule>
    <cfRule type="expression" dxfId="48" priority="14">
      <formula>$C4="D"</formula>
    </cfRule>
  </conditionalFormatting>
  <conditionalFormatting sqref="F1025:F1302">
    <cfRule type="expression" dxfId="47" priority="10">
      <formula>$F1025="Mine"</formula>
    </cfRule>
    <cfRule type="expression" dxfId="46" priority="11">
      <formula>$F1025="Taken"</formula>
    </cfRule>
  </conditionalFormatting>
  <conditionalFormatting sqref="G4:G1090">
    <cfRule type="expression" dxfId="45" priority="20">
      <formula>$G4="Mine"</formula>
    </cfRule>
    <cfRule type="expression" dxfId="44" priority="21">
      <formula>$G4="Taken"</formula>
    </cfRule>
  </conditionalFormatting>
  <conditionalFormatting sqref="J4:J1090">
    <cfRule type="colorScale" priority="3">
      <colorScale>
        <cfvo type="percentile" val="1"/>
        <cfvo type="percentile" val="50"/>
        <cfvo type="percentile" val="99"/>
        <color rgb="FF00B050"/>
        <color theme="2"/>
        <color rgb="FFFF0000"/>
      </colorScale>
    </cfRule>
  </conditionalFormatting>
  <conditionalFormatting sqref="H4:H1090">
    <cfRule type="colorScale" priority="2">
      <colorScale>
        <cfvo type="percentile" val="1"/>
        <cfvo type="percentile" val="50"/>
        <cfvo type="percentile" val="99"/>
        <color rgb="FF00B050"/>
        <color theme="2"/>
        <color rgb="FFFF0000"/>
      </colorScale>
    </cfRule>
  </conditionalFormatting>
  <conditionalFormatting sqref="K4:K1090">
    <cfRule type="colorScale" priority="1">
      <colorScale>
        <cfvo type="percentile" val="1"/>
        <cfvo type="percentile" val="50"/>
        <cfvo type="percentile" val="99"/>
        <color rgb="FFFF0000"/>
        <color theme="2"/>
        <color rgb="FF00B050"/>
      </colorScale>
    </cfRule>
  </conditionalFormatting>
  <dataValidations count="1">
    <dataValidation type="list" allowBlank="1" showInputMessage="1" showErrorMessage="1" sqref="F1025:F1224 G4:G1090" xr:uid="{5BA490DF-538E-4462-8390-AD3D917AFE61}">
      <formula1>"Mine, Taken, Undrafted"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Reset_Draft">
                <anchor moveWithCells="1" sizeWithCells="1">
                  <from>
                    <xdr:col>14</xdr:col>
                    <xdr:colOff>228600</xdr:colOff>
                    <xdr:row>24</xdr:row>
                    <xdr:rowOff>53340</xdr:rowOff>
                  </from>
                  <to>
                    <xdr:col>15</xdr:col>
                    <xdr:colOff>403860</xdr:colOff>
                    <xdr:row>25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Add_Player_to_team">
                <anchor moveWithCells="1" sizeWithCells="1">
                  <from>
                    <xdr:col>14</xdr:col>
                    <xdr:colOff>175260</xdr:colOff>
                    <xdr:row>2</xdr:row>
                    <xdr:rowOff>129540</xdr:rowOff>
                  </from>
                  <to>
                    <xdr:col>15</xdr:col>
                    <xdr:colOff>434340</xdr:colOff>
                    <xdr:row>2</xdr:row>
                    <xdr:rowOff>434340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6" name="Button 7">
              <controlPr defaultSize="0" print="0" autoFill="0" autoPict="0" macro="[0]!Remove_Player_From_Team">
                <anchor moveWithCells="1" sizeWithCells="1">
                  <from>
                    <xdr:col>14</xdr:col>
                    <xdr:colOff>60960</xdr:colOff>
                    <xdr:row>4</xdr:row>
                    <xdr:rowOff>38100</xdr:rowOff>
                  </from>
                  <to>
                    <xdr:col>15</xdr:col>
                    <xdr:colOff>541020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7" name="Button 11">
              <controlPr defaultSize="0" print="0" autoFill="0" autoPict="0" macro="[0]!Update_Overlap">
                <anchor moveWithCells="1" sizeWithCells="1">
                  <from>
                    <xdr:col>14</xdr:col>
                    <xdr:colOff>53340</xdr:colOff>
                    <xdr:row>21</xdr:row>
                    <xdr:rowOff>45720</xdr:rowOff>
                  </from>
                  <to>
                    <xdr:col>15</xdr:col>
                    <xdr:colOff>571500</xdr:colOff>
                    <xdr:row>22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6C58B-C6A2-4EAC-9BCC-9628B9BABD0E}">
  <sheetPr codeName="Sheet8">
    <tabColor rgb="FF92D050"/>
  </sheetPr>
  <dimension ref="A1:K19"/>
  <sheetViews>
    <sheetView workbookViewId="0">
      <selection activeCell="L13" sqref="L13"/>
    </sheetView>
  </sheetViews>
  <sheetFormatPr defaultRowHeight="14.4" x14ac:dyDescent="0.3"/>
  <cols>
    <col min="2" max="2" width="21.109375" customWidth="1"/>
    <col min="3" max="4" width="6.77734375" customWidth="1"/>
    <col min="7" max="7" width="6.77734375" style="2" customWidth="1"/>
    <col min="8" max="8" width="3.6640625" style="2" customWidth="1"/>
    <col min="9" max="9" width="2.44140625" style="2" customWidth="1"/>
    <col min="10" max="10" width="2.33203125" style="2" customWidth="1"/>
    <col min="11" max="11" width="3.21875" style="2" customWidth="1"/>
  </cols>
  <sheetData>
    <row r="1" spans="1:11" x14ac:dyDescent="0.3">
      <c r="A1" t="s">
        <v>1002</v>
      </c>
      <c r="G1" s="106" t="s">
        <v>1239</v>
      </c>
      <c r="H1" s="107"/>
      <c r="I1" s="107"/>
      <c r="J1" s="107"/>
      <c r="K1" s="108"/>
    </row>
    <row r="2" spans="1:11" x14ac:dyDescent="0.3">
      <c r="A2" t="s">
        <v>984</v>
      </c>
      <c r="B2" t="s">
        <v>955</v>
      </c>
      <c r="C2" t="s">
        <v>8</v>
      </c>
      <c r="D2" t="s">
        <v>7</v>
      </c>
      <c r="E2" t="s">
        <v>1001</v>
      </c>
      <c r="G2" s="9" t="s">
        <v>1240</v>
      </c>
      <c r="H2" s="61" t="s">
        <v>10</v>
      </c>
      <c r="I2" s="61" t="s">
        <v>999</v>
      </c>
      <c r="J2" s="61" t="s">
        <v>93</v>
      </c>
      <c r="K2" s="11" t="s">
        <v>1000</v>
      </c>
    </row>
    <row r="3" spans="1:11" x14ac:dyDescent="0.3">
      <c r="A3" s="45"/>
      <c r="B3" s="46"/>
      <c r="C3" s="46"/>
      <c r="D3" s="46"/>
      <c r="E3" s="47"/>
      <c r="G3" s="79">
        <f>COUNTIF($C$3:$C$19, "*")</f>
        <v>0</v>
      </c>
      <c r="H3" s="80">
        <f>COUNTIF($C$3:$C$19, "G")</f>
        <v>0</v>
      </c>
      <c r="I3" s="80">
        <f>COUNTIF($C$3:$C$19, "F")</f>
        <v>0</v>
      </c>
      <c r="J3" s="80">
        <f>COUNTIF($C$3:$C$19, "D")</f>
        <v>0</v>
      </c>
      <c r="K3" s="81">
        <f>I3+J3</f>
        <v>0</v>
      </c>
    </row>
    <row r="4" spans="1:11" x14ac:dyDescent="0.3">
      <c r="A4" s="48"/>
      <c r="B4" s="43"/>
      <c r="C4" s="43"/>
      <c r="D4" s="43"/>
      <c r="E4" s="49"/>
    </row>
    <row r="5" spans="1:11" x14ac:dyDescent="0.3">
      <c r="A5" s="48"/>
      <c r="B5" s="43"/>
      <c r="C5" s="43"/>
      <c r="D5" s="43"/>
      <c r="E5" s="49"/>
    </row>
    <row r="6" spans="1:11" x14ac:dyDescent="0.3">
      <c r="A6" s="48"/>
      <c r="B6" s="43"/>
      <c r="C6" s="43"/>
      <c r="D6" s="43"/>
      <c r="E6" s="49"/>
    </row>
    <row r="7" spans="1:11" x14ac:dyDescent="0.3">
      <c r="A7" s="48"/>
      <c r="B7" s="43"/>
      <c r="C7" s="43"/>
      <c r="D7" s="43"/>
      <c r="E7" s="49"/>
    </row>
    <row r="8" spans="1:11" x14ac:dyDescent="0.3">
      <c r="A8" s="48"/>
      <c r="B8" s="43"/>
      <c r="C8" s="43"/>
      <c r="D8" s="43"/>
      <c r="E8" s="49"/>
    </row>
    <row r="9" spans="1:11" x14ac:dyDescent="0.3">
      <c r="A9" s="48"/>
      <c r="B9" s="43"/>
      <c r="C9" s="43"/>
      <c r="D9" s="43"/>
      <c r="E9" s="49"/>
    </row>
    <row r="10" spans="1:11" x14ac:dyDescent="0.3">
      <c r="A10" s="48"/>
      <c r="B10" s="43"/>
      <c r="C10" s="43"/>
      <c r="D10" s="43"/>
      <c r="E10" s="49"/>
    </row>
    <row r="11" spans="1:11" x14ac:dyDescent="0.3">
      <c r="A11" s="48"/>
      <c r="B11" s="43"/>
      <c r="C11" s="43"/>
      <c r="D11" s="43"/>
      <c r="E11" s="49"/>
    </row>
    <row r="12" spans="1:11" x14ac:dyDescent="0.3">
      <c r="A12" s="48"/>
      <c r="B12" s="43"/>
      <c r="C12" s="43"/>
      <c r="D12" s="43"/>
      <c r="E12" s="49"/>
    </row>
    <row r="13" spans="1:11" x14ac:dyDescent="0.3">
      <c r="A13" s="48"/>
      <c r="B13" s="43"/>
      <c r="C13" s="43"/>
      <c r="D13" s="43"/>
      <c r="E13" s="49"/>
    </row>
    <row r="14" spans="1:11" x14ac:dyDescent="0.3">
      <c r="A14" s="48"/>
      <c r="B14" s="43"/>
      <c r="C14" s="43"/>
      <c r="D14" s="43"/>
      <c r="E14" s="49"/>
    </row>
    <row r="15" spans="1:11" x14ac:dyDescent="0.3">
      <c r="A15" s="48"/>
      <c r="B15" s="43"/>
      <c r="C15" s="43"/>
      <c r="D15" s="43"/>
      <c r="E15" s="49"/>
    </row>
    <row r="16" spans="1:11" x14ac:dyDescent="0.3">
      <c r="A16" s="48"/>
      <c r="B16" s="43"/>
      <c r="C16" s="43"/>
      <c r="D16" s="43"/>
      <c r="E16" s="49"/>
    </row>
    <row r="17" spans="1:5" x14ac:dyDescent="0.3">
      <c r="A17" s="48"/>
      <c r="B17" s="43"/>
      <c r="C17" s="43"/>
      <c r="D17" s="43"/>
      <c r="E17" s="49"/>
    </row>
    <row r="18" spans="1:5" x14ac:dyDescent="0.3">
      <c r="A18" s="48"/>
      <c r="B18" s="43"/>
      <c r="C18" s="43"/>
      <c r="D18" s="43"/>
      <c r="E18" s="49"/>
    </row>
    <row r="19" spans="1:5" x14ac:dyDescent="0.3">
      <c r="A19" s="50"/>
      <c r="B19" s="44"/>
      <c r="C19" s="44"/>
      <c r="D19" s="44"/>
      <c r="E19" s="51"/>
    </row>
  </sheetData>
  <mergeCells count="1">
    <mergeCell ref="G1:K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59E58-4256-4638-957A-626751745456}">
  <sheetPr codeName="Sheet3">
    <tabColor rgb="FF0070C0"/>
  </sheetPr>
  <dimension ref="B2:Y1000"/>
  <sheetViews>
    <sheetView workbookViewId="0">
      <selection activeCell="X19" sqref="X19"/>
    </sheetView>
  </sheetViews>
  <sheetFormatPr defaultRowHeight="14.4" x14ac:dyDescent="0.3"/>
  <cols>
    <col min="2" max="2" width="7.44140625" customWidth="1"/>
    <col min="3" max="3" width="17.33203125" customWidth="1"/>
    <col min="4" max="4" width="8.88671875" style="37"/>
    <col min="5" max="5" width="4.6640625" customWidth="1"/>
    <col min="9" max="9" width="7.109375" customWidth="1"/>
    <col min="10" max="10" width="18.6640625" customWidth="1"/>
    <col min="12" max="12" width="4.88671875" customWidth="1"/>
    <col min="16" max="16" width="6.88671875" customWidth="1"/>
    <col min="17" max="17" width="16.44140625" customWidth="1"/>
    <col min="19" max="19" width="5" customWidth="1"/>
  </cols>
  <sheetData>
    <row r="2" spans="3:25" x14ac:dyDescent="0.3">
      <c r="Y2" t="s">
        <v>1237</v>
      </c>
    </row>
    <row r="5" spans="3:25" x14ac:dyDescent="0.3">
      <c r="X5" s="101"/>
      <c r="Y5" s="101"/>
    </row>
    <row r="6" spans="3:25" x14ac:dyDescent="0.3">
      <c r="X6" s="101"/>
      <c r="Y6" s="101"/>
    </row>
    <row r="7" spans="3:25" x14ac:dyDescent="0.3">
      <c r="X7" s="101"/>
      <c r="Y7" s="101"/>
    </row>
    <row r="13" spans="3:25" x14ac:dyDescent="0.3">
      <c r="C13" t="s">
        <v>994</v>
      </c>
      <c r="D13" s="37">
        <f>AVERAGE(D18:D400)</f>
        <v>29.365853658536583</v>
      </c>
      <c r="J13" t="s">
        <v>994</v>
      </c>
      <c r="K13" s="37">
        <f>AVERAGE(K18:K400)</f>
        <v>40.216666666666661</v>
      </c>
      <c r="Q13" t="s">
        <v>994</v>
      </c>
      <c r="R13" s="37">
        <f>AVERAGE(R18:R400)</f>
        <v>28.090650406504064</v>
      </c>
    </row>
    <row r="14" spans="3:25" x14ac:dyDescent="0.3">
      <c r="C14" t="s">
        <v>995</v>
      </c>
      <c r="D14" s="37">
        <f>_xlfn.STDEV.P(D18:D82)</f>
        <v>6.6780247287065375</v>
      </c>
      <c r="J14" t="s">
        <v>995</v>
      </c>
      <c r="K14" s="37">
        <f>_xlfn.STDEV.P(K18:K82)</f>
        <v>5.4225512354412544</v>
      </c>
      <c r="Q14" t="s">
        <v>995</v>
      </c>
      <c r="R14" s="37">
        <f>_xlfn.STDEV.P(R18:R82)</f>
        <v>3.7811941162034355</v>
      </c>
    </row>
    <row r="15" spans="3:25" ht="15" thickBot="1" x14ac:dyDescent="0.35">
      <c r="K15" s="37"/>
      <c r="R15" s="37"/>
    </row>
    <row r="16" spans="3:25" ht="15" thickBot="1" x14ac:dyDescent="0.35">
      <c r="C16" s="40" t="s">
        <v>992</v>
      </c>
      <c r="D16" s="41">
        <v>20</v>
      </c>
      <c r="J16" s="40" t="s">
        <v>1236</v>
      </c>
      <c r="K16" s="41">
        <v>30</v>
      </c>
      <c r="Q16" s="40" t="s">
        <v>1236</v>
      </c>
      <c r="R16" s="41">
        <v>30</v>
      </c>
    </row>
    <row r="17" spans="2:20" x14ac:dyDescent="0.3">
      <c r="B17" s="39" t="s">
        <v>1235</v>
      </c>
      <c r="C17" s="39" t="s">
        <v>952</v>
      </c>
      <c r="D17" s="42" t="s">
        <v>993</v>
      </c>
      <c r="E17" s="39" t="s">
        <v>962</v>
      </c>
      <c r="F17" s="39" t="s">
        <v>996</v>
      </c>
      <c r="I17" s="39" t="s">
        <v>1234</v>
      </c>
      <c r="J17" s="39" t="s">
        <v>952</v>
      </c>
      <c r="K17" s="42" t="s">
        <v>993</v>
      </c>
      <c r="L17" s="39" t="s">
        <v>962</v>
      </c>
      <c r="M17" s="39" t="s">
        <v>996</v>
      </c>
      <c r="N17" s="39"/>
      <c r="P17" s="39" t="s">
        <v>1238</v>
      </c>
      <c r="Q17" s="39" t="s">
        <v>952</v>
      </c>
      <c r="R17" s="42" t="s">
        <v>993</v>
      </c>
      <c r="S17" s="39" t="s">
        <v>962</v>
      </c>
      <c r="T17" s="39" t="s">
        <v>996</v>
      </c>
    </row>
    <row r="18" spans="2:20" x14ac:dyDescent="0.3">
      <c r="B18">
        <v>1</v>
      </c>
      <c r="C18" t="s">
        <v>926</v>
      </c>
      <c r="D18">
        <v>42.573170731707314</v>
      </c>
      <c r="E18">
        <v>15</v>
      </c>
      <c r="F18" t="str">
        <f>Ranked!G18</f>
        <v>Undrafted</v>
      </c>
      <c r="I18">
        <v>1</v>
      </c>
      <c r="J18" t="s">
        <v>27</v>
      </c>
      <c r="K18">
        <v>55.987804878048777</v>
      </c>
      <c r="L18">
        <v>1</v>
      </c>
      <c r="M18" t="str">
        <f>Ranked!G4</f>
        <v>Undrafted</v>
      </c>
      <c r="P18">
        <v>1</v>
      </c>
      <c r="Q18" t="s">
        <v>142</v>
      </c>
      <c r="R18">
        <v>38.451219512195124</v>
      </c>
      <c r="S18">
        <v>28</v>
      </c>
      <c r="T18" t="str">
        <f>Ranked!G31</f>
        <v>Undrafted</v>
      </c>
    </row>
    <row r="19" spans="2:20" x14ac:dyDescent="0.3">
      <c r="B19">
        <v>2</v>
      </c>
      <c r="C19" t="s">
        <v>719</v>
      </c>
      <c r="D19">
        <v>42.085365853658537</v>
      </c>
      <c r="E19">
        <v>17</v>
      </c>
      <c r="F19" t="str">
        <f>Ranked!G20</f>
        <v>Undrafted</v>
      </c>
      <c r="I19">
        <v>2</v>
      </c>
      <c r="J19" t="s">
        <v>30</v>
      </c>
      <c r="K19">
        <v>52.853658536585364</v>
      </c>
      <c r="L19">
        <v>2</v>
      </c>
      <c r="M19" t="str">
        <f>Ranked!G5</f>
        <v>Undrafted</v>
      </c>
      <c r="P19">
        <v>2</v>
      </c>
      <c r="Q19" t="s">
        <v>186</v>
      </c>
      <c r="R19">
        <v>35.158536585365852</v>
      </c>
      <c r="S19">
        <v>45</v>
      </c>
      <c r="T19" t="str">
        <f>Ranked!G47</f>
        <v>Undrafted</v>
      </c>
    </row>
    <row r="20" spans="2:20" x14ac:dyDescent="0.3">
      <c r="B20">
        <v>3</v>
      </c>
      <c r="C20" t="s">
        <v>873</v>
      </c>
      <c r="D20">
        <v>36.634146341463413</v>
      </c>
      <c r="E20">
        <v>37</v>
      </c>
      <c r="F20" t="str">
        <f>Ranked!G40</f>
        <v>Undrafted</v>
      </c>
      <c r="I20">
        <v>3</v>
      </c>
      <c r="J20" t="s">
        <v>86</v>
      </c>
      <c r="K20">
        <v>48.609756097560975</v>
      </c>
      <c r="L20">
        <v>5</v>
      </c>
      <c r="M20" t="str">
        <f>Ranked!G8</f>
        <v>Undrafted</v>
      </c>
      <c r="P20">
        <v>3</v>
      </c>
      <c r="Q20" t="s">
        <v>118</v>
      </c>
      <c r="R20">
        <v>33.731707317073173</v>
      </c>
      <c r="S20">
        <v>52</v>
      </c>
      <c r="T20" t="str">
        <f>Ranked!G53</f>
        <v>Undrafted</v>
      </c>
    </row>
    <row r="21" spans="2:20" x14ac:dyDescent="0.3">
      <c r="B21">
        <v>4</v>
      </c>
      <c r="C21" t="s">
        <v>893</v>
      </c>
      <c r="D21">
        <v>35.560975609756099</v>
      </c>
      <c r="E21">
        <v>42</v>
      </c>
      <c r="F21" t="str">
        <f>Ranked!G45</f>
        <v>Undrafted</v>
      </c>
      <c r="I21">
        <v>4</v>
      </c>
      <c r="J21" t="s">
        <v>47</v>
      </c>
      <c r="K21">
        <v>46.780487804878049</v>
      </c>
      <c r="L21">
        <v>6</v>
      </c>
      <c r="M21" t="str">
        <f>Ranked!G9</f>
        <v>Undrafted</v>
      </c>
      <c r="P21">
        <v>4</v>
      </c>
      <c r="Q21" t="s">
        <v>110</v>
      </c>
      <c r="R21">
        <v>33.085365853658537</v>
      </c>
      <c r="S21">
        <v>59</v>
      </c>
      <c r="T21" t="str">
        <f>Ranked!G60</f>
        <v>Undrafted</v>
      </c>
    </row>
    <row r="22" spans="2:20" x14ac:dyDescent="0.3">
      <c r="B22">
        <v>5</v>
      </c>
      <c r="C22" t="s">
        <v>828</v>
      </c>
      <c r="D22">
        <v>33.414634146341463</v>
      </c>
      <c r="E22">
        <v>55</v>
      </c>
      <c r="F22" t="str">
        <f>Ranked!G56</f>
        <v>Undrafted</v>
      </c>
      <c r="I22">
        <v>5</v>
      </c>
      <c r="J22" t="s">
        <v>113</v>
      </c>
      <c r="K22">
        <v>46.780487804878049</v>
      </c>
      <c r="L22">
        <v>6</v>
      </c>
      <c r="M22" t="str">
        <f>Ranked!G10</f>
        <v>Undrafted</v>
      </c>
      <c r="P22">
        <v>5</v>
      </c>
      <c r="Q22" t="s">
        <v>201</v>
      </c>
      <c r="R22">
        <v>31.914634146341463</v>
      </c>
      <c r="S22">
        <v>68</v>
      </c>
      <c r="T22" t="str">
        <f>Ranked!G69</f>
        <v>Undrafted</v>
      </c>
    </row>
    <row r="23" spans="2:20" x14ac:dyDescent="0.3">
      <c r="B23">
        <v>6</v>
      </c>
      <c r="C23" t="s">
        <v>875</v>
      </c>
      <c r="D23">
        <v>33.341463414634148</v>
      </c>
      <c r="E23">
        <v>57</v>
      </c>
      <c r="F23" t="str">
        <f>Ranked!G58</f>
        <v>Undrafted</v>
      </c>
      <c r="I23">
        <v>6</v>
      </c>
      <c r="J23" t="s">
        <v>40</v>
      </c>
      <c r="K23">
        <v>44.634146341463413</v>
      </c>
      <c r="L23">
        <v>9</v>
      </c>
      <c r="M23" t="str">
        <f>Ranked!G12</f>
        <v>Undrafted</v>
      </c>
      <c r="P23">
        <v>6</v>
      </c>
      <c r="Q23" t="s">
        <v>189</v>
      </c>
      <c r="R23">
        <v>31.792682926829269</v>
      </c>
      <c r="S23">
        <v>70</v>
      </c>
      <c r="T23" t="str">
        <f>Ranked!G71</f>
        <v>Undrafted</v>
      </c>
    </row>
    <row r="24" spans="2:20" x14ac:dyDescent="0.3">
      <c r="B24">
        <v>7</v>
      </c>
      <c r="C24" t="s">
        <v>882</v>
      </c>
      <c r="D24">
        <v>32.707317073170735</v>
      </c>
      <c r="E24">
        <v>63</v>
      </c>
      <c r="F24" t="str">
        <f>Ranked!G64</f>
        <v>Undrafted</v>
      </c>
      <c r="I24">
        <v>7</v>
      </c>
      <c r="J24" t="s">
        <v>68</v>
      </c>
      <c r="K24">
        <v>44.597560975609753</v>
      </c>
      <c r="L24">
        <v>10</v>
      </c>
      <c r="M24" t="str">
        <f>Ranked!G13</f>
        <v>Undrafted</v>
      </c>
      <c r="P24">
        <v>7</v>
      </c>
      <c r="Q24" t="s">
        <v>259</v>
      </c>
      <c r="R24">
        <v>30.23170731707317</v>
      </c>
      <c r="S24">
        <v>86</v>
      </c>
      <c r="T24" t="str">
        <f>Ranked!G87</f>
        <v>Undrafted</v>
      </c>
    </row>
    <row r="25" spans="2:20" x14ac:dyDescent="0.3">
      <c r="B25">
        <v>8</v>
      </c>
      <c r="C25" t="s">
        <v>905</v>
      </c>
      <c r="D25">
        <v>32.658536585365852</v>
      </c>
      <c r="E25">
        <v>64</v>
      </c>
      <c r="F25" t="str">
        <f>Ranked!G65</f>
        <v>Undrafted</v>
      </c>
      <c r="I25">
        <v>8</v>
      </c>
      <c r="J25" t="s">
        <v>34</v>
      </c>
      <c r="K25">
        <v>44.024390243902438</v>
      </c>
      <c r="L25">
        <v>12</v>
      </c>
      <c r="M25" t="str">
        <f>Ranked!G15</f>
        <v>Undrafted</v>
      </c>
      <c r="P25">
        <v>8</v>
      </c>
      <c r="Q25" t="s">
        <v>566</v>
      </c>
      <c r="R25">
        <v>30.024390243902438</v>
      </c>
      <c r="S25">
        <v>87</v>
      </c>
      <c r="T25" t="str">
        <f>Ranked!G89</f>
        <v>Undrafted</v>
      </c>
    </row>
    <row r="26" spans="2:20" x14ac:dyDescent="0.3">
      <c r="B26">
        <v>9</v>
      </c>
      <c r="C26" t="s">
        <v>837</v>
      </c>
      <c r="D26">
        <v>31.963414634146343</v>
      </c>
      <c r="E26">
        <v>67</v>
      </c>
      <c r="F26" t="str">
        <f>Ranked!G68</f>
        <v>Undrafted</v>
      </c>
      <c r="I26">
        <v>9</v>
      </c>
      <c r="J26" t="s">
        <v>382</v>
      </c>
      <c r="K26">
        <v>41.987804878048777</v>
      </c>
      <c r="L26">
        <v>19</v>
      </c>
      <c r="M26" t="str">
        <f>Ranked!G22</f>
        <v>Undrafted</v>
      </c>
      <c r="P26">
        <v>9</v>
      </c>
      <c r="Q26" t="s">
        <v>202</v>
      </c>
      <c r="R26">
        <v>29.792682926829269</v>
      </c>
      <c r="S26">
        <v>89</v>
      </c>
      <c r="T26" t="str">
        <f>Ranked!G90</f>
        <v>Undrafted</v>
      </c>
    </row>
    <row r="27" spans="2:20" x14ac:dyDescent="0.3">
      <c r="B27">
        <v>10</v>
      </c>
      <c r="C27" t="s">
        <v>721</v>
      </c>
      <c r="D27">
        <v>30.414634146341463</v>
      </c>
      <c r="E27">
        <v>84</v>
      </c>
      <c r="F27" t="str">
        <f>Ranked!G86</f>
        <v>Undrafted</v>
      </c>
      <c r="I27">
        <v>10</v>
      </c>
      <c r="J27" t="s">
        <v>31</v>
      </c>
      <c r="K27">
        <v>40.609756097560975</v>
      </c>
      <c r="L27">
        <v>21</v>
      </c>
      <c r="M27" t="str">
        <f>Ranked!G24</f>
        <v>Undrafted</v>
      </c>
      <c r="P27">
        <v>10</v>
      </c>
      <c r="Q27" t="s">
        <v>305</v>
      </c>
      <c r="R27">
        <v>29.621951219512194</v>
      </c>
      <c r="S27">
        <v>94</v>
      </c>
      <c r="T27" t="str">
        <f>Ranked!G94</f>
        <v>Undrafted</v>
      </c>
    </row>
    <row r="28" spans="2:20" x14ac:dyDescent="0.3">
      <c r="B28">
        <v>11</v>
      </c>
      <c r="C28" t="s">
        <v>851</v>
      </c>
      <c r="D28">
        <v>29.073170731707318</v>
      </c>
      <c r="E28">
        <v>98</v>
      </c>
      <c r="F28" t="str">
        <f>Ranked!G98</f>
        <v>Undrafted</v>
      </c>
      <c r="I28">
        <v>11</v>
      </c>
      <c r="J28" t="s">
        <v>49</v>
      </c>
      <c r="K28">
        <v>40.475609756097562</v>
      </c>
      <c r="L28">
        <v>22</v>
      </c>
      <c r="M28" t="str">
        <f>Ranked!G25</f>
        <v>Undrafted</v>
      </c>
      <c r="P28">
        <v>11</v>
      </c>
      <c r="Q28" t="s">
        <v>232</v>
      </c>
      <c r="R28">
        <v>29.036585365853657</v>
      </c>
      <c r="S28">
        <v>99</v>
      </c>
      <c r="T28" t="str">
        <f>Ranked!G99</f>
        <v>Undrafted</v>
      </c>
    </row>
    <row r="29" spans="2:20" x14ac:dyDescent="0.3">
      <c r="B29">
        <v>12</v>
      </c>
      <c r="C29" t="s">
        <v>844</v>
      </c>
      <c r="D29">
        <v>26.646341463414632</v>
      </c>
      <c r="E29">
        <v>128</v>
      </c>
      <c r="F29" t="str">
        <f>Ranked!G127</f>
        <v>Undrafted</v>
      </c>
      <c r="I29">
        <v>12</v>
      </c>
      <c r="J29" t="s">
        <v>102</v>
      </c>
      <c r="K29">
        <v>39.085365853658537</v>
      </c>
      <c r="L29">
        <v>24</v>
      </c>
      <c r="M29" t="str">
        <f>Ranked!G27</f>
        <v>Undrafted</v>
      </c>
      <c r="P29">
        <v>12</v>
      </c>
      <c r="Q29" t="s">
        <v>334</v>
      </c>
      <c r="R29">
        <v>28.914634146341463</v>
      </c>
      <c r="S29">
        <v>101</v>
      </c>
      <c r="T29" t="str">
        <f>Ranked!G101</f>
        <v>Undrafted</v>
      </c>
    </row>
    <row r="30" spans="2:20" x14ac:dyDescent="0.3">
      <c r="B30">
        <v>13</v>
      </c>
      <c r="C30" t="s">
        <v>944</v>
      </c>
      <c r="D30">
        <v>26.073170731707318</v>
      </c>
      <c r="E30">
        <v>138</v>
      </c>
      <c r="F30" t="str">
        <f>Ranked!G137</f>
        <v>Undrafted</v>
      </c>
      <c r="I30">
        <v>13</v>
      </c>
      <c r="J30" t="s">
        <v>179</v>
      </c>
      <c r="K30">
        <v>39.060975609756099</v>
      </c>
      <c r="L30">
        <v>25</v>
      </c>
      <c r="M30" t="str">
        <f>Ranked!G29</f>
        <v>Undrafted</v>
      </c>
      <c r="P30">
        <v>13</v>
      </c>
      <c r="Q30" t="s">
        <v>129</v>
      </c>
      <c r="R30">
        <v>28.670731707317074</v>
      </c>
      <c r="S30">
        <v>102</v>
      </c>
      <c r="T30" t="str">
        <f>Ranked!G102</f>
        <v>Undrafted</v>
      </c>
    </row>
    <row r="31" spans="2:20" x14ac:dyDescent="0.3">
      <c r="B31">
        <v>14</v>
      </c>
      <c r="C31" t="s">
        <v>900</v>
      </c>
      <c r="D31">
        <v>23.548780487804876</v>
      </c>
      <c r="E31">
        <v>175</v>
      </c>
      <c r="F31" t="str">
        <f>Ranked!G173</f>
        <v>Undrafted</v>
      </c>
      <c r="I31">
        <v>14</v>
      </c>
      <c r="J31" t="s">
        <v>90</v>
      </c>
      <c r="K31">
        <v>38.914634146341463</v>
      </c>
      <c r="L31">
        <v>27</v>
      </c>
      <c r="M31" t="str">
        <f>Ranked!G30</f>
        <v>Undrafted</v>
      </c>
      <c r="P31">
        <v>14</v>
      </c>
      <c r="Q31" t="s">
        <v>218</v>
      </c>
      <c r="R31">
        <v>28.158536585365855</v>
      </c>
      <c r="S31">
        <v>110</v>
      </c>
      <c r="T31" t="str">
        <f>Ranked!G110</f>
        <v>Undrafted</v>
      </c>
    </row>
    <row r="32" spans="2:20" x14ac:dyDescent="0.3">
      <c r="B32">
        <v>15</v>
      </c>
      <c r="C32" t="s">
        <v>849</v>
      </c>
      <c r="D32">
        <v>23.26829268292683</v>
      </c>
      <c r="E32">
        <v>178</v>
      </c>
      <c r="F32" t="str">
        <f>Ranked!G176</f>
        <v>Undrafted</v>
      </c>
      <c r="I32">
        <v>15</v>
      </c>
      <c r="J32" t="s">
        <v>85</v>
      </c>
      <c r="K32">
        <v>38.207317073170735</v>
      </c>
      <c r="L32">
        <v>29</v>
      </c>
      <c r="M32" t="str">
        <f>Ranked!G32</f>
        <v>Undrafted</v>
      </c>
      <c r="P32">
        <v>15</v>
      </c>
      <c r="Q32" t="s">
        <v>317</v>
      </c>
      <c r="R32">
        <v>27.878048780487806</v>
      </c>
      <c r="S32">
        <v>112</v>
      </c>
      <c r="T32" t="str">
        <f>Ranked!G112</f>
        <v>Undrafted</v>
      </c>
    </row>
    <row r="33" spans="2:20" x14ac:dyDescent="0.3">
      <c r="B33">
        <v>16</v>
      </c>
      <c r="C33" t="s">
        <v>878</v>
      </c>
      <c r="D33">
        <v>22.048780487804876</v>
      </c>
      <c r="E33">
        <v>201</v>
      </c>
      <c r="F33" t="str">
        <f>Ranked!G199</f>
        <v>Undrafted</v>
      </c>
      <c r="I33">
        <v>16</v>
      </c>
      <c r="J33" t="s">
        <v>89</v>
      </c>
      <c r="K33">
        <v>37.804878048780488</v>
      </c>
      <c r="L33">
        <v>30</v>
      </c>
      <c r="M33" t="str">
        <f>Ranked!G33</f>
        <v>Undrafted</v>
      </c>
      <c r="P33">
        <v>16</v>
      </c>
      <c r="Q33" t="s">
        <v>368</v>
      </c>
      <c r="R33">
        <v>27.878048780487806</v>
      </c>
      <c r="S33">
        <v>112</v>
      </c>
      <c r="T33" t="str">
        <f>Ranked!G113</f>
        <v>Undrafted</v>
      </c>
    </row>
    <row r="34" spans="2:20" x14ac:dyDescent="0.3">
      <c r="B34">
        <v>17</v>
      </c>
      <c r="C34" t="s">
        <v>898</v>
      </c>
      <c r="D34">
        <v>21.890243902439025</v>
      </c>
      <c r="E34">
        <v>202</v>
      </c>
      <c r="F34" t="str">
        <f>Ranked!G200</f>
        <v>Undrafted</v>
      </c>
      <c r="I34">
        <v>17</v>
      </c>
      <c r="J34" t="s">
        <v>66</v>
      </c>
      <c r="K34">
        <v>37.353658536585364</v>
      </c>
      <c r="L34">
        <v>31</v>
      </c>
      <c r="M34" t="str">
        <f>Ranked!G34</f>
        <v>Undrafted</v>
      </c>
      <c r="P34">
        <v>17</v>
      </c>
      <c r="Q34" t="s">
        <v>158</v>
      </c>
      <c r="R34">
        <v>27.097560975609756</v>
      </c>
      <c r="S34">
        <v>119</v>
      </c>
      <c r="T34" t="str">
        <f>Ranked!G118</f>
        <v>Undrafted</v>
      </c>
    </row>
    <row r="35" spans="2:20" x14ac:dyDescent="0.3">
      <c r="B35">
        <v>18</v>
      </c>
      <c r="C35" t="s">
        <v>792</v>
      </c>
      <c r="D35">
        <v>21.5</v>
      </c>
      <c r="E35">
        <v>210</v>
      </c>
      <c r="F35" t="str">
        <f>Ranked!G208</f>
        <v>Undrafted</v>
      </c>
      <c r="I35">
        <v>18</v>
      </c>
      <c r="J35" t="s">
        <v>114</v>
      </c>
      <c r="K35">
        <v>37.292682926829265</v>
      </c>
      <c r="L35">
        <v>32</v>
      </c>
      <c r="M35" t="str">
        <f>Ranked!G35</f>
        <v>Undrafted</v>
      </c>
      <c r="P35">
        <v>18</v>
      </c>
      <c r="Q35" t="s">
        <v>331</v>
      </c>
      <c r="R35">
        <v>26.792682926829269</v>
      </c>
      <c r="S35">
        <v>125</v>
      </c>
      <c r="T35" t="str">
        <f>Ranked!G124</f>
        <v>Undrafted</v>
      </c>
    </row>
    <row r="36" spans="2:20" x14ac:dyDescent="0.3">
      <c r="B36">
        <v>19</v>
      </c>
      <c r="C36" t="s">
        <v>922</v>
      </c>
      <c r="D36">
        <v>21.402439024390244</v>
      </c>
      <c r="E36">
        <v>213</v>
      </c>
      <c r="F36" t="str">
        <f>Ranked!G211</f>
        <v>Undrafted</v>
      </c>
      <c r="I36">
        <v>19</v>
      </c>
      <c r="J36" t="s">
        <v>70</v>
      </c>
      <c r="K36">
        <v>37.268292682926827</v>
      </c>
      <c r="L36">
        <v>33</v>
      </c>
      <c r="M36" t="str">
        <f>Ranked!G36</f>
        <v>Undrafted</v>
      </c>
      <c r="P36">
        <v>19</v>
      </c>
      <c r="Q36" t="s">
        <v>435</v>
      </c>
      <c r="R36">
        <v>26.26829268292683</v>
      </c>
      <c r="S36">
        <v>135</v>
      </c>
      <c r="T36" t="str">
        <f>Ranked!G135</f>
        <v>Undrafted</v>
      </c>
    </row>
    <row r="37" spans="2:20" x14ac:dyDescent="0.3">
      <c r="B37">
        <v>20</v>
      </c>
      <c r="C37" t="s">
        <v>894</v>
      </c>
      <c r="D37">
        <v>20.512195121951219</v>
      </c>
      <c r="E37">
        <v>233</v>
      </c>
      <c r="F37" t="str">
        <f>Ranked!G231</f>
        <v>Undrafted</v>
      </c>
      <c r="I37">
        <v>20</v>
      </c>
      <c r="J37" t="s">
        <v>45</v>
      </c>
      <c r="K37">
        <v>36.926829268292686</v>
      </c>
      <c r="L37">
        <v>34</v>
      </c>
      <c r="M37" t="str">
        <f>Ranked!G37</f>
        <v>Undrafted</v>
      </c>
      <c r="P37">
        <v>20</v>
      </c>
      <c r="Q37" t="s">
        <v>257</v>
      </c>
      <c r="R37">
        <v>26.012195121951219</v>
      </c>
      <c r="S37">
        <v>139</v>
      </c>
      <c r="T37" t="str">
        <f>Ranked!G138</f>
        <v>Undrafted</v>
      </c>
    </row>
    <row r="38" spans="2:20" x14ac:dyDescent="0.3">
      <c r="D38"/>
      <c r="I38">
        <v>21</v>
      </c>
      <c r="J38" t="s">
        <v>109</v>
      </c>
      <c r="K38">
        <v>36.804878048780488</v>
      </c>
      <c r="L38">
        <v>35</v>
      </c>
      <c r="M38" t="str">
        <f>Ranked!G38</f>
        <v>Undrafted</v>
      </c>
      <c r="P38">
        <v>21</v>
      </c>
      <c r="Q38" t="s">
        <v>278</v>
      </c>
      <c r="R38">
        <v>25.939024390243901</v>
      </c>
      <c r="S38">
        <v>140</v>
      </c>
      <c r="T38" t="str">
        <f>Ranked!G139</f>
        <v>Undrafted</v>
      </c>
    </row>
    <row r="39" spans="2:20" x14ac:dyDescent="0.3">
      <c r="D39"/>
      <c r="I39">
        <v>22</v>
      </c>
      <c r="J39" t="s">
        <v>43</v>
      </c>
      <c r="K39">
        <v>36.695121951219512</v>
      </c>
      <c r="L39">
        <v>36</v>
      </c>
      <c r="M39" t="str">
        <f>Ranked!G39</f>
        <v>Undrafted</v>
      </c>
      <c r="P39">
        <v>22</v>
      </c>
      <c r="Q39" t="s">
        <v>619</v>
      </c>
      <c r="R39">
        <v>25.878048780487806</v>
      </c>
      <c r="S39">
        <v>141</v>
      </c>
      <c r="T39" t="str">
        <f>Ranked!G140</f>
        <v>Undrafted</v>
      </c>
    </row>
    <row r="40" spans="2:20" x14ac:dyDescent="0.3">
      <c r="D40"/>
      <c r="I40">
        <v>23</v>
      </c>
      <c r="J40" t="s">
        <v>117</v>
      </c>
      <c r="K40">
        <v>36.536585365853661</v>
      </c>
      <c r="L40">
        <v>38</v>
      </c>
      <c r="M40" t="str">
        <f>Ranked!G41</f>
        <v>Undrafted</v>
      </c>
      <c r="P40">
        <v>23</v>
      </c>
      <c r="Q40" t="s">
        <v>273</v>
      </c>
      <c r="R40">
        <v>24.73170731707317</v>
      </c>
      <c r="S40">
        <v>160</v>
      </c>
      <c r="T40" t="str">
        <f>Ranked!G158</f>
        <v>Undrafted</v>
      </c>
    </row>
    <row r="41" spans="2:20" x14ac:dyDescent="0.3">
      <c r="D41"/>
      <c r="I41">
        <v>24</v>
      </c>
      <c r="J41" t="s">
        <v>36</v>
      </c>
      <c r="K41">
        <v>36.536585365853661</v>
      </c>
      <c r="L41">
        <v>38</v>
      </c>
      <c r="M41" t="str">
        <f>Ranked!G42</f>
        <v>Undrafted</v>
      </c>
      <c r="P41">
        <v>24</v>
      </c>
      <c r="Q41" t="s">
        <v>177</v>
      </c>
      <c r="R41">
        <v>24.646341463414632</v>
      </c>
      <c r="S41">
        <v>162</v>
      </c>
      <c r="T41" t="str">
        <f>Ranked!G160</f>
        <v>Undrafted</v>
      </c>
    </row>
    <row r="42" spans="2:20" x14ac:dyDescent="0.3">
      <c r="D42"/>
      <c r="I42">
        <v>25</v>
      </c>
      <c r="J42" t="s">
        <v>111</v>
      </c>
      <c r="K42">
        <v>35.926829268292686</v>
      </c>
      <c r="L42">
        <v>40</v>
      </c>
      <c r="M42" t="str">
        <f>Ranked!G43</f>
        <v>Undrafted</v>
      </c>
      <c r="P42">
        <v>25</v>
      </c>
      <c r="Q42" t="s">
        <v>322</v>
      </c>
      <c r="R42">
        <v>24.341463414634145</v>
      </c>
      <c r="S42">
        <v>169</v>
      </c>
      <c r="T42" t="str">
        <f>Ranked!G168</f>
        <v>Undrafted</v>
      </c>
    </row>
    <row r="43" spans="2:20" x14ac:dyDescent="0.3">
      <c r="D43"/>
      <c r="I43">
        <v>26</v>
      </c>
      <c r="J43" t="s">
        <v>175</v>
      </c>
      <c r="K43">
        <v>35.902439024390247</v>
      </c>
      <c r="L43">
        <v>41</v>
      </c>
      <c r="M43" t="str">
        <f>Ranked!G44</f>
        <v>Undrafted</v>
      </c>
      <c r="P43">
        <v>26</v>
      </c>
      <c r="Q43" t="s">
        <v>124</v>
      </c>
      <c r="R43">
        <v>24.085365853658537</v>
      </c>
      <c r="S43">
        <v>172</v>
      </c>
      <c r="T43" t="str">
        <f>Ranked!G170</f>
        <v>Undrafted</v>
      </c>
    </row>
    <row r="44" spans="2:20" x14ac:dyDescent="0.3">
      <c r="D44"/>
      <c r="I44">
        <v>27</v>
      </c>
      <c r="J44" t="s">
        <v>64</v>
      </c>
      <c r="K44">
        <v>35.304878048780488</v>
      </c>
      <c r="L44">
        <v>43</v>
      </c>
      <c r="M44" t="str">
        <f>Ranked!G46</f>
        <v>Undrafted</v>
      </c>
      <c r="P44">
        <v>27</v>
      </c>
      <c r="Q44" t="s">
        <v>222</v>
      </c>
      <c r="R44">
        <v>23.341463414634145</v>
      </c>
      <c r="S44">
        <v>177</v>
      </c>
      <c r="T44" t="str">
        <f>Ranked!G175</f>
        <v>Undrafted</v>
      </c>
    </row>
    <row r="45" spans="2:20" x14ac:dyDescent="0.3">
      <c r="D45"/>
      <c r="I45">
        <v>28</v>
      </c>
      <c r="J45" t="s">
        <v>67</v>
      </c>
      <c r="K45">
        <v>34.878048780487802</v>
      </c>
      <c r="L45">
        <v>46</v>
      </c>
      <c r="M45" t="str">
        <f>Ranked!G48</f>
        <v>Undrafted</v>
      </c>
      <c r="P45">
        <v>28</v>
      </c>
      <c r="Q45" t="s">
        <v>255</v>
      </c>
      <c r="R45">
        <v>23.182926829268293</v>
      </c>
      <c r="S45">
        <v>182</v>
      </c>
      <c r="T45" t="str">
        <f>Ranked!G180</f>
        <v>Undrafted</v>
      </c>
    </row>
    <row r="46" spans="2:20" x14ac:dyDescent="0.3">
      <c r="D46"/>
      <c r="I46">
        <v>29</v>
      </c>
      <c r="J46" t="s">
        <v>76</v>
      </c>
      <c r="K46">
        <v>34.378048780487802</v>
      </c>
      <c r="L46">
        <v>47</v>
      </c>
      <c r="M46" t="str">
        <f>Ranked!G49</f>
        <v>Undrafted</v>
      </c>
      <c r="P46">
        <v>29</v>
      </c>
      <c r="Q46" t="s">
        <v>256</v>
      </c>
      <c r="R46">
        <v>23.146341463414632</v>
      </c>
      <c r="S46">
        <v>183</v>
      </c>
      <c r="T46" t="str">
        <f>Ranked!G181</f>
        <v>Undrafted</v>
      </c>
    </row>
    <row r="47" spans="2:20" x14ac:dyDescent="0.3">
      <c r="D47"/>
      <c r="I47">
        <v>30</v>
      </c>
      <c r="J47" t="s">
        <v>72</v>
      </c>
      <c r="K47">
        <v>34.280487804878049</v>
      </c>
      <c r="L47">
        <v>48</v>
      </c>
      <c r="M47" t="str">
        <f>Ranked!G50</f>
        <v>Undrafted</v>
      </c>
      <c r="P47">
        <v>30</v>
      </c>
      <c r="Q47" t="s">
        <v>347</v>
      </c>
      <c r="R47">
        <v>22.914634146341463</v>
      </c>
      <c r="S47">
        <v>185</v>
      </c>
      <c r="T47" t="str">
        <f>Ranked!G183</f>
        <v>Undrafted</v>
      </c>
    </row>
    <row r="48" spans="2:20" x14ac:dyDescent="0.3">
      <c r="D48"/>
    </row>
    <row r="49" spans="4:4" x14ac:dyDescent="0.3">
      <c r="D49"/>
    </row>
    <row r="50" spans="4:4" x14ac:dyDescent="0.3">
      <c r="D50"/>
    </row>
    <row r="51" spans="4:4" x14ac:dyDescent="0.3">
      <c r="D51"/>
    </row>
    <row r="52" spans="4:4" x14ac:dyDescent="0.3">
      <c r="D52"/>
    </row>
    <row r="53" spans="4:4" x14ac:dyDescent="0.3">
      <c r="D53"/>
    </row>
    <row r="54" spans="4:4" x14ac:dyDescent="0.3">
      <c r="D54"/>
    </row>
    <row r="55" spans="4:4" x14ac:dyDescent="0.3">
      <c r="D55"/>
    </row>
    <row r="56" spans="4:4" x14ac:dyDescent="0.3">
      <c r="D56"/>
    </row>
    <row r="57" spans="4:4" x14ac:dyDescent="0.3">
      <c r="D57"/>
    </row>
    <row r="58" spans="4:4" x14ac:dyDescent="0.3">
      <c r="D58"/>
    </row>
    <row r="59" spans="4:4" x14ac:dyDescent="0.3">
      <c r="D59"/>
    </row>
    <row r="60" spans="4:4" x14ac:dyDescent="0.3">
      <c r="D60"/>
    </row>
    <row r="61" spans="4:4" x14ac:dyDescent="0.3">
      <c r="D61"/>
    </row>
    <row r="62" spans="4:4" x14ac:dyDescent="0.3">
      <c r="D62"/>
    </row>
    <row r="63" spans="4:4" x14ac:dyDescent="0.3">
      <c r="D63"/>
    </row>
    <row r="64" spans="4:4" x14ac:dyDescent="0.3">
      <c r="D64"/>
    </row>
    <row r="65" spans="4:4" x14ac:dyDescent="0.3">
      <c r="D65"/>
    </row>
    <row r="66" spans="4:4" x14ac:dyDescent="0.3">
      <c r="D66"/>
    </row>
    <row r="67" spans="4:4" x14ac:dyDescent="0.3">
      <c r="D67"/>
    </row>
    <row r="68" spans="4:4" x14ac:dyDescent="0.3">
      <c r="D68"/>
    </row>
    <row r="69" spans="4:4" x14ac:dyDescent="0.3">
      <c r="D69"/>
    </row>
    <row r="70" spans="4:4" x14ac:dyDescent="0.3">
      <c r="D70"/>
    </row>
    <row r="71" spans="4:4" x14ac:dyDescent="0.3">
      <c r="D71"/>
    </row>
    <row r="72" spans="4:4" x14ac:dyDescent="0.3">
      <c r="D72"/>
    </row>
    <row r="73" spans="4:4" x14ac:dyDescent="0.3">
      <c r="D73"/>
    </row>
    <row r="74" spans="4:4" x14ac:dyDescent="0.3">
      <c r="D74"/>
    </row>
    <row r="75" spans="4:4" x14ac:dyDescent="0.3">
      <c r="D75"/>
    </row>
    <row r="76" spans="4:4" x14ac:dyDescent="0.3">
      <c r="D76"/>
    </row>
    <row r="77" spans="4:4" x14ac:dyDescent="0.3">
      <c r="D77"/>
    </row>
    <row r="78" spans="4:4" x14ac:dyDescent="0.3">
      <c r="D78"/>
    </row>
    <row r="79" spans="4:4" x14ac:dyDescent="0.3">
      <c r="D79"/>
    </row>
    <row r="80" spans="4:4" x14ac:dyDescent="0.3">
      <c r="D80"/>
    </row>
    <row r="81" spans="4:4" x14ac:dyDescent="0.3">
      <c r="D81"/>
    </row>
    <row r="82" spans="4:4" x14ac:dyDescent="0.3">
      <c r="D82"/>
    </row>
    <row r="83" spans="4:4" x14ac:dyDescent="0.3">
      <c r="D83"/>
    </row>
    <row r="84" spans="4:4" x14ac:dyDescent="0.3">
      <c r="D84"/>
    </row>
    <row r="85" spans="4:4" x14ac:dyDescent="0.3">
      <c r="D85"/>
    </row>
    <row r="86" spans="4:4" x14ac:dyDescent="0.3">
      <c r="D86"/>
    </row>
    <row r="87" spans="4:4" x14ac:dyDescent="0.3">
      <c r="D87"/>
    </row>
    <row r="88" spans="4:4" x14ac:dyDescent="0.3">
      <c r="D88"/>
    </row>
    <row r="89" spans="4:4" x14ac:dyDescent="0.3">
      <c r="D89"/>
    </row>
    <row r="90" spans="4:4" x14ac:dyDescent="0.3">
      <c r="D90"/>
    </row>
    <row r="91" spans="4:4" x14ac:dyDescent="0.3">
      <c r="D91"/>
    </row>
    <row r="92" spans="4:4" x14ac:dyDescent="0.3">
      <c r="D92"/>
    </row>
    <row r="93" spans="4:4" x14ac:dyDescent="0.3">
      <c r="D93"/>
    </row>
    <row r="94" spans="4:4" x14ac:dyDescent="0.3">
      <c r="D94"/>
    </row>
    <row r="95" spans="4:4" x14ac:dyDescent="0.3">
      <c r="D95"/>
    </row>
    <row r="96" spans="4:4" x14ac:dyDescent="0.3">
      <c r="D96"/>
    </row>
    <row r="97" spans="4:4" x14ac:dyDescent="0.3">
      <c r="D97"/>
    </row>
    <row r="98" spans="4:4" x14ac:dyDescent="0.3">
      <c r="D98"/>
    </row>
    <row r="99" spans="4:4" x14ac:dyDescent="0.3">
      <c r="D99"/>
    </row>
    <row r="100" spans="4:4" x14ac:dyDescent="0.3">
      <c r="D100"/>
    </row>
    <row r="101" spans="4:4" x14ac:dyDescent="0.3">
      <c r="D101"/>
    </row>
    <row r="102" spans="4:4" x14ac:dyDescent="0.3">
      <c r="D102"/>
    </row>
    <row r="103" spans="4:4" x14ac:dyDescent="0.3">
      <c r="D103"/>
    </row>
    <row r="104" spans="4:4" x14ac:dyDescent="0.3">
      <c r="D104"/>
    </row>
    <row r="105" spans="4:4" x14ac:dyDescent="0.3">
      <c r="D105"/>
    </row>
    <row r="106" spans="4:4" x14ac:dyDescent="0.3">
      <c r="D106"/>
    </row>
    <row r="107" spans="4:4" x14ac:dyDescent="0.3">
      <c r="D107"/>
    </row>
    <row r="108" spans="4:4" x14ac:dyDescent="0.3">
      <c r="D108"/>
    </row>
    <row r="109" spans="4:4" x14ac:dyDescent="0.3">
      <c r="D109"/>
    </row>
    <row r="110" spans="4:4" x14ac:dyDescent="0.3">
      <c r="D110"/>
    </row>
    <row r="111" spans="4:4" x14ac:dyDescent="0.3">
      <c r="D111"/>
    </row>
    <row r="112" spans="4:4" x14ac:dyDescent="0.3">
      <c r="D112"/>
    </row>
    <row r="113" spans="4:4" x14ac:dyDescent="0.3">
      <c r="D113"/>
    </row>
    <row r="114" spans="4:4" x14ac:dyDescent="0.3">
      <c r="D114"/>
    </row>
    <row r="115" spans="4:4" x14ac:dyDescent="0.3">
      <c r="D115"/>
    </row>
    <row r="116" spans="4:4" x14ac:dyDescent="0.3">
      <c r="D116"/>
    </row>
    <row r="117" spans="4:4" x14ac:dyDescent="0.3">
      <c r="D117"/>
    </row>
    <row r="118" spans="4:4" x14ac:dyDescent="0.3">
      <c r="D118"/>
    </row>
    <row r="119" spans="4:4" x14ac:dyDescent="0.3">
      <c r="D119"/>
    </row>
    <row r="120" spans="4:4" x14ac:dyDescent="0.3">
      <c r="D120"/>
    </row>
    <row r="121" spans="4:4" x14ac:dyDescent="0.3">
      <c r="D121"/>
    </row>
    <row r="122" spans="4:4" x14ac:dyDescent="0.3">
      <c r="D122"/>
    </row>
    <row r="123" spans="4:4" x14ac:dyDescent="0.3">
      <c r="D123"/>
    </row>
    <row r="124" spans="4:4" x14ac:dyDescent="0.3">
      <c r="D124"/>
    </row>
    <row r="125" spans="4:4" x14ac:dyDescent="0.3">
      <c r="D125"/>
    </row>
    <row r="126" spans="4:4" x14ac:dyDescent="0.3">
      <c r="D126"/>
    </row>
    <row r="127" spans="4:4" x14ac:dyDescent="0.3">
      <c r="D127"/>
    </row>
    <row r="128" spans="4:4" x14ac:dyDescent="0.3">
      <c r="D128"/>
    </row>
    <row r="129" spans="4:4" x14ac:dyDescent="0.3">
      <c r="D129"/>
    </row>
    <row r="130" spans="4:4" x14ac:dyDescent="0.3">
      <c r="D130"/>
    </row>
    <row r="131" spans="4:4" x14ac:dyDescent="0.3">
      <c r="D131"/>
    </row>
    <row r="132" spans="4:4" x14ac:dyDescent="0.3">
      <c r="D132"/>
    </row>
    <row r="133" spans="4:4" x14ac:dyDescent="0.3">
      <c r="D133"/>
    </row>
    <row r="134" spans="4:4" x14ac:dyDescent="0.3">
      <c r="D134"/>
    </row>
    <row r="135" spans="4:4" x14ac:dyDescent="0.3">
      <c r="D135"/>
    </row>
    <row r="136" spans="4:4" x14ac:dyDescent="0.3">
      <c r="D136"/>
    </row>
    <row r="137" spans="4:4" x14ac:dyDescent="0.3">
      <c r="D137"/>
    </row>
    <row r="138" spans="4:4" x14ac:dyDescent="0.3">
      <c r="D138"/>
    </row>
    <row r="139" spans="4:4" x14ac:dyDescent="0.3">
      <c r="D139"/>
    </row>
    <row r="140" spans="4:4" x14ac:dyDescent="0.3">
      <c r="D140"/>
    </row>
    <row r="141" spans="4:4" x14ac:dyDescent="0.3">
      <c r="D141"/>
    </row>
    <row r="142" spans="4:4" x14ac:dyDescent="0.3">
      <c r="D142"/>
    </row>
    <row r="143" spans="4:4" x14ac:dyDescent="0.3">
      <c r="D143"/>
    </row>
    <row r="144" spans="4:4" x14ac:dyDescent="0.3">
      <c r="D144"/>
    </row>
    <row r="145" spans="4:4" x14ac:dyDescent="0.3">
      <c r="D145"/>
    </row>
    <row r="146" spans="4:4" x14ac:dyDescent="0.3">
      <c r="D146"/>
    </row>
    <row r="147" spans="4:4" x14ac:dyDescent="0.3">
      <c r="D147"/>
    </row>
    <row r="148" spans="4:4" x14ac:dyDescent="0.3">
      <c r="D148"/>
    </row>
    <row r="149" spans="4:4" x14ac:dyDescent="0.3">
      <c r="D149"/>
    </row>
    <row r="150" spans="4:4" x14ac:dyDescent="0.3">
      <c r="D150"/>
    </row>
    <row r="151" spans="4:4" x14ac:dyDescent="0.3">
      <c r="D151"/>
    </row>
    <row r="152" spans="4:4" x14ac:dyDescent="0.3">
      <c r="D152"/>
    </row>
    <row r="153" spans="4:4" x14ac:dyDescent="0.3">
      <c r="D153"/>
    </row>
    <row r="154" spans="4:4" x14ac:dyDescent="0.3">
      <c r="D154"/>
    </row>
    <row r="155" spans="4:4" x14ac:dyDescent="0.3">
      <c r="D155"/>
    </row>
    <row r="156" spans="4:4" x14ac:dyDescent="0.3">
      <c r="D156"/>
    </row>
    <row r="157" spans="4:4" x14ac:dyDescent="0.3">
      <c r="D157"/>
    </row>
    <row r="158" spans="4:4" x14ac:dyDescent="0.3">
      <c r="D158"/>
    </row>
    <row r="159" spans="4:4" x14ac:dyDescent="0.3">
      <c r="D159"/>
    </row>
    <row r="160" spans="4:4" x14ac:dyDescent="0.3">
      <c r="D160"/>
    </row>
    <row r="161" spans="4:4" x14ac:dyDescent="0.3">
      <c r="D161"/>
    </row>
    <row r="162" spans="4:4" x14ac:dyDescent="0.3">
      <c r="D162"/>
    </row>
    <row r="163" spans="4:4" x14ac:dyDescent="0.3">
      <c r="D163"/>
    </row>
    <row r="164" spans="4:4" x14ac:dyDescent="0.3">
      <c r="D164"/>
    </row>
    <row r="165" spans="4:4" x14ac:dyDescent="0.3">
      <c r="D165"/>
    </row>
    <row r="166" spans="4:4" x14ac:dyDescent="0.3">
      <c r="D166"/>
    </row>
    <row r="167" spans="4:4" x14ac:dyDescent="0.3">
      <c r="D167"/>
    </row>
    <row r="168" spans="4:4" x14ac:dyDescent="0.3">
      <c r="D168"/>
    </row>
    <row r="169" spans="4:4" x14ac:dyDescent="0.3">
      <c r="D169"/>
    </row>
    <row r="170" spans="4:4" x14ac:dyDescent="0.3">
      <c r="D170"/>
    </row>
    <row r="171" spans="4:4" x14ac:dyDescent="0.3">
      <c r="D171"/>
    </row>
    <row r="172" spans="4:4" x14ac:dyDescent="0.3">
      <c r="D172"/>
    </row>
    <row r="173" spans="4:4" x14ac:dyDescent="0.3">
      <c r="D173"/>
    </row>
    <row r="174" spans="4:4" x14ac:dyDescent="0.3">
      <c r="D174"/>
    </row>
    <row r="175" spans="4:4" x14ac:dyDescent="0.3">
      <c r="D175"/>
    </row>
    <row r="176" spans="4:4" x14ac:dyDescent="0.3">
      <c r="D176"/>
    </row>
    <row r="177" spans="4:4" x14ac:dyDescent="0.3">
      <c r="D177"/>
    </row>
    <row r="178" spans="4:4" x14ac:dyDescent="0.3">
      <c r="D178"/>
    </row>
    <row r="179" spans="4:4" x14ac:dyDescent="0.3">
      <c r="D179"/>
    </row>
    <row r="180" spans="4:4" x14ac:dyDescent="0.3">
      <c r="D180"/>
    </row>
    <row r="181" spans="4:4" x14ac:dyDescent="0.3">
      <c r="D181"/>
    </row>
    <row r="182" spans="4:4" x14ac:dyDescent="0.3">
      <c r="D182"/>
    </row>
    <row r="183" spans="4:4" x14ac:dyDescent="0.3">
      <c r="D183"/>
    </row>
    <row r="184" spans="4:4" x14ac:dyDescent="0.3">
      <c r="D184"/>
    </row>
    <row r="185" spans="4:4" x14ac:dyDescent="0.3">
      <c r="D185"/>
    </row>
    <row r="186" spans="4:4" x14ac:dyDescent="0.3">
      <c r="D186"/>
    </row>
    <row r="187" spans="4:4" x14ac:dyDescent="0.3">
      <c r="D187"/>
    </row>
    <row r="188" spans="4:4" x14ac:dyDescent="0.3">
      <c r="D188"/>
    </row>
    <row r="189" spans="4:4" x14ac:dyDescent="0.3">
      <c r="D189"/>
    </row>
    <row r="190" spans="4:4" x14ac:dyDescent="0.3">
      <c r="D190"/>
    </row>
    <row r="191" spans="4:4" x14ac:dyDescent="0.3">
      <c r="D191"/>
    </row>
    <row r="192" spans="4:4" x14ac:dyDescent="0.3">
      <c r="D192"/>
    </row>
    <row r="193" spans="4:4" x14ac:dyDescent="0.3">
      <c r="D193"/>
    </row>
    <row r="194" spans="4:4" x14ac:dyDescent="0.3">
      <c r="D194"/>
    </row>
    <row r="195" spans="4:4" x14ac:dyDescent="0.3">
      <c r="D195"/>
    </row>
    <row r="196" spans="4:4" x14ac:dyDescent="0.3">
      <c r="D196"/>
    </row>
    <row r="197" spans="4:4" x14ac:dyDescent="0.3">
      <c r="D197"/>
    </row>
    <row r="198" spans="4:4" x14ac:dyDescent="0.3">
      <c r="D198"/>
    </row>
    <row r="199" spans="4:4" x14ac:dyDescent="0.3">
      <c r="D199"/>
    </row>
    <row r="200" spans="4:4" x14ac:dyDescent="0.3">
      <c r="D200"/>
    </row>
    <row r="201" spans="4:4" x14ac:dyDescent="0.3">
      <c r="D201"/>
    </row>
    <row r="202" spans="4:4" x14ac:dyDescent="0.3">
      <c r="D202"/>
    </row>
    <row r="203" spans="4:4" x14ac:dyDescent="0.3">
      <c r="D203"/>
    </row>
    <row r="204" spans="4:4" x14ac:dyDescent="0.3">
      <c r="D204"/>
    </row>
    <row r="205" spans="4:4" x14ac:dyDescent="0.3">
      <c r="D205"/>
    </row>
    <row r="206" spans="4:4" x14ac:dyDescent="0.3">
      <c r="D206"/>
    </row>
    <row r="207" spans="4:4" x14ac:dyDescent="0.3">
      <c r="D207"/>
    </row>
    <row r="208" spans="4:4" x14ac:dyDescent="0.3">
      <c r="D208"/>
    </row>
    <row r="209" spans="4:4" x14ac:dyDescent="0.3">
      <c r="D209"/>
    </row>
    <row r="210" spans="4:4" x14ac:dyDescent="0.3">
      <c r="D210"/>
    </row>
    <row r="211" spans="4:4" x14ac:dyDescent="0.3">
      <c r="D211"/>
    </row>
    <row r="212" spans="4:4" x14ac:dyDescent="0.3">
      <c r="D212"/>
    </row>
    <row r="213" spans="4:4" x14ac:dyDescent="0.3">
      <c r="D213"/>
    </row>
    <row r="214" spans="4:4" x14ac:dyDescent="0.3">
      <c r="D214"/>
    </row>
    <row r="215" spans="4:4" x14ac:dyDescent="0.3">
      <c r="D215"/>
    </row>
    <row r="216" spans="4:4" x14ac:dyDescent="0.3">
      <c r="D216"/>
    </row>
    <row r="217" spans="4:4" x14ac:dyDescent="0.3">
      <c r="D217"/>
    </row>
    <row r="218" spans="4:4" x14ac:dyDescent="0.3">
      <c r="D218"/>
    </row>
    <row r="219" spans="4:4" x14ac:dyDescent="0.3">
      <c r="D219"/>
    </row>
    <row r="220" spans="4:4" x14ac:dyDescent="0.3">
      <c r="D220"/>
    </row>
    <row r="221" spans="4:4" x14ac:dyDescent="0.3">
      <c r="D221"/>
    </row>
    <row r="222" spans="4:4" x14ac:dyDescent="0.3">
      <c r="D222"/>
    </row>
    <row r="223" spans="4:4" x14ac:dyDescent="0.3">
      <c r="D223"/>
    </row>
    <row r="224" spans="4:4" x14ac:dyDescent="0.3">
      <c r="D224"/>
    </row>
    <row r="225" spans="4:4" x14ac:dyDescent="0.3">
      <c r="D225"/>
    </row>
    <row r="226" spans="4:4" x14ac:dyDescent="0.3">
      <c r="D226"/>
    </row>
    <row r="227" spans="4:4" x14ac:dyDescent="0.3">
      <c r="D227"/>
    </row>
    <row r="228" spans="4:4" x14ac:dyDescent="0.3">
      <c r="D228"/>
    </row>
    <row r="229" spans="4:4" x14ac:dyDescent="0.3">
      <c r="D229"/>
    </row>
    <row r="230" spans="4:4" x14ac:dyDescent="0.3">
      <c r="D230"/>
    </row>
    <row r="231" spans="4:4" x14ac:dyDescent="0.3">
      <c r="D231"/>
    </row>
    <row r="232" spans="4:4" x14ac:dyDescent="0.3">
      <c r="D232"/>
    </row>
    <row r="233" spans="4:4" x14ac:dyDescent="0.3">
      <c r="D233"/>
    </row>
    <row r="234" spans="4:4" x14ac:dyDescent="0.3">
      <c r="D234"/>
    </row>
    <row r="235" spans="4:4" x14ac:dyDescent="0.3">
      <c r="D235"/>
    </row>
    <row r="236" spans="4:4" x14ac:dyDescent="0.3">
      <c r="D236"/>
    </row>
    <row r="237" spans="4:4" x14ac:dyDescent="0.3">
      <c r="D237"/>
    </row>
    <row r="238" spans="4:4" x14ac:dyDescent="0.3">
      <c r="D238"/>
    </row>
    <row r="239" spans="4:4" x14ac:dyDescent="0.3">
      <c r="D239"/>
    </row>
    <row r="240" spans="4:4" x14ac:dyDescent="0.3">
      <c r="D240"/>
    </row>
    <row r="241" spans="4:4" x14ac:dyDescent="0.3">
      <c r="D241"/>
    </row>
    <row r="242" spans="4:4" x14ac:dyDescent="0.3">
      <c r="D242"/>
    </row>
    <row r="243" spans="4:4" x14ac:dyDescent="0.3">
      <c r="D243"/>
    </row>
    <row r="244" spans="4:4" x14ac:dyDescent="0.3">
      <c r="D244"/>
    </row>
    <row r="245" spans="4:4" x14ac:dyDescent="0.3">
      <c r="D245"/>
    </row>
    <row r="246" spans="4:4" x14ac:dyDescent="0.3">
      <c r="D246"/>
    </row>
    <row r="247" spans="4:4" x14ac:dyDescent="0.3">
      <c r="D247"/>
    </row>
    <row r="248" spans="4:4" x14ac:dyDescent="0.3">
      <c r="D248"/>
    </row>
    <row r="249" spans="4:4" x14ac:dyDescent="0.3">
      <c r="D249"/>
    </row>
    <row r="250" spans="4:4" x14ac:dyDescent="0.3">
      <c r="D250"/>
    </row>
    <row r="251" spans="4:4" x14ac:dyDescent="0.3">
      <c r="D251"/>
    </row>
    <row r="252" spans="4:4" x14ac:dyDescent="0.3">
      <c r="D252"/>
    </row>
    <row r="253" spans="4:4" x14ac:dyDescent="0.3">
      <c r="D253"/>
    </row>
    <row r="254" spans="4:4" x14ac:dyDescent="0.3">
      <c r="D254"/>
    </row>
    <row r="255" spans="4:4" x14ac:dyDescent="0.3">
      <c r="D255"/>
    </row>
    <row r="256" spans="4:4" x14ac:dyDescent="0.3">
      <c r="D256"/>
    </row>
    <row r="257" spans="4:4" x14ac:dyDescent="0.3">
      <c r="D257"/>
    </row>
    <row r="258" spans="4:4" x14ac:dyDescent="0.3">
      <c r="D258"/>
    </row>
    <row r="259" spans="4:4" x14ac:dyDescent="0.3">
      <c r="D259"/>
    </row>
    <row r="260" spans="4:4" x14ac:dyDescent="0.3">
      <c r="D260"/>
    </row>
    <row r="261" spans="4:4" x14ac:dyDescent="0.3">
      <c r="D261"/>
    </row>
    <row r="262" spans="4:4" x14ac:dyDescent="0.3">
      <c r="D262"/>
    </row>
    <row r="263" spans="4:4" x14ac:dyDescent="0.3">
      <c r="D263"/>
    </row>
    <row r="264" spans="4:4" x14ac:dyDescent="0.3">
      <c r="D264"/>
    </row>
    <row r="265" spans="4:4" x14ac:dyDescent="0.3">
      <c r="D265"/>
    </row>
    <row r="266" spans="4:4" x14ac:dyDescent="0.3">
      <c r="D266"/>
    </row>
    <row r="267" spans="4:4" x14ac:dyDescent="0.3">
      <c r="D267"/>
    </row>
    <row r="268" spans="4:4" x14ac:dyDescent="0.3">
      <c r="D268"/>
    </row>
    <row r="269" spans="4:4" x14ac:dyDescent="0.3">
      <c r="D269"/>
    </row>
    <row r="270" spans="4:4" x14ac:dyDescent="0.3">
      <c r="D270"/>
    </row>
    <row r="271" spans="4:4" x14ac:dyDescent="0.3">
      <c r="D271"/>
    </row>
    <row r="272" spans="4:4" x14ac:dyDescent="0.3">
      <c r="D272"/>
    </row>
    <row r="273" spans="4:4" x14ac:dyDescent="0.3">
      <c r="D273"/>
    </row>
    <row r="274" spans="4:4" x14ac:dyDescent="0.3">
      <c r="D274"/>
    </row>
    <row r="275" spans="4:4" x14ac:dyDescent="0.3">
      <c r="D275"/>
    </row>
    <row r="276" spans="4:4" x14ac:dyDescent="0.3">
      <c r="D276"/>
    </row>
    <row r="277" spans="4:4" x14ac:dyDescent="0.3">
      <c r="D277"/>
    </row>
    <row r="278" spans="4:4" x14ac:dyDescent="0.3">
      <c r="D278"/>
    </row>
    <row r="279" spans="4:4" x14ac:dyDescent="0.3">
      <c r="D279"/>
    </row>
    <row r="280" spans="4:4" x14ac:dyDescent="0.3">
      <c r="D280"/>
    </row>
    <row r="281" spans="4:4" x14ac:dyDescent="0.3">
      <c r="D281"/>
    </row>
    <row r="282" spans="4:4" x14ac:dyDescent="0.3">
      <c r="D282"/>
    </row>
    <row r="283" spans="4:4" x14ac:dyDescent="0.3">
      <c r="D283"/>
    </row>
    <row r="284" spans="4:4" x14ac:dyDescent="0.3">
      <c r="D284"/>
    </row>
    <row r="285" spans="4:4" x14ac:dyDescent="0.3">
      <c r="D285"/>
    </row>
    <row r="286" spans="4:4" x14ac:dyDescent="0.3">
      <c r="D286"/>
    </row>
    <row r="287" spans="4:4" x14ac:dyDescent="0.3">
      <c r="D287"/>
    </row>
    <row r="288" spans="4:4" x14ac:dyDescent="0.3">
      <c r="D288"/>
    </row>
    <row r="289" spans="4:4" x14ac:dyDescent="0.3">
      <c r="D289"/>
    </row>
    <row r="290" spans="4:4" x14ac:dyDescent="0.3">
      <c r="D290"/>
    </row>
    <row r="291" spans="4:4" x14ac:dyDescent="0.3">
      <c r="D291"/>
    </row>
    <row r="292" spans="4:4" x14ac:dyDescent="0.3">
      <c r="D292"/>
    </row>
    <row r="293" spans="4:4" x14ac:dyDescent="0.3">
      <c r="D293"/>
    </row>
    <row r="294" spans="4:4" x14ac:dyDescent="0.3">
      <c r="D294"/>
    </row>
    <row r="295" spans="4:4" x14ac:dyDescent="0.3">
      <c r="D295"/>
    </row>
    <row r="296" spans="4:4" x14ac:dyDescent="0.3">
      <c r="D296"/>
    </row>
    <row r="297" spans="4:4" x14ac:dyDescent="0.3">
      <c r="D297"/>
    </row>
    <row r="298" spans="4:4" x14ac:dyDescent="0.3">
      <c r="D298"/>
    </row>
    <row r="299" spans="4:4" x14ac:dyDescent="0.3">
      <c r="D299"/>
    </row>
    <row r="300" spans="4:4" x14ac:dyDescent="0.3">
      <c r="D300"/>
    </row>
    <row r="301" spans="4:4" x14ac:dyDescent="0.3">
      <c r="D301"/>
    </row>
    <row r="302" spans="4:4" x14ac:dyDescent="0.3">
      <c r="D302"/>
    </row>
    <row r="303" spans="4:4" x14ac:dyDescent="0.3">
      <c r="D303"/>
    </row>
    <row r="304" spans="4:4" x14ac:dyDescent="0.3">
      <c r="D304"/>
    </row>
    <row r="305" spans="4:4" x14ac:dyDescent="0.3">
      <c r="D305"/>
    </row>
    <row r="306" spans="4:4" x14ac:dyDescent="0.3">
      <c r="D306"/>
    </row>
    <row r="307" spans="4:4" x14ac:dyDescent="0.3">
      <c r="D307"/>
    </row>
    <row r="308" spans="4:4" x14ac:dyDescent="0.3">
      <c r="D308"/>
    </row>
    <row r="309" spans="4:4" x14ac:dyDescent="0.3">
      <c r="D309"/>
    </row>
    <row r="310" spans="4:4" x14ac:dyDescent="0.3">
      <c r="D310"/>
    </row>
    <row r="311" spans="4:4" x14ac:dyDescent="0.3">
      <c r="D311"/>
    </row>
    <row r="312" spans="4:4" x14ac:dyDescent="0.3">
      <c r="D312"/>
    </row>
    <row r="313" spans="4:4" x14ac:dyDescent="0.3">
      <c r="D313"/>
    </row>
    <row r="314" spans="4:4" x14ac:dyDescent="0.3">
      <c r="D314"/>
    </row>
    <row r="315" spans="4:4" x14ac:dyDescent="0.3">
      <c r="D315"/>
    </row>
    <row r="316" spans="4:4" x14ac:dyDescent="0.3">
      <c r="D316"/>
    </row>
    <row r="317" spans="4:4" x14ac:dyDescent="0.3">
      <c r="D317"/>
    </row>
    <row r="318" spans="4:4" x14ac:dyDescent="0.3">
      <c r="D318"/>
    </row>
    <row r="319" spans="4:4" x14ac:dyDescent="0.3">
      <c r="D319"/>
    </row>
    <row r="320" spans="4:4" x14ac:dyDescent="0.3">
      <c r="D320"/>
    </row>
    <row r="321" spans="4:4" x14ac:dyDescent="0.3">
      <c r="D321"/>
    </row>
    <row r="322" spans="4:4" x14ac:dyDescent="0.3">
      <c r="D322"/>
    </row>
    <row r="323" spans="4:4" x14ac:dyDescent="0.3">
      <c r="D323"/>
    </row>
    <row r="324" spans="4:4" x14ac:dyDescent="0.3">
      <c r="D324"/>
    </row>
    <row r="325" spans="4:4" x14ac:dyDescent="0.3">
      <c r="D325"/>
    </row>
    <row r="326" spans="4:4" x14ac:dyDescent="0.3">
      <c r="D326"/>
    </row>
    <row r="327" spans="4:4" x14ac:dyDescent="0.3">
      <c r="D327"/>
    </row>
    <row r="328" spans="4:4" x14ac:dyDescent="0.3">
      <c r="D328"/>
    </row>
    <row r="329" spans="4:4" x14ac:dyDescent="0.3">
      <c r="D329"/>
    </row>
    <row r="330" spans="4:4" x14ac:dyDescent="0.3">
      <c r="D330"/>
    </row>
    <row r="331" spans="4:4" x14ac:dyDescent="0.3">
      <c r="D331"/>
    </row>
    <row r="332" spans="4:4" x14ac:dyDescent="0.3">
      <c r="D332"/>
    </row>
    <row r="333" spans="4:4" x14ac:dyDescent="0.3">
      <c r="D333"/>
    </row>
    <row r="334" spans="4:4" x14ac:dyDescent="0.3">
      <c r="D334"/>
    </row>
    <row r="335" spans="4:4" x14ac:dyDescent="0.3">
      <c r="D335"/>
    </row>
    <row r="336" spans="4:4" x14ac:dyDescent="0.3">
      <c r="D336"/>
    </row>
    <row r="337" spans="4:4" x14ac:dyDescent="0.3">
      <c r="D337"/>
    </row>
    <row r="338" spans="4:4" x14ac:dyDescent="0.3">
      <c r="D338"/>
    </row>
    <row r="339" spans="4:4" x14ac:dyDescent="0.3">
      <c r="D339"/>
    </row>
    <row r="340" spans="4:4" x14ac:dyDescent="0.3">
      <c r="D340"/>
    </row>
    <row r="341" spans="4:4" x14ac:dyDescent="0.3">
      <c r="D341"/>
    </row>
    <row r="342" spans="4:4" x14ac:dyDescent="0.3">
      <c r="D342"/>
    </row>
    <row r="343" spans="4:4" x14ac:dyDescent="0.3">
      <c r="D343"/>
    </row>
    <row r="344" spans="4:4" x14ac:dyDescent="0.3">
      <c r="D344"/>
    </row>
    <row r="345" spans="4:4" x14ac:dyDescent="0.3">
      <c r="D345"/>
    </row>
    <row r="346" spans="4:4" x14ac:dyDescent="0.3">
      <c r="D346"/>
    </row>
    <row r="347" spans="4:4" x14ac:dyDescent="0.3">
      <c r="D347"/>
    </row>
    <row r="348" spans="4:4" x14ac:dyDescent="0.3">
      <c r="D348"/>
    </row>
    <row r="349" spans="4:4" x14ac:dyDescent="0.3">
      <c r="D349"/>
    </row>
    <row r="350" spans="4:4" x14ac:dyDescent="0.3">
      <c r="D350"/>
    </row>
    <row r="351" spans="4:4" x14ac:dyDescent="0.3">
      <c r="D351"/>
    </row>
    <row r="352" spans="4:4" x14ac:dyDescent="0.3">
      <c r="D352"/>
    </row>
    <row r="353" spans="4:4" x14ac:dyDescent="0.3">
      <c r="D353"/>
    </row>
    <row r="354" spans="4:4" x14ac:dyDescent="0.3">
      <c r="D354"/>
    </row>
    <row r="355" spans="4:4" x14ac:dyDescent="0.3">
      <c r="D355"/>
    </row>
    <row r="356" spans="4:4" x14ac:dyDescent="0.3">
      <c r="D356"/>
    </row>
    <row r="357" spans="4:4" x14ac:dyDescent="0.3">
      <c r="D357"/>
    </row>
    <row r="358" spans="4:4" x14ac:dyDescent="0.3">
      <c r="D358"/>
    </row>
    <row r="359" spans="4:4" x14ac:dyDescent="0.3">
      <c r="D359"/>
    </row>
    <row r="360" spans="4:4" x14ac:dyDescent="0.3">
      <c r="D360"/>
    </row>
    <row r="361" spans="4:4" x14ac:dyDescent="0.3">
      <c r="D361"/>
    </row>
    <row r="362" spans="4:4" x14ac:dyDescent="0.3">
      <c r="D362"/>
    </row>
    <row r="363" spans="4:4" x14ac:dyDescent="0.3">
      <c r="D363"/>
    </row>
    <row r="364" spans="4:4" x14ac:dyDescent="0.3">
      <c r="D364"/>
    </row>
    <row r="365" spans="4:4" x14ac:dyDescent="0.3">
      <c r="D365"/>
    </row>
    <row r="366" spans="4:4" x14ac:dyDescent="0.3">
      <c r="D366"/>
    </row>
    <row r="367" spans="4:4" x14ac:dyDescent="0.3">
      <c r="D367"/>
    </row>
    <row r="368" spans="4:4" x14ac:dyDescent="0.3">
      <c r="D368"/>
    </row>
    <row r="369" spans="4:4" x14ac:dyDescent="0.3">
      <c r="D369"/>
    </row>
    <row r="370" spans="4:4" x14ac:dyDescent="0.3">
      <c r="D370"/>
    </row>
    <row r="371" spans="4:4" x14ac:dyDescent="0.3">
      <c r="D371"/>
    </row>
    <row r="372" spans="4:4" x14ac:dyDescent="0.3">
      <c r="D372"/>
    </row>
    <row r="373" spans="4:4" x14ac:dyDescent="0.3">
      <c r="D373"/>
    </row>
    <row r="374" spans="4:4" x14ac:dyDescent="0.3">
      <c r="D374"/>
    </row>
    <row r="375" spans="4:4" x14ac:dyDescent="0.3">
      <c r="D375"/>
    </row>
    <row r="376" spans="4:4" x14ac:dyDescent="0.3">
      <c r="D376"/>
    </row>
    <row r="377" spans="4:4" x14ac:dyDescent="0.3">
      <c r="D377"/>
    </row>
    <row r="378" spans="4:4" x14ac:dyDescent="0.3">
      <c r="D378"/>
    </row>
    <row r="379" spans="4:4" x14ac:dyDescent="0.3">
      <c r="D379"/>
    </row>
    <row r="380" spans="4:4" x14ac:dyDescent="0.3">
      <c r="D380"/>
    </row>
    <row r="381" spans="4:4" x14ac:dyDescent="0.3">
      <c r="D381"/>
    </row>
    <row r="382" spans="4:4" x14ac:dyDescent="0.3">
      <c r="D382"/>
    </row>
    <row r="383" spans="4:4" x14ac:dyDescent="0.3">
      <c r="D383"/>
    </row>
    <row r="384" spans="4:4" x14ac:dyDescent="0.3">
      <c r="D384"/>
    </row>
    <row r="385" spans="4:4" x14ac:dyDescent="0.3">
      <c r="D385"/>
    </row>
    <row r="386" spans="4:4" x14ac:dyDescent="0.3">
      <c r="D386"/>
    </row>
    <row r="387" spans="4:4" x14ac:dyDescent="0.3">
      <c r="D387"/>
    </row>
    <row r="388" spans="4:4" x14ac:dyDescent="0.3">
      <c r="D388"/>
    </row>
    <row r="389" spans="4:4" x14ac:dyDescent="0.3">
      <c r="D389"/>
    </row>
    <row r="390" spans="4:4" x14ac:dyDescent="0.3">
      <c r="D390"/>
    </row>
    <row r="391" spans="4:4" x14ac:dyDescent="0.3">
      <c r="D391"/>
    </row>
    <row r="392" spans="4:4" x14ac:dyDescent="0.3">
      <c r="D392"/>
    </row>
    <row r="393" spans="4:4" x14ac:dyDescent="0.3">
      <c r="D393"/>
    </row>
    <row r="394" spans="4:4" x14ac:dyDescent="0.3">
      <c r="D394"/>
    </row>
    <row r="395" spans="4:4" x14ac:dyDescent="0.3">
      <c r="D395"/>
    </row>
    <row r="396" spans="4:4" x14ac:dyDescent="0.3">
      <c r="D396"/>
    </row>
    <row r="397" spans="4:4" x14ac:dyDescent="0.3">
      <c r="D397"/>
    </row>
    <row r="398" spans="4:4" x14ac:dyDescent="0.3">
      <c r="D398"/>
    </row>
    <row r="399" spans="4:4" x14ac:dyDescent="0.3">
      <c r="D399"/>
    </row>
    <row r="400" spans="4:4" x14ac:dyDescent="0.3">
      <c r="D400"/>
    </row>
    <row r="401" spans="4:4" x14ac:dyDescent="0.3">
      <c r="D401"/>
    </row>
    <row r="402" spans="4:4" x14ac:dyDescent="0.3">
      <c r="D402"/>
    </row>
    <row r="403" spans="4:4" x14ac:dyDescent="0.3">
      <c r="D403"/>
    </row>
    <row r="404" spans="4:4" x14ac:dyDescent="0.3">
      <c r="D404"/>
    </row>
    <row r="405" spans="4:4" x14ac:dyDescent="0.3">
      <c r="D405"/>
    </row>
    <row r="406" spans="4:4" x14ac:dyDescent="0.3">
      <c r="D406"/>
    </row>
    <row r="407" spans="4:4" x14ac:dyDescent="0.3">
      <c r="D407"/>
    </row>
    <row r="408" spans="4:4" x14ac:dyDescent="0.3">
      <c r="D408"/>
    </row>
    <row r="409" spans="4:4" x14ac:dyDescent="0.3">
      <c r="D409"/>
    </row>
    <row r="410" spans="4:4" x14ac:dyDescent="0.3">
      <c r="D410"/>
    </row>
    <row r="411" spans="4:4" x14ac:dyDescent="0.3">
      <c r="D411"/>
    </row>
    <row r="412" spans="4:4" x14ac:dyDescent="0.3">
      <c r="D412"/>
    </row>
    <row r="413" spans="4:4" x14ac:dyDescent="0.3">
      <c r="D413"/>
    </row>
    <row r="414" spans="4:4" x14ac:dyDescent="0.3">
      <c r="D414"/>
    </row>
    <row r="415" spans="4:4" x14ac:dyDescent="0.3">
      <c r="D415"/>
    </row>
    <row r="416" spans="4:4" x14ac:dyDescent="0.3">
      <c r="D416"/>
    </row>
    <row r="417" spans="4:4" x14ac:dyDescent="0.3">
      <c r="D417"/>
    </row>
    <row r="418" spans="4:4" x14ac:dyDescent="0.3">
      <c r="D418"/>
    </row>
    <row r="419" spans="4:4" x14ac:dyDescent="0.3">
      <c r="D419"/>
    </row>
    <row r="420" spans="4:4" x14ac:dyDescent="0.3">
      <c r="D420"/>
    </row>
    <row r="421" spans="4:4" x14ac:dyDescent="0.3">
      <c r="D421"/>
    </row>
    <row r="422" spans="4:4" x14ac:dyDescent="0.3">
      <c r="D422"/>
    </row>
    <row r="423" spans="4:4" x14ac:dyDescent="0.3">
      <c r="D423"/>
    </row>
    <row r="424" spans="4:4" x14ac:dyDescent="0.3">
      <c r="D424"/>
    </row>
    <row r="425" spans="4:4" x14ac:dyDescent="0.3">
      <c r="D425"/>
    </row>
    <row r="426" spans="4:4" x14ac:dyDescent="0.3">
      <c r="D426"/>
    </row>
    <row r="427" spans="4:4" x14ac:dyDescent="0.3">
      <c r="D427"/>
    </row>
    <row r="428" spans="4:4" x14ac:dyDescent="0.3">
      <c r="D428"/>
    </row>
    <row r="429" spans="4:4" x14ac:dyDescent="0.3">
      <c r="D429"/>
    </row>
    <row r="430" spans="4:4" x14ac:dyDescent="0.3">
      <c r="D430"/>
    </row>
    <row r="431" spans="4:4" x14ac:dyDescent="0.3">
      <c r="D431"/>
    </row>
    <row r="432" spans="4:4" x14ac:dyDescent="0.3">
      <c r="D432"/>
    </row>
    <row r="433" spans="4:4" x14ac:dyDescent="0.3">
      <c r="D433"/>
    </row>
    <row r="434" spans="4:4" x14ac:dyDescent="0.3">
      <c r="D434"/>
    </row>
    <row r="435" spans="4:4" x14ac:dyDescent="0.3">
      <c r="D435"/>
    </row>
    <row r="436" spans="4:4" x14ac:dyDescent="0.3">
      <c r="D436"/>
    </row>
    <row r="437" spans="4:4" x14ac:dyDescent="0.3">
      <c r="D437"/>
    </row>
    <row r="438" spans="4:4" x14ac:dyDescent="0.3">
      <c r="D438"/>
    </row>
    <row r="439" spans="4:4" x14ac:dyDescent="0.3">
      <c r="D439"/>
    </row>
    <row r="440" spans="4:4" x14ac:dyDescent="0.3">
      <c r="D440"/>
    </row>
    <row r="441" spans="4:4" x14ac:dyDescent="0.3">
      <c r="D441"/>
    </row>
    <row r="442" spans="4:4" x14ac:dyDescent="0.3">
      <c r="D442"/>
    </row>
    <row r="443" spans="4:4" x14ac:dyDescent="0.3">
      <c r="D443"/>
    </row>
    <row r="444" spans="4:4" x14ac:dyDescent="0.3">
      <c r="D444"/>
    </row>
    <row r="445" spans="4:4" x14ac:dyDescent="0.3">
      <c r="D445"/>
    </row>
    <row r="446" spans="4:4" x14ac:dyDescent="0.3">
      <c r="D446"/>
    </row>
    <row r="447" spans="4:4" x14ac:dyDescent="0.3">
      <c r="D447"/>
    </row>
    <row r="448" spans="4:4" x14ac:dyDescent="0.3">
      <c r="D448"/>
    </row>
    <row r="449" spans="4:4" x14ac:dyDescent="0.3">
      <c r="D449"/>
    </row>
    <row r="450" spans="4:4" x14ac:dyDescent="0.3">
      <c r="D450"/>
    </row>
    <row r="451" spans="4:4" x14ac:dyDescent="0.3">
      <c r="D451"/>
    </row>
    <row r="452" spans="4:4" x14ac:dyDescent="0.3">
      <c r="D452"/>
    </row>
    <row r="453" spans="4:4" x14ac:dyDescent="0.3">
      <c r="D453"/>
    </row>
    <row r="454" spans="4:4" x14ac:dyDescent="0.3">
      <c r="D454"/>
    </row>
    <row r="455" spans="4:4" x14ac:dyDescent="0.3">
      <c r="D455"/>
    </row>
    <row r="456" spans="4:4" x14ac:dyDescent="0.3">
      <c r="D456"/>
    </row>
    <row r="457" spans="4:4" x14ac:dyDescent="0.3">
      <c r="D457"/>
    </row>
    <row r="458" spans="4:4" x14ac:dyDescent="0.3">
      <c r="D458"/>
    </row>
    <row r="459" spans="4:4" x14ac:dyDescent="0.3">
      <c r="D459"/>
    </row>
    <row r="460" spans="4:4" x14ac:dyDescent="0.3">
      <c r="D460"/>
    </row>
    <row r="461" spans="4:4" x14ac:dyDescent="0.3">
      <c r="D461"/>
    </row>
    <row r="462" spans="4:4" x14ac:dyDescent="0.3">
      <c r="D462"/>
    </row>
    <row r="463" spans="4:4" x14ac:dyDescent="0.3">
      <c r="D463"/>
    </row>
    <row r="464" spans="4:4" x14ac:dyDescent="0.3">
      <c r="D464"/>
    </row>
    <row r="465" spans="4:4" x14ac:dyDescent="0.3">
      <c r="D465"/>
    </row>
    <row r="466" spans="4:4" x14ac:dyDescent="0.3">
      <c r="D466"/>
    </row>
    <row r="467" spans="4:4" x14ac:dyDescent="0.3">
      <c r="D467"/>
    </row>
    <row r="468" spans="4:4" x14ac:dyDescent="0.3">
      <c r="D468"/>
    </row>
    <row r="469" spans="4:4" x14ac:dyDescent="0.3">
      <c r="D469"/>
    </row>
    <row r="470" spans="4:4" x14ac:dyDescent="0.3">
      <c r="D470"/>
    </row>
    <row r="471" spans="4:4" x14ac:dyDescent="0.3">
      <c r="D471"/>
    </row>
    <row r="472" spans="4:4" x14ac:dyDescent="0.3">
      <c r="D472"/>
    </row>
    <row r="473" spans="4:4" x14ac:dyDescent="0.3">
      <c r="D473"/>
    </row>
    <row r="474" spans="4:4" x14ac:dyDescent="0.3">
      <c r="D474"/>
    </row>
    <row r="475" spans="4:4" x14ac:dyDescent="0.3">
      <c r="D475"/>
    </row>
    <row r="476" spans="4:4" x14ac:dyDescent="0.3">
      <c r="D476"/>
    </row>
    <row r="477" spans="4:4" x14ac:dyDescent="0.3">
      <c r="D477"/>
    </row>
    <row r="478" spans="4:4" x14ac:dyDescent="0.3">
      <c r="D478"/>
    </row>
    <row r="479" spans="4:4" x14ac:dyDescent="0.3">
      <c r="D479"/>
    </row>
    <row r="480" spans="4:4" x14ac:dyDescent="0.3">
      <c r="D480"/>
    </row>
    <row r="481" spans="4:4" x14ac:dyDescent="0.3">
      <c r="D481"/>
    </row>
    <row r="482" spans="4:4" x14ac:dyDescent="0.3">
      <c r="D482"/>
    </row>
    <row r="483" spans="4:4" x14ac:dyDescent="0.3">
      <c r="D483"/>
    </row>
    <row r="484" spans="4:4" x14ac:dyDescent="0.3">
      <c r="D484"/>
    </row>
    <row r="485" spans="4:4" x14ac:dyDescent="0.3">
      <c r="D485"/>
    </row>
    <row r="486" spans="4:4" x14ac:dyDescent="0.3">
      <c r="D486"/>
    </row>
    <row r="487" spans="4:4" x14ac:dyDescent="0.3">
      <c r="D487"/>
    </row>
    <row r="488" spans="4:4" x14ac:dyDescent="0.3">
      <c r="D488"/>
    </row>
    <row r="489" spans="4:4" x14ac:dyDescent="0.3">
      <c r="D489"/>
    </row>
    <row r="490" spans="4:4" x14ac:dyDescent="0.3">
      <c r="D490"/>
    </row>
    <row r="491" spans="4:4" x14ac:dyDescent="0.3">
      <c r="D491"/>
    </row>
    <row r="492" spans="4:4" x14ac:dyDescent="0.3">
      <c r="D492"/>
    </row>
    <row r="493" spans="4:4" x14ac:dyDescent="0.3">
      <c r="D493"/>
    </row>
    <row r="494" spans="4:4" x14ac:dyDescent="0.3">
      <c r="D494"/>
    </row>
    <row r="495" spans="4:4" x14ac:dyDescent="0.3">
      <c r="D495"/>
    </row>
    <row r="496" spans="4:4" x14ac:dyDescent="0.3">
      <c r="D496"/>
    </row>
    <row r="497" spans="4:4" x14ac:dyDescent="0.3">
      <c r="D497"/>
    </row>
    <row r="498" spans="4:4" x14ac:dyDescent="0.3">
      <c r="D498"/>
    </row>
    <row r="499" spans="4:4" x14ac:dyDescent="0.3">
      <c r="D499"/>
    </row>
    <row r="500" spans="4:4" x14ac:dyDescent="0.3">
      <c r="D500"/>
    </row>
    <row r="501" spans="4:4" x14ac:dyDescent="0.3">
      <c r="D501"/>
    </row>
    <row r="502" spans="4:4" x14ac:dyDescent="0.3">
      <c r="D502"/>
    </row>
    <row r="503" spans="4:4" x14ac:dyDescent="0.3">
      <c r="D503"/>
    </row>
    <row r="504" spans="4:4" x14ac:dyDescent="0.3">
      <c r="D504"/>
    </row>
    <row r="505" spans="4:4" x14ac:dyDescent="0.3">
      <c r="D505"/>
    </row>
    <row r="506" spans="4:4" x14ac:dyDescent="0.3">
      <c r="D506"/>
    </row>
    <row r="507" spans="4:4" x14ac:dyDescent="0.3">
      <c r="D507"/>
    </row>
    <row r="508" spans="4:4" x14ac:dyDescent="0.3">
      <c r="D508"/>
    </row>
    <row r="509" spans="4:4" x14ac:dyDescent="0.3">
      <c r="D509"/>
    </row>
    <row r="510" spans="4:4" x14ac:dyDescent="0.3">
      <c r="D510"/>
    </row>
    <row r="511" spans="4:4" x14ac:dyDescent="0.3">
      <c r="D511"/>
    </row>
    <row r="512" spans="4:4" x14ac:dyDescent="0.3">
      <c r="D512"/>
    </row>
    <row r="513" spans="4:4" x14ac:dyDescent="0.3">
      <c r="D513"/>
    </row>
    <row r="514" spans="4:4" x14ac:dyDescent="0.3">
      <c r="D514"/>
    </row>
    <row r="515" spans="4:4" x14ac:dyDescent="0.3">
      <c r="D515"/>
    </row>
    <row r="516" spans="4:4" x14ac:dyDescent="0.3">
      <c r="D516"/>
    </row>
    <row r="517" spans="4:4" x14ac:dyDescent="0.3">
      <c r="D517"/>
    </row>
    <row r="518" spans="4:4" x14ac:dyDescent="0.3">
      <c r="D518"/>
    </row>
    <row r="519" spans="4:4" x14ac:dyDescent="0.3">
      <c r="D519"/>
    </row>
    <row r="520" spans="4:4" x14ac:dyDescent="0.3">
      <c r="D520"/>
    </row>
    <row r="521" spans="4:4" x14ac:dyDescent="0.3">
      <c r="D521"/>
    </row>
    <row r="522" spans="4:4" x14ac:dyDescent="0.3">
      <c r="D522"/>
    </row>
    <row r="523" spans="4:4" x14ac:dyDescent="0.3">
      <c r="D523"/>
    </row>
    <row r="524" spans="4:4" x14ac:dyDescent="0.3">
      <c r="D524"/>
    </row>
    <row r="525" spans="4:4" x14ac:dyDescent="0.3">
      <c r="D525"/>
    </row>
    <row r="526" spans="4:4" x14ac:dyDescent="0.3">
      <c r="D526"/>
    </row>
    <row r="527" spans="4:4" x14ac:dyDescent="0.3">
      <c r="D527"/>
    </row>
    <row r="528" spans="4:4" x14ac:dyDescent="0.3">
      <c r="D528"/>
    </row>
    <row r="529" spans="4:4" x14ac:dyDescent="0.3">
      <c r="D529"/>
    </row>
    <row r="530" spans="4:4" x14ac:dyDescent="0.3">
      <c r="D530"/>
    </row>
    <row r="531" spans="4:4" x14ac:dyDescent="0.3">
      <c r="D531"/>
    </row>
    <row r="532" spans="4:4" x14ac:dyDescent="0.3">
      <c r="D532"/>
    </row>
    <row r="533" spans="4:4" x14ac:dyDescent="0.3">
      <c r="D533"/>
    </row>
    <row r="534" spans="4:4" x14ac:dyDescent="0.3">
      <c r="D534"/>
    </row>
    <row r="535" spans="4:4" x14ac:dyDescent="0.3">
      <c r="D535"/>
    </row>
    <row r="536" spans="4:4" x14ac:dyDescent="0.3">
      <c r="D536"/>
    </row>
    <row r="537" spans="4:4" x14ac:dyDescent="0.3">
      <c r="D537"/>
    </row>
    <row r="538" spans="4:4" x14ac:dyDescent="0.3">
      <c r="D538"/>
    </row>
    <row r="539" spans="4:4" x14ac:dyDescent="0.3">
      <c r="D539"/>
    </row>
    <row r="540" spans="4:4" x14ac:dyDescent="0.3">
      <c r="D540"/>
    </row>
    <row r="541" spans="4:4" x14ac:dyDescent="0.3">
      <c r="D541"/>
    </row>
    <row r="542" spans="4:4" x14ac:dyDescent="0.3">
      <c r="D542"/>
    </row>
    <row r="543" spans="4:4" x14ac:dyDescent="0.3">
      <c r="D543"/>
    </row>
    <row r="544" spans="4:4" x14ac:dyDescent="0.3">
      <c r="D544"/>
    </row>
    <row r="545" spans="4:4" x14ac:dyDescent="0.3">
      <c r="D545"/>
    </row>
    <row r="546" spans="4:4" x14ac:dyDescent="0.3">
      <c r="D546"/>
    </row>
    <row r="547" spans="4:4" x14ac:dyDescent="0.3">
      <c r="D547"/>
    </row>
    <row r="548" spans="4:4" x14ac:dyDescent="0.3">
      <c r="D548"/>
    </row>
    <row r="549" spans="4:4" x14ac:dyDescent="0.3">
      <c r="D549"/>
    </row>
    <row r="550" spans="4:4" x14ac:dyDescent="0.3">
      <c r="D550"/>
    </row>
    <row r="551" spans="4:4" x14ac:dyDescent="0.3">
      <c r="D551"/>
    </row>
    <row r="552" spans="4:4" x14ac:dyDescent="0.3">
      <c r="D552"/>
    </row>
    <row r="553" spans="4:4" x14ac:dyDescent="0.3">
      <c r="D553"/>
    </row>
    <row r="554" spans="4:4" x14ac:dyDescent="0.3">
      <c r="D554"/>
    </row>
    <row r="555" spans="4:4" x14ac:dyDescent="0.3">
      <c r="D555"/>
    </row>
    <row r="556" spans="4:4" x14ac:dyDescent="0.3">
      <c r="D556"/>
    </row>
    <row r="557" spans="4:4" x14ac:dyDescent="0.3">
      <c r="D557"/>
    </row>
    <row r="558" spans="4:4" x14ac:dyDescent="0.3">
      <c r="D558"/>
    </row>
    <row r="559" spans="4:4" x14ac:dyDescent="0.3">
      <c r="D559"/>
    </row>
    <row r="560" spans="4:4" x14ac:dyDescent="0.3">
      <c r="D560"/>
    </row>
    <row r="561" spans="4:4" x14ac:dyDescent="0.3">
      <c r="D561"/>
    </row>
    <row r="562" spans="4:4" x14ac:dyDescent="0.3">
      <c r="D562"/>
    </row>
    <row r="563" spans="4:4" x14ac:dyDescent="0.3">
      <c r="D563"/>
    </row>
    <row r="564" spans="4:4" x14ac:dyDescent="0.3">
      <c r="D564"/>
    </row>
    <row r="565" spans="4:4" x14ac:dyDescent="0.3">
      <c r="D565"/>
    </row>
    <row r="566" spans="4:4" x14ac:dyDescent="0.3">
      <c r="D566"/>
    </row>
    <row r="567" spans="4:4" x14ac:dyDescent="0.3">
      <c r="D567"/>
    </row>
    <row r="568" spans="4:4" x14ac:dyDescent="0.3">
      <c r="D568"/>
    </row>
    <row r="569" spans="4:4" x14ac:dyDescent="0.3">
      <c r="D569"/>
    </row>
    <row r="570" spans="4:4" x14ac:dyDescent="0.3">
      <c r="D570"/>
    </row>
    <row r="571" spans="4:4" x14ac:dyDescent="0.3">
      <c r="D571"/>
    </row>
    <row r="572" spans="4:4" x14ac:dyDescent="0.3">
      <c r="D572"/>
    </row>
    <row r="573" spans="4:4" x14ac:dyDescent="0.3">
      <c r="D573"/>
    </row>
    <row r="574" spans="4:4" x14ac:dyDescent="0.3">
      <c r="D574"/>
    </row>
    <row r="575" spans="4:4" x14ac:dyDescent="0.3">
      <c r="D575"/>
    </row>
    <row r="576" spans="4:4" x14ac:dyDescent="0.3">
      <c r="D576"/>
    </row>
    <row r="577" spans="4:4" x14ac:dyDescent="0.3">
      <c r="D577"/>
    </row>
    <row r="578" spans="4:4" x14ac:dyDescent="0.3">
      <c r="D578"/>
    </row>
    <row r="579" spans="4:4" x14ac:dyDescent="0.3">
      <c r="D579"/>
    </row>
    <row r="580" spans="4:4" x14ac:dyDescent="0.3">
      <c r="D580"/>
    </row>
    <row r="581" spans="4:4" x14ac:dyDescent="0.3">
      <c r="D581"/>
    </row>
    <row r="582" spans="4:4" x14ac:dyDescent="0.3">
      <c r="D582"/>
    </row>
    <row r="583" spans="4:4" x14ac:dyDescent="0.3">
      <c r="D583"/>
    </row>
    <row r="584" spans="4:4" x14ac:dyDescent="0.3">
      <c r="D584"/>
    </row>
    <row r="585" spans="4:4" x14ac:dyDescent="0.3">
      <c r="D585"/>
    </row>
    <row r="586" spans="4:4" x14ac:dyDescent="0.3">
      <c r="D586"/>
    </row>
    <row r="587" spans="4:4" x14ac:dyDescent="0.3">
      <c r="D587"/>
    </row>
    <row r="588" spans="4:4" x14ac:dyDescent="0.3">
      <c r="D588"/>
    </row>
    <row r="589" spans="4:4" x14ac:dyDescent="0.3">
      <c r="D589"/>
    </row>
    <row r="590" spans="4:4" x14ac:dyDescent="0.3">
      <c r="D590"/>
    </row>
    <row r="591" spans="4:4" x14ac:dyDescent="0.3">
      <c r="D591"/>
    </row>
    <row r="592" spans="4:4" x14ac:dyDescent="0.3">
      <c r="D592"/>
    </row>
    <row r="593" spans="4:4" x14ac:dyDescent="0.3">
      <c r="D593"/>
    </row>
    <row r="594" spans="4:4" x14ac:dyDescent="0.3">
      <c r="D594"/>
    </row>
    <row r="595" spans="4:4" x14ac:dyDescent="0.3">
      <c r="D595"/>
    </row>
    <row r="596" spans="4:4" x14ac:dyDescent="0.3">
      <c r="D596"/>
    </row>
    <row r="597" spans="4:4" x14ac:dyDescent="0.3">
      <c r="D597"/>
    </row>
    <row r="598" spans="4:4" x14ac:dyDescent="0.3">
      <c r="D598"/>
    </row>
    <row r="599" spans="4:4" x14ac:dyDescent="0.3">
      <c r="D599"/>
    </row>
    <row r="600" spans="4:4" x14ac:dyDescent="0.3">
      <c r="D600"/>
    </row>
    <row r="601" spans="4:4" x14ac:dyDescent="0.3">
      <c r="D601"/>
    </row>
    <row r="602" spans="4:4" x14ac:dyDescent="0.3">
      <c r="D602"/>
    </row>
    <row r="603" spans="4:4" x14ac:dyDescent="0.3">
      <c r="D603"/>
    </row>
    <row r="604" spans="4:4" x14ac:dyDescent="0.3">
      <c r="D604"/>
    </row>
    <row r="605" spans="4:4" x14ac:dyDescent="0.3">
      <c r="D605"/>
    </row>
    <row r="606" spans="4:4" x14ac:dyDescent="0.3">
      <c r="D606"/>
    </row>
    <row r="607" spans="4:4" x14ac:dyDescent="0.3">
      <c r="D607"/>
    </row>
    <row r="608" spans="4:4" x14ac:dyDescent="0.3">
      <c r="D608"/>
    </row>
    <row r="609" spans="4:4" x14ac:dyDescent="0.3">
      <c r="D609"/>
    </row>
    <row r="610" spans="4:4" x14ac:dyDescent="0.3">
      <c r="D610"/>
    </row>
    <row r="611" spans="4:4" x14ac:dyDescent="0.3">
      <c r="D611"/>
    </row>
    <row r="612" spans="4:4" x14ac:dyDescent="0.3">
      <c r="D612"/>
    </row>
    <row r="613" spans="4:4" x14ac:dyDescent="0.3">
      <c r="D613"/>
    </row>
    <row r="614" spans="4:4" x14ac:dyDescent="0.3">
      <c r="D614"/>
    </row>
    <row r="615" spans="4:4" x14ac:dyDescent="0.3">
      <c r="D615"/>
    </row>
    <row r="616" spans="4:4" x14ac:dyDescent="0.3">
      <c r="D616"/>
    </row>
    <row r="617" spans="4:4" x14ac:dyDescent="0.3">
      <c r="D617"/>
    </row>
    <row r="618" spans="4:4" x14ac:dyDescent="0.3">
      <c r="D618"/>
    </row>
    <row r="619" spans="4:4" x14ac:dyDescent="0.3">
      <c r="D619"/>
    </row>
    <row r="620" spans="4:4" x14ac:dyDescent="0.3">
      <c r="D620"/>
    </row>
    <row r="621" spans="4:4" x14ac:dyDescent="0.3">
      <c r="D621"/>
    </row>
    <row r="622" spans="4:4" x14ac:dyDescent="0.3">
      <c r="D622"/>
    </row>
    <row r="623" spans="4:4" x14ac:dyDescent="0.3">
      <c r="D623"/>
    </row>
    <row r="624" spans="4:4" x14ac:dyDescent="0.3">
      <c r="D624"/>
    </row>
    <row r="625" spans="4:4" x14ac:dyDescent="0.3">
      <c r="D625"/>
    </row>
    <row r="626" spans="4:4" x14ac:dyDescent="0.3">
      <c r="D626"/>
    </row>
    <row r="627" spans="4:4" x14ac:dyDescent="0.3">
      <c r="D627"/>
    </row>
    <row r="628" spans="4:4" x14ac:dyDescent="0.3">
      <c r="D628"/>
    </row>
    <row r="629" spans="4:4" x14ac:dyDescent="0.3">
      <c r="D629"/>
    </row>
    <row r="630" spans="4:4" x14ac:dyDescent="0.3">
      <c r="D630"/>
    </row>
    <row r="631" spans="4:4" x14ac:dyDescent="0.3">
      <c r="D631"/>
    </row>
    <row r="632" spans="4:4" x14ac:dyDescent="0.3">
      <c r="D632"/>
    </row>
    <row r="633" spans="4:4" x14ac:dyDescent="0.3">
      <c r="D633"/>
    </row>
    <row r="634" spans="4:4" x14ac:dyDescent="0.3">
      <c r="D634"/>
    </row>
    <row r="635" spans="4:4" x14ac:dyDescent="0.3">
      <c r="D635"/>
    </row>
    <row r="636" spans="4:4" x14ac:dyDescent="0.3">
      <c r="D636"/>
    </row>
    <row r="637" spans="4:4" x14ac:dyDescent="0.3">
      <c r="D637"/>
    </row>
    <row r="638" spans="4:4" x14ac:dyDescent="0.3">
      <c r="D638"/>
    </row>
    <row r="639" spans="4:4" x14ac:dyDescent="0.3">
      <c r="D639"/>
    </row>
    <row r="640" spans="4:4" x14ac:dyDescent="0.3">
      <c r="D640"/>
    </row>
    <row r="641" spans="4:4" x14ac:dyDescent="0.3">
      <c r="D641"/>
    </row>
    <row r="642" spans="4:4" x14ac:dyDescent="0.3">
      <c r="D642"/>
    </row>
    <row r="643" spans="4:4" x14ac:dyDescent="0.3">
      <c r="D643"/>
    </row>
    <row r="644" spans="4:4" x14ac:dyDescent="0.3">
      <c r="D644"/>
    </row>
    <row r="645" spans="4:4" x14ac:dyDescent="0.3">
      <c r="D645"/>
    </row>
    <row r="646" spans="4:4" x14ac:dyDescent="0.3">
      <c r="D646"/>
    </row>
    <row r="647" spans="4:4" x14ac:dyDescent="0.3">
      <c r="D647"/>
    </row>
    <row r="648" spans="4:4" x14ac:dyDescent="0.3">
      <c r="D648"/>
    </row>
    <row r="649" spans="4:4" x14ac:dyDescent="0.3">
      <c r="D649"/>
    </row>
    <row r="650" spans="4:4" x14ac:dyDescent="0.3">
      <c r="D650"/>
    </row>
    <row r="651" spans="4:4" x14ac:dyDescent="0.3">
      <c r="D651"/>
    </row>
    <row r="652" spans="4:4" x14ac:dyDescent="0.3">
      <c r="D652"/>
    </row>
    <row r="653" spans="4:4" x14ac:dyDescent="0.3">
      <c r="D653"/>
    </row>
    <row r="654" spans="4:4" x14ac:dyDescent="0.3">
      <c r="D654"/>
    </row>
    <row r="655" spans="4:4" x14ac:dyDescent="0.3">
      <c r="D655"/>
    </row>
    <row r="656" spans="4:4" x14ac:dyDescent="0.3">
      <c r="D656"/>
    </row>
    <row r="657" spans="4:4" x14ac:dyDescent="0.3">
      <c r="D657"/>
    </row>
    <row r="658" spans="4:4" x14ac:dyDescent="0.3">
      <c r="D658"/>
    </row>
    <row r="659" spans="4:4" x14ac:dyDescent="0.3">
      <c r="D659"/>
    </row>
    <row r="660" spans="4:4" x14ac:dyDescent="0.3">
      <c r="D660"/>
    </row>
    <row r="661" spans="4:4" x14ac:dyDescent="0.3">
      <c r="D661"/>
    </row>
    <row r="662" spans="4:4" x14ac:dyDescent="0.3">
      <c r="D662"/>
    </row>
    <row r="663" spans="4:4" x14ac:dyDescent="0.3">
      <c r="D663"/>
    </row>
    <row r="664" spans="4:4" x14ac:dyDescent="0.3">
      <c r="D664"/>
    </row>
    <row r="665" spans="4:4" x14ac:dyDescent="0.3">
      <c r="D665"/>
    </row>
    <row r="666" spans="4:4" x14ac:dyDescent="0.3">
      <c r="D666"/>
    </row>
    <row r="667" spans="4:4" x14ac:dyDescent="0.3">
      <c r="D667"/>
    </row>
    <row r="668" spans="4:4" x14ac:dyDescent="0.3">
      <c r="D668"/>
    </row>
    <row r="669" spans="4:4" x14ac:dyDescent="0.3">
      <c r="D669"/>
    </row>
    <row r="670" spans="4:4" x14ac:dyDescent="0.3">
      <c r="D670"/>
    </row>
    <row r="671" spans="4:4" x14ac:dyDescent="0.3">
      <c r="D671"/>
    </row>
    <row r="672" spans="4:4" x14ac:dyDescent="0.3">
      <c r="D672"/>
    </row>
    <row r="673" spans="4:4" x14ac:dyDescent="0.3">
      <c r="D673"/>
    </row>
    <row r="674" spans="4:4" x14ac:dyDescent="0.3">
      <c r="D674"/>
    </row>
    <row r="675" spans="4:4" x14ac:dyDescent="0.3">
      <c r="D675"/>
    </row>
    <row r="676" spans="4:4" x14ac:dyDescent="0.3">
      <c r="D676"/>
    </row>
    <row r="677" spans="4:4" x14ac:dyDescent="0.3">
      <c r="D677"/>
    </row>
    <row r="678" spans="4:4" x14ac:dyDescent="0.3">
      <c r="D678"/>
    </row>
    <row r="679" spans="4:4" x14ac:dyDescent="0.3">
      <c r="D679"/>
    </row>
    <row r="680" spans="4:4" x14ac:dyDescent="0.3">
      <c r="D680"/>
    </row>
    <row r="681" spans="4:4" x14ac:dyDescent="0.3">
      <c r="D681"/>
    </row>
    <row r="682" spans="4:4" x14ac:dyDescent="0.3">
      <c r="D682"/>
    </row>
    <row r="683" spans="4:4" x14ac:dyDescent="0.3">
      <c r="D683"/>
    </row>
    <row r="684" spans="4:4" x14ac:dyDescent="0.3">
      <c r="D684"/>
    </row>
    <row r="685" spans="4:4" x14ac:dyDescent="0.3">
      <c r="D685"/>
    </row>
    <row r="686" spans="4:4" x14ac:dyDescent="0.3">
      <c r="D686"/>
    </row>
    <row r="687" spans="4:4" x14ac:dyDescent="0.3">
      <c r="D687"/>
    </row>
    <row r="688" spans="4:4" x14ac:dyDescent="0.3">
      <c r="D688"/>
    </row>
    <row r="689" spans="4:4" x14ac:dyDescent="0.3">
      <c r="D689"/>
    </row>
    <row r="690" spans="4:4" x14ac:dyDescent="0.3">
      <c r="D690"/>
    </row>
    <row r="691" spans="4:4" x14ac:dyDescent="0.3">
      <c r="D691"/>
    </row>
    <row r="692" spans="4:4" x14ac:dyDescent="0.3">
      <c r="D692"/>
    </row>
    <row r="693" spans="4:4" x14ac:dyDescent="0.3">
      <c r="D693"/>
    </row>
    <row r="694" spans="4:4" x14ac:dyDescent="0.3">
      <c r="D694"/>
    </row>
    <row r="695" spans="4:4" x14ac:dyDescent="0.3">
      <c r="D695"/>
    </row>
    <row r="696" spans="4:4" x14ac:dyDescent="0.3">
      <c r="D696"/>
    </row>
    <row r="697" spans="4:4" x14ac:dyDescent="0.3">
      <c r="D697"/>
    </row>
    <row r="698" spans="4:4" x14ac:dyDescent="0.3">
      <c r="D698"/>
    </row>
    <row r="699" spans="4:4" x14ac:dyDescent="0.3">
      <c r="D699"/>
    </row>
    <row r="700" spans="4:4" x14ac:dyDescent="0.3">
      <c r="D700"/>
    </row>
    <row r="701" spans="4:4" x14ac:dyDescent="0.3">
      <c r="D701"/>
    </row>
    <row r="702" spans="4:4" x14ac:dyDescent="0.3">
      <c r="D702"/>
    </row>
    <row r="703" spans="4:4" x14ac:dyDescent="0.3">
      <c r="D703"/>
    </row>
    <row r="704" spans="4:4" x14ac:dyDescent="0.3">
      <c r="D704"/>
    </row>
    <row r="705" spans="4:4" x14ac:dyDescent="0.3">
      <c r="D705"/>
    </row>
    <row r="706" spans="4:4" x14ac:dyDescent="0.3">
      <c r="D706"/>
    </row>
    <row r="707" spans="4:4" x14ac:dyDescent="0.3">
      <c r="D707"/>
    </row>
    <row r="708" spans="4:4" x14ac:dyDescent="0.3">
      <c r="D708"/>
    </row>
    <row r="709" spans="4:4" x14ac:dyDescent="0.3">
      <c r="D709"/>
    </row>
    <row r="710" spans="4:4" x14ac:dyDescent="0.3">
      <c r="D710"/>
    </row>
    <row r="711" spans="4:4" x14ac:dyDescent="0.3">
      <c r="D711"/>
    </row>
    <row r="712" spans="4:4" x14ac:dyDescent="0.3">
      <c r="D712"/>
    </row>
    <row r="713" spans="4:4" x14ac:dyDescent="0.3">
      <c r="D713"/>
    </row>
    <row r="714" spans="4:4" x14ac:dyDescent="0.3">
      <c r="D714"/>
    </row>
    <row r="715" spans="4:4" x14ac:dyDescent="0.3">
      <c r="D715"/>
    </row>
    <row r="716" spans="4:4" x14ac:dyDescent="0.3">
      <c r="D716"/>
    </row>
    <row r="717" spans="4:4" x14ac:dyDescent="0.3">
      <c r="D717"/>
    </row>
    <row r="718" spans="4:4" x14ac:dyDescent="0.3">
      <c r="D718"/>
    </row>
    <row r="719" spans="4:4" x14ac:dyDescent="0.3">
      <c r="D719"/>
    </row>
    <row r="720" spans="4:4" x14ac:dyDescent="0.3">
      <c r="D720"/>
    </row>
    <row r="721" spans="4:4" x14ac:dyDescent="0.3">
      <c r="D721"/>
    </row>
    <row r="722" spans="4:4" x14ac:dyDescent="0.3">
      <c r="D722"/>
    </row>
    <row r="723" spans="4:4" x14ac:dyDescent="0.3">
      <c r="D723"/>
    </row>
    <row r="724" spans="4:4" x14ac:dyDescent="0.3">
      <c r="D724"/>
    </row>
    <row r="725" spans="4:4" x14ac:dyDescent="0.3">
      <c r="D725"/>
    </row>
    <row r="726" spans="4:4" x14ac:dyDescent="0.3">
      <c r="D726"/>
    </row>
    <row r="727" spans="4:4" x14ac:dyDescent="0.3">
      <c r="D727"/>
    </row>
    <row r="728" spans="4:4" x14ac:dyDescent="0.3">
      <c r="D728"/>
    </row>
    <row r="729" spans="4:4" x14ac:dyDescent="0.3">
      <c r="D729"/>
    </row>
    <row r="730" spans="4:4" x14ac:dyDescent="0.3">
      <c r="D730"/>
    </row>
    <row r="731" spans="4:4" x14ac:dyDescent="0.3">
      <c r="D731"/>
    </row>
    <row r="732" spans="4:4" x14ac:dyDescent="0.3">
      <c r="D732"/>
    </row>
    <row r="733" spans="4:4" x14ac:dyDescent="0.3">
      <c r="D733"/>
    </row>
    <row r="734" spans="4:4" x14ac:dyDescent="0.3">
      <c r="D734"/>
    </row>
    <row r="735" spans="4:4" x14ac:dyDescent="0.3">
      <c r="D735"/>
    </row>
    <row r="736" spans="4:4" x14ac:dyDescent="0.3">
      <c r="D736"/>
    </row>
    <row r="737" spans="4:4" x14ac:dyDescent="0.3">
      <c r="D737"/>
    </row>
    <row r="738" spans="4:4" x14ac:dyDescent="0.3">
      <c r="D738"/>
    </row>
    <row r="739" spans="4:4" x14ac:dyDescent="0.3">
      <c r="D739"/>
    </row>
    <row r="740" spans="4:4" x14ac:dyDescent="0.3">
      <c r="D740"/>
    </row>
    <row r="741" spans="4:4" x14ac:dyDescent="0.3">
      <c r="D741"/>
    </row>
    <row r="742" spans="4:4" x14ac:dyDescent="0.3">
      <c r="D742"/>
    </row>
    <row r="743" spans="4:4" x14ac:dyDescent="0.3">
      <c r="D743"/>
    </row>
    <row r="744" spans="4:4" x14ac:dyDescent="0.3">
      <c r="D744"/>
    </row>
    <row r="745" spans="4:4" x14ac:dyDescent="0.3">
      <c r="D745"/>
    </row>
    <row r="746" spans="4:4" x14ac:dyDescent="0.3">
      <c r="D746"/>
    </row>
    <row r="747" spans="4:4" x14ac:dyDescent="0.3">
      <c r="D747"/>
    </row>
    <row r="748" spans="4:4" x14ac:dyDescent="0.3">
      <c r="D748"/>
    </row>
    <row r="749" spans="4:4" x14ac:dyDescent="0.3">
      <c r="D749"/>
    </row>
    <row r="750" spans="4:4" x14ac:dyDescent="0.3">
      <c r="D750"/>
    </row>
    <row r="751" spans="4:4" x14ac:dyDescent="0.3">
      <c r="D751"/>
    </row>
    <row r="752" spans="4:4" x14ac:dyDescent="0.3">
      <c r="D752"/>
    </row>
    <row r="753" spans="4:4" x14ac:dyDescent="0.3">
      <c r="D753"/>
    </row>
    <row r="754" spans="4:4" x14ac:dyDescent="0.3">
      <c r="D754"/>
    </row>
    <row r="755" spans="4:4" x14ac:dyDescent="0.3">
      <c r="D755"/>
    </row>
    <row r="756" spans="4:4" x14ac:dyDescent="0.3">
      <c r="D756"/>
    </row>
    <row r="757" spans="4:4" x14ac:dyDescent="0.3">
      <c r="D757"/>
    </row>
    <row r="758" spans="4:4" x14ac:dyDescent="0.3">
      <c r="D758"/>
    </row>
    <row r="759" spans="4:4" x14ac:dyDescent="0.3">
      <c r="D759"/>
    </row>
    <row r="760" spans="4:4" x14ac:dyDescent="0.3">
      <c r="D760"/>
    </row>
    <row r="761" spans="4:4" x14ac:dyDescent="0.3">
      <c r="D761"/>
    </row>
    <row r="762" spans="4:4" x14ac:dyDescent="0.3">
      <c r="D762"/>
    </row>
    <row r="763" spans="4:4" x14ac:dyDescent="0.3">
      <c r="D763"/>
    </row>
    <row r="764" spans="4:4" x14ac:dyDescent="0.3">
      <c r="D764"/>
    </row>
    <row r="765" spans="4:4" x14ac:dyDescent="0.3">
      <c r="D765"/>
    </row>
    <row r="766" spans="4:4" x14ac:dyDescent="0.3">
      <c r="D766"/>
    </row>
    <row r="767" spans="4:4" x14ac:dyDescent="0.3">
      <c r="D767"/>
    </row>
    <row r="768" spans="4:4" x14ac:dyDescent="0.3">
      <c r="D768"/>
    </row>
    <row r="769" spans="4:4" x14ac:dyDescent="0.3">
      <c r="D769"/>
    </row>
    <row r="770" spans="4:4" x14ac:dyDescent="0.3">
      <c r="D770"/>
    </row>
    <row r="771" spans="4:4" x14ac:dyDescent="0.3">
      <c r="D771"/>
    </row>
    <row r="772" spans="4:4" x14ac:dyDescent="0.3">
      <c r="D772"/>
    </row>
    <row r="773" spans="4:4" x14ac:dyDescent="0.3">
      <c r="D773"/>
    </row>
    <row r="774" spans="4:4" x14ac:dyDescent="0.3">
      <c r="D774"/>
    </row>
    <row r="775" spans="4:4" x14ac:dyDescent="0.3">
      <c r="D775"/>
    </row>
    <row r="776" spans="4:4" x14ac:dyDescent="0.3">
      <c r="D776"/>
    </row>
    <row r="777" spans="4:4" x14ac:dyDescent="0.3">
      <c r="D777"/>
    </row>
    <row r="778" spans="4:4" x14ac:dyDescent="0.3">
      <c r="D778"/>
    </row>
    <row r="779" spans="4:4" x14ac:dyDescent="0.3">
      <c r="D779"/>
    </row>
    <row r="780" spans="4:4" x14ac:dyDescent="0.3">
      <c r="D780"/>
    </row>
    <row r="781" spans="4:4" x14ac:dyDescent="0.3">
      <c r="D781"/>
    </row>
    <row r="782" spans="4:4" x14ac:dyDescent="0.3">
      <c r="D782"/>
    </row>
    <row r="783" spans="4:4" x14ac:dyDescent="0.3">
      <c r="D783"/>
    </row>
    <row r="784" spans="4:4" x14ac:dyDescent="0.3">
      <c r="D784"/>
    </row>
    <row r="785" spans="4:4" x14ac:dyDescent="0.3">
      <c r="D785"/>
    </row>
    <row r="786" spans="4:4" x14ac:dyDescent="0.3">
      <c r="D786"/>
    </row>
    <row r="787" spans="4:4" x14ac:dyDescent="0.3">
      <c r="D787"/>
    </row>
    <row r="788" spans="4:4" x14ac:dyDescent="0.3">
      <c r="D788"/>
    </row>
    <row r="789" spans="4:4" x14ac:dyDescent="0.3">
      <c r="D789"/>
    </row>
    <row r="790" spans="4:4" x14ac:dyDescent="0.3">
      <c r="D790"/>
    </row>
    <row r="791" spans="4:4" x14ac:dyDescent="0.3">
      <c r="D791"/>
    </row>
    <row r="792" spans="4:4" x14ac:dyDescent="0.3">
      <c r="D792"/>
    </row>
    <row r="793" spans="4:4" x14ac:dyDescent="0.3">
      <c r="D793"/>
    </row>
    <row r="794" spans="4:4" x14ac:dyDescent="0.3">
      <c r="D794"/>
    </row>
    <row r="795" spans="4:4" x14ac:dyDescent="0.3">
      <c r="D795"/>
    </row>
    <row r="796" spans="4:4" x14ac:dyDescent="0.3">
      <c r="D796"/>
    </row>
    <row r="797" spans="4:4" x14ac:dyDescent="0.3">
      <c r="D797"/>
    </row>
    <row r="798" spans="4:4" x14ac:dyDescent="0.3">
      <c r="D798"/>
    </row>
    <row r="799" spans="4:4" x14ac:dyDescent="0.3">
      <c r="D799"/>
    </row>
    <row r="800" spans="4:4" x14ac:dyDescent="0.3">
      <c r="D800"/>
    </row>
    <row r="801" spans="4:4" x14ac:dyDescent="0.3">
      <c r="D801"/>
    </row>
    <row r="802" spans="4:4" x14ac:dyDescent="0.3">
      <c r="D802"/>
    </row>
    <row r="803" spans="4:4" x14ac:dyDescent="0.3">
      <c r="D803"/>
    </row>
    <row r="804" spans="4:4" x14ac:dyDescent="0.3">
      <c r="D804"/>
    </row>
    <row r="805" spans="4:4" x14ac:dyDescent="0.3">
      <c r="D805"/>
    </row>
    <row r="806" spans="4:4" x14ac:dyDescent="0.3">
      <c r="D806"/>
    </row>
    <row r="807" spans="4:4" x14ac:dyDescent="0.3">
      <c r="D807"/>
    </row>
    <row r="808" spans="4:4" x14ac:dyDescent="0.3">
      <c r="D808"/>
    </row>
    <row r="809" spans="4:4" x14ac:dyDescent="0.3">
      <c r="D809"/>
    </row>
    <row r="810" spans="4:4" x14ac:dyDescent="0.3">
      <c r="D810"/>
    </row>
    <row r="811" spans="4:4" x14ac:dyDescent="0.3">
      <c r="D811"/>
    </row>
    <row r="812" spans="4:4" x14ac:dyDescent="0.3">
      <c r="D812"/>
    </row>
    <row r="813" spans="4:4" x14ac:dyDescent="0.3">
      <c r="D813"/>
    </row>
    <row r="814" spans="4:4" x14ac:dyDescent="0.3">
      <c r="D814"/>
    </row>
    <row r="815" spans="4:4" x14ac:dyDescent="0.3">
      <c r="D815"/>
    </row>
    <row r="816" spans="4:4" x14ac:dyDescent="0.3">
      <c r="D816"/>
    </row>
    <row r="817" spans="4:4" x14ac:dyDescent="0.3">
      <c r="D817"/>
    </row>
    <row r="818" spans="4:4" x14ac:dyDescent="0.3">
      <c r="D818"/>
    </row>
    <row r="819" spans="4:4" x14ac:dyDescent="0.3">
      <c r="D819"/>
    </row>
    <row r="820" spans="4:4" x14ac:dyDescent="0.3">
      <c r="D820"/>
    </row>
    <row r="821" spans="4:4" x14ac:dyDescent="0.3">
      <c r="D821"/>
    </row>
    <row r="822" spans="4:4" x14ac:dyDescent="0.3">
      <c r="D822"/>
    </row>
    <row r="823" spans="4:4" x14ac:dyDescent="0.3">
      <c r="D823"/>
    </row>
    <row r="824" spans="4:4" x14ac:dyDescent="0.3">
      <c r="D824"/>
    </row>
    <row r="825" spans="4:4" x14ac:dyDescent="0.3">
      <c r="D825"/>
    </row>
    <row r="826" spans="4:4" x14ac:dyDescent="0.3">
      <c r="D826"/>
    </row>
    <row r="827" spans="4:4" x14ac:dyDescent="0.3">
      <c r="D827"/>
    </row>
    <row r="828" spans="4:4" x14ac:dyDescent="0.3">
      <c r="D828"/>
    </row>
    <row r="829" spans="4:4" x14ac:dyDescent="0.3">
      <c r="D829"/>
    </row>
    <row r="830" spans="4:4" x14ac:dyDescent="0.3">
      <c r="D830"/>
    </row>
    <row r="831" spans="4:4" x14ac:dyDescent="0.3">
      <c r="D831"/>
    </row>
    <row r="832" spans="4:4" x14ac:dyDescent="0.3">
      <c r="D832"/>
    </row>
    <row r="833" spans="4:4" x14ac:dyDescent="0.3">
      <c r="D833"/>
    </row>
    <row r="834" spans="4:4" x14ac:dyDescent="0.3">
      <c r="D834"/>
    </row>
    <row r="835" spans="4:4" x14ac:dyDescent="0.3">
      <c r="D835"/>
    </row>
    <row r="836" spans="4:4" x14ac:dyDescent="0.3">
      <c r="D836"/>
    </row>
    <row r="837" spans="4:4" x14ac:dyDescent="0.3">
      <c r="D837"/>
    </row>
    <row r="838" spans="4:4" x14ac:dyDescent="0.3">
      <c r="D838"/>
    </row>
    <row r="839" spans="4:4" x14ac:dyDescent="0.3">
      <c r="D839"/>
    </row>
    <row r="840" spans="4:4" x14ac:dyDescent="0.3">
      <c r="D840"/>
    </row>
    <row r="841" spans="4:4" x14ac:dyDescent="0.3">
      <c r="D841"/>
    </row>
    <row r="842" spans="4:4" x14ac:dyDescent="0.3">
      <c r="D842"/>
    </row>
    <row r="843" spans="4:4" x14ac:dyDescent="0.3">
      <c r="D843"/>
    </row>
    <row r="844" spans="4:4" x14ac:dyDescent="0.3">
      <c r="D844"/>
    </row>
    <row r="845" spans="4:4" x14ac:dyDescent="0.3">
      <c r="D845"/>
    </row>
    <row r="846" spans="4:4" x14ac:dyDescent="0.3">
      <c r="D846"/>
    </row>
    <row r="847" spans="4:4" x14ac:dyDescent="0.3">
      <c r="D847"/>
    </row>
    <row r="848" spans="4:4" x14ac:dyDescent="0.3">
      <c r="D848"/>
    </row>
    <row r="849" spans="4:4" x14ac:dyDescent="0.3">
      <c r="D849"/>
    </row>
    <row r="850" spans="4:4" x14ac:dyDescent="0.3">
      <c r="D850"/>
    </row>
    <row r="851" spans="4:4" x14ac:dyDescent="0.3">
      <c r="D851"/>
    </row>
    <row r="852" spans="4:4" x14ac:dyDescent="0.3">
      <c r="D852"/>
    </row>
    <row r="853" spans="4:4" x14ac:dyDescent="0.3">
      <c r="D853"/>
    </row>
    <row r="854" spans="4:4" x14ac:dyDescent="0.3">
      <c r="D854"/>
    </row>
    <row r="855" spans="4:4" x14ac:dyDescent="0.3">
      <c r="D855"/>
    </row>
    <row r="856" spans="4:4" x14ac:dyDescent="0.3">
      <c r="D856"/>
    </row>
    <row r="857" spans="4:4" x14ac:dyDescent="0.3">
      <c r="D857"/>
    </row>
    <row r="858" spans="4:4" x14ac:dyDescent="0.3">
      <c r="D858"/>
    </row>
    <row r="859" spans="4:4" x14ac:dyDescent="0.3">
      <c r="D859"/>
    </row>
    <row r="860" spans="4:4" x14ac:dyDescent="0.3">
      <c r="D860"/>
    </row>
    <row r="861" spans="4:4" x14ac:dyDescent="0.3">
      <c r="D861"/>
    </row>
    <row r="862" spans="4:4" x14ac:dyDescent="0.3">
      <c r="D862"/>
    </row>
    <row r="863" spans="4:4" x14ac:dyDescent="0.3">
      <c r="D863"/>
    </row>
    <row r="864" spans="4:4" x14ac:dyDescent="0.3">
      <c r="D864"/>
    </row>
    <row r="865" spans="4:4" x14ac:dyDescent="0.3">
      <c r="D865"/>
    </row>
    <row r="866" spans="4:4" x14ac:dyDescent="0.3">
      <c r="D866"/>
    </row>
    <row r="867" spans="4:4" x14ac:dyDescent="0.3">
      <c r="D867"/>
    </row>
    <row r="868" spans="4:4" x14ac:dyDescent="0.3">
      <c r="D868"/>
    </row>
    <row r="869" spans="4:4" x14ac:dyDescent="0.3">
      <c r="D869"/>
    </row>
    <row r="870" spans="4:4" x14ac:dyDescent="0.3">
      <c r="D870"/>
    </row>
    <row r="871" spans="4:4" x14ac:dyDescent="0.3">
      <c r="D871"/>
    </row>
    <row r="872" spans="4:4" x14ac:dyDescent="0.3">
      <c r="D872"/>
    </row>
    <row r="873" spans="4:4" x14ac:dyDescent="0.3">
      <c r="D873"/>
    </row>
    <row r="874" spans="4:4" x14ac:dyDescent="0.3">
      <c r="D874"/>
    </row>
    <row r="875" spans="4:4" x14ac:dyDescent="0.3">
      <c r="D875"/>
    </row>
    <row r="876" spans="4:4" x14ac:dyDescent="0.3">
      <c r="D876"/>
    </row>
    <row r="877" spans="4:4" x14ac:dyDescent="0.3">
      <c r="D877"/>
    </row>
    <row r="878" spans="4:4" x14ac:dyDescent="0.3">
      <c r="D878"/>
    </row>
    <row r="879" spans="4:4" x14ac:dyDescent="0.3">
      <c r="D879"/>
    </row>
    <row r="880" spans="4:4" x14ac:dyDescent="0.3">
      <c r="D880"/>
    </row>
    <row r="881" spans="4:4" x14ac:dyDescent="0.3">
      <c r="D881"/>
    </row>
    <row r="882" spans="4:4" x14ac:dyDescent="0.3">
      <c r="D882"/>
    </row>
    <row r="883" spans="4:4" x14ac:dyDescent="0.3">
      <c r="D883"/>
    </row>
    <row r="884" spans="4:4" x14ac:dyDescent="0.3">
      <c r="D884"/>
    </row>
    <row r="885" spans="4:4" x14ac:dyDescent="0.3">
      <c r="D885"/>
    </row>
    <row r="886" spans="4:4" x14ac:dyDescent="0.3">
      <c r="D886"/>
    </row>
    <row r="887" spans="4:4" x14ac:dyDescent="0.3">
      <c r="D887"/>
    </row>
    <row r="888" spans="4:4" x14ac:dyDescent="0.3">
      <c r="D888"/>
    </row>
    <row r="889" spans="4:4" x14ac:dyDescent="0.3">
      <c r="D889"/>
    </row>
    <row r="890" spans="4:4" x14ac:dyDescent="0.3">
      <c r="D890"/>
    </row>
    <row r="891" spans="4:4" x14ac:dyDescent="0.3">
      <c r="D891"/>
    </row>
    <row r="892" spans="4:4" x14ac:dyDescent="0.3">
      <c r="D892"/>
    </row>
    <row r="893" spans="4:4" x14ac:dyDescent="0.3">
      <c r="D893"/>
    </row>
    <row r="894" spans="4:4" x14ac:dyDescent="0.3">
      <c r="D894"/>
    </row>
    <row r="895" spans="4:4" x14ac:dyDescent="0.3">
      <c r="D895"/>
    </row>
    <row r="896" spans="4:4" x14ac:dyDescent="0.3">
      <c r="D896"/>
    </row>
    <row r="897" spans="4:4" x14ac:dyDescent="0.3">
      <c r="D897"/>
    </row>
    <row r="898" spans="4:4" x14ac:dyDescent="0.3">
      <c r="D898"/>
    </row>
    <row r="899" spans="4:4" x14ac:dyDescent="0.3">
      <c r="D899"/>
    </row>
    <row r="900" spans="4:4" x14ac:dyDescent="0.3">
      <c r="D900"/>
    </row>
    <row r="901" spans="4:4" x14ac:dyDescent="0.3">
      <c r="D901"/>
    </row>
    <row r="902" spans="4:4" x14ac:dyDescent="0.3">
      <c r="D902"/>
    </row>
    <row r="903" spans="4:4" x14ac:dyDescent="0.3">
      <c r="D903"/>
    </row>
    <row r="904" spans="4:4" x14ac:dyDescent="0.3">
      <c r="D904"/>
    </row>
    <row r="905" spans="4:4" x14ac:dyDescent="0.3">
      <c r="D905"/>
    </row>
    <row r="906" spans="4:4" x14ac:dyDescent="0.3">
      <c r="D906"/>
    </row>
    <row r="907" spans="4:4" x14ac:dyDescent="0.3">
      <c r="D907"/>
    </row>
    <row r="908" spans="4:4" x14ac:dyDescent="0.3">
      <c r="D908"/>
    </row>
    <row r="909" spans="4:4" x14ac:dyDescent="0.3">
      <c r="D909"/>
    </row>
    <row r="910" spans="4:4" x14ac:dyDescent="0.3">
      <c r="D910"/>
    </row>
    <row r="911" spans="4:4" x14ac:dyDescent="0.3">
      <c r="D911"/>
    </row>
    <row r="912" spans="4:4" x14ac:dyDescent="0.3">
      <c r="D912"/>
    </row>
    <row r="913" spans="4:4" x14ac:dyDescent="0.3">
      <c r="D913"/>
    </row>
    <row r="914" spans="4:4" x14ac:dyDescent="0.3">
      <c r="D914"/>
    </row>
    <row r="915" spans="4:4" x14ac:dyDescent="0.3">
      <c r="D915"/>
    </row>
    <row r="916" spans="4:4" x14ac:dyDescent="0.3">
      <c r="D916"/>
    </row>
    <row r="917" spans="4:4" x14ac:dyDescent="0.3">
      <c r="D917"/>
    </row>
    <row r="918" spans="4:4" x14ac:dyDescent="0.3">
      <c r="D918"/>
    </row>
    <row r="919" spans="4:4" x14ac:dyDescent="0.3">
      <c r="D919"/>
    </row>
    <row r="920" spans="4:4" x14ac:dyDescent="0.3">
      <c r="D920"/>
    </row>
    <row r="921" spans="4:4" x14ac:dyDescent="0.3">
      <c r="D921"/>
    </row>
    <row r="922" spans="4:4" x14ac:dyDescent="0.3">
      <c r="D922"/>
    </row>
    <row r="923" spans="4:4" x14ac:dyDescent="0.3">
      <c r="D923"/>
    </row>
    <row r="924" spans="4:4" x14ac:dyDescent="0.3">
      <c r="D924"/>
    </row>
    <row r="925" spans="4:4" x14ac:dyDescent="0.3">
      <c r="D925"/>
    </row>
    <row r="926" spans="4:4" x14ac:dyDescent="0.3">
      <c r="D926"/>
    </row>
    <row r="927" spans="4:4" x14ac:dyDescent="0.3">
      <c r="D927"/>
    </row>
    <row r="928" spans="4:4" x14ac:dyDescent="0.3">
      <c r="D928"/>
    </row>
    <row r="929" spans="4:4" x14ac:dyDescent="0.3">
      <c r="D929"/>
    </row>
    <row r="930" spans="4:4" x14ac:dyDescent="0.3">
      <c r="D930"/>
    </row>
    <row r="931" spans="4:4" x14ac:dyDescent="0.3">
      <c r="D931"/>
    </row>
    <row r="932" spans="4:4" x14ac:dyDescent="0.3">
      <c r="D932"/>
    </row>
    <row r="933" spans="4:4" x14ac:dyDescent="0.3">
      <c r="D933"/>
    </row>
    <row r="934" spans="4:4" x14ac:dyDescent="0.3">
      <c r="D934"/>
    </row>
    <row r="935" spans="4:4" x14ac:dyDescent="0.3">
      <c r="D935"/>
    </row>
    <row r="936" spans="4:4" x14ac:dyDescent="0.3">
      <c r="D936"/>
    </row>
    <row r="937" spans="4:4" x14ac:dyDescent="0.3">
      <c r="D937"/>
    </row>
    <row r="938" spans="4:4" x14ac:dyDescent="0.3">
      <c r="D938"/>
    </row>
    <row r="939" spans="4:4" x14ac:dyDescent="0.3">
      <c r="D939"/>
    </row>
    <row r="940" spans="4:4" x14ac:dyDescent="0.3">
      <c r="D940"/>
    </row>
    <row r="941" spans="4:4" x14ac:dyDescent="0.3">
      <c r="D941"/>
    </row>
    <row r="942" spans="4:4" x14ac:dyDescent="0.3">
      <c r="D942"/>
    </row>
    <row r="943" spans="4:4" x14ac:dyDescent="0.3">
      <c r="D943"/>
    </row>
    <row r="944" spans="4:4" x14ac:dyDescent="0.3">
      <c r="D944"/>
    </row>
    <row r="945" spans="4:4" x14ac:dyDescent="0.3">
      <c r="D945"/>
    </row>
    <row r="946" spans="4:4" x14ac:dyDescent="0.3">
      <c r="D946"/>
    </row>
    <row r="947" spans="4:4" x14ac:dyDescent="0.3">
      <c r="D947"/>
    </row>
    <row r="948" spans="4:4" x14ac:dyDescent="0.3">
      <c r="D948"/>
    </row>
    <row r="949" spans="4:4" x14ac:dyDescent="0.3">
      <c r="D949"/>
    </row>
    <row r="950" spans="4:4" x14ac:dyDescent="0.3">
      <c r="D950"/>
    </row>
    <row r="951" spans="4:4" x14ac:dyDescent="0.3">
      <c r="D951"/>
    </row>
    <row r="952" spans="4:4" x14ac:dyDescent="0.3">
      <c r="D952"/>
    </row>
    <row r="953" spans="4:4" x14ac:dyDescent="0.3">
      <c r="D953"/>
    </row>
    <row r="954" spans="4:4" x14ac:dyDescent="0.3">
      <c r="D954"/>
    </row>
    <row r="955" spans="4:4" x14ac:dyDescent="0.3">
      <c r="D955"/>
    </row>
    <row r="956" spans="4:4" x14ac:dyDescent="0.3">
      <c r="D956"/>
    </row>
    <row r="957" spans="4:4" x14ac:dyDescent="0.3">
      <c r="D957"/>
    </row>
    <row r="958" spans="4:4" x14ac:dyDescent="0.3">
      <c r="D958"/>
    </row>
    <row r="959" spans="4:4" x14ac:dyDescent="0.3">
      <c r="D959"/>
    </row>
    <row r="960" spans="4:4" x14ac:dyDescent="0.3">
      <c r="D960"/>
    </row>
    <row r="961" spans="4:4" x14ac:dyDescent="0.3">
      <c r="D961"/>
    </row>
    <row r="962" spans="4:4" x14ac:dyDescent="0.3">
      <c r="D962"/>
    </row>
    <row r="963" spans="4:4" x14ac:dyDescent="0.3">
      <c r="D963"/>
    </row>
    <row r="964" spans="4:4" x14ac:dyDescent="0.3">
      <c r="D964"/>
    </row>
    <row r="965" spans="4:4" x14ac:dyDescent="0.3">
      <c r="D965"/>
    </row>
    <row r="966" spans="4:4" x14ac:dyDescent="0.3">
      <c r="D966"/>
    </row>
    <row r="967" spans="4:4" x14ac:dyDescent="0.3">
      <c r="D967"/>
    </row>
    <row r="968" spans="4:4" x14ac:dyDescent="0.3">
      <c r="D968"/>
    </row>
    <row r="969" spans="4:4" x14ac:dyDescent="0.3">
      <c r="D969"/>
    </row>
    <row r="970" spans="4:4" x14ac:dyDescent="0.3">
      <c r="D970"/>
    </row>
    <row r="971" spans="4:4" x14ac:dyDescent="0.3">
      <c r="D971"/>
    </row>
    <row r="972" spans="4:4" x14ac:dyDescent="0.3">
      <c r="D972"/>
    </row>
    <row r="973" spans="4:4" x14ac:dyDescent="0.3">
      <c r="D973"/>
    </row>
    <row r="974" spans="4:4" x14ac:dyDescent="0.3">
      <c r="D974"/>
    </row>
    <row r="975" spans="4:4" x14ac:dyDescent="0.3">
      <c r="D975"/>
    </row>
    <row r="976" spans="4:4" x14ac:dyDescent="0.3">
      <c r="D976"/>
    </row>
    <row r="977" spans="4:4" x14ac:dyDescent="0.3">
      <c r="D977"/>
    </row>
    <row r="978" spans="4:4" x14ac:dyDescent="0.3">
      <c r="D978"/>
    </row>
    <row r="979" spans="4:4" x14ac:dyDescent="0.3">
      <c r="D979"/>
    </row>
    <row r="980" spans="4:4" x14ac:dyDescent="0.3">
      <c r="D980"/>
    </row>
    <row r="981" spans="4:4" x14ac:dyDescent="0.3">
      <c r="D981"/>
    </row>
    <row r="982" spans="4:4" x14ac:dyDescent="0.3">
      <c r="D982"/>
    </row>
    <row r="983" spans="4:4" x14ac:dyDescent="0.3">
      <c r="D983"/>
    </row>
    <row r="984" spans="4:4" x14ac:dyDescent="0.3">
      <c r="D984"/>
    </row>
    <row r="985" spans="4:4" x14ac:dyDescent="0.3">
      <c r="D985"/>
    </row>
    <row r="986" spans="4:4" x14ac:dyDescent="0.3">
      <c r="D986"/>
    </row>
    <row r="987" spans="4:4" x14ac:dyDescent="0.3">
      <c r="D987"/>
    </row>
    <row r="988" spans="4:4" x14ac:dyDescent="0.3">
      <c r="D988"/>
    </row>
    <row r="989" spans="4:4" x14ac:dyDescent="0.3">
      <c r="D989"/>
    </row>
    <row r="990" spans="4:4" x14ac:dyDescent="0.3">
      <c r="D990"/>
    </row>
    <row r="991" spans="4:4" x14ac:dyDescent="0.3">
      <c r="D991"/>
    </row>
    <row r="992" spans="4:4" x14ac:dyDescent="0.3">
      <c r="D992"/>
    </row>
    <row r="993" spans="4:4" x14ac:dyDescent="0.3">
      <c r="D993"/>
    </row>
    <row r="994" spans="4:4" x14ac:dyDescent="0.3">
      <c r="D994"/>
    </row>
    <row r="995" spans="4:4" x14ac:dyDescent="0.3">
      <c r="D995"/>
    </row>
    <row r="996" spans="4:4" x14ac:dyDescent="0.3">
      <c r="D996"/>
    </row>
    <row r="997" spans="4:4" x14ac:dyDescent="0.3">
      <c r="D997"/>
    </row>
    <row r="998" spans="4:4" x14ac:dyDescent="0.3">
      <c r="D998"/>
    </row>
    <row r="999" spans="4:4" x14ac:dyDescent="0.3">
      <c r="D999"/>
    </row>
    <row r="1000" spans="4:4" x14ac:dyDescent="0.3">
      <c r="D1000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Populate_Top_Goalies">
                <anchor moveWithCells="1">
                  <from>
                    <xdr:col>0</xdr:col>
                    <xdr:colOff>495300</xdr:colOff>
                    <xdr:row>14</xdr:row>
                    <xdr:rowOff>22860</xdr:rowOff>
                  </from>
                  <to>
                    <xdr:col>1</xdr:col>
                    <xdr:colOff>396240</xdr:colOff>
                    <xdr:row>15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Populate_Top_Forwards">
                <anchor moveWithCells="1">
                  <from>
                    <xdr:col>7</xdr:col>
                    <xdr:colOff>373380</xdr:colOff>
                    <xdr:row>13</xdr:row>
                    <xdr:rowOff>160020</xdr:rowOff>
                  </from>
                  <to>
                    <xdr:col>8</xdr:col>
                    <xdr:colOff>274320</xdr:colOff>
                    <xdr:row>15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Populate_Top_Defense">
                <anchor moveWithCells="1">
                  <from>
                    <xdr:col>14</xdr:col>
                    <xdr:colOff>426720</xdr:colOff>
                    <xdr:row>13</xdr:row>
                    <xdr:rowOff>83820</xdr:rowOff>
                  </from>
                  <to>
                    <xdr:col>15</xdr:col>
                    <xdr:colOff>327660</xdr:colOff>
                    <xdr:row>14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Populate_All">
                <anchor moveWithCells="1" sizeWithCells="1">
                  <from>
                    <xdr:col>23</xdr:col>
                    <xdr:colOff>228600</xdr:colOff>
                    <xdr:row>4</xdr:row>
                    <xdr:rowOff>76200</xdr:rowOff>
                  </from>
                  <to>
                    <xdr:col>24</xdr:col>
                    <xdr:colOff>419100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0A368-8C0E-4805-B3A3-B199CCE1C74A}">
  <sheetPr codeName="Sheet5">
    <tabColor rgb="FFFFFF00"/>
  </sheetPr>
  <dimension ref="A1:BI1107"/>
  <sheetViews>
    <sheetView workbookViewId="0">
      <pane ySplit="3" topLeftCell="A1084" activePane="bottomLeft" state="frozenSplit"/>
      <selection activeCell="Q247" sqref="Q247"/>
      <selection pane="bottomLeft" activeCell="F1038" sqref="F1038"/>
    </sheetView>
  </sheetViews>
  <sheetFormatPr defaultColWidth="10.5546875" defaultRowHeight="14.4" x14ac:dyDescent="0.3"/>
  <cols>
    <col min="1" max="1" width="10.5546875" style="18"/>
    <col min="2" max="2" width="20.6640625" style="14" customWidth="1"/>
    <col min="3" max="3" width="7.21875" style="14" customWidth="1"/>
    <col min="4" max="4" width="3.5546875" style="15" customWidth="1"/>
    <col min="5" max="5" width="8.88671875" style="31" customWidth="1"/>
    <col min="6" max="6" width="8.21875" style="31" customWidth="1"/>
    <col min="7" max="7" width="6.77734375" style="15" customWidth="1"/>
    <col min="8" max="8" width="3" style="16" bestFit="1" customWidth="1"/>
    <col min="9" max="9" width="4.21875" style="16" customWidth="1"/>
    <col min="10" max="10" width="3" style="16" bestFit="1" customWidth="1"/>
    <col min="11" max="15" width="4.6640625" style="16" customWidth="1"/>
    <col min="16" max="18" width="5.44140625" style="16" customWidth="1"/>
    <col min="19" max="19" width="5.109375" style="77" customWidth="1"/>
    <col min="20" max="20" width="5.88671875" style="77" customWidth="1"/>
    <col min="21" max="21" width="5.44140625" style="15" customWidth="1"/>
    <col min="22" max="22" width="4.77734375" style="31" customWidth="1"/>
    <col min="23" max="23" width="4.21875" style="16" customWidth="1"/>
    <col min="24" max="24" width="4.109375" style="16" customWidth="1"/>
    <col min="25" max="25" width="5.33203125" style="16" customWidth="1"/>
    <col min="26" max="26" width="4.5546875" style="16" customWidth="1"/>
    <col min="27" max="27" width="5.109375" style="16" customWidth="1"/>
    <col min="28" max="31" width="10.5546875" style="18" customWidth="1"/>
    <col min="32" max="32" width="10.21875" style="19" customWidth="1"/>
    <col min="33" max="33" width="10.5546875" style="18" customWidth="1"/>
    <col min="34" max="34" width="6.6640625" style="18" customWidth="1"/>
    <col min="35" max="35" width="5.88671875" style="18" customWidth="1"/>
    <col min="36" max="37" width="10.5546875" style="18" customWidth="1"/>
    <col min="38" max="38" width="5.33203125" style="18" customWidth="1"/>
    <col min="39" max="40" width="10.5546875" style="18" customWidth="1"/>
    <col min="41" max="41" width="7.5546875" style="18" customWidth="1"/>
    <col min="42" max="42" width="6.6640625" style="18" customWidth="1"/>
    <col min="43" max="43" width="6.109375" style="18" bestFit="1" customWidth="1"/>
    <col min="44" max="45" width="10.5546875" style="18" customWidth="1"/>
    <col min="46" max="46" width="5.33203125" style="18" customWidth="1"/>
    <col min="47" max="47" width="10.5546875" style="18" customWidth="1"/>
    <col min="48" max="48" width="8.77734375" style="18" customWidth="1"/>
    <col min="49" max="49" width="6.109375" style="18" bestFit="1" customWidth="1"/>
    <col min="50" max="51" width="10.5546875" style="18" customWidth="1"/>
    <col min="52" max="52" width="5.33203125" style="18" customWidth="1"/>
    <col min="53" max="53" width="10.5546875" style="18" customWidth="1"/>
    <col min="54" max="54" width="8.77734375" style="18" hidden="1" customWidth="1"/>
    <col min="55" max="259" width="10.5546875" style="18"/>
    <col min="260" max="260" width="26.88671875" style="18" customWidth="1"/>
    <col min="261" max="261" width="14" style="18" customWidth="1"/>
    <col min="262" max="262" width="5.109375" style="18" customWidth="1"/>
    <col min="263" max="263" width="11.5546875" style="18" customWidth="1"/>
    <col min="264" max="264" width="4.88671875" style="18" customWidth="1"/>
    <col min="265" max="266" width="4.109375" style="18" customWidth="1"/>
    <col min="267" max="267" width="5.109375" style="18" customWidth="1"/>
    <col min="268" max="270" width="5.44140625" style="18" customWidth="1"/>
    <col min="271" max="271" width="8.5546875" style="18" customWidth="1"/>
    <col min="272" max="272" width="10" style="18" customWidth="1"/>
    <col min="273" max="273" width="6.5546875" style="18" customWidth="1"/>
    <col min="274" max="274" width="4.21875" style="18" customWidth="1"/>
    <col min="275" max="275" width="4.109375" style="18" customWidth="1"/>
    <col min="276" max="276" width="3" style="18" customWidth="1"/>
    <col min="277" max="277" width="6.6640625" style="18" customWidth="1"/>
    <col min="278" max="278" width="5.44140625" style="18" customWidth="1"/>
    <col min="279" max="279" width="6.6640625" style="18" customWidth="1"/>
    <col min="280" max="280" width="5.6640625" style="18" customWidth="1"/>
    <col min="281" max="281" width="10.21875" style="18" customWidth="1"/>
    <col min="282" max="282" width="9.109375" style="18" customWidth="1"/>
    <col min="283" max="288" width="10.5546875" style="18"/>
    <col min="289" max="296" width="0" style="18" hidden="1" customWidth="1"/>
    <col min="297" max="297" width="7.5546875" style="18" customWidth="1"/>
    <col min="298" max="298" width="0" style="18" hidden="1" customWidth="1"/>
    <col min="299" max="299" width="6.109375" style="18" bestFit="1" customWidth="1"/>
    <col min="300" max="302" width="0" style="18" hidden="1" customWidth="1"/>
    <col min="303" max="303" width="10.5546875" style="18"/>
    <col min="304" max="304" width="8.77734375" style="18" customWidth="1"/>
    <col min="305" max="305" width="6.109375" style="18" bestFit="1" customWidth="1"/>
    <col min="306" max="307" width="0" style="18" hidden="1" customWidth="1"/>
    <col min="308" max="308" width="5.33203125" style="18" customWidth="1"/>
    <col min="309" max="309" width="10.5546875" style="18"/>
    <col min="310" max="310" width="0" style="18" hidden="1" customWidth="1"/>
    <col min="311" max="515" width="10.5546875" style="18"/>
    <col min="516" max="516" width="26.88671875" style="18" customWidth="1"/>
    <col min="517" max="517" width="14" style="18" customWidth="1"/>
    <col min="518" max="518" width="5.109375" style="18" customWidth="1"/>
    <col min="519" max="519" width="11.5546875" style="18" customWidth="1"/>
    <col min="520" max="520" width="4.88671875" style="18" customWidth="1"/>
    <col min="521" max="522" width="4.109375" style="18" customWidth="1"/>
    <col min="523" max="523" width="5.109375" style="18" customWidth="1"/>
    <col min="524" max="526" width="5.44140625" style="18" customWidth="1"/>
    <col min="527" max="527" width="8.5546875" style="18" customWidth="1"/>
    <col min="528" max="528" width="10" style="18" customWidth="1"/>
    <col min="529" max="529" width="6.5546875" style="18" customWidth="1"/>
    <col min="530" max="530" width="4.21875" style="18" customWidth="1"/>
    <col min="531" max="531" width="4.109375" style="18" customWidth="1"/>
    <col min="532" max="532" width="3" style="18" customWidth="1"/>
    <col min="533" max="533" width="6.6640625" style="18" customWidth="1"/>
    <col min="534" max="534" width="5.44140625" style="18" customWidth="1"/>
    <col min="535" max="535" width="6.6640625" style="18" customWidth="1"/>
    <col min="536" max="536" width="5.6640625" style="18" customWidth="1"/>
    <col min="537" max="537" width="10.21875" style="18" customWidth="1"/>
    <col min="538" max="538" width="9.109375" style="18" customWidth="1"/>
    <col min="539" max="544" width="10.5546875" style="18"/>
    <col min="545" max="552" width="0" style="18" hidden="1" customWidth="1"/>
    <col min="553" max="553" width="7.5546875" style="18" customWidth="1"/>
    <col min="554" max="554" width="0" style="18" hidden="1" customWidth="1"/>
    <col min="555" max="555" width="6.109375" style="18" bestFit="1" customWidth="1"/>
    <col min="556" max="558" width="0" style="18" hidden="1" customWidth="1"/>
    <col min="559" max="559" width="10.5546875" style="18"/>
    <col min="560" max="560" width="8.77734375" style="18" customWidth="1"/>
    <col min="561" max="561" width="6.109375" style="18" bestFit="1" customWidth="1"/>
    <col min="562" max="563" width="0" style="18" hidden="1" customWidth="1"/>
    <col min="564" max="564" width="5.33203125" style="18" customWidth="1"/>
    <col min="565" max="565" width="10.5546875" style="18"/>
    <col min="566" max="566" width="0" style="18" hidden="1" customWidth="1"/>
    <col min="567" max="771" width="10.5546875" style="18"/>
    <col min="772" max="772" width="26.88671875" style="18" customWidth="1"/>
    <col min="773" max="773" width="14" style="18" customWidth="1"/>
    <col min="774" max="774" width="5.109375" style="18" customWidth="1"/>
    <col min="775" max="775" width="11.5546875" style="18" customWidth="1"/>
    <col min="776" max="776" width="4.88671875" style="18" customWidth="1"/>
    <col min="777" max="778" width="4.109375" style="18" customWidth="1"/>
    <col min="779" max="779" width="5.109375" style="18" customWidth="1"/>
    <col min="780" max="782" width="5.44140625" style="18" customWidth="1"/>
    <col min="783" max="783" width="8.5546875" style="18" customWidth="1"/>
    <col min="784" max="784" width="10" style="18" customWidth="1"/>
    <col min="785" max="785" width="6.5546875" style="18" customWidth="1"/>
    <col min="786" max="786" width="4.21875" style="18" customWidth="1"/>
    <col min="787" max="787" width="4.109375" style="18" customWidth="1"/>
    <col min="788" max="788" width="3" style="18" customWidth="1"/>
    <col min="789" max="789" width="6.6640625" style="18" customWidth="1"/>
    <col min="790" max="790" width="5.44140625" style="18" customWidth="1"/>
    <col min="791" max="791" width="6.6640625" style="18" customWidth="1"/>
    <col min="792" max="792" width="5.6640625" style="18" customWidth="1"/>
    <col min="793" max="793" width="10.21875" style="18" customWidth="1"/>
    <col min="794" max="794" width="9.109375" style="18" customWidth="1"/>
    <col min="795" max="800" width="10.5546875" style="18"/>
    <col min="801" max="808" width="0" style="18" hidden="1" customWidth="1"/>
    <col min="809" max="809" width="7.5546875" style="18" customWidth="1"/>
    <col min="810" max="810" width="0" style="18" hidden="1" customWidth="1"/>
    <col min="811" max="811" width="6.109375" style="18" bestFit="1" customWidth="1"/>
    <col min="812" max="814" width="0" style="18" hidden="1" customWidth="1"/>
    <col min="815" max="815" width="10.5546875" style="18"/>
    <col min="816" max="816" width="8.77734375" style="18" customWidth="1"/>
    <col min="817" max="817" width="6.109375" style="18" bestFit="1" customWidth="1"/>
    <col min="818" max="819" width="0" style="18" hidden="1" customWidth="1"/>
    <col min="820" max="820" width="5.33203125" style="18" customWidth="1"/>
    <col min="821" max="821" width="10.5546875" style="18"/>
    <col min="822" max="822" width="0" style="18" hidden="1" customWidth="1"/>
    <col min="823" max="1027" width="10.5546875" style="18"/>
    <col min="1028" max="1028" width="26.88671875" style="18" customWidth="1"/>
    <col min="1029" max="1029" width="14" style="18" customWidth="1"/>
    <col min="1030" max="1030" width="5.109375" style="18" customWidth="1"/>
    <col min="1031" max="1031" width="11.5546875" style="18" customWidth="1"/>
    <col min="1032" max="1032" width="4.88671875" style="18" customWidth="1"/>
    <col min="1033" max="1034" width="4.109375" style="18" customWidth="1"/>
    <col min="1035" max="1035" width="5.109375" style="18" customWidth="1"/>
    <col min="1036" max="1038" width="5.44140625" style="18" customWidth="1"/>
    <col min="1039" max="1039" width="8.5546875" style="18" customWidth="1"/>
    <col min="1040" max="1040" width="10" style="18" customWidth="1"/>
    <col min="1041" max="1041" width="6.5546875" style="18" customWidth="1"/>
    <col min="1042" max="1042" width="4.21875" style="18" customWidth="1"/>
    <col min="1043" max="1043" width="4.109375" style="18" customWidth="1"/>
    <col min="1044" max="1044" width="3" style="18" customWidth="1"/>
    <col min="1045" max="1045" width="6.6640625" style="18" customWidth="1"/>
    <col min="1046" max="1046" width="5.44140625" style="18" customWidth="1"/>
    <col min="1047" max="1047" width="6.6640625" style="18" customWidth="1"/>
    <col min="1048" max="1048" width="5.6640625" style="18" customWidth="1"/>
    <col min="1049" max="1049" width="10.21875" style="18" customWidth="1"/>
    <col min="1050" max="1050" width="9.109375" style="18" customWidth="1"/>
    <col min="1051" max="1056" width="10.5546875" style="18"/>
    <col min="1057" max="1064" width="0" style="18" hidden="1" customWidth="1"/>
    <col min="1065" max="1065" width="7.5546875" style="18" customWidth="1"/>
    <col min="1066" max="1066" width="0" style="18" hidden="1" customWidth="1"/>
    <col min="1067" max="1067" width="6.109375" style="18" bestFit="1" customWidth="1"/>
    <col min="1068" max="1070" width="0" style="18" hidden="1" customWidth="1"/>
    <col min="1071" max="1071" width="10.5546875" style="18"/>
    <col min="1072" max="1072" width="8.77734375" style="18" customWidth="1"/>
    <col min="1073" max="1073" width="6.109375" style="18" bestFit="1" customWidth="1"/>
    <col min="1074" max="1075" width="0" style="18" hidden="1" customWidth="1"/>
    <col min="1076" max="1076" width="5.33203125" style="18" customWidth="1"/>
    <col min="1077" max="1077" width="10.5546875" style="18"/>
    <col min="1078" max="1078" width="0" style="18" hidden="1" customWidth="1"/>
    <col min="1079" max="1283" width="10.5546875" style="18"/>
    <col min="1284" max="1284" width="26.88671875" style="18" customWidth="1"/>
    <col min="1285" max="1285" width="14" style="18" customWidth="1"/>
    <col min="1286" max="1286" width="5.109375" style="18" customWidth="1"/>
    <col min="1287" max="1287" width="11.5546875" style="18" customWidth="1"/>
    <col min="1288" max="1288" width="4.88671875" style="18" customWidth="1"/>
    <col min="1289" max="1290" width="4.109375" style="18" customWidth="1"/>
    <col min="1291" max="1291" width="5.109375" style="18" customWidth="1"/>
    <col min="1292" max="1294" width="5.44140625" style="18" customWidth="1"/>
    <col min="1295" max="1295" width="8.5546875" style="18" customWidth="1"/>
    <col min="1296" max="1296" width="10" style="18" customWidth="1"/>
    <col min="1297" max="1297" width="6.5546875" style="18" customWidth="1"/>
    <col min="1298" max="1298" width="4.21875" style="18" customWidth="1"/>
    <col min="1299" max="1299" width="4.109375" style="18" customWidth="1"/>
    <col min="1300" max="1300" width="3" style="18" customWidth="1"/>
    <col min="1301" max="1301" width="6.6640625" style="18" customWidth="1"/>
    <col min="1302" max="1302" width="5.44140625" style="18" customWidth="1"/>
    <col min="1303" max="1303" width="6.6640625" style="18" customWidth="1"/>
    <col min="1304" max="1304" width="5.6640625" style="18" customWidth="1"/>
    <col min="1305" max="1305" width="10.21875" style="18" customWidth="1"/>
    <col min="1306" max="1306" width="9.109375" style="18" customWidth="1"/>
    <col min="1307" max="1312" width="10.5546875" style="18"/>
    <col min="1313" max="1320" width="0" style="18" hidden="1" customWidth="1"/>
    <col min="1321" max="1321" width="7.5546875" style="18" customWidth="1"/>
    <col min="1322" max="1322" width="0" style="18" hidden="1" customWidth="1"/>
    <col min="1323" max="1323" width="6.109375" style="18" bestFit="1" customWidth="1"/>
    <col min="1324" max="1326" width="0" style="18" hidden="1" customWidth="1"/>
    <col min="1327" max="1327" width="10.5546875" style="18"/>
    <col min="1328" max="1328" width="8.77734375" style="18" customWidth="1"/>
    <col min="1329" max="1329" width="6.109375" style="18" bestFit="1" customWidth="1"/>
    <col min="1330" max="1331" width="0" style="18" hidden="1" customWidth="1"/>
    <col min="1332" max="1332" width="5.33203125" style="18" customWidth="1"/>
    <col min="1333" max="1333" width="10.5546875" style="18"/>
    <col min="1334" max="1334" width="0" style="18" hidden="1" customWidth="1"/>
    <col min="1335" max="1539" width="10.5546875" style="18"/>
    <col min="1540" max="1540" width="26.88671875" style="18" customWidth="1"/>
    <col min="1541" max="1541" width="14" style="18" customWidth="1"/>
    <col min="1542" max="1542" width="5.109375" style="18" customWidth="1"/>
    <col min="1543" max="1543" width="11.5546875" style="18" customWidth="1"/>
    <col min="1544" max="1544" width="4.88671875" style="18" customWidth="1"/>
    <col min="1545" max="1546" width="4.109375" style="18" customWidth="1"/>
    <col min="1547" max="1547" width="5.109375" style="18" customWidth="1"/>
    <col min="1548" max="1550" width="5.44140625" style="18" customWidth="1"/>
    <col min="1551" max="1551" width="8.5546875" style="18" customWidth="1"/>
    <col min="1552" max="1552" width="10" style="18" customWidth="1"/>
    <col min="1553" max="1553" width="6.5546875" style="18" customWidth="1"/>
    <col min="1554" max="1554" width="4.21875" style="18" customWidth="1"/>
    <col min="1555" max="1555" width="4.109375" style="18" customWidth="1"/>
    <col min="1556" max="1556" width="3" style="18" customWidth="1"/>
    <col min="1557" max="1557" width="6.6640625" style="18" customWidth="1"/>
    <col min="1558" max="1558" width="5.44140625" style="18" customWidth="1"/>
    <col min="1559" max="1559" width="6.6640625" style="18" customWidth="1"/>
    <col min="1560" max="1560" width="5.6640625" style="18" customWidth="1"/>
    <col min="1561" max="1561" width="10.21875" style="18" customWidth="1"/>
    <col min="1562" max="1562" width="9.109375" style="18" customWidth="1"/>
    <col min="1563" max="1568" width="10.5546875" style="18"/>
    <col min="1569" max="1576" width="0" style="18" hidden="1" customWidth="1"/>
    <col min="1577" max="1577" width="7.5546875" style="18" customWidth="1"/>
    <col min="1578" max="1578" width="0" style="18" hidden="1" customWidth="1"/>
    <col min="1579" max="1579" width="6.109375" style="18" bestFit="1" customWidth="1"/>
    <col min="1580" max="1582" width="0" style="18" hidden="1" customWidth="1"/>
    <col min="1583" max="1583" width="10.5546875" style="18"/>
    <col min="1584" max="1584" width="8.77734375" style="18" customWidth="1"/>
    <col min="1585" max="1585" width="6.109375" style="18" bestFit="1" customWidth="1"/>
    <col min="1586" max="1587" width="0" style="18" hidden="1" customWidth="1"/>
    <col min="1588" max="1588" width="5.33203125" style="18" customWidth="1"/>
    <col min="1589" max="1589" width="10.5546875" style="18"/>
    <col min="1590" max="1590" width="0" style="18" hidden="1" customWidth="1"/>
    <col min="1591" max="1795" width="10.5546875" style="18"/>
    <col min="1796" max="1796" width="26.88671875" style="18" customWidth="1"/>
    <col min="1797" max="1797" width="14" style="18" customWidth="1"/>
    <col min="1798" max="1798" width="5.109375" style="18" customWidth="1"/>
    <col min="1799" max="1799" width="11.5546875" style="18" customWidth="1"/>
    <col min="1800" max="1800" width="4.88671875" style="18" customWidth="1"/>
    <col min="1801" max="1802" width="4.109375" style="18" customWidth="1"/>
    <col min="1803" max="1803" width="5.109375" style="18" customWidth="1"/>
    <col min="1804" max="1806" width="5.44140625" style="18" customWidth="1"/>
    <col min="1807" max="1807" width="8.5546875" style="18" customWidth="1"/>
    <col min="1808" max="1808" width="10" style="18" customWidth="1"/>
    <col min="1809" max="1809" width="6.5546875" style="18" customWidth="1"/>
    <col min="1810" max="1810" width="4.21875" style="18" customWidth="1"/>
    <col min="1811" max="1811" width="4.109375" style="18" customWidth="1"/>
    <col min="1812" max="1812" width="3" style="18" customWidth="1"/>
    <col min="1813" max="1813" width="6.6640625" style="18" customWidth="1"/>
    <col min="1814" max="1814" width="5.44140625" style="18" customWidth="1"/>
    <col min="1815" max="1815" width="6.6640625" style="18" customWidth="1"/>
    <col min="1816" max="1816" width="5.6640625" style="18" customWidth="1"/>
    <col min="1817" max="1817" width="10.21875" style="18" customWidth="1"/>
    <col min="1818" max="1818" width="9.109375" style="18" customWidth="1"/>
    <col min="1819" max="1824" width="10.5546875" style="18"/>
    <col min="1825" max="1832" width="0" style="18" hidden="1" customWidth="1"/>
    <col min="1833" max="1833" width="7.5546875" style="18" customWidth="1"/>
    <col min="1834" max="1834" width="0" style="18" hidden="1" customWidth="1"/>
    <col min="1835" max="1835" width="6.109375" style="18" bestFit="1" customWidth="1"/>
    <col min="1836" max="1838" width="0" style="18" hidden="1" customWidth="1"/>
    <col min="1839" max="1839" width="10.5546875" style="18"/>
    <col min="1840" max="1840" width="8.77734375" style="18" customWidth="1"/>
    <col min="1841" max="1841" width="6.109375" style="18" bestFit="1" customWidth="1"/>
    <col min="1842" max="1843" width="0" style="18" hidden="1" customWidth="1"/>
    <col min="1844" max="1844" width="5.33203125" style="18" customWidth="1"/>
    <col min="1845" max="1845" width="10.5546875" style="18"/>
    <col min="1846" max="1846" width="0" style="18" hidden="1" customWidth="1"/>
    <col min="1847" max="2051" width="10.5546875" style="18"/>
    <col min="2052" max="2052" width="26.88671875" style="18" customWidth="1"/>
    <col min="2053" max="2053" width="14" style="18" customWidth="1"/>
    <col min="2054" max="2054" width="5.109375" style="18" customWidth="1"/>
    <col min="2055" max="2055" width="11.5546875" style="18" customWidth="1"/>
    <col min="2056" max="2056" width="4.88671875" style="18" customWidth="1"/>
    <col min="2057" max="2058" width="4.109375" style="18" customWidth="1"/>
    <col min="2059" max="2059" width="5.109375" style="18" customWidth="1"/>
    <col min="2060" max="2062" width="5.44140625" style="18" customWidth="1"/>
    <col min="2063" max="2063" width="8.5546875" style="18" customWidth="1"/>
    <col min="2064" max="2064" width="10" style="18" customWidth="1"/>
    <col min="2065" max="2065" width="6.5546875" style="18" customWidth="1"/>
    <col min="2066" max="2066" width="4.21875" style="18" customWidth="1"/>
    <col min="2067" max="2067" width="4.109375" style="18" customWidth="1"/>
    <col min="2068" max="2068" width="3" style="18" customWidth="1"/>
    <col min="2069" max="2069" width="6.6640625" style="18" customWidth="1"/>
    <col min="2070" max="2070" width="5.44140625" style="18" customWidth="1"/>
    <col min="2071" max="2071" width="6.6640625" style="18" customWidth="1"/>
    <col min="2072" max="2072" width="5.6640625" style="18" customWidth="1"/>
    <col min="2073" max="2073" width="10.21875" style="18" customWidth="1"/>
    <col min="2074" max="2074" width="9.109375" style="18" customWidth="1"/>
    <col min="2075" max="2080" width="10.5546875" style="18"/>
    <col min="2081" max="2088" width="0" style="18" hidden="1" customWidth="1"/>
    <col min="2089" max="2089" width="7.5546875" style="18" customWidth="1"/>
    <col min="2090" max="2090" width="0" style="18" hidden="1" customWidth="1"/>
    <col min="2091" max="2091" width="6.109375" style="18" bestFit="1" customWidth="1"/>
    <col min="2092" max="2094" width="0" style="18" hidden="1" customWidth="1"/>
    <col min="2095" max="2095" width="10.5546875" style="18"/>
    <col min="2096" max="2096" width="8.77734375" style="18" customWidth="1"/>
    <col min="2097" max="2097" width="6.109375" style="18" bestFit="1" customWidth="1"/>
    <col min="2098" max="2099" width="0" style="18" hidden="1" customWidth="1"/>
    <col min="2100" max="2100" width="5.33203125" style="18" customWidth="1"/>
    <col min="2101" max="2101" width="10.5546875" style="18"/>
    <col min="2102" max="2102" width="0" style="18" hidden="1" customWidth="1"/>
    <col min="2103" max="2307" width="10.5546875" style="18"/>
    <col min="2308" max="2308" width="26.88671875" style="18" customWidth="1"/>
    <col min="2309" max="2309" width="14" style="18" customWidth="1"/>
    <col min="2310" max="2310" width="5.109375" style="18" customWidth="1"/>
    <col min="2311" max="2311" width="11.5546875" style="18" customWidth="1"/>
    <col min="2312" max="2312" width="4.88671875" style="18" customWidth="1"/>
    <col min="2313" max="2314" width="4.109375" style="18" customWidth="1"/>
    <col min="2315" max="2315" width="5.109375" style="18" customWidth="1"/>
    <col min="2316" max="2318" width="5.44140625" style="18" customWidth="1"/>
    <col min="2319" max="2319" width="8.5546875" style="18" customWidth="1"/>
    <col min="2320" max="2320" width="10" style="18" customWidth="1"/>
    <col min="2321" max="2321" width="6.5546875" style="18" customWidth="1"/>
    <col min="2322" max="2322" width="4.21875" style="18" customWidth="1"/>
    <col min="2323" max="2323" width="4.109375" style="18" customWidth="1"/>
    <col min="2324" max="2324" width="3" style="18" customWidth="1"/>
    <col min="2325" max="2325" width="6.6640625" style="18" customWidth="1"/>
    <col min="2326" max="2326" width="5.44140625" style="18" customWidth="1"/>
    <col min="2327" max="2327" width="6.6640625" style="18" customWidth="1"/>
    <col min="2328" max="2328" width="5.6640625" style="18" customWidth="1"/>
    <col min="2329" max="2329" width="10.21875" style="18" customWidth="1"/>
    <col min="2330" max="2330" width="9.109375" style="18" customWidth="1"/>
    <col min="2331" max="2336" width="10.5546875" style="18"/>
    <col min="2337" max="2344" width="0" style="18" hidden="1" customWidth="1"/>
    <col min="2345" max="2345" width="7.5546875" style="18" customWidth="1"/>
    <col min="2346" max="2346" width="0" style="18" hidden="1" customWidth="1"/>
    <col min="2347" max="2347" width="6.109375" style="18" bestFit="1" customWidth="1"/>
    <col min="2348" max="2350" width="0" style="18" hidden="1" customWidth="1"/>
    <col min="2351" max="2351" width="10.5546875" style="18"/>
    <col min="2352" max="2352" width="8.77734375" style="18" customWidth="1"/>
    <col min="2353" max="2353" width="6.109375" style="18" bestFit="1" customWidth="1"/>
    <col min="2354" max="2355" width="0" style="18" hidden="1" customWidth="1"/>
    <col min="2356" max="2356" width="5.33203125" style="18" customWidth="1"/>
    <col min="2357" max="2357" width="10.5546875" style="18"/>
    <col min="2358" max="2358" width="0" style="18" hidden="1" customWidth="1"/>
    <col min="2359" max="2563" width="10.5546875" style="18"/>
    <col min="2564" max="2564" width="26.88671875" style="18" customWidth="1"/>
    <col min="2565" max="2565" width="14" style="18" customWidth="1"/>
    <col min="2566" max="2566" width="5.109375" style="18" customWidth="1"/>
    <col min="2567" max="2567" width="11.5546875" style="18" customWidth="1"/>
    <col min="2568" max="2568" width="4.88671875" style="18" customWidth="1"/>
    <col min="2569" max="2570" width="4.109375" style="18" customWidth="1"/>
    <col min="2571" max="2571" width="5.109375" style="18" customWidth="1"/>
    <col min="2572" max="2574" width="5.44140625" style="18" customWidth="1"/>
    <col min="2575" max="2575" width="8.5546875" style="18" customWidth="1"/>
    <col min="2576" max="2576" width="10" style="18" customWidth="1"/>
    <col min="2577" max="2577" width="6.5546875" style="18" customWidth="1"/>
    <col min="2578" max="2578" width="4.21875" style="18" customWidth="1"/>
    <col min="2579" max="2579" width="4.109375" style="18" customWidth="1"/>
    <col min="2580" max="2580" width="3" style="18" customWidth="1"/>
    <col min="2581" max="2581" width="6.6640625" style="18" customWidth="1"/>
    <col min="2582" max="2582" width="5.44140625" style="18" customWidth="1"/>
    <col min="2583" max="2583" width="6.6640625" style="18" customWidth="1"/>
    <col min="2584" max="2584" width="5.6640625" style="18" customWidth="1"/>
    <col min="2585" max="2585" width="10.21875" style="18" customWidth="1"/>
    <col min="2586" max="2586" width="9.109375" style="18" customWidth="1"/>
    <col min="2587" max="2592" width="10.5546875" style="18"/>
    <col min="2593" max="2600" width="0" style="18" hidden="1" customWidth="1"/>
    <col min="2601" max="2601" width="7.5546875" style="18" customWidth="1"/>
    <col min="2602" max="2602" width="0" style="18" hidden="1" customWidth="1"/>
    <col min="2603" max="2603" width="6.109375" style="18" bestFit="1" customWidth="1"/>
    <col min="2604" max="2606" width="0" style="18" hidden="1" customWidth="1"/>
    <col min="2607" max="2607" width="10.5546875" style="18"/>
    <col min="2608" max="2608" width="8.77734375" style="18" customWidth="1"/>
    <col min="2609" max="2609" width="6.109375" style="18" bestFit="1" customWidth="1"/>
    <col min="2610" max="2611" width="0" style="18" hidden="1" customWidth="1"/>
    <col min="2612" max="2612" width="5.33203125" style="18" customWidth="1"/>
    <col min="2613" max="2613" width="10.5546875" style="18"/>
    <col min="2614" max="2614" width="0" style="18" hidden="1" customWidth="1"/>
    <col min="2615" max="2819" width="10.5546875" style="18"/>
    <col min="2820" max="2820" width="26.88671875" style="18" customWidth="1"/>
    <col min="2821" max="2821" width="14" style="18" customWidth="1"/>
    <col min="2822" max="2822" width="5.109375" style="18" customWidth="1"/>
    <col min="2823" max="2823" width="11.5546875" style="18" customWidth="1"/>
    <col min="2824" max="2824" width="4.88671875" style="18" customWidth="1"/>
    <col min="2825" max="2826" width="4.109375" style="18" customWidth="1"/>
    <col min="2827" max="2827" width="5.109375" style="18" customWidth="1"/>
    <col min="2828" max="2830" width="5.44140625" style="18" customWidth="1"/>
    <col min="2831" max="2831" width="8.5546875" style="18" customWidth="1"/>
    <col min="2832" max="2832" width="10" style="18" customWidth="1"/>
    <col min="2833" max="2833" width="6.5546875" style="18" customWidth="1"/>
    <col min="2834" max="2834" width="4.21875" style="18" customWidth="1"/>
    <col min="2835" max="2835" width="4.109375" style="18" customWidth="1"/>
    <col min="2836" max="2836" width="3" style="18" customWidth="1"/>
    <col min="2837" max="2837" width="6.6640625" style="18" customWidth="1"/>
    <col min="2838" max="2838" width="5.44140625" style="18" customWidth="1"/>
    <col min="2839" max="2839" width="6.6640625" style="18" customWidth="1"/>
    <col min="2840" max="2840" width="5.6640625" style="18" customWidth="1"/>
    <col min="2841" max="2841" width="10.21875" style="18" customWidth="1"/>
    <col min="2842" max="2842" width="9.109375" style="18" customWidth="1"/>
    <col min="2843" max="2848" width="10.5546875" style="18"/>
    <col min="2849" max="2856" width="0" style="18" hidden="1" customWidth="1"/>
    <col min="2857" max="2857" width="7.5546875" style="18" customWidth="1"/>
    <col min="2858" max="2858" width="0" style="18" hidden="1" customWidth="1"/>
    <col min="2859" max="2859" width="6.109375" style="18" bestFit="1" customWidth="1"/>
    <col min="2860" max="2862" width="0" style="18" hidden="1" customWidth="1"/>
    <col min="2863" max="2863" width="10.5546875" style="18"/>
    <col min="2864" max="2864" width="8.77734375" style="18" customWidth="1"/>
    <col min="2865" max="2865" width="6.109375" style="18" bestFit="1" customWidth="1"/>
    <col min="2866" max="2867" width="0" style="18" hidden="1" customWidth="1"/>
    <col min="2868" max="2868" width="5.33203125" style="18" customWidth="1"/>
    <col min="2869" max="2869" width="10.5546875" style="18"/>
    <col min="2870" max="2870" width="0" style="18" hidden="1" customWidth="1"/>
    <col min="2871" max="3075" width="10.5546875" style="18"/>
    <col min="3076" max="3076" width="26.88671875" style="18" customWidth="1"/>
    <col min="3077" max="3077" width="14" style="18" customWidth="1"/>
    <col min="3078" max="3078" width="5.109375" style="18" customWidth="1"/>
    <col min="3079" max="3079" width="11.5546875" style="18" customWidth="1"/>
    <col min="3080" max="3080" width="4.88671875" style="18" customWidth="1"/>
    <col min="3081" max="3082" width="4.109375" style="18" customWidth="1"/>
    <col min="3083" max="3083" width="5.109375" style="18" customWidth="1"/>
    <col min="3084" max="3086" width="5.44140625" style="18" customWidth="1"/>
    <col min="3087" max="3087" width="8.5546875" style="18" customWidth="1"/>
    <col min="3088" max="3088" width="10" style="18" customWidth="1"/>
    <col min="3089" max="3089" width="6.5546875" style="18" customWidth="1"/>
    <col min="3090" max="3090" width="4.21875" style="18" customWidth="1"/>
    <col min="3091" max="3091" width="4.109375" style="18" customWidth="1"/>
    <col min="3092" max="3092" width="3" style="18" customWidth="1"/>
    <col min="3093" max="3093" width="6.6640625" style="18" customWidth="1"/>
    <col min="3094" max="3094" width="5.44140625" style="18" customWidth="1"/>
    <col min="3095" max="3095" width="6.6640625" style="18" customWidth="1"/>
    <col min="3096" max="3096" width="5.6640625" style="18" customWidth="1"/>
    <col min="3097" max="3097" width="10.21875" style="18" customWidth="1"/>
    <col min="3098" max="3098" width="9.109375" style="18" customWidth="1"/>
    <col min="3099" max="3104" width="10.5546875" style="18"/>
    <col min="3105" max="3112" width="0" style="18" hidden="1" customWidth="1"/>
    <col min="3113" max="3113" width="7.5546875" style="18" customWidth="1"/>
    <col min="3114" max="3114" width="0" style="18" hidden="1" customWidth="1"/>
    <col min="3115" max="3115" width="6.109375" style="18" bestFit="1" customWidth="1"/>
    <col min="3116" max="3118" width="0" style="18" hidden="1" customWidth="1"/>
    <col min="3119" max="3119" width="10.5546875" style="18"/>
    <col min="3120" max="3120" width="8.77734375" style="18" customWidth="1"/>
    <col min="3121" max="3121" width="6.109375" style="18" bestFit="1" customWidth="1"/>
    <col min="3122" max="3123" width="0" style="18" hidden="1" customWidth="1"/>
    <col min="3124" max="3124" width="5.33203125" style="18" customWidth="1"/>
    <col min="3125" max="3125" width="10.5546875" style="18"/>
    <col min="3126" max="3126" width="0" style="18" hidden="1" customWidth="1"/>
    <col min="3127" max="3331" width="10.5546875" style="18"/>
    <col min="3332" max="3332" width="26.88671875" style="18" customWidth="1"/>
    <col min="3333" max="3333" width="14" style="18" customWidth="1"/>
    <col min="3334" max="3334" width="5.109375" style="18" customWidth="1"/>
    <col min="3335" max="3335" width="11.5546875" style="18" customWidth="1"/>
    <col min="3336" max="3336" width="4.88671875" style="18" customWidth="1"/>
    <col min="3337" max="3338" width="4.109375" style="18" customWidth="1"/>
    <col min="3339" max="3339" width="5.109375" style="18" customWidth="1"/>
    <col min="3340" max="3342" width="5.44140625" style="18" customWidth="1"/>
    <col min="3343" max="3343" width="8.5546875" style="18" customWidth="1"/>
    <col min="3344" max="3344" width="10" style="18" customWidth="1"/>
    <col min="3345" max="3345" width="6.5546875" style="18" customWidth="1"/>
    <col min="3346" max="3346" width="4.21875" style="18" customWidth="1"/>
    <col min="3347" max="3347" width="4.109375" style="18" customWidth="1"/>
    <col min="3348" max="3348" width="3" style="18" customWidth="1"/>
    <col min="3349" max="3349" width="6.6640625" style="18" customWidth="1"/>
    <col min="3350" max="3350" width="5.44140625" style="18" customWidth="1"/>
    <col min="3351" max="3351" width="6.6640625" style="18" customWidth="1"/>
    <col min="3352" max="3352" width="5.6640625" style="18" customWidth="1"/>
    <col min="3353" max="3353" width="10.21875" style="18" customWidth="1"/>
    <col min="3354" max="3354" width="9.109375" style="18" customWidth="1"/>
    <col min="3355" max="3360" width="10.5546875" style="18"/>
    <col min="3361" max="3368" width="0" style="18" hidden="1" customWidth="1"/>
    <col min="3369" max="3369" width="7.5546875" style="18" customWidth="1"/>
    <col min="3370" max="3370" width="0" style="18" hidden="1" customWidth="1"/>
    <col min="3371" max="3371" width="6.109375" style="18" bestFit="1" customWidth="1"/>
    <col min="3372" max="3374" width="0" style="18" hidden="1" customWidth="1"/>
    <col min="3375" max="3375" width="10.5546875" style="18"/>
    <col min="3376" max="3376" width="8.77734375" style="18" customWidth="1"/>
    <col min="3377" max="3377" width="6.109375" style="18" bestFit="1" customWidth="1"/>
    <col min="3378" max="3379" width="0" style="18" hidden="1" customWidth="1"/>
    <col min="3380" max="3380" width="5.33203125" style="18" customWidth="1"/>
    <col min="3381" max="3381" width="10.5546875" style="18"/>
    <col min="3382" max="3382" width="0" style="18" hidden="1" customWidth="1"/>
    <col min="3383" max="3587" width="10.5546875" style="18"/>
    <col min="3588" max="3588" width="26.88671875" style="18" customWidth="1"/>
    <col min="3589" max="3589" width="14" style="18" customWidth="1"/>
    <col min="3590" max="3590" width="5.109375" style="18" customWidth="1"/>
    <col min="3591" max="3591" width="11.5546875" style="18" customWidth="1"/>
    <col min="3592" max="3592" width="4.88671875" style="18" customWidth="1"/>
    <col min="3593" max="3594" width="4.109375" style="18" customWidth="1"/>
    <col min="3595" max="3595" width="5.109375" style="18" customWidth="1"/>
    <col min="3596" max="3598" width="5.44140625" style="18" customWidth="1"/>
    <col min="3599" max="3599" width="8.5546875" style="18" customWidth="1"/>
    <col min="3600" max="3600" width="10" style="18" customWidth="1"/>
    <col min="3601" max="3601" width="6.5546875" style="18" customWidth="1"/>
    <col min="3602" max="3602" width="4.21875" style="18" customWidth="1"/>
    <col min="3603" max="3603" width="4.109375" style="18" customWidth="1"/>
    <col min="3604" max="3604" width="3" style="18" customWidth="1"/>
    <col min="3605" max="3605" width="6.6640625" style="18" customWidth="1"/>
    <col min="3606" max="3606" width="5.44140625" style="18" customWidth="1"/>
    <col min="3607" max="3607" width="6.6640625" style="18" customWidth="1"/>
    <col min="3608" max="3608" width="5.6640625" style="18" customWidth="1"/>
    <col min="3609" max="3609" width="10.21875" style="18" customWidth="1"/>
    <col min="3610" max="3610" width="9.109375" style="18" customWidth="1"/>
    <col min="3611" max="3616" width="10.5546875" style="18"/>
    <col min="3617" max="3624" width="0" style="18" hidden="1" customWidth="1"/>
    <col min="3625" max="3625" width="7.5546875" style="18" customWidth="1"/>
    <col min="3626" max="3626" width="0" style="18" hidden="1" customWidth="1"/>
    <col min="3627" max="3627" width="6.109375" style="18" bestFit="1" customWidth="1"/>
    <col min="3628" max="3630" width="0" style="18" hidden="1" customWidth="1"/>
    <col min="3631" max="3631" width="10.5546875" style="18"/>
    <col min="3632" max="3632" width="8.77734375" style="18" customWidth="1"/>
    <col min="3633" max="3633" width="6.109375" style="18" bestFit="1" customWidth="1"/>
    <col min="3634" max="3635" width="0" style="18" hidden="1" customWidth="1"/>
    <col min="3636" max="3636" width="5.33203125" style="18" customWidth="1"/>
    <col min="3637" max="3637" width="10.5546875" style="18"/>
    <col min="3638" max="3638" width="0" style="18" hidden="1" customWidth="1"/>
    <col min="3639" max="3843" width="10.5546875" style="18"/>
    <col min="3844" max="3844" width="26.88671875" style="18" customWidth="1"/>
    <col min="3845" max="3845" width="14" style="18" customWidth="1"/>
    <col min="3846" max="3846" width="5.109375" style="18" customWidth="1"/>
    <col min="3847" max="3847" width="11.5546875" style="18" customWidth="1"/>
    <col min="3848" max="3848" width="4.88671875" style="18" customWidth="1"/>
    <col min="3849" max="3850" width="4.109375" style="18" customWidth="1"/>
    <col min="3851" max="3851" width="5.109375" style="18" customWidth="1"/>
    <col min="3852" max="3854" width="5.44140625" style="18" customWidth="1"/>
    <col min="3855" max="3855" width="8.5546875" style="18" customWidth="1"/>
    <col min="3856" max="3856" width="10" style="18" customWidth="1"/>
    <col min="3857" max="3857" width="6.5546875" style="18" customWidth="1"/>
    <col min="3858" max="3858" width="4.21875" style="18" customWidth="1"/>
    <col min="3859" max="3859" width="4.109375" style="18" customWidth="1"/>
    <col min="3860" max="3860" width="3" style="18" customWidth="1"/>
    <col min="3861" max="3861" width="6.6640625" style="18" customWidth="1"/>
    <col min="3862" max="3862" width="5.44140625" style="18" customWidth="1"/>
    <col min="3863" max="3863" width="6.6640625" style="18" customWidth="1"/>
    <col min="3864" max="3864" width="5.6640625" style="18" customWidth="1"/>
    <col min="3865" max="3865" width="10.21875" style="18" customWidth="1"/>
    <col min="3866" max="3866" width="9.109375" style="18" customWidth="1"/>
    <col min="3867" max="3872" width="10.5546875" style="18"/>
    <col min="3873" max="3880" width="0" style="18" hidden="1" customWidth="1"/>
    <col min="3881" max="3881" width="7.5546875" style="18" customWidth="1"/>
    <col min="3882" max="3882" width="0" style="18" hidden="1" customWidth="1"/>
    <col min="3883" max="3883" width="6.109375" style="18" bestFit="1" customWidth="1"/>
    <col min="3884" max="3886" width="0" style="18" hidden="1" customWidth="1"/>
    <col min="3887" max="3887" width="10.5546875" style="18"/>
    <col min="3888" max="3888" width="8.77734375" style="18" customWidth="1"/>
    <col min="3889" max="3889" width="6.109375" style="18" bestFit="1" customWidth="1"/>
    <col min="3890" max="3891" width="0" style="18" hidden="1" customWidth="1"/>
    <col min="3892" max="3892" width="5.33203125" style="18" customWidth="1"/>
    <col min="3893" max="3893" width="10.5546875" style="18"/>
    <col min="3894" max="3894" width="0" style="18" hidden="1" customWidth="1"/>
    <col min="3895" max="4099" width="10.5546875" style="18"/>
    <col min="4100" max="4100" width="26.88671875" style="18" customWidth="1"/>
    <col min="4101" max="4101" width="14" style="18" customWidth="1"/>
    <col min="4102" max="4102" width="5.109375" style="18" customWidth="1"/>
    <col min="4103" max="4103" width="11.5546875" style="18" customWidth="1"/>
    <col min="4104" max="4104" width="4.88671875" style="18" customWidth="1"/>
    <col min="4105" max="4106" width="4.109375" style="18" customWidth="1"/>
    <col min="4107" max="4107" width="5.109375" style="18" customWidth="1"/>
    <col min="4108" max="4110" width="5.44140625" style="18" customWidth="1"/>
    <col min="4111" max="4111" width="8.5546875" style="18" customWidth="1"/>
    <col min="4112" max="4112" width="10" style="18" customWidth="1"/>
    <col min="4113" max="4113" width="6.5546875" style="18" customWidth="1"/>
    <col min="4114" max="4114" width="4.21875" style="18" customWidth="1"/>
    <col min="4115" max="4115" width="4.109375" style="18" customWidth="1"/>
    <col min="4116" max="4116" width="3" style="18" customWidth="1"/>
    <col min="4117" max="4117" width="6.6640625" style="18" customWidth="1"/>
    <col min="4118" max="4118" width="5.44140625" style="18" customWidth="1"/>
    <col min="4119" max="4119" width="6.6640625" style="18" customWidth="1"/>
    <col min="4120" max="4120" width="5.6640625" style="18" customWidth="1"/>
    <col min="4121" max="4121" width="10.21875" style="18" customWidth="1"/>
    <col min="4122" max="4122" width="9.109375" style="18" customWidth="1"/>
    <col min="4123" max="4128" width="10.5546875" style="18"/>
    <col min="4129" max="4136" width="0" style="18" hidden="1" customWidth="1"/>
    <col min="4137" max="4137" width="7.5546875" style="18" customWidth="1"/>
    <col min="4138" max="4138" width="0" style="18" hidden="1" customWidth="1"/>
    <col min="4139" max="4139" width="6.109375" style="18" bestFit="1" customWidth="1"/>
    <col min="4140" max="4142" width="0" style="18" hidden="1" customWidth="1"/>
    <col min="4143" max="4143" width="10.5546875" style="18"/>
    <col min="4144" max="4144" width="8.77734375" style="18" customWidth="1"/>
    <col min="4145" max="4145" width="6.109375" style="18" bestFit="1" customWidth="1"/>
    <col min="4146" max="4147" width="0" style="18" hidden="1" customWidth="1"/>
    <col min="4148" max="4148" width="5.33203125" style="18" customWidth="1"/>
    <col min="4149" max="4149" width="10.5546875" style="18"/>
    <col min="4150" max="4150" width="0" style="18" hidden="1" customWidth="1"/>
    <col min="4151" max="4355" width="10.5546875" style="18"/>
    <col min="4356" max="4356" width="26.88671875" style="18" customWidth="1"/>
    <col min="4357" max="4357" width="14" style="18" customWidth="1"/>
    <col min="4358" max="4358" width="5.109375" style="18" customWidth="1"/>
    <col min="4359" max="4359" width="11.5546875" style="18" customWidth="1"/>
    <col min="4360" max="4360" width="4.88671875" style="18" customWidth="1"/>
    <col min="4361" max="4362" width="4.109375" style="18" customWidth="1"/>
    <col min="4363" max="4363" width="5.109375" style="18" customWidth="1"/>
    <col min="4364" max="4366" width="5.44140625" style="18" customWidth="1"/>
    <col min="4367" max="4367" width="8.5546875" style="18" customWidth="1"/>
    <col min="4368" max="4368" width="10" style="18" customWidth="1"/>
    <col min="4369" max="4369" width="6.5546875" style="18" customWidth="1"/>
    <col min="4370" max="4370" width="4.21875" style="18" customWidth="1"/>
    <col min="4371" max="4371" width="4.109375" style="18" customWidth="1"/>
    <col min="4372" max="4372" width="3" style="18" customWidth="1"/>
    <col min="4373" max="4373" width="6.6640625" style="18" customWidth="1"/>
    <col min="4374" max="4374" width="5.44140625" style="18" customWidth="1"/>
    <col min="4375" max="4375" width="6.6640625" style="18" customWidth="1"/>
    <col min="4376" max="4376" width="5.6640625" style="18" customWidth="1"/>
    <col min="4377" max="4377" width="10.21875" style="18" customWidth="1"/>
    <col min="4378" max="4378" width="9.109375" style="18" customWidth="1"/>
    <col min="4379" max="4384" width="10.5546875" style="18"/>
    <col min="4385" max="4392" width="0" style="18" hidden="1" customWidth="1"/>
    <col min="4393" max="4393" width="7.5546875" style="18" customWidth="1"/>
    <col min="4394" max="4394" width="0" style="18" hidden="1" customWidth="1"/>
    <col min="4395" max="4395" width="6.109375" style="18" bestFit="1" customWidth="1"/>
    <col min="4396" max="4398" width="0" style="18" hidden="1" customWidth="1"/>
    <col min="4399" max="4399" width="10.5546875" style="18"/>
    <col min="4400" max="4400" width="8.77734375" style="18" customWidth="1"/>
    <col min="4401" max="4401" width="6.109375" style="18" bestFit="1" customWidth="1"/>
    <col min="4402" max="4403" width="0" style="18" hidden="1" customWidth="1"/>
    <col min="4404" max="4404" width="5.33203125" style="18" customWidth="1"/>
    <col min="4405" max="4405" width="10.5546875" style="18"/>
    <col min="4406" max="4406" width="0" style="18" hidden="1" customWidth="1"/>
    <col min="4407" max="4611" width="10.5546875" style="18"/>
    <col min="4612" max="4612" width="26.88671875" style="18" customWidth="1"/>
    <col min="4613" max="4613" width="14" style="18" customWidth="1"/>
    <col min="4614" max="4614" width="5.109375" style="18" customWidth="1"/>
    <col min="4615" max="4615" width="11.5546875" style="18" customWidth="1"/>
    <col min="4616" max="4616" width="4.88671875" style="18" customWidth="1"/>
    <col min="4617" max="4618" width="4.109375" style="18" customWidth="1"/>
    <col min="4619" max="4619" width="5.109375" style="18" customWidth="1"/>
    <col min="4620" max="4622" width="5.44140625" style="18" customWidth="1"/>
    <col min="4623" max="4623" width="8.5546875" style="18" customWidth="1"/>
    <col min="4624" max="4624" width="10" style="18" customWidth="1"/>
    <col min="4625" max="4625" width="6.5546875" style="18" customWidth="1"/>
    <col min="4626" max="4626" width="4.21875" style="18" customWidth="1"/>
    <col min="4627" max="4627" width="4.109375" style="18" customWidth="1"/>
    <col min="4628" max="4628" width="3" style="18" customWidth="1"/>
    <col min="4629" max="4629" width="6.6640625" style="18" customWidth="1"/>
    <col min="4630" max="4630" width="5.44140625" style="18" customWidth="1"/>
    <col min="4631" max="4631" width="6.6640625" style="18" customWidth="1"/>
    <col min="4632" max="4632" width="5.6640625" style="18" customWidth="1"/>
    <col min="4633" max="4633" width="10.21875" style="18" customWidth="1"/>
    <col min="4634" max="4634" width="9.109375" style="18" customWidth="1"/>
    <col min="4635" max="4640" width="10.5546875" style="18"/>
    <col min="4641" max="4648" width="0" style="18" hidden="1" customWidth="1"/>
    <col min="4649" max="4649" width="7.5546875" style="18" customWidth="1"/>
    <col min="4650" max="4650" width="0" style="18" hidden="1" customWidth="1"/>
    <col min="4651" max="4651" width="6.109375" style="18" bestFit="1" customWidth="1"/>
    <col min="4652" max="4654" width="0" style="18" hidden="1" customWidth="1"/>
    <col min="4655" max="4655" width="10.5546875" style="18"/>
    <col min="4656" max="4656" width="8.77734375" style="18" customWidth="1"/>
    <col min="4657" max="4657" width="6.109375" style="18" bestFit="1" customWidth="1"/>
    <col min="4658" max="4659" width="0" style="18" hidden="1" customWidth="1"/>
    <col min="4660" max="4660" width="5.33203125" style="18" customWidth="1"/>
    <col min="4661" max="4661" width="10.5546875" style="18"/>
    <col min="4662" max="4662" width="0" style="18" hidden="1" customWidth="1"/>
    <col min="4663" max="4867" width="10.5546875" style="18"/>
    <col min="4868" max="4868" width="26.88671875" style="18" customWidth="1"/>
    <col min="4869" max="4869" width="14" style="18" customWidth="1"/>
    <col min="4870" max="4870" width="5.109375" style="18" customWidth="1"/>
    <col min="4871" max="4871" width="11.5546875" style="18" customWidth="1"/>
    <col min="4872" max="4872" width="4.88671875" style="18" customWidth="1"/>
    <col min="4873" max="4874" width="4.109375" style="18" customWidth="1"/>
    <col min="4875" max="4875" width="5.109375" style="18" customWidth="1"/>
    <col min="4876" max="4878" width="5.44140625" style="18" customWidth="1"/>
    <col min="4879" max="4879" width="8.5546875" style="18" customWidth="1"/>
    <col min="4880" max="4880" width="10" style="18" customWidth="1"/>
    <col min="4881" max="4881" width="6.5546875" style="18" customWidth="1"/>
    <col min="4882" max="4882" width="4.21875" style="18" customWidth="1"/>
    <col min="4883" max="4883" width="4.109375" style="18" customWidth="1"/>
    <col min="4884" max="4884" width="3" style="18" customWidth="1"/>
    <col min="4885" max="4885" width="6.6640625" style="18" customWidth="1"/>
    <col min="4886" max="4886" width="5.44140625" style="18" customWidth="1"/>
    <col min="4887" max="4887" width="6.6640625" style="18" customWidth="1"/>
    <col min="4888" max="4888" width="5.6640625" style="18" customWidth="1"/>
    <col min="4889" max="4889" width="10.21875" style="18" customWidth="1"/>
    <col min="4890" max="4890" width="9.109375" style="18" customWidth="1"/>
    <col min="4891" max="4896" width="10.5546875" style="18"/>
    <col min="4897" max="4904" width="0" style="18" hidden="1" customWidth="1"/>
    <col min="4905" max="4905" width="7.5546875" style="18" customWidth="1"/>
    <col min="4906" max="4906" width="0" style="18" hidden="1" customWidth="1"/>
    <col min="4907" max="4907" width="6.109375" style="18" bestFit="1" customWidth="1"/>
    <col min="4908" max="4910" width="0" style="18" hidden="1" customWidth="1"/>
    <col min="4911" max="4911" width="10.5546875" style="18"/>
    <col min="4912" max="4912" width="8.77734375" style="18" customWidth="1"/>
    <col min="4913" max="4913" width="6.109375" style="18" bestFit="1" customWidth="1"/>
    <col min="4914" max="4915" width="0" style="18" hidden="1" customWidth="1"/>
    <col min="4916" max="4916" width="5.33203125" style="18" customWidth="1"/>
    <col min="4917" max="4917" width="10.5546875" style="18"/>
    <col min="4918" max="4918" width="0" style="18" hidden="1" customWidth="1"/>
    <col min="4919" max="5123" width="10.5546875" style="18"/>
    <col min="5124" max="5124" width="26.88671875" style="18" customWidth="1"/>
    <col min="5125" max="5125" width="14" style="18" customWidth="1"/>
    <col min="5126" max="5126" width="5.109375" style="18" customWidth="1"/>
    <col min="5127" max="5127" width="11.5546875" style="18" customWidth="1"/>
    <col min="5128" max="5128" width="4.88671875" style="18" customWidth="1"/>
    <col min="5129" max="5130" width="4.109375" style="18" customWidth="1"/>
    <col min="5131" max="5131" width="5.109375" style="18" customWidth="1"/>
    <col min="5132" max="5134" width="5.44140625" style="18" customWidth="1"/>
    <col min="5135" max="5135" width="8.5546875" style="18" customWidth="1"/>
    <col min="5136" max="5136" width="10" style="18" customWidth="1"/>
    <col min="5137" max="5137" width="6.5546875" style="18" customWidth="1"/>
    <col min="5138" max="5138" width="4.21875" style="18" customWidth="1"/>
    <col min="5139" max="5139" width="4.109375" style="18" customWidth="1"/>
    <col min="5140" max="5140" width="3" style="18" customWidth="1"/>
    <col min="5141" max="5141" width="6.6640625" style="18" customWidth="1"/>
    <col min="5142" max="5142" width="5.44140625" style="18" customWidth="1"/>
    <col min="5143" max="5143" width="6.6640625" style="18" customWidth="1"/>
    <col min="5144" max="5144" width="5.6640625" style="18" customWidth="1"/>
    <col min="5145" max="5145" width="10.21875" style="18" customWidth="1"/>
    <col min="5146" max="5146" width="9.109375" style="18" customWidth="1"/>
    <col min="5147" max="5152" width="10.5546875" style="18"/>
    <col min="5153" max="5160" width="0" style="18" hidden="1" customWidth="1"/>
    <col min="5161" max="5161" width="7.5546875" style="18" customWidth="1"/>
    <col min="5162" max="5162" width="0" style="18" hidden="1" customWidth="1"/>
    <col min="5163" max="5163" width="6.109375" style="18" bestFit="1" customWidth="1"/>
    <col min="5164" max="5166" width="0" style="18" hidden="1" customWidth="1"/>
    <col min="5167" max="5167" width="10.5546875" style="18"/>
    <col min="5168" max="5168" width="8.77734375" style="18" customWidth="1"/>
    <col min="5169" max="5169" width="6.109375" style="18" bestFit="1" customWidth="1"/>
    <col min="5170" max="5171" width="0" style="18" hidden="1" customWidth="1"/>
    <col min="5172" max="5172" width="5.33203125" style="18" customWidth="1"/>
    <col min="5173" max="5173" width="10.5546875" style="18"/>
    <col min="5174" max="5174" width="0" style="18" hidden="1" customWidth="1"/>
    <col min="5175" max="5379" width="10.5546875" style="18"/>
    <col min="5380" max="5380" width="26.88671875" style="18" customWidth="1"/>
    <col min="5381" max="5381" width="14" style="18" customWidth="1"/>
    <col min="5382" max="5382" width="5.109375" style="18" customWidth="1"/>
    <col min="5383" max="5383" width="11.5546875" style="18" customWidth="1"/>
    <col min="5384" max="5384" width="4.88671875" style="18" customWidth="1"/>
    <col min="5385" max="5386" width="4.109375" style="18" customWidth="1"/>
    <col min="5387" max="5387" width="5.109375" style="18" customWidth="1"/>
    <col min="5388" max="5390" width="5.44140625" style="18" customWidth="1"/>
    <col min="5391" max="5391" width="8.5546875" style="18" customWidth="1"/>
    <col min="5392" max="5392" width="10" style="18" customWidth="1"/>
    <col min="5393" max="5393" width="6.5546875" style="18" customWidth="1"/>
    <col min="5394" max="5394" width="4.21875" style="18" customWidth="1"/>
    <col min="5395" max="5395" width="4.109375" style="18" customWidth="1"/>
    <col min="5396" max="5396" width="3" style="18" customWidth="1"/>
    <col min="5397" max="5397" width="6.6640625" style="18" customWidth="1"/>
    <col min="5398" max="5398" width="5.44140625" style="18" customWidth="1"/>
    <col min="5399" max="5399" width="6.6640625" style="18" customWidth="1"/>
    <col min="5400" max="5400" width="5.6640625" style="18" customWidth="1"/>
    <col min="5401" max="5401" width="10.21875" style="18" customWidth="1"/>
    <col min="5402" max="5402" width="9.109375" style="18" customWidth="1"/>
    <col min="5403" max="5408" width="10.5546875" style="18"/>
    <col min="5409" max="5416" width="0" style="18" hidden="1" customWidth="1"/>
    <col min="5417" max="5417" width="7.5546875" style="18" customWidth="1"/>
    <col min="5418" max="5418" width="0" style="18" hidden="1" customWidth="1"/>
    <col min="5419" max="5419" width="6.109375" style="18" bestFit="1" customWidth="1"/>
    <col min="5420" max="5422" width="0" style="18" hidden="1" customWidth="1"/>
    <col min="5423" max="5423" width="10.5546875" style="18"/>
    <col min="5424" max="5424" width="8.77734375" style="18" customWidth="1"/>
    <col min="5425" max="5425" width="6.109375" style="18" bestFit="1" customWidth="1"/>
    <col min="5426" max="5427" width="0" style="18" hidden="1" customWidth="1"/>
    <col min="5428" max="5428" width="5.33203125" style="18" customWidth="1"/>
    <col min="5429" max="5429" width="10.5546875" style="18"/>
    <col min="5430" max="5430" width="0" style="18" hidden="1" customWidth="1"/>
    <col min="5431" max="5635" width="10.5546875" style="18"/>
    <col min="5636" max="5636" width="26.88671875" style="18" customWidth="1"/>
    <col min="5637" max="5637" width="14" style="18" customWidth="1"/>
    <col min="5638" max="5638" width="5.109375" style="18" customWidth="1"/>
    <col min="5639" max="5639" width="11.5546875" style="18" customWidth="1"/>
    <col min="5640" max="5640" width="4.88671875" style="18" customWidth="1"/>
    <col min="5641" max="5642" width="4.109375" style="18" customWidth="1"/>
    <col min="5643" max="5643" width="5.109375" style="18" customWidth="1"/>
    <col min="5644" max="5646" width="5.44140625" style="18" customWidth="1"/>
    <col min="5647" max="5647" width="8.5546875" style="18" customWidth="1"/>
    <col min="5648" max="5648" width="10" style="18" customWidth="1"/>
    <col min="5649" max="5649" width="6.5546875" style="18" customWidth="1"/>
    <col min="5650" max="5650" width="4.21875" style="18" customWidth="1"/>
    <col min="5651" max="5651" width="4.109375" style="18" customWidth="1"/>
    <col min="5652" max="5652" width="3" style="18" customWidth="1"/>
    <col min="5653" max="5653" width="6.6640625" style="18" customWidth="1"/>
    <col min="5654" max="5654" width="5.44140625" style="18" customWidth="1"/>
    <col min="5655" max="5655" width="6.6640625" style="18" customWidth="1"/>
    <col min="5656" max="5656" width="5.6640625" style="18" customWidth="1"/>
    <col min="5657" max="5657" width="10.21875" style="18" customWidth="1"/>
    <col min="5658" max="5658" width="9.109375" style="18" customWidth="1"/>
    <col min="5659" max="5664" width="10.5546875" style="18"/>
    <col min="5665" max="5672" width="0" style="18" hidden="1" customWidth="1"/>
    <col min="5673" max="5673" width="7.5546875" style="18" customWidth="1"/>
    <col min="5674" max="5674" width="0" style="18" hidden="1" customWidth="1"/>
    <col min="5675" max="5675" width="6.109375" style="18" bestFit="1" customWidth="1"/>
    <col min="5676" max="5678" width="0" style="18" hidden="1" customWidth="1"/>
    <col min="5679" max="5679" width="10.5546875" style="18"/>
    <col min="5680" max="5680" width="8.77734375" style="18" customWidth="1"/>
    <col min="5681" max="5681" width="6.109375" style="18" bestFit="1" customWidth="1"/>
    <col min="5682" max="5683" width="0" style="18" hidden="1" customWidth="1"/>
    <col min="5684" max="5684" width="5.33203125" style="18" customWidth="1"/>
    <col min="5685" max="5685" width="10.5546875" style="18"/>
    <col min="5686" max="5686" width="0" style="18" hidden="1" customWidth="1"/>
    <col min="5687" max="5891" width="10.5546875" style="18"/>
    <col min="5892" max="5892" width="26.88671875" style="18" customWidth="1"/>
    <col min="5893" max="5893" width="14" style="18" customWidth="1"/>
    <col min="5894" max="5894" width="5.109375" style="18" customWidth="1"/>
    <col min="5895" max="5895" width="11.5546875" style="18" customWidth="1"/>
    <col min="5896" max="5896" width="4.88671875" style="18" customWidth="1"/>
    <col min="5897" max="5898" width="4.109375" style="18" customWidth="1"/>
    <col min="5899" max="5899" width="5.109375" style="18" customWidth="1"/>
    <col min="5900" max="5902" width="5.44140625" style="18" customWidth="1"/>
    <col min="5903" max="5903" width="8.5546875" style="18" customWidth="1"/>
    <col min="5904" max="5904" width="10" style="18" customWidth="1"/>
    <col min="5905" max="5905" width="6.5546875" style="18" customWidth="1"/>
    <col min="5906" max="5906" width="4.21875" style="18" customWidth="1"/>
    <col min="5907" max="5907" width="4.109375" style="18" customWidth="1"/>
    <col min="5908" max="5908" width="3" style="18" customWidth="1"/>
    <col min="5909" max="5909" width="6.6640625" style="18" customWidth="1"/>
    <col min="5910" max="5910" width="5.44140625" style="18" customWidth="1"/>
    <col min="5911" max="5911" width="6.6640625" style="18" customWidth="1"/>
    <col min="5912" max="5912" width="5.6640625" style="18" customWidth="1"/>
    <col min="5913" max="5913" width="10.21875" style="18" customWidth="1"/>
    <col min="5914" max="5914" width="9.109375" style="18" customWidth="1"/>
    <col min="5915" max="5920" width="10.5546875" style="18"/>
    <col min="5921" max="5928" width="0" style="18" hidden="1" customWidth="1"/>
    <col min="5929" max="5929" width="7.5546875" style="18" customWidth="1"/>
    <col min="5930" max="5930" width="0" style="18" hidden="1" customWidth="1"/>
    <col min="5931" max="5931" width="6.109375" style="18" bestFit="1" customWidth="1"/>
    <col min="5932" max="5934" width="0" style="18" hidden="1" customWidth="1"/>
    <col min="5935" max="5935" width="10.5546875" style="18"/>
    <col min="5936" max="5936" width="8.77734375" style="18" customWidth="1"/>
    <col min="5937" max="5937" width="6.109375" style="18" bestFit="1" customWidth="1"/>
    <col min="5938" max="5939" width="0" style="18" hidden="1" customWidth="1"/>
    <col min="5940" max="5940" width="5.33203125" style="18" customWidth="1"/>
    <col min="5941" max="5941" width="10.5546875" style="18"/>
    <col min="5942" max="5942" width="0" style="18" hidden="1" customWidth="1"/>
    <col min="5943" max="6147" width="10.5546875" style="18"/>
    <col min="6148" max="6148" width="26.88671875" style="18" customWidth="1"/>
    <col min="6149" max="6149" width="14" style="18" customWidth="1"/>
    <col min="6150" max="6150" width="5.109375" style="18" customWidth="1"/>
    <col min="6151" max="6151" width="11.5546875" style="18" customWidth="1"/>
    <col min="6152" max="6152" width="4.88671875" style="18" customWidth="1"/>
    <col min="6153" max="6154" width="4.109375" style="18" customWidth="1"/>
    <col min="6155" max="6155" width="5.109375" style="18" customWidth="1"/>
    <col min="6156" max="6158" width="5.44140625" style="18" customWidth="1"/>
    <col min="6159" max="6159" width="8.5546875" style="18" customWidth="1"/>
    <col min="6160" max="6160" width="10" style="18" customWidth="1"/>
    <col min="6161" max="6161" width="6.5546875" style="18" customWidth="1"/>
    <col min="6162" max="6162" width="4.21875" style="18" customWidth="1"/>
    <col min="6163" max="6163" width="4.109375" style="18" customWidth="1"/>
    <col min="6164" max="6164" width="3" style="18" customWidth="1"/>
    <col min="6165" max="6165" width="6.6640625" style="18" customWidth="1"/>
    <col min="6166" max="6166" width="5.44140625" style="18" customWidth="1"/>
    <col min="6167" max="6167" width="6.6640625" style="18" customWidth="1"/>
    <col min="6168" max="6168" width="5.6640625" style="18" customWidth="1"/>
    <col min="6169" max="6169" width="10.21875" style="18" customWidth="1"/>
    <col min="6170" max="6170" width="9.109375" style="18" customWidth="1"/>
    <col min="6171" max="6176" width="10.5546875" style="18"/>
    <col min="6177" max="6184" width="0" style="18" hidden="1" customWidth="1"/>
    <col min="6185" max="6185" width="7.5546875" style="18" customWidth="1"/>
    <col min="6186" max="6186" width="0" style="18" hidden="1" customWidth="1"/>
    <col min="6187" max="6187" width="6.109375" style="18" bestFit="1" customWidth="1"/>
    <col min="6188" max="6190" width="0" style="18" hidden="1" customWidth="1"/>
    <col min="6191" max="6191" width="10.5546875" style="18"/>
    <col min="6192" max="6192" width="8.77734375" style="18" customWidth="1"/>
    <col min="6193" max="6193" width="6.109375" style="18" bestFit="1" customWidth="1"/>
    <col min="6194" max="6195" width="0" style="18" hidden="1" customWidth="1"/>
    <col min="6196" max="6196" width="5.33203125" style="18" customWidth="1"/>
    <col min="6197" max="6197" width="10.5546875" style="18"/>
    <col min="6198" max="6198" width="0" style="18" hidden="1" customWidth="1"/>
    <col min="6199" max="6403" width="10.5546875" style="18"/>
    <col min="6404" max="6404" width="26.88671875" style="18" customWidth="1"/>
    <col min="6405" max="6405" width="14" style="18" customWidth="1"/>
    <col min="6406" max="6406" width="5.109375" style="18" customWidth="1"/>
    <col min="6407" max="6407" width="11.5546875" style="18" customWidth="1"/>
    <col min="6408" max="6408" width="4.88671875" style="18" customWidth="1"/>
    <col min="6409" max="6410" width="4.109375" style="18" customWidth="1"/>
    <col min="6411" max="6411" width="5.109375" style="18" customWidth="1"/>
    <col min="6412" max="6414" width="5.44140625" style="18" customWidth="1"/>
    <col min="6415" max="6415" width="8.5546875" style="18" customWidth="1"/>
    <col min="6416" max="6416" width="10" style="18" customWidth="1"/>
    <col min="6417" max="6417" width="6.5546875" style="18" customWidth="1"/>
    <col min="6418" max="6418" width="4.21875" style="18" customWidth="1"/>
    <col min="6419" max="6419" width="4.109375" style="18" customWidth="1"/>
    <col min="6420" max="6420" width="3" style="18" customWidth="1"/>
    <col min="6421" max="6421" width="6.6640625" style="18" customWidth="1"/>
    <col min="6422" max="6422" width="5.44140625" style="18" customWidth="1"/>
    <col min="6423" max="6423" width="6.6640625" style="18" customWidth="1"/>
    <col min="6424" max="6424" width="5.6640625" style="18" customWidth="1"/>
    <col min="6425" max="6425" width="10.21875" style="18" customWidth="1"/>
    <col min="6426" max="6426" width="9.109375" style="18" customWidth="1"/>
    <col min="6427" max="6432" width="10.5546875" style="18"/>
    <col min="6433" max="6440" width="0" style="18" hidden="1" customWidth="1"/>
    <col min="6441" max="6441" width="7.5546875" style="18" customWidth="1"/>
    <col min="6442" max="6442" width="0" style="18" hidden="1" customWidth="1"/>
    <col min="6443" max="6443" width="6.109375" style="18" bestFit="1" customWidth="1"/>
    <col min="6444" max="6446" width="0" style="18" hidden="1" customWidth="1"/>
    <col min="6447" max="6447" width="10.5546875" style="18"/>
    <col min="6448" max="6448" width="8.77734375" style="18" customWidth="1"/>
    <col min="6449" max="6449" width="6.109375" style="18" bestFit="1" customWidth="1"/>
    <col min="6450" max="6451" width="0" style="18" hidden="1" customWidth="1"/>
    <col min="6452" max="6452" width="5.33203125" style="18" customWidth="1"/>
    <col min="6453" max="6453" width="10.5546875" style="18"/>
    <col min="6454" max="6454" width="0" style="18" hidden="1" customWidth="1"/>
    <col min="6455" max="6659" width="10.5546875" style="18"/>
    <col min="6660" max="6660" width="26.88671875" style="18" customWidth="1"/>
    <col min="6661" max="6661" width="14" style="18" customWidth="1"/>
    <col min="6662" max="6662" width="5.109375" style="18" customWidth="1"/>
    <col min="6663" max="6663" width="11.5546875" style="18" customWidth="1"/>
    <col min="6664" max="6664" width="4.88671875" style="18" customWidth="1"/>
    <col min="6665" max="6666" width="4.109375" style="18" customWidth="1"/>
    <col min="6667" max="6667" width="5.109375" style="18" customWidth="1"/>
    <col min="6668" max="6670" width="5.44140625" style="18" customWidth="1"/>
    <col min="6671" max="6671" width="8.5546875" style="18" customWidth="1"/>
    <col min="6672" max="6672" width="10" style="18" customWidth="1"/>
    <col min="6673" max="6673" width="6.5546875" style="18" customWidth="1"/>
    <col min="6674" max="6674" width="4.21875" style="18" customWidth="1"/>
    <col min="6675" max="6675" width="4.109375" style="18" customWidth="1"/>
    <col min="6676" max="6676" width="3" style="18" customWidth="1"/>
    <col min="6677" max="6677" width="6.6640625" style="18" customWidth="1"/>
    <col min="6678" max="6678" width="5.44140625" style="18" customWidth="1"/>
    <col min="6679" max="6679" width="6.6640625" style="18" customWidth="1"/>
    <col min="6680" max="6680" width="5.6640625" style="18" customWidth="1"/>
    <col min="6681" max="6681" width="10.21875" style="18" customWidth="1"/>
    <col min="6682" max="6682" width="9.109375" style="18" customWidth="1"/>
    <col min="6683" max="6688" width="10.5546875" style="18"/>
    <col min="6689" max="6696" width="0" style="18" hidden="1" customWidth="1"/>
    <col min="6697" max="6697" width="7.5546875" style="18" customWidth="1"/>
    <col min="6698" max="6698" width="0" style="18" hidden="1" customWidth="1"/>
    <col min="6699" max="6699" width="6.109375" style="18" bestFit="1" customWidth="1"/>
    <col min="6700" max="6702" width="0" style="18" hidden="1" customWidth="1"/>
    <col min="6703" max="6703" width="10.5546875" style="18"/>
    <col min="6704" max="6704" width="8.77734375" style="18" customWidth="1"/>
    <col min="6705" max="6705" width="6.109375" style="18" bestFit="1" customWidth="1"/>
    <col min="6706" max="6707" width="0" style="18" hidden="1" customWidth="1"/>
    <col min="6708" max="6708" width="5.33203125" style="18" customWidth="1"/>
    <col min="6709" max="6709" width="10.5546875" style="18"/>
    <col min="6710" max="6710" width="0" style="18" hidden="1" customWidth="1"/>
    <col min="6711" max="6915" width="10.5546875" style="18"/>
    <col min="6916" max="6916" width="26.88671875" style="18" customWidth="1"/>
    <col min="6917" max="6917" width="14" style="18" customWidth="1"/>
    <col min="6918" max="6918" width="5.109375" style="18" customWidth="1"/>
    <col min="6919" max="6919" width="11.5546875" style="18" customWidth="1"/>
    <col min="6920" max="6920" width="4.88671875" style="18" customWidth="1"/>
    <col min="6921" max="6922" width="4.109375" style="18" customWidth="1"/>
    <col min="6923" max="6923" width="5.109375" style="18" customWidth="1"/>
    <col min="6924" max="6926" width="5.44140625" style="18" customWidth="1"/>
    <col min="6927" max="6927" width="8.5546875" style="18" customWidth="1"/>
    <col min="6928" max="6928" width="10" style="18" customWidth="1"/>
    <col min="6929" max="6929" width="6.5546875" style="18" customWidth="1"/>
    <col min="6930" max="6930" width="4.21875" style="18" customWidth="1"/>
    <col min="6931" max="6931" width="4.109375" style="18" customWidth="1"/>
    <col min="6932" max="6932" width="3" style="18" customWidth="1"/>
    <col min="6933" max="6933" width="6.6640625" style="18" customWidth="1"/>
    <col min="6934" max="6934" width="5.44140625" style="18" customWidth="1"/>
    <col min="6935" max="6935" width="6.6640625" style="18" customWidth="1"/>
    <col min="6936" max="6936" width="5.6640625" style="18" customWidth="1"/>
    <col min="6937" max="6937" width="10.21875" style="18" customWidth="1"/>
    <col min="6938" max="6938" width="9.109375" style="18" customWidth="1"/>
    <col min="6939" max="6944" width="10.5546875" style="18"/>
    <col min="6945" max="6952" width="0" style="18" hidden="1" customWidth="1"/>
    <col min="6953" max="6953" width="7.5546875" style="18" customWidth="1"/>
    <col min="6954" max="6954" width="0" style="18" hidden="1" customWidth="1"/>
    <col min="6955" max="6955" width="6.109375" style="18" bestFit="1" customWidth="1"/>
    <col min="6956" max="6958" width="0" style="18" hidden="1" customWidth="1"/>
    <col min="6959" max="6959" width="10.5546875" style="18"/>
    <col min="6960" max="6960" width="8.77734375" style="18" customWidth="1"/>
    <col min="6961" max="6961" width="6.109375" style="18" bestFit="1" customWidth="1"/>
    <col min="6962" max="6963" width="0" style="18" hidden="1" customWidth="1"/>
    <col min="6964" max="6964" width="5.33203125" style="18" customWidth="1"/>
    <col min="6965" max="6965" width="10.5546875" style="18"/>
    <col min="6966" max="6966" width="0" style="18" hidden="1" customWidth="1"/>
    <col min="6967" max="7171" width="10.5546875" style="18"/>
    <col min="7172" max="7172" width="26.88671875" style="18" customWidth="1"/>
    <col min="7173" max="7173" width="14" style="18" customWidth="1"/>
    <col min="7174" max="7174" width="5.109375" style="18" customWidth="1"/>
    <col min="7175" max="7175" width="11.5546875" style="18" customWidth="1"/>
    <col min="7176" max="7176" width="4.88671875" style="18" customWidth="1"/>
    <col min="7177" max="7178" width="4.109375" style="18" customWidth="1"/>
    <col min="7179" max="7179" width="5.109375" style="18" customWidth="1"/>
    <col min="7180" max="7182" width="5.44140625" style="18" customWidth="1"/>
    <col min="7183" max="7183" width="8.5546875" style="18" customWidth="1"/>
    <col min="7184" max="7184" width="10" style="18" customWidth="1"/>
    <col min="7185" max="7185" width="6.5546875" style="18" customWidth="1"/>
    <col min="7186" max="7186" width="4.21875" style="18" customWidth="1"/>
    <col min="7187" max="7187" width="4.109375" style="18" customWidth="1"/>
    <col min="7188" max="7188" width="3" style="18" customWidth="1"/>
    <col min="7189" max="7189" width="6.6640625" style="18" customWidth="1"/>
    <col min="7190" max="7190" width="5.44140625" style="18" customWidth="1"/>
    <col min="7191" max="7191" width="6.6640625" style="18" customWidth="1"/>
    <col min="7192" max="7192" width="5.6640625" style="18" customWidth="1"/>
    <col min="7193" max="7193" width="10.21875" style="18" customWidth="1"/>
    <col min="7194" max="7194" width="9.109375" style="18" customWidth="1"/>
    <col min="7195" max="7200" width="10.5546875" style="18"/>
    <col min="7201" max="7208" width="0" style="18" hidden="1" customWidth="1"/>
    <col min="7209" max="7209" width="7.5546875" style="18" customWidth="1"/>
    <col min="7210" max="7210" width="0" style="18" hidden="1" customWidth="1"/>
    <col min="7211" max="7211" width="6.109375" style="18" bestFit="1" customWidth="1"/>
    <col min="7212" max="7214" width="0" style="18" hidden="1" customWidth="1"/>
    <col min="7215" max="7215" width="10.5546875" style="18"/>
    <col min="7216" max="7216" width="8.77734375" style="18" customWidth="1"/>
    <col min="7217" max="7217" width="6.109375" style="18" bestFit="1" customWidth="1"/>
    <col min="7218" max="7219" width="0" style="18" hidden="1" customWidth="1"/>
    <col min="7220" max="7220" width="5.33203125" style="18" customWidth="1"/>
    <col min="7221" max="7221" width="10.5546875" style="18"/>
    <col min="7222" max="7222" width="0" style="18" hidden="1" customWidth="1"/>
    <col min="7223" max="7427" width="10.5546875" style="18"/>
    <col min="7428" max="7428" width="26.88671875" style="18" customWidth="1"/>
    <col min="7429" max="7429" width="14" style="18" customWidth="1"/>
    <col min="7430" max="7430" width="5.109375" style="18" customWidth="1"/>
    <col min="7431" max="7431" width="11.5546875" style="18" customWidth="1"/>
    <col min="7432" max="7432" width="4.88671875" style="18" customWidth="1"/>
    <col min="7433" max="7434" width="4.109375" style="18" customWidth="1"/>
    <col min="7435" max="7435" width="5.109375" style="18" customWidth="1"/>
    <col min="7436" max="7438" width="5.44140625" style="18" customWidth="1"/>
    <col min="7439" max="7439" width="8.5546875" style="18" customWidth="1"/>
    <col min="7440" max="7440" width="10" style="18" customWidth="1"/>
    <col min="7441" max="7441" width="6.5546875" style="18" customWidth="1"/>
    <col min="7442" max="7442" width="4.21875" style="18" customWidth="1"/>
    <col min="7443" max="7443" width="4.109375" style="18" customWidth="1"/>
    <col min="7444" max="7444" width="3" style="18" customWidth="1"/>
    <col min="7445" max="7445" width="6.6640625" style="18" customWidth="1"/>
    <col min="7446" max="7446" width="5.44140625" style="18" customWidth="1"/>
    <col min="7447" max="7447" width="6.6640625" style="18" customWidth="1"/>
    <col min="7448" max="7448" width="5.6640625" style="18" customWidth="1"/>
    <col min="7449" max="7449" width="10.21875" style="18" customWidth="1"/>
    <col min="7450" max="7450" width="9.109375" style="18" customWidth="1"/>
    <col min="7451" max="7456" width="10.5546875" style="18"/>
    <col min="7457" max="7464" width="0" style="18" hidden="1" customWidth="1"/>
    <col min="7465" max="7465" width="7.5546875" style="18" customWidth="1"/>
    <col min="7466" max="7466" width="0" style="18" hidden="1" customWidth="1"/>
    <col min="7467" max="7467" width="6.109375" style="18" bestFit="1" customWidth="1"/>
    <col min="7468" max="7470" width="0" style="18" hidden="1" customWidth="1"/>
    <col min="7471" max="7471" width="10.5546875" style="18"/>
    <col min="7472" max="7472" width="8.77734375" style="18" customWidth="1"/>
    <col min="7473" max="7473" width="6.109375" style="18" bestFit="1" customWidth="1"/>
    <col min="7474" max="7475" width="0" style="18" hidden="1" customWidth="1"/>
    <col min="7476" max="7476" width="5.33203125" style="18" customWidth="1"/>
    <col min="7477" max="7477" width="10.5546875" style="18"/>
    <col min="7478" max="7478" width="0" style="18" hidden="1" customWidth="1"/>
    <col min="7479" max="7683" width="10.5546875" style="18"/>
    <col min="7684" max="7684" width="26.88671875" style="18" customWidth="1"/>
    <col min="7685" max="7685" width="14" style="18" customWidth="1"/>
    <col min="7686" max="7686" width="5.109375" style="18" customWidth="1"/>
    <col min="7687" max="7687" width="11.5546875" style="18" customWidth="1"/>
    <col min="7688" max="7688" width="4.88671875" style="18" customWidth="1"/>
    <col min="7689" max="7690" width="4.109375" style="18" customWidth="1"/>
    <col min="7691" max="7691" width="5.109375" style="18" customWidth="1"/>
    <col min="7692" max="7694" width="5.44140625" style="18" customWidth="1"/>
    <col min="7695" max="7695" width="8.5546875" style="18" customWidth="1"/>
    <col min="7696" max="7696" width="10" style="18" customWidth="1"/>
    <col min="7697" max="7697" width="6.5546875" style="18" customWidth="1"/>
    <col min="7698" max="7698" width="4.21875" style="18" customWidth="1"/>
    <col min="7699" max="7699" width="4.109375" style="18" customWidth="1"/>
    <col min="7700" max="7700" width="3" style="18" customWidth="1"/>
    <col min="7701" max="7701" width="6.6640625" style="18" customWidth="1"/>
    <col min="7702" max="7702" width="5.44140625" style="18" customWidth="1"/>
    <col min="7703" max="7703" width="6.6640625" style="18" customWidth="1"/>
    <col min="7704" max="7704" width="5.6640625" style="18" customWidth="1"/>
    <col min="7705" max="7705" width="10.21875" style="18" customWidth="1"/>
    <col min="7706" max="7706" width="9.109375" style="18" customWidth="1"/>
    <col min="7707" max="7712" width="10.5546875" style="18"/>
    <col min="7713" max="7720" width="0" style="18" hidden="1" customWidth="1"/>
    <col min="7721" max="7721" width="7.5546875" style="18" customWidth="1"/>
    <col min="7722" max="7722" width="0" style="18" hidden="1" customWidth="1"/>
    <col min="7723" max="7723" width="6.109375" style="18" bestFit="1" customWidth="1"/>
    <col min="7724" max="7726" width="0" style="18" hidden="1" customWidth="1"/>
    <col min="7727" max="7727" width="10.5546875" style="18"/>
    <col min="7728" max="7728" width="8.77734375" style="18" customWidth="1"/>
    <col min="7729" max="7729" width="6.109375" style="18" bestFit="1" customWidth="1"/>
    <col min="7730" max="7731" width="0" style="18" hidden="1" customWidth="1"/>
    <col min="7732" max="7732" width="5.33203125" style="18" customWidth="1"/>
    <col min="7733" max="7733" width="10.5546875" style="18"/>
    <col min="7734" max="7734" width="0" style="18" hidden="1" customWidth="1"/>
    <col min="7735" max="7939" width="10.5546875" style="18"/>
    <col min="7940" max="7940" width="26.88671875" style="18" customWidth="1"/>
    <col min="7941" max="7941" width="14" style="18" customWidth="1"/>
    <col min="7942" max="7942" width="5.109375" style="18" customWidth="1"/>
    <col min="7943" max="7943" width="11.5546875" style="18" customWidth="1"/>
    <col min="7944" max="7944" width="4.88671875" style="18" customWidth="1"/>
    <col min="7945" max="7946" width="4.109375" style="18" customWidth="1"/>
    <col min="7947" max="7947" width="5.109375" style="18" customWidth="1"/>
    <col min="7948" max="7950" width="5.44140625" style="18" customWidth="1"/>
    <col min="7951" max="7951" width="8.5546875" style="18" customWidth="1"/>
    <col min="7952" max="7952" width="10" style="18" customWidth="1"/>
    <col min="7953" max="7953" width="6.5546875" style="18" customWidth="1"/>
    <col min="7954" max="7954" width="4.21875" style="18" customWidth="1"/>
    <col min="7955" max="7955" width="4.109375" style="18" customWidth="1"/>
    <col min="7956" max="7956" width="3" style="18" customWidth="1"/>
    <col min="7957" max="7957" width="6.6640625" style="18" customWidth="1"/>
    <col min="7958" max="7958" width="5.44140625" style="18" customWidth="1"/>
    <col min="7959" max="7959" width="6.6640625" style="18" customWidth="1"/>
    <col min="7960" max="7960" width="5.6640625" style="18" customWidth="1"/>
    <col min="7961" max="7961" width="10.21875" style="18" customWidth="1"/>
    <col min="7962" max="7962" width="9.109375" style="18" customWidth="1"/>
    <col min="7963" max="7968" width="10.5546875" style="18"/>
    <col min="7969" max="7976" width="0" style="18" hidden="1" customWidth="1"/>
    <col min="7977" max="7977" width="7.5546875" style="18" customWidth="1"/>
    <col min="7978" max="7978" width="0" style="18" hidden="1" customWidth="1"/>
    <col min="7979" max="7979" width="6.109375" style="18" bestFit="1" customWidth="1"/>
    <col min="7980" max="7982" width="0" style="18" hidden="1" customWidth="1"/>
    <col min="7983" max="7983" width="10.5546875" style="18"/>
    <col min="7984" max="7984" width="8.77734375" style="18" customWidth="1"/>
    <col min="7985" max="7985" width="6.109375" style="18" bestFit="1" customWidth="1"/>
    <col min="7986" max="7987" width="0" style="18" hidden="1" customWidth="1"/>
    <col min="7988" max="7988" width="5.33203125" style="18" customWidth="1"/>
    <col min="7989" max="7989" width="10.5546875" style="18"/>
    <col min="7990" max="7990" width="0" style="18" hidden="1" customWidth="1"/>
    <col min="7991" max="8195" width="10.5546875" style="18"/>
    <col min="8196" max="8196" width="26.88671875" style="18" customWidth="1"/>
    <col min="8197" max="8197" width="14" style="18" customWidth="1"/>
    <col min="8198" max="8198" width="5.109375" style="18" customWidth="1"/>
    <col min="8199" max="8199" width="11.5546875" style="18" customWidth="1"/>
    <col min="8200" max="8200" width="4.88671875" style="18" customWidth="1"/>
    <col min="8201" max="8202" width="4.109375" style="18" customWidth="1"/>
    <col min="8203" max="8203" width="5.109375" style="18" customWidth="1"/>
    <col min="8204" max="8206" width="5.44140625" style="18" customWidth="1"/>
    <col min="8207" max="8207" width="8.5546875" style="18" customWidth="1"/>
    <col min="8208" max="8208" width="10" style="18" customWidth="1"/>
    <col min="8209" max="8209" width="6.5546875" style="18" customWidth="1"/>
    <col min="8210" max="8210" width="4.21875" style="18" customWidth="1"/>
    <col min="8211" max="8211" width="4.109375" style="18" customWidth="1"/>
    <col min="8212" max="8212" width="3" style="18" customWidth="1"/>
    <col min="8213" max="8213" width="6.6640625" style="18" customWidth="1"/>
    <col min="8214" max="8214" width="5.44140625" style="18" customWidth="1"/>
    <col min="8215" max="8215" width="6.6640625" style="18" customWidth="1"/>
    <col min="8216" max="8216" width="5.6640625" style="18" customWidth="1"/>
    <col min="8217" max="8217" width="10.21875" style="18" customWidth="1"/>
    <col min="8218" max="8218" width="9.109375" style="18" customWidth="1"/>
    <col min="8219" max="8224" width="10.5546875" style="18"/>
    <col min="8225" max="8232" width="0" style="18" hidden="1" customWidth="1"/>
    <col min="8233" max="8233" width="7.5546875" style="18" customWidth="1"/>
    <col min="8234" max="8234" width="0" style="18" hidden="1" customWidth="1"/>
    <col min="8235" max="8235" width="6.109375" style="18" bestFit="1" customWidth="1"/>
    <col min="8236" max="8238" width="0" style="18" hidden="1" customWidth="1"/>
    <col min="8239" max="8239" width="10.5546875" style="18"/>
    <col min="8240" max="8240" width="8.77734375" style="18" customWidth="1"/>
    <col min="8241" max="8241" width="6.109375" style="18" bestFit="1" customWidth="1"/>
    <col min="8242" max="8243" width="0" style="18" hidden="1" customWidth="1"/>
    <col min="8244" max="8244" width="5.33203125" style="18" customWidth="1"/>
    <col min="8245" max="8245" width="10.5546875" style="18"/>
    <col min="8246" max="8246" width="0" style="18" hidden="1" customWidth="1"/>
    <col min="8247" max="8451" width="10.5546875" style="18"/>
    <col min="8452" max="8452" width="26.88671875" style="18" customWidth="1"/>
    <col min="8453" max="8453" width="14" style="18" customWidth="1"/>
    <col min="8454" max="8454" width="5.109375" style="18" customWidth="1"/>
    <col min="8455" max="8455" width="11.5546875" style="18" customWidth="1"/>
    <col min="8456" max="8456" width="4.88671875" style="18" customWidth="1"/>
    <col min="8457" max="8458" width="4.109375" style="18" customWidth="1"/>
    <col min="8459" max="8459" width="5.109375" style="18" customWidth="1"/>
    <col min="8460" max="8462" width="5.44140625" style="18" customWidth="1"/>
    <col min="8463" max="8463" width="8.5546875" style="18" customWidth="1"/>
    <col min="8464" max="8464" width="10" style="18" customWidth="1"/>
    <col min="8465" max="8465" width="6.5546875" style="18" customWidth="1"/>
    <col min="8466" max="8466" width="4.21875" style="18" customWidth="1"/>
    <col min="8467" max="8467" width="4.109375" style="18" customWidth="1"/>
    <col min="8468" max="8468" width="3" style="18" customWidth="1"/>
    <col min="8469" max="8469" width="6.6640625" style="18" customWidth="1"/>
    <col min="8470" max="8470" width="5.44140625" style="18" customWidth="1"/>
    <col min="8471" max="8471" width="6.6640625" style="18" customWidth="1"/>
    <col min="8472" max="8472" width="5.6640625" style="18" customWidth="1"/>
    <col min="8473" max="8473" width="10.21875" style="18" customWidth="1"/>
    <col min="8474" max="8474" width="9.109375" style="18" customWidth="1"/>
    <col min="8475" max="8480" width="10.5546875" style="18"/>
    <col min="8481" max="8488" width="0" style="18" hidden="1" customWidth="1"/>
    <col min="8489" max="8489" width="7.5546875" style="18" customWidth="1"/>
    <col min="8490" max="8490" width="0" style="18" hidden="1" customWidth="1"/>
    <col min="8491" max="8491" width="6.109375" style="18" bestFit="1" customWidth="1"/>
    <col min="8492" max="8494" width="0" style="18" hidden="1" customWidth="1"/>
    <col min="8495" max="8495" width="10.5546875" style="18"/>
    <col min="8496" max="8496" width="8.77734375" style="18" customWidth="1"/>
    <col min="8497" max="8497" width="6.109375" style="18" bestFit="1" customWidth="1"/>
    <col min="8498" max="8499" width="0" style="18" hidden="1" customWidth="1"/>
    <col min="8500" max="8500" width="5.33203125" style="18" customWidth="1"/>
    <col min="8501" max="8501" width="10.5546875" style="18"/>
    <col min="8502" max="8502" width="0" style="18" hidden="1" customWidth="1"/>
    <col min="8503" max="8707" width="10.5546875" style="18"/>
    <col min="8708" max="8708" width="26.88671875" style="18" customWidth="1"/>
    <col min="8709" max="8709" width="14" style="18" customWidth="1"/>
    <col min="8710" max="8710" width="5.109375" style="18" customWidth="1"/>
    <col min="8711" max="8711" width="11.5546875" style="18" customWidth="1"/>
    <col min="8712" max="8712" width="4.88671875" style="18" customWidth="1"/>
    <col min="8713" max="8714" width="4.109375" style="18" customWidth="1"/>
    <col min="8715" max="8715" width="5.109375" style="18" customWidth="1"/>
    <col min="8716" max="8718" width="5.44140625" style="18" customWidth="1"/>
    <col min="8719" max="8719" width="8.5546875" style="18" customWidth="1"/>
    <col min="8720" max="8720" width="10" style="18" customWidth="1"/>
    <col min="8721" max="8721" width="6.5546875" style="18" customWidth="1"/>
    <col min="8722" max="8722" width="4.21875" style="18" customWidth="1"/>
    <col min="8723" max="8723" width="4.109375" style="18" customWidth="1"/>
    <col min="8724" max="8724" width="3" style="18" customWidth="1"/>
    <col min="8725" max="8725" width="6.6640625" style="18" customWidth="1"/>
    <col min="8726" max="8726" width="5.44140625" style="18" customWidth="1"/>
    <col min="8727" max="8727" width="6.6640625" style="18" customWidth="1"/>
    <col min="8728" max="8728" width="5.6640625" style="18" customWidth="1"/>
    <col min="8729" max="8729" width="10.21875" style="18" customWidth="1"/>
    <col min="8730" max="8730" width="9.109375" style="18" customWidth="1"/>
    <col min="8731" max="8736" width="10.5546875" style="18"/>
    <col min="8737" max="8744" width="0" style="18" hidden="1" customWidth="1"/>
    <col min="8745" max="8745" width="7.5546875" style="18" customWidth="1"/>
    <col min="8746" max="8746" width="0" style="18" hidden="1" customWidth="1"/>
    <col min="8747" max="8747" width="6.109375" style="18" bestFit="1" customWidth="1"/>
    <col min="8748" max="8750" width="0" style="18" hidden="1" customWidth="1"/>
    <col min="8751" max="8751" width="10.5546875" style="18"/>
    <col min="8752" max="8752" width="8.77734375" style="18" customWidth="1"/>
    <col min="8753" max="8753" width="6.109375" style="18" bestFit="1" customWidth="1"/>
    <col min="8754" max="8755" width="0" style="18" hidden="1" customWidth="1"/>
    <col min="8756" max="8756" width="5.33203125" style="18" customWidth="1"/>
    <col min="8757" max="8757" width="10.5546875" style="18"/>
    <col min="8758" max="8758" width="0" style="18" hidden="1" customWidth="1"/>
    <col min="8759" max="8963" width="10.5546875" style="18"/>
    <col min="8964" max="8964" width="26.88671875" style="18" customWidth="1"/>
    <col min="8965" max="8965" width="14" style="18" customWidth="1"/>
    <col min="8966" max="8966" width="5.109375" style="18" customWidth="1"/>
    <col min="8967" max="8967" width="11.5546875" style="18" customWidth="1"/>
    <col min="8968" max="8968" width="4.88671875" style="18" customWidth="1"/>
    <col min="8969" max="8970" width="4.109375" style="18" customWidth="1"/>
    <col min="8971" max="8971" width="5.109375" style="18" customWidth="1"/>
    <col min="8972" max="8974" width="5.44140625" style="18" customWidth="1"/>
    <col min="8975" max="8975" width="8.5546875" style="18" customWidth="1"/>
    <col min="8976" max="8976" width="10" style="18" customWidth="1"/>
    <col min="8977" max="8977" width="6.5546875" style="18" customWidth="1"/>
    <col min="8978" max="8978" width="4.21875" style="18" customWidth="1"/>
    <col min="8979" max="8979" width="4.109375" style="18" customWidth="1"/>
    <col min="8980" max="8980" width="3" style="18" customWidth="1"/>
    <col min="8981" max="8981" width="6.6640625" style="18" customWidth="1"/>
    <col min="8982" max="8982" width="5.44140625" style="18" customWidth="1"/>
    <col min="8983" max="8983" width="6.6640625" style="18" customWidth="1"/>
    <col min="8984" max="8984" width="5.6640625" style="18" customWidth="1"/>
    <col min="8985" max="8985" width="10.21875" style="18" customWidth="1"/>
    <col min="8986" max="8986" width="9.109375" style="18" customWidth="1"/>
    <col min="8987" max="8992" width="10.5546875" style="18"/>
    <col min="8993" max="9000" width="0" style="18" hidden="1" customWidth="1"/>
    <col min="9001" max="9001" width="7.5546875" style="18" customWidth="1"/>
    <col min="9002" max="9002" width="0" style="18" hidden="1" customWidth="1"/>
    <col min="9003" max="9003" width="6.109375" style="18" bestFit="1" customWidth="1"/>
    <col min="9004" max="9006" width="0" style="18" hidden="1" customWidth="1"/>
    <col min="9007" max="9007" width="10.5546875" style="18"/>
    <col min="9008" max="9008" width="8.77734375" style="18" customWidth="1"/>
    <col min="9009" max="9009" width="6.109375" style="18" bestFit="1" customWidth="1"/>
    <col min="9010" max="9011" width="0" style="18" hidden="1" customWidth="1"/>
    <col min="9012" max="9012" width="5.33203125" style="18" customWidth="1"/>
    <col min="9013" max="9013" width="10.5546875" style="18"/>
    <col min="9014" max="9014" width="0" style="18" hidden="1" customWidth="1"/>
    <col min="9015" max="9219" width="10.5546875" style="18"/>
    <col min="9220" max="9220" width="26.88671875" style="18" customWidth="1"/>
    <col min="9221" max="9221" width="14" style="18" customWidth="1"/>
    <col min="9222" max="9222" width="5.109375" style="18" customWidth="1"/>
    <col min="9223" max="9223" width="11.5546875" style="18" customWidth="1"/>
    <col min="9224" max="9224" width="4.88671875" style="18" customWidth="1"/>
    <col min="9225" max="9226" width="4.109375" style="18" customWidth="1"/>
    <col min="9227" max="9227" width="5.109375" style="18" customWidth="1"/>
    <col min="9228" max="9230" width="5.44140625" style="18" customWidth="1"/>
    <col min="9231" max="9231" width="8.5546875" style="18" customWidth="1"/>
    <col min="9232" max="9232" width="10" style="18" customWidth="1"/>
    <col min="9233" max="9233" width="6.5546875" style="18" customWidth="1"/>
    <col min="9234" max="9234" width="4.21875" style="18" customWidth="1"/>
    <col min="9235" max="9235" width="4.109375" style="18" customWidth="1"/>
    <col min="9236" max="9236" width="3" style="18" customWidth="1"/>
    <col min="9237" max="9237" width="6.6640625" style="18" customWidth="1"/>
    <col min="9238" max="9238" width="5.44140625" style="18" customWidth="1"/>
    <col min="9239" max="9239" width="6.6640625" style="18" customWidth="1"/>
    <col min="9240" max="9240" width="5.6640625" style="18" customWidth="1"/>
    <col min="9241" max="9241" width="10.21875" style="18" customWidth="1"/>
    <col min="9242" max="9242" width="9.109375" style="18" customWidth="1"/>
    <col min="9243" max="9248" width="10.5546875" style="18"/>
    <col min="9249" max="9256" width="0" style="18" hidden="1" customWidth="1"/>
    <col min="9257" max="9257" width="7.5546875" style="18" customWidth="1"/>
    <col min="9258" max="9258" width="0" style="18" hidden="1" customWidth="1"/>
    <col min="9259" max="9259" width="6.109375" style="18" bestFit="1" customWidth="1"/>
    <col min="9260" max="9262" width="0" style="18" hidden="1" customWidth="1"/>
    <col min="9263" max="9263" width="10.5546875" style="18"/>
    <col min="9264" max="9264" width="8.77734375" style="18" customWidth="1"/>
    <col min="9265" max="9265" width="6.109375" style="18" bestFit="1" customWidth="1"/>
    <col min="9266" max="9267" width="0" style="18" hidden="1" customWidth="1"/>
    <col min="9268" max="9268" width="5.33203125" style="18" customWidth="1"/>
    <col min="9269" max="9269" width="10.5546875" style="18"/>
    <col min="9270" max="9270" width="0" style="18" hidden="1" customWidth="1"/>
    <col min="9271" max="9475" width="10.5546875" style="18"/>
    <col min="9476" max="9476" width="26.88671875" style="18" customWidth="1"/>
    <col min="9477" max="9477" width="14" style="18" customWidth="1"/>
    <col min="9478" max="9478" width="5.109375" style="18" customWidth="1"/>
    <col min="9479" max="9479" width="11.5546875" style="18" customWidth="1"/>
    <col min="9480" max="9480" width="4.88671875" style="18" customWidth="1"/>
    <col min="9481" max="9482" width="4.109375" style="18" customWidth="1"/>
    <col min="9483" max="9483" width="5.109375" style="18" customWidth="1"/>
    <col min="9484" max="9486" width="5.44140625" style="18" customWidth="1"/>
    <col min="9487" max="9487" width="8.5546875" style="18" customWidth="1"/>
    <col min="9488" max="9488" width="10" style="18" customWidth="1"/>
    <col min="9489" max="9489" width="6.5546875" style="18" customWidth="1"/>
    <col min="9490" max="9490" width="4.21875" style="18" customWidth="1"/>
    <col min="9491" max="9491" width="4.109375" style="18" customWidth="1"/>
    <col min="9492" max="9492" width="3" style="18" customWidth="1"/>
    <col min="9493" max="9493" width="6.6640625" style="18" customWidth="1"/>
    <col min="9494" max="9494" width="5.44140625" style="18" customWidth="1"/>
    <col min="9495" max="9495" width="6.6640625" style="18" customWidth="1"/>
    <col min="9496" max="9496" width="5.6640625" style="18" customWidth="1"/>
    <col min="9497" max="9497" width="10.21875" style="18" customWidth="1"/>
    <col min="9498" max="9498" width="9.109375" style="18" customWidth="1"/>
    <col min="9499" max="9504" width="10.5546875" style="18"/>
    <col min="9505" max="9512" width="0" style="18" hidden="1" customWidth="1"/>
    <col min="9513" max="9513" width="7.5546875" style="18" customWidth="1"/>
    <col min="9514" max="9514" width="0" style="18" hidden="1" customWidth="1"/>
    <col min="9515" max="9515" width="6.109375" style="18" bestFit="1" customWidth="1"/>
    <col min="9516" max="9518" width="0" style="18" hidden="1" customWidth="1"/>
    <col min="9519" max="9519" width="10.5546875" style="18"/>
    <col min="9520" max="9520" width="8.77734375" style="18" customWidth="1"/>
    <col min="9521" max="9521" width="6.109375" style="18" bestFit="1" customWidth="1"/>
    <col min="9522" max="9523" width="0" style="18" hidden="1" customWidth="1"/>
    <col min="9524" max="9524" width="5.33203125" style="18" customWidth="1"/>
    <col min="9525" max="9525" width="10.5546875" style="18"/>
    <col min="9526" max="9526" width="0" style="18" hidden="1" customWidth="1"/>
    <col min="9527" max="9731" width="10.5546875" style="18"/>
    <col min="9732" max="9732" width="26.88671875" style="18" customWidth="1"/>
    <col min="9733" max="9733" width="14" style="18" customWidth="1"/>
    <col min="9734" max="9734" width="5.109375" style="18" customWidth="1"/>
    <col min="9735" max="9735" width="11.5546875" style="18" customWidth="1"/>
    <col min="9736" max="9736" width="4.88671875" style="18" customWidth="1"/>
    <col min="9737" max="9738" width="4.109375" style="18" customWidth="1"/>
    <col min="9739" max="9739" width="5.109375" style="18" customWidth="1"/>
    <col min="9740" max="9742" width="5.44140625" style="18" customWidth="1"/>
    <col min="9743" max="9743" width="8.5546875" style="18" customWidth="1"/>
    <col min="9744" max="9744" width="10" style="18" customWidth="1"/>
    <col min="9745" max="9745" width="6.5546875" style="18" customWidth="1"/>
    <col min="9746" max="9746" width="4.21875" style="18" customWidth="1"/>
    <col min="9747" max="9747" width="4.109375" style="18" customWidth="1"/>
    <col min="9748" max="9748" width="3" style="18" customWidth="1"/>
    <col min="9749" max="9749" width="6.6640625" style="18" customWidth="1"/>
    <col min="9750" max="9750" width="5.44140625" style="18" customWidth="1"/>
    <col min="9751" max="9751" width="6.6640625" style="18" customWidth="1"/>
    <col min="9752" max="9752" width="5.6640625" style="18" customWidth="1"/>
    <col min="9753" max="9753" width="10.21875" style="18" customWidth="1"/>
    <col min="9754" max="9754" width="9.109375" style="18" customWidth="1"/>
    <col min="9755" max="9760" width="10.5546875" style="18"/>
    <col min="9761" max="9768" width="0" style="18" hidden="1" customWidth="1"/>
    <col min="9769" max="9769" width="7.5546875" style="18" customWidth="1"/>
    <col min="9770" max="9770" width="0" style="18" hidden="1" customWidth="1"/>
    <col min="9771" max="9771" width="6.109375" style="18" bestFit="1" customWidth="1"/>
    <col min="9772" max="9774" width="0" style="18" hidden="1" customWidth="1"/>
    <col min="9775" max="9775" width="10.5546875" style="18"/>
    <col min="9776" max="9776" width="8.77734375" style="18" customWidth="1"/>
    <col min="9777" max="9777" width="6.109375" style="18" bestFit="1" customWidth="1"/>
    <col min="9778" max="9779" width="0" style="18" hidden="1" customWidth="1"/>
    <col min="9780" max="9780" width="5.33203125" style="18" customWidth="1"/>
    <col min="9781" max="9781" width="10.5546875" style="18"/>
    <col min="9782" max="9782" width="0" style="18" hidden="1" customWidth="1"/>
    <col min="9783" max="9987" width="10.5546875" style="18"/>
    <col min="9988" max="9988" width="26.88671875" style="18" customWidth="1"/>
    <col min="9989" max="9989" width="14" style="18" customWidth="1"/>
    <col min="9990" max="9990" width="5.109375" style="18" customWidth="1"/>
    <col min="9991" max="9991" width="11.5546875" style="18" customWidth="1"/>
    <col min="9992" max="9992" width="4.88671875" style="18" customWidth="1"/>
    <col min="9993" max="9994" width="4.109375" style="18" customWidth="1"/>
    <col min="9995" max="9995" width="5.109375" style="18" customWidth="1"/>
    <col min="9996" max="9998" width="5.44140625" style="18" customWidth="1"/>
    <col min="9999" max="9999" width="8.5546875" style="18" customWidth="1"/>
    <col min="10000" max="10000" width="10" style="18" customWidth="1"/>
    <col min="10001" max="10001" width="6.5546875" style="18" customWidth="1"/>
    <col min="10002" max="10002" width="4.21875" style="18" customWidth="1"/>
    <col min="10003" max="10003" width="4.109375" style="18" customWidth="1"/>
    <col min="10004" max="10004" width="3" style="18" customWidth="1"/>
    <col min="10005" max="10005" width="6.6640625" style="18" customWidth="1"/>
    <col min="10006" max="10006" width="5.44140625" style="18" customWidth="1"/>
    <col min="10007" max="10007" width="6.6640625" style="18" customWidth="1"/>
    <col min="10008" max="10008" width="5.6640625" style="18" customWidth="1"/>
    <col min="10009" max="10009" width="10.21875" style="18" customWidth="1"/>
    <col min="10010" max="10010" width="9.109375" style="18" customWidth="1"/>
    <col min="10011" max="10016" width="10.5546875" style="18"/>
    <col min="10017" max="10024" width="0" style="18" hidden="1" customWidth="1"/>
    <col min="10025" max="10025" width="7.5546875" style="18" customWidth="1"/>
    <col min="10026" max="10026" width="0" style="18" hidden="1" customWidth="1"/>
    <col min="10027" max="10027" width="6.109375" style="18" bestFit="1" customWidth="1"/>
    <col min="10028" max="10030" width="0" style="18" hidden="1" customWidth="1"/>
    <col min="10031" max="10031" width="10.5546875" style="18"/>
    <col min="10032" max="10032" width="8.77734375" style="18" customWidth="1"/>
    <col min="10033" max="10033" width="6.109375" style="18" bestFit="1" customWidth="1"/>
    <col min="10034" max="10035" width="0" style="18" hidden="1" customWidth="1"/>
    <col min="10036" max="10036" width="5.33203125" style="18" customWidth="1"/>
    <col min="10037" max="10037" width="10.5546875" style="18"/>
    <col min="10038" max="10038" width="0" style="18" hidden="1" customWidth="1"/>
    <col min="10039" max="10243" width="10.5546875" style="18"/>
    <col min="10244" max="10244" width="26.88671875" style="18" customWidth="1"/>
    <col min="10245" max="10245" width="14" style="18" customWidth="1"/>
    <col min="10246" max="10246" width="5.109375" style="18" customWidth="1"/>
    <col min="10247" max="10247" width="11.5546875" style="18" customWidth="1"/>
    <col min="10248" max="10248" width="4.88671875" style="18" customWidth="1"/>
    <col min="10249" max="10250" width="4.109375" style="18" customWidth="1"/>
    <col min="10251" max="10251" width="5.109375" style="18" customWidth="1"/>
    <col min="10252" max="10254" width="5.44140625" style="18" customWidth="1"/>
    <col min="10255" max="10255" width="8.5546875" style="18" customWidth="1"/>
    <col min="10256" max="10256" width="10" style="18" customWidth="1"/>
    <col min="10257" max="10257" width="6.5546875" style="18" customWidth="1"/>
    <col min="10258" max="10258" width="4.21875" style="18" customWidth="1"/>
    <col min="10259" max="10259" width="4.109375" style="18" customWidth="1"/>
    <col min="10260" max="10260" width="3" style="18" customWidth="1"/>
    <col min="10261" max="10261" width="6.6640625" style="18" customWidth="1"/>
    <col min="10262" max="10262" width="5.44140625" style="18" customWidth="1"/>
    <col min="10263" max="10263" width="6.6640625" style="18" customWidth="1"/>
    <col min="10264" max="10264" width="5.6640625" style="18" customWidth="1"/>
    <col min="10265" max="10265" width="10.21875" style="18" customWidth="1"/>
    <col min="10266" max="10266" width="9.109375" style="18" customWidth="1"/>
    <col min="10267" max="10272" width="10.5546875" style="18"/>
    <col min="10273" max="10280" width="0" style="18" hidden="1" customWidth="1"/>
    <col min="10281" max="10281" width="7.5546875" style="18" customWidth="1"/>
    <col min="10282" max="10282" width="0" style="18" hidden="1" customWidth="1"/>
    <col min="10283" max="10283" width="6.109375" style="18" bestFit="1" customWidth="1"/>
    <col min="10284" max="10286" width="0" style="18" hidden="1" customWidth="1"/>
    <col min="10287" max="10287" width="10.5546875" style="18"/>
    <col min="10288" max="10288" width="8.77734375" style="18" customWidth="1"/>
    <col min="10289" max="10289" width="6.109375" style="18" bestFit="1" customWidth="1"/>
    <col min="10290" max="10291" width="0" style="18" hidden="1" customWidth="1"/>
    <col min="10292" max="10292" width="5.33203125" style="18" customWidth="1"/>
    <col min="10293" max="10293" width="10.5546875" style="18"/>
    <col min="10294" max="10294" width="0" style="18" hidden="1" customWidth="1"/>
    <col min="10295" max="10499" width="10.5546875" style="18"/>
    <col min="10500" max="10500" width="26.88671875" style="18" customWidth="1"/>
    <col min="10501" max="10501" width="14" style="18" customWidth="1"/>
    <col min="10502" max="10502" width="5.109375" style="18" customWidth="1"/>
    <col min="10503" max="10503" width="11.5546875" style="18" customWidth="1"/>
    <col min="10504" max="10504" width="4.88671875" style="18" customWidth="1"/>
    <col min="10505" max="10506" width="4.109375" style="18" customWidth="1"/>
    <col min="10507" max="10507" width="5.109375" style="18" customWidth="1"/>
    <col min="10508" max="10510" width="5.44140625" style="18" customWidth="1"/>
    <col min="10511" max="10511" width="8.5546875" style="18" customWidth="1"/>
    <col min="10512" max="10512" width="10" style="18" customWidth="1"/>
    <col min="10513" max="10513" width="6.5546875" style="18" customWidth="1"/>
    <col min="10514" max="10514" width="4.21875" style="18" customWidth="1"/>
    <col min="10515" max="10515" width="4.109375" style="18" customWidth="1"/>
    <col min="10516" max="10516" width="3" style="18" customWidth="1"/>
    <col min="10517" max="10517" width="6.6640625" style="18" customWidth="1"/>
    <col min="10518" max="10518" width="5.44140625" style="18" customWidth="1"/>
    <col min="10519" max="10519" width="6.6640625" style="18" customWidth="1"/>
    <col min="10520" max="10520" width="5.6640625" style="18" customWidth="1"/>
    <col min="10521" max="10521" width="10.21875" style="18" customWidth="1"/>
    <col min="10522" max="10522" width="9.109375" style="18" customWidth="1"/>
    <col min="10523" max="10528" width="10.5546875" style="18"/>
    <col min="10529" max="10536" width="0" style="18" hidden="1" customWidth="1"/>
    <col min="10537" max="10537" width="7.5546875" style="18" customWidth="1"/>
    <col min="10538" max="10538" width="0" style="18" hidden="1" customWidth="1"/>
    <col min="10539" max="10539" width="6.109375" style="18" bestFit="1" customWidth="1"/>
    <col min="10540" max="10542" width="0" style="18" hidden="1" customWidth="1"/>
    <col min="10543" max="10543" width="10.5546875" style="18"/>
    <col min="10544" max="10544" width="8.77734375" style="18" customWidth="1"/>
    <col min="10545" max="10545" width="6.109375" style="18" bestFit="1" customWidth="1"/>
    <col min="10546" max="10547" width="0" style="18" hidden="1" customWidth="1"/>
    <col min="10548" max="10548" width="5.33203125" style="18" customWidth="1"/>
    <col min="10549" max="10549" width="10.5546875" style="18"/>
    <col min="10550" max="10550" width="0" style="18" hidden="1" customWidth="1"/>
    <col min="10551" max="10755" width="10.5546875" style="18"/>
    <col min="10756" max="10756" width="26.88671875" style="18" customWidth="1"/>
    <col min="10757" max="10757" width="14" style="18" customWidth="1"/>
    <col min="10758" max="10758" width="5.109375" style="18" customWidth="1"/>
    <col min="10759" max="10759" width="11.5546875" style="18" customWidth="1"/>
    <col min="10760" max="10760" width="4.88671875" style="18" customWidth="1"/>
    <col min="10761" max="10762" width="4.109375" style="18" customWidth="1"/>
    <col min="10763" max="10763" width="5.109375" style="18" customWidth="1"/>
    <col min="10764" max="10766" width="5.44140625" style="18" customWidth="1"/>
    <col min="10767" max="10767" width="8.5546875" style="18" customWidth="1"/>
    <col min="10768" max="10768" width="10" style="18" customWidth="1"/>
    <col min="10769" max="10769" width="6.5546875" style="18" customWidth="1"/>
    <col min="10770" max="10770" width="4.21875" style="18" customWidth="1"/>
    <col min="10771" max="10771" width="4.109375" style="18" customWidth="1"/>
    <col min="10772" max="10772" width="3" style="18" customWidth="1"/>
    <col min="10773" max="10773" width="6.6640625" style="18" customWidth="1"/>
    <col min="10774" max="10774" width="5.44140625" style="18" customWidth="1"/>
    <col min="10775" max="10775" width="6.6640625" style="18" customWidth="1"/>
    <col min="10776" max="10776" width="5.6640625" style="18" customWidth="1"/>
    <col min="10777" max="10777" width="10.21875" style="18" customWidth="1"/>
    <col min="10778" max="10778" width="9.109375" style="18" customWidth="1"/>
    <col min="10779" max="10784" width="10.5546875" style="18"/>
    <col min="10785" max="10792" width="0" style="18" hidden="1" customWidth="1"/>
    <col min="10793" max="10793" width="7.5546875" style="18" customWidth="1"/>
    <col min="10794" max="10794" width="0" style="18" hidden="1" customWidth="1"/>
    <col min="10795" max="10795" width="6.109375" style="18" bestFit="1" customWidth="1"/>
    <col min="10796" max="10798" width="0" style="18" hidden="1" customWidth="1"/>
    <col min="10799" max="10799" width="10.5546875" style="18"/>
    <col min="10800" max="10800" width="8.77734375" style="18" customWidth="1"/>
    <col min="10801" max="10801" width="6.109375" style="18" bestFit="1" customWidth="1"/>
    <col min="10802" max="10803" width="0" style="18" hidden="1" customWidth="1"/>
    <col min="10804" max="10804" width="5.33203125" style="18" customWidth="1"/>
    <col min="10805" max="10805" width="10.5546875" style="18"/>
    <col min="10806" max="10806" width="0" style="18" hidden="1" customWidth="1"/>
    <col min="10807" max="11011" width="10.5546875" style="18"/>
    <col min="11012" max="11012" width="26.88671875" style="18" customWidth="1"/>
    <col min="11013" max="11013" width="14" style="18" customWidth="1"/>
    <col min="11014" max="11014" width="5.109375" style="18" customWidth="1"/>
    <col min="11015" max="11015" width="11.5546875" style="18" customWidth="1"/>
    <col min="11016" max="11016" width="4.88671875" style="18" customWidth="1"/>
    <col min="11017" max="11018" width="4.109375" style="18" customWidth="1"/>
    <col min="11019" max="11019" width="5.109375" style="18" customWidth="1"/>
    <col min="11020" max="11022" width="5.44140625" style="18" customWidth="1"/>
    <col min="11023" max="11023" width="8.5546875" style="18" customWidth="1"/>
    <col min="11024" max="11024" width="10" style="18" customWidth="1"/>
    <col min="11025" max="11025" width="6.5546875" style="18" customWidth="1"/>
    <col min="11026" max="11026" width="4.21875" style="18" customWidth="1"/>
    <col min="11027" max="11027" width="4.109375" style="18" customWidth="1"/>
    <col min="11028" max="11028" width="3" style="18" customWidth="1"/>
    <col min="11029" max="11029" width="6.6640625" style="18" customWidth="1"/>
    <col min="11030" max="11030" width="5.44140625" style="18" customWidth="1"/>
    <col min="11031" max="11031" width="6.6640625" style="18" customWidth="1"/>
    <col min="11032" max="11032" width="5.6640625" style="18" customWidth="1"/>
    <col min="11033" max="11033" width="10.21875" style="18" customWidth="1"/>
    <col min="11034" max="11034" width="9.109375" style="18" customWidth="1"/>
    <col min="11035" max="11040" width="10.5546875" style="18"/>
    <col min="11041" max="11048" width="0" style="18" hidden="1" customWidth="1"/>
    <col min="11049" max="11049" width="7.5546875" style="18" customWidth="1"/>
    <col min="11050" max="11050" width="0" style="18" hidden="1" customWidth="1"/>
    <col min="11051" max="11051" width="6.109375" style="18" bestFit="1" customWidth="1"/>
    <col min="11052" max="11054" width="0" style="18" hidden="1" customWidth="1"/>
    <col min="11055" max="11055" width="10.5546875" style="18"/>
    <col min="11056" max="11056" width="8.77734375" style="18" customWidth="1"/>
    <col min="11057" max="11057" width="6.109375" style="18" bestFit="1" customWidth="1"/>
    <col min="11058" max="11059" width="0" style="18" hidden="1" customWidth="1"/>
    <col min="11060" max="11060" width="5.33203125" style="18" customWidth="1"/>
    <col min="11061" max="11061" width="10.5546875" style="18"/>
    <col min="11062" max="11062" width="0" style="18" hidden="1" customWidth="1"/>
    <col min="11063" max="11267" width="10.5546875" style="18"/>
    <col min="11268" max="11268" width="26.88671875" style="18" customWidth="1"/>
    <col min="11269" max="11269" width="14" style="18" customWidth="1"/>
    <col min="11270" max="11270" width="5.109375" style="18" customWidth="1"/>
    <col min="11271" max="11271" width="11.5546875" style="18" customWidth="1"/>
    <col min="11272" max="11272" width="4.88671875" style="18" customWidth="1"/>
    <col min="11273" max="11274" width="4.109375" style="18" customWidth="1"/>
    <col min="11275" max="11275" width="5.109375" style="18" customWidth="1"/>
    <col min="11276" max="11278" width="5.44140625" style="18" customWidth="1"/>
    <col min="11279" max="11279" width="8.5546875" style="18" customWidth="1"/>
    <col min="11280" max="11280" width="10" style="18" customWidth="1"/>
    <col min="11281" max="11281" width="6.5546875" style="18" customWidth="1"/>
    <col min="11282" max="11282" width="4.21875" style="18" customWidth="1"/>
    <col min="11283" max="11283" width="4.109375" style="18" customWidth="1"/>
    <col min="11284" max="11284" width="3" style="18" customWidth="1"/>
    <col min="11285" max="11285" width="6.6640625" style="18" customWidth="1"/>
    <col min="11286" max="11286" width="5.44140625" style="18" customWidth="1"/>
    <col min="11287" max="11287" width="6.6640625" style="18" customWidth="1"/>
    <col min="11288" max="11288" width="5.6640625" style="18" customWidth="1"/>
    <col min="11289" max="11289" width="10.21875" style="18" customWidth="1"/>
    <col min="11290" max="11290" width="9.109375" style="18" customWidth="1"/>
    <col min="11291" max="11296" width="10.5546875" style="18"/>
    <col min="11297" max="11304" width="0" style="18" hidden="1" customWidth="1"/>
    <col min="11305" max="11305" width="7.5546875" style="18" customWidth="1"/>
    <col min="11306" max="11306" width="0" style="18" hidden="1" customWidth="1"/>
    <col min="11307" max="11307" width="6.109375" style="18" bestFit="1" customWidth="1"/>
    <col min="11308" max="11310" width="0" style="18" hidden="1" customWidth="1"/>
    <col min="11311" max="11311" width="10.5546875" style="18"/>
    <col min="11312" max="11312" width="8.77734375" style="18" customWidth="1"/>
    <col min="11313" max="11313" width="6.109375" style="18" bestFit="1" customWidth="1"/>
    <col min="11314" max="11315" width="0" style="18" hidden="1" customWidth="1"/>
    <col min="11316" max="11316" width="5.33203125" style="18" customWidth="1"/>
    <col min="11317" max="11317" width="10.5546875" style="18"/>
    <col min="11318" max="11318" width="0" style="18" hidden="1" customWidth="1"/>
    <col min="11319" max="11523" width="10.5546875" style="18"/>
    <col min="11524" max="11524" width="26.88671875" style="18" customWidth="1"/>
    <col min="11525" max="11525" width="14" style="18" customWidth="1"/>
    <col min="11526" max="11526" width="5.109375" style="18" customWidth="1"/>
    <col min="11527" max="11527" width="11.5546875" style="18" customWidth="1"/>
    <col min="11528" max="11528" width="4.88671875" style="18" customWidth="1"/>
    <col min="11529" max="11530" width="4.109375" style="18" customWidth="1"/>
    <col min="11531" max="11531" width="5.109375" style="18" customWidth="1"/>
    <col min="11532" max="11534" width="5.44140625" style="18" customWidth="1"/>
    <col min="11535" max="11535" width="8.5546875" style="18" customWidth="1"/>
    <col min="11536" max="11536" width="10" style="18" customWidth="1"/>
    <col min="11537" max="11537" width="6.5546875" style="18" customWidth="1"/>
    <col min="11538" max="11538" width="4.21875" style="18" customWidth="1"/>
    <col min="11539" max="11539" width="4.109375" style="18" customWidth="1"/>
    <col min="11540" max="11540" width="3" style="18" customWidth="1"/>
    <col min="11541" max="11541" width="6.6640625" style="18" customWidth="1"/>
    <col min="11542" max="11542" width="5.44140625" style="18" customWidth="1"/>
    <col min="11543" max="11543" width="6.6640625" style="18" customWidth="1"/>
    <col min="11544" max="11544" width="5.6640625" style="18" customWidth="1"/>
    <col min="11545" max="11545" width="10.21875" style="18" customWidth="1"/>
    <col min="11546" max="11546" width="9.109375" style="18" customWidth="1"/>
    <col min="11547" max="11552" width="10.5546875" style="18"/>
    <col min="11553" max="11560" width="0" style="18" hidden="1" customWidth="1"/>
    <col min="11561" max="11561" width="7.5546875" style="18" customWidth="1"/>
    <col min="11562" max="11562" width="0" style="18" hidden="1" customWidth="1"/>
    <col min="11563" max="11563" width="6.109375" style="18" bestFit="1" customWidth="1"/>
    <col min="11564" max="11566" width="0" style="18" hidden="1" customWidth="1"/>
    <col min="11567" max="11567" width="10.5546875" style="18"/>
    <col min="11568" max="11568" width="8.77734375" style="18" customWidth="1"/>
    <col min="11569" max="11569" width="6.109375" style="18" bestFit="1" customWidth="1"/>
    <col min="11570" max="11571" width="0" style="18" hidden="1" customWidth="1"/>
    <col min="11572" max="11572" width="5.33203125" style="18" customWidth="1"/>
    <col min="11573" max="11573" width="10.5546875" style="18"/>
    <col min="11574" max="11574" width="0" style="18" hidden="1" customWidth="1"/>
    <col min="11575" max="11779" width="10.5546875" style="18"/>
    <col min="11780" max="11780" width="26.88671875" style="18" customWidth="1"/>
    <col min="11781" max="11781" width="14" style="18" customWidth="1"/>
    <col min="11782" max="11782" width="5.109375" style="18" customWidth="1"/>
    <col min="11783" max="11783" width="11.5546875" style="18" customWidth="1"/>
    <col min="11784" max="11784" width="4.88671875" style="18" customWidth="1"/>
    <col min="11785" max="11786" width="4.109375" style="18" customWidth="1"/>
    <col min="11787" max="11787" width="5.109375" style="18" customWidth="1"/>
    <col min="11788" max="11790" width="5.44140625" style="18" customWidth="1"/>
    <col min="11791" max="11791" width="8.5546875" style="18" customWidth="1"/>
    <col min="11792" max="11792" width="10" style="18" customWidth="1"/>
    <col min="11793" max="11793" width="6.5546875" style="18" customWidth="1"/>
    <col min="11794" max="11794" width="4.21875" style="18" customWidth="1"/>
    <col min="11795" max="11795" width="4.109375" style="18" customWidth="1"/>
    <col min="11796" max="11796" width="3" style="18" customWidth="1"/>
    <col min="11797" max="11797" width="6.6640625" style="18" customWidth="1"/>
    <col min="11798" max="11798" width="5.44140625" style="18" customWidth="1"/>
    <col min="11799" max="11799" width="6.6640625" style="18" customWidth="1"/>
    <col min="11800" max="11800" width="5.6640625" style="18" customWidth="1"/>
    <col min="11801" max="11801" width="10.21875" style="18" customWidth="1"/>
    <col min="11802" max="11802" width="9.109375" style="18" customWidth="1"/>
    <col min="11803" max="11808" width="10.5546875" style="18"/>
    <col min="11809" max="11816" width="0" style="18" hidden="1" customWidth="1"/>
    <col min="11817" max="11817" width="7.5546875" style="18" customWidth="1"/>
    <col min="11818" max="11818" width="0" style="18" hidden="1" customWidth="1"/>
    <col min="11819" max="11819" width="6.109375" style="18" bestFit="1" customWidth="1"/>
    <col min="11820" max="11822" width="0" style="18" hidden="1" customWidth="1"/>
    <col min="11823" max="11823" width="10.5546875" style="18"/>
    <col min="11824" max="11824" width="8.77734375" style="18" customWidth="1"/>
    <col min="11825" max="11825" width="6.109375" style="18" bestFit="1" customWidth="1"/>
    <col min="11826" max="11827" width="0" style="18" hidden="1" customWidth="1"/>
    <col min="11828" max="11828" width="5.33203125" style="18" customWidth="1"/>
    <col min="11829" max="11829" width="10.5546875" style="18"/>
    <col min="11830" max="11830" width="0" style="18" hidden="1" customWidth="1"/>
    <col min="11831" max="12035" width="10.5546875" style="18"/>
    <col min="12036" max="12036" width="26.88671875" style="18" customWidth="1"/>
    <col min="12037" max="12037" width="14" style="18" customWidth="1"/>
    <col min="12038" max="12038" width="5.109375" style="18" customWidth="1"/>
    <col min="12039" max="12039" width="11.5546875" style="18" customWidth="1"/>
    <col min="12040" max="12040" width="4.88671875" style="18" customWidth="1"/>
    <col min="12041" max="12042" width="4.109375" style="18" customWidth="1"/>
    <col min="12043" max="12043" width="5.109375" style="18" customWidth="1"/>
    <col min="12044" max="12046" width="5.44140625" style="18" customWidth="1"/>
    <col min="12047" max="12047" width="8.5546875" style="18" customWidth="1"/>
    <col min="12048" max="12048" width="10" style="18" customWidth="1"/>
    <col min="12049" max="12049" width="6.5546875" style="18" customWidth="1"/>
    <col min="12050" max="12050" width="4.21875" style="18" customWidth="1"/>
    <col min="12051" max="12051" width="4.109375" style="18" customWidth="1"/>
    <col min="12052" max="12052" width="3" style="18" customWidth="1"/>
    <col min="12053" max="12053" width="6.6640625" style="18" customWidth="1"/>
    <col min="12054" max="12054" width="5.44140625" style="18" customWidth="1"/>
    <col min="12055" max="12055" width="6.6640625" style="18" customWidth="1"/>
    <col min="12056" max="12056" width="5.6640625" style="18" customWidth="1"/>
    <col min="12057" max="12057" width="10.21875" style="18" customWidth="1"/>
    <col min="12058" max="12058" width="9.109375" style="18" customWidth="1"/>
    <col min="12059" max="12064" width="10.5546875" style="18"/>
    <col min="12065" max="12072" width="0" style="18" hidden="1" customWidth="1"/>
    <col min="12073" max="12073" width="7.5546875" style="18" customWidth="1"/>
    <col min="12074" max="12074" width="0" style="18" hidden="1" customWidth="1"/>
    <col min="12075" max="12075" width="6.109375" style="18" bestFit="1" customWidth="1"/>
    <col min="12076" max="12078" width="0" style="18" hidden="1" customWidth="1"/>
    <col min="12079" max="12079" width="10.5546875" style="18"/>
    <col min="12080" max="12080" width="8.77734375" style="18" customWidth="1"/>
    <col min="12081" max="12081" width="6.109375" style="18" bestFit="1" customWidth="1"/>
    <col min="12082" max="12083" width="0" style="18" hidden="1" customWidth="1"/>
    <col min="12084" max="12084" width="5.33203125" style="18" customWidth="1"/>
    <col min="12085" max="12085" width="10.5546875" style="18"/>
    <col min="12086" max="12086" width="0" style="18" hidden="1" customWidth="1"/>
    <col min="12087" max="12291" width="10.5546875" style="18"/>
    <col min="12292" max="12292" width="26.88671875" style="18" customWidth="1"/>
    <col min="12293" max="12293" width="14" style="18" customWidth="1"/>
    <col min="12294" max="12294" width="5.109375" style="18" customWidth="1"/>
    <col min="12295" max="12295" width="11.5546875" style="18" customWidth="1"/>
    <col min="12296" max="12296" width="4.88671875" style="18" customWidth="1"/>
    <col min="12297" max="12298" width="4.109375" style="18" customWidth="1"/>
    <col min="12299" max="12299" width="5.109375" style="18" customWidth="1"/>
    <col min="12300" max="12302" width="5.44140625" style="18" customWidth="1"/>
    <col min="12303" max="12303" width="8.5546875" style="18" customWidth="1"/>
    <col min="12304" max="12304" width="10" style="18" customWidth="1"/>
    <col min="12305" max="12305" width="6.5546875" style="18" customWidth="1"/>
    <col min="12306" max="12306" width="4.21875" style="18" customWidth="1"/>
    <col min="12307" max="12307" width="4.109375" style="18" customWidth="1"/>
    <col min="12308" max="12308" width="3" style="18" customWidth="1"/>
    <col min="12309" max="12309" width="6.6640625" style="18" customWidth="1"/>
    <col min="12310" max="12310" width="5.44140625" style="18" customWidth="1"/>
    <col min="12311" max="12311" width="6.6640625" style="18" customWidth="1"/>
    <col min="12312" max="12312" width="5.6640625" style="18" customWidth="1"/>
    <col min="12313" max="12313" width="10.21875" style="18" customWidth="1"/>
    <col min="12314" max="12314" width="9.109375" style="18" customWidth="1"/>
    <col min="12315" max="12320" width="10.5546875" style="18"/>
    <col min="12321" max="12328" width="0" style="18" hidden="1" customWidth="1"/>
    <col min="12329" max="12329" width="7.5546875" style="18" customWidth="1"/>
    <col min="12330" max="12330" width="0" style="18" hidden="1" customWidth="1"/>
    <col min="12331" max="12331" width="6.109375" style="18" bestFit="1" customWidth="1"/>
    <col min="12332" max="12334" width="0" style="18" hidden="1" customWidth="1"/>
    <col min="12335" max="12335" width="10.5546875" style="18"/>
    <col min="12336" max="12336" width="8.77734375" style="18" customWidth="1"/>
    <col min="12337" max="12337" width="6.109375" style="18" bestFit="1" customWidth="1"/>
    <col min="12338" max="12339" width="0" style="18" hidden="1" customWidth="1"/>
    <col min="12340" max="12340" width="5.33203125" style="18" customWidth="1"/>
    <col min="12341" max="12341" width="10.5546875" style="18"/>
    <col min="12342" max="12342" width="0" style="18" hidden="1" customWidth="1"/>
    <col min="12343" max="12547" width="10.5546875" style="18"/>
    <col min="12548" max="12548" width="26.88671875" style="18" customWidth="1"/>
    <col min="12549" max="12549" width="14" style="18" customWidth="1"/>
    <col min="12550" max="12550" width="5.109375" style="18" customWidth="1"/>
    <col min="12551" max="12551" width="11.5546875" style="18" customWidth="1"/>
    <col min="12552" max="12552" width="4.88671875" style="18" customWidth="1"/>
    <col min="12553" max="12554" width="4.109375" style="18" customWidth="1"/>
    <col min="12555" max="12555" width="5.109375" style="18" customWidth="1"/>
    <col min="12556" max="12558" width="5.44140625" style="18" customWidth="1"/>
    <col min="12559" max="12559" width="8.5546875" style="18" customWidth="1"/>
    <col min="12560" max="12560" width="10" style="18" customWidth="1"/>
    <col min="12561" max="12561" width="6.5546875" style="18" customWidth="1"/>
    <col min="12562" max="12562" width="4.21875" style="18" customWidth="1"/>
    <col min="12563" max="12563" width="4.109375" style="18" customWidth="1"/>
    <col min="12564" max="12564" width="3" style="18" customWidth="1"/>
    <col min="12565" max="12565" width="6.6640625" style="18" customWidth="1"/>
    <col min="12566" max="12566" width="5.44140625" style="18" customWidth="1"/>
    <col min="12567" max="12567" width="6.6640625" style="18" customWidth="1"/>
    <col min="12568" max="12568" width="5.6640625" style="18" customWidth="1"/>
    <col min="12569" max="12569" width="10.21875" style="18" customWidth="1"/>
    <col min="12570" max="12570" width="9.109375" style="18" customWidth="1"/>
    <col min="12571" max="12576" width="10.5546875" style="18"/>
    <col min="12577" max="12584" width="0" style="18" hidden="1" customWidth="1"/>
    <col min="12585" max="12585" width="7.5546875" style="18" customWidth="1"/>
    <col min="12586" max="12586" width="0" style="18" hidden="1" customWidth="1"/>
    <col min="12587" max="12587" width="6.109375" style="18" bestFit="1" customWidth="1"/>
    <col min="12588" max="12590" width="0" style="18" hidden="1" customWidth="1"/>
    <col min="12591" max="12591" width="10.5546875" style="18"/>
    <col min="12592" max="12592" width="8.77734375" style="18" customWidth="1"/>
    <col min="12593" max="12593" width="6.109375" style="18" bestFit="1" customWidth="1"/>
    <col min="12594" max="12595" width="0" style="18" hidden="1" customWidth="1"/>
    <col min="12596" max="12596" width="5.33203125" style="18" customWidth="1"/>
    <col min="12597" max="12597" width="10.5546875" style="18"/>
    <col min="12598" max="12598" width="0" style="18" hidden="1" customWidth="1"/>
    <col min="12599" max="12803" width="10.5546875" style="18"/>
    <col min="12804" max="12804" width="26.88671875" style="18" customWidth="1"/>
    <col min="12805" max="12805" width="14" style="18" customWidth="1"/>
    <col min="12806" max="12806" width="5.109375" style="18" customWidth="1"/>
    <col min="12807" max="12807" width="11.5546875" style="18" customWidth="1"/>
    <col min="12808" max="12808" width="4.88671875" style="18" customWidth="1"/>
    <col min="12809" max="12810" width="4.109375" style="18" customWidth="1"/>
    <col min="12811" max="12811" width="5.109375" style="18" customWidth="1"/>
    <col min="12812" max="12814" width="5.44140625" style="18" customWidth="1"/>
    <col min="12815" max="12815" width="8.5546875" style="18" customWidth="1"/>
    <col min="12816" max="12816" width="10" style="18" customWidth="1"/>
    <col min="12817" max="12817" width="6.5546875" style="18" customWidth="1"/>
    <col min="12818" max="12818" width="4.21875" style="18" customWidth="1"/>
    <col min="12819" max="12819" width="4.109375" style="18" customWidth="1"/>
    <col min="12820" max="12820" width="3" style="18" customWidth="1"/>
    <col min="12821" max="12821" width="6.6640625" style="18" customWidth="1"/>
    <col min="12822" max="12822" width="5.44140625" style="18" customWidth="1"/>
    <col min="12823" max="12823" width="6.6640625" style="18" customWidth="1"/>
    <col min="12824" max="12824" width="5.6640625" style="18" customWidth="1"/>
    <col min="12825" max="12825" width="10.21875" style="18" customWidth="1"/>
    <col min="12826" max="12826" width="9.109375" style="18" customWidth="1"/>
    <col min="12827" max="12832" width="10.5546875" style="18"/>
    <col min="12833" max="12840" width="0" style="18" hidden="1" customWidth="1"/>
    <col min="12841" max="12841" width="7.5546875" style="18" customWidth="1"/>
    <col min="12842" max="12842" width="0" style="18" hidden="1" customWidth="1"/>
    <col min="12843" max="12843" width="6.109375" style="18" bestFit="1" customWidth="1"/>
    <col min="12844" max="12846" width="0" style="18" hidden="1" customWidth="1"/>
    <col min="12847" max="12847" width="10.5546875" style="18"/>
    <col min="12848" max="12848" width="8.77734375" style="18" customWidth="1"/>
    <col min="12849" max="12849" width="6.109375" style="18" bestFit="1" customWidth="1"/>
    <col min="12850" max="12851" width="0" style="18" hidden="1" customWidth="1"/>
    <col min="12852" max="12852" width="5.33203125" style="18" customWidth="1"/>
    <col min="12853" max="12853" width="10.5546875" style="18"/>
    <col min="12854" max="12854" width="0" style="18" hidden="1" customWidth="1"/>
    <col min="12855" max="13059" width="10.5546875" style="18"/>
    <col min="13060" max="13060" width="26.88671875" style="18" customWidth="1"/>
    <col min="13061" max="13061" width="14" style="18" customWidth="1"/>
    <col min="13062" max="13062" width="5.109375" style="18" customWidth="1"/>
    <col min="13063" max="13063" width="11.5546875" style="18" customWidth="1"/>
    <col min="13064" max="13064" width="4.88671875" style="18" customWidth="1"/>
    <col min="13065" max="13066" width="4.109375" style="18" customWidth="1"/>
    <col min="13067" max="13067" width="5.109375" style="18" customWidth="1"/>
    <col min="13068" max="13070" width="5.44140625" style="18" customWidth="1"/>
    <col min="13071" max="13071" width="8.5546875" style="18" customWidth="1"/>
    <col min="13072" max="13072" width="10" style="18" customWidth="1"/>
    <col min="13073" max="13073" width="6.5546875" style="18" customWidth="1"/>
    <col min="13074" max="13074" width="4.21875" style="18" customWidth="1"/>
    <col min="13075" max="13075" width="4.109375" style="18" customWidth="1"/>
    <col min="13076" max="13076" width="3" style="18" customWidth="1"/>
    <col min="13077" max="13077" width="6.6640625" style="18" customWidth="1"/>
    <col min="13078" max="13078" width="5.44140625" style="18" customWidth="1"/>
    <col min="13079" max="13079" width="6.6640625" style="18" customWidth="1"/>
    <col min="13080" max="13080" width="5.6640625" style="18" customWidth="1"/>
    <col min="13081" max="13081" width="10.21875" style="18" customWidth="1"/>
    <col min="13082" max="13082" width="9.109375" style="18" customWidth="1"/>
    <col min="13083" max="13088" width="10.5546875" style="18"/>
    <col min="13089" max="13096" width="0" style="18" hidden="1" customWidth="1"/>
    <col min="13097" max="13097" width="7.5546875" style="18" customWidth="1"/>
    <col min="13098" max="13098" width="0" style="18" hidden="1" customWidth="1"/>
    <col min="13099" max="13099" width="6.109375" style="18" bestFit="1" customWidth="1"/>
    <col min="13100" max="13102" width="0" style="18" hidden="1" customWidth="1"/>
    <col min="13103" max="13103" width="10.5546875" style="18"/>
    <col min="13104" max="13104" width="8.77734375" style="18" customWidth="1"/>
    <col min="13105" max="13105" width="6.109375" style="18" bestFit="1" customWidth="1"/>
    <col min="13106" max="13107" width="0" style="18" hidden="1" customWidth="1"/>
    <col min="13108" max="13108" width="5.33203125" style="18" customWidth="1"/>
    <col min="13109" max="13109" width="10.5546875" style="18"/>
    <col min="13110" max="13110" width="0" style="18" hidden="1" customWidth="1"/>
    <col min="13111" max="13315" width="10.5546875" style="18"/>
    <col min="13316" max="13316" width="26.88671875" style="18" customWidth="1"/>
    <col min="13317" max="13317" width="14" style="18" customWidth="1"/>
    <col min="13318" max="13318" width="5.109375" style="18" customWidth="1"/>
    <col min="13319" max="13319" width="11.5546875" style="18" customWidth="1"/>
    <col min="13320" max="13320" width="4.88671875" style="18" customWidth="1"/>
    <col min="13321" max="13322" width="4.109375" style="18" customWidth="1"/>
    <col min="13323" max="13323" width="5.109375" style="18" customWidth="1"/>
    <col min="13324" max="13326" width="5.44140625" style="18" customWidth="1"/>
    <col min="13327" max="13327" width="8.5546875" style="18" customWidth="1"/>
    <col min="13328" max="13328" width="10" style="18" customWidth="1"/>
    <col min="13329" max="13329" width="6.5546875" style="18" customWidth="1"/>
    <col min="13330" max="13330" width="4.21875" style="18" customWidth="1"/>
    <col min="13331" max="13331" width="4.109375" style="18" customWidth="1"/>
    <col min="13332" max="13332" width="3" style="18" customWidth="1"/>
    <col min="13333" max="13333" width="6.6640625" style="18" customWidth="1"/>
    <col min="13334" max="13334" width="5.44140625" style="18" customWidth="1"/>
    <col min="13335" max="13335" width="6.6640625" style="18" customWidth="1"/>
    <col min="13336" max="13336" width="5.6640625" style="18" customWidth="1"/>
    <col min="13337" max="13337" width="10.21875" style="18" customWidth="1"/>
    <col min="13338" max="13338" width="9.109375" style="18" customWidth="1"/>
    <col min="13339" max="13344" width="10.5546875" style="18"/>
    <col min="13345" max="13352" width="0" style="18" hidden="1" customWidth="1"/>
    <col min="13353" max="13353" width="7.5546875" style="18" customWidth="1"/>
    <col min="13354" max="13354" width="0" style="18" hidden="1" customWidth="1"/>
    <col min="13355" max="13355" width="6.109375" style="18" bestFit="1" customWidth="1"/>
    <col min="13356" max="13358" width="0" style="18" hidden="1" customWidth="1"/>
    <col min="13359" max="13359" width="10.5546875" style="18"/>
    <col min="13360" max="13360" width="8.77734375" style="18" customWidth="1"/>
    <col min="13361" max="13361" width="6.109375" style="18" bestFit="1" customWidth="1"/>
    <col min="13362" max="13363" width="0" style="18" hidden="1" customWidth="1"/>
    <col min="13364" max="13364" width="5.33203125" style="18" customWidth="1"/>
    <col min="13365" max="13365" width="10.5546875" style="18"/>
    <col min="13366" max="13366" width="0" style="18" hidden="1" customWidth="1"/>
    <col min="13367" max="13571" width="10.5546875" style="18"/>
    <col min="13572" max="13572" width="26.88671875" style="18" customWidth="1"/>
    <col min="13573" max="13573" width="14" style="18" customWidth="1"/>
    <col min="13574" max="13574" width="5.109375" style="18" customWidth="1"/>
    <col min="13575" max="13575" width="11.5546875" style="18" customWidth="1"/>
    <col min="13576" max="13576" width="4.88671875" style="18" customWidth="1"/>
    <col min="13577" max="13578" width="4.109375" style="18" customWidth="1"/>
    <col min="13579" max="13579" width="5.109375" style="18" customWidth="1"/>
    <col min="13580" max="13582" width="5.44140625" style="18" customWidth="1"/>
    <col min="13583" max="13583" width="8.5546875" style="18" customWidth="1"/>
    <col min="13584" max="13584" width="10" style="18" customWidth="1"/>
    <col min="13585" max="13585" width="6.5546875" style="18" customWidth="1"/>
    <col min="13586" max="13586" width="4.21875" style="18" customWidth="1"/>
    <col min="13587" max="13587" width="4.109375" style="18" customWidth="1"/>
    <col min="13588" max="13588" width="3" style="18" customWidth="1"/>
    <col min="13589" max="13589" width="6.6640625" style="18" customWidth="1"/>
    <col min="13590" max="13590" width="5.44140625" style="18" customWidth="1"/>
    <col min="13591" max="13591" width="6.6640625" style="18" customWidth="1"/>
    <col min="13592" max="13592" width="5.6640625" style="18" customWidth="1"/>
    <col min="13593" max="13593" width="10.21875" style="18" customWidth="1"/>
    <col min="13594" max="13594" width="9.109375" style="18" customWidth="1"/>
    <col min="13595" max="13600" width="10.5546875" style="18"/>
    <col min="13601" max="13608" width="0" style="18" hidden="1" customWidth="1"/>
    <col min="13609" max="13609" width="7.5546875" style="18" customWidth="1"/>
    <col min="13610" max="13610" width="0" style="18" hidden="1" customWidth="1"/>
    <col min="13611" max="13611" width="6.109375" style="18" bestFit="1" customWidth="1"/>
    <col min="13612" max="13614" width="0" style="18" hidden="1" customWidth="1"/>
    <col min="13615" max="13615" width="10.5546875" style="18"/>
    <col min="13616" max="13616" width="8.77734375" style="18" customWidth="1"/>
    <col min="13617" max="13617" width="6.109375" style="18" bestFit="1" customWidth="1"/>
    <col min="13618" max="13619" width="0" style="18" hidden="1" customWidth="1"/>
    <col min="13620" max="13620" width="5.33203125" style="18" customWidth="1"/>
    <col min="13621" max="13621" width="10.5546875" style="18"/>
    <col min="13622" max="13622" width="0" style="18" hidden="1" customWidth="1"/>
    <col min="13623" max="13827" width="10.5546875" style="18"/>
    <col min="13828" max="13828" width="26.88671875" style="18" customWidth="1"/>
    <col min="13829" max="13829" width="14" style="18" customWidth="1"/>
    <col min="13830" max="13830" width="5.109375" style="18" customWidth="1"/>
    <col min="13831" max="13831" width="11.5546875" style="18" customWidth="1"/>
    <col min="13832" max="13832" width="4.88671875" style="18" customWidth="1"/>
    <col min="13833" max="13834" width="4.109375" style="18" customWidth="1"/>
    <col min="13835" max="13835" width="5.109375" style="18" customWidth="1"/>
    <col min="13836" max="13838" width="5.44140625" style="18" customWidth="1"/>
    <col min="13839" max="13839" width="8.5546875" style="18" customWidth="1"/>
    <col min="13840" max="13840" width="10" style="18" customWidth="1"/>
    <col min="13841" max="13841" width="6.5546875" style="18" customWidth="1"/>
    <col min="13842" max="13842" width="4.21875" style="18" customWidth="1"/>
    <col min="13843" max="13843" width="4.109375" style="18" customWidth="1"/>
    <col min="13844" max="13844" width="3" style="18" customWidth="1"/>
    <col min="13845" max="13845" width="6.6640625" style="18" customWidth="1"/>
    <col min="13846" max="13846" width="5.44140625" style="18" customWidth="1"/>
    <col min="13847" max="13847" width="6.6640625" style="18" customWidth="1"/>
    <col min="13848" max="13848" width="5.6640625" style="18" customWidth="1"/>
    <col min="13849" max="13849" width="10.21875" style="18" customWidth="1"/>
    <col min="13850" max="13850" width="9.109375" style="18" customWidth="1"/>
    <col min="13851" max="13856" width="10.5546875" style="18"/>
    <col min="13857" max="13864" width="0" style="18" hidden="1" customWidth="1"/>
    <col min="13865" max="13865" width="7.5546875" style="18" customWidth="1"/>
    <col min="13866" max="13866" width="0" style="18" hidden="1" customWidth="1"/>
    <col min="13867" max="13867" width="6.109375" style="18" bestFit="1" customWidth="1"/>
    <col min="13868" max="13870" width="0" style="18" hidden="1" customWidth="1"/>
    <col min="13871" max="13871" width="10.5546875" style="18"/>
    <col min="13872" max="13872" width="8.77734375" style="18" customWidth="1"/>
    <col min="13873" max="13873" width="6.109375" style="18" bestFit="1" customWidth="1"/>
    <col min="13874" max="13875" width="0" style="18" hidden="1" customWidth="1"/>
    <col min="13876" max="13876" width="5.33203125" style="18" customWidth="1"/>
    <col min="13877" max="13877" width="10.5546875" style="18"/>
    <col min="13878" max="13878" width="0" style="18" hidden="1" customWidth="1"/>
    <col min="13879" max="14083" width="10.5546875" style="18"/>
    <col min="14084" max="14084" width="26.88671875" style="18" customWidth="1"/>
    <col min="14085" max="14085" width="14" style="18" customWidth="1"/>
    <col min="14086" max="14086" width="5.109375" style="18" customWidth="1"/>
    <col min="14087" max="14087" width="11.5546875" style="18" customWidth="1"/>
    <col min="14088" max="14088" width="4.88671875" style="18" customWidth="1"/>
    <col min="14089" max="14090" width="4.109375" style="18" customWidth="1"/>
    <col min="14091" max="14091" width="5.109375" style="18" customWidth="1"/>
    <col min="14092" max="14094" width="5.44140625" style="18" customWidth="1"/>
    <col min="14095" max="14095" width="8.5546875" style="18" customWidth="1"/>
    <col min="14096" max="14096" width="10" style="18" customWidth="1"/>
    <col min="14097" max="14097" width="6.5546875" style="18" customWidth="1"/>
    <col min="14098" max="14098" width="4.21875" style="18" customWidth="1"/>
    <col min="14099" max="14099" width="4.109375" style="18" customWidth="1"/>
    <col min="14100" max="14100" width="3" style="18" customWidth="1"/>
    <col min="14101" max="14101" width="6.6640625" style="18" customWidth="1"/>
    <col min="14102" max="14102" width="5.44140625" style="18" customWidth="1"/>
    <col min="14103" max="14103" width="6.6640625" style="18" customWidth="1"/>
    <col min="14104" max="14104" width="5.6640625" style="18" customWidth="1"/>
    <col min="14105" max="14105" width="10.21875" style="18" customWidth="1"/>
    <col min="14106" max="14106" width="9.109375" style="18" customWidth="1"/>
    <col min="14107" max="14112" width="10.5546875" style="18"/>
    <col min="14113" max="14120" width="0" style="18" hidden="1" customWidth="1"/>
    <col min="14121" max="14121" width="7.5546875" style="18" customWidth="1"/>
    <col min="14122" max="14122" width="0" style="18" hidden="1" customWidth="1"/>
    <col min="14123" max="14123" width="6.109375" style="18" bestFit="1" customWidth="1"/>
    <col min="14124" max="14126" width="0" style="18" hidden="1" customWidth="1"/>
    <col min="14127" max="14127" width="10.5546875" style="18"/>
    <col min="14128" max="14128" width="8.77734375" style="18" customWidth="1"/>
    <col min="14129" max="14129" width="6.109375" style="18" bestFit="1" customWidth="1"/>
    <col min="14130" max="14131" width="0" style="18" hidden="1" customWidth="1"/>
    <col min="14132" max="14132" width="5.33203125" style="18" customWidth="1"/>
    <col min="14133" max="14133" width="10.5546875" style="18"/>
    <col min="14134" max="14134" width="0" style="18" hidden="1" customWidth="1"/>
    <col min="14135" max="14339" width="10.5546875" style="18"/>
    <col min="14340" max="14340" width="26.88671875" style="18" customWidth="1"/>
    <col min="14341" max="14341" width="14" style="18" customWidth="1"/>
    <col min="14342" max="14342" width="5.109375" style="18" customWidth="1"/>
    <col min="14343" max="14343" width="11.5546875" style="18" customWidth="1"/>
    <col min="14344" max="14344" width="4.88671875" style="18" customWidth="1"/>
    <col min="14345" max="14346" width="4.109375" style="18" customWidth="1"/>
    <col min="14347" max="14347" width="5.109375" style="18" customWidth="1"/>
    <col min="14348" max="14350" width="5.44140625" style="18" customWidth="1"/>
    <col min="14351" max="14351" width="8.5546875" style="18" customWidth="1"/>
    <col min="14352" max="14352" width="10" style="18" customWidth="1"/>
    <col min="14353" max="14353" width="6.5546875" style="18" customWidth="1"/>
    <col min="14354" max="14354" width="4.21875" style="18" customWidth="1"/>
    <col min="14355" max="14355" width="4.109375" style="18" customWidth="1"/>
    <col min="14356" max="14356" width="3" style="18" customWidth="1"/>
    <col min="14357" max="14357" width="6.6640625" style="18" customWidth="1"/>
    <col min="14358" max="14358" width="5.44140625" style="18" customWidth="1"/>
    <col min="14359" max="14359" width="6.6640625" style="18" customWidth="1"/>
    <col min="14360" max="14360" width="5.6640625" style="18" customWidth="1"/>
    <col min="14361" max="14361" width="10.21875" style="18" customWidth="1"/>
    <col min="14362" max="14362" width="9.109375" style="18" customWidth="1"/>
    <col min="14363" max="14368" width="10.5546875" style="18"/>
    <col min="14369" max="14376" width="0" style="18" hidden="1" customWidth="1"/>
    <col min="14377" max="14377" width="7.5546875" style="18" customWidth="1"/>
    <col min="14378" max="14378" width="0" style="18" hidden="1" customWidth="1"/>
    <col min="14379" max="14379" width="6.109375" style="18" bestFit="1" customWidth="1"/>
    <col min="14380" max="14382" width="0" style="18" hidden="1" customWidth="1"/>
    <col min="14383" max="14383" width="10.5546875" style="18"/>
    <col min="14384" max="14384" width="8.77734375" style="18" customWidth="1"/>
    <col min="14385" max="14385" width="6.109375" style="18" bestFit="1" customWidth="1"/>
    <col min="14386" max="14387" width="0" style="18" hidden="1" customWidth="1"/>
    <col min="14388" max="14388" width="5.33203125" style="18" customWidth="1"/>
    <col min="14389" max="14389" width="10.5546875" style="18"/>
    <col min="14390" max="14390" width="0" style="18" hidden="1" customWidth="1"/>
    <col min="14391" max="14595" width="10.5546875" style="18"/>
    <col min="14596" max="14596" width="26.88671875" style="18" customWidth="1"/>
    <col min="14597" max="14597" width="14" style="18" customWidth="1"/>
    <col min="14598" max="14598" width="5.109375" style="18" customWidth="1"/>
    <col min="14599" max="14599" width="11.5546875" style="18" customWidth="1"/>
    <col min="14600" max="14600" width="4.88671875" style="18" customWidth="1"/>
    <col min="14601" max="14602" width="4.109375" style="18" customWidth="1"/>
    <col min="14603" max="14603" width="5.109375" style="18" customWidth="1"/>
    <col min="14604" max="14606" width="5.44140625" style="18" customWidth="1"/>
    <col min="14607" max="14607" width="8.5546875" style="18" customWidth="1"/>
    <col min="14608" max="14608" width="10" style="18" customWidth="1"/>
    <col min="14609" max="14609" width="6.5546875" style="18" customWidth="1"/>
    <col min="14610" max="14610" width="4.21875" style="18" customWidth="1"/>
    <col min="14611" max="14611" width="4.109375" style="18" customWidth="1"/>
    <col min="14612" max="14612" width="3" style="18" customWidth="1"/>
    <col min="14613" max="14613" width="6.6640625" style="18" customWidth="1"/>
    <col min="14614" max="14614" width="5.44140625" style="18" customWidth="1"/>
    <col min="14615" max="14615" width="6.6640625" style="18" customWidth="1"/>
    <col min="14616" max="14616" width="5.6640625" style="18" customWidth="1"/>
    <col min="14617" max="14617" width="10.21875" style="18" customWidth="1"/>
    <col min="14618" max="14618" width="9.109375" style="18" customWidth="1"/>
    <col min="14619" max="14624" width="10.5546875" style="18"/>
    <col min="14625" max="14632" width="0" style="18" hidden="1" customWidth="1"/>
    <col min="14633" max="14633" width="7.5546875" style="18" customWidth="1"/>
    <col min="14634" max="14634" width="0" style="18" hidden="1" customWidth="1"/>
    <col min="14635" max="14635" width="6.109375" style="18" bestFit="1" customWidth="1"/>
    <col min="14636" max="14638" width="0" style="18" hidden="1" customWidth="1"/>
    <col min="14639" max="14639" width="10.5546875" style="18"/>
    <col min="14640" max="14640" width="8.77734375" style="18" customWidth="1"/>
    <col min="14641" max="14641" width="6.109375" style="18" bestFit="1" customWidth="1"/>
    <col min="14642" max="14643" width="0" style="18" hidden="1" customWidth="1"/>
    <col min="14644" max="14644" width="5.33203125" style="18" customWidth="1"/>
    <col min="14645" max="14645" width="10.5546875" style="18"/>
    <col min="14646" max="14646" width="0" style="18" hidden="1" customWidth="1"/>
    <col min="14647" max="14851" width="10.5546875" style="18"/>
    <col min="14852" max="14852" width="26.88671875" style="18" customWidth="1"/>
    <col min="14853" max="14853" width="14" style="18" customWidth="1"/>
    <col min="14854" max="14854" width="5.109375" style="18" customWidth="1"/>
    <col min="14855" max="14855" width="11.5546875" style="18" customWidth="1"/>
    <col min="14856" max="14856" width="4.88671875" style="18" customWidth="1"/>
    <col min="14857" max="14858" width="4.109375" style="18" customWidth="1"/>
    <col min="14859" max="14859" width="5.109375" style="18" customWidth="1"/>
    <col min="14860" max="14862" width="5.44140625" style="18" customWidth="1"/>
    <col min="14863" max="14863" width="8.5546875" style="18" customWidth="1"/>
    <col min="14864" max="14864" width="10" style="18" customWidth="1"/>
    <col min="14865" max="14865" width="6.5546875" style="18" customWidth="1"/>
    <col min="14866" max="14866" width="4.21875" style="18" customWidth="1"/>
    <col min="14867" max="14867" width="4.109375" style="18" customWidth="1"/>
    <col min="14868" max="14868" width="3" style="18" customWidth="1"/>
    <col min="14869" max="14869" width="6.6640625" style="18" customWidth="1"/>
    <col min="14870" max="14870" width="5.44140625" style="18" customWidth="1"/>
    <col min="14871" max="14871" width="6.6640625" style="18" customWidth="1"/>
    <col min="14872" max="14872" width="5.6640625" style="18" customWidth="1"/>
    <col min="14873" max="14873" width="10.21875" style="18" customWidth="1"/>
    <col min="14874" max="14874" width="9.109375" style="18" customWidth="1"/>
    <col min="14875" max="14880" width="10.5546875" style="18"/>
    <col min="14881" max="14888" width="0" style="18" hidden="1" customWidth="1"/>
    <col min="14889" max="14889" width="7.5546875" style="18" customWidth="1"/>
    <col min="14890" max="14890" width="0" style="18" hidden="1" customWidth="1"/>
    <col min="14891" max="14891" width="6.109375" style="18" bestFit="1" customWidth="1"/>
    <col min="14892" max="14894" width="0" style="18" hidden="1" customWidth="1"/>
    <col min="14895" max="14895" width="10.5546875" style="18"/>
    <col min="14896" max="14896" width="8.77734375" style="18" customWidth="1"/>
    <col min="14897" max="14897" width="6.109375" style="18" bestFit="1" customWidth="1"/>
    <col min="14898" max="14899" width="0" style="18" hidden="1" customWidth="1"/>
    <col min="14900" max="14900" width="5.33203125" style="18" customWidth="1"/>
    <col min="14901" max="14901" width="10.5546875" style="18"/>
    <col min="14902" max="14902" width="0" style="18" hidden="1" customWidth="1"/>
    <col min="14903" max="15107" width="10.5546875" style="18"/>
    <col min="15108" max="15108" width="26.88671875" style="18" customWidth="1"/>
    <col min="15109" max="15109" width="14" style="18" customWidth="1"/>
    <col min="15110" max="15110" width="5.109375" style="18" customWidth="1"/>
    <col min="15111" max="15111" width="11.5546875" style="18" customWidth="1"/>
    <col min="15112" max="15112" width="4.88671875" style="18" customWidth="1"/>
    <col min="15113" max="15114" width="4.109375" style="18" customWidth="1"/>
    <col min="15115" max="15115" width="5.109375" style="18" customWidth="1"/>
    <col min="15116" max="15118" width="5.44140625" style="18" customWidth="1"/>
    <col min="15119" max="15119" width="8.5546875" style="18" customWidth="1"/>
    <col min="15120" max="15120" width="10" style="18" customWidth="1"/>
    <col min="15121" max="15121" width="6.5546875" style="18" customWidth="1"/>
    <col min="15122" max="15122" width="4.21875" style="18" customWidth="1"/>
    <col min="15123" max="15123" width="4.109375" style="18" customWidth="1"/>
    <col min="15124" max="15124" width="3" style="18" customWidth="1"/>
    <col min="15125" max="15125" width="6.6640625" style="18" customWidth="1"/>
    <col min="15126" max="15126" width="5.44140625" style="18" customWidth="1"/>
    <col min="15127" max="15127" width="6.6640625" style="18" customWidth="1"/>
    <col min="15128" max="15128" width="5.6640625" style="18" customWidth="1"/>
    <col min="15129" max="15129" width="10.21875" style="18" customWidth="1"/>
    <col min="15130" max="15130" width="9.109375" style="18" customWidth="1"/>
    <col min="15131" max="15136" width="10.5546875" style="18"/>
    <col min="15137" max="15144" width="0" style="18" hidden="1" customWidth="1"/>
    <col min="15145" max="15145" width="7.5546875" style="18" customWidth="1"/>
    <col min="15146" max="15146" width="0" style="18" hidden="1" customWidth="1"/>
    <col min="15147" max="15147" width="6.109375" style="18" bestFit="1" customWidth="1"/>
    <col min="15148" max="15150" width="0" style="18" hidden="1" customWidth="1"/>
    <col min="15151" max="15151" width="10.5546875" style="18"/>
    <col min="15152" max="15152" width="8.77734375" style="18" customWidth="1"/>
    <col min="15153" max="15153" width="6.109375" style="18" bestFit="1" customWidth="1"/>
    <col min="15154" max="15155" width="0" style="18" hidden="1" customWidth="1"/>
    <col min="15156" max="15156" width="5.33203125" style="18" customWidth="1"/>
    <col min="15157" max="15157" width="10.5546875" style="18"/>
    <col min="15158" max="15158" width="0" style="18" hidden="1" customWidth="1"/>
    <col min="15159" max="15363" width="10.5546875" style="18"/>
    <col min="15364" max="15364" width="26.88671875" style="18" customWidth="1"/>
    <col min="15365" max="15365" width="14" style="18" customWidth="1"/>
    <col min="15366" max="15366" width="5.109375" style="18" customWidth="1"/>
    <col min="15367" max="15367" width="11.5546875" style="18" customWidth="1"/>
    <col min="15368" max="15368" width="4.88671875" style="18" customWidth="1"/>
    <col min="15369" max="15370" width="4.109375" style="18" customWidth="1"/>
    <col min="15371" max="15371" width="5.109375" style="18" customWidth="1"/>
    <col min="15372" max="15374" width="5.44140625" style="18" customWidth="1"/>
    <col min="15375" max="15375" width="8.5546875" style="18" customWidth="1"/>
    <col min="15376" max="15376" width="10" style="18" customWidth="1"/>
    <col min="15377" max="15377" width="6.5546875" style="18" customWidth="1"/>
    <col min="15378" max="15378" width="4.21875" style="18" customWidth="1"/>
    <col min="15379" max="15379" width="4.109375" style="18" customWidth="1"/>
    <col min="15380" max="15380" width="3" style="18" customWidth="1"/>
    <col min="15381" max="15381" width="6.6640625" style="18" customWidth="1"/>
    <col min="15382" max="15382" width="5.44140625" style="18" customWidth="1"/>
    <col min="15383" max="15383" width="6.6640625" style="18" customWidth="1"/>
    <col min="15384" max="15384" width="5.6640625" style="18" customWidth="1"/>
    <col min="15385" max="15385" width="10.21875" style="18" customWidth="1"/>
    <col min="15386" max="15386" width="9.109375" style="18" customWidth="1"/>
    <col min="15387" max="15392" width="10.5546875" style="18"/>
    <col min="15393" max="15400" width="0" style="18" hidden="1" customWidth="1"/>
    <col min="15401" max="15401" width="7.5546875" style="18" customWidth="1"/>
    <col min="15402" max="15402" width="0" style="18" hidden="1" customWidth="1"/>
    <col min="15403" max="15403" width="6.109375" style="18" bestFit="1" customWidth="1"/>
    <col min="15404" max="15406" width="0" style="18" hidden="1" customWidth="1"/>
    <col min="15407" max="15407" width="10.5546875" style="18"/>
    <col min="15408" max="15408" width="8.77734375" style="18" customWidth="1"/>
    <col min="15409" max="15409" width="6.109375" style="18" bestFit="1" customWidth="1"/>
    <col min="15410" max="15411" width="0" style="18" hidden="1" customWidth="1"/>
    <col min="15412" max="15412" width="5.33203125" style="18" customWidth="1"/>
    <col min="15413" max="15413" width="10.5546875" style="18"/>
    <col min="15414" max="15414" width="0" style="18" hidden="1" customWidth="1"/>
    <col min="15415" max="15619" width="10.5546875" style="18"/>
    <col min="15620" max="15620" width="26.88671875" style="18" customWidth="1"/>
    <col min="15621" max="15621" width="14" style="18" customWidth="1"/>
    <col min="15622" max="15622" width="5.109375" style="18" customWidth="1"/>
    <col min="15623" max="15623" width="11.5546875" style="18" customWidth="1"/>
    <col min="15624" max="15624" width="4.88671875" style="18" customWidth="1"/>
    <col min="15625" max="15626" width="4.109375" style="18" customWidth="1"/>
    <col min="15627" max="15627" width="5.109375" style="18" customWidth="1"/>
    <col min="15628" max="15630" width="5.44140625" style="18" customWidth="1"/>
    <col min="15631" max="15631" width="8.5546875" style="18" customWidth="1"/>
    <col min="15632" max="15632" width="10" style="18" customWidth="1"/>
    <col min="15633" max="15633" width="6.5546875" style="18" customWidth="1"/>
    <col min="15634" max="15634" width="4.21875" style="18" customWidth="1"/>
    <col min="15635" max="15635" width="4.109375" style="18" customWidth="1"/>
    <col min="15636" max="15636" width="3" style="18" customWidth="1"/>
    <col min="15637" max="15637" width="6.6640625" style="18" customWidth="1"/>
    <col min="15638" max="15638" width="5.44140625" style="18" customWidth="1"/>
    <col min="15639" max="15639" width="6.6640625" style="18" customWidth="1"/>
    <col min="15640" max="15640" width="5.6640625" style="18" customWidth="1"/>
    <col min="15641" max="15641" width="10.21875" style="18" customWidth="1"/>
    <col min="15642" max="15642" width="9.109375" style="18" customWidth="1"/>
    <col min="15643" max="15648" width="10.5546875" style="18"/>
    <col min="15649" max="15656" width="0" style="18" hidden="1" customWidth="1"/>
    <col min="15657" max="15657" width="7.5546875" style="18" customWidth="1"/>
    <col min="15658" max="15658" width="0" style="18" hidden="1" customWidth="1"/>
    <col min="15659" max="15659" width="6.109375" style="18" bestFit="1" customWidth="1"/>
    <col min="15660" max="15662" width="0" style="18" hidden="1" customWidth="1"/>
    <col min="15663" max="15663" width="10.5546875" style="18"/>
    <col min="15664" max="15664" width="8.77734375" style="18" customWidth="1"/>
    <col min="15665" max="15665" width="6.109375" style="18" bestFit="1" customWidth="1"/>
    <col min="15666" max="15667" width="0" style="18" hidden="1" customWidth="1"/>
    <col min="15668" max="15668" width="5.33203125" style="18" customWidth="1"/>
    <col min="15669" max="15669" width="10.5546875" style="18"/>
    <col min="15670" max="15670" width="0" style="18" hidden="1" customWidth="1"/>
    <col min="15671" max="15875" width="10.5546875" style="18"/>
    <col min="15876" max="15876" width="26.88671875" style="18" customWidth="1"/>
    <col min="15877" max="15877" width="14" style="18" customWidth="1"/>
    <col min="15878" max="15878" width="5.109375" style="18" customWidth="1"/>
    <col min="15879" max="15879" width="11.5546875" style="18" customWidth="1"/>
    <col min="15880" max="15880" width="4.88671875" style="18" customWidth="1"/>
    <col min="15881" max="15882" width="4.109375" style="18" customWidth="1"/>
    <col min="15883" max="15883" width="5.109375" style="18" customWidth="1"/>
    <col min="15884" max="15886" width="5.44140625" style="18" customWidth="1"/>
    <col min="15887" max="15887" width="8.5546875" style="18" customWidth="1"/>
    <col min="15888" max="15888" width="10" style="18" customWidth="1"/>
    <col min="15889" max="15889" width="6.5546875" style="18" customWidth="1"/>
    <col min="15890" max="15890" width="4.21875" style="18" customWidth="1"/>
    <col min="15891" max="15891" width="4.109375" style="18" customWidth="1"/>
    <col min="15892" max="15892" width="3" style="18" customWidth="1"/>
    <col min="15893" max="15893" width="6.6640625" style="18" customWidth="1"/>
    <col min="15894" max="15894" width="5.44140625" style="18" customWidth="1"/>
    <col min="15895" max="15895" width="6.6640625" style="18" customWidth="1"/>
    <col min="15896" max="15896" width="5.6640625" style="18" customWidth="1"/>
    <col min="15897" max="15897" width="10.21875" style="18" customWidth="1"/>
    <col min="15898" max="15898" width="9.109375" style="18" customWidth="1"/>
    <col min="15899" max="15904" width="10.5546875" style="18"/>
    <col min="15905" max="15912" width="0" style="18" hidden="1" customWidth="1"/>
    <col min="15913" max="15913" width="7.5546875" style="18" customWidth="1"/>
    <col min="15914" max="15914" width="0" style="18" hidden="1" customWidth="1"/>
    <col min="15915" max="15915" width="6.109375" style="18" bestFit="1" customWidth="1"/>
    <col min="15916" max="15918" width="0" style="18" hidden="1" customWidth="1"/>
    <col min="15919" max="15919" width="10.5546875" style="18"/>
    <col min="15920" max="15920" width="8.77734375" style="18" customWidth="1"/>
    <col min="15921" max="15921" width="6.109375" style="18" bestFit="1" customWidth="1"/>
    <col min="15922" max="15923" width="0" style="18" hidden="1" customWidth="1"/>
    <col min="15924" max="15924" width="5.33203125" style="18" customWidth="1"/>
    <col min="15925" max="15925" width="10.5546875" style="18"/>
    <col min="15926" max="15926" width="0" style="18" hidden="1" customWidth="1"/>
    <col min="15927" max="16131" width="10.5546875" style="18"/>
    <col min="16132" max="16132" width="26.88671875" style="18" customWidth="1"/>
    <col min="16133" max="16133" width="14" style="18" customWidth="1"/>
    <col min="16134" max="16134" width="5.109375" style="18" customWidth="1"/>
    <col min="16135" max="16135" width="11.5546875" style="18" customWidth="1"/>
    <col min="16136" max="16136" width="4.88671875" style="18" customWidth="1"/>
    <col min="16137" max="16138" width="4.109375" style="18" customWidth="1"/>
    <col min="16139" max="16139" width="5.109375" style="18" customWidth="1"/>
    <col min="16140" max="16142" width="5.44140625" style="18" customWidth="1"/>
    <col min="16143" max="16143" width="8.5546875" style="18" customWidth="1"/>
    <col min="16144" max="16144" width="10" style="18" customWidth="1"/>
    <col min="16145" max="16145" width="6.5546875" style="18" customWidth="1"/>
    <col min="16146" max="16146" width="4.21875" style="18" customWidth="1"/>
    <col min="16147" max="16147" width="4.109375" style="18" customWidth="1"/>
    <col min="16148" max="16148" width="3" style="18" customWidth="1"/>
    <col min="16149" max="16149" width="6.6640625" style="18" customWidth="1"/>
    <col min="16150" max="16150" width="5.44140625" style="18" customWidth="1"/>
    <col min="16151" max="16151" width="6.6640625" style="18" customWidth="1"/>
    <col min="16152" max="16152" width="5.6640625" style="18" customWidth="1"/>
    <col min="16153" max="16153" width="10.21875" style="18" customWidth="1"/>
    <col min="16154" max="16154" width="9.109375" style="18" customWidth="1"/>
    <col min="16155" max="16160" width="10.5546875" style="18"/>
    <col min="16161" max="16168" width="0" style="18" hidden="1" customWidth="1"/>
    <col min="16169" max="16169" width="7.5546875" style="18" customWidth="1"/>
    <col min="16170" max="16170" width="0" style="18" hidden="1" customWidth="1"/>
    <col min="16171" max="16171" width="6.109375" style="18" bestFit="1" customWidth="1"/>
    <col min="16172" max="16174" width="0" style="18" hidden="1" customWidth="1"/>
    <col min="16175" max="16175" width="10.5546875" style="18"/>
    <col min="16176" max="16176" width="8.77734375" style="18" customWidth="1"/>
    <col min="16177" max="16177" width="6.109375" style="18" bestFit="1" customWidth="1"/>
    <col min="16178" max="16179" width="0" style="18" hidden="1" customWidth="1"/>
    <col min="16180" max="16180" width="5.33203125" style="18" customWidth="1"/>
    <col min="16181" max="16181" width="10.5546875" style="18"/>
    <col min="16182" max="16182" width="0" style="18" hidden="1" customWidth="1"/>
    <col min="16183" max="16384" width="10.5546875" style="18"/>
  </cols>
  <sheetData>
    <row r="1" spans="1:59" hidden="1" x14ac:dyDescent="0.3">
      <c r="B1" s="18"/>
      <c r="C1" s="18"/>
      <c r="D1" s="20"/>
      <c r="E1" s="30"/>
      <c r="H1" s="21" t="s">
        <v>963</v>
      </c>
      <c r="I1" s="21" t="s">
        <v>1224</v>
      </c>
      <c r="J1" s="21" t="s">
        <v>964</v>
      </c>
      <c r="K1" s="21"/>
      <c r="L1" s="21" t="s">
        <v>1228</v>
      </c>
      <c r="M1" s="21"/>
      <c r="N1" s="21" t="s">
        <v>1231</v>
      </c>
      <c r="O1" s="21"/>
      <c r="P1" s="21" t="s">
        <v>965</v>
      </c>
      <c r="Q1" s="21" t="s">
        <v>966</v>
      </c>
      <c r="R1" s="21" t="s">
        <v>967</v>
      </c>
      <c r="S1" s="76" t="s">
        <v>968</v>
      </c>
      <c r="T1" s="76" t="s">
        <v>969</v>
      </c>
      <c r="U1" s="20" t="s">
        <v>970</v>
      </c>
      <c r="V1" s="30" t="s">
        <v>1232</v>
      </c>
      <c r="W1" s="21" t="s">
        <v>971</v>
      </c>
      <c r="X1" s="21" t="s">
        <v>1233</v>
      </c>
      <c r="Y1" s="21" t="s">
        <v>972</v>
      </c>
      <c r="Z1" s="21" t="s">
        <v>973</v>
      </c>
      <c r="AA1" s="21" t="s">
        <v>974</v>
      </c>
    </row>
    <row r="2" spans="1:59" s="14" customFormat="1" x14ac:dyDescent="0.3">
      <c r="A2" s="14" t="s">
        <v>984</v>
      </c>
      <c r="B2" s="14" t="s">
        <v>955</v>
      </c>
      <c r="C2" s="14" t="s">
        <v>7</v>
      </c>
      <c r="D2" s="15" t="s">
        <v>8</v>
      </c>
      <c r="E2" s="31" t="s">
        <v>975</v>
      </c>
      <c r="F2" s="31" t="s">
        <v>976</v>
      </c>
      <c r="G2" s="15" t="s">
        <v>961</v>
      </c>
      <c r="H2" s="16" t="s">
        <v>10</v>
      </c>
      <c r="I2" s="16" t="s">
        <v>1225</v>
      </c>
      <c r="J2" s="16" t="s">
        <v>11</v>
      </c>
      <c r="K2" s="16" t="s">
        <v>1226</v>
      </c>
      <c r="L2" s="16" t="s">
        <v>1227</v>
      </c>
      <c r="M2" s="16" t="s">
        <v>1229</v>
      </c>
      <c r="N2" s="16" t="s">
        <v>1230</v>
      </c>
      <c r="O2" s="16" t="s">
        <v>13</v>
      </c>
      <c r="P2" s="16" t="s">
        <v>14</v>
      </c>
      <c r="Q2" s="16" t="s">
        <v>956</v>
      </c>
      <c r="R2" s="16" t="s">
        <v>957</v>
      </c>
      <c r="S2" s="77" t="s">
        <v>958</v>
      </c>
      <c r="T2" s="77" t="s">
        <v>16</v>
      </c>
      <c r="U2" s="15" t="s">
        <v>959</v>
      </c>
      <c r="V2" s="31" t="s">
        <v>10</v>
      </c>
      <c r="W2" s="16" t="s">
        <v>19</v>
      </c>
      <c r="X2" s="16" t="s">
        <v>21</v>
      </c>
      <c r="Y2" s="16" t="s">
        <v>960</v>
      </c>
      <c r="Z2" s="16" t="s">
        <v>22</v>
      </c>
      <c r="AA2" s="16" t="s">
        <v>24</v>
      </c>
      <c r="AF2" s="29"/>
    </row>
    <row r="3" spans="1:59" s="25" customFormat="1" ht="15" thickBot="1" x14ac:dyDescent="0.35">
      <c r="D3" s="26"/>
      <c r="E3" s="27"/>
      <c r="F3" s="33"/>
      <c r="G3" s="34"/>
      <c r="H3" s="27">
        <v>25</v>
      </c>
      <c r="I3" s="27">
        <v>2</v>
      </c>
      <c r="J3" s="27">
        <v>25</v>
      </c>
      <c r="K3" s="27">
        <v>50</v>
      </c>
      <c r="L3" s="27">
        <v>25</v>
      </c>
      <c r="M3" s="27">
        <v>1</v>
      </c>
      <c r="N3" s="27">
        <v>10</v>
      </c>
      <c r="O3" s="27">
        <v>10</v>
      </c>
      <c r="P3" s="27">
        <v>3</v>
      </c>
      <c r="Q3" s="27">
        <v>10</v>
      </c>
      <c r="R3" s="27">
        <v>20</v>
      </c>
      <c r="S3" s="78">
        <v>10</v>
      </c>
      <c r="T3" s="78">
        <v>20</v>
      </c>
      <c r="U3" s="26">
        <v>2</v>
      </c>
      <c r="V3" s="27">
        <v>100</v>
      </c>
      <c r="W3" s="27">
        <v>40</v>
      </c>
      <c r="X3" s="27">
        <v>20</v>
      </c>
      <c r="Y3" s="27">
        <v>50</v>
      </c>
      <c r="Z3" s="27">
        <v>-15</v>
      </c>
      <c r="AA3" s="27">
        <v>2</v>
      </c>
      <c r="AF3" s="28"/>
    </row>
    <row r="4" spans="1:59" x14ac:dyDescent="0.3">
      <c r="A4" s="18">
        <v>1</v>
      </c>
      <c r="B4" s="18" t="str">
        <f>'RW predict'!A3</f>
        <v>Connor McDavid</v>
      </c>
      <c r="C4" s="18" t="str">
        <f>'RW predict'!B3</f>
        <v>EDM</v>
      </c>
      <c r="D4" s="22" t="str" cm="1">
        <f t="array" ref="D4">_xlfn.SWITCH('RW predict'!C3, "C", "F", "LW","F", "RW", "F", "D", "D", "G", "G", "other")</f>
        <v>F</v>
      </c>
      <c r="E4" s="32">
        <f>H4*$H$3+I4*I$3+K4*K$3+L4*L$3+M4*M$3+N4*N$3+V4*V$3+J4*J$3+O4*$O$3+P4*$P$3+Q4*$Q$3+R4*$R$3+S4*$S$3+T4*$T$3+U4*$U$3+W4*$W$3+X4*$X$3+Y4*$Y$3+Z4*$Z$3+AA4*$AA$3</f>
        <v>4591</v>
      </c>
      <c r="F4" s="35">
        <f>E4/assumptions!$B$2</f>
        <v>55.987804878048777</v>
      </c>
      <c r="G4" s="36">
        <f>RANK(E4,$E$4:$E$1100)</f>
        <v>1</v>
      </c>
      <c r="H4" s="18">
        <f>IF(NOT(D4="G"),'RW predict'!E3,0)</f>
        <v>46</v>
      </c>
      <c r="I4" s="18">
        <f>'RW predict'!Q3</f>
        <v>28</v>
      </c>
      <c r="J4" s="18">
        <f>'RW predict'!F3</f>
        <v>80</v>
      </c>
      <c r="K4" s="18"/>
      <c r="L4" s="18"/>
      <c r="M4" s="18">
        <f>'RW predict'!P3</f>
        <v>71</v>
      </c>
      <c r="N4" s="18"/>
      <c r="O4" s="18">
        <f>'RW predict'!H3</f>
        <v>26</v>
      </c>
      <c r="P4" s="18">
        <f>'RW predict'!I3</f>
        <v>42</v>
      </c>
      <c r="Q4" s="18">
        <f>'RW predict'!L3</f>
        <v>10</v>
      </c>
      <c r="R4" s="18">
        <f>'RW predict'!N3</f>
        <v>0</v>
      </c>
      <c r="S4" s="76">
        <f>'RW predict'!O3</f>
        <v>1</v>
      </c>
      <c r="T4" s="76">
        <f>'RW predict'!K3</f>
        <v>10</v>
      </c>
      <c r="U4" s="22">
        <f>'RW predict'!J3</f>
        <v>309</v>
      </c>
      <c r="V4" s="32">
        <f>IF(D4="G",'RW predict'!E3,0)</f>
        <v>0</v>
      </c>
      <c r="W4" s="18">
        <f>'RW predict'!R3</f>
        <v>0</v>
      </c>
      <c r="X4" s="18">
        <f>'RW predict'!T3</f>
        <v>0</v>
      </c>
      <c r="Y4" s="18">
        <f>'RW predict'!Y3</f>
        <v>0</v>
      </c>
      <c r="Z4" s="18">
        <f>'RW predict'!U3</f>
        <v>0</v>
      </c>
      <c r="AA4" s="18">
        <f>'RW predict'!W3</f>
        <v>0</v>
      </c>
      <c r="AB4" s="17"/>
      <c r="AG4" s="23"/>
      <c r="AI4" s="17"/>
      <c r="AO4" s="23"/>
    </row>
    <row r="5" spans="1:59" x14ac:dyDescent="0.3">
      <c r="A5" s="18">
        <v>2</v>
      </c>
      <c r="B5" s="18" t="str">
        <f>'RW predict'!A4</f>
        <v>Leon Draisaitl</v>
      </c>
      <c r="C5" s="18" t="str">
        <f>'RW predict'!B4</f>
        <v>EDM</v>
      </c>
      <c r="D5" s="22" t="str" cm="1">
        <f t="array" ref="D5">_xlfn.SWITCH('RW predict'!C4, "C", "F", "LW","F", "RW", "F", "D", "D", "G", "G", "other")</f>
        <v>F</v>
      </c>
      <c r="E5" s="32">
        <f t="shared" ref="E5:E68" si="0">H5*$H$3+I5*I$3+K5*K$3+L5*L$3+M5*M$3+N5*N$3+V5*V$3+J5*J$3+O5*$O$3+P5*$P$3+Q5*$Q$3+R5*$R$3+S5*$S$3+T5*$T$3+U5*$U$3+W5*$W$3+X5*$X$3+Y5*$Y$3+Z5*$Z$3+AA5*$AA$3</f>
        <v>4334</v>
      </c>
      <c r="F5" s="35">
        <f>E5/assumptions!$B$2</f>
        <v>52.853658536585364</v>
      </c>
      <c r="G5" s="36">
        <f t="shared" ref="G5:G68" si="1">RANK(E5,$E$4:$E$1100)</f>
        <v>2</v>
      </c>
      <c r="H5" s="18">
        <f>IF(NOT(D5="G"),'RW predict'!E4,0)</f>
        <v>53</v>
      </c>
      <c r="I5" s="18">
        <f>'RW predict'!Q4</f>
        <v>27</v>
      </c>
      <c r="J5" s="18">
        <f>'RW predict'!F4</f>
        <v>63</v>
      </c>
      <c r="K5" s="18"/>
      <c r="L5" s="18"/>
      <c r="M5" s="18">
        <f>'RW predict'!P4</f>
        <v>54</v>
      </c>
      <c r="N5" s="18"/>
      <c r="O5" s="18">
        <f>'RW predict'!H4</f>
        <v>19</v>
      </c>
      <c r="P5" s="18">
        <f>'RW predict'!I4</f>
        <v>38</v>
      </c>
      <c r="Q5" s="18">
        <f>'RW predict'!L4</f>
        <v>21</v>
      </c>
      <c r="R5" s="18">
        <f>'RW predict'!N4</f>
        <v>1</v>
      </c>
      <c r="S5" s="76">
        <f>'RW predict'!O4</f>
        <v>1</v>
      </c>
      <c r="T5" s="76">
        <f>'RW predict'!K4</f>
        <v>11</v>
      </c>
      <c r="U5" s="22">
        <f>'RW predict'!J4</f>
        <v>281</v>
      </c>
      <c r="V5" s="32">
        <f>IF(D5="G",'RW predict'!E4,0)</f>
        <v>0</v>
      </c>
      <c r="W5" s="18">
        <f>'RW predict'!R4</f>
        <v>0</v>
      </c>
      <c r="X5" s="18">
        <f>'RW predict'!T4</f>
        <v>0</v>
      </c>
      <c r="Y5" s="18">
        <f>'RW predict'!Y4</f>
        <v>0</v>
      </c>
      <c r="Z5" s="18">
        <f>'RW predict'!U4</f>
        <v>0</v>
      </c>
      <c r="AA5" s="18">
        <f>'RW predict'!W4</f>
        <v>0</v>
      </c>
      <c r="AB5" s="17"/>
      <c r="AG5" s="23"/>
      <c r="AI5" s="17"/>
      <c r="AO5" s="23"/>
      <c r="BF5" s="14"/>
    </row>
    <row r="6" spans="1:59" x14ac:dyDescent="0.3">
      <c r="A6" s="18">
        <v>3</v>
      </c>
      <c r="B6" s="18" t="str">
        <f>'RW predict'!A5</f>
        <v>Nikita Kucherov</v>
      </c>
      <c r="C6" s="18" t="str">
        <f>'RW predict'!B5</f>
        <v>TB</v>
      </c>
      <c r="D6" s="22" t="str" cm="1">
        <f t="array" ref="D6">_xlfn.SWITCH('RW predict'!C5, "C", "F", "LW","F", "RW", "F", "D", "D", "G", "G", "other")</f>
        <v>F</v>
      </c>
      <c r="E6" s="32">
        <f t="shared" si="0"/>
        <v>3726</v>
      </c>
      <c r="F6" s="35">
        <f>E6/assumptions!$B$2</f>
        <v>45.439024390243901</v>
      </c>
      <c r="G6" s="36">
        <f t="shared" si="1"/>
        <v>8</v>
      </c>
      <c r="H6" s="18">
        <f>IF(NOT(D6="G"),'RW predict'!E5,0)</f>
        <v>38</v>
      </c>
      <c r="I6" s="18">
        <f>'RW predict'!Q5</f>
        <v>13</v>
      </c>
      <c r="J6" s="18">
        <f>'RW predict'!F5</f>
        <v>68</v>
      </c>
      <c r="K6" s="18"/>
      <c r="L6" s="18"/>
      <c r="M6" s="18">
        <f>'RW predict'!P5</f>
        <v>48</v>
      </c>
      <c r="N6" s="18"/>
      <c r="O6" s="18">
        <f>'RW predict'!H5</f>
        <v>14</v>
      </c>
      <c r="P6" s="18">
        <f>'RW predict'!I5</f>
        <v>36</v>
      </c>
      <c r="Q6" s="18">
        <f>'RW predict'!L5</f>
        <v>11</v>
      </c>
      <c r="R6" s="18">
        <f>'RW predict'!N5</f>
        <v>0</v>
      </c>
      <c r="S6" s="76">
        <f>'RW predict'!O5</f>
        <v>0</v>
      </c>
      <c r="T6" s="76">
        <f>'RW predict'!K5</f>
        <v>8</v>
      </c>
      <c r="U6" s="22">
        <f>'RW predict'!J5</f>
        <v>242</v>
      </c>
      <c r="V6" s="32">
        <f>IF(D6="G",'RW predict'!E5,0)</f>
        <v>0</v>
      </c>
      <c r="W6" s="18">
        <f>'RW predict'!R5</f>
        <v>0</v>
      </c>
      <c r="X6" s="18">
        <f>'RW predict'!T5</f>
        <v>0</v>
      </c>
      <c r="Y6" s="18">
        <f>'RW predict'!Y5</f>
        <v>0</v>
      </c>
      <c r="Z6" s="18">
        <f>'RW predict'!U5</f>
        <v>0</v>
      </c>
      <c r="AA6" s="18">
        <f>'RW predict'!W5</f>
        <v>0</v>
      </c>
      <c r="AB6" s="17"/>
      <c r="AG6" s="23"/>
      <c r="AI6" s="17"/>
      <c r="AO6" s="23"/>
      <c r="BF6" s="14"/>
    </row>
    <row r="7" spans="1:59" x14ac:dyDescent="0.3">
      <c r="A7" s="18">
        <v>4</v>
      </c>
      <c r="B7" s="18" t="str">
        <f>'RW predict'!A6</f>
        <v>Kirill Kaprizov</v>
      </c>
      <c r="C7" s="18" t="str">
        <f>'RW predict'!B6</f>
        <v>MIN</v>
      </c>
      <c r="D7" s="22" t="str" cm="1">
        <f t="array" ref="D7">_xlfn.SWITCH('RW predict'!C6, "C", "F", "LW","F", "RW", "F", "D", "D", "G", "G", "other")</f>
        <v>F</v>
      </c>
      <c r="E7" s="32">
        <f t="shared" si="0"/>
        <v>3986</v>
      </c>
      <c r="F7" s="35">
        <f>E7/assumptions!$B$2</f>
        <v>48.609756097560975</v>
      </c>
      <c r="G7" s="36">
        <f t="shared" si="1"/>
        <v>5</v>
      </c>
      <c r="H7" s="18">
        <f>IF(NOT(D7="G"),'RW predict'!E6,0)</f>
        <v>47</v>
      </c>
      <c r="I7" s="18">
        <f>'RW predict'!Q6</f>
        <v>29</v>
      </c>
      <c r="J7" s="18">
        <f>'RW predict'!F6</f>
        <v>59</v>
      </c>
      <c r="K7" s="18"/>
      <c r="L7" s="18"/>
      <c r="M7" s="18">
        <f>'RW predict'!P6</f>
        <v>74</v>
      </c>
      <c r="N7" s="18"/>
      <c r="O7" s="18">
        <f>'RW predict'!H6</f>
        <v>25</v>
      </c>
      <c r="P7" s="18">
        <f>'RW predict'!I6</f>
        <v>32</v>
      </c>
      <c r="Q7" s="18">
        <f>'RW predict'!L6</f>
        <v>13</v>
      </c>
      <c r="R7" s="18">
        <f>'RW predict'!N6</f>
        <v>0</v>
      </c>
      <c r="S7" s="76">
        <f>'RW predict'!O6</f>
        <v>0</v>
      </c>
      <c r="T7" s="76">
        <f>'RW predict'!K6</f>
        <v>8</v>
      </c>
      <c r="U7" s="22">
        <f>'RW predict'!J6</f>
        <v>284</v>
      </c>
      <c r="V7" s="32">
        <f>IF(D7="G",'RW predict'!E6,0)</f>
        <v>0</v>
      </c>
      <c r="W7" s="18">
        <f>'RW predict'!R6</f>
        <v>0</v>
      </c>
      <c r="X7" s="18">
        <f>'RW predict'!T6</f>
        <v>0</v>
      </c>
      <c r="Y7" s="18">
        <f>'RW predict'!Y6</f>
        <v>0</v>
      </c>
      <c r="Z7" s="18">
        <f>'RW predict'!U6</f>
        <v>0</v>
      </c>
      <c r="AA7" s="18">
        <f>'RW predict'!W6</f>
        <v>0</v>
      </c>
      <c r="AB7" s="17"/>
      <c r="AG7" s="23"/>
      <c r="AI7" s="17"/>
      <c r="AO7" s="23"/>
      <c r="BF7" s="14"/>
    </row>
    <row r="8" spans="1:59" x14ac:dyDescent="0.3">
      <c r="A8" s="18">
        <v>5</v>
      </c>
      <c r="B8" s="18" t="str">
        <f>'RW predict'!A7</f>
        <v>Auston Matthews</v>
      </c>
      <c r="C8" s="18" t="str">
        <f>'RW predict'!B7</f>
        <v>TOR</v>
      </c>
      <c r="D8" s="22" t="str" cm="1">
        <f t="array" ref="D8">_xlfn.SWITCH('RW predict'!C7, "C", "F", "LW","F", "RW", "F", "D", "D", "G", "G", "other")</f>
        <v>F</v>
      </c>
      <c r="E8" s="32">
        <f t="shared" si="0"/>
        <v>4159</v>
      </c>
      <c r="F8" s="35">
        <f>E8/assumptions!$B$2</f>
        <v>50.719512195121951</v>
      </c>
      <c r="G8" s="36">
        <f t="shared" si="1"/>
        <v>3</v>
      </c>
      <c r="H8" s="18">
        <f>IF(NOT(D8="G"),'RW predict'!E7,0)</f>
        <v>60</v>
      </c>
      <c r="I8" s="18">
        <f>'RW predict'!Q7</f>
        <v>62</v>
      </c>
      <c r="J8" s="18">
        <f>'RW predict'!F7</f>
        <v>45</v>
      </c>
      <c r="K8" s="18"/>
      <c r="L8" s="18"/>
      <c r="M8" s="18">
        <f>'RW predict'!P7</f>
        <v>68</v>
      </c>
      <c r="N8" s="18"/>
      <c r="O8" s="18">
        <f>'RW predict'!H7</f>
        <v>23</v>
      </c>
      <c r="P8" s="18">
        <f>'RW predict'!I7</f>
        <v>16</v>
      </c>
      <c r="Q8" s="18">
        <f>'RW predict'!L7</f>
        <v>16</v>
      </c>
      <c r="R8" s="18">
        <f>'RW predict'!N7</f>
        <v>0</v>
      </c>
      <c r="S8" s="76">
        <f>'RW predict'!O7</f>
        <v>0</v>
      </c>
      <c r="T8" s="76">
        <f>'RW predict'!K7</f>
        <v>10</v>
      </c>
      <c r="U8" s="22">
        <f>'RW predict'!J7</f>
        <v>352</v>
      </c>
      <c r="V8" s="32">
        <f>IF(D8="G",'RW predict'!E7,0)</f>
        <v>0</v>
      </c>
      <c r="W8" s="18">
        <f>'RW predict'!R7</f>
        <v>0</v>
      </c>
      <c r="X8" s="18">
        <f>'RW predict'!T7</f>
        <v>0</v>
      </c>
      <c r="Y8" s="18">
        <f>'RW predict'!Y7</f>
        <v>0</v>
      </c>
      <c r="Z8" s="18">
        <f>'RW predict'!U7</f>
        <v>0</v>
      </c>
      <c r="AA8" s="18">
        <f>'RW predict'!W7</f>
        <v>0</v>
      </c>
      <c r="AB8" s="17"/>
      <c r="AG8" s="23"/>
      <c r="AI8" s="17"/>
      <c r="AO8" s="23"/>
      <c r="BF8" s="14"/>
    </row>
    <row r="9" spans="1:59" x14ac:dyDescent="0.3">
      <c r="A9" s="18">
        <v>6</v>
      </c>
      <c r="B9" s="18" t="str">
        <f>'RW predict'!A8</f>
        <v>Jonathan Huberdeau</v>
      </c>
      <c r="C9" s="18" t="str">
        <f>'RW predict'!B8</f>
        <v>CGY</v>
      </c>
      <c r="D9" s="22" t="str" cm="1">
        <f t="array" ref="D9">_xlfn.SWITCH('RW predict'!C8, "C", "F", "LW","F", "RW", "F", "D", "D", "G", "G", "other")</f>
        <v>F</v>
      </c>
      <c r="E9" s="32">
        <f t="shared" si="0"/>
        <v>3836</v>
      </c>
      <c r="F9" s="35">
        <f>E9/assumptions!$B$2</f>
        <v>46.780487804878049</v>
      </c>
      <c r="G9" s="36">
        <f t="shared" si="1"/>
        <v>6</v>
      </c>
      <c r="H9" s="18">
        <f>IF(NOT(D9="G"),'RW predict'!E8,0)</f>
        <v>30</v>
      </c>
      <c r="I9" s="18">
        <f>'RW predict'!Q8</f>
        <v>26</v>
      </c>
      <c r="J9" s="18">
        <f>'RW predict'!F8</f>
        <v>74</v>
      </c>
      <c r="K9" s="18"/>
      <c r="L9" s="18"/>
      <c r="M9" s="18">
        <f>'RW predict'!P8</f>
        <v>76</v>
      </c>
      <c r="N9" s="18"/>
      <c r="O9" s="18">
        <f>'RW predict'!H8</f>
        <v>27</v>
      </c>
      <c r="P9" s="18">
        <f>'RW predict'!I8</f>
        <v>46</v>
      </c>
      <c r="Q9" s="18">
        <f>'RW predict'!L8</f>
        <v>8</v>
      </c>
      <c r="R9" s="18">
        <f>'RW predict'!N8</f>
        <v>2</v>
      </c>
      <c r="S9" s="76">
        <f>'RW predict'!O8</f>
        <v>2</v>
      </c>
      <c r="T9" s="76">
        <f>'RW predict'!K8</f>
        <v>6</v>
      </c>
      <c r="U9" s="22">
        <f>'RW predict'!J8</f>
        <v>220</v>
      </c>
      <c r="V9" s="32">
        <f>IF(D9="G",'RW predict'!E8,0)</f>
        <v>0</v>
      </c>
      <c r="W9" s="18">
        <f>'RW predict'!R8</f>
        <v>0</v>
      </c>
      <c r="X9" s="18">
        <f>'RW predict'!T8</f>
        <v>0</v>
      </c>
      <c r="Y9" s="18">
        <f>'RW predict'!Y8</f>
        <v>0</v>
      </c>
      <c r="Z9" s="18">
        <f>'RW predict'!U8</f>
        <v>0</v>
      </c>
      <c r="AA9" s="18">
        <f>'RW predict'!W8</f>
        <v>0</v>
      </c>
      <c r="AB9" s="17"/>
      <c r="AG9" s="23"/>
      <c r="AI9" s="17"/>
      <c r="AO9" s="23"/>
      <c r="BF9" s="14"/>
      <c r="BG9" s="14"/>
    </row>
    <row r="10" spans="1:59" x14ac:dyDescent="0.3">
      <c r="A10" s="18">
        <v>7</v>
      </c>
      <c r="B10" s="18" t="str">
        <f>'RW predict'!A9</f>
        <v>Nathan MacKinnon</v>
      </c>
      <c r="C10" s="18" t="str">
        <f>'RW predict'!B9</f>
        <v>COL</v>
      </c>
      <c r="D10" s="22" t="str" cm="1">
        <f t="array" ref="D10">_xlfn.SWITCH('RW predict'!C9, "C", "F", "LW","F", "RW", "F", "D", "D", "G", "G", "other")</f>
        <v>F</v>
      </c>
      <c r="E10" s="32">
        <f t="shared" si="0"/>
        <v>4068</v>
      </c>
      <c r="F10" s="35">
        <f>E10/assumptions!$B$2</f>
        <v>49.609756097560975</v>
      </c>
      <c r="G10" s="36">
        <f t="shared" si="1"/>
        <v>4</v>
      </c>
      <c r="H10" s="18">
        <f>IF(NOT(D10="G"),'RW predict'!E9,0)</f>
        <v>38</v>
      </c>
      <c r="I10" s="18">
        <f>'RW predict'!Q9</f>
        <v>38</v>
      </c>
      <c r="J10" s="18">
        <f>'RW predict'!F9</f>
        <v>66</v>
      </c>
      <c r="K10" s="18"/>
      <c r="L10" s="18"/>
      <c r="M10" s="18">
        <f>'RW predict'!P9</f>
        <v>72</v>
      </c>
      <c r="N10" s="18"/>
      <c r="O10" s="18">
        <f>'RW predict'!H9</f>
        <v>26</v>
      </c>
      <c r="P10" s="18">
        <f>'RW predict'!I9</f>
        <v>42</v>
      </c>
      <c r="Q10" s="18">
        <f>'RW predict'!L9</f>
        <v>10</v>
      </c>
      <c r="R10" s="18">
        <f>'RW predict'!N9</f>
        <v>0</v>
      </c>
      <c r="S10" s="76">
        <f>'RW predict'!O9</f>
        <v>0</v>
      </c>
      <c r="T10" s="76">
        <f>'RW predict'!K9</f>
        <v>8</v>
      </c>
      <c r="U10" s="22">
        <f>'RW predict'!J9</f>
        <v>337</v>
      </c>
      <c r="V10" s="32">
        <f>IF(D10="G",'RW predict'!E9,0)</f>
        <v>0</v>
      </c>
      <c r="W10" s="18">
        <f>'RW predict'!R9</f>
        <v>0</v>
      </c>
      <c r="X10" s="18">
        <f>'RW predict'!T9</f>
        <v>0</v>
      </c>
      <c r="Y10" s="18">
        <f>'RW predict'!Y9</f>
        <v>0</v>
      </c>
      <c r="Z10" s="18">
        <f>'RW predict'!U9</f>
        <v>0</v>
      </c>
      <c r="AA10" s="18">
        <f>'RW predict'!W9</f>
        <v>0</v>
      </c>
      <c r="AB10" s="17"/>
      <c r="AG10" s="23"/>
      <c r="AI10" s="17"/>
      <c r="AO10" s="23"/>
      <c r="BF10" s="14"/>
    </row>
    <row r="11" spans="1:59" x14ac:dyDescent="0.3">
      <c r="A11" s="18">
        <v>8</v>
      </c>
      <c r="B11" s="18" t="str">
        <f>'RW predict'!A10</f>
        <v>Johnny Gaudreau</v>
      </c>
      <c r="C11" s="18" t="str">
        <f>'RW predict'!B10</f>
        <v>CLS</v>
      </c>
      <c r="D11" s="22" t="str" cm="1">
        <f t="array" ref="D11">_xlfn.SWITCH('RW predict'!C10, "C", "F", "LW","F", "RW", "F", "D", "D", "G", "G", "other")</f>
        <v>F</v>
      </c>
      <c r="E11" s="32">
        <f t="shared" si="0"/>
        <v>3601</v>
      </c>
      <c r="F11" s="35">
        <f>E11/assumptions!$B$2</f>
        <v>43.914634146341463</v>
      </c>
      <c r="G11" s="36">
        <f t="shared" si="1"/>
        <v>13</v>
      </c>
      <c r="H11" s="18">
        <f>IF(NOT(D11="G"),'RW predict'!E10,0)</f>
        <v>35</v>
      </c>
      <c r="I11" s="18">
        <f>'RW predict'!Q10</f>
        <v>9</v>
      </c>
      <c r="J11" s="18">
        <f>'RW predict'!F10</f>
        <v>66</v>
      </c>
      <c r="K11" s="18"/>
      <c r="L11" s="18"/>
      <c r="M11" s="18">
        <f>'RW predict'!P10</f>
        <v>10</v>
      </c>
      <c r="N11" s="18"/>
      <c r="O11" s="18">
        <f>'RW predict'!H10</f>
        <v>26</v>
      </c>
      <c r="P11" s="18">
        <f>'RW predict'!I10</f>
        <v>22</v>
      </c>
      <c r="Q11" s="18">
        <f>'RW predict'!L10</f>
        <v>6</v>
      </c>
      <c r="R11" s="18">
        <f>'RW predict'!N10</f>
        <v>0</v>
      </c>
      <c r="S11" s="76">
        <f>'RW predict'!O10</f>
        <v>0</v>
      </c>
      <c r="T11" s="76">
        <f>'RW predict'!K10</f>
        <v>8</v>
      </c>
      <c r="U11" s="22">
        <f>'RW predict'!J10</f>
        <v>251</v>
      </c>
      <c r="V11" s="32">
        <f>IF(D11="G",'RW predict'!E10,0)</f>
        <v>0</v>
      </c>
      <c r="W11" s="18">
        <f>'RW predict'!R10</f>
        <v>0</v>
      </c>
      <c r="X11" s="18">
        <f>'RW predict'!T10</f>
        <v>0</v>
      </c>
      <c r="Y11" s="18">
        <f>'RW predict'!Y10</f>
        <v>0</v>
      </c>
      <c r="Z11" s="18">
        <f>'RW predict'!U10</f>
        <v>0</v>
      </c>
      <c r="AA11" s="18">
        <f>'RW predict'!W10</f>
        <v>0</v>
      </c>
      <c r="AB11" s="17"/>
      <c r="AG11" s="23"/>
      <c r="AI11" s="17"/>
      <c r="AO11" s="23"/>
      <c r="BF11" s="14"/>
    </row>
    <row r="12" spans="1:59" x14ac:dyDescent="0.3">
      <c r="A12" s="18">
        <v>9</v>
      </c>
      <c r="B12" s="18" t="str">
        <f>'RW predict'!A11</f>
        <v>Mitch Marner</v>
      </c>
      <c r="C12" s="18" t="str">
        <f>'RW predict'!B11</f>
        <v>TOR</v>
      </c>
      <c r="D12" s="22" t="str" cm="1">
        <f t="array" ref="D12">_xlfn.SWITCH('RW predict'!C11, "C", "F", "LW","F", "RW", "F", "D", "D", "G", "G", "other")</f>
        <v>F</v>
      </c>
      <c r="E12" s="32">
        <f t="shared" si="0"/>
        <v>3610</v>
      </c>
      <c r="F12" s="35">
        <f>E12/assumptions!$B$2</f>
        <v>44.024390243902438</v>
      </c>
      <c r="G12" s="36">
        <f t="shared" si="1"/>
        <v>12</v>
      </c>
      <c r="H12" s="18">
        <f>IF(NOT(D12="G"),'RW predict'!E11,0)</f>
        <v>33</v>
      </c>
      <c r="I12" s="18">
        <f>'RW predict'!Q11</f>
        <v>35</v>
      </c>
      <c r="J12" s="18">
        <f>'RW predict'!F11</f>
        <v>66</v>
      </c>
      <c r="K12" s="18"/>
      <c r="L12" s="18"/>
      <c r="M12" s="18">
        <f>'RW predict'!P11</f>
        <v>65</v>
      </c>
      <c r="N12" s="18"/>
      <c r="O12" s="18">
        <f>'RW predict'!H11</f>
        <v>24</v>
      </c>
      <c r="P12" s="18">
        <f>'RW predict'!I11</f>
        <v>18</v>
      </c>
      <c r="Q12" s="18">
        <f>'RW predict'!L11</f>
        <v>6</v>
      </c>
      <c r="R12" s="18">
        <f>'RW predict'!N11</f>
        <v>1</v>
      </c>
      <c r="S12" s="76">
        <f>'RW predict'!O11</f>
        <v>1</v>
      </c>
      <c r="T12" s="76">
        <f>'RW predict'!K11</f>
        <v>8</v>
      </c>
      <c r="U12" s="22">
        <f>'RW predict'!J11</f>
        <v>228</v>
      </c>
      <c r="V12" s="32">
        <f>IF(D12="G",'RW predict'!E11,0)</f>
        <v>0</v>
      </c>
      <c r="W12" s="18">
        <f>'RW predict'!R11</f>
        <v>0</v>
      </c>
      <c r="X12" s="18">
        <f>'RW predict'!T11</f>
        <v>0</v>
      </c>
      <c r="Y12" s="18">
        <f>'RW predict'!Y11</f>
        <v>0</v>
      </c>
      <c r="Z12" s="18">
        <f>'RW predict'!U11</f>
        <v>0</v>
      </c>
      <c r="AA12" s="18">
        <f>'RW predict'!W11</f>
        <v>0</v>
      </c>
      <c r="AB12" s="17"/>
      <c r="AG12" s="23"/>
      <c r="AI12" s="17"/>
      <c r="AO12" s="23"/>
      <c r="BF12" s="14"/>
    </row>
    <row r="13" spans="1:59" x14ac:dyDescent="0.3">
      <c r="A13" s="18">
        <v>10</v>
      </c>
      <c r="B13" s="18" t="str">
        <f>'RW predict'!A12</f>
        <v>Artemi Panarin</v>
      </c>
      <c r="C13" s="18" t="str">
        <f>'RW predict'!B12</f>
        <v>NYR</v>
      </c>
      <c r="D13" s="22" t="str" cm="1">
        <f t="array" ref="D13">_xlfn.SWITCH('RW predict'!C12, "C", "F", "LW","F", "RW", "F", "D", "D", "G", "G", "other")</f>
        <v>F</v>
      </c>
      <c r="E13" s="32">
        <f t="shared" si="0"/>
        <v>3330</v>
      </c>
      <c r="F13" s="35">
        <f>E13/assumptions!$B$2</f>
        <v>40.609756097560975</v>
      </c>
      <c r="G13" s="36">
        <f t="shared" si="1"/>
        <v>21</v>
      </c>
      <c r="H13" s="18">
        <f>IF(NOT(D13="G"),'RW predict'!E12,0)</f>
        <v>25</v>
      </c>
      <c r="I13" s="18">
        <f>'RW predict'!Q12</f>
        <v>15</v>
      </c>
      <c r="J13" s="18">
        <f>'RW predict'!F12</f>
        <v>73</v>
      </c>
      <c r="K13" s="18"/>
      <c r="L13" s="18"/>
      <c r="M13" s="18">
        <f>'RW predict'!P12</f>
        <v>24</v>
      </c>
      <c r="N13" s="18"/>
      <c r="O13" s="18">
        <f>'RW predict'!H12</f>
        <v>24</v>
      </c>
      <c r="P13" s="18">
        <f>'RW predict'!I12</f>
        <v>16</v>
      </c>
      <c r="Q13" s="18">
        <f>'RW predict'!L12</f>
        <v>6</v>
      </c>
      <c r="R13" s="18">
        <f>'RW predict'!N12</f>
        <v>0</v>
      </c>
      <c r="S13" s="76">
        <f>'RW predict'!O12</f>
        <v>0</v>
      </c>
      <c r="T13" s="76">
        <f>'RW predict'!K12</f>
        <v>5</v>
      </c>
      <c r="U13" s="22">
        <f>'RW predict'!J12</f>
        <v>189</v>
      </c>
      <c r="V13" s="32">
        <f>IF(D13="G",'RW predict'!E12,0)</f>
        <v>0</v>
      </c>
      <c r="W13" s="18">
        <f>'RW predict'!R12</f>
        <v>0</v>
      </c>
      <c r="X13" s="18">
        <f>'RW predict'!T12</f>
        <v>0</v>
      </c>
      <c r="Y13" s="18">
        <f>'RW predict'!Y12</f>
        <v>0</v>
      </c>
      <c r="Z13" s="18">
        <f>'RW predict'!U12</f>
        <v>0</v>
      </c>
      <c r="AA13" s="18">
        <f>'RW predict'!W12</f>
        <v>0</v>
      </c>
      <c r="AB13" s="17"/>
      <c r="AG13" s="23"/>
      <c r="AI13" s="17"/>
      <c r="AO13" s="23"/>
      <c r="BF13" s="14"/>
    </row>
    <row r="14" spans="1:59" x14ac:dyDescent="0.3">
      <c r="A14" s="18">
        <v>11</v>
      </c>
      <c r="B14" s="18" t="str">
        <f>'RW predict'!A13</f>
        <v>Steven Stamkos</v>
      </c>
      <c r="C14" s="18" t="str">
        <f>'RW predict'!B13</f>
        <v>TB</v>
      </c>
      <c r="D14" s="22" t="str" cm="1">
        <f t="array" ref="D14">_xlfn.SWITCH('RW predict'!C13, "C", "F", "LW","F", "RW", "F", "D", "D", "G", "G", "other")</f>
        <v>F</v>
      </c>
      <c r="E14" s="32">
        <f t="shared" si="0"/>
        <v>3657</v>
      </c>
      <c r="F14" s="35">
        <f>E14/assumptions!$B$2</f>
        <v>44.597560975609753</v>
      </c>
      <c r="G14" s="36">
        <f t="shared" si="1"/>
        <v>10</v>
      </c>
      <c r="H14" s="18">
        <f>IF(NOT(D14="G"),'RW predict'!E13,0)</f>
        <v>40</v>
      </c>
      <c r="I14" s="18">
        <f>'RW predict'!Q13</f>
        <v>29</v>
      </c>
      <c r="J14" s="18">
        <f>'RW predict'!F13</f>
        <v>58</v>
      </c>
      <c r="K14" s="18"/>
      <c r="L14" s="18"/>
      <c r="M14" s="18">
        <f>'RW predict'!P13</f>
        <v>85</v>
      </c>
      <c r="N14" s="18"/>
      <c r="O14" s="18">
        <f>'RW predict'!H13</f>
        <v>20</v>
      </c>
      <c r="P14" s="18">
        <f>'RW predict'!I13</f>
        <v>32</v>
      </c>
      <c r="Q14" s="18">
        <f>'RW predict'!L13</f>
        <v>14</v>
      </c>
      <c r="R14" s="18">
        <f>'RW predict'!N13</f>
        <v>0</v>
      </c>
      <c r="S14" s="76">
        <f>'RW predict'!O13</f>
        <v>0</v>
      </c>
      <c r="T14" s="76">
        <f>'RW predict'!K13</f>
        <v>9</v>
      </c>
      <c r="U14" s="22">
        <f>'RW predict'!J13</f>
        <v>224</v>
      </c>
      <c r="V14" s="32">
        <f>IF(D14="G",'RW predict'!E13,0)</f>
        <v>0</v>
      </c>
      <c r="W14" s="18">
        <f>'RW predict'!R13</f>
        <v>0</v>
      </c>
      <c r="X14" s="18">
        <f>'RW predict'!T13</f>
        <v>0</v>
      </c>
      <c r="Y14" s="18">
        <f>'RW predict'!Y13</f>
        <v>0</v>
      </c>
      <c r="Z14" s="18">
        <f>'RW predict'!U13</f>
        <v>0</v>
      </c>
      <c r="AA14" s="18">
        <f>'RW predict'!W13</f>
        <v>0</v>
      </c>
      <c r="AB14" s="17"/>
      <c r="AG14" s="23"/>
      <c r="AI14" s="17"/>
      <c r="AO14" s="23"/>
      <c r="BF14" s="14"/>
    </row>
    <row r="15" spans="1:59" x14ac:dyDescent="0.3">
      <c r="A15" s="18">
        <v>12</v>
      </c>
      <c r="B15" s="18" t="str">
        <f>'RW predict'!A14</f>
        <v>Matthew Tkachuk</v>
      </c>
      <c r="C15" s="18" t="str">
        <f>'RW predict'!B14</f>
        <v>FLA</v>
      </c>
      <c r="D15" s="22" t="str" cm="1">
        <f t="array" ref="D15">_xlfn.SWITCH('RW predict'!C14, "C", "F", "LW","F", "RW", "F", "D", "D", "G", "G", "other")</f>
        <v>F</v>
      </c>
      <c r="E15" s="32">
        <f t="shared" si="0"/>
        <v>3836</v>
      </c>
      <c r="F15" s="35">
        <f>E15/assumptions!$B$2</f>
        <v>46.780487804878049</v>
      </c>
      <c r="G15" s="36">
        <f t="shared" si="1"/>
        <v>6</v>
      </c>
      <c r="H15" s="18">
        <f>IF(NOT(D15="G"),'RW predict'!E14,0)</f>
        <v>37</v>
      </c>
      <c r="I15" s="18">
        <f>'RW predict'!Q14</f>
        <v>19</v>
      </c>
      <c r="J15" s="18">
        <f>'RW predict'!F14</f>
        <v>58</v>
      </c>
      <c r="K15" s="18"/>
      <c r="L15" s="18"/>
      <c r="M15" s="18">
        <f>'RW predict'!P14</f>
        <v>112</v>
      </c>
      <c r="N15" s="18"/>
      <c r="O15" s="18">
        <f>'RW predict'!H14</f>
        <v>37</v>
      </c>
      <c r="P15" s="18">
        <f>'RW predict'!I14</f>
        <v>71</v>
      </c>
      <c r="Q15" s="18">
        <f>'RW predict'!L14</f>
        <v>11</v>
      </c>
      <c r="R15" s="18">
        <f>'RW predict'!N14</f>
        <v>0</v>
      </c>
      <c r="S15" s="76">
        <f>'RW predict'!O14</f>
        <v>0</v>
      </c>
      <c r="T15" s="76">
        <f>'RW predict'!K14</f>
        <v>6</v>
      </c>
      <c r="U15" s="22">
        <f>'RW predict'!J14</f>
        <v>249</v>
      </c>
      <c r="V15" s="32">
        <f>IF(D15="G",'RW predict'!E14,0)</f>
        <v>0</v>
      </c>
      <c r="W15" s="18">
        <f>'RW predict'!R14</f>
        <v>0</v>
      </c>
      <c r="X15" s="18">
        <f>'RW predict'!T14</f>
        <v>0</v>
      </c>
      <c r="Y15" s="18">
        <f>'RW predict'!Y14</f>
        <v>0</v>
      </c>
      <c r="Z15" s="18">
        <f>'RW predict'!U14</f>
        <v>0</v>
      </c>
      <c r="AA15" s="18">
        <f>'RW predict'!W14</f>
        <v>0</v>
      </c>
      <c r="AB15" s="17"/>
      <c r="AG15" s="23"/>
      <c r="AI15" s="17"/>
      <c r="AO15" s="23"/>
      <c r="BF15" s="14"/>
    </row>
    <row r="16" spans="1:59" x14ac:dyDescent="0.3">
      <c r="A16" s="18">
        <v>13</v>
      </c>
      <c r="B16" s="18" t="str">
        <f>'RW predict'!A15</f>
        <v>Aleksander Barkov</v>
      </c>
      <c r="C16" s="18" t="str">
        <f>'RW predict'!B15</f>
        <v>FLA</v>
      </c>
      <c r="D16" s="22" t="str" cm="1">
        <f t="array" ref="D16">_xlfn.SWITCH('RW predict'!C15, "C", "F", "LW","F", "RW", "F", "D", "D", "G", "G", "other")</f>
        <v>F</v>
      </c>
      <c r="E16" s="32">
        <f t="shared" si="0"/>
        <v>3642</v>
      </c>
      <c r="F16" s="35">
        <f>E16/assumptions!$B$2</f>
        <v>44.414634146341463</v>
      </c>
      <c r="G16" s="36">
        <f t="shared" si="1"/>
        <v>11</v>
      </c>
      <c r="H16" s="18">
        <f>IF(NOT(D16="G"),'RW predict'!E15,0)</f>
        <v>38</v>
      </c>
      <c r="I16" s="18">
        <f>'RW predict'!Q15</f>
        <v>46</v>
      </c>
      <c r="J16" s="18">
        <f>'RW predict'!F15</f>
        <v>56</v>
      </c>
      <c r="K16" s="18"/>
      <c r="L16" s="18"/>
      <c r="M16" s="18">
        <f>'RW predict'!P15</f>
        <v>48</v>
      </c>
      <c r="N16" s="18"/>
      <c r="O16" s="18">
        <f>'RW predict'!H15</f>
        <v>33</v>
      </c>
      <c r="P16" s="18">
        <f>'RW predict'!I15</f>
        <v>16</v>
      </c>
      <c r="Q16" s="18">
        <f>'RW predict'!L15</f>
        <v>10</v>
      </c>
      <c r="R16" s="18">
        <f>'RW predict'!N15</f>
        <v>3</v>
      </c>
      <c r="S16" s="76">
        <f>'RW predict'!O15</f>
        <v>1</v>
      </c>
      <c r="T16" s="76">
        <f>'RW predict'!K15</f>
        <v>6</v>
      </c>
      <c r="U16" s="22">
        <f>'RW predict'!J15</f>
        <v>242</v>
      </c>
      <c r="V16" s="32">
        <f>IF(D16="G",'RW predict'!E15,0)</f>
        <v>0</v>
      </c>
      <c r="W16" s="18">
        <f>'RW predict'!R15</f>
        <v>0</v>
      </c>
      <c r="X16" s="18">
        <f>'RW predict'!T15</f>
        <v>0</v>
      </c>
      <c r="Y16" s="18">
        <f>'RW predict'!Y15</f>
        <v>0</v>
      </c>
      <c r="Z16" s="18">
        <f>'RW predict'!U15</f>
        <v>0</v>
      </c>
      <c r="AA16" s="18">
        <f>'RW predict'!W15</f>
        <v>0</v>
      </c>
      <c r="AB16" s="17"/>
      <c r="AG16" s="23"/>
      <c r="AI16" s="17"/>
      <c r="AO16" s="23"/>
      <c r="BF16" s="14"/>
    </row>
    <row r="17" spans="1:58" x14ac:dyDescent="0.3">
      <c r="A17" s="18">
        <v>14</v>
      </c>
      <c r="B17" s="18" t="str">
        <f>'RW predict'!A16</f>
        <v>Mikko Rantanen</v>
      </c>
      <c r="C17" s="18" t="str">
        <f>'RW predict'!B16</f>
        <v>COL</v>
      </c>
      <c r="D17" s="22" t="str" cm="1">
        <f t="array" ref="D17">_xlfn.SWITCH('RW predict'!C16, "C", "F", "LW","F", "RW", "F", "D", "D", "G", "G", "other")</f>
        <v>F</v>
      </c>
      <c r="E17" s="32">
        <f t="shared" si="0"/>
        <v>3660</v>
      </c>
      <c r="F17" s="35">
        <f>E17/assumptions!$B$2</f>
        <v>44.634146341463413</v>
      </c>
      <c r="G17" s="36">
        <f t="shared" si="1"/>
        <v>9</v>
      </c>
      <c r="H17" s="18">
        <f>IF(NOT(D17="G"),'RW predict'!E16,0)</f>
        <v>34</v>
      </c>
      <c r="I17" s="18">
        <f>'RW predict'!Q16</f>
        <v>41</v>
      </c>
      <c r="J17" s="18">
        <f>'RW predict'!F16</f>
        <v>59</v>
      </c>
      <c r="K17" s="18"/>
      <c r="L17" s="18"/>
      <c r="M17" s="18">
        <f>'RW predict'!P16</f>
        <v>57</v>
      </c>
      <c r="N17" s="18"/>
      <c r="O17" s="18">
        <f>'RW predict'!H16</f>
        <v>34</v>
      </c>
      <c r="P17" s="18">
        <f>'RW predict'!I16</f>
        <v>50</v>
      </c>
      <c r="Q17" s="18">
        <f>'RW predict'!L16</f>
        <v>11</v>
      </c>
      <c r="R17" s="18">
        <f>'RW predict'!N16</f>
        <v>0</v>
      </c>
      <c r="S17" s="76">
        <f>'RW predict'!O16</f>
        <v>0</v>
      </c>
      <c r="T17" s="76">
        <f>'RW predict'!K16</f>
        <v>6</v>
      </c>
      <c r="U17" s="22">
        <f>'RW predict'!J16</f>
        <v>238</v>
      </c>
      <c r="V17" s="32">
        <f>IF(D17="G",'RW predict'!E16,0)</f>
        <v>0</v>
      </c>
      <c r="W17" s="18">
        <f>'RW predict'!R16</f>
        <v>0</v>
      </c>
      <c r="X17" s="18">
        <f>'RW predict'!T16</f>
        <v>0</v>
      </c>
      <c r="Y17" s="18">
        <f>'RW predict'!Y16</f>
        <v>0</v>
      </c>
      <c r="Z17" s="18">
        <f>'RW predict'!U16</f>
        <v>0</v>
      </c>
      <c r="AA17" s="18">
        <f>'RW predict'!W16</f>
        <v>0</v>
      </c>
      <c r="AB17" s="17"/>
      <c r="AG17" s="23"/>
      <c r="AI17" s="17"/>
      <c r="AO17" s="23"/>
      <c r="BF17" s="14"/>
    </row>
    <row r="18" spans="1:58" x14ac:dyDescent="0.3">
      <c r="A18" s="18">
        <v>15</v>
      </c>
      <c r="B18" s="18" t="str">
        <f>'RW predict'!A17</f>
        <v>Patrick Kane</v>
      </c>
      <c r="C18" s="18" t="str">
        <f>'RW predict'!B17</f>
        <v>CHI</v>
      </c>
      <c r="D18" s="22" t="str" cm="1">
        <f t="array" ref="D18">_xlfn.SWITCH('RW predict'!C17, "C", "F", "LW","F", "RW", "F", "D", "D", "G", "G", "other")</f>
        <v>F</v>
      </c>
      <c r="E18" s="32">
        <f t="shared" si="0"/>
        <v>3009</v>
      </c>
      <c r="F18" s="35">
        <f>E18/assumptions!$B$2</f>
        <v>36.695121951219512</v>
      </c>
      <c r="G18" s="36">
        <f t="shared" si="1"/>
        <v>36</v>
      </c>
      <c r="H18" s="18">
        <f>IF(NOT(D18="G"),'RW predict'!E17,0)</f>
        <v>29</v>
      </c>
      <c r="I18" s="18">
        <f>'RW predict'!Q17</f>
        <v>26</v>
      </c>
      <c r="J18" s="18">
        <f>'RW predict'!F17</f>
        <v>62</v>
      </c>
      <c r="K18" s="18"/>
      <c r="L18" s="18"/>
      <c r="M18" s="18">
        <f>'RW predict'!P17</f>
        <v>14</v>
      </c>
      <c r="N18" s="18"/>
      <c r="O18" s="18">
        <f>'RW predict'!H17</f>
        <v>-14</v>
      </c>
      <c r="P18" s="18">
        <f>'RW predict'!I17</f>
        <v>22</v>
      </c>
      <c r="Q18" s="18">
        <f>'RW predict'!L17</f>
        <v>9</v>
      </c>
      <c r="R18" s="18">
        <f>'RW predict'!N17</f>
        <v>0</v>
      </c>
      <c r="S18" s="76">
        <f>'RW predict'!O17</f>
        <v>0</v>
      </c>
      <c r="T18" s="76">
        <f>'RW predict'!K17</f>
        <v>3</v>
      </c>
      <c r="U18" s="22">
        <f>'RW predict'!J17</f>
        <v>296</v>
      </c>
      <c r="V18" s="32">
        <f>IF(D18="G",'RW predict'!E17,0)</f>
        <v>0</v>
      </c>
      <c r="W18" s="18">
        <f>'RW predict'!R17</f>
        <v>0</v>
      </c>
      <c r="X18" s="18">
        <f>'RW predict'!T17</f>
        <v>0</v>
      </c>
      <c r="Y18" s="18">
        <f>'RW predict'!Y17</f>
        <v>0</v>
      </c>
      <c r="Z18" s="18">
        <f>'RW predict'!U17</f>
        <v>0</v>
      </c>
      <c r="AA18" s="18">
        <f>'RW predict'!W17</f>
        <v>0</v>
      </c>
      <c r="AB18" s="17"/>
      <c r="AG18" s="23"/>
      <c r="AI18" s="17"/>
      <c r="AO18" s="23"/>
      <c r="BF18" s="14"/>
    </row>
    <row r="19" spans="1:58" x14ac:dyDescent="0.3">
      <c r="A19" s="18">
        <v>16</v>
      </c>
      <c r="B19" s="18" t="str">
        <f>'RW predict'!A18</f>
        <v>J.T. Miller</v>
      </c>
      <c r="C19" s="18" t="str">
        <f>'RW predict'!B18</f>
        <v>VAN</v>
      </c>
      <c r="D19" s="22" t="str" cm="1">
        <f t="array" ref="D19">_xlfn.SWITCH('RW predict'!C18, "C", "F", "LW","F", "RW", "F", "D", "D", "G", "G", "other")</f>
        <v>F</v>
      </c>
      <c r="E19" s="32">
        <f t="shared" si="0"/>
        <v>3450</v>
      </c>
      <c r="F19" s="35">
        <f>E19/assumptions!$B$2</f>
        <v>42.073170731707314</v>
      </c>
      <c r="G19" s="36">
        <f t="shared" si="1"/>
        <v>18</v>
      </c>
      <c r="H19" s="18">
        <f>IF(NOT(D19="G"),'RW predict'!E18,0)</f>
        <v>29</v>
      </c>
      <c r="I19" s="18">
        <f>'RW predict'!Q18</f>
        <v>51</v>
      </c>
      <c r="J19" s="18">
        <f>'RW predict'!F18</f>
        <v>62</v>
      </c>
      <c r="K19" s="18"/>
      <c r="L19" s="18"/>
      <c r="M19" s="18">
        <f>'RW predict'!P18</f>
        <v>160</v>
      </c>
      <c r="N19" s="18"/>
      <c r="O19" s="18">
        <f>'RW predict'!H18</f>
        <v>12</v>
      </c>
      <c r="P19" s="18">
        <f>'RW predict'!I18</f>
        <v>49</v>
      </c>
      <c r="Q19" s="18">
        <f>'RW predict'!L18</f>
        <v>8</v>
      </c>
      <c r="R19" s="18">
        <f>'RW predict'!N18</f>
        <v>1</v>
      </c>
      <c r="S19" s="76">
        <f>'RW predict'!O18</f>
        <v>2</v>
      </c>
      <c r="T19" s="76">
        <f>'RW predict'!K18</f>
        <v>6</v>
      </c>
      <c r="U19" s="22">
        <f>'RW predict'!J18</f>
        <v>203</v>
      </c>
      <c r="V19" s="32">
        <f>IF(D19="G",'RW predict'!E18,0)</f>
        <v>0</v>
      </c>
      <c r="W19" s="18">
        <f>'RW predict'!R18</f>
        <v>0</v>
      </c>
      <c r="X19" s="18">
        <f>'RW predict'!T18</f>
        <v>0</v>
      </c>
      <c r="Y19" s="18">
        <f>'RW predict'!Y18</f>
        <v>0</v>
      </c>
      <c r="Z19" s="18">
        <f>'RW predict'!U18</f>
        <v>0</v>
      </c>
      <c r="AA19" s="18">
        <f>'RW predict'!W18</f>
        <v>0</v>
      </c>
      <c r="AB19" s="17"/>
      <c r="AG19" s="23"/>
      <c r="AI19" s="17"/>
      <c r="AO19" s="23"/>
      <c r="BF19" s="14"/>
    </row>
    <row r="20" spans="1:58" x14ac:dyDescent="0.3">
      <c r="A20" s="18">
        <v>17</v>
      </c>
      <c r="B20" s="18" t="str">
        <f>'RW predict'!A19</f>
        <v>Kyle Connor</v>
      </c>
      <c r="C20" s="18" t="str">
        <f>'RW predict'!B19</f>
        <v>WPG</v>
      </c>
      <c r="D20" s="22" t="str" cm="1">
        <f t="array" ref="D20">_xlfn.SWITCH('RW predict'!C19, "C", "F", "LW","F", "RW", "F", "D", "D", "G", "G", "other")</f>
        <v>F</v>
      </c>
      <c r="E20" s="32">
        <f t="shared" si="0"/>
        <v>3203</v>
      </c>
      <c r="F20" s="35">
        <f>E20/assumptions!$B$2</f>
        <v>39.060975609756099</v>
      </c>
      <c r="G20" s="36">
        <f t="shared" si="1"/>
        <v>25</v>
      </c>
      <c r="H20" s="18">
        <f>IF(NOT(D20="G"),'RW predict'!E19,0)</f>
        <v>45</v>
      </c>
      <c r="I20" s="18">
        <f>'RW predict'!Q19</f>
        <v>23</v>
      </c>
      <c r="J20" s="18">
        <f>'RW predict'!F19</f>
        <v>44</v>
      </c>
      <c r="K20" s="18"/>
      <c r="L20" s="18"/>
      <c r="M20" s="18">
        <f>'RW predict'!P19</f>
        <v>30</v>
      </c>
      <c r="N20" s="18"/>
      <c r="O20" s="18">
        <f>'RW predict'!H19</f>
        <v>-3</v>
      </c>
      <c r="P20" s="18">
        <f>'RW predict'!I19</f>
        <v>22</v>
      </c>
      <c r="Q20" s="18">
        <f>'RW predict'!L19</f>
        <v>9</v>
      </c>
      <c r="R20" s="18">
        <f>'RW predict'!N19</f>
        <v>2</v>
      </c>
      <c r="S20" s="76">
        <f>'RW predict'!O19</f>
        <v>0</v>
      </c>
      <c r="T20" s="76">
        <f>'RW predict'!K19</f>
        <v>7</v>
      </c>
      <c r="U20" s="22">
        <f>'RW predict'!J19</f>
        <v>298</v>
      </c>
      <c r="V20" s="32">
        <f>IF(D20="G",'RW predict'!E19,0)</f>
        <v>0</v>
      </c>
      <c r="W20" s="18">
        <f>'RW predict'!R19</f>
        <v>0</v>
      </c>
      <c r="X20" s="18">
        <f>'RW predict'!T19</f>
        <v>0</v>
      </c>
      <c r="Y20" s="18">
        <f>'RW predict'!Y19</f>
        <v>0</v>
      </c>
      <c r="Z20" s="18">
        <f>'RW predict'!U19</f>
        <v>0</v>
      </c>
      <c r="AA20" s="18">
        <f>'RW predict'!W19</f>
        <v>0</v>
      </c>
      <c r="AB20" s="17"/>
      <c r="AG20" s="23"/>
      <c r="AI20" s="17"/>
      <c r="AO20" s="23"/>
    </row>
    <row r="21" spans="1:58" x14ac:dyDescent="0.3">
      <c r="A21" s="18">
        <v>18</v>
      </c>
      <c r="B21" s="18" t="str">
        <f>'RW predict'!A20</f>
        <v>Alex Ovechkin</v>
      </c>
      <c r="C21" s="18" t="str">
        <f>'RW predict'!B20</f>
        <v>WAS</v>
      </c>
      <c r="D21" s="22" t="str" cm="1">
        <f t="array" ref="D21">_xlfn.SWITCH('RW predict'!C20, "C", "F", "LW","F", "RW", "F", "D", "D", "G", "G", "other")</f>
        <v>F</v>
      </c>
      <c r="E21" s="32">
        <f t="shared" si="0"/>
        <v>3453</v>
      </c>
      <c r="F21" s="35">
        <f>E21/assumptions!$B$2</f>
        <v>42.109756097560975</v>
      </c>
      <c r="G21" s="36">
        <f t="shared" si="1"/>
        <v>16</v>
      </c>
      <c r="H21" s="18">
        <f>IF(NOT(D21="G"),'RW predict'!E20,0)</f>
        <v>48</v>
      </c>
      <c r="I21" s="18">
        <f>'RW predict'!Q20</f>
        <v>24</v>
      </c>
      <c r="J21" s="18">
        <f>'RW predict'!F20</f>
        <v>39</v>
      </c>
      <c r="K21" s="18"/>
      <c r="L21" s="18"/>
      <c r="M21" s="18">
        <f>'RW predict'!P20</f>
        <v>156</v>
      </c>
      <c r="N21" s="18"/>
      <c r="O21" s="18">
        <f>'RW predict'!H20</f>
        <v>6</v>
      </c>
      <c r="P21" s="18">
        <f>'RW predict'!I20</f>
        <v>20</v>
      </c>
      <c r="Q21" s="18">
        <f>'RW predict'!L20</f>
        <v>16</v>
      </c>
      <c r="R21" s="18">
        <f>'RW predict'!N20</f>
        <v>0</v>
      </c>
      <c r="S21" s="76">
        <f>'RW predict'!O20</f>
        <v>0</v>
      </c>
      <c r="T21" s="76">
        <f>'RW predict'!K20</f>
        <v>7</v>
      </c>
      <c r="U21" s="22">
        <f>'RW predict'!J20</f>
        <v>327</v>
      </c>
      <c r="V21" s="32">
        <f>IF(D21="G",'RW predict'!E20,0)</f>
        <v>0</v>
      </c>
      <c r="W21" s="18">
        <f>'RW predict'!R20</f>
        <v>0</v>
      </c>
      <c r="X21" s="18">
        <f>'RW predict'!T20</f>
        <v>0</v>
      </c>
      <c r="Y21" s="18">
        <f>'RW predict'!Y20</f>
        <v>0</v>
      </c>
      <c r="Z21" s="18">
        <f>'RW predict'!U20</f>
        <v>0</v>
      </c>
      <c r="AA21" s="18">
        <f>'RW predict'!W20</f>
        <v>0</v>
      </c>
      <c r="AB21" s="17"/>
      <c r="AG21" s="23"/>
      <c r="AI21" s="17"/>
      <c r="AO21" s="23"/>
    </row>
    <row r="22" spans="1:58" x14ac:dyDescent="0.3">
      <c r="A22" s="18">
        <v>19</v>
      </c>
      <c r="B22" s="18" t="str">
        <f>'RW predict'!A21</f>
        <v>Sebastian Aho</v>
      </c>
      <c r="C22" s="18" t="str">
        <f>'RW predict'!B21</f>
        <v>CAR</v>
      </c>
      <c r="D22" s="22" t="str" cm="1">
        <f t="array" ref="D22">_xlfn.SWITCH('RW predict'!C21, "C", "F", "LW","F", "RW", "F", "D", "D", "G", "G", "other")</f>
        <v>F</v>
      </c>
      <c r="E22" s="32">
        <f t="shared" si="0"/>
        <v>3374</v>
      </c>
      <c r="F22" s="35">
        <f>E22/assumptions!$B$2</f>
        <v>41.146341463414636</v>
      </c>
      <c r="G22" s="36">
        <f t="shared" si="1"/>
        <v>20</v>
      </c>
      <c r="H22" s="18">
        <f>IF(NOT(D22="G"),'RW predict'!E21,0)</f>
        <v>38</v>
      </c>
      <c r="I22" s="18">
        <f>'RW predict'!Q21</f>
        <v>25</v>
      </c>
      <c r="J22" s="18">
        <f>'RW predict'!F21</f>
        <v>47</v>
      </c>
      <c r="K22" s="18"/>
      <c r="L22" s="18"/>
      <c r="M22" s="18">
        <f>'RW predict'!P21</f>
        <v>73</v>
      </c>
      <c r="N22" s="18"/>
      <c r="O22" s="18">
        <f>'RW predict'!H21</f>
        <v>22</v>
      </c>
      <c r="P22" s="18">
        <f>'RW predict'!I21</f>
        <v>36</v>
      </c>
      <c r="Q22" s="18">
        <f>'RW predict'!L21</f>
        <v>10</v>
      </c>
      <c r="R22" s="18">
        <f>'RW predict'!N21</f>
        <v>2</v>
      </c>
      <c r="S22" s="76">
        <f>'RW predict'!O21</f>
        <v>2</v>
      </c>
      <c r="T22" s="76">
        <f>'RW predict'!K21</f>
        <v>9</v>
      </c>
      <c r="U22" s="22">
        <f>'RW predict'!J21</f>
        <v>229</v>
      </c>
      <c r="V22" s="32">
        <f>IF(D22="G",'RW predict'!E21,0)</f>
        <v>0</v>
      </c>
      <c r="W22" s="18">
        <f>'RW predict'!R21</f>
        <v>0</v>
      </c>
      <c r="X22" s="18">
        <f>'RW predict'!T21</f>
        <v>0</v>
      </c>
      <c r="Y22" s="18">
        <f>'RW predict'!Y21</f>
        <v>0</v>
      </c>
      <c r="Z22" s="18">
        <f>'RW predict'!U21</f>
        <v>0</v>
      </c>
      <c r="AA22" s="18">
        <f>'RW predict'!W21</f>
        <v>0</v>
      </c>
      <c r="AB22" s="17"/>
      <c r="AG22" s="23"/>
      <c r="AI22" s="17"/>
      <c r="AO22" s="23"/>
    </row>
    <row r="23" spans="1:58" x14ac:dyDescent="0.3">
      <c r="A23" s="18">
        <v>20</v>
      </c>
      <c r="B23" s="18" t="str">
        <f>'RW predict'!A22</f>
        <v>Cale Makar</v>
      </c>
      <c r="C23" s="18" t="str">
        <f>'RW predict'!B22</f>
        <v>COL</v>
      </c>
      <c r="D23" s="22" t="str" cm="1">
        <f t="array" ref="D23">_xlfn.SWITCH('RW predict'!C22, "C", "F", "LW","F", "RW", "F", "D", "D", "G", "G", "other")</f>
        <v>D</v>
      </c>
      <c r="E23" s="32">
        <f t="shared" si="0"/>
        <v>3545</v>
      </c>
      <c r="F23" s="35">
        <f>E23/assumptions!$B$2</f>
        <v>43.231707317073173</v>
      </c>
      <c r="G23" s="36">
        <f t="shared" si="1"/>
        <v>14</v>
      </c>
      <c r="H23" s="18">
        <f>IF(NOT(D23="G"),'RW predict'!E22,0)</f>
        <v>25</v>
      </c>
      <c r="I23" s="18">
        <f>'RW predict'!Q22</f>
        <v>105</v>
      </c>
      <c r="J23" s="18">
        <f>'RW predict'!F22</f>
        <v>58</v>
      </c>
      <c r="K23" s="18"/>
      <c r="L23" s="18"/>
      <c r="M23" s="18">
        <f>'RW predict'!P22</f>
        <v>90</v>
      </c>
      <c r="N23" s="18"/>
      <c r="O23" s="18">
        <f>'RW predict'!H22</f>
        <v>44</v>
      </c>
      <c r="P23" s="18">
        <f>'RW predict'!I22</f>
        <v>24</v>
      </c>
      <c r="Q23" s="18">
        <f>'RW predict'!L22</f>
        <v>8</v>
      </c>
      <c r="R23" s="18">
        <f>'RW predict'!N22</f>
        <v>0</v>
      </c>
      <c r="S23" s="76">
        <f>'RW predict'!O22</f>
        <v>1</v>
      </c>
      <c r="T23" s="76">
        <f>'RW predict'!K22</f>
        <v>6</v>
      </c>
      <c r="U23" s="22">
        <f>'RW predict'!J22</f>
        <v>224</v>
      </c>
      <c r="V23" s="32">
        <f>IF(D23="G",'RW predict'!E22,0)</f>
        <v>0</v>
      </c>
      <c r="W23" s="18">
        <f>'RW predict'!R22</f>
        <v>0</v>
      </c>
      <c r="X23" s="18">
        <f>'RW predict'!T22</f>
        <v>0</v>
      </c>
      <c r="Y23" s="18">
        <f>'RW predict'!Y22</f>
        <v>0</v>
      </c>
      <c r="Z23" s="18">
        <f>'RW predict'!U22</f>
        <v>0</v>
      </c>
      <c r="AA23" s="18">
        <f>'RW predict'!W22</f>
        <v>0</v>
      </c>
      <c r="AB23" s="17"/>
      <c r="AG23" s="23"/>
      <c r="AI23" s="17"/>
      <c r="AO23" s="23"/>
    </row>
    <row r="24" spans="1:58" x14ac:dyDescent="0.3">
      <c r="A24" s="18">
        <v>21</v>
      </c>
      <c r="B24" s="18" t="str">
        <f>'RW predict'!A23</f>
        <v>David Pastrnak</v>
      </c>
      <c r="C24" s="18" t="str">
        <f>'RW predict'!B23</f>
        <v>BOS</v>
      </c>
      <c r="D24" s="22" t="str" cm="1">
        <f t="array" ref="D24">_xlfn.SWITCH('RW predict'!C23, "C", "F", "LW","F", "RW", "F", "D", "D", "G", "G", "other")</f>
        <v>F</v>
      </c>
      <c r="E24" s="32">
        <f t="shared" si="0"/>
        <v>3319</v>
      </c>
      <c r="F24" s="35">
        <f>E24/assumptions!$B$2</f>
        <v>40.475609756097562</v>
      </c>
      <c r="G24" s="36">
        <f t="shared" si="1"/>
        <v>22</v>
      </c>
      <c r="H24" s="18">
        <f>IF(NOT(D24="G"),'RW predict'!E23,0)</f>
        <v>42</v>
      </c>
      <c r="I24" s="18">
        <f>'RW predict'!Q23</f>
        <v>14</v>
      </c>
      <c r="J24" s="18">
        <f>'RW predict'!F23</f>
        <v>41</v>
      </c>
      <c r="K24" s="18"/>
      <c r="L24" s="18"/>
      <c r="M24" s="18">
        <f>'RW predict'!P23</f>
        <v>62</v>
      </c>
      <c r="N24" s="18"/>
      <c r="O24" s="18">
        <f>'RW predict'!H23</f>
        <v>15</v>
      </c>
      <c r="P24" s="18">
        <f>'RW predict'!I23</f>
        <v>22</v>
      </c>
      <c r="Q24" s="18">
        <f>'RW predict'!L23</f>
        <v>14</v>
      </c>
      <c r="R24" s="18">
        <f>'RW predict'!N23</f>
        <v>0</v>
      </c>
      <c r="S24" s="76">
        <f>'RW predict'!O23</f>
        <v>0</v>
      </c>
      <c r="T24" s="76">
        <f>'RW predict'!K23</f>
        <v>9</v>
      </c>
      <c r="U24" s="22">
        <f>'RW predict'!J23</f>
        <v>309</v>
      </c>
      <c r="V24" s="32">
        <f>IF(D24="G",'RW predict'!E23,0)</f>
        <v>0</v>
      </c>
      <c r="W24" s="18">
        <f>'RW predict'!R23</f>
        <v>0</v>
      </c>
      <c r="X24" s="18">
        <f>'RW predict'!T23</f>
        <v>0</v>
      </c>
      <c r="Y24" s="18">
        <f>'RW predict'!Y23</f>
        <v>0</v>
      </c>
      <c r="Z24" s="18">
        <f>'RW predict'!U23</f>
        <v>0</v>
      </c>
      <c r="AA24" s="18">
        <f>'RW predict'!W23</f>
        <v>0</v>
      </c>
      <c r="AB24" s="17"/>
      <c r="AG24" s="23"/>
      <c r="AI24" s="17"/>
      <c r="AO24" s="23"/>
    </row>
    <row r="25" spans="1:58" x14ac:dyDescent="0.3">
      <c r="A25" s="18">
        <v>22</v>
      </c>
      <c r="B25" s="18" t="str">
        <f>'RW predict'!A24</f>
        <v>Sidney Crosby</v>
      </c>
      <c r="C25" s="18" t="str">
        <f>'RW predict'!B24</f>
        <v>PIT</v>
      </c>
      <c r="D25" s="22" t="str" cm="1">
        <f t="array" ref="D25">_xlfn.SWITCH('RW predict'!C24, "C", "F", "LW","F", "RW", "F", "D", "D", "G", "G", "other")</f>
        <v>F</v>
      </c>
      <c r="E25" s="32">
        <f t="shared" si="0"/>
        <v>3028</v>
      </c>
      <c r="F25" s="35">
        <f>E25/assumptions!$B$2</f>
        <v>36.926829268292686</v>
      </c>
      <c r="G25" s="36">
        <f t="shared" si="1"/>
        <v>34</v>
      </c>
      <c r="H25" s="18">
        <f>IF(NOT(D25="G"),'RW predict'!E24,0)</f>
        <v>30</v>
      </c>
      <c r="I25" s="18">
        <f>'RW predict'!Q24</f>
        <v>36</v>
      </c>
      <c r="J25" s="18">
        <f>'RW predict'!F24</f>
        <v>51</v>
      </c>
      <c r="K25" s="18"/>
      <c r="L25" s="18"/>
      <c r="M25" s="18">
        <f>'RW predict'!P24</f>
        <v>51</v>
      </c>
      <c r="N25" s="18"/>
      <c r="O25" s="18">
        <f>'RW predict'!H24</f>
        <v>15</v>
      </c>
      <c r="P25" s="18">
        <f>'RW predict'!I24</f>
        <v>32</v>
      </c>
      <c r="Q25" s="18">
        <f>'RW predict'!L24</f>
        <v>7</v>
      </c>
      <c r="R25" s="18">
        <f>'RW predict'!N24</f>
        <v>0</v>
      </c>
      <c r="S25" s="76">
        <f>'RW predict'!O24</f>
        <v>0</v>
      </c>
      <c r="T25" s="76">
        <f>'RW predict'!K24</f>
        <v>8</v>
      </c>
      <c r="U25" s="22">
        <f>'RW predict'!J24</f>
        <v>202</v>
      </c>
      <c r="V25" s="32">
        <f>IF(D25="G",'RW predict'!E24,0)</f>
        <v>0</v>
      </c>
      <c r="W25" s="18">
        <f>'RW predict'!R24</f>
        <v>0</v>
      </c>
      <c r="X25" s="18">
        <f>'RW predict'!T24</f>
        <v>0</v>
      </c>
      <c r="Y25" s="18">
        <f>'RW predict'!Y24</f>
        <v>0</v>
      </c>
      <c r="Z25" s="18">
        <f>'RW predict'!U24</f>
        <v>0</v>
      </c>
      <c r="AA25" s="18">
        <f>'RW predict'!W24</f>
        <v>0</v>
      </c>
      <c r="AB25" s="17"/>
      <c r="AG25" s="23"/>
      <c r="AI25" s="17"/>
      <c r="AO25" s="23"/>
    </row>
    <row r="26" spans="1:58" x14ac:dyDescent="0.3">
      <c r="A26" s="18">
        <v>23</v>
      </c>
      <c r="B26" s="18" t="str">
        <f>'RW predict'!A25</f>
        <v>Roman Josi</v>
      </c>
      <c r="C26" s="18" t="str">
        <f>'RW predict'!B25</f>
        <v>NSH</v>
      </c>
      <c r="D26" s="22" t="str" cm="1">
        <f t="array" ref="D26">_xlfn.SWITCH('RW predict'!C25, "C", "F", "LW","F", "RW", "F", "D", "D", "G", "G", "other")</f>
        <v>D</v>
      </c>
      <c r="E26" s="32">
        <f t="shared" si="0"/>
        <v>3282</v>
      </c>
      <c r="F26" s="35">
        <f>E26/assumptions!$B$2</f>
        <v>40.024390243902438</v>
      </c>
      <c r="G26" s="36">
        <f t="shared" si="1"/>
        <v>23</v>
      </c>
      <c r="H26" s="18">
        <f>IF(NOT(D26="G"),'RW predict'!E25,0)</f>
        <v>19</v>
      </c>
      <c r="I26" s="18">
        <f>'RW predict'!Q25</f>
        <v>129</v>
      </c>
      <c r="J26" s="18">
        <f>'RW predict'!F25</f>
        <v>62</v>
      </c>
      <c r="K26" s="18"/>
      <c r="L26" s="18"/>
      <c r="M26" s="18">
        <f>'RW predict'!P25</f>
        <v>63</v>
      </c>
      <c r="N26" s="18"/>
      <c r="O26" s="18">
        <f>'RW predict'!H25</f>
        <v>10</v>
      </c>
      <c r="P26" s="18">
        <f>'RW predict'!I25</f>
        <v>42</v>
      </c>
      <c r="Q26" s="18">
        <f>'RW predict'!L25</f>
        <v>7</v>
      </c>
      <c r="R26" s="18">
        <f>'RW predict'!N25</f>
        <v>0</v>
      </c>
      <c r="S26" s="76">
        <f>'RW predict'!O25</f>
        <v>1</v>
      </c>
      <c r="T26" s="76">
        <f>'RW predict'!K25</f>
        <v>4</v>
      </c>
      <c r="U26" s="22">
        <f>'RW predict'!J25</f>
        <v>275</v>
      </c>
      <c r="V26" s="32">
        <f>IF(D26="G",'RW predict'!E25,0)</f>
        <v>0</v>
      </c>
      <c r="W26" s="18">
        <f>'RW predict'!R25</f>
        <v>0</v>
      </c>
      <c r="X26" s="18">
        <f>'RW predict'!T25</f>
        <v>0</v>
      </c>
      <c r="Y26" s="18">
        <f>'RW predict'!Y25</f>
        <v>0</v>
      </c>
      <c r="Z26" s="18">
        <f>'RW predict'!U25</f>
        <v>0</v>
      </c>
      <c r="AA26" s="18">
        <f>'RW predict'!W25</f>
        <v>0</v>
      </c>
      <c r="AB26" s="17"/>
      <c r="AG26" s="23"/>
      <c r="AI26" s="17"/>
      <c r="AO26" s="23"/>
    </row>
    <row r="27" spans="1:58" x14ac:dyDescent="0.3">
      <c r="A27" s="18">
        <v>24</v>
      </c>
      <c r="B27" s="18" t="str">
        <f>'RW predict'!A26</f>
        <v>Mika Zibanejad</v>
      </c>
      <c r="C27" s="18" t="str">
        <f>'RW predict'!B26</f>
        <v>NYR</v>
      </c>
      <c r="D27" s="22" t="str" cm="1">
        <f t="array" ref="D27">_xlfn.SWITCH('RW predict'!C26, "C", "F", "LW","F", "RW", "F", "D", "D", "G", "G", "other")</f>
        <v>F</v>
      </c>
      <c r="E27" s="32">
        <f t="shared" si="0"/>
        <v>3191</v>
      </c>
      <c r="F27" s="35">
        <f>E27/assumptions!$B$2</f>
        <v>38.914634146341463</v>
      </c>
      <c r="G27" s="36">
        <f t="shared" si="1"/>
        <v>27</v>
      </c>
      <c r="H27" s="18">
        <f>IF(NOT(D27="G"),'RW predict'!E26,0)</f>
        <v>30</v>
      </c>
      <c r="I27" s="18">
        <f>'RW predict'!Q26</f>
        <v>47</v>
      </c>
      <c r="J27" s="18">
        <f>'RW predict'!F26</f>
        <v>49</v>
      </c>
      <c r="K27" s="18"/>
      <c r="L27" s="18"/>
      <c r="M27" s="18">
        <f>'RW predict'!P26</f>
        <v>74</v>
      </c>
      <c r="N27" s="18"/>
      <c r="O27" s="18">
        <f>'RW predict'!H26</f>
        <v>26</v>
      </c>
      <c r="P27" s="18">
        <f>'RW predict'!I26</f>
        <v>14</v>
      </c>
      <c r="Q27" s="18">
        <f>'RW predict'!L26</f>
        <v>14</v>
      </c>
      <c r="R27" s="18">
        <f>'RW predict'!N26</f>
        <v>1</v>
      </c>
      <c r="S27" s="76">
        <f>'RW predict'!O26</f>
        <v>3</v>
      </c>
      <c r="T27" s="76">
        <f>'RW predict'!K26</f>
        <v>6</v>
      </c>
      <c r="U27" s="22">
        <f>'RW predict'!J26</f>
        <v>218</v>
      </c>
      <c r="V27" s="32">
        <f>IF(D27="G",'RW predict'!E26,0)</f>
        <v>0</v>
      </c>
      <c r="W27" s="18">
        <f>'RW predict'!R26</f>
        <v>0</v>
      </c>
      <c r="X27" s="18">
        <f>'RW predict'!T26</f>
        <v>0</v>
      </c>
      <c r="Y27" s="18">
        <f>'RW predict'!Y26</f>
        <v>0</v>
      </c>
      <c r="Z27" s="18">
        <f>'RW predict'!U26</f>
        <v>0</v>
      </c>
      <c r="AA27" s="18">
        <f>'RW predict'!W26</f>
        <v>0</v>
      </c>
      <c r="AB27" s="17"/>
      <c r="AG27" s="23"/>
      <c r="AI27" s="17"/>
      <c r="AO27" s="23"/>
    </row>
    <row r="28" spans="1:58" x14ac:dyDescent="0.3">
      <c r="A28" s="18">
        <v>25</v>
      </c>
      <c r="B28" s="18" t="str">
        <f>'RW predict'!A27</f>
        <v>Vladimir Tarasenko</v>
      </c>
      <c r="C28" s="18" t="str">
        <f>'RW predict'!B27</f>
        <v>STL</v>
      </c>
      <c r="D28" s="22" t="str" cm="1">
        <f t="array" ref="D28">_xlfn.SWITCH('RW predict'!C27, "C", "F", "LW","F", "RW", "F", "D", "D", "G", "G", "other")</f>
        <v>F</v>
      </c>
      <c r="E28" s="32">
        <f t="shared" si="0"/>
        <v>3018</v>
      </c>
      <c r="F28" s="35">
        <f>E28/assumptions!$B$2</f>
        <v>36.804878048780488</v>
      </c>
      <c r="G28" s="36">
        <f t="shared" si="1"/>
        <v>35</v>
      </c>
      <c r="H28" s="18">
        <f>IF(NOT(D28="G"),'RW predict'!E27,0)</f>
        <v>35</v>
      </c>
      <c r="I28" s="18">
        <f>'RW predict'!Q27</f>
        <v>44</v>
      </c>
      <c r="J28" s="18">
        <f>'RW predict'!F27</f>
        <v>44</v>
      </c>
      <c r="K28" s="18"/>
      <c r="L28" s="18"/>
      <c r="M28" s="18">
        <f>'RW predict'!P27</f>
        <v>85</v>
      </c>
      <c r="N28" s="18"/>
      <c r="O28" s="18">
        <f>'RW predict'!H27</f>
        <v>6</v>
      </c>
      <c r="P28" s="18">
        <f>'RW predict'!I27</f>
        <v>30</v>
      </c>
      <c r="Q28" s="18">
        <f>'RW predict'!L27</f>
        <v>7</v>
      </c>
      <c r="R28" s="18">
        <f>'RW predict'!N27</f>
        <v>0</v>
      </c>
      <c r="S28" s="76">
        <f>'RW predict'!O27</f>
        <v>0</v>
      </c>
      <c r="T28" s="76">
        <f>'RW predict'!K27</f>
        <v>8</v>
      </c>
      <c r="U28" s="22">
        <f>'RW predict'!J27</f>
        <v>245</v>
      </c>
      <c r="V28" s="32">
        <f>IF(D28="G",'RW predict'!E27,0)</f>
        <v>0</v>
      </c>
      <c r="W28" s="18">
        <f>'RW predict'!R27</f>
        <v>0</v>
      </c>
      <c r="X28" s="18">
        <f>'RW predict'!T27</f>
        <v>0</v>
      </c>
      <c r="Y28" s="18">
        <f>'RW predict'!Y27</f>
        <v>0</v>
      </c>
      <c r="Z28" s="18">
        <f>'RW predict'!U27</f>
        <v>0</v>
      </c>
      <c r="AA28" s="18">
        <f>'RW predict'!W27</f>
        <v>0</v>
      </c>
      <c r="AB28" s="17"/>
      <c r="AG28" s="23"/>
      <c r="AI28" s="17"/>
      <c r="AO28" s="23"/>
    </row>
    <row r="29" spans="1:58" x14ac:dyDescent="0.3">
      <c r="A29" s="18">
        <v>26</v>
      </c>
      <c r="B29" s="18" t="str">
        <f>'RW predict'!A28</f>
        <v>Jake Guentzel</v>
      </c>
      <c r="C29" s="18" t="str">
        <f>'RW predict'!B28</f>
        <v>PIT</v>
      </c>
      <c r="D29" s="22" t="str" cm="1">
        <f t="array" ref="D29">_xlfn.SWITCH('RW predict'!C28, "C", "F", "LW","F", "RW", "F", "D", "D", "G", "G", "other")</f>
        <v>F</v>
      </c>
      <c r="E29" s="32">
        <f t="shared" si="0"/>
        <v>3063</v>
      </c>
      <c r="F29" s="35">
        <f>E29/assumptions!$B$2</f>
        <v>37.353658536585364</v>
      </c>
      <c r="G29" s="36">
        <f t="shared" si="1"/>
        <v>31</v>
      </c>
      <c r="H29" s="18">
        <f>IF(NOT(D29="G"),'RW predict'!E28,0)</f>
        <v>37</v>
      </c>
      <c r="I29" s="18">
        <f>'RW predict'!Q28</f>
        <v>38</v>
      </c>
      <c r="J29" s="18">
        <f>'RW predict'!F28</f>
        <v>42</v>
      </c>
      <c r="K29" s="18"/>
      <c r="L29" s="18"/>
      <c r="M29" s="18">
        <f>'RW predict'!P28</f>
        <v>68</v>
      </c>
      <c r="N29" s="18"/>
      <c r="O29" s="18">
        <f>'RW predict'!H28</f>
        <v>13</v>
      </c>
      <c r="P29" s="18">
        <f>'RW predict'!I28</f>
        <v>40</v>
      </c>
      <c r="Q29" s="18">
        <f>'RW predict'!L28</f>
        <v>7</v>
      </c>
      <c r="R29" s="18">
        <f>'RW predict'!N28</f>
        <v>0</v>
      </c>
      <c r="S29" s="76">
        <f>'RW predict'!O28</f>
        <v>0</v>
      </c>
      <c r="T29" s="76">
        <f>'RW predict'!K28</f>
        <v>7</v>
      </c>
      <c r="U29" s="22">
        <f>'RW predict'!J28</f>
        <v>242</v>
      </c>
      <c r="V29" s="32">
        <f>IF(D29="G",'RW predict'!E28,0)</f>
        <v>0</v>
      </c>
      <c r="W29" s="18">
        <f>'RW predict'!R28</f>
        <v>0</v>
      </c>
      <c r="X29" s="18">
        <f>'RW predict'!T28</f>
        <v>0</v>
      </c>
      <c r="Y29" s="18">
        <f>'RW predict'!Y28</f>
        <v>0</v>
      </c>
      <c r="Z29" s="18">
        <f>'RW predict'!U28</f>
        <v>0</v>
      </c>
      <c r="AA29" s="18">
        <f>'RW predict'!W28</f>
        <v>0</v>
      </c>
      <c r="AB29" s="17"/>
      <c r="AG29" s="23"/>
      <c r="AI29" s="17"/>
      <c r="AO29" s="23"/>
    </row>
    <row r="30" spans="1:58" x14ac:dyDescent="0.3">
      <c r="A30" s="18">
        <v>27</v>
      </c>
      <c r="B30" s="18" t="str">
        <f>'RW predict'!A29</f>
        <v>Kevin Fiala</v>
      </c>
      <c r="C30" s="18" t="str">
        <f>'RW predict'!B29</f>
        <v>LA</v>
      </c>
      <c r="D30" s="22" t="str" cm="1">
        <f t="array" ref="D30">_xlfn.SWITCH('RW predict'!C29, "C", "F", "LW","F", "RW", "F", "D", "D", "G", "G", "other")</f>
        <v>F</v>
      </c>
      <c r="E30" s="32">
        <f t="shared" si="0"/>
        <v>3058</v>
      </c>
      <c r="F30" s="35">
        <f>E30/assumptions!$B$2</f>
        <v>37.292682926829265</v>
      </c>
      <c r="G30" s="36">
        <f t="shared" si="1"/>
        <v>32</v>
      </c>
      <c r="H30" s="18">
        <f>IF(NOT(D30="G"),'RW predict'!E29,0)</f>
        <v>31</v>
      </c>
      <c r="I30" s="18">
        <f>'RW predict'!Q29</f>
        <v>19</v>
      </c>
      <c r="J30" s="18">
        <f>'RW predict'!F29</f>
        <v>47</v>
      </c>
      <c r="K30" s="18"/>
      <c r="L30" s="18"/>
      <c r="M30" s="18">
        <f>'RW predict'!P29</f>
        <v>48</v>
      </c>
      <c r="N30" s="18"/>
      <c r="O30" s="18">
        <f>'RW predict'!H29</f>
        <v>17</v>
      </c>
      <c r="P30" s="18">
        <f>'RW predict'!I29</f>
        <v>48</v>
      </c>
      <c r="Q30" s="18">
        <f>'RW predict'!L29</f>
        <v>6</v>
      </c>
      <c r="R30" s="18">
        <f>'RW predict'!N29</f>
        <v>1</v>
      </c>
      <c r="S30" s="76">
        <f>'RW predict'!O29</f>
        <v>0</v>
      </c>
      <c r="T30" s="76">
        <f>'RW predict'!K29</f>
        <v>6</v>
      </c>
      <c r="U30" s="22">
        <f>'RW predict'!J29</f>
        <v>254</v>
      </c>
      <c r="V30" s="32">
        <f>IF(D30="G",'RW predict'!E29,0)</f>
        <v>0</v>
      </c>
      <c r="W30" s="18">
        <f>'RW predict'!R29</f>
        <v>0</v>
      </c>
      <c r="X30" s="18">
        <f>'RW predict'!T29</f>
        <v>0</v>
      </c>
      <c r="Y30" s="18">
        <f>'RW predict'!Y29</f>
        <v>0</v>
      </c>
      <c r="Z30" s="18">
        <f>'RW predict'!U29</f>
        <v>0</v>
      </c>
      <c r="AA30" s="18">
        <f>'RW predict'!W29</f>
        <v>0</v>
      </c>
      <c r="AB30" s="17"/>
      <c r="AG30" s="23"/>
      <c r="AI30" s="17"/>
      <c r="AO30" s="23"/>
    </row>
    <row r="31" spans="1:58" x14ac:dyDescent="0.3">
      <c r="A31" s="18">
        <v>28</v>
      </c>
      <c r="B31" s="18" t="str">
        <f>'RW predict'!A30</f>
        <v>Filip Forsberg</v>
      </c>
      <c r="C31" s="18" t="str">
        <f>'RW predict'!B30</f>
        <v>NSH</v>
      </c>
      <c r="D31" s="22" t="str" cm="1">
        <f t="array" ref="D31">_xlfn.SWITCH('RW predict'!C30, "C", "F", "LW","F", "RW", "F", "D", "D", "G", "G", "other")</f>
        <v>F</v>
      </c>
      <c r="E31" s="32">
        <f t="shared" si="0"/>
        <v>2944</v>
      </c>
      <c r="F31" s="35">
        <f>E31/assumptions!$B$2</f>
        <v>35.902439024390247</v>
      </c>
      <c r="G31" s="36">
        <f t="shared" si="1"/>
        <v>41</v>
      </c>
      <c r="H31" s="18">
        <f>IF(NOT(D31="G"),'RW predict'!E30,0)</f>
        <v>37</v>
      </c>
      <c r="I31" s="18">
        <f>'RW predict'!Q30</f>
        <v>44</v>
      </c>
      <c r="J31" s="18">
        <f>'RW predict'!F30</f>
        <v>40</v>
      </c>
      <c r="K31" s="18"/>
      <c r="L31" s="18"/>
      <c r="M31" s="18">
        <f>'RW predict'!P30</f>
        <v>107</v>
      </c>
      <c r="N31" s="18"/>
      <c r="O31" s="18">
        <f>'RW predict'!H30</f>
        <v>6</v>
      </c>
      <c r="P31" s="18">
        <f>'RW predict'!I30</f>
        <v>24</v>
      </c>
      <c r="Q31" s="18">
        <f>'RW predict'!L30</f>
        <v>8</v>
      </c>
      <c r="R31" s="18">
        <f>'RW predict'!N30</f>
        <v>0</v>
      </c>
      <c r="S31" s="76">
        <f>'RW predict'!O30</f>
        <v>0</v>
      </c>
      <c r="T31" s="76">
        <f>'RW predict'!K30</f>
        <v>7</v>
      </c>
      <c r="U31" s="22">
        <f>'RW predict'!J30</f>
        <v>236</v>
      </c>
      <c r="V31" s="32">
        <f>IF(D31="G",'RW predict'!E30,0)</f>
        <v>0</v>
      </c>
      <c r="W31" s="18">
        <f>'RW predict'!R30</f>
        <v>0</v>
      </c>
      <c r="X31" s="18">
        <f>'RW predict'!T30</f>
        <v>0</v>
      </c>
      <c r="Y31" s="18">
        <f>'RW predict'!Y30</f>
        <v>0</v>
      </c>
      <c r="Z31" s="18">
        <f>'RW predict'!U30</f>
        <v>0</v>
      </c>
      <c r="AA31" s="18">
        <f>'RW predict'!W30</f>
        <v>0</v>
      </c>
      <c r="AB31" s="17"/>
      <c r="AG31" s="23"/>
      <c r="AI31" s="17"/>
      <c r="AO31" s="23"/>
    </row>
    <row r="32" spans="1:58" x14ac:dyDescent="0.3">
      <c r="A32" s="18">
        <v>29</v>
      </c>
      <c r="B32" s="18" t="str">
        <f>'RW predict'!A31</f>
        <v>Victor Hedman</v>
      </c>
      <c r="C32" s="18" t="str">
        <f>'RW predict'!B31</f>
        <v>TB</v>
      </c>
      <c r="D32" s="22" t="str" cm="1">
        <f t="array" ref="D32">_xlfn.SWITCH('RW predict'!C31, "C", "F", "LW","F", "RW", "F", "D", "D", "G", "G", "other")</f>
        <v>D</v>
      </c>
      <c r="E32" s="32">
        <f t="shared" si="0"/>
        <v>3153</v>
      </c>
      <c r="F32" s="35">
        <f>E32/assumptions!$B$2</f>
        <v>38.451219512195124</v>
      </c>
      <c r="G32" s="36">
        <f t="shared" si="1"/>
        <v>28</v>
      </c>
      <c r="H32" s="18">
        <f>IF(NOT(D32="G"),'RW predict'!E31,0)</f>
        <v>18</v>
      </c>
      <c r="I32" s="18">
        <f>'RW predict'!Q31</f>
        <v>122</v>
      </c>
      <c r="J32" s="18">
        <f>'RW predict'!F31</f>
        <v>59</v>
      </c>
      <c r="K32" s="18"/>
      <c r="L32" s="18"/>
      <c r="M32" s="18">
        <f>'RW predict'!P31</f>
        <v>88</v>
      </c>
      <c r="N32" s="18"/>
      <c r="O32" s="18">
        <f>'RW predict'!H31</f>
        <v>23</v>
      </c>
      <c r="P32" s="18">
        <f>'RW predict'!I31</f>
        <v>36</v>
      </c>
      <c r="Q32" s="18">
        <f>'RW predict'!L31</f>
        <v>5</v>
      </c>
      <c r="R32" s="18">
        <f>'RW predict'!N31</f>
        <v>0</v>
      </c>
      <c r="S32" s="76">
        <f>'RW predict'!O31</f>
        <v>1</v>
      </c>
      <c r="T32" s="76">
        <f>'RW predict'!K31</f>
        <v>4</v>
      </c>
      <c r="U32" s="22">
        <f>'RW predict'!J31</f>
        <v>209</v>
      </c>
      <c r="V32" s="32">
        <f>IF(D32="G",'RW predict'!E31,0)</f>
        <v>0</v>
      </c>
      <c r="W32" s="18">
        <f>'RW predict'!R31</f>
        <v>0</v>
      </c>
      <c r="X32" s="18">
        <f>'RW predict'!T31</f>
        <v>0</v>
      </c>
      <c r="Y32" s="18">
        <f>'RW predict'!Y31</f>
        <v>0</v>
      </c>
      <c r="Z32" s="18">
        <f>'RW predict'!U31</f>
        <v>0</v>
      </c>
      <c r="AA32" s="18">
        <f>'RW predict'!W31</f>
        <v>0</v>
      </c>
      <c r="AB32" s="17"/>
      <c r="AG32" s="23"/>
      <c r="AI32" s="17"/>
      <c r="AO32" s="23"/>
    </row>
    <row r="33" spans="1:41" x14ac:dyDescent="0.3">
      <c r="A33" s="18">
        <v>30</v>
      </c>
      <c r="B33" s="18" t="str">
        <f>'RW predict'!A32</f>
        <v>John Tavares</v>
      </c>
      <c r="C33" s="18" t="str">
        <f>'RW predict'!B32</f>
        <v>TOR</v>
      </c>
      <c r="D33" s="22" t="str" cm="1">
        <f t="array" ref="D33">_xlfn.SWITCH('RW predict'!C32, "C", "F", "LW","F", "RW", "F", "D", "D", "G", "G", "other")</f>
        <v>F</v>
      </c>
      <c r="E33" s="32">
        <f t="shared" si="0"/>
        <v>2819</v>
      </c>
      <c r="F33" s="35">
        <f>E33/assumptions!$B$2</f>
        <v>34.378048780487802</v>
      </c>
      <c r="G33" s="36">
        <f t="shared" si="1"/>
        <v>47</v>
      </c>
      <c r="H33" s="18">
        <f>IF(NOT(D33="G"),'RW predict'!E32,0)</f>
        <v>28</v>
      </c>
      <c r="I33" s="18">
        <f>'RW predict'!Q32</f>
        <v>43</v>
      </c>
      <c r="J33" s="18">
        <f>'RW predict'!F32</f>
        <v>48</v>
      </c>
      <c r="K33" s="18"/>
      <c r="L33" s="18"/>
      <c r="M33" s="18">
        <f>'RW predict'!P32</f>
        <v>85</v>
      </c>
      <c r="N33" s="18"/>
      <c r="O33" s="18">
        <f>'RW predict'!H32</f>
        <v>-2</v>
      </c>
      <c r="P33" s="18">
        <f>'RW predict'!I32</f>
        <v>30</v>
      </c>
      <c r="Q33" s="18">
        <f>'RW predict'!L32</f>
        <v>10</v>
      </c>
      <c r="R33" s="18">
        <f>'RW predict'!N32</f>
        <v>0</v>
      </c>
      <c r="S33" s="76">
        <f>'RW predict'!O32</f>
        <v>0</v>
      </c>
      <c r="T33" s="76">
        <f>'RW predict'!K32</f>
        <v>5</v>
      </c>
      <c r="U33" s="22">
        <f>'RW predict'!J32</f>
        <v>239</v>
      </c>
      <c r="V33" s="32">
        <f>IF(D33="G",'RW predict'!E32,0)</f>
        <v>0</v>
      </c>
      <c r="W33" s="18">
        <f>'RW predict'!R32</f>
        <v>0</v>
      </c>
      <c r="X33" s="18">
        <f>'RW predict'!T32</f>
        <v>0</v>
      </c>
      <c r="Y33" s="18">
        <f>'RW predict'!Y32</f>
        <v>0</v>
      </c>
      <c r="Z33" s="18">
        <f>'RW predict'!U32</f>
        <v>0</v>
      </c>
      <c r="AA33" s="18">
        <f>'RW predict'!W32</f>
        <v>0</v>
      </c>
      <c r="AB33" s="17"/>
      <c r="AG33" s="23"/>
      <c r="AI33" s="17"/>
      <c r="AO33" s="23"/>
    </row>
    <row r="34" spans="1:41" x14ac:dyDescent="0.3">
      <c r="A34" s="18">
        <v>31</v>
      </c>
      <c r="B34" s="18" t="str">
        <f>'RW predict'!A33</f>
        <v>Mark Scheifele</v>
      </c>
      <c r="C34" s="18" t="str">
        <f>'RW predict'!B33</f>
        <v>WPG</v>
      </c>
      <c r="D34" s="22" t="str" cm="1">
        <f t="array" ref="D34">_xlfn.SWITCH('RW predict'!C33, "C", "F", "LW","F", "RW", "F", "D", "D", "G", "G", "other")</f>
        <v>F</v>
      </c>
      <c r="E34" s="32">
        <f t="shared" si="0"/>
        <v>2601</v>
      </c>
      <c r="F34" s="35">
        <f>E34/assumptions!$B$2</f>
        <v>31.719512195121951</v>
      </c>
      <c r="G34" s="36">
        <f t="shared" si="1"/>
        <v>71</v>
      </c>
      <c r="H34" s="18">
        <f>IF(NOT(D34="G"),'RW predict'!E33,0)</f>
        <v>32</v>
      </c>
      <c r="I34" s="18">
        <f>'RW predict'!Q33</f>
        <v>52</v>
      </c>
      <c r="J34" s="18">
        <f>'RW predict'!F33</f>
        <v>44</v>
      </c>
      <c r="K34" s="18"/>
      <c r="L34" s="18"/>
      <c r="M34" s="18">
        <f>'RW predict'!P33</f>
        <v>40</v>
      </c>
      <c r="N34" s="18"/>
      <c r="O34" s="18">
        <f>'RW predict'!H33</f>
        <v>-8</v>
      </c>
      <c r="P34" s="18">
        <f>'RW predict'!I33</f>
        <v>27</v>
      </c>
      <c r="Q34" s="18">
        <f>'RW predict'!L33</f>
        <v>8</v>
      </c>
      <c r="R34" s="18">
        <f>'RW predict'!N33</f>
        <v>0</v>
      </c>
      <c r="S34" s="76">
        <f>'RW predict'!O33</f>
        <v>0</v>
      </c>
      <c r="T34" s="76">
        <f>'RW predict'!K33</f>
        <v>5</v>
      </c>
      <c r="U34" s="22">
        <f>'RW predict'!J33</f>
        <v>188</v>
      </c>
      <c r="V34" s="32">
        <f>IF(D34="G",'RW predict'!E33,0)</f>
        <v>0</v>
      </c>
      <c r="W34" s="18">
        <f>'RW predict'!R33</f>
        <v>0</v>
      </c>
      <c r="X34" s="18">
        <f>'RW predict'!T33</f>
        <v>0</v>
      </c>
      <c r="Y34" s="18">
        <f>'RW predict'!Y33</f>
        <v>0</v>
      </c>
      <c r="Z34" s="18">
        <f>'RW predict'!U33</f>
        <v>0</v>
      </c>
      <c r="AA34" s="18">
        <f>'RW predict'!W33</f>
        <v>0</v>
      </c>
      <c r="AB34" s="17"/>
      <c r="AG34" s="23"/>
      <c r="AI34" s="17"/>
      <c r="AO34" s="23"/>
    </row>
    <row r="35" spans="1:41" x14ac:dyDescent="0.3">
      <c r="A35" s="18">
        <v>32</v>
      </c>
      <c r="B35" s="18" t="str">
        <f>'RW predict'!A34</f>
        <v>William Nylander</v>
      </c>
      <c r="C35" s="18" t="str">
        <f>'RW predict'!B34</f>
        <v>TOR</v>
      </c>
      <c r="D35" s="22" t="str" cm="1">
        <f t="array" ref="D35">_xlfn.SWITCH('RW predict'!C34, "C", "F", "LW","F", "RW", "F", "D", "D", "G", "G", "other")</f>
        <v>F</v>
      </c>
      <c r="E35" s="32">
        <f t="shared" si="0"/>
        <v>2764</v>
      </c>
      <c r="F35" s="35">
        <f>E35/assumptions!$B$2</f>
        <v>33.707317073170735</v>
      </c>
      <c r="G35" s="36">
        <f t="shared" si="1"/>
        <v>53</v>
      </c>
      <c r="H35" s="18">
        <f>IF(NOT(D35="G"),'RW predict'!E34,0)</f>
        <v>32</v>
      </c>
      <c r="I35" s="18">
        <f>'RW predict'!Q34</f>
        <v>27</v>
      </c>
      <c r="J35" s="18">
        <f>'RW predict'!F34</f>
        <v>44</v>
      </c>
      <c r="K35" s="18"/>
      <c r="L35" s="18"/>
      <c r="M35" s="18">
        <f>'RW predict'!P34</f>
        <v>18</v>
      </c>
      <c r="N35" s="18"/>
      <c r="O35" s="18">
        <f>'RW predict'!H34</f>
        <v>-1</v>
      </c>
      <c r="P35" s="18">
        <f>'RW predict'!I34</f>
        <v>16</v>
      </c>
      <c r="Q35" s="18">
        <f>'RW predict'!L34</f>
        <v>12</v>
      </c>
      <c r="R35" s="18">
        <f>'RW predict'!N34</f>
        <v>0</v>
      </c>
      <c r="S35" s="76">
        <f>'RW predict'!O34</f>
        <v>0</v>
      </c>
      <c r="T35" s="76">
        <f>'RW predict'!K34</f>
        <v>7</v>
      </c>
      <c r="U35" s="22">
        <f>'RW predict'!J34</f>
        <v>247</v>
      </c>
      <c r="V35" s="32">
        <f>IF(D35="G",'RW predict'!E34,0)</f>
        <v>0</v>
      </c>
      <c r="W35" s="18">
        <f>'RW predict'!R34</f>
        <v>0</v>
      </c>
      <c r="X35" s="18">
        <f>'RW predict'!T34</f>
        <v>0</v>
      </c>
      <c r="Y35" s="18">
        <f>'RW predict'!Y34</f>
        <v>0</v>
      </c>
      <c r="Z35" s="18">
        <f>'RW predict'!U34</f>
        <v>0</v>
      </c>
      <c r="AA35" s="18">
        <f>'RW predict'!W34</f>
        <v>0</v>
      </c>
      <c r="AB35" s="17"/>
      <c r="AG35" s="23"/>
      <c r="AI35" s="17"/>
      <c r="AO35" s="23"/>
    </row>
    <row r="36" spans="1:41" x14ac:dyDescent="0.3">
      <c r="A36" s="18">
        <v>33</v>
      </c>
      <c r="B36" s="18" t="str">
        <f>'RW predict'!A35</f>
        <v>Sam Reinhart</v>
      </c>
      <c r="C36" s="18" t="str">
        <f>'RW predict'!B35</f>
        <v>FLA</v>
      </c>
      <c r="D36" s="22" t="str" cm="1">
        <f t="array" ref="D36">_xlfn.SWITCH('RW predict'!C35, "C", "F", "LW","F", "RW", "F", "D", "D", "G", "G", "other")</f>
        <v>F</v>
      </c>
      <c r="E36" s="32">
        <f t="shared" si="0"/>
        <v>2946</v>
      </c>
      <c r="F36" s="35">
        <f>E36/assumptions!$B$2</f>
        <v>35.926829268292686</v>
      </c>
      <c r="G36" s="36">
        <f t="shared" si="1"/>
        <v>40</v>
      </c>
      <c r="H36" s="18">
        <f>IF(NOT(D36="G"),'RW predict'!E35,0)</f>
        <v>30</v>
      </c>
      <c r="I36" s="18">
        <f>'RW predict'!Q35</f>
        <v>32</v>
      </c>
      <c r="J36" s="18">
        <f>'RW predict'!F35</f>
        <v>46</v>
      </c>
      <c r="K36" s="18"/>
      <c r="L36" s="18"/>
      <c r="M36" s="18">
        <f>'RW predict'!P35</f>
        <v>44</v>
      </c>
      <c r="N36" s="18"/>
      <c r="O36" s="18">
        <f>'RW predict'!H35</f>
        <v>24</v>
      </c>
      <c r="P36" s="18">
        <f>'RW predict'!I35</f>
        <v>14</v>
      </c>
      <c r="Q36" s="18">
        <f>'RW predict'!L35</f>
        <v>13</v>
      </c>
      <c r="R36" s="18">
        <f>'RW predict'!N35</f>
        <v>1</v>
      </c>
      <c r="S36" s="76">
        <f>'RW predict'!O35</f>
        <v>1</v>
      </c>
      <c r="T36" s="76">
        <f>'RW predict'!K35</f>
        <v>6</v>
      </c>
      <c r="U36" s="22">
        <f>'RW predict'!J35</f>
        <v>188</v>
      </c>
      <c r="V36" s="32">
        <f>IF(D36="G",'RW predict'!E35,0)</f>
        <v>0</v>
      </c>
      <c r="W36" s="18">
        <f>'RW predict'!R35</f>
        <v>0</v>
      </c>
      <c r="X36" s="18">
        <f>'RW predict'!T35</f>
        <v>0</v>
      </c>
      <c r="Y36" s="18">
        <f>'RW predict'!Y35</f>
        <v>0</v>
      </c>
      <c r="Z36" s="18">
        <f>'RW predict'!U35</f>
        <v>0</v>
      </c>
      <c r="AA36" s="18">
        <f>'RW predict'!W35</f>
        <v>0</v>
      </c>
      <c r="AB36" s="17"/>
      <c r="AG36" s="23"/>
      <c r="AI36" s="17"/>
      <c r="AO36" s="23"/>
    </row>
    <row r="37" spans="1:41" x14ac:dyDescent="0.3">
      <c r="A37" s="18">
        <v>34</v>
      </c>
      <c r="B37" s="18" t="str">
        <f>'RW predict'!A36</f>
        <v>Pavel Buchnevich</v>
      </c>
      <c r="C37" s="18" t="str">
        <f>'RW predict'!B36</f>
        <v>STL</v>
      </c>
      <c r="D37" s="22" t="str" cm="1">
        <f t="array" ref="D37">_xlfn.SWITCH('RW predict'!C36, "C", "F", "LW","F", "RW", "F", "D", "D", "G", "G", "other")</f>
        <v>F</v>
      </c>
      <c r="E37" s="32">
        <f t="shared" si="0"/>
        <v>2996</v>
      </c>
      <c r="F37" s="35">
        <f>E37/assumptions!$B$2</f>
        <v>36.536585365853661</v>
      </c>
      <c r="G37" s="36">
        <f t="shared" si="1"/>
        <v>38</v>
      </c>
      <c r="H37" s="18">
        <f>IF(NOT(D37="G"),'RW predict'!E36,0)</f>
        <v>28</v>
      </c>
      <c r="I37" s="18">
        <f>'RW predict'!Q36</f>
        <v>20</v>
      </c>
      <c r="J37" s="18">
        <f>'RW predict'!F36</f>
        <v>47</v>
      </c>
      <c r="K37" s="18"/>
      <c r="L37" s="18"/>
      <c r="M37" s="18">
        <f>'RW predict'!P36</f>
        <v>65</v>
      </c>
      <c r="N37" s="18"/>
      <c r="O37" s="18">
        <f>'RW predict'!H36</f>
        <v>26</v>
      </c>
      <c r="P37" s="18">
        <f>'RW predict'!I36</f>
        <v>40</v>
      </c>
      <c r="Q37" s="18">
        <f>'RW predict'!L36</f>
        <v>7</v>
      </c>
      <c r="R37" s="18">
        <f>'RW predict'!N36</f>
        <v>2</v>
      </c>
      <c r="S37" s="76">
        <f>'RW predict'!O36</f>
        <v>2</v>
      </c>
      <c r="T37" s="76">
        <f>'RW predict'!K36</f>
        <v>5</v>
      </c>
      <c r="U37" s="22">
        <f>'RW predict'!J36</f>
        <v>203</v>
      </c>
      <c r="V37" s="32">
        <f>IF(D37="G",'RW predict'!E36,0)</f>
        <v>0</v>
      </c>
      <c r="W37" s="18">
        <f>'RW predict'!R36</f>
        <v>0</v>
      </c>
      <c r="X37" s="18">
        <f>'RW predict'!T36</f>
        <v>0</v>
      </c>
      <c r="Y37" s="18">
        <f>'RW predict'!Y36</f>
        <v>0</v>
      </c>
      <c r="Z37" s="18">
        <f>'RW predict'!U36</f>
        <v>0</v>
      </c>
      <c r="AA37" s="18">
        <f>'RW predict'!W36</f>
        <v>0</v>
      </c>
      <c r="AB37" s="17"/>
      <c r="AG37" s="23"/>
      <c r="AI37" s="17"/>
      <c r="AO37" s="23"/>
    </row>
    <row r="38" spans="1:41" x14ac:dyDescent="0.3">
      <c r="A38" s="18">
        <v>35</v>
      </c>
      <c r="B38" s="18" t="str">
        <f>'RW predict'!A37</f>
        <v>Jason Robertson</v>
      </c>
      <c r="C38" s="18" t="str">
        <f>'RW predict'!B37</f>
        <v>DAL</v>
      </c>
      <c r="D38" s="22" t="str" cm="1">
        <f t="array" ref="D38">_xlfn.SWITCH('RW predict'!C37, "C", "F", "LW","F", "RW", "F", "D", "D", "G", "G", "other")</f>
        <v>F</v>
      </c>
      <c r="E38" s="32">
        <f t="shared" si="0"/>
        <v>2895</v>
      </c>
      <c r="F38" s="35">
        <f>E38/assumptions!$B$2</f>
        <v>35.304878048780488</v>
      </c>
      <c r="G38" s="36">
        <f t="shared" si="1"/>
        <v>43</v>
      </c>
      <c r="H38" s="18">
        <f>IF(NOT(D38="G"),'RW predict'!E37,0)</f>
        <v>36</v>
      </c>
      <c r="I38" s="18">
        <f>'RW predict'!Q37</f>
        <v>22</v>
      </c>
      <c r="J38" s="18">
        <f>'RW predict'!F37</f>
        <v>39</v>
      </c>
      <c r="K38" s="18"/>
      <c r="L38" s="18"/>
      <c r="M38" s="18">
        <f>'RW predict'!P37</f>
        <v>48</v>
      </c>
      <c r="N38" s="18"/>
      <c r="O38" s="18">
        <f>'RW predict'!H37</f>
        <v>15</v>
      </c>
      <c r="P38" s="18">
        <f>'RW predict'!I37</f>
        <v>20</v>
      </c>
      <c r="Q38" s="18">
        <f>'RW predict'!L37</f>
        <v>10</v>
      </c>
      <c r="R38" s="18">
        <f>'RW predict'!N37</f>
        <v>0</v>
      </c>
      <c r="S38" s="76">
        <f>'RW predict'!O37</f>
        <v>0</v>
      </c>
      <c r="T38" s="76">
        <f>'RW predict'!K37</f>
        <v>8</v>
      </c>
      <c r="U38" s="22">
        <f>'RW predict'!J37</f>
        <v>229</v>
      </c>
      <c r="V38" s="32">
        <f>IF(D38="G",'RW predict'!E37,0)</f>
        <v>0</v>
      </c>
      <c r="W38" s="18">
        <f>'RW predict'!R37</f>
        <v>0</v>
      </c>
      <c r="X38" s="18">
        <f>'RW predict'!T37</f>
        <v>0</v>
      </c>
      <c r="Y38" s="18">
        <f>'RW predict'!Y37</f>
        <v>0</v>
      </c>
      <c r="Z38" s="18">
        <f>'RW predict'!U37</f>
        <v>0</v>
      </c>
      <c r="AA38" s="18">
        <f>'RW predict'!W37</f>
        <v>0</v>
      </c>
      <c r="AB38" s="17"/>
      <c r="AG38" s="23"/>
      <c r="AI38" s="17"/>
      <c r="AO38" s="23"/>
    </row>
    <row r="39" spans="1:41" x14ac:dyDescent="0.3">
      <c r="A39" s="18">
        <v>36</v>
      </c>
      <c r="B39" s="18" t="str">
        <f>'RW predict'!A38</f>
        <v>Alex DeBrincat</v>
      </c>
      <c r="C39" s="18" t="str">
        <f>'RW predict'!B38</f>
        <v>OTT</v>
      </c>
      <c r="D39" s="22" t="str" cm="1">
        <f t="array" ref="D39">_xlfn.SWITCH('RW predict'!C38, "C", "F", "LW","F", "RW", "F", "D", "D", "G", "G", "other")</f>
        <v>F</v>
      </c>
      <c r="E39" s="32">
        <f t="shared" si="0"/>
        <v>2811</v>
      </c>
      <c r="F39" s="35">
        <f>E39/assumptions!$B$2</f>
        <v>34.280487804878049</v>
      </c>
      <c r="G39" s="36">
        <f t="shared" si="1"/>
        <v>48</v>
      </c>
      <c r="H39" s="18">
        <f>IF(NOT(D39="G"),'RW predict'!E38,0)</f>
        <v>38</v>
      </c>
      <c r="I39" s="18">
        <f>'RW predict'!Q38</f>
        <v>33</v>
      </c>
      <c r="J39" s="18">
        <f>'RW predict'!F38</f>
        <v>37</v>
      </c>
      <c r="K39" s="18"/>
      <c r="L39" s="18"/>
      <c r="M39" s="18">
        <f>'RW predict'!P38</f>
        <v>94</v>
      </c>
      <c r="N39" s="18"/>
      <c r="O39" s="18">
        <f>'RW predict'!H38</f>
        <v>-6</v>
      </c>
      <c r="P39" s="18">
        <f>'RW predict'!I38</f>
        <v>18</v>
      </c>
      <c r="Q39" s="18">
        <f>'RW predict'!L38</f>
        <v>12</v>
      </c>
      <c r="R39" s="18">
        <f>'RW predict'!N38</f>
        <v>0</v>
      </c>
      <c r="S39" s="76">
        <f>'RW predict'!O38</f>
        <v>0</v>
      </c>
      <c r="T39" s="76">
        <f>'RW predict'!K38</f>
        <v>7</v>
      </c>
      <c r="U39" s="22">
        <f>'RW predict'!J38</f>
        <v>261</v>
      </c>
      <c r="V39" s="32">
        <f>IF(D39="G",'RW predict'!E38,0)</f>
        <v>0</v>
      </c>
      <c r="W39" s="18">
        <f>'RW predict'!R38</f>
        <v>0</v>
      </c>
      <c r="X39" s="18">
        <f>'RW predict'!T38</f>
        <v>0</v>
      </c>
      <c r="Y39" s="18">
        <f>'RW predict'!Y38</f>
        <v>0</v>
      </c>
      <c r="Z39" s="18">
        <f>'RW predict'!U38</f>
        <v>0</v>
      </c>
      <c r="AA39" s="18">
        <f>'RW predict'!W38</f>
        <v>0</v>
      </c>
      <c r="AB39" s="17"/>
      <c r="AG39" s="23"/>
      <c r="AI39" s="17"/>
      <c r="AO39" s="23"/>
    </row>
    <row r="40" spans="1:41" x14ac:dyDescent="0.3">
      <c r="A40" s="18">
        <v>37</v>
      </c>
      <c r="B40" s="18" t="str">
        <f>'RW predict'!A39</f>
        <v>Jordan Kyrou</v>
      </c>
      <c r="C40" s="18" t="str">
        <f>'RW predict'!B39</f>
        <v>STL</v>
      </c>
      <c r="D40" s="22" t="str" cm="1">
        <f t="array" ref="D40">_xlfn.SWITCH('RW predict'!C39, "C", "F", "LW","F", "RW", "F", "D", "D", "G", "G", "other")</f>
        <v>F</v>
      </c>
      <c r="E40" s="32">
        <f t="shared" si="0"/>
        <v>2564</v>
      </c>
      <c r="F40" s="35">
        <f>E40/assumptions!$B$2</f>
        <v>31.26829268292683</v>
      </c>
      <c r="G40" s="36">
        <f t="shared" si="1"/>
        <v>74</v>
      </c>
      <c r="H40" s="18">
        <f>IF(NOT(D40="G"),'RW predict'!E39,0)</f>
        <v>25</v>
      </c>
      <c r="I40" s="18">
        <f>'RW predict'!Q39</f>
        <v>22</v>
      </c>
      <c r="J40" s="18">
        <f>'RW predict'!F39</f>
        <v>49</v>
      </c>
      <c r="K40" s="18"/>
      <c r="L40" s="18"/>
      <c r="M40" s="18">
        <f>'RW predict'!P39</f>
        <v>8</v>
      </c>
      <c r="N40" s="18"/>
      <c r="O40" s="18">
        <f>'RW predict'!H39</f>
        <v>8</v>
      </c>
      <c r="P40" s="18">
        <f>'RW predict'!I39</f>
        <v>18</v>
      </c>
      <c r="Q40" s="18">
        <f>'RW predict'!L39</f>
        <v>5</v>
      </c>
      <c r="R40" s="18">
        <f>'RW predict'!N39</f>
        <v>0</v>
      </c>
      <c r="S40" s="76">
        <f>'RW predict'!O39</f>
        <v>1</v>
      </c>
      <c r="T40" s="76">
        <f>'RW predict'!K39</f>
        <v>5</v>
      </c>
      <c r="U40" s="22">
        <f>'RW predict'!J39</f>
        <v>184</v>
      </c>
      <c r="V40" s="32">
        <f>IF(D40="G",'RW predict'!E39,0)</f>
        <v>0</v>
      </c>
      <c r="W40" s="18">
        <f>'RW predict'!R39</f>
        <v>0</v>
      </c>
      <c r="X40" s="18">
        <f>'RW predict'!T39</f>
        <v>0</v>
      </c>
      <c r="Y40" s="18">
        <f>'RW predict'!Y39</f>
        <v>0</v>
      </c>
      <c r="Z40" s="18">
        <f>'RW predict'!U39</f>
        <v>0</v>
      </c>
      <c r="AA40" s="18">
        <f>'RW predict'!W39</f>
        <v>0</v>
      </c>
      <c r="AB40" s="17"/>
      <c r="AG40" s="23"/>
      <c r="AI40" s="17"/>
      <c r="AO40" s="23"/>
    </row>
    <row r="41" spans="1:41" x14ac:dyDescent="0.3">
      <c r="A41" s="18">
        <v>38</v>
      </c>
      <c r="B41" s="18" t="str">
        <f>'RW predict'!A40</f>
        <v>Robert Thomas</v>
      </c>
      <c r="C41" s="18" t="str">
        <f>'RW predict'!B40</f>
        <v>STL</v>
      </c>
      <c r="D41" s="22" t="str" cm="1">
        <f t="array" ref="D41">_xlfn.SWITCH('RW predict'!C40, "C", "F", "LW","F", "RW", "F", "D", "D", "G", "G", "other")</f>
        <v>F</v>
      </c>
      <c r="E41" s="32">
        <f t="shared" si="0"/>
        <v>2505</v>
      </c>
      <c r="F41" s="35">
        <f>E41/assumptions!$B$2</f>
        <v>30.548780487804876</v>
      </c>
      <c r="G41" s="36">
        <f t="shared" si="1"/>
        <v>82</v>
      </c>
      <c r="H41" s="18">
        <f>IF(NOT(D41="G"),'RW predict'!E40,0)</f>
        <v>18</v>
      </c>
      <c r="I41" s="18">
        <f>'RW predict'!Q40</f>
        <v>24</v>
      </c>
      <c r="J41" s="18">
        <f>'RW predict'!F40</f>
        <v>56</v>
      </c>
      <c r="K41" s="18"/>
      <c r="L41" s="18"/>
      <c r="M41" s="18">
        <f>'RW predict'!P40</f>
        <v>13</v>
      </c>
      <c r="N41" s="18"/>
      <c r="O41" s="18">
        <f>'RW predict'!H40</f>
        <v>15</v>
      </c>
      <c r="P41" s="18">
        <f>'RW predict'!I40</f>
        <v>18</v>
      </c>
      <c r="Q41" s="18">
        <f>'RW predict'!L40</f>
        <v>1</v>
      </c>
      <c r="R41" s="18">
        <f>'RW predict'!N40</f>
        <v>1</v>
      </c>
      <c r="S41" s="76">
        <f>'RW predict'!O40</f>
        <v>1</v>
      </c>
      <c r="T41" s="76">
        <f>'RW predict'!K40</f>
        <v>5</v>
      </c>
      <c r="U41" s="22">
        <f>'RW predict'!J40</f>
        <v>125</v>
      </c>
      <c r="V41" s="32">
        <f>IF(D41="G",'RW predict'!E40,0)</f>
        <v>0</v>
      </c>
      <c r="W41" s="18">
        <f>'RW predict'!R40</f>
        <v>0</v>
      </c>
      <c r="X41" s="18">
        <f>'RW predict'!T40</f>
        <v>0</v>
      </c>
      <c r="Y41" s="18">
        <f>'RW predict'!Y40</f>
        <v>0</v>
      </c>
      <c r="Z41" s="18">
        <f>'RW predict'!U40</f>
        <v>0</v>
      </c>
      <c r="AA41" s="18">
        <f>'RW predict'!W40</f>
        <v>0</v>
      </c>
      <c r="AB41" s="17"/>
      <c r="AG41" s="23"/>
      <c r="AI41" s="17"/>
      <c r="AO41" s="23"/>
    </row>
    <row r="42" spans="1:41" x14ac:dyDescent="0.3">
      <c r="A42" s="18">
        <v>39</v>
      </c>
      <c r="B42" s="18" t="str">
        <f>'RW predict'!A41</f>
        <v>Timo Meier</v>
      </c>
      <c r="C42" s="18" t="str">
        <f>'RW predict'!B41</f>
        <v>SJ</v>
      </c>
      <c r="D42" s="22" t="str" cm="1">
        <f t="array" ref="D42">_xlfn.SWITCH('RW predict'!C41, "C", "F", "LW","F", "RW", "F", "D", "D", "G", "G", "other")</f>
        <v>F</v>
      </c>
      <c r="E42" s="32">
        <f t="shared" si="0"/>
        <v>3056</v>
      </c>
      <c r="F42" s="35">
        <f>E42/assumptions!$B$2</f>
        <v>37.268292682926827</v>
      </c>
      <c r="G42" s="36">
        <f t="shared" si="1"/>
        <v>33</v>
      </c>
      <c r="H42" s="18">
        <f>IF(NOT(D42="G"),'RW predict'!E41,0)</f>
        <v>34</v>
      </c>
      <c r="I42" s="18">
        <f>'RW predict'!Q41</f>
        <v>56</v>
      </c>
      <c r="J42" s="18">
        <f>'RW predict'!F41</f>
        <v>40</v>
      </c>
      <c r="K42" s="18"/>
      <c r="L42" s="18"/>
      <c r="M42" s="18">
        <f>'RW predict'!P41</f>
        <v>164</v>
      </c>
      <c r="N42" s="18"/>
      <c r="O42" s="18">
        <f>'RW predict'!H41</f>
        <v>-7</v>
      </c>
      <c r="P42" s="18">
        <f>'RW predict'!I41</f>
        <v>52</v>
      </c>
      <c r="Q42" s="18">
        <f>'RW predict'!L41</f>
        <v>10</v>
      </c>
      <c r="R42" s="18">
        <f>'RW predict'!N41</f>
        <v>0</v>
      </c>
      <c r="S42" s="76">
        <f>'RW predict'!O41</f>
        <v>0</v>
      </c>
      <c r="T42" s="76">
        <f>'RW predict'!K41</f>
        <v>6</v>
      </c>
      <c r="U42" s="22">
        <f>'RW predict'!J41</f>
        <v>312</v>
      </c>
      <c r="V42" s="32">
        <f>IF(D42="G",'RW predict'!E41,0)</f>
        <v>0</v>
      </c>
      <c r="W42" s="18">
        <f>'RW predict'!R41</f>
        <v>0</v>
      </c>
      <c r="X42" s="18">
        <f>'RW predict'!T41</f>
        <v>0</v>
      </c>
      <c r="Y42" s="18">
        <f>'RW predict'!Y41</f>
        <v>0</v>
      </c>
      <c r="Z42" s="18">
        <f>'RW predict'!U41</f>
        <v>0</v>
      </c>
      <c r="AA42" s="18">
        <f>'RW predict'!W41</f>
        <v>0</v>
      </c>
      <c r="AB42" s="17"/>
      <c r="AG42" s="23"/>
      <c r="AI42" s="17"/>
      <c r="AO42" s="23"/>
    </row>
    <row r="43" spans="1:41" x14ac:dyDescent="0.3">
      <c r="A43" s="18">
        <v>40</v>
      </c>
      <c r="B43" s="18" t="str">
        <f>'RW predict'!A42</f>
        <v>Elias Lindholm</v>
      </c>
      <c r="C43" s="18" t="str">
        <f>'RW predict'!B42</f>
        <v>CGY</v>
      </c>
      <c r="D43" s="22" t="str" cm="1">
        <f t="array" ref="D43">_xlfn.SWITCH('RW predict'!C42, "C", "F", "LW","F", "RW", "F", "D", "D", "G", "G", "other")</f>
        <v>F</v>
      </c>
      <c r="E43" s="32">
        <f t="shared" si="0"/>
        <v>3205</v>
      </c>
      <c r="F43" s="35">
        <f>E43/assumptions!$B$2</f>
        <v>39.085365853658537</v>
      </c>
      <c r="G43" s="36">
        <f t="shared" si="1"/>
        <v>24</v>
      </c>
      <c r="H43" s="18">
        <f>IF(NOT(D43="G"),'RW predict'!E42,0)</f>
        <v>36</v>
      </c>
      <c r="I43" s="18">
        <f>'RW predict'!Q42</f>
        <v>48</v>
      </c>
      <c r="J43" s="18">
        <f>'RW predict'!F42</f>
        <v>37</v>
      </c>
      <c r="K43" s="18"/>
      <c r="L43" s="18"/>
      <c r="M43" s="18">
        <f>'RW predict'!P42</f>
        <v>70</v>
      </c>
      <c r="N43" s="18"/>
      <c r="O43" s="18">
        <f>'RW predict'!H42</f>
        <v>38</v>
      </c>
      <c r="P43" s="18">
        <f>'RW predict'!I42</f>
        <v>22</v>
      </c>
      <c r="Q43" s="18">
        <f>'RW predict'!L42</f>
        <v>9</v>
      </c>
      <c r="R43" s="18">
        <f>'RW predict'!N42</f>
        <v>1</v>
      </c>
      <c r="S43" s="76">
        <f>'RW predict'!O42</f>
        <v>2</v>
      </c>
      <c r="T43" s="76">
        <f>'RW predict'!K42</f>
        <v>9</v>
      </c>
      <c r="U43" s="22">
        <f>'RW predict'!J42</f>
        <v>229</v>
      </c>
      <c r="V43" s="32">
        <f>IF(D43="G",'RW predict'!E42,0)</f>
        <v>0</v>
      </c>
      <c r="W43" s="18">
        <f>'RW predict'!R42</f>
        <v>0</v>
      </c>
      <c r="X43" s="18">
        <f>'RW predict'!T42</f>
        <v>0</v>
      </c>
      <c r="Y43" s="18">
        <f>'RW predict'!Y42</f>
        <v>0</v>
      </c>
      <c r="Z43" s="18">
        <f>'RW predict'!U42</f>
        <v>0</v>
      </c>
      <c r="AA43" s="18">
        <f>'RW predict'!W42</f>
        <v>0</v>
      </c>
      <c r="AB43" s="17"/>
      <c r="AG43" s="23"/>
      <c r="AI43" s="17"/>
      <c r="AO43" s="23"/>
    </row>
    <row r="44" spans="1:41" x14ac:dyDescent="0.3">
      <c r="A44" s="18">
        <v>41</v>
      </c>
      <c r="B44" s="18" t="str">
        <f>'RW predict'!A43</f>
        <v>Gabriel Landeskog</v>
      </c>
      <c r="C44" s="18" t="str">
        <f>'RW predict'!B43</f>
        <v>COL</v>
      </c>
      <c r="D44" s="22" t="str" cm="1">
        <f t="array" ref="D44">_xlfn.SWITCH('RW predict'!C43, "C", "F", "LW","F", "RW", "F", "D", "D", "G", "G", "other")</f>
        <v>F</v>
      </c>
      <c r="E44" s="32">
        <f t="shared" si="0"/>
        <v>3133</v>
      </c>
      <c r="F44" s="35">
        <f>E44/assumptions!$B$2</f>
        <v>38.207317073170735</v>
      </c>
      <c r="G44" s="36">
        <f t="shared" si="1"/>
        <v>29</v>
      </c>
      <c r="H44" s="18">
        <f>IF(NOT(D44="G"),'RW predict'!E43,0)</f>
        <v>31</v>
      </c>
      <c r="I44" s="18">
        <f>'RW predict'!Q43</f>
        <v>41</v>
      </c>
      <c r="J44" s="18">
        <f>'RW predict'!F43</f>
        <v>42</v>
      </c>
      <c r="K44" s="18"/>
      <c r="L44" s="18"/>
      <c r="M44" s="18">
        <f>'RW predict'!P43</f>
        <v>123</v>
      </c>
      <c r="N44" s="18"/>
      <c r="O44" s="18">
        <f>'RW predict'!H43</f>
        <v>23</v>
      </c>
      <c r="P44" s="18">
        <f>'RW predict'!I43</f>
        <v>75</v>
      </c>
      <c r="Q44" s="18">
        <f>'RW predict'!L43</f>
        <v>8</v>
      </c>
      <c r="R44" s="18">
        <f>'RW predict'!N43</f>
        <v>0</v>
      </c>
      <c r="S44" s="76">
        <f>'RW predict'!O43</f>
        <v>0</v>
      </c>
      <c r="T44" s="76">
        <f>'RW predict'!K43</f>
        <v>7</v>
      </c>
      <c r="U44" s="22">
        <f>'RW predict'!J43</f>
        <v>214</v>
      </c>
      <c r="V44" s="32">
        <f>IF(D44="G",'RW predict'!E43,0)</f>
        <v>0</v>
      </c>
      <c r="W44" s="18">
        <f>'RW predict'!R43</f>
        <v>0</v>
      </c>
      <c r="X44" s="18">
        <f>'RW predict'!T43</f>
        <v>0</v>
      </c>
      <c r="Y44" s="18">
        <f>'RW predict'!Y43</f>
        <v>0</v>
      </c>
      <c r="Z44" s="18">
        <f>'RW predict'!U43</f>
        <v>0</v>
      </c>
      <c r="AA44" s="18">
        <f>'RW predict'!W43</f>
        <v>0</v>
      </c>
      <c r="AB44" s="17"/>
      <c r="AG44" s="23"/>
      <c r="AI44" s="17"/>
      <c r="AO44" s="23"/>
    </row>
    <row r="45" spans="1:41" x14ac:dyDescent="0.3">
      <c r="A45" s="18">
        <v>42</v>
      </c>
      <c r="B45" s="18" t="str">
        <f>'RW predict'!A44</f>
        <v>Evgeny Kuznetsov</v>
      </c>
      <c r="C45" s="18" t="str">
        <f>'RW predict'!B44</f>
        <v>WAS</v>
      </c>
      <c r="D45" s="22" t="str" cm="1">
        <f t="array" ref="D45">_xlfn.SWITCH('RW predict'!C44, "C", "F", "LW","F", "RW", "F", "D", "D", "G", "G", "other")</f>
        <v>F</v>
      </c>
      <c r="E45" s="32">
        <f t="shared" si="0"/>
        <v>2688</v>
      </c>
      <c r="F45" s="35">
        <f>E45/assumptions!$B$2</f>
        <v>32.780487804878049</v>
      </c>
      <c r="G45" s="36">
        <f t="shared" si="1"/>
        <v>61</v>
      </c>
      <c r="H45" s="18">
        <f>IF(NOT(D45="G"),'RW predict'!E44,0)</f>
        <v>23</v>
      </c>
      <c r="I45" s="18">
        <f>'RW predict'!Q44</f>
        <v>25</v>
      </c>
      <c r="J45" s="18">
        <f>'RW predict'!F44</f>
        <v>50</v>
      </c>
      <c r="K45" s="18"/>
      <c r="L45" s="18"/>
      <c r="M45" s="18">
        <f>'RW predict'!P44</f>
        <v>41</v>
      </c>
      <c r="N45" s="18"/>
      <c r="O45" s="18">
        <f>'RW predict'!H44</f>
        <v>7</v>
      </c>
      <c r="P45" s="18">
        <f>'RW predict'!I44</f>
        <v>42</v>
      </c>
      <c r="Q45" s="18">
        <f>'RW predict'!L44</f>
        <v>7</v>
      </c>
      <c r="R45" s="18">
        <f>'RW predict'!N44</f>
        <v>1</v>
      </c>
      <c r="S45" s="76">
        <f>'RW predict'!O44</f>
        <v>2</v>
      </c>
      <c r="T45" s="76">
        <f>'RW predict'!K44</f>
        <v>4</v>
      </c>
      <c r="U45" s="22">
        <f>'RW predict'!J44</f>
        <v>193</v>
      </c>
      <c r="V45" s="32">
        <f>IF(D45="G",'RW predict'!E44,0)</f>
        <v>0</v>
      </c>
      <c r="W45" s="18">
        <f>'RW predict'!R44</f>
        <v>0</v>
      </c>
      <c r="X45" s="18">
        <f>'RW predict'!T44</f>
        <v>0</v>
      </c>
      <c r="Y45" s="18">
        <f>'RW predict'!Y44</f>
        <v>0</v>
      </c>
      <c r="Z45" s="18">
        <f>'RW predict'!U44</f>
        <v>0</v>
      </c>
      <c r="AA45" s="18">
        <f>'RW predict'!W44</f>
        <v>0</v>
      </c>
      <c r="AB45" s="17"/>
      <c r="AG45" s="23"/>
      <c r="AI45" s="17"/>
      <c r="AO45" s="23"/>
    </row>
    <row r="46" spans="1:41" x14ac:dyDescent="0.3">
      <c r="A46" s="18">
        <v>43</v>
      </c>
      <c r="B46" s="18" t="str">
        <f>'RW predict'!A45</f>
        <v>Joe Pavelski</v>
      </c>
      <c r="C46" s="18" t="str">
        <f>'RW predict'!B45</f>
        <v>DAL</v>
      </c>
      <c r="D46" s="22" t="str" cm="1">
        <f t="array" ref="D46">_xlfn.SWITCH('RW predict'!C45, "C", "F", "LW","F", "RW", "F", "D", "D", "G", "G", "other")</f>
        <v>F</v>
      </c>
      <c r="E46" s="32">
        <f t="shared" si="0"/>
        <v>2860</v>
      </c>
      <c r="F46" s="35">
        <f>E46/assumptions!$B$2</f>
        <v>34.878048780487802</v>
      </c>
      <c r="G46" s="36">
        <f t="shared" si="1"/>
        <v>46</v>
      </c>
      <c r="H46" s="18">
        <f>IF(NOT(D46="G"),'RW predict'!E45,0)</f>
        <v>25</v>
      </c>
      <c r="I46" s="18">
        <f>'RW predict'!Q45</f>
        <v>64</v>
      </c>
      <c r="J46" s="18">
        <f>'RW predict'!F45</f>
        <v>47</v>
      </c>
      <c r="K46" s="18"/>
      <c r="L46" s="18"/>
      <c r="M46" s="18">
        <f>'RW predict'!P45</f>
        <v>92</v>
      </c>
      <c r="N46" s="18"/>
      <c r="O46" s="18">
        <f>'RW predict'!H45</f>
        <v>14</v>
      </c>
      <c r="P46" s="18">
        <f>'RW predict'!I45</f>
        <v>18</v>
      </c>
      <c r="Q46" s="18">
        <f>'RW predict'!L45</f>
        <v>11</v>
      </c>
      <c r="R46" s="18">
        <f>'RW predict'!N45</f>
        <v>0</v>
      </c>
      <c r="S46" s="76">
        <f>'RW predict'!O45</f>
        <v>0</v>
      </c>
      <c r="T46" s="76">
        <f>'RW predict'!K45</f>
        <v>6</v>
      </c>
      <c r="U46" s="22">
        <f>'RW predict'!J45</f>
        <v>208</v>
      </c>
      <c r="V46" s="32">
        <f>IF(D46="G",'RW predict'!E45,0)</f>
        <v>0</v>
      </c>
      <c r="W46" s="18">
        <f>'RW predict'!R45</f>
        <v>0</v>
      </c>
      <c r="X46" s="18">
        <f>'RW predict'!T45</f>
        <v>0</v>
      </c>
      <c r="Y46" s="18">
        <f>'RW predict'!Y45</f>
        <v>0</v>
      </c>
      <c r="Z46" s="18">
        <f>'RW predict'!U45</f>
        <v>0</v>
      </c>
      <c r="AA46" s="18">
        <f>'RW predict'!W45</f>
        <v>0</v>
      </c>
      <c r="AB46" s="17"/>
      <c r="AG46" s="23"/>
      <c r="AI46" s="17"/>
      <c r="AO46" s="23"/>
    </row>
    <row r="47" spans="1:41" x14ac:dyDescent="0.3">
      <c r="A47" s="18">
        <v>44</v>
      </c>
      <c r="B47" s="18" t="str">
        <f>'RW predict'!A46</f>
        <v>Matt Duchene</v>
      </c>
      <c r="C47" s="18" t="str">
        <f>'RW predict'!B46</f>
        <v>NSH</v>
      </c>
      <c r="D47" s="22" t="str" cm="1">
        <f t="array" ref="D47">_xlfn.SWITCH('RW predict'!C46, "C", "F", "LW","F", "RW", "F", "D", "D", "G", "G", "other")</f>
        <v>F</v>
      </c>
      <c r="E47" s="32">
        <f t="shared" si="0"/>
        <v>2664</v>
      </c>
      <c r="F47" s="35">
        <f>E47/assumptions!$B$2</f>
        <v>32.487804878048777</v>
      </c>
      <c r="G47" s="36">
        <f t="shared" si="1"/>
        <v>65</v>
      </c>
      <c r="H47" s="18">
        <f>IF(NOT(D47="G"),'RW predict'!E46,0)</f>
        <v>34</v>
      </c>
      <c r="I47" s="18">
        <f>'RW predict'!Q46</f>
        <v>26</v>
      </c>
      <c r="J47" s="18">
        <f>'RW predict'!F46</f>
        <v>38</v>
      </c>
      <c r="K47" s="18"/>
      <c r="L47" s="18"/>
      <c r="M47" s="18">
        <f>'RW predict'!P46</f>
        <v>36</v>
      </c>
      <c r="N47" s="18"/>
      <c r="O47" s="18">
        <f>'RW predict'!H46</f>
        <v>2</v>
      </c>
      <c r="P47" s="18">
        <f>'RW predict'!I46</f>
        <v>34</v>
      </c>
      <c r="Q47" s="18">
        <f>'RW predict'!L46</f>
        <v>10</v>
      </c>
      <c r="R47" s="18">
        <f>'RW predict'!N46</f>
        <v>0</v>
      </c>
      <c r="S47" s="76">
        <f>'RW predict'!O46</f>
        <v>0</v>
      </c>
      <c r="T47" s="76">
        <f>'RW predict'!K46</f>
        <v>6</v>
      </c>
      <c r="U47" s="22">
        <f>'RW predict'!J46</f>
        <v>217</v>
      </c>
      <c r="V47" s="32">
        <f>IF(D47="G",'RW predict'!E46,0)</f>
        <v>0</v>
      </c>
      <c r="W47" s="18">
        <f>'RW predict'!R46</f>
        <v>0</v>
      </c>
      <c r="X47" s="18">
        <f>'RW predict'!T46</f>
        <v>0</v>
      </c>
      <c r="Y47" s="18">
        <f>'RW predict'!Y46</f>
        <v>0</v>
      </c>
      <c r="Z47" s="18">
        <f>'RW predict'!U46</f>
        <v>0</v>
      </c>
      <c r="AA47" s="18">
        <f>'RW predict'!W46</f>
        <v>0</v>
      </c>
      <c r="AB47" s="17"/>
      <c r="AG47" s="23"/>
      <c r="AI47" s="17"/>
      <c r="AO47" s="23"/>
    </row>
    <row r="48" spans="1:41" x14ac:dyDescent="0.3">
      <c r="A48" s="18">
        <v>45</v>
      </c>
      <c r="B48" s="18" t="str">
        <f>'RW predict'!A47</f>
        <v>Brad Marchand</v>
      </c>
      <c r="C48" s="18" t="str">
        <f>'RW predict'!B47</f>
        <v>BOS</v>
      </c>
      <c r="D48" s="22" t="str" cm="1">
        <f t="array" ref="D48">_xlfn.SWITCH('RW predict'!C47, "C", "F", "LW","F", "RW", "F", "D", "D", "G", "G", "other")</f>
        <v>F</v>
      </c>
      <c r="E48" s="32">
        <f t="shared" si="0"/>
        <v>2996</v>
      </c>
      <c r="F48" s="35">
        <f>E48/assumptions!$B$2</f>
        <v>36.536585365853661</v>
      </c>
      <c r="G48" s="36">
        <f t="shared" si="1"/>
        <v>38</v>
      </c>
      <c r="H48" s="18">
        <f>IF(NOT(D48="G"),'RW predict'!E47,0)</f>
        <v>29</v>
      </c>
      <c r="I48" s="18">
        <f>'RW predict'!Q47</f>
        <v>15</v>
      </c>
      <c r="J48" s="18">
        <f>'RW predict'!F47</f>
        <v>43</v>
      </c>
      <c r="K48" s="18"/>
      <c r="L48" s="18"/>
      <c r="M48" s="18">
        <f>'RW predict'!P47</f>
        <v>66</v>
      </c>
      <c r="N48" s="18"/>
      <c r="O48" s="18">
        <f>'RW predict'!H47</f>
        <v>20</v>
      </c>
      <c r="P48" s="18">
        <f>'RW predict'!I47</f>
        <v>78</v>
      </c>
      <c r="Q48" s="18">
        <f>'RW predict'!L47</f>
        <v>6</v>
      </c>
      <c r="R48" s="18">
        <f>'RW predict'!N47</f>
        <v>3</v>
      </c>
      <c r="S48" s="76">
        <f>'RW predict'!O47</f>
        <v>2</v>
      </c>
      <c r="T48" s="76">
        <f>'RW predict'!K47</f>
        <v>6</v>
      </c>
      <c r="U48" s="22">
        <f>'RW predict'!J47</f>
        <v>203</v>
      </c>
      <c r="V48" s="32">
        <f>IF(D48="G",'RW predict'!E47,0)</f>
        <v>0</v>
      </c>
      <c r="W48" s="18">
        <f>'RW predict'!R47</f>
        <v>0</v>
      </c>
      <c r="X48" s="18">
        <f>'RW predict'!T47</f>
        <v>0</v>
      </c>
      <c r="Y48" s="18">
        <f>'RW predict'!Y47</f>
        <v>0</v>
      </c>
      <c r="Z48" s="18">
        <f>'RW predict'!U47</f>
        <v>0</v>
      </c>
      <c r="AA48" s="18">
        <f>'RW predict'!W47</f>
        <v>0</v>
      </c>
      <c r="AB48" s="17"/>
      <c r="AG48" s="23"/>
      <c r="AI48" s="17"/>
      <c r="AO48" s="23"/>
    </row>
    <row r="49" spans="1:41" x14ac:dyDescent="0.3">
      <c r="A49" s="18">
        <v>46</v>
      </c>
      <c r="B49" s="18" t="str">
        <f>'RW predict'!A48</f>
        <v>Patrik Laine</v>
      </c>
      <c r="C49" s="18" t="str">
        <f>'RW predict'!B48</f>
        <v>CLS</v>
      </c>
      <c r="D49" s="22" t="str" cm="1">
        <f t="array" ref="D49">_xlfn.SWITCH('RW predict'!C48, "C", "F", "LW","F", "RW", "F", "D", "D", "G", "G", "other")</f>
        <v>F</v>
      </c>
      <c r="E49" s="32">
        <f t="shared" si="0"/>
        <v>2711</v>
      </c>
      <c r="F49" s="35">
        <f>E49/assumptions!$B$2</f>
        <v>33.060975609756099</v>
      </c>
      <c r="G49" s="36">
        <f t="shared" si="1"/>
        <v>60</v>
      </c>
      <c r="H49" s="18">
        <f>IF(NOT(D49="G"),'RW predict'!E48,0)</f>
        <v>37</v>
      </c>
      <c r="I49" s="18">
        <f>'RW predict'!Q48</f>
        <v>20</v>
      </c>
      <c r="J49" s="18">
        <f>'RW predict'!F48</f>
        <v>35</v>
      </c>
      <c r="K49" s="18"/>
      <c r="L49" s="18"/>
      <c r="M49" s="18">
        <f>'RW predict'!P48</f>
        <v>57</v>
      </c>
      <c r="N49" s="18"/>
      <c r="O49" s="18">
        <f>'RW predict'!H48</f>
        <v>4</v>
      </c>
      <c r="P49" s="18">
        <f>'RW predict'!I48</f>
        <v>28</v>
      </c>
      <c r="Q49" s="18">
        <f>'RW predict'!L48</f>
        <v>9</v>
      </c>
      <c r="R49" s="18">
        <f>'RW predict'!N48</f>
        <v>0</v>
      </c>
      <c r="S49" s="76">
        <f>'RW predict'!O48</f>
        <v>0</v>
      </c>
      <c r="T49" s="76">
        <f>'RW predict'!K48</f>
        <v>7</v>
      </c>
      <c r="U49" s="22">
        <f>'RW predict'!J48</f>
        <v>230</v>
      </c>
      <c r="V49" s="32">
        <f>IF(D49="G",'RW predict'!E48,0)</f>
        <v>0</v>
      </c>
      <c r="W49" s="18">
        <f>'RW predict'!R48</f>
        <v>0</v>
      </c>
      <c r="X49" s="18">
        <f>'RW predict'!T48</f>
        <v>0</v>
      </c>
      <c r="Y49" s="18">
        <f>'RW predict'!Y48</f>
        <v>0</v>
      </c>
      <c r="Z49" s="18">
        <f>'RW predict'!U48</f>
        <v>0</v>
      </c>
      <c r="AA49" s="18">
        <f>'RW predict'!W48</f>
        <v>0</v>
      </c>
      <c r="AB49" s="17"/>
      <c r="AG49" s="23"/>
      <c r="AI49" s="17"/>
      <c r="AO49" s="23"/>
    </row>
    <row r="50" spans="1:41" x14ac:dyDescent="0.3">
      <c r="A50" s="18">
        <v>47</v>
      </c>
      <c r="B50" s="18" t="str">
        <f>'RW predict'!A49</f>
        <v>Adam Fox</v>
      </c>
      <c r="C50" s="18" t="str">
        <f>'RW predict'!B49</f>
        <v>NYR</v>
      </c>
      <c r="D50" s="22" t="str" cm="1">
        <f t="array" ref="D50">_xlfn.SWITCH('RW predict'!C49, "C", "F", "LW","F", "RW", "F", "D", "D", "G", "G", "other")</f>
        <v>D</v>
      </c>
      <c r="E50" s="32">
        <f t="shared" si="0"/>
        <v>2766</v>
      </c>
      <c r="F50" s="35">
        <f>E50/assumptions!$B$2</f>
        <v>33.731707317073173</v>
      </c>
      <c r="G50" s="36">
        <f t="shared" si="1"/>
        <v>52</v>
      </c>
      <c r="H50" s="18">
        <f>IF(NOT(D50="G"),'RW predict'!E49,0)</f>
        <v>10</v>
      </c>
      <c r="I50" s="18">
        <f>'RW predict'!Q49</f>
        <v>136</v>
      </c>
      <c r="J50" s="18">
        <f>'RW predict'!F49</f>
        <v>61</v>
      </c>
      <c r="K50" s="18"/>
      <c r="L50" s="18"/>
      <c r="M50" s="18">
        <f>'RW predict'!P49</f>
        <v>33</v>
      </c>
      <c r="N50" s="18"/>
      <c r="O50" s="18">
        <f>'RW predict'!H49</f>
        <v>21</v>
      </c>
      <c r="P50" s="18">
        <f>'RW predict'!I49</f>
        <v>24</v>
      </c>
      <c r="Q50" s="18">
        <f>'RW predict'!L49</f>
        <v>1</v>
      </c>
      <c r="R50" s="18">
        <f>'RW predict'!N49</f>
        <v>1</v>
      </c>
      <c r="S50" s="76">
        <f>'RW predict'!O49</f>
        <v>1</v>
      </c>
      <c r="T50" s="76">
        <f>'RW predict'!K49</f>
        <v>2</v>
      </c>
      <c r="U50" s="22">
        <f>'RW predict'!J49</f>
        <v>162</v>
      </c>
      <c r="V50" s="32">
        <f>IF(D50="G",'RW predict'!E49,0)</f>
        <v>0</v>
      </c>
      <c r="W50" s="18">
        <f>'RW predict'!R49</f>
        <v>0</v>
      </c>
      <c r="X50" s="18">
        <f>'RW predict'!T49</f>
        <v>0</v>
      </c>
      <c r="Y50" s="18">
        <f>'RW predict'!Y49</f>
        <v>0</v>
      </c>
      <c r="Z50" s="18">
        <f>'RW predict'!U49</f>
        <v>0</v>
      </c>
      <c r="AA50" s="18">
        <f>'RW predict'!W49</f>
        <v>0</v>
      </c>
      <c r="AB50" s="17"/>
      <c r="AG50" s="23"/>
      <c r="AI50" s="17"/>
      <c r="AO50" s="23"/>
    </row>
    <row r="51" spans="1:41" x14ac:dyDescent="0.3">
      <c r="A51" s="18">
        <v>48</v>
      </c>
      <c r="B51" s="18" t="str">
        <f>'RW predict'!A50</f>
        <v>Andrei Svechnikov</v>
      </c>
      <c r="C51" s="18" t="str">
        <f>'RW predict'!B50</f>
        <v>CAR</v>
      </c>
      <c r="D51" s="22" t="str" cm="1">
        <f t="array" ref="D51">_xlfn.SWITCH('RW predict'!C50, "C", "F", "LW","F", "RW", "F", "D", "D", "G", "G", "other")</f>
        <v>F</v>
      </c>
      <c r="E51" s="32">
        <f t="shared" si="0"/>
        <v>3100</v>
      </c>
      <c r="F51" s="35">
        <f>E51/assumptions!$B$2</f>
        <v>37.804878048780488</v>
      </c>
      <c r="G51" s="36">
        <f t="shared" si="1"/>
        <v>30</v>
      </c>
      <c r="H51" s="18">
        <f>IF(NOT(D51="G"),'RW predict'!E50,0)</f>
        <v>30</v>
      </c>
      <c r="I51" s="18">
        <f>'RW predict'!Q50</f>
        <v>18</v>
      </c>
      <c r="J51" s="18">
        <f>'RW predict'!F50</f>
        <v>41</v>
      </c>
      <c r="K51" s="18"/>
      <c r="L51" s="18"/>
      <c r="M51" s="18">
        <f>'RW predict'!P50</f>
        <v>186</v>
      </c>
      <c r="N51" s="18"/>
      <c r="O51" s="18">
        <f>'RW predict'!H50</f>
        <v>17</v>
      </c>
      <c r="P51" s="18">
        <f>'RW predict'!I50</f>
        <v>75</v>
      </c>
      <c r="Q51" s="18">
        <f>'RW predict'!L50</f>
        <v>8</v>
      </c>
      <c r="R51" s="18">
        <f>'RW predict'!N50</f>
        <v>0</v>
      </c>
      <c r="S51" s="76">
        <f>'RW predict'!O50</f>
        <v>0</v>
      </c>
      <c r="T51" s="76">
        <f>'RW predict'!K50</f>
        <v>6</v>
      </c>
      <c r="U51" s="22">
        <f>'RW predict'!J50</f>
        <v>254</v>
      </c>
      <c r="V51" s="32">
        <f>IF(D51="G",'RW predict'!E50,0)</f>
        <v>0</v>
      </c>
      <c r="W51" s="18">
        <f>'RW predict'!R50</f>
        <v>0</v>
      </c>
      <c r="X51" s="18">
        <f>'RW predict'!T50</f>
        <v>0</v>
      </c>
      <c r="Y51" s="18">
        <f>'RW predict'!Y50</f>
        <v>0</v>
      </c>
      <c r="Z51" s="18">
        <f>'RW predict'!U50</f>
        <v>0</v>
      </c>
      <c r="AA51" s="18">
        <f>'RW predict'!W50</f>
        <v>0</v>
      </c>
      <c r="AB51" s="17"/>
      <c r="AG51" s="23"/>
      <c r="AI51" s="17"/>
      <c r="AO51" s="23"/>
    </row>
    <row r="52" spans="1:41" x14ac:dyDescent="0.3">
      <c r="A52" s="18">
        <v>49</v>
      </c>
      <c r="B52" s="18" t="str">
        <f>'RW predict'!A51</f>
        <v>Dylan Larkin</v>
      </c>
      <c r="C52" s="18" t="str">
        <f>'RW predict'!B51</f>
        <v>DET</v>
      </c>
      <c r="D52" s="22" t="str" cm="1">
        <f t="array" ref="D52">_xlfn.SWITCH('RW predict'!C51, "C", "F", "LW","F", "RW", "F", "D", "D", "G", "G", "other")</f>
        <v>F</v>
      </c>
      <c r="E52" s="32">
        <f t="shared" si="0"/>
        <v>2566</v>
      </c>
      <c r="F52" s="35">
        <f>E52/assumptions!$B$2</f>
        <v>31.292682926829269</v>
      </c>
      <c r="G52" s="36">
        <f t="shared" si="1"/>
        <v>73</v>
      </c>
      <c r="H52" s="18">
        <f>IF(NOT(D52="G"),'RW predict'!E51,0)</f>
        <v>30</v>
      </c>
      <c r="I52" s="18">
        <f>'RW predict'!Q51</f>
        <v>32</v>
      </c>
      <c r="J52" s="18">
        <f>'RW predict'!F51</f>
        <v>41</v>
      </c>
      <c r="K52" s="18"/>
      <c r="L52" s="18"/>
      <c r="M52" s="18">
        <f>'RW predict'!P51</f>
        <v>78</v>
      </c>
      <c r="N52" s="18"/>
      <c r="O52" s="18">
        <f>'RW predict'!H51</f>
        <v>-11</v>
      </c>
      <c r="P52" s="18">
        <f>'RW predict'!I51</f>
        <v>49</v>
      </c>
      <c r="Q52" s="18">
        <f>'RW predict'!L51</f>
        <v>6</v>
      </c>
      <c r="R52" s="18">
        <f>'RW predict'!N51</f>
        <v>0</v>
      </c>
      <c r="S52" s="76">
        <f>'RW predict'!O51</f>
        <v>1</v>
      </c>
      <c r="T52" s="76">
        <f>'RW predict'!K51</f>
        <v>4</v>
      </c>
      <c r="U52" s="22">
        <f>'RW predict'!J51</f>
        <v>231</v>
      </c>
      <c r="V52" s="32">
        <f>IF(D52="G",'RW predict'!E51,0)</f>
        <v>0</v>
      </c>
      <c r="W52" s="18">
        <f>'RW predict'!R51</f>
        <v>0</v>
      </c>
      <c r="X52" s="18">
        <f>'RW predict'!T51</f>
        <v>0</v>
      </c>
      <c r="Y52" s="18">
        <f>'RW predict'!Y51</f>
        <v>0</v>
      </c>
      <c r="Z52" s="18">
        <f>'RW predict'!U51</f>
        <v>0</v>
      </c>
      <c r="AA52" s="18">
        <f>'RW predict'!W51</f>
        <v>0</v>
      </c>
      <c r="AB52" s="17"/>
      <c r="AG52" s="23"/>
      <c r="AI52" s="17"/>
      <c r="AO52" s="23"/>
    </row>
    <row r="53" spans="1:41" x14ac:dyDescent="0.3">
      <c r="A53" s="18">
        <v>50</v>
      </c>
      <c r="B53" s="18" t="str">
        <f>'RW predict'!A52</f>
        <v>Bryan Rust</v>
      </c>
      <c r="C53" s="18" t="str">
        <f>'RW predict'!B52</f>
        <v>PIT</v>
      </c>
      <c r="D53" s="22" t="str" cm="1">
        <f t="array" ref="D53">_xlfn.SWITCH('RW predict'!C52, "C", "F", "LW","F", "RW", "F", "D", "D", "G", "G", "other")</f>
        <v>F</v>
      </c>
      <c r="E53" s="32">
        <f t="shared" si="0"/>
        <v>2615</v>
      </c>
      <c r="F53" s="35">
        <f>E53/assumptions!$B$2</f>
        <v>31.890243902439025</v>
      </c>
      <c r="G53" s="36">
        <f t="shared" si="1"/>
        <v>69</v>
      </c>
      <c r="H53" s="18">
        <f>IF(NOT(D53="G"),'RW predict'!E52,0)</f>
        <v>31</v>
      </c>
      <c r="I53" s="18">
        <f>'RW predict'!Q52</f>
        <v>34</v>
      </c>
      <c r="J53" s="18">
        <f>'RW predict'!F52</f>
        <v>39</v>
      </c>
      <c r="K53" s="18"/>
      <c r="L53" s="18"/>
      <c r="M53" s="18">
        <f>'RW predict'!P52</f>
        <v>62</v>
      </c>
      <c r="N53" s="18"/>
      <c r="O53" s="18">
        <f>'RW predict'!H52</f>
        <v>9</v>
      </c>
      <c r="P53" s="18">
        <f>'RW predict'!I52</f>
        <v>21</v>
      </c>
      <c r="Q53" s="18">
        <f>'RW predict'!L52</f>
        <v>11</v>
      </c>
      <c r="R53" s="18">
        <f>'RW predict'!N52</f>
        <v>0</v>
      </c>
      <c r="S53" s="76">
        <f>'RW predict'!O52</f>
        <v>0</v>
      </c>
      <c r="T53" s="76">
        <f>'RW predict'!K52</f>
        <v>2</v>
      </c>
      <c r="U53" s="22">
        <f>'RW predict'!J52</f>
        <v>216</v>
      </c>
      <c r="V53" s="32">
        <f>IF(D53="G",'RW predict'!E52,0)</f>
        <v>0</v>
      </c>
      <c r="W53" s="18">
        <f>'RW predict'!R52</f>
        <v>0</v>
      </c>
      <c r="X53" s="18">
        <f>'RW predict'!T52</f>
        <v>0</v>
      </c>
      <c r="Y53" s="18">
        <f>'RW predict'!Y52</f>
        <v>0</v>
      </c>
      <c r="Z53" s="18">
        <f>'RW predict'!U52</f>
        <v>0</v>
      </c>
      <c r="AA53" s="18">
        <f>'RW predict'!W52</f>
        <v>0</v>
      </c>
      <c r="AB53" s="17"/>
      <c r="AG53" s="23"/>
      <c r="AI53" s="17"/>
      <c r="AO53" s="23"/>
    </row>
    <row r="54" spans="1:41" x14ac:dyDescent="0.3">
      <c r="A54" s="18">
        <v>51</v>
      </c>
      <c r="B54" s="18" t="str">
        <f>'RW predict'!A53</f>
        <v>John Carlson</v>
      </c>
      <c r="C54" s="18" t="str">
        <f>'RW predict'!B53</f>
        <v>WAS</v>
      </c>
      <c r="D54" s="22" t="str" cm="1">
        <f t="array" ref="D54">_xlfn.SWITCH('RW predict'!C53, "C", "F", "LW","F", "RW", "F", "D", "D", "G", "G", "other")</f>
        <v>D</v>
      </c>
      <c r="E54" s="32">
        <f t="shared" si="0"/>
        <v>2713</v>
      </c>
      <c r="F54" s="35">
        <f>E54/assumptions!$B$2</f>
        <v>33.085365853658537</v>
      </c>
      <c r="G54" s="36">
        <f t="shared" si="1"/>
        <v>59</v>
      </c>
      <c r="H54" s="18">
        <f>IF(NOT(D54="G"),'RW predict'!E53,0)</f>
        <v>15</v>
      </c>
      <c r="I54" s="18">
        <f>'RW predict'!Q53</f>
        <v>119</v>
      </c>
      <c r="J54" s="18">
        <f>'RW predict'!F53</f>
        <v>55</v>
      </c>
      <c r="K54" s="18"/>
      <c r="L54" s="18"/>
      <c r="M54" s="18">
        <f>'RW predict'!P53</f>
        <v>73</v>
      </c>
      <c r="N54" s="18"/>
      <c r="O54" s="18">
        <f>'RW predict'!H53</f>
        <v>10</v>
      </c>
      <c r="P54" s="18">
        <f>'RW predict'!I53</f>
        <v>20</v>
      </c>
      <c r="Q54" s="18">
        <f>'RW predict'!L53</f>
        <v>5</v>
      </c>
      <c r="R54" s="18">
        <f>'RW predict'!N53</f>
        <v>0</v>
      </c>
      <c r="S54" s="76">
        <f>'RW predict'!O53</f>
        <v>2</v>
      </c>
      <c r="T54" s="76">
        <f>'RW predict'!K53</f>
        <v>2</v>
      </c>
      <c r="U54" s="22">
        <f>'RW predict'!J53</f>
        <v>191</v>
      </c>
      <c r="V54" s="32">
        <f>IF(D54="G",'RW predict'!E53,0)</f>
        <v>0</v>
      </c>
      <c r="W54" s="18">
        <f>'RW predict'!R53</f>
        <v>0</v>
      </c>
      <c r="X54" s="18">
        <f>'RW predict'!T53</f>
        <v>0</v>
      </c>
      <c r="Y54" s="18">
        <f>'RW predict'!Y53</f>
        <v>0</v>
      </c>
      <c r="Z54" s="18">
        <f>'RW predict'!U53</f>
        <v>0</v>
      </c>
      <c r="AA54" s="18">
        <f>'RW predict'!W53</f>
        <v>0</v>
      </c>
      <c r="AB54" s="17"/>
      <c r="AG54" s="23"/>
      <c r="AI54" s="17"/>
      <c r="AO54" s="23"/>
    </row>
    <row r="55" spans="1:41" x14ac:dyDescent="0.3">
      <c r="A55" s="18">
        <v>52</v>
      </c>
      <c r="B55" s="18" t="str">
        <f>'RW predict'!A54</f>
        <v>Evander Kane</v>
      </c>
      <c r="C55" s="18" t="str">
        <f>'RW predict'!B54</f>
        <v>EDM</v>
      </c>
      <c r="D55" s="22" t="str" cm="1">
        <f t="array" ref="D55">_xlfn.SWITCH('RW predict'!C54, "C", "F", "LW","F", "RW", "F", "D", "D", "G", "G", "other")</f>
        <v>F</v>
      </c>
      <c r="E55" s="32">
        <f t="shared" si="0"/>
        <v>3443</v>
      </c>
      <c r="F55" s="35">
        <f>E55/assumptions!$B$2</f>
        <v>41.987804878048777</v>
      </c>
      <c r="G55" s="36">
        <f t="shared" si="1"/>
        <v>19</v>
      </c>
      <c r="H55" s="18">
        <f>IF(NOT(D55="G"),'RW predict'!E54,0)</f>
        <v>36</v>
      </c>
      <c r="I55" s="18">
        <f>'RW predict'!Q54</f>
        <v>24</v>
      </c>
      <c r="J55" s="18">
        <f>'RW predict'!F54</f>
        <v>34</v>
      </c>
      <c r="K55" s="18"/>
      <c r="L55" s="18"/>
      <c r="M55" s="18">
        <f>'RW predict'!P54</f>
        <v>172</v>
      </c>
      <c r="N55" s="18"/>
      <c r="O55" s="18">
        <f>'RW predict'!H54</f>
        <v>22</v>
      </c>
      <c r="P55" s="18">
        <f>'RW predict'!I54</f>
        <v>135</v>
      </c>
      <c r="Q55" s="18">
        <f>'RW predict'!L54</f>
        <v>8</v>
      </c>
      <c r="R55" s="18">
        <f>'RW predict'!N54</f>
        <v>2</v>
      </c>
      <c r="S55" s="76">
        <f>'RW predict'!O54</f>
        <v>2</v>
      </c>
      <c r="T55" s="76">
        <f>'RW predict'!K54</f>
        <v>8</v>
      </c>
      <c r="U55" s="22">
        <f>'RW predict'!J54</f>
        <v>274</v>
      </c>
      <c r="V55" s="32">
        <f>IF(D55="G",'RW predict'!E54,0)</f>
        <v>0</v>
      </c>
      <c r="W55" s="18">
        <f>'RW predict'!R54</f>
        <v>0</v>
      </c>
      <c r="X55" s="18">
        <f>'RW predict'!T54</f>
        <v>0</v>
      </c>
      <c r="Y55" s="18">
        <f>'RW predict'!Y54</f>
        <v>0</v>
      </c>
      <c r="Z55" s="18">
        <f>'RW predict'!U54</f>
        <v>0</v>
      </c>
      <c r="AA55" s="18">
        <f>'RW predict'!W54</f>
        <v>0</v>
      </c>
      <c r="AB55" s="17"/>
      <c r="AG55" s="23"/>
      <c r="AI55" s="17"/>
      <c r="AO55" s="23"/>
    </row>
    <row r="56" spans="1:41" x14ac:dyDescent="0.3">
      <c r="A56" s="18">
        <v>53</v>
      </c>
      <c r="B56" s="18" t="str">
        <f>'RW predict'!A55</f>
        <v>Anze Kopitar</v>
      </c>
      <c r="C56" s="18" t="str">
        <f>'RW predict'!B55</f>
        <v>LA</v>
      </c>
      <c r="D56" s="22" t="str" cm="1">
        <f t="array" ref="D56">_xlfn.SWITCH('RW predict'!C55, "C", "F", "LW","F", "RW", "F", "D", "D", "G", "G", "other")</f>
        <v>F</v>
      </c>
      <c r="E56" s="32">
        <f t="shared" si="0"/>
        <v>2561</v>
      </c>
      <c r="F56" s="35">
        <f>E56/assumptions!$B$2</f>
        <v>31.23170731707317</v>
      </c>
      <c r="G56" s="36">
        <f t="shared" si="1"/>
        <v>75</v>
      </c>
      <c r="H56" s="18">
        <f>IF(NOT(D56="G"),'RW predict'!E55,0)</f>
        <v>21</v>
      </c>
      <c r="I56" s="18">
        <f>'RW predict'!Q55</f>
        <v>69</v>
      </c>
      <c r="J56" s="18">
        <f>'RW predict'!F55</f>
        <v>49</v>
      </c>
      <c r="K56" s="18"/>
      <c r="L56" s="18"/>
      <c r="M56" s="18">
        <f>'RW predict'!P55</f>
        <v>71</v>
      </c>
      <c r="N56" s="18"/>
      <c r="O56" s="18">
        <f>'RW predict'!H55</f>
        <v>-2</v>
      </c>
      <c r="P56" s="18">
        <f>'RW predict'!I55</f>
        <v>14</v>
      </c>
      <c r="Q56" s="18">
        <f>'RW predict'!L55</f>
        <v>6</v>
      </c>
      <c r="R56" s="18">
        <f>'RW predict'!N55</f>
        <v>0</v>
      </c>
      <c r="S56" s="76">
        <f>'RW predict'!O55</f>
        <v>1</v>
      </c>
      <c r="T56" s="76">
        <f>'RW predict'!K55</f>
        <v>5</v>
      </c>
      <c r="U56" s="22">
        <f>'RW predict'!J55</f>
        <v>205</v>
      </c>
      <c r="V56" s="32">
        <f>IF(D56="G",'RW predict'!E55,0)</f>
        <v>0</v>
      </c>
      <c r="W56" s="18">
        <f>'RW predict'!R55</f>
        <v>0</v>
      </c>
      <c r="X56" s="18">
        <f>'RW predict'!T55</f>
        <v>0</v>
      </c>
      <c r="Y56" s="18">
        <f>'RW predict'!Y55</f>
        <v>0</v>
      </c>
      <c r="Z56" s="18">
        <f>'RW predict'!U55</f>
        <v>0</v>
      </c>
      <c r="AA56" s="18">
        <f>'RW predict'!W55</f>
        <v>0</v>
      </c>
      <c r="AB56" s="17"/>
      <c r="AG56" s="23"/>
      <c r="AI56" s="17"/>
      <c r="AO56" s="23"/>
    </row>
    <row r="57" spans="1:41" x14ac:dyDescent="0.3">
      <c r="A57" s="18">
        <v>54</v>
      </c>
      <c r="B57" s="18" t="str">
        <f>'RW predict'!A56</f>
        <v>Brady Tkachuk</v>
      </c>
      <c r="C57" s="18" t="str">
        <f>'RW predict'!B56</f>
        <v>OTT</v>
      </c>
      <c r="D57" s="22" t="str" cm="1">
        <f t="array" ref="D57">_xlfn.SWITCH('RW predict'!C56, "C", "F", "LW","F", "RW", "F", "D", "D", "G", "G", "other")</f>
        <v>F</v>
      </c>
      <c r="E57" s="32">
        <f t="shared" si="0"/>
        <v>3203</v>
      </c>
      <c r="F57" s="35">
        <f>E57/assumptions!$B$2</f>
        <v>39.060975609756099</v>
      </c>
      <c r="G57" s="36">
        <f t="shared" si="1"/>
        <v>25</v>
      </c>
      <c r="H57" s="18">
        <f>IF(NOT(D57="G"),'RW predict'!E56,0)</f>
        <v>31</v>
      </c>
      <c r="I57" s="18">
        <f>'RW predict'!Q56</f>
        <v>29</v>
      </c>
      <c r="J57" s="18">
        <f>'RW predict'!F56</f>
        <v>39</v>
      </c>
      <c r="K57" s="18"/>
      <c r="L57" s="18"/>
      <c r="M57" s="18">
        <f>'RW predict'!P56</f>
        <v>294</v>
      </c>
      <c r="N57" s="18"/>
      <c r="O57" s="18">
        <f>'RW predict'!H56</f>
        <v>-7</v>
      </c>
      <c r="P57" s="18">
        <f>'RW predict'!I56</f>
        <v>121</v>
      </c>
      <c r="Q57" s="18">
        <f>'RW predict'!L56</f>
        <v>9</v>
      </c>
      <c r="R57" s="18">
        <f>'RW predict'!N56</f>
        <v>0</v>
      </c>
      <c r="S57" s="76">
        <f>'RW predict'!O56</f>
        <v>0</v>
      </c>
      <c r="T57" s="76">
        <f>'RW predict'!K56</f>
        <v>5</v>
      </c>
      <c r="U57" s="22">
        <f>'RW predict'!J56</f>
        <v>309</v>
      </c>
      <c r="V57" s="32">
        <f>IF(D57="G",'RW predict'!E56,0)</f>
        <v>0</v>
      </c>
      <c r="W57" s="18">
        <f>'RW predict'!R56</f>
        <v>0</v>
      </c>
      <c r="X57" s="18">
        <f>'RW predict'!T56</f>
        <v>0</v>
      </c>
      <c r="Y57" s="18">
        <f>'RW predict'!Y56</f>
        <v>0</v>
      </c>
      <c r="Z57" s="18">
        <f>'RW predict'!U56</f>
        <v>0</v>
      </c>
      <c r="AA57" s="18">
        <f>'RW predict'!W56</f>
        <v>0</v>
      </c>
      <c r="AB57" s="17"/>
      <c r="AG57" s="23"/>
      <c r="AI57" s="17"/>
      <c r="AO57" s="23"/>
    </row>
    <row r="58" spans="1:41" x14ac:dyDescent="0.3">
      <c r="A58" s="18">
        <v>55</v>
      </c>
      <c r="B58" s="18" t="str">
        <f>'RW predict'!A57</f>
        <v>Quinn Hughes</v>
      </c>
      <c r="C58" s="18" t="str">
        <f>'RW predict'!B57</f>
        <v>VAN</v>
      </c>
      <c r="D58" s="22" t="str" cm="1">
        <f t="array" ref="D58">_xlfn.SWITCH('RW predict'!C57, "C", "F", "LW","F", "RW", "F", "D", "D", "G", "G", "other")</f>
        <v>D</v>
      </c>
      <c r="E58" s="32">
        <f t="shared" si="0"/>
        <v>2351</v>
      </c>
      <c r="F58" s="35">
        <f>E58/assumptions!$B$2</f>
        <v>28.670731707317074</v>
      </c>
      <c r="G58" s="36">
        <f t="shared" si="1"/>
        <v>102</v>
      </c>
      <c r="H58" s="18">
        <f>IF(NOT(D58="G"),'RW predict'!E57,0)</f>
        <v>9</v>
      </c>
      <c r="I58" s="18">
        <f>'RW predict'!Q57</f>
        <v>57</v>
      </c>
      <c r="J58" s="18">
        <f>'RW predict'!F57</f>
        <v>60</v>
      </c>
      <c r="K58" s="18"/>
      <c r="L58" s="18"/>
      <c r="M58" s="18">
        <f>'RW predict'!P57</f>
        <v>20</v>
      </c>
      <c r="N58" s="18"/>
      <c r="O58" s="18">
        <f>'RW predict'!H57</f>
        <v>4</v>
      </c>
      <c r="P58" s="18">
        <f>'RW predict'!I57</f>
        <v>28</v>
      </c>
      <c r="Q58" s="18">
        <f>'RW predict'!L57</f>
        <v>1</v>
      </c>
      <c r="R58" s="18">
        <f>'RW predict'!N57</f>
        <v>0</v>
      </c>
      <c r="S58" s="76">
        <f>'RW predict'!O57</f>
        <v>1</v>
      </c>
      <c r="T58" s="76">
        <f>'RW predict'!K57</f>
        <v>2</v>
      </c>
      <c r="U58" s="22">
        <f>'RW predict'!J57</f>
        <v>154</v>
      </c>
      <c r="V58" s="32">
        <f>IF(D58="G",'RW predict'!E57,0)</f>
        <v>0</v>
      </c>
      <c r="W58" s="18">
        <f>'RW predict'!R57</f>
        <v>0</v>
      </c>
      <c r="X58" s="18">
        <f>'RW predict'!T57</f>
        <v>0</v>
      </c>
      <c r="Y58" s="18">
        <f>'RW predict'!Y57</f>
        <v>0</v>
      </c>
      <c r="Z58" s="18">
        <f>'RW predict'!U57</f>
        <v>0</v>
      </c>
      <c r="AA58" s="18">
        <f>'RW predict'!W57</f>
        <v>0</v>
      </c>
      <c r="AB58" s="17"/>
      <c r="AG58" s="23"/>
      <c r="AI58" s="17"/>
      <c r="AO58" s="23"/>
    </row>
    <row r="59" spans="1:41" x14ac:dyDescent="0.3">
      <c r="A59" s="18">
        <v>56</v>
      </c>
      <c r="B59" s="18" t="str">
        <f>'RW predict'!A58</f>
        <v>Jack Hughes</v>
      </c>
      <c r="C59" s="18" t="str">
        <f>'RW predict'!B58</f>
        <v>NJ</v>
      </c>
      <c r="D59" s="22" t="str" cm="1">
        <f t="array" ref="D59">_xlfn.SWITCH('RW predict'!C58, "C", "F", "LW","F", "RW", "F", "D", "D", "G", "G", "other")</f>
        <v>F</v>
      </c>
      <c r="E59" s="32">
        <f t="shared" si="0"/>
        <v>2348</v>
      </c>
      <c r="F59" s="35">
        <f>E59/assumptions!$B$2</f>
        <v>28.634146341463413</v>
      </c>
      <c r="G59" s="36">
        <f t="shared" si="1"/>
        <v>103</v>
      </c>
      <c r="H59" s="18">
        <f>IF(NOT(D59="G"),'RW predict'!E58,0)</f>
        <v>30</v>
      </c>
      <c r="I59" s="18">
        <f>'RW predict'!Q58</f>
        <v>20</v>
      </c>
      <c r="J59" s="18">
        <f>'RW predict'!F58</f>
        <v>39</v>
      </c>
      <c r="K59" s="18"/>
      <c r="L59" s="18"/>
      <c r="M59" s="18">
        <f>'RW predict'!P58</f>
        <v>13</v>
      </c>
      <c r="N59" s="18"/>
      <c r="O59" s="18">
        <f>'RW predict'!H58</f>
        <v>-9</v>
      </c>
      <c r="P59" s="18">
        <f>'RW predict'!I58</f>
        <v>12</v>
      </c>
      <c r="Q59" s="18">
        <f>'RW predict'!L58</f>
        <v>7</v>
      </c>
      <c r="R59" s="18">
        <f>'RW predict'!N58</f>
        <v>0</v>
      </c>
      <c r="S59" s="76">
        <f>'RW predict'!O58</f>
        <v>0</v>
      </c>
      <c r="T59" s="76">
        <f>'RW predict'!K58</f>
        <v>5</v>
      </c>
      <c r="U59" s="22">
        <f>'RW predict'!J58</f>
        <v>227</v>
      </c>
      <c r="V59" s="32">
        <f>IF(D59="G",'RW predict'!E58,0)</f>
        <v>0</v>
      </c>
      <c r="W59" s="18">
        <f>'RW predict'!R58</f>
        <v>0</v>
      </c>
      <c r="X59" s="18">
        <f>'RW predict'!T58</f>
        <v>0</v>
      </c>
      <c r="Y59" s="18">
        <f>'RW predict'!Y58</f>
        <v>0</v>
      </c>
      <c r="Z59" s="18">
        <f>'RW predict'!U58</f>
        <v>0</v>
      </c>
      <c r="AA59" s="18">
        <f>'RW predict'!W58</f>
        <v>0</v>
      </c>
      <c r="AB59" s="17"/>
      <c r="AG59" s="23"/>
      <c r="AI59" s="17"/>
      <c r="AO59" s="23"/>
    </row>
    <row r="60" spans="1:41" x14ac:dyDescent="0.3">
      <c r="A60" s="18">
        <v>57</v>
      </c>
      <c r="B60" s="18" t="str">
        <f>'RW predict'!A59</f>
        <v>Jesper Bratt</v>
      </c>
      <c r="C60" s="18" t="str">
        <f>'RW predict'!B59</f>
        <v>NJ</v>
      </c>
      <c r="D60" s="22" t="str" cm="1">
        <f t="array" ref="D60">_xlfn.SWITCH('RW predict'!C59, "C", "F", "LW","F", "RW", "F", "D", "D", "G", "G", "other")</f>
        <v>F</v>
      </c>
      <c r="E60" s="32">
        <f t="shared" si="0"/>
        <v>2435</v>
      </c>
      <c r="F60" s="35">
        <f>E60/assumptions!$B$2</f>
        <v>29.695121951219512</v>
      </c>
      <c r="G60" s="36">
        <f t="shared" si="1"/>
        <v>91</v>
      </c>
      <c r="H60" s="18">
        <f>IF(NOT(D60="G"),'RW predict'!E59,0)</f>
        <v>25</v>
      </c>
      <c r="I60" s="18">
        <f>'RW predict'!Q59</f>
        <v>29</v>
      </c>
      <c r="J60" s="18">
        <f>'RW predict'!F59</f>
        <v>44</v>
      </c>
      <c r="K60" s="18"/>
      <c r="L60" s="18"/>
      <c r="M60" s="18">
        <f>'RW predict'!P59</f>
        <v>30</v>
      </c>
      <c r="N60" s="18"/>
      <c r="O60" s="18">
        <f>'RW predict'!H59</f>
        <v>7</v>
      </c>
      <c r="P60" s="18">
        <f>'RW predict'!I59</f>
        <v>14</v>
      </c>
      <c r="Q60" s="18">
        <f>'RW predict'!L59</f>
        <v>3</v>
      </c>
      <c r="R60" s="18">
        <f>'RW predict'!N59</f>
        <v>0</v>
      </c>
      <c r="S60" s="76">
        <f>'RW predict'!O59</f>
        <v>0</v>
      </c>
      <c r="T60" s="76">
        <f>'RW predict'!K59</f>
        <v>5</v>
      </c>
      <c r="U60" s="22">
        <f>'RW predict'!J59</f>
        <v>190</v>
      </c>
      <c r="V60" s="32">
        <f>IF(D60="G",'RW predict'!E59,0)</f>
        <v>0</v>
      </c>
      <c r="W60" s="18">
        <f>'RW predict'!R59</f>
        <v>0</v>
      </c>
      <c r="X60" s="18">
        <f>'RW predict'!T59</f>
        <v>0</v>
      </c>
      <c r="Y60" s="18">
        <f>'RW predict'!Y59</f>
        <v>0</v>
      </c>
      <c r="Z60" s="18">
        <f>'RW predict'!U59</f>
        <v>0</v>
      </c>
      <c r="AA60" s="18">
        <f>'RW predict'!W59</f>
        <v>0</v>
      </c>
      <c r="AB60" s="17"/>
      <c r="AG60" s="23"/>
      <c r="AI60" s="17"/>
      <c r="AO60" s="23"/>
    </row>
    <row r="61" spans="1:41" x14ac:dyDescent="0.3">
      <c r="A61" s="18">
        <v>58</v>
      </c>
      <c r="B61" s="18" t="str">
        <f>'RW predict'!A60</f>
        <v>Elias Pettersson</v>
      </c>
      <c r="C61" s="18" t="str">
        <f>'RW predict'!B60</f>
        <v>VAN</v>
      </c>
      <c r="D61" s="22" t="str" cm="1">
        <f t="array" ref="D61">_xlfn.SWITCH('RW predict'!C60, "C", "F", "LW","F", "RW", "F", "D", "D", "G", "G", "other")</f>
        <v>F</v>
      </c>
      <c r="E61" s="32">
        <f t="shared" si="0"/>
        <v>2525</v>
      </c>
      <c r="F61" s="35">
        <f>E61/assumptions!$B$2</f>
        <v>30.792682926829269</v>
      </c>
      <c r="G61" s="36">
        <f t="shared" si="1"/>
        <v>78</v>
      </c>
      <c r="H61" s="18">
        <f>IF(NOT(D61="G"),'RW predict'!E60,0)</f>
        <v>31</v>
      </c>
      <c r="I61" s="18">
        <f>'RW predict'!Q60</f>
        <v>41</v>
      </c>
      <c r="J61" s="18">
        <f>'RW predict'!F60</f>
        <v>38</v>
      </c>
      <c r="K61" s="18"/>
      <c r="L61" s="18"/>
      <c r="M61" s="18">
        <f>'RW predict'!P60</f>
        <v>48</v>
      </c>
      <c r="N61" s="18"/>
      <c r="O61" s="18">
        <f>'RW predict'!H60</f>
        <v>3</v>
      </c>
      <c r="P61" s="18">
        <f>'RW predict'!I60</f>
        <v>12</v>
      </c>
      <c r="Q61" s="18">
        <f>'RW predict'!L60</f>
        <v>10</v>
      </c>
      <c r="R61" s="18">
        <f>'RW predict'!N60</f>
        <v>1</v>
      </c>
      <c r="S61" s="76">
        <f>'RW predict'!O60</f>
        <v>0</v>
      </c>
      <c r="T61" s="76">
        <f>'RW predict'!K60</f>
        <v>5</v>
      </c>
      <c r="U61" s="22">
        <f>'RW predict'!J60</f>
        <v>192</v>
      </c>
      <c r="V61" s="32">
        <f>IF(D61="G",'RW predict'!E60,0)</f>
        <v>0</v>
      </c>
      <c r="W61" s="18">
        <f>'RW predict'!R60</f>
        <v>0</v>
      </c>
      <c r="X61" s="18">
        <f>'RW predict'!T60</f>
        <v>0</v>
      </c>
      <c r="Y61" s="18">
        <f>'RW predict'!Y60</f>
        <v>0</v>
      </c>
      <c r="Z61" s="18">
        <f>'RW predict'!U60</f>
        <v>0</v>
      </c>
      <c r="AA61" s="18">
        <f>'RW predict'!W60</f>
        <v>0</v>
      </c>
      <c r="AB61" s="17"/>
      <c r="AG61" s="23"/>
      <c r="AI61" s="17"/>
      <c r="AO61" s="23"/>
    </row>
    <row r="62" spans="1:41" x14ac:dyDescent="0.3">
      <c r="A62" s="18">
        <v>59</v>
      </c>
      <c r="B62" s="18" t="str">
        <f>'RW predict'!A61</f>
        <v>Claude Giroux</v>
      </c>
      <c r="C62" s="18" t="str">
        <f>'RW predict'!B61</f>
        <v>OTT</v>
      </c>
      <c r="D62" s="22" t="str" cm="1">
        <f t="array" ref="D62">_xlfn.SWITCH('RW predict'!C61, "C", "F", "LW","F", "RW", "F", "D", "D", "G", "G", "other")</f>
        <v>F</v>
      </c>
      <c r="E62" s="32">
        <f t="shared" si="0"/>
        <v>2399</v>
      </c>
      <c r="F62" s="35">
        <f>E62/assumptions!$B$2</f>
        <v>29.256097560975611</v>
      </c>
      <c r="G62" s="36">
        <f t="shared" si="1"/>
        <v>96</v>
      </c>
      <c r="H62" s="18">
        <f>IF(NOT(D62="G"),'RW predict'!E61,0)</f>
        <v>23</v>
      </c>
      <c r="I62" s="18">
        <f>'RW predict'!Q61</f>
        <v>16</v>
      </c>
      <c r="J62" s="18">
        <f>'RW predict'!F61</f>
        <v>46</v>
      </c>
      <c r="K62" s="18"/>
      <c r="L62" s="18"/>
      <c r="M62" s="18">
        <f>'RW predict'!P61</f>
        <v>62</v>
      </c>
      <c r="N62" s="18"/>
      <c r="O62" s="18">
        <f>'RW predict'!H61</f>
        <v>-4</v>
      </c>
      <c r="P62" s="18">
        <f>'RW predict'!I61</f>
        <v>26</v>
      </c>
      <c r="Q62" s="18">
        <f>'RW predict'!L61</f>
        <v>6</v>
      </c>
      <c r="R62" s="18">
        <f>'RW predict'!N61</f>
        <v>0</v>
      </c>
      <c r="S62" s="76">
        <f>'RW predict'!O61</f>
        <v>1</v>
      </c>
      <c r="T62" s="76">
        <f>'RW predict'!K61</f>
        <v>4</v>
      </c>
      <c r="U62" s="22">
        <f>'RW predict'!J61</f>
        <v>196</v>
      </c>
      <c r="V62" s="32">
        <f>IF(D62="G",'RW predict'!E61,0)</f>
        <v>0</v>
      </c>
      <c r="W62" s="18">
        <f>'RW predict'!R61</f>
        <v>0</v>
      </c>
      <c r="X62" s="18">
        <f>'RW predict'!T61</f>
        <v>0</v>
      </c>
      <c r="Y62" s="18">
        <f>'RW predict'!Y61</f>
        <v>0</v>
      </c>
      <c r="Z62" s="18">
        <f>'RW predict'!U61</f>
        <v>0</v>
      </c>
      <c r="AA62" s="18">
        <f>'RW predict'!W61</f>
        <v>0</v>
      </c>
      <c r="AB62" s="17"/>
      <c r="AG62" s="23"/>
      <c r="AI62" s="17"/>
      <c r="AO62" s="23"/>
    </row>
    <row r="63" spans="1:41" x14ac:dyDescent="0.3">
      <c r="A63" s="18">
        <v>60</v>
      </c>
      <c r="B63" s="18" t="str">
        <f>'RW predict'!A62</f>
        <v>Brayden Point</v>
      </c>
      <c r="C63" s="18" t="str">
        <f>'RW predict'!B62</f>
        <v>TB</v>
      </c>
      <c r="D63" s="22" t="str" cm="1">
        <f t="array" ref="D63">_xlfn.SWITCH('RW predict'!C62, "C", "F", "LW","F", "RW", "F", "D", "D", "G", "G", "other")</f>
        <v>F</v>
      </c>
      <c r="E63" s="32">
        <f t="shared" si="0"/>
        <v>2587</v>
      </c>
      <c r="F63" s="35">
        <f>E63/assumptions!$B$2</f>
        <v>31.548780487804876</v>
      </c>
      <c r="G63" s="36">
        <f t="shared" si="1"/>
        <v>72</v>
      </c>
      <c r="H63" s="18">
        <f>IF(NOT(D63="G"),'RW predict'!E62,0)</f>
        <v>31</v>
      </c>
      <c r="I63" s="18">
        <f>'RW predict'!Q62</f>
        <v>29</v>
      </c>
      <c r="J63" s="18">
        <f>'RW predict'!F62</f>
        <v>38</v>
      </c>
      <c r="K63" s="18"/>
      <c r="L63" s="18"/>
      <c r="M63" s="18">
        <f>'RW predict'!P62</f>
        <v>68</v>
      </c>
      <c r="N63" s="18"/>
      <c r="O63" s="18">
        <f>'RW predict'!H62</f>
        <v>5</v>
      </c>
      <c r="P63" s="18">
        <f>'RW predict'!I62</f>
        <v>30</v>
      </c>
      <c r="Q63" s="18">
        <f>'RW predict'!L62</f>
        <v>9</v>
      </c>
      <c r="R63" s="18">
        <f>'RW predict'!N62</f>
        <v>0</v>
      </c>
      <c r="S63" s="76">
        <f>'RW predict'!O62</f>
        <v>0</v>
      </c>
      <c r="T63" s="76">
        <f>'RW predict'!K62</f>
        <v>6</v>
      </c>
      <c r="U63" s="22">
        <f>'RW predict'!J62</f>
        <v>193</v>
      </c>
      <c r="V63" s="32">
        <f>IF(D63="G",'RW predict'!E62,0)</f>
        <v>0</v>
      </c>
      <c r="W63" s="18">
        <f>'RW predict'!R62</f>
        <v>0</v>
      </c>
      <c r="X63" s="18">
        <f>'RW predict'!T62</f>
        <v>0</v>
      </c>
      <c r="Y63" s="18">
        <f>'RW predict'!Y62</f>
        <v>0</v>
      </c>
      <c r="Z63" s="18">
        <f>'RW predict'!U62</f>
        <v>0</v>
      </c>
      <c r="AA63" s="18">
        <f>'RW predict'!W62</f>
        <v>0</v>
      </c>
      <c r="AB63" s="17"/>
      <c r="AG63" s="23"/>
      <c r="AI63" s="17"/>
      <c r="AO63" s="23"/>
    </row>
    <row r="64" spans="1:41" x14ac:dyDescent="0.3">
      <c r="A64" s="18">
        <v>61</v>
      </c>
      <c r="B64" s="18" t="str">
        <f>'RW predict'!A63</f>
        <v>Jack Eichel</v>
      </c>
      <c r="C64" s="18" t="str">
        <f>'RW predict'!B63</f>
        <v>VGK</v>
      </c>
      <c r="D64" s="22" t="str" cm="1">
        <f t="array" ref="D64">_xlfn.SWITCH('RW predict'!C63, "C", "F", "LW","F", "RW", "F", "D", "D", "G", "G", "other")</f>
        <v>F</v>
      </c>
      <c r="E64" s="32">
        <f t="shared" si="0"/>
        <v>2685</v>
      </c>
      <c r="F64" s="35">
        <f>E64/assumptions!$B$2</f>
        <v>32.743902439024389</v>
      </c>
      <c r="G64" s="36">
        <f t="shared" si="1"/>
        <v>62</v>
      </c>
      <c r="H64" s="18">
        <f>IF(NOT(D64="G"),'RW predict'!E63,0)</f>
        <v>31</v>
      </c>
      <c r="I64" s="18">
        <f>'RW predict'!Q63</f>
        <v>53</v>
      </c>
      <c r="J64" s="18">
        <f>'RW predict'!F63</f>
        <v>37</v>
      </c>
      <c r="K64" s="18"/>
      <c r="L64" s="18"/>
      <c r="M64" s="18">
        <f>'RW predict'!P63</f>
        <v>69</v>
      </c>
      <c r="N64" s="18"/>
      <c r="O64" s="18">
        <f>'RW predict'!H63</f>
        <v>7</v>
      </c>
      <c r="P64" s="18">
        <f>'RW predict'!I63</f>
        <v>24</v>
      </c>
      <c r="Q64" s="18">
        <f>'RW predict'!L63</f>
        <v>6</v>
      </c>
      <c r="R64" s="18">
        <f>'RW predict'!N63</f>
        <v>0</v>
      </c>
      <c r="S64" s="76">
        <f>'RW predict'!O63</f>
        <v>0</v>
      </c>
      <c r="T64" s="76">
        <f>'RW predict'!K63</f>
        <v>5</v>
      </c>
      <c r="U64" s="22">
        <f>'RW predict'!J63</f>
        <v>254</v>
      </c>
      <c r="V64" s="32">
        <f>IF(D64="G",'RW predict'!E63,0)</f>
        <v>0</v>
      </c>
      <c r="W64" s="18">
        <f>'RW predict'!R63</f>
        <v>0</v>
      </c>
      <c r="X64" s="18">
        <f>'RW predict'!T63</f>
        <v>0</v>
      </c>
      <c r="Y64" s="18">
        <f>'RW predict'!Y63</f>
        <v>0</v>
      </c>
      <c r="Z64" s="18">
        <f>'RW predict'!U63</f>
        <v>0</v>
      </c>
      <c r="AA64" s="18">
        <f>'RW predict'!W63</f>
        <v>0</v>
      </c>
      <c r="AB64" s="17"/>
      <c r="AG64" s="23"/>
      <c r="AI64" s="17"/>
      <c r="AO64" s="23"/>
    </row>
    <row r="65" spans="1:41" x14ac:dyDescent="0.3">
      <c r="A65" s="18">
        <v>62</v>
      </c>
      <c r="B65" s="18" t="str">
        <f>'RW predict'!A64</f>
        <v>Nazem Kadri</v>
      </c>
      <c r="C65" s="18" t="str">
        <f>'RW predict'!B64</f>
        <v>CGY</v>
      </c>
      <c r="D65" s="22" t="str" cm="1">
        <f t="array" ref="D65">_xlfn.SWITCH('RW predict'!C64, "C", "F", "LW","F", "RW", "F", "D", "D", "G", "G", "other")</f>
        <v>F</v>
      </c>
      <c r="E65" s="32">
        <f t="shared" si="0"/>
        <v>2746</v>
      </c>
      <c r="F65" s="35">
        <f>E65/assumptions!$B$2</f>
        <v>33.487804878048777</v>
      </c>
      <c r="G65" s="36">
        <f t="shared" si="1"/>
        <v>54</v>
      </c>
      <c r="H65" s="18">
        <f>IF(NOT(D65="G"),'RW predict'!E64,0)</f>
        <v>27</v>
      </c>
      <c r="I65" s="18">
        <f>'RW predict'!Q64</f>
        <v>20</v>
      </c>
      <c r="J65" s="18">
        <f>'RW predict'!F64</f>
        <v>41</v>
      </c>
      <c r="K65" s="18"/>
      <c r="L65" s="18"/>
      <c r="M65" s="18">
        <f>'RW predict'!P64</f>
        <v>62</v>
      </c>
      <c r="N65" s="18"/>
      <c r="O65" s="18">
        <f>'RW predict'!H64</f>
        <v>12</v>
      </c>
      <c r="P65" s="18">
        <f>'RW predict'!I64</f>
        <v>72</v>
      </c>
      <c r="Q65" s="18">
        <f>'RW predict'!L64</f>
        <v>6</v>
      </c>
      <c r="R65" s="18">
        <f>'RW predict'!N64</f>
        <v>0</v>
      </c>
      <c r="S65" s="76">
        <f>'RW predict'!O64</f>
        <v>0</v>
      </c>
      <c r="T65" s="76">
        <f>'RW predict'!K64</f>
        <v>4</v>
      </c>
      <c r="U65" s="22">
        <f>'RW predict'!J64</f>
        <v>234</v>
      </c>
      <c r="V65" s="32">
        <f>IF(D65="G",'RW predict'!E64,0)</f>
        <v>0</v>
      </c>
      <c r="W65" s="18">
        <f>'RW predict'!R64</f>
        <v>0</v>
      </c>
      <c r="X65" s="18">
        <f>'RW predict'!T64</f>
        <v>0</v>
      </c>
      <c r="Y65" s="18">
        <f>'RW predict'!Y64</f>
        <v>0</v>
      </c>
      <c r="Z65" s="18">
        <f>'RW predict'!U64</f>
        <v>0</v>
      </c>
      <c r="AA65" s="18">
        <f>'RW predict'!W64</f>
        <v>0</v>
      </c>
      <c r="AB65" s="17"/>
      <c r="AG65" s="23"/>
      <c r="AI65" s="17"/>
      <c r="AO65" s="23"/>
    </row>
    <row r="66" spans="1:41" x14ac:dyDescent="0.3">
      <c r="A66" s="18">
        <v>63</v>
      </c>
      <c r="B66" s="18" t="str">
        <f>'RW predict'!A65</f>
        <v>Mats Zuccarello</v>
      </c>
      <c r="C66" s="18" t="str">
        <f>'RW predict'!B65</f>
        <v>MIN</v>
      </c>
      <c r="D66" s="22" t="str" cm="1">
        <f t="array" ref="D66">_xlfn.SWITCH('RW predict'!C65, "C", "F", "LW","F", "RW", "F", "D", "D", "G", "G", "other")</f>
        <v>F</v>
      </c>
      <c r="E66" s="32">
        <f t="shared" si="0"/>
        <v>2494</v>
      </c>
      <c r="F66" s="35">
        <f>E66/assumptions!$B$2</f>
        <v>30.414634146341463</v>
      </c>
      <c r="G66" s="36">
        <f t="shared" si="1"/>
        <v>84</v>
      </c>
      <c r="H66" s="18">
        <f>IF(NOT(D66="G"),'RW predict'!E65,0)</f>
        <v>21</v>
      </c>
      <c r="I66" s="18">
        <f>'RW predict'!Q65</f>
        <v>34</v>
      </c>
      <c r="J66" s="18">
        <f>'RW predict'!F65</f>
        <v>47</v>
      </c>
      <c r="K66" s="18"/>
      <c r="L66" s="18"/>
      <c r="M66" s="18">
        <f>'RW predict'!P65</f>
        <v>32</v>
      </c>
      <c r="N66" s="18"/>
      <c r="O66" s="18">
        <f>'RW predict'!H65</f>
        <v>18</v>
      </c>
      <c r="P66" s="18">
        <f>'RW predict'!I65</f>
        <v>22</v>
      </c>
      <c r="Q66" s="18">
        <f>'RW predict'!L65</f>
        <v>6</v>
      </c>
      <c r="R66" s="18">
        <f>'RW predict'!N65</f>
        <v>0</v>
      </c>
      <c r="S66" s="76">
        <f>'RW predict'!O65</f>
        <v>0</v>
      </c>
      <c r="T66" s="76">
        <f>'RW predict'!K65</f>
        <v>4</v>
      </c>
      <c r="U66" s="22">
        <f>'RW predict'!J65</f>
        <v>154</v>
      </c>
      <c r="V66" s="32">
        <f>IF(D66="G",'RW predict'!E65,0)</f>
        <v>0</v>
      </c>
      <c r="W66" s="18">
        <f>'RW predict'!R65</f>
        <v>0</v>
      </c>
      <c r="X66" s="18">
        <f>'RW predict'!T65</f>
        <v>0</v>
      </c>
      <c r="Y66" s="18">
        <f>'RW predict'!Y65</f>
        <v>0</v>
      </c>
      <c r="Z66" s="18">
        <f>'RW predict'!U65</f>
        <v>0</v>
      </c>
      <c r="AA66" s="18">
        <f>'RW predict'!W65</f>
        <v>0</v>
      </c>
      <c r="AB66" s="17"/>
      <c r="AG66" s="23"/>
      <c r="AI66" s="17"/>
      <c r="AO66" s="23"/>
    </row>
    <row r="67" spans="1:41" x14ac:dyDescent="0.3">
      <c r="A67" s="18">
        <v>64</v>
      </c>
      <c r="B67" s="18" t="str">
        <f>'RW predict'!A66</f>
        <v>Ryan O'Reilly</v>
      </c>
      <c r="C67" s="18" t="str">
        <f>'RW predict'!B66</f>
        <v>STL</v>
      </c>
      <c r="D67" s="22" t="str" cm="1">
        <f t="array" ref="D67">_xlfn.SWITCH('RW predict'!C66, "C", "F", "LW","F", "RW", "F", "D", "D", "G", "G", "other")</f>
        <v>F</v>
      </c>
      <c r="E67" s="32">
        <f t="shared" si="0"/>
        <v>2506</v>
      </c>
      <c r="F67" s="35">
        <f>E67/assumptions!$B$2</f>
        <v>30.560975609756099</v>
      </c>
      <c r="G67" s="36">
        <f t="shared" si="1"/>
        <v>80</v>
      </c>
      <c r="H67" s="18">
        <f>IF(NOT(D67="G"),'RW predict'!E66,0)</f>
        <v>23</v>
      </c>
      <c r="I67" s="18">
        <f>'RW predict'!Q66</f>
        <v>40</v>
      </c>
      <c r="J67" s="18">
        <f>'RW predict'!F66</f>
        <v>44</v>
      </c>
      <c r="K67" s="18"/>
      <c r="L67" s="18"/>
      <c r="M67" s="18">
        <f>'RW predict'!P66</f>
        <v>21</v>
      </c>
      <c r="N67" s="18"/>
      <c r="O67" s="18">
        <f>'RW predict'!H66</f>
        <v>15</v>
      </c>
      <c r="P67" s="18">
        <f>'RW predict'!I66</f>
        <v>14</v>
      </c>
      <c r="Q67" s="18">
        <f>'RW predict'!L66</f>
        <v>7</v>
      </c>
      <c r="R67" s="18">
        <f>'RW predict'!N66</f>
        <v>1</v>
      </c>
      <c r="S67" s="76">
        <f>'RW predict'!O66</f>
        <v>2</v>
      </c>
      <c r="T67" s="76">
        <f>'RW predict'!K66</f>
        <v>4</v>
      </c>
      <c r="U67" s="22">
        <f>'RW predict'!J66</f>
        <v>174</v>
      </c>
      <c r="V67" s="32">
        <f>IF(D67="G",'RW predict'!E66,0)</f>
        <v>0</v>
      </c>
      <c r="W67" s="18">
        <f>'RW predict'!R66</f>
        <v>0</v>
      </c>
      <c r="X67" s="18">
        <f>'RW predict'!T66</f>
        <v>0</v>
      </c>
      <c r="Y67" s="18">
        <f>'RW predict'!Y66</f>
        <v>0</v>
      </c>
      <c r="Z67" s="18">
        <f>'RW predict'!U66</f>
        <v>0</v>
      </c>
      <c r="AA67" s="18">
        <f>'RW predict'!W66</f>
        <v>0</v>
      </c>
      <c r="AB67" s="17"/>
      <c r="AG67" s="23"/>
      <c r="AI67" s="17"/>
      <c r="AO67" s="23"/>
    </row>
    <row r="68" spans="1:41" x14ac:dyDescent="0.3">
      <c r="A68" s="18">
        <v>65</v>
      </c>
      <c r="B68" s="18" t="str">
        <f>'RW predict'!A67</f>
        <v>Kris Letang</v>
      </c>
      <c r="C68" s="18" t="str">
        <f>'RW predict'!B67</f>
        <v>PIT</v>
      </c>
      <c r="D68" s="22" t="str" cm="1">
        <f t="array" ref="D68">_xlfn.SWITCH('RW predict'!C67, "C", "F", "LW","F", "RW", "F", "D", "D", "G", "G", "other")</f>
        <v>D</v>
      </c>
      <c r="E68" s="32">
        <f t="shared" si="0"/>
        <v>2883</v>
      </c>
      <c r="F68" s="35">
        <f>E68/assumptions!$B$2</f>
        <v>35.158536585365852</v>
      </c>
      <c r="G68" s="36">
        <f t="shared" si="1"/>
        <v>45</v>
      </c>
      <c r="H68" s="18">
        <f>IF(NOT(D68="G"),'RW predict'!E67,0)</f>
        <v>12</v>
      </c>
      <c r="I68" s="18">
        <f>'RW predict'!Q67</f>
        <v>115</v>
      </c>
      <c r="J68" s="18">
        <f>'RW predict'!F67</f>
        <v>55</v>
      </c>
      <c r="K68" s="18"/>
      <c r="L68" s="18"/>
      <c r="M68" s="18">
        <f>'RW predict'!P67</f>
        <v>158</v>
      </c>
      <c r="N68" s="18"/>
      <c r="O68" s="18">
        <f>'RW predict'!H67</f>
        <v>19</v>
      </c>
      <c r="P68" s="18">
        <f>'RW predict'!I67</f>
        <v>48</v>
      </c>
      <c r="Q68" s="18">
        <f>'RW predict'!L67</f>
        <v>3</v>
      </c>
      <c r="R68" s="18">
        <f>'RW predict'!N67</f>
        <v>0</v>
      </c>
      <c r="S68" s="76">
        <f>'RW predict'!O67</f>
        <v>0</v>
      </c>
      <c r="T68" s="76">
        <f>'RW predict'!K67</f>
        <v>2</v>
      </c>
      <c r="U68" s="22">
        <f>'RW predict'!J67</f>
        <v>208</v>
      </c>
      <c r="V68" s="32">
        <f>IF(D68="G",'RW predict'!E67,0)</f>
        <v>0</v>
      </c>
      <c r="W68" s="18">
        <f>'RW predict'!R67</f>
        <v>0</v>
      </c>
      <c r="X68" s="18">
        <f>'RW predict'!T67</f>
        <v>0</v>
      </c>
      <c r="Y68" s="18">
        <f>'RW predict'!Y67</f>
        <v>0</v>
      </c>
      <c r="Z68" s="18">
        <f>'RW predict'!U67</f>
        <v>0</v>
      </c>
      <c r="AA68" s="18">
        <f>'RW predict'!W67</f>
        <v>0</v>
      </c>
      <c r="AB68" s="17"/>
      <c r="AG68" s="23"/>
      <c r="AI68" s="17"/>
      <c r="AO68" s="23"/>
    </row>
    <row r="69" spans="1:41" x14ac:dyDescent="0.3">
      <c r="A69" s="18">
        <v>66</v>
      </c>
      <c r="B69" s="18" t="str">
        <f>'RW predict'!A68</f>
        <v>Roope Hintz</v>
      </c>
      <c r="C69" s="18" t="str">
        <f>'RW predict'!B68</f>
        <v>DAL</v>
      </c>
      <c r="D69" s="22" t="str" cm="1">
        <f t="array" ref="D69">_xlfn.SWITCH('RW predict'!C68, "C", "F", "LW","F", "RW", "F", "D", "D", "G", "G", "other")</f>
        <v>F</v>
      </c>
      <c r="E69" s="32">
        <f t="shared" ref="E69:E132" si="2">H69*$H$3+I69*I$3+K69*K$3+L69*L$3+M69*M$3+N69*N$3+V69*V$3+J69*J$3+O69*$O$3+P69*$P$3+Q69*$Q$3+R69*$R$3+S69*$S$3+T69*$T$3+U69*$U$3+W69*$W$3+X69*$X$3+Y69*$Y$3+Z69*$Z$3+AA69*$AA$3</f>
        <v>2737</v>
      </c>
      <c r="F69" s="35">
        <f>E69/assumptions!$B$2</f>
        <v>33.378048780487802</v>
      </c>
      <c r="G69" s="36">
        <f t="shared" ref="G69:G132" si="3">RANK(E69,$E$4:$E$1100)</f>
        <v>56</v>
      </c>
      <c r="H69" s="18">
        <f>IF(NOT(D69="G"),'RW predict'!E68,0)</f>
        <v>34</v>
      </c>
      <c r="I69" s="18">
        <f>'RW predict'!Q68</f>
        <v>46</v>
      </c>
      <c r="J69" s="18">
        <f>'RW predict'!F68</f>
        <v>33</v>
      </c>
      <c r="K69" s="18"/>
      <c r="L69" s="18"/>
      <c r="M69" s="18">
        <f>'RW predict'!P68</f>
        <v>80</v>
      </c>
      <c r="N69" s="18"/>
      <c r="O69" s="18">
        <f>'RW predict'!H68</f>
        <v>14</v>
      </c>
      <c r="P69" s="18">
        <f>'RW predict'!I68</f>
        <v>24</v>
      </c>
      <c r="Q69" s="18">
        <f>'RW predict'!L68</f>
        <v>8</v>
      </c>
      <c r="R69" s="18">
        <f>'RW predict'!N68</f>
        <v>2</v>
      </c>
      <c r="S69" s="76">
        <f>'RW predict'!O68</f>
        <v>1</v>
      </c>
      <c r="T69" s="76">
        <f>'RW predict'!K68</f>
        <v>7</v>
      </c>
      <c r="U69" s="22">
        <f>'RW predict'!J68</f>
        <v>204</v>
      </c>
      <c r="V69" s="32">
        <f>IF(D69="G",'RW predict'!E68,0)</f>
        <v>0</v>
      </c>
      <c r="W69" s="18">
        <f>'RW predict'!R68</f>
        <v>0</v>
      </c>
      <c r="X69" s="18">
        <f>'RW predict'!T68</f>
        <v>0</v>
      </c>
      <c r="Y69" s="18">
        <f>'RW predict'!Y68</f>
        <v>0</v>
      </c>
      <c r="Z69" s="18">
        <f>'RW predict'!U68</f>
        <v>0</v>
      </c>
      <c r="AA69" s="18">
        <f>'RW predict'!W68</f>
        <v>0</v>
      </c>
      <c r="AB69" s="17"/>
      <c r="AG69" s="23"/>
      <c r="AI69" s="17"/>
      <c r="AO69" s="23"/>
    </row>
    <row r="70" spans="1:41" x14ac:dyDescent="0.3">
      <c r="A70" s="18">
        <v>67</v>
      </c>
      <c r="B70" s="18" t="str">
        <f>'RW predict'!A69</f>
        <v>Clayton Keller</v>
      </c>
      <c r="C70" s="18" t="str">
        <f>'RW predict'!B69</f>
        <v>ARI</v>
      </c>
      <c r="D70" s="22" t="str" cm="1">
        <f t="array" ref="D70">_xlfn.SWITCH('RW predict'!C69, "C", "F", "LW","F", "RW", "F", "D", "D", "G", "G", "other")</f>
        <v>F</v>
      </c>
      <c r="E70" s="32">
        <f t="shared" si="2"/>
        <v>2433</v>
      </c>
      <c r="F70" s="35">
        <f>E70/assumptions!$B$2</f>
        <v>29.670731707317074</v>
      </c>
      <c r="G70" s="36">
        <f t="shared" si="3"/>
        <v>92</v>
      </c>
      <c r="H70" s="18">
        <f>IF(NOT(D70="G"),'RW predict'!E69,0)</f>
        <v>28</v>
      </c>
      <c r="I70" s="18">
        <f>'RW predict'!Q69</f>
        <v>29</v>
      </c>
      <c r="J70" s="18">
        <f>'RW predict'!F69</f>
        <v>39</v>
      </c>
      <c r="K70" s="18"/>
      <c r="L70" s="18"/>
      <c r="M70" s="18">
        <f>'RW predict'!P69</f>
        <v>20</v>
      </c>
      <c r="N70" s="18"/>
      <c r="O70" s="18">
        <f>'RW predict'!H69</f>
        <v>2</v>
      </c>
      <c r="P70" s="18">
        <f>'RW predict'!I69</f>
        <v>28</v>
      </c>
      <c r="Q70" s="18">
        <f>'RW predict'!L69</f>
        <v>7</v>
      </c>
      <c r="R70" s="18">
        <f>'RW predict'!N69</f>
        <v>1</v>
      </c>
      <c r="S70" s="76">
        <f>'RW predict'!O69</f>
        <v>1</v>
      </c>
      <c r="T70" s="76">
        <f>'RW predict'!K69</f>
        <v>4</v>
      </c>
      <c r="U70" s="22">
        <f>'RW predict'!J69</f>
        <v>198</v>
      </c>
      <c r="V70" s="32">
        <f>IF(D70="G",'RW predict'!E69,0)</f>
        <v>0</v>
      </c>
      <c r="W70" s="18">
        <f>'RW predict'!R69</f>
        <v>0</v>
      </c>
      <c r="X70" s="18">
        <f>'RW predict'!T69</f>
        <v>0</v>
      </c>
      <c r="Y70" s="18">
        <f>'RW predict'!Y69</f>
        <v>0</v>
      </c>
      <c r="Z70" s="18">
        <f>'RW predict'!U69</f>
        <v>0</v>
      </c>
      <c r="AA70" s="18">
        <f>'RW predict'!W69</f>
        <v>0</v>
      </c>
      <c r="AB70" s="17"/>
      <c r="AG70" s="23"/>
      <c r="AI70" s="17"/>
      <c r="AO70" s="23"/>
    </row>
    <row r="71" spans="1:41" x14ac:dyDescent="0.3">
      <c r="A71" s="18">
        <v>68</v>
      </c>
      <c r="B71" s="18" t="str">
        <f>'RW predict'!A70</f>
        <v>Trevor Zegras</v>
      </c>
      <c r="C71" s="18" t="str">
        <f>'RW predict'!B70</f>
        <v>ANH</v>
      </c>
      <c r="D71" s="22" t="str" cm="1">
        <f t="array" ref="D71">_xlfn.SWITCH('RW predict'!C70, "C", "F", "LW","F", "RW", "F", "D", "D", "G", "G", "other")</f>
        <v>F</v>
      </c>
      <c r="E71" s="32">
        <f t="shared" si="2"/>
        <v>2331</v>
      </c>
      <c r="F71" s="35">
        <f>E71/assumptions!$B$2</f>
        <v>28.426829268292682</v>
      </c>
      <c r="G71" s="36">
        <f t="shared" si="3"/>
        <v>107</v>
      </c>
      <c r="H71" s="18">
        <f>IF(NOT(D71="G"),'RW predict'!E70,0)</f>
        <v>25</v>
      </c>
      <c r="I71" s="18">
        <f>'RW predict'!Q70</f>
        <v>25</v>
      </c>
      <c r="J71" s="18">
        <f>'RW predict'!F70</f>
        <v>42</v>
      </c>
      <c r="K71" s="18"/>
      <c r="L71" s="18"/>
      <c r="M71" s="18">
        <f>'RW predict'!P70</f>
        <v>52</v>
      </c>
      <c r="N71" s="18"/>
      <c r="O71" s="18">
        <f>'RW predict'!H70</f>
        <v>-15</v>
      </c>
      <c r="P71" s="18">
        <f>'RW predict'!I70</f>
        <v>46</v>
      </c>
      <c r="Q71" s="18">
        <f>'RW predict'!L70</f>
        <v>8</v>
      </c>
      <c r="R71" s="18">
        <f>'RW predict'!N70</f>
        <v>0</v>
      </c>
      <c r="S71" s="76">
        <f>'RW predict'!O70</f>
        <v>0</v>
      </c>
      <c r="T71" s="76">
        <f>'RW predict'!K70</f>
        <v>5</v>
      </c>
      <c r="U71" s="22">
        <f>'RW predict'!J70</f>
        <v>193</v>
      </c>
      <c r="V71" s="32">
        <f>IF(D71="G",'RW predict'!E70,0)</f>
        <v>0</v>
      </c>
      <c r="W71" s="18">
        <f>'RW predict'!R70</f>
        <v>0</v>
      </c>
      <c r="X71" s="18">
        <f>'RW predict'!T70</f>
        <v>0</v>
      </c>
      <c r="Y71" s="18">
        <f>'RW predict'!Y70</f>
        <v>0</v>
      </c>
      <c r="Z71" s="18">
        <f>'RW predict'!U70</f>
        <v>0</v>
      </c>
      <c r="AA71" s="18">
        <f>'RW predict'!W70</f>
        <v>0</v>
      </c>
      <c r="AB71" s="17"/>
      <c r="AG71" s="23"/>
      <c r="AI71" s="17"/>
      <c r="AO71" s="23"/>
    </row>
    <row r="72" spans="1:41" x14ac:dyDescent="0.3">
      <c r="A72" s="18">
        <v>69</v>
      </c>
      <c r="B72" s="18" t="str">
        <f>'RW predict'!A71</f>
        <v>Evgeni Malkin</v>
      </c>
      <c r="C72" s="18" t="str">
        <f>'RW predict'!B71</f>
        <v>PIT</v>
      </c>
      <c r="D72" s="22" t="str" cm="1">
        <f t="array" ref="D72">_xlfn.SWITCH('RW predict'!C71, "C", "F", "LW","F", "RW", "F", "D", "D", "G", "G", "other")</f>
        <v>F</v>
      </c>
      <c r="E72" s="32">
        <f t="shared" si="2"/>
        <v>2462</v>
      </c>
      <c r="F72" s="35">
        <f>E72/assumptions!$B$2</f>
        <v>30.024390243902438</v>
      </c>
      <c r="G72" s="36">
        <f t="shared" si="3"/>
        <v>87</v>
      </c>
      <c r="H72" s="18">
        <f>IF(NOT(D72="G"),'RW predict'!E71,0)</f>
        <v>26</v>
      </c>
      <c r="I72" s="18">
        <f>'RW predict'!Q71</f>
        <v>29</v>
      </c>
      <c r="J72" s="18">
        <f>'RW predict'!F71</f>
        <v>40</v>
      </c>
      <c r="K72" s="18"/>
      <c r="L72" s="18"/>
      <c r="M72" s="18">
        <f>'RW predict'!P71</f>
        <v>37</v>
      </c>
      <c r="N72" s="18"/>
      <c r="O72" s="18">
        <f>'RW predict'!H71</f>
        <v>-12</v>
      </c>
      <c r="P72" s="18">
        <f>'RW predict'!I71</f>
        <v>45</v>
      </c>
      <c r="Q72" s="18">
        <f>'RW predict'!L71</f>
        <v>14</v>
      </c>
      <c r="R72" s="18">
        <f>'RW predict'!N71</f>
        <v>0</v>
      </c>
      <c r="S72" s="76">
        <f>'RW predict'!O71</f>
        <v>0</v>
      </c>
      <c r="T72" s="76">
        <f>'RW predict'!K71</f>
        <v>8</v>
      </c>
      <c r="U72" s="22">
        <f>'RW predict'!J71</f>
        <v>201</v>
      </c>
      <c r="V72" s="32">
        <f>IF(D72="G",'RW predict'!E71,0)</f>
        <v>0</v>
      </c>
      <c r="W72" s="18">
        <f>'RW predict'!R71</f>
        <v>0</v>
      </c>
      <c r="X72" s="18">
        <f>'RW predict'!T71</f>
        <v>0</v>
      </c>
      <c r="Y72" s="18">
        <f>'RW predict'!Y71</f>
        <v>0</v>
      </c>
      <c r="Z72" s="18">
        <f>'RW predict'!U71</f>
        <v>0</v>
      </c>
      <c r="AA72" s="18">
        <f>'RW predict'!W71</f>
        <v>0</v>
      </c>
      <c r="AB72" s="17"/>
      <c r="AG72" s="23"/>
      <c r="AI72" s="17"/>
      <c r="AO72" s="23"/>
    </row>
    <row r="73" spans="1:41" x14ac:dyDescent="0.3">
      <c r="A73" s="18">
        <v>70</v>
      </c>
      <c r="B73" s="18" t="str">
        <f>'RW predict'!A72</f>
        <v>Michael Bunting</v>
      </c>
      <c r="C73" s="18" t="str">
        <f>'RW predict'!B72</f>
        <v>TOR</v>
      </c>
      <c r="D73" s="22" t="str" cm="1">
        <f t="array" ref="D73">_xlfn.SWITCH('RW predict'!C72, "C", "F", "LW","F", "RW", "F", "D", "D", "G", "G", "other")</f>
        <v>F</v>
      </c>
      <c r="E73" s="32">
        <f t="shared" si="2"/>
        <v>2655</v>
      </c>
      <c r="F73" s="35">
        <f>E73/assumptions!$B$2</f>
        <v>32.378048780487802</v>
      </c>
      <c r="G73" s="36">
        <f t="shared" si="3"/>
        <v>66</v>
      </c>
      <c r="H73" s="18">
        <f>IF(NOT(D73="G"),'RW predict'!E72,0)</f>
        <v>24</v>
      </c>
      <c r="I73" s="18">
        <f>'RW predict'!Q72</f>
        <v>19</v>
      </c>
      <c r="J73" s="18">
        <f>'RW predict'!F72</f>
        <v>41</v>
      </c>
      <c r="K73" s="18"/>
      <c r="L73" s="18"/>
      <c r="M73" s="18">
        <f>'RW predict'!P72</f>
        <v>86</v>
      </c>
      <c r="N73" s="18"/>
      <c r="O73" s="18">
        <f>'RW predict'!H72</f>
        <v>22</v>
      </c>
      <c r="P73" s="18">
        <f>'RW predict'!I72</f>
        <v>76</v>
      </c>
      <c r="Q73" s="18">
        <f>'RW predict'!L72</f>
        <v>3</v>
      </c>
      <c r="R73" s="18">
        <f>'RW predict'!N72</f>
        <v>0</v>
      </c>
      <c r="S73" s="76">
        <f>'RW predict'!O72</f>
        <v>0</v>
      </c>
      <c r="T73" s="76">
        <f>'RW predict'!K72</f>
        <v>4</v>
      </c>
      <c r="U73" s="22">
        <f>'RW predict'!J72</f>
        <v>174</v>
      </c>
      <c r="V73" s="32">
        <f>IF(D73="G",'RW predict'!E72,0)</f>
        <v>0</v>
      </c>
      <c r="W73" s="18">
        <f>'RW predict'!R72</f>
        <v>0</v>
      </c>
      <c r="X73" s="18">
        <f>'RW predict'!T72</f>
        <v>0</v>
      </c>
      <c r="Y73" s="18">
        <f>'RW predict'!Y72</f>
        <v>0</v>
      </c>
      <c r="Z73" s="18">
        <f>'RW predict'!U72</f>
        <v>0</v>
      </c>
      <c r="AA73" s="18">
        <f>'RW predict'!W72</f>
        <v>0</v>
      </c>
      <c r="AB73" s="17"/>
      <c r="AG73" s="23"/>
      <c r="AI73" s="17"/>
      <c r="AO73" s="23"/>
    </row>
    <row r="74" spans="1:41" x14ac:dyDescent="0.3">
      <c r="A74" s="18">
        <v>71</v>
      </c>
      <c r="B74" s="18" t="str">
        <f>'RW predict'!A73</f>
        <v>Nick Suzuki</v>
      </c>
      <c r="C74" s="18" t="str">
        <f>'RW predict'!B73</f>
        <v>MON</v>
      </c>
      <c r="D74" s="22" t="str" cm="1">
        <f t="array" ref="D74">_xlfn.SWITCH('RW predict'!C73, "C", "F", "LW","F", "RW", "F", "D", "D", "G", "G", "other")</f>
        <v>F</v>
      </c>
      <c r="E74" s="32">
        <f t="shared" si="2"/>
        <v>2270</v>
      </c>
      <c r="F74" s="35">
        <f>E74/assumptions!$B$2</f>
        <v>27.682926829268293</v>
      </c>
      <c r="G74" s="36">
        <f t="shared" si="3"/>
        <v>115</v>
      </c>
      <c r="H74" s="18">
        <f>IF(NOT(D74="G"),'RW predict'!E73,0)</f>
        <v>22</v>
      </c>
      <c r="I74" s="18">
        <f>'RW predict'!Q73</f>
        <v>59</v>
      </c>
      <c r="J74" s="18">
        <f>'RW predict'!F73</f>
        <v>42</v>
      </c>
      <c r="K74" s="18"/>
      <c r="L74" s="18"/>
      <c r="M74" s="18">
        <f>'RW predict'!P73</f>
        <v>94</v>
      </c>
      <c r="N74" s="18"/>
      <c r="O74" s="18">
        <f>'RW predict'!H73</f>
        <v>-22</v>
      </c>
      <c r="P74" s="18">
        <f>'RW predict'!I73</f>
        <v>30</v>
      </c>
      <c r="Q74" s="18">
        <f>'RW predict'!L73</f>
        <v>8</v>
      </c>
      <c r="R74" s="18">
        <f>'RW predict'!N73</f>
        <v>1</v>
      </c>
      <c r="S74" s="76">
        <f>'RW predict'!O73</f>
        <v>2</v>
      </c>
      <c r="T74" s="76">
        <f>'RW predict'!K73</f>
        <v>4</v>
      </c>
      <c r="U74" s="22">
        <f>'RW predict'!J73</f>
        <v>194</v>
      </c>
      <c r="V74" s="32">
        <f>IF(D74="G",'RW predict'!E73,0)</f>
        <v>0</v>
      </c>
      <c r="W74" s="18">
        <f>'RW predict'!R73</f>
        <v>0</v>
      </c>
      <c r="X74" s="18">
        <f>'RW predict'!T73</f>
        <v>0</v>
      </c>
      <c r="Y74" s="18">
        <f>'RW predict'!Y73</f>
        <v>0</v>
      </c>
      <c r="Z74" s="18">
        <f>'RW predict'!U73</f>
        <v>0</v>
      </c>
      <c r="AA74" s="18">
        <f>'RW predict'!W73</f>
        <v>0</v>
      </c>
      <c r="AB74" s="17"/>
      <c r="AG74" s="23"/>
      <c r="AI74" s="17"/>
      <c r="AO74" s="23"/>
    </row>
    <row r="75" spans="1:41" x14ac:dyDescent="0.3">
      <c r="A75" s="18">
        <v>72</v>
      </c>
      <c r="B75" s="18" t="str">
        <f>'RW predict'!A74</f>
        <v>Blake Wheeler</v>
      </c>
      <c r="C75" s="18" t="str">
        <f>'RW predict'!B74</f>
        <v>WPG</v>
      </c>
      <c r="D75" s="22" t="str" cm="1">
        <f t="array" ref="D75">_xlfn.SWITCH('RW predict'!C74, "C", "F", "LW","F", "RW", "F", "D", "D", "G", "G", "other")</f>
        <v>F</v>
      </c>
      <c r="E75" s="32">
        <f t="shared" si="2"/>
        <v>2154</v>
      </c>
      <c r="F75" s="35">
        <f>E75/assumptions!$B$2</f>
        <v>26.26829268292683</v>
      </c>
      <c r="G75" s="36">
        <f t="shared" si="3"/>
        <v>135</v>
      </c>
      <c r="H75" s="18">
        <f>IF(NOT(D75="G"),'RW predict'!E74,0)</f>
        <v>18</v>
      </c>
      <c r="I75" s="18">
        <f>'RW predict'!Q74</f>
        <v>41</v>
      </c>
      <c r="J75" s="18">
        <f>'RW predict'!F74</f>
        <v>46</v>
      </c>
      <c r="K75" s="18"/>
      <c r="L75" s="18"/>
      <c r="M75" s="18">
        <f>'RW predict'!P74</f>
        <v>72</v>
      </c>
      <c r="N75" s="18"/>
      <c r="O75" s="18">
        <f>'RW predict'!H74</f>
        <v>-16</v>
      </c>
      <c r="P75" s="18">
        <f>'RW predict'!I74</f>
        <v>46</v>
      </c>
      <c r="Q75" s="18">
        <f>'RW predict'!L74</f>
        <v>4</v>
      </c>
      <c r="R75" s="18">
        <f>'RW predict'!N74</f>
        <v>0</v>
      </c>
      <c r="S75" s="76">
        <f>'RW predict'!O74</f>
        <v>0</v>
      </c>
      <c r="T75" s="76">
        <f>'RW predict'!K74</f>
        <v>2</v>
      </c>
      <c r="U75" s="22">
        <f>'RW predict'!J74</f>
        <v>171</v>
      </c>
      <c r="V75" s="32">
        <f>IF(D75="G",'RW predict'!E74,0)</f>
        <v>0</v>
      </c>
      <c r="W75" s="18">
        <f>'RW predict'!R74</f>
        <v>0</v>
      </c>
      <c r="X75" s="18">
        <f>'RW predict'!T74</f>
        <v>0</v>
      </c>
      <c r="Y75" s="18">
        <f>'RW predict'!Y74</f>
        <v>0</v>
      </c>
      <c r="Z75" s="18">
        <f>'RW predict'!U74</f>
        <v>0</v>
      </c>
      <c r="AA75" s="18">
        <f>'RW predict'!W74</f>
        <v>0</v>
      </c>
      <c r="AB75" s="17"/>
      <c r="AG75" s="23"/>
      <c r="AI75" s="17"/>
      <c r="AO75" s="23"/>
    </row>
    <row r="76" spans="1:41" x14ac:dyDescent="0.3">
      <c r="A76" s="18">
        <v>73</v>
      </c>
      <c r="B76" s="18" t="str">
        <f>'RW predict'!A75</f>
        <v>Morgan Rielly</v>
      </c>
      <c r="C76" s="18" t="str">
        <f>'RW predict'!B75</f>
        <v>TOR</v>
      </c>
      <c r="D76" s="22" t="str" cm="1">
        <f t="array" ref="D76">_xlfn.SWITCH('RW predict'!C75, "C", "F", "LW","F", "RW", "F", "D", "D", "G", "G", "other")</f>
        <v>D</v>
      </c>
      <c r="E76" s="32">
        <f t="shared" si="2"/>
        <v>2607</v>
      </c>
      <c r="F76" s="35">
        <f>E76/assumptions!$B$2</f>
        <v>31.792682926829269</v>
      </c>
      <c r="G76" s="36">
        <f t="shared" si="3"/>
        <v>70</v>
      </c>
      <c r="H76" s="18">
        <f>IF(NOT(D76="G"),'RW predict'!E75,0)</f>
        <v>9</v>
      </c>
      <c r="I76" s="18">
        <f>'RW predict'!Q75</f>
        <v>85</v>
      </c>
      <c r="J76" s="18">
        <f>'RW predict'!F75</f>
        <v>55</v>
      </c>
      <c r="K76" s="18"/>
      <c r="L76" s="18"/>
      <c r="M76" s="18">
        <f>'RW predict'!P75</f>
        <v>87</v>
      </c>
      <c r="N76" s="18"/>
      <c r="O76" s="18">
        <f>'RW predict'!H75</f>
        <v>15</v>
      </c>
      <c r="P76" s="18">
        <f>'RW predict'!I75</f>
        <v>34</v>
      </c>
      <c r="Q76" s="18">
        <f>'RW predict'!L75</f>
        <v>2</v>
      </c>
      <c r="R76" s="18">
        <f>'RW predict'!N75</f>
        <v>0</v>
      </c>
      <c r="S76" s="76">
        <f>'RW predict'!O75</f>
        <v>2</v>
      </c>
      <c r="T76" s="76">
        <f>'RW predict'!K75</f>
        <v>2</v>
      </c>
      <c r="U76" s="22">
        <f>'RW predict'!J75</f>
        <v>209</v>
      </c>
      <c r="V76" s="32">
        <f>IF(D76="G",'RW predict'!E75,0)</f>
        <v>0</v>
      </c>
      <c r="W76" s="18">
        <f>'RW predict'!R75</f>
        <v>0</v>
      </c>
      <c r="X76" s="18">
        <f>'RW predict'!T75</f>
        <v>0</v>
      </c>
      <c r="Y76" s="18">
        <f>'RW predict'!Y75</f>
        <v>0</v>
      </c>
      <c r="Z76" s="18">
        <f>'RW predict'!U75</f>
        <v>0</v>
      </c>
      <c r="AA76" s="18">
        <f>'RW predict'!W75</f>
        <v>0</v>
      </c>
      <c r="AB76" s="17"/>
      <c r="AG76" s="23"/>
      <c r="AI76" s="17"/>
      <c r="AO76" s="23"/>
    </row>
    <row r="77" spans="1:41" x14ac:dyDescent="0.3">
      <c r="A77" s="18">
        <v>74</v>
      </c>
      <c r="B77" s="18" t="str">
        <f>'RW predict'!A76</f>
        <v>Mathew Barzal</v>
      </c>
      <c r="C77" s="18" t="str">
        <f>'RW predict'!B76</f>
        <v>NYI</v>
      </c>
      <c r="D77" s="22" t="str" cm="1">
        <f t="array" ref="D77">_xlfn.SWITCH('RW predict'!C76, "C", "F", "LW","F", "RW", "F", "D", "D", "G", "G", "other")</f>
        <v>F</v>
      </c>
      <c r="E77" s="32">
        <f t="shared" si="2"/>
        <v>2101</v>
      </c>
      <c r="F77" s="35">
        <f>E77/assumptions!$B$2</f>
        <v>25.621951219512194</v>
      </c>
      <c r="G77" s="36">
        <f t="shared" si="3"/>
        <v>149</v>
      </c>
      <c r="H77" s="18">
        <f>IF(NOT(D77="G"),'RW predict'!E76,0)</f>
        <v>19</v>
      </c>
      <c r="I77" s="18">
        <f>'RW predict'!Q76</f>
        <v>21</v>
      </c>
      <c r="J77" s="18">
        <f>'RW predict'!F76</f>
        <v>44</v>
      </c>
      <c r="K77" s="18"/>
      <c r="L77" s="18"/>
      <c r="M77" s="18">
        <f>'RW predict'!P76</f>
        <v>32</v>
      </c>
      <c r="N77" s="18"/>
      <c r="O77" s="18">
        <f>'RW predict'!H76</f>
        <v>-7</v>
      </c>
      <c r="P77" s="18">
        <f>'RW predict'!I76</f>
        <v>30</v>
      </c>
      <c r="Q77" s="18">
        <f>'RW predict'!L76</f>
        <v>2</v>
      </c>
      <c r="R77" s="18">
        <f>'RW predict'!N76</f>
        <v>0</v>
      </c>
      <c r="S77" s="76">
        <f>'RW predict'!O76</f>
        <v>0</v>
      </c>
      <c r="T77" s="76">
        <f>'RW predict'!K76</f>
        <v>3</v>
      </c>
      <c r="U77" s="22">
        <f>'RW predict'!J76</f>
        <v>176</v>
      </c>
      <c r="V77" s="32">
        <f>IF(D77="G",'RW predict'!E76,0)</f>
        <v>0</v>
      </c>
      <c r="W77" s="18">
        <f>'RW predict'!R76</f>
        <v>0</v>
      </c>
      <c r="X77" s="18">
        <f>'RW predict'!T76</f>
        <v>0</v>
      </c>
      <c r="Y77" s="18">
        <f>'RW predict'!Y76</f>
        <v>0</v>
      </c>
      <c r="Z77" s="18">
        <f>'RW predict'!U76</f>
        <v>0</v>
      </c>
      <c r="AA77" s="18">
        <f>'RW predict'!W76</f>
        <v>0</v>
      </c>
      <c r="AB77" s="17"/>
      <c r="AG77" s="23"/>
      <c r="AI77" s="17"/>
      <c r="AO77" s="23"/>
    </row>
    <row r="78" spans="1:41" x14ac:dyDescent="0.3">
      <c r="A78" s="18">
        <v>75</v>
      </c>
      <c r="B78" s="18" t="str">
        <f>'RW predict'!A77</f>
        <v>Teuvo Teravainen</v>
      </c>
      <c r="C78" s="18" t="str">
        <f>'RW predict'!B77</f>
        <v>CAR</v>
      </c>
      <c r="D78" s="22" t="str" cm="1">
        <f t="array" ref="D78">_xlfn.SWITCH('RW predict'!C77, "C", "F", "LW","F", "RW", "F", "D", "D", "G", "G", "other")</f>
        <v>F</v>
      </c>
      <c r="E78" s="32">
        <f t="shared" si="2"/>
        <v>2517</v>
      </c>
      <c r="F78" s="35">
        <f>E78/assumptions!$B$2</f>
        <v>30.695121951219512</v>
      </c>
      <c r="G78" s="36">
        <f t="shared" si="3"/>
        <v>79</v>
      </c>
      <c r="H78" s="18">
        <f>IF(NOT(D78="G"),'RW predict'!E77,0)</f>
        <v>20</v>
      </c>
      <c r="I78" s="18">
        <f>'RW predict'!Q77</f>
        <v>30</v>
      </c>
      <c r="J78" s="18">
        <f>'RW predict'!F77</f>
        <v>43</v>
      </c>
      <c r="K78" s="18"/>
      <c r="L78" s="18"/>
      <c r="M78" s="18">
        <f>'RW predict'!P77</f>
        <v>16</v>
      </c>
      <c r="N78" s="18"/>
      <c r="O78" s="18">
        <f>'RW predict'!H77</f>
        <v>21</v>
      </c>
      <c r="P78" s="18">
        <f>'RW predict'!I77</f>
        <v>20</v>
      </c>
      <c r="Q78" s="18">
        <f>'RW predict'!L77</f>
        <v>7</v>
      </c>
      <c r="R78" s="18">
        <f>'RW predict'!N77</f>
        <v>1</v>
      </c>
      <c r="S78" s="76">
        <f>'RW predict'!O77</f>
        <v>2</v>
      </c>
      <c r="T78" s="76">
        <f>'RW predict'!K77</f>
        <v>5</v>
      </c>
      <c r="U78" s="22">
        <f>'RW predict'!J77</f>
        <v>193</v>
      </c>
      <c r="V78" s="32">
        <f>IF(D78="G",'RW predict'!E77,0)</f>
        <v>0</v>
      </c>
      <c r="W78" s="18">
        <f>'RW predict'!R77</f>
        <v>0</v>
      </c>
      <c r="X78" s="18">
        <f>'RW predict'!T77</f>
        <v>0</v>
      </c>
      <c r="Y78" s="18">
        <f>'RW predict'!Y77</f>
        <v>0</v>
      </c>
      <c r="Z78" s="18">
        <f>'RW predict'!U77</f>
        <v>0</v>
      </c>
      <c r="AA78" s="18">
        <f>'RW predict'!W77</f>
        <v>0</v>
      </c>
      <c r="AB78" s="17"/>
      <c r="AG78" s="23"/>
      <c r="AI78" s="17"/>
      <c r="AO78" s="23"/>
    </row>
    <row r="79" spans="1:41" x14ac:dyDescent="0.3">
      <c r="A79" s="18">
        <v>76</v>
      </c>
      <c r="B79" s="18" t="str">
        <f>'RW predict'!A78</f>
        <v>Jonathan Marchessault</v>
      </c>
      <c r="C79" s="18" t="str">
        <f>'RW predict'!B78</f>
        <v>VGK</v>
      </c>
      <c r="D79" s="22" t="str" cm="1">
        <f t="array" ref="D79">_xlfn.SWITCH('RW predict'!C78, "C", "F", "LW","F", "RW", "F", "D", "D", "G", "G", "other")</f>
        <v>F</v>
      </c>
      <c r="E79" s="32">
        <f t="shared" si="2"/>
        <v>2545</v>
      </c>
      <c r="F79" s="35">
        <f>E79/assumptions!$B$2</f>
        <v>31.036585365853657</v>
      </c>
      <c r="G79" s="36">
        <f t="shared" si="3"/>
        <v>77</v>
      </c>
      <c r="H79" s="18">
        <f>IF(NOT(D79="G"),'RW predict'!E78,0)</f>
        <v>28</v>
      </c>
      <c r="I79" s="18">
        <f>'RW predict'!Q78</f>
        <v>17</v>
      </c>
      <c r="J79" s="18">
        <f>'RW predict'!F78</f>
        <v>35</v>
      </c>
      <c r="K79" s="18"/>
      <c r="L79" s="18"/>
      <c r="M79" s="18">
        <f>'RW predict'!P78</f>
        <v>68</v>
      </c>
      <c r="N79" s="18"/>
      <c r="O79" s="18">
        <f>'RW predict'!H78</f>
        <v>7</v>
      </c>
      <c r="P79" s="18">
        <f>'RW predict'!I78</f>
        <v>40</v>
      </c>
      <c r="Q79" s="18">
        <f>'RW predict'!L78</f>
        <v>5</v>
      </c>
      <c r="R79" s="18">
        <f>'RW predict'!N78</f>
        <v>0</v>
      </c>
      <c r="S79" s="76">
        <f>'RW predict'!O78</f>
        <v>0</v>
      </c>
      <c r="T79" s="76">
        <f>'RW predict'!K78</f>
        <v>5</v>
      </c>
      <c r="U79" s="22">
        <f>'RW predict'!J78</f>
        <v>264</v>
      </c>
      <c r="V79" s="32">
        <f>IF(D79="G",'RW predict'!E78,0)</f>
        <v>0</v>
      </c>
      <c r="W79" s="18">
        <f>'RW predict'!R78</f>
        <v>0</v>
      </c>
      <c r="X79" s="18">
        <f>'RW predict'!T78</f>
        <v>0</v>
      </c>
      <c r="Y79" s="18">
        <f>'RW predict'!Y78</f>
        <v>0</v>
      </c>
      <c r="Z79" s="18">
        <f>'RW predict'!U78</f>
        <v>0</v>
      </c>
      <c r="AA79" s="18">
        <f>'RW predict'!W78</f>
        <v>0</v>
      </c>
      <c r="AB79" s="17"/>
      <c r="AG79" s="23"/>
      <c r="AI79" s="17"/>
      <c r="AO79" s="23"/>
    </row>
    <row r="80" spans="1:41" x14ac:dyDescent="0.3">
      <c r="A80" s="18">
        <v>77</v>
      </c>
      <c r="B80" s="18" t="str">
        <f>'RW predict'!A79</f>
        <v>Pierre-Luc Dubois</v>
      </c>
      <c r="C80" s="18" t="str">
        <f>'RW predict'!B79</f>
        <v>WPG</v>
      </c>
      <c r="D80" s="22" t="str" cm="1">
        <f t="array" ref="D80">_xlfn.SWITCH('RW predict'!C79, "C", "F", "LW","F", "RW", "F", "D", "D", "G", "G", "other")</f>
        <v>F</v>
      </c>
      <c r="E80" s="32">
        <f t="shared" si="2"/>
        <v>2716</v>
      </c>
      <c r="F80" s="35">
        <f>E80/assumptions!$B$2</f>
        <v>33.121951219512198</v>
      </c>
      <c r="G80" s="36">
        <f t="shared" si="3"/>
        <v>58</v>
      </c>
      <c r="H80" s="18">
        <f>IF(NOT(D80="G"),'RW predict'!E79,0)</f>
        <v>29</v>
      </c>
      <c r="I80" s="18">
        <f>'RW predict'!Q79</f>
        <v>51</v>
      </c>
      <c r="J80" s="18">
        <f>'RW predict'!F79</f>
        <v>34</v>
      </c>
      <c r="K80" s="18"/>
      <c r="L80" s="18"/>
      <c r="M80" s="18">
        <f>'RW predict'!P79</f>
        <v>115</v>
      </c>
      <c r="N80" s="18"/>
      <c r="O80" s="18">
        <f>'RW predict'!H79</f>
        <v>-7</v>
      </c>
      <c r="P80" s="18">
        <f>'RW predict'!I79</f>
        <v>98</v>
      </c>
      <c r="Q80" s="18">
        <f>'RW predict'!L79</f>
        <v>12</v>
      </c>
      <c r="R80" s="18">
        <f>'RW predict'!N79</f>
        <v>0</v>
      </c>
      <c r="S80" s="76">
        <f>'RW predict'!O79</f>
        <v>0</v>
      </c>
      <c r="T80" s="76">
        <f>'RW predict'!K79</f>
        <v>5</v>
      </c>
      <c r="U80" s="22">
        <f>'RW predict'!J79</f>
        <v>240</v>
      </c>
      <c r="V80" s="32">
        <f>IF(D80="G",'RW predict'!E79,0)</f>
        <v>0</v>
      </c>
      <c r="W80" s="18">
        <f>'RW predict'!R79</f>
        <v>0</v>
      </c>
      <c r="X80" s="18">
        <f>'RW predict'!T79</f>
        <v>0</v>
      </c>
      <c r="Y80" s="18">
        <f>'RW predict'!Y79</f>
        <v>0</v>
      </c>
      <c r="Z80" s="18">
        <f>'RW predict'!U79</f>
        <v>0</v>
      </c>
      <c r="AA80" s="18">
        <f>'RW predict'!W79</f>
        <v>0</v>
      </c>
      <c r="AB80" s="17"/>
      <c r="AG80" s="23"/>
      <c r="AI80" s="17"/>
      <c r="AO80" s="23"/>
    </row>
    <row r="81" spans="1:41" x14ac:dyDescent="0.3">
      <c r="A81" s="18">
        <v>78</v>
      </c>
      <c r="B81" s="18" t="str">
        <f>'RW predict'!A80</f>
        <v>Tim Stutzle</v>
      </c>
      <c r="C81" s="18" t="str">
        <f>'RW predict'!B80</f>
        <v>OTT</v>
      </c>
      <c r="D81" s="22" t="str" cm="1">
        <f t="array" ref="D81">_xlfn.SWITCH('RW predict'!C80, "C", "F", "LW","F", "RW", "F", "D", "D", "G", "G", "other")</f>
        <v>F</v>
      </c>
      <c r="E81" s="32">
        <f t="shared" si="2"/>
        <v>2202</v>
      </c>
      <c r="F81" s="35">
        <f>E81/assumptions!$B$2</f>
        <v>26.853658536585368</v>
      </c>
      <c r="G81" s="36">
        <f t="shared" si="3"/>
        <v>123</v>
      </c>
      <c r="H81" s="18">
        <f>IF(NOT(D81="G"),'RW predict'!E80,0)</f>
        <v>25</v>
      </c>
      <c r="I81" s="18">
        <f>'RW predict'!Q80</f>
        <v>47</v>
      </c>
      <c r="J81" s="18">
        <f>'RW predict'!F80</f>
        <v>37</v>
      </c>
      <c r="K81" s="18"/>
      <c r="L81" s="18"/>
      <c r="M81" s="18">
        <f>'RW predict'!P80</f>
        <v>122</v>
      </c>
      <c r="N81" s="18"/>
      <c r="O81" s="18">
        <f>'RW predict'!H80</f>
        <v>-21</v>
      </c>
      <c r="P81" s="18">
        <f>'RW predict'!I80</f>
        <v>34</v>
      </c>
      <c r="Q81" s="18">
        <f>'RW predict'!L80</f>
        <v>7</v>
      </c>
      <c r="R81" s="18">
        <f>'RW predict'!N80</f>
        <v>1</v>
      </c>
      <c r="S81" s="76">
        <f>'RW predict'!O80</f>
        <v>0</v>
      </c>
      <c r="T81" s="76">
        <f>'RW predict'!K80</f>
        <v>4</v>
      </c>
      <c r="U81" s="22">
        <f>'RW predict'!J80</f>
        <v>187</v>
      </c>
      <c r="V81" s="32">
        <f>IF(D81="G",'RW predict'!E80,0)</f>
        <v>0</v>
      </c>
      <c r="W81" s="18">
        <f>'RW predict'!R80</f>
        <v>0</v>
      </c>
      <c r="X81" s="18">
        <f>'RW predict'!T80</f>
        <v>0</v>
      </c>
      <c r="Y81" s="18">
        <f>'RW predict'!Y80</f>
        <v>0</v>
      </c>
      <c r="Z81" s="18">
        <f>'RW predict'!U80</f>
        <v>0</v>
      </c>
      <c r="AA81" s="18">
        <f>'RW predict'!W80</f>
        <v>0</v>
      </c>
      <c r="AB81" s="17"/>
      <c r="AG81" s="23"/>
      <c r="AI81" s="17"/>
      <c r="AO81" s="23"/>
    </row>
    <row r="82" spans="1:41" x14ac:dyDescent="0.3">
      <c r="A82" s="18">
        <v>79</v>
      </c>
      <c r="B82" s="18" t="str">
        <f>'RW predict'!A81</f>
        <v>Lucas Raymond</v>
      </c>
      <c r="C82" s="18" t="str">
        <f>'RW predict'!B81</f>
        <v>DET</v>
      </c>
      <c r="D82" s="22" t="str" cm="1">
        <f t="array" ref="D82">_xlfn.SWITCH('RW predict'!C81, "C", "F", "LW","F", "RW", "F", "D", "D", "G", "G", "other")</f>
        <v>F</v>
      </c>
      <c r="E82" s="32">
        <f t="shared" si="2"/>
        <v>1993</v>
      </c>
      <c r="F82" s="35">
        <f>E82/assumptions!$B$2</f>
        <v>24.304878048780488</v>
      </c>
      <c r="G82" s="36">
        <f t="shared" si="3"/>
        <v>171</v>
      </c>
      <c r="H82" s="18">
        <f>IF(NOT(D82="G"),'RW predict'!E81,0)</f>
        <v>25</v>
      </c>
      <c r="I82" s="18">
        <f>'RW predict'!Q81</f>
        <v>25</v>
      </c>
      <c r="J82" s="18">
        <f>'RW predict'!F81</f>
        <v>37</v>
      </c>
      <c r="K82" s="18"/>
      <c r="L82" s="18"/>
      <c r="M82" s="18">
        <f>'RW predict'!P81</f>
        <v>65</v>
      </c>
      <c r="N82" s="18"/>
      <c r="O82" s="18">
        <f>'RW predict'!H81</f>
        <v>-24</v>
      </c>
      <c r="P82" s="18">
        <f>'RW predict'!I81</f>
        <v>20</v>
      </c>
      <c r="Q82" s="18">
        <f>'RW predict'!L81</f>
        <v>6</v>
      </c>
      <c r="R82" s="18">
        <f>'RW predict'!N81</f>
        <v>0</v>
      </c>
      <c r="S82" s="76">
        <f>'RW predict'!O81</f>
        <v>0</v>
      </c>
      <c r="T82" s="76">
        <f>'RW predict'!K81</f>
        <v>3</v>
      </c>
      <c r="U82" s="22">
        <f>'RW predict'!J81</f>
        <v>194</v>
      </c>
      <c r="V82" s="32">
        <f>IF(D82="G",'RW predict'!E81,0)</f>
        <v>0</v>
      </c>
      <c r="W82" s="18">
        <f>'RW predict'!R81</f>
        <v>0</v>
      </c>
      <c r="X82" s="18">
        <f>'RW predict'!T81</f>
        <v>0</v>
      </c>
      <c r="Y82" s="18">
        <f>'RW predict'!Y81</f>
        <v>0</v>
      </c>
      <c r="Z82" s="18">
        <f>'RW predict'!U81</f>
        <v>0</v>
      </c>
      <c r="AA82" s="18">
        <f>'RW predict'!W81</f>
        <v>0</v>
      </c>
      <c r="AB82" s="17"/>
      <c r="AG82" s="23"/>
      <c r="AI82" s="17"/>
      <c r="AO82" s="23"/>
    </row>
    <row r="83" spans="1:41" x14ac:dyDescent="0.3">
      <c r="A83" s="18">
        <v>80</v>
      </c>
      <c r="B83" s="18" t="str">
        <f>'RW predict'!A82</f>
        <v>Jakub Voracek</v>
      </c>
      <c r="C83" s="18" t="str">
        <f>'RW predict'!B82</f>
        <v>CLS</v>
      </c>
      <c r="D83" s="22" t="str" cm="1">
        <f t="array" ref="D83">_xlfn.SWITCH('RW predict'!C82, "C", "F", "LW","F", "RW", "F", "D", "D", "G", "G", "other")</f>
        <v>F</v>
      </c>
      <c r="E83" s="32">
        <f t="shared" si="2"/>
        <v>2087</v>
      </c>
      <c r="F83" s="35">
        <f>E83/assumptions!$B$2</f>
        <v>25.451219512195124</v>
      </c>
      <c r="G83" s="36">
        <f t="shared" si="3"/>
        <v>153</v>
      </c>
      <c r="H83" s="18">
        <f>IF(NOT(D83="G"),'RW predict'!E82,0)</f>
        <v>11</v>
      </c>
      <c r="I83" s="18">
        <f>'RW predict'!Q82</f>
        <v>26</v>
      </c>
      <c r="J83" s="18">
        <f>'RW predict'!F82</f>
        <v>51</v>
      </c>
      <c r="K83" s="18"/>
      <c r="L83" s="18"/>
      <c r="M83" s="18">
        <f>'RW predict'!P82</f>
        <v>25</v>
      </c>
      <c r="N83" s="18"/>
      <c r="O83" s="18">
        <f>'RW predict'!H82</f>
        <v>-5</v>
      </c>
      <c r="P83" s="18">
        <f>'RW predict'!I82</f>
        <v>40</v>
      </c>
      <c r="Q83" s="18">
        <f>'RW predict'!L82</f>
        <v>2</v>
      </c>
      <c r="R83" s="18">
        <f>'RW predict'!N82</f>
        <v>0</v>
      </c>
      <c r="S83" s="76">
        <f>'RW predict'!O82</f>
        <v>0</v>
      </c>
      <c r="T83" s="76">
        <f>'RW predict'!K82</f>
        <v>3</v>
      </c>
      <c r="U83" s="22">
        <f>'RW predict'!J82</f>
        <v>155</v>
      </c>
      <c r="V83" s="32">
        <f>IF(D83="G",'RW predict'!E82,0)</f>
        <v>0</v>
      </c>
      <c r="W83" s="18">
        <f>'RW predict'!R82</f>
        <v>0</v>
      </c>
      <c r="X83" s="18">
        <f>'RW predict'!T82</f>
        <v>0</v>
      </c>
      <c r="Y83" s="18">
        <f>'RW predict'!Y82</f>
        <v>0</v>
      </c>
      <c r="Z83" s="18">
        <f>'RW predict'!U82</f>
        <v>0</v>
      </c>
      <c r="AA83" s="18">
        <f>'RW predict'!W82</f>
        <v>0</v>
      </c>
      <c r="AB83" s="17"/>
      <c r="AG83" s="23"/>
      <c r="AI83" s="17"/>
      <c r="AO83" s="23"/>
    </row>
    <row r="84" spans="1:41" x14ac:dyDescent="0.3">
      <c r="A84" s="18">
        <v>81</v>
      </c>
      <c r="B84" s="18" t="str">
        <f>'RW predict'!A83</f>
        <v>Chris Kreider</v>
      </c>
      <c r="C84" s="18" t="str">
        <f>'RW predict'!B83</f>
        <v>NYR</v>
      </c>
      <c r="D84" s="22" t="str" cm="1">
        <f t="array" ref="D84">_xlfn.SWITCH('RW predict'!C83, "C", "F", "LW","F", "RW", "F", "D", "D", "G", "G", "other")</f>
        <v>F</v>
      </c>
      <c r="E84" s="32">
        <f t="shared" si="2"/>
        <v>2807</v>
      </c>
      <c r="F84" s="35">
        <f>E84/assumptions!$B$2</f>
        <v>34.231707317073173</v>
      </c>
      <c r="G84" s="36">
        <f t="shared" si="3"/>
        <v>49</v>
      </c>
      <c r="H84" s="18">
        <f>IF(NOT(D84="G"),'RW predict'!E83,0)</f>
        <v>36</v>
      </c>
      <c r="I84" s="18">
        <f>'RW predict'!Q83</f>
        <v>41</v>
      </c>
      <c r="J84" s="18">
        <f>'RW predict'!F83</f>
        <v>26</v>
      </c>
      <c r="K84" s="18"/>
      <c r="L84" s="18"/>
      <c r="M84" s="18">
        <f>'RW predict'!P83</f>
        <v>143</v>
      </c>
      <c r="N84" s="18"/>
      <c r="O84" s="18">
        <f>'RW predict'!H83</f>
        <v>15</v>
      </c>
      <c r="P84" s="18">
        <f>'RW predict'!I83</f>
        <v>30</v>
      </c>
      <c r="Q84" s="18">
        <f>'RW predict'!L83</f>
        <v>15</v>
      </c>
      <c r="R84" s="18">
        <f>'RW predict'!N83</f>
        <v>2</v>
      </c>
      <c r="S84" s="76">
        <f>'RW predict'!O83</f>
        <v>0</v>
      </c>
      <c r="T84" s="76">
        <f>'RW predict'!K83</f>
        <v>8</v>
      </c>
      <c r="U84" s="22">
        <f>'RW predict'!J83</f>
        <v>221</v>
      </c>
      <c r="V84" s="32">
        <f>IF(D84="G",'RW predict'!E83,0)</f>
        <v>0</v>
      </c>
      <c r="W84" s="18">
        <f>'RW predict'!R83</f>
        <v>0</v>
      </c>
      <c r="X84" s="18">
        <f>'RW predict'!T83</f>
        <v>0</v>
      </c>
      <c r="Y84" s="18">
        <f>'RW predict'!Y83</f>
        <v>0</v>
      </c>
      <c r="Z84" s="18">
        <f>'RW predict'!U83</f>
        <v>0</v>
      </c>
      <c r="AA84" s="18">
        <f>'RW predict'!W83</f>
        <v>0</v>
      </c>
      <c r="AB84" s="17"/>
      <c r="AG84" s="23"/>
      <c r="AI84" s="17"/>
      <c r="AO84" s="23"/>
    </row>
    <row r="85" spans="1:41" x14ac:dyDescent="0.3">
      <c r="A85" s="18">
        <v>82</v>
      </c>
      <c r="B85" s="18" t="str">
        <f>'RW predict'!A84</f>
        <v>Ryan Nugent-Hopkins</v>
      </c>
      <c r="C85" s="18" t="str">
        <f>'RW predict'!B84</f>
        <v>EDM</v>
      </c>
      <c r="D85" s="22" t="str" cm="1">
        <f t="array" ref="D85">_xlfn.SWITCH('RW predict'!C84, "C", "F", "LW","F", "RW", "F", "D", "D", "G", "G", "other")</f>
        <v>F</v>
      </c>
      <c r="E85" s="32">
        <f t="shared" si="2"/>
        <v>2262</v>
      </c>
      <c r="F85" s="35">
        <f>E85/assumptions!$B$2</f>
        <v>27.585365853658537</v>
      </c>
      <c r="G85" s="36">
        <f t="shared" si="3"/>
        <v>116</v>
      </c>
      <c r="H85" s="18">
        <f>IF(NOT(D85="G"),'RW predict'!E84,0)</f>
        <v>19</v>
      </c>
      <c r="I85" s="18">
        <f>'RW predict'!Q84</f>
        <v>40</v>
      </c>
      <c r="J85" s="18">
        <f>'RW predict'!F84</f>
        <v>42</v>
      </c>
      <c r="K85" s="18"/>
      <c r="L85" s="18"/>
      <c r="M85" s="18">
        <f>'RW predict'!P84</f>
        <v>45</v>
      </c>
      <c r="N85" s="18"/>
      <c r="O85" s="18">
        <f>'RW predict'!H84</f>
        <v>5</v>
      </c>
      <c r="P85" s="18">
        <f>'RW predict'!I84</f>
        <v>22</v>
      </c>
      <c r="Q85" s="18">
        <f>'RW predict'!L84</f>
        <v>6</v>
      </c>
      <c r="R85" s="18">
        <f>'RW predict'!N84</f>
        <v>1</v>
      </c>
      <c r="S85" s="76">
        <f>'RW predict'!O84</f>
        <v>2</v>
      </c>
      <c r="T85" s="76">
        <f>'RW predict'!K84</f>
        <v>3</v>
      </c>
      <c r="U85" s="22">
        <f>'RW predict'!J84</f>
        <v>168</v>
      </c>
      <c r="V85" s="32">
        <f>IF(D85="G",'RW predict'!E84,0)</f>
        <v>0</v>
      </c>
      <c r="W85" s="18">
        <f>'RW predict'!R84</f>
        <v>0</v>
      </c>
      <c r="X85" s="18">
        <f>'RW predict'!T84</f>
        <v>0</v>
      </c>
      <c r="Y85" s="18">
        <f>'RW predict'!Y84</f>
        <v>0</v>
      </c>
      <c r="Z85" s="18">
        <f>'RW predict'!U84</f>
        <v>0</v>
      </c>
      <c r="AA85" s="18">
        <f>'RW predict'!W84</f>
        <v>0</v>
      </c>
      <c r="AB85" s="17"/>
      <c r="AG85" s="23"/>
      <c r="AI85" s="17"/>
      <c r="AO85" s="23"/>
    </row>
    <row r="86" spans="1:41" x14ac:dyDescent="0.3">
      <c r="A86" s="18">
        <v>83</v>
      </c>
      <c r="B86" s="18" t="str">
        <f>'RW predict'!A85</f>
        <v>Tomas Hertl</v>
      </c>
      <c r="C86" s="18" t="str">
        <f>'RW predict'!B85</f>
        <v>SJ</v>
      </c>
      <c r="D86" s="22" t="str" cm="1">
        <f t="array" ref="D86">_xlfn.SWITCH('RW predict'!C85, "C", "F", "LW","F", "RW", "F", "D", "D", "G", "G", "other")</f>
        <v>F</v>
      </c>
      <c r="E86" s="32">
        <f t="shared" si="2"/>
        <v>2341</v>
      </c>
      <c r="F86" s="35">
        <f>E86/assumptions!$B$2</f>
        <v>28.548780487804876</v>
      </c>
      <c r="G86" s="36">
        <f t="shared" si="3"/>
        <v>104</v>
      </c>
      <c r="H86" s="18">
        <f>IF(NOT(D86="G"),'RW predict'!E85,0)</f>
        <v>29</v>
      </c>
      <c r="I86" s="18">
        <f>'RW predict'!Q85</f>
        <v>55</v>
      </c>
      <c r="J86" s="18">
        <f>'RW predict'!F85</f>
        <v>32</v>
      </c>
      <c r="K86" s="18"/>
      <c r="L86" s="18"/>
      <c r="M86" s="18">
        <f>'RW predict'!P85</f>
        <v>96</v>
      </c>
      <c r="N86" s="18"/>
      <c r="O86" s="18">
        <f>'RW predict'!H85</f>
        <v>-8</v>
      </c>
      <c r="P86" s="18">
        <f>'RW predict'!I85</f>
        <v>30</v>
      </c>
      <c r="Q86" s="18">
        <f>'RW predict'!L85</f>
        <v>6</v>
      </c>
      <c r="R86" s="18">
        <f>'RW predict'!N85</f>
        <v>1</v>
      </c>
      <c r="S86" s="76">
        <f>'RW predict'!O85</f>
        <v>1</v>
      </c>
      <c r="T86" s="76">
        <f>'RW predict'!K85</f>
        <v>6</v>
      </c>
      <c r="U86" s="22">
        <f>'RW predict'!J85</f>
        <v>195</v>
      </c>
      <c r="V86" s="32">
        <f>IF(D86="G",'RW predict'!E85,0)</f>
        <v>0</v>
      </c>
      <c r="W86" s="18">
        <f>'RW predict'!R85</f>
        <v>0</v>
      </c>
      <c r="X86" s="18">
        <f>'RW predict'!T85</f>
        <v>0</v>
      </c>
      <c r="Y86" s="18">
        <f>'RW predict'!Y85</f>
        <v>0</v>
      </c>
      <c r="Z86" s="18">
        <f>'RW predict'!U85</f>
        <v>0</v>
      </c>
      <c r="AA86" s="18">
        <f>'RW predict'!W85</f>
        <v>0</v>
      </c>
      <c r="AB86" s="17"/>
      <c r="AG86" s="23"/>
      <c r="AI86" s="17"/>
      <c r="AO86" s="23"/>
    </row>
    <row r="87" spans="1:41" x14ac:dyDescent="0.3">
      <c r="A87" s="18">
        <v>84</v>
      </c>
      <c r="B87" s="18" t="str">
        <f>'RW predict'!A86</f>
        <v>Nick Schmaltz</v>
      </c>
      <c r="C87" s="18" t="str">
        <f>'RW predict'!B86</f>
        <v>ARI</v>
      </c>
      <c r="D87" s="22" t="str" cm="1">
        <f t="array" ref="D87">_xlfn.SWITCH('RW predict'!C86, "C", "F", "LW","F", "RW", "F", "D", "D", "G", "G", "other")</f>
        <v>F</v>
      </c>
      <c r="E87" s="32">
        <f t="shared" si="2"/>
        <v>2094</v>
      </c>
      <c r="F87" s="35">
        <f>E87/assumptions!$B$2</f>
        <v>25.536585365853657</v>
      </c>
      <c r="G87" s="36">
        <f t="shared" si="3"/>
        <v>151</v>
      </c>
      <c r="H87" s="18">
        <f>IF(NOT(D87="G"),'RW predict'!E86,0)</f>
        <v>20</v>
      </c>
      <c r="I87" s="18">
        <f>'RW predict'!Q86</f>
        <v>32</v>
      </c>
      <c r="J87" s="18">
        <f>'RW predict'!F86</f>
        <v>41</v>
      </c>
      <c r="K87" s="18"/>
      <c r="L87" s="18"/>
      <c r="M87" s="18">
        <f>'RW predict'!P86</f>
        <v>17</v>
      </c>
      <c r="N87" s="18"/>
      <c r="O87" s="18">
        <f>'RW predict'!H86</f>
        <v>2</v>
      </c>
      <c r="P87" s="18">
        <f>'RW predict'!I86</f>
        <v>20</v>
      </c>
      <c r="Q87" s="18">
        <f>'RW predict'!L86</f>
        <v>4</v>
      </c>
      <c r="R87" s="18">
        <f>'RW predict'!N86</f>
        <v>0</v>
      </c>
      <c r="S87" s="76">
        <f>'RW predict'!O86</f>
        <v>0</v>
      </c>
      <c r="T87" s="76">
        <f>'RW predict'!K86</f>
        <v>4</v>
      </c>
      <c r="U87" s="22">
        <f>'RW predict'!J86</f>
        <v>144</v>
      </c>
      <c r="V87" s="32">
        <f>IF(D87="G",'RW predict'!E86,0)</f>
        <v>0</v>
      </c>
      <c r="W87" s="18">
        <f>'RW predict'!R86</f>
        <v>0</v>
      </c>
      <c r="X87" s="18">
        <f>'RW predict'!T86</f>
        <v>0</v>
      </c>
      <c r="Y87" s="18">
        <f>'RW predict'!Y86</f>
        <v>0</v>
      </c>
      <c r="Z87" s="18">
        <f>'RW predict'!U86</f>
        <v>0</v>
      </c>
      <c r="AA87" s="18">
        <f>'RW predict'!W86</f>
        <v>0</v>
      </c>
      <c r="AB87" s="17"/>
      <c r="AG87" s="23"/>
      <c r="AI87" s="17"/>
      <c r="AO87" s="23"/>
    </row>
    <row r="88" spans="1:41" x14ac:dyDescent="0.3">
      <c r="A88" s="18">
        <v>85</v>
      </c>
      <c r="B88" s="18" t="str">
        <f>'RW predict'!A87</f>
        <v>Josh Norris</v>
      </c>
      <c r="C88" s="18" t="str">
        <f>'RW predict'!B87</f>
        <v>OTT</v>
      </c>
      <c r="D88" s="22" t="str" cm="1">
        <f t="array" ref="D88">_xlfn.SWITCH('RW predict'!C87, "C", "F", "LW","F", "RW", "F", "D", "D", "G", "G", "other")</f>
        <v>F</v>
      </c>
      <c r="E88" s="32">
        <f t="shared" si="2"/>
        <v>2335</v>
      </c>
      <c r="F88" s="35">
        <f>E88/assumptions!$B$2</f>
        <v>28.475609756097562</v>
      </c>
      <c r="G88" s="36">
        <f t="shared" si="3"/>
        <v>106</v>
      </c>
      <c r="H88" s="18">
        <f>IF(NOT(D88="G"),'RW predict'!E87,0)</f>
        <v>33</v>
      </c>
      <c r="I88" s="18">
        <f>'RW predict'!Q87</f>
        <v>45</v>
      </c>
      <c r="J88" s="18">
        <f>'RW predict'!F87</f>
        <v>28</v>
      </c>
      <c r="K88" s="18"/>
      <c r="L88" s="18"/>
      <c r="M88" s="18">
        <f>'RW predict'!P87</f>
        <v>94</v>
      </c>
      <c r="N88" s="18"/>
      <c r="O88" s="18">
        <f>'RW predict'!H87</f>
        <v>-6</v>
      </c>
      <c r="P88" s="18">
        <f>'RW predict'!I87</f>
        <v>18</v>
      </c>
      <c r="Q88" s="18">
        <f>'RW predict'!L87</f>
        <v>12</v>
      </c>
      <c r="R88" s="18">
        <f>'RW predict'!N87</f>
        <v>0</v>
      </c>
      <c r="S88" s="76">
        <f>'RW predict'!O87</f>
        <v>1</v>
      </c>
      <c r="T88" s="76">
        <f>'RW predict'!K87</f>
        <v>6</v>
      </c>
      <c r="U88" s="22">
        <f>'RW predict'!J87</f>
        <v>191</v>
      </c>
      <c r="V88" s="32">
        <f>IF(D88="G",'RW predict'!E87,0)</f>
        <v>0</v>
      </c>
      <c r="W88" s="18">
        <f>'RW predict'!R87</f>
        <v>0</v>
      </c>
      <c r="X88" s="18">
        <f>'RW predict'!T87</f>
        <v>0</v>
      </c>
      <c r="Y88" s="18">
        <f>'RW predict'!Y87</f>
        <v>0</v>
      </c>
      <c r="Z88" s="18">
        <f>'RW predict'!U87</f>
        <v>0</v>
      </c>
      <c r="AA88" s="18">
        <f>'RW predict'!W87</f>
        <v>0</v>
      </c>
      <c r="AB88" s="17"/>
      <c r="AG88" s="23"/>
      <c r="AI88" s="17"/>
      <c r="AO88" s="23"/>
    </row>
    <row r="89" spans="1:41" x14ac:dyDescent="0.3">
      <c r="A89" s="18">
        <v>86</v>
      </c>
      <c r="B89" s="18" t="str">
        <f>'RW predict'!A88</f>
        <v>Drake Batherson</v>
      </c>
      <c r="C89" s="18" t="str">
        <f>'RW predict'!B88</f>
        <v>OTT</v>
      </c>
      <c r="D89" s="22" t="str" cm="1">
        <f t="array" ref="D89">_xlfn.SWITCH('RW predict'!C88, "C", "F", "LW","F", "RW", "F", "D", "D", "G", "G", "other")</f>
        <v>F</v>
      </c>
      <c r="E89" s="32">
        <f t="shared" si="2"/>
        <v>2252</v>
      </c>
      <c r="F89" s="35">
        <f>E89/assumptions!$B$2</f>
        <v>27.463414634146343</v>
      </c>
      <c r="G89" s="36">
        <f t="shared" si="3"/>
        <v>117</v>
      </c>
      <c r="H89" s="18">
        <f>IF(NOT(D89="G"),'RW predict'!E88,0)</f>
        <v>24</v>
      </c>
      <c r="I89" s="18">
        <f>'RW predict'!Q88</f>
        <v>27</v>
      </c>
      <c r="J89" s="18">
        <f>'RW predict'!F88</f>
        <v>37</v>
      </c>
      <c r="K89" s="18"/>
      <c r="L89" s="18"/>
      <c r="M89" s="18">
        <f>'RW predict'!P88</f>
        <v>139</v>
      </c>
      <c r="N89" s="18"/>
      <c r="O89" s="18">
        <f>'RW predict'!H88</f>
        <v>-3</v>
      </c>
      <c r="P89" s="18">
        <f>'RW predict'!I88</f>
        <v>42</v>
      </c>
      <c r="Q89" s="18">
        <f>'RW predict'!L88</f>
        <v>3</v>
      </c>
      <c r="R89" s="18">
        <f>'RW predict'!N88</f>
        <v>0</v>
      </c>
      <c r="S89" s="76">
        <f>'RW predict'!O88</f>
        <v>0</v>
      </c>
      <c r="T89" s="76">
        <f>'RW predict'!K88</f>
        <v>4</v>
      </c>
      <c r="U89" s="22">
        <f>'RW predict'!J88</f>
        <v>164</v>
      </c>
      <c r="V89" s="32">
        <f>IF(D89="G",'RW predict'!E88,0)</f>
        <v>0</v>
      </c>
      <c r="W89" s="18">
        <f>'RW predict'!R88</f>
        <v>0</v>
      </c>
      <c r="X89" s="18">
        <f>'RW predict'!T88</f>
        <v>0</v>
      </c>
      <c r="Y89" s="18">
        <f>'RW predict'!Y88</f>
        <v>0</v>
      </c>
      <c r="Z89" s="18">
        <f>'RW predict'!U88</f>
        <v>0</v>
      </c>
      <c r="AA89" s="18">
        <f>'RW predict'!W88</f>
        <v>0</v>
      </c>
      <c r="AB89" s="17"/>
      <c r="AG89" s="23"/>
      <c r="AI89" s="17"/>
      <c r="AO89" s="23"/>
    </row>
    <row r="90" spans="1:41" x14ac:dyDescent="0.3">
      <c r="A90" s="18">
        <v>87</v>
      </c>
      <c r="B90" s="18" t="str">
        <f>'RW predict'!A89</f>
        <v>Aaron Ekblad</v>
      </c>
      <c r="C90" s="18" t="str">
        <f>'RW predict'!B89</f>
        <v>FLA</v>
      </c>
      <c r="D90" s="22" t="str" cm="1">
        <f t="array" ref="D90">_xlfn.SWITCH('RW predict'!C89, "C", "F", "LW","F", "RW", "F", "D", "D", "G", "G", "other")</f>
        <v>D</v>
      </c>
      <c r="E90" s="32">
        <f t="shared" si="2"/>
        <v>2617</v>
      </c>
      <c r="F90" s="35">
        <f>E90/assumptions!$B$2</f>
        <v>31.914634146341463</v>
      </c>
      <c r="G90" s="36">
        <f t="shared" si="3"/>
        <v>68</v>
      </c>
      <c r="H90" s="18">
        <f>IF(NOT(D90="G"),'RW predict'!E89,0)</f>
        <v>16</v>
      </c>
      <c r="I90" s="18">
        <f>'RW predict'!Q89</f>
        <v>74</v>
      </c>
      <c r="J90" s="18">
        <f>'RW predict'!F89</f>
        <v>44</v>
      </c>
      <c r="K90" s="18"/>
      <c r="L90" s="18"/>
      <c r="M90" s="18">
        <f>'RW predict'!P89</f>
        <v>67</v>
      </c>
      <c r="N90" s="18"/>
      <c r="O90" s="18">
        <f>'RW predict'!H89</f>
        <v>31</v>
      </c>
      <c r="P90" s="18">
        <f>'RW predict'!I89</f>
        <v>28</v>
      </c>
      <c r="Q90" s="18">
        <f>'RW predict'!L89</f>
        <v>4</v>
      </c>
      <c r="R90" s="18">
        <f>'RW predict'!N89</f>
        <v>0</v>
      </c>
      <c r="S90" s="76">
        <f>'RW predict'!O89</f>
        <v>2</v>
      </c>
      <c r="T90" s="76">
        <f>'RW predict'!K89</f>
        <v>3</v>
      </c>
      <c r="U90" s="22">
        <f>'RW predict'!J89</f>
        <v>194</v>
      </c>
      <c r="V90" s="32">
        <f>IF(D90="G",'RW predict'!E89,0)</f>
        <v>0</v>
      </c>
      <c r="W90" s="18">
        <f>'RW predict'!R89</f>
        <v>0</v>
      </c>
      <c r="X90" s="18">
        <f>'RW predict'!T89</f>
        <v>0</v>
      </c>
      <c r="Y90" s="18">
        <f>'RW predict'!Y89</f>
        <v>0</v>
      </c>
      <c r="Z90" s="18">
        <f>'RW predict'!U89</f>
        <v>0</v>
      </c>
      <c r="AA90" s="18">
        <f>'RW predict'!W89</f>
        <v>0</v>
      </c>
      <c r="AB90" s="17"/>
      <c r="AG90" s="23"/>
      <c r="AI90" s="17"/>
      <c r="AO90" s="23"/>
    </row>
    <row r="91" spans="1:41" x14ac:dyDescent="0.3">
      <c r="A91" s="18">
        <v>88</v>
      </c>
      <c r="B91" s="18" t="str">
        <f>'RW predict'!A90</f>
        <v>Mark Stone</v>
      </c>
      <c r="C91" s="18" t="str">
        <f>'RW predict'!B90</f>
        <v>VGK</v>
      </c>
      <c r="D91" s="22" t="str" cm="1">
        <f t="array" ref="D91">_xlfn.SWITCH('RW predict'!C90, "C", "F", "LW","F", "RW", "F", "D", "D", "G", "G", "other")</f>
        <v>F</v>
      </c>
      <c r="E91" s="32">
        <f t="shared" si="2"/>
        <v>2337</v>
      </c>
      <c r="F91" s="35">
        <f>E91/assumptions!$B$2</f>
        <v>28.5</v>
      </c>
      <c r="G91" s="36">
        <f t="shared" si="3"/>
        <v>105</v>
      </c>
      <c r="H91" s="18">
        <f>IF(NOT(D91="G"),'RW predict'!E90,0)</f>
        <v>20</v>
      </c>
      <c r="I91" s="18">
        <f>'RW predict'!Q90</f>
        <v>40</v>
      </c>
      <c r="J91" s="18">
        <f>'RW predict'!F90</f>
        <v>40</v>
      </c>
      <c r="K91" s="18"/>
      <c r="L91" s="18"/>
      <c r="M91" s="18">
        <f>'RW predict'!P90</f>
        <v>35</v>
      </c>
      <c r="N91" s="18"/>
      <c r="O91" s="18">
        <f>'RW predict'!H90</f>
        <v>15</v>
      </c>
      <c r="P91" s="18">
        <f>'RW predict'!I90</f>
        <v>22</v>
      </c>
      <c r="Q91" s="18">
        <f>'RW predict'!L90</f>
        <v>6</v>
      </c>
      <c r="R91" s="18">
        <f>'RW predict'!N90</f>
        <v>1</v>
      </c>
      <c r="S91" s="76">
        <f>'RW predict'!O90</f>
        <v>1</v>
      </c>
      <c r="T91" s="76">
        <f>'RW predict'!K90</f>
        <v>6</v>
      </c>
      <c r="U91" s="22">
        <f>'RW predict'!J90</f>
        <v>148</v>
      </c>
      <c r="V91" s="32">
        <f>IF(D91="G",'RW predict'!E90,0)</f>
        <v>0</v>
      </c>
      <c r="W91" s="18">
        <f>'RW predict'!R90</f>
        <v>0</v>
      </c>
      <c r="X91" s="18">
        <f>'RW predict'!T90</f>
        <v>0</v>
      </c>
      <c r="Y91" s="18">
        <f>'RW predict'!Y90</f>
        <v>0</v>
      </c>
      <c r="Z91" s="18">
        <f>'RW predict'!U90</f>
        <v>0</v>
      </c>
      <c r="AA91" s="18">
        <f>'RW predict'!W90</f>
        <v>0</v>
      </c>
      <c r="AB91" s="17"/>
      <c r="AG91" s="23"/>
      <c r="AI91" s="17"/>
      <c r="AO91" s="23"/>
    </row>
    <row r="92" spans="1:41" x14ac:dyDescent="0.3">
      <c r="A92" s="18">
        <v>89</v>
      </c>
      <c r="B92" s="18" t="str">
        <f>'RW predict'!A91</f>
        <v>Mikael Granlund</v>
      </c>
      <c r="C92" s="18" t="str">
        <f>'RW predict'!B91</f>
        <v>NSH</v>
      </c>
      <c r="D92" s="22" t="str" cm="1">
        <f t="array" ref="D92">_xlfn.SWITCH('RW predict'!C91, "C", "F", "LW","F", "RW", "F", "D", "D", "G", "G", "other")</f>
        <v>F</v>
      </c>
      <c r="E92" s="32">
        <f t="shared" si="2"/>
        <v>2048</v>
      </c>
      <c r="F92" s="35">
        <f>E92/assumptions!$B$2</f>
        <v>24.975609756097562</v>
      </c>
      <c r="G92" s="36">
        <f t="shared" si="3"/>
        <v>157</v>
      </c>
      <c r="H92" s="18">
        <f>IF(NOT(D92="G"),'RW predict'!E91,0)</f>
        <v>13</v>
      </c>
      <c r="I92" s="18">
        <f>'RW predict'!Q91</f>
        <v>49</v>
      </c>
      <c r="J92" s="18">
        <f>'RW predict'!F91</f>
        <v>46</v>
      </c>
      <c r="K92" s="18"/>
      <c r="L92" s="18"/>
      <c r="M92" s="18">
        <f>'RW predict'!P91</f>
        <v>85</v>
      </c>
      <c r="N92" s="18"/>
      <c r="O92" s="18">
        <f>'RW predict'!H91</f>
        <v>-7</v>
      </c>
      <c r="P92" s="18">
        <f>'RW predict'!I91</f>
        <v>32</v>
      </c>
      <c r="Q92" s="18">
        <f>'RW predict'!L91</f>
        <v>3</v>
      </c>
      <c r="R92" s="18">
        <f>'RW predict'!N91</f>
        <v>1</v>
      </c>
      <c r="S92" s="76">
        <f>'RW predict'!O91</f>
        <v>0</v>
      </c>
      <c r="T92" s="76">
        <f>'RW predict'!K91</f>
        <v>3</v>
      </c>
      <c r="U92" s="22">
        <f>'RW predict'!J91</f>
        <v>127</v>
      </c>
      <c r="V92" s="32">
        <f>IF(D92="G",'RW predict'!E91,0)</f>
        <v>0</v>
      </c>
      <c r="W92" s="18">
        <f>'RW predict'!R91</f>
        <v>0</v>
      </c>
      <c r="X92" s="18">
        <f>'RW predict'!T91</f>
        <v>0</v>
      </c>
      <c r="Y92" s="18">
        <f>'RW predict'!Y91</f>
        <v>0</v>
      </c>
      <c r="Z92" s="18">
        <f>'RW predict'!U91</f>
        <v>0</v>
      </c>
      <c r="AA92" s="18">
        <f>'RW predict'!W91</f>
        <v>0</v>
      </c>
      <c r="AB92" s="17"/>
      <c r="AG92" s="23"/>
      <c r="AI92" s="17"/>
      <c r="AO92" s="23"/>
    </row>
    <row r="93" spans="1:41" x14ac:dyDescent="0.3">
      <c r="A93" s="18">
        <v>90</v>
      </c>
      <c r="B93" s="18" t="str">
        <f>'RW predict'!A92</f>
        <v>David Perron</v>
      </c>
      <c r="C93" s="18" t="str">
        <f>'RW predict'!B92</f>
        <v>DET</v>
      </c>
      <c r="D93" s="22" t="str" cm="1">
        <f t="array" ref="D93">_xlfn.SWITCH('RW predict'!C92, "C", "F", "LW","F", "RW", "F", "D", "D", "G", "G", "other")</f>
        <v>F</v>
      </c>
      <c r="E93" s="32">
        <f t="shared" si="2"/>
        <v>2307</v>
      </c>
      <c r="F93" s="35">
        <f>E93/assumptions!$B$2</f>
        <v>28.134146341463413</v>
      </c>
      <c r="G93" s="36">
        <f t="shared" si="3"/>
        <v>111</v>
      </c>
      <c r="H93" s="18">
        <f>IF(NOT(D93="G"),'RW predict'!E92,0)</f>
        <v>25</v>
      </c>
      <c r="I93" s="18">
        <f>'RW predict'!Q92</f>
        <v>16</v>
      </c>
      <c r="J93" s="18">
        <f>'RW predict'!F92</f>
        <v>34</v>
      </c>
      <c r="K93" s="18"/>
      <c r="L93" s="18"/>
      <c r="M93" s="18">
        <f>'RW predict'!P92</f>
        <v>84</v>
      </c>
      <c r="N93" s="18"/>
      <c r="O93" s="18">
        <f>'RW predict'!H92</f>
        <v>5</v>
      </c>
      <c r="P93" s="18">
        <f>'RW predict'!I92</f>
        <v>46</v>
      </c>
      <c r="Q93" s="18">
        <f>'RW predict'!L92</f>
        <v>9</v>
      </c>
      <c r="R93" s="18">
        <f>'RW predict'!N92</f>
        <v>0</v>
      </c>
      <c r="S93" s="76">
        <f>'RW predict'!O92</f>
        <v>0</v>
      </c>
      <c r="T93" s="76">
        <f>'RW predict'!K92</f>
        <v>3</v>
      </c>
      <c r="U93" s="22">
        <f>'RW predict'!J92</f>
        <v>189</v>
      </c>
      <c r="V93" s="32">
        <f>IF(D93="G",'RW predict'!E92,0)</f>
        <v>0</v>
      </c>
      <c r="W93" s="18">
        <f>'RW predict'!R92</f>
        <v>0</v>
      </c>
      <c r="X93" s="18">
        <f>'RW predict'!T92</f>
        <v>0</v>
      </c>
      <c r="Y93" s="18">
        <f>'RW predict'!Y92</f>
        <v>0</v>
      </c>
      <c r="Z93" s="18">
        <f>'RW predict'!U92</f>
        <v>0</v>
      </c>
      <c r="AA93" s="18">
        <f>'RW predict'!W92</f>
        <v>0</v>
      </c>
      <c r="AB93" s="17"/>
      <c r="AG93" s="23"/>
      <c r="AI93" s="17"/>
      <c r="AO93" s="23"/>
    </row>
    <row r="94" spans="1:41" x14ac:dyDescent="0.3">
      <c r="A94" s="18">
        <v>91</v>
      </c>
      <c r="B94" s="18" t="str">
        <f>'RW predict'!A93</f>
        <v>Patrice Bergeron</v>
      </c>
      <c r="C94" s="18" t="str">
        <f>'RW predict'!B93</f>
        <v>BOS</v>
      </c>
      <c r="D94" s="22" t="str" cm="1">
        <f t="array" ref="D94">_xlfn.SWITCH('RW predict'!C93, "C", "F", "LW","F", "RW", "F", "D", "D", "G", "G", "other")</f>
        <v>F</v>
      </c>
      <c r="E94" s="32">
        <f t="shared" si="2"/>
        <v>2799</v>
      </c>
      <c r="F94" s="35">
        <f>E94/assumptions!$B$2</f>
        <v>34.134146341463413</v>
      </c>
      <c r="G94" s="36">
        <f t="shared" si="3"/>
        <v>50</v>
      </c>
      <c r="H94" s="18">
        <f>IF(NOT(D94="G"),'RW predict'!E93,0)</f>
        <v>24</v>
      </c>
      <c r="I94" s="18">
        <f>'RW predict'!Q93</f>
        <v>47</v>
      </c>
      <c r="J94" s="18">
        <f>'RW predict'!F93</f>
        <v>35</v>
      </c>
      <c r="K94" s="18"/>
      <c r="L94" s="18"/>
      <c r="M94" s="18">
        <f>'RW predict'!P93</f>
        <v>78</v>
      </c>
      <c r="N94" s="18"/>
      <c r="O94" s="18">
        <f>'RW predict'!H93</f>
        <v>24</v>
      </c>
      <c r="P94" s="18">
        <f>'RW predict'!I93</f>
        <v>28</v>
      </c>
      <c r="Q94" s="18">
        <f>'RW predict'!L93</f>
        <v>8</v>
      </c>
      <c r="R94" s="18">
        <f>'RW predict'!N93</f>
        <v>2</v>
      </c>
      <c r="S94" s="76">
        <f>'RW predict'!O93</f>
        <v>3</v>
      </c>
      <c r="T94" s="76">
        <f>'RW predict'!K93</f>
        <v>5</v>
      </c>
      <c r="U94" s="22">
        <f>'RW predict'!J93</f>
        <v>289</v>
      </c>
      <c r="V94" s="32">
        <f>IF(D94="G",'RW predict'!E93,0)</f>
        <v>0</v>
      </c>
      <c r="W94" s="18">
        <f>'RW predict'!R93</f>
        <v>0</v>
      </c>
      <c r="X94" s="18">
        <f>'RW predict'!T93</f>
        <v>0</v>
      </c>
      <c r="Y94" s="18">
        <f>'RW predict'!Y93</f>
        <v>0</v>
      </c>
      <c r="Z94" s="18">
        <f>'RW predict'!U93</f>
        <v>0</v>
      </c>
      <c r="AA94" s="18">
        <f>'RW predict'!W93</f>
        <v>0</v>
      </c>
      <c r="AB94" s="17"/>
      <c r="AG94" s="23"/>
      <c r="AI94" s="17"/>
      <c r="AO94" s="23"/>
    </row>
    <row r="95" spans="1:41" x14ac:dyDescent="0.3">
      <c r="A95" s="18">
        <v>92</v>
      </c>
      <c r="B95" s="18" t="str">
        <f>'RW predict'!A94</f>
        <v>Chandler Stephenson</v>
      </c>
      <c r="C95" s="18" t="str">
        <f>'RW predict'!B94</f>
        <v>VGK</v>
      </c>
      <c r="D95" s="22" t="str" cm="1">
        <f t="array" ref="D95">_xlfn.SWITCH('RW predict'!C94, "C", "F", "LW","F", "RW", "F", "D", "D", "G", "G", "other")</f>
        <v>F</v>
      </c>
      <c r="E95" s="32">
        <f t="shared" si="2"/>
        <v>2196</v>
      </c>
      <c r="F95" s="35">
        <f>E95/assumptions!$B$2</f>
        <v>26.780487804878049</v>
      </c>
      <c r="G95" s="36">
        <f t="shared" si="3"/>
        <v>126</v>
      </c>
      <c r="H95" s="18">
        <f>IF(NOT(D95="G"),'RW predict'!E94,0)</f>
        <v>19</v>
      </c>
      <c r="I95" s="18">
        <f>'RW predict'!Q94</f>
        <v>45</v>
      </c>
      <c r="J95" s="18">
        <f>'RW predict'!F94</f>
        <v>40</v>
      </c>
      <c r="K95" s="18"/>
      <c r="L95" s="18"/>
      <c r="M95" s="18">
        <f>'RW predict'!P94</f>
        <v>67</v>
      </c>
      <c r="N95" s="18"/>
      <c r="O95" s="18">
        <f>'RW predict'!H94</f>
        <v>8</v>
      </c>
      <c r="P95" s="18">
        <f>'RW predict'!I94</f>
        <v>28</v>
      </c>
      <c r="Q95" s="18">
        <f>'RW predict'!L94</f>
        <v>5</v>
      </c>
      <c r="R95" s="18">
        <f>'RW predict'!N94</f>
        <v>1</v>
      </c>
      <c r="S95" s="76">
        <f>'RW predict'!O94</f>
        <v>1</v>
      </c>
      <c r="T95" s="76">
        <f>'RW predict'!K94</f>
        <v>4</v>
      </c>
      <c r="U95" s="22">
        <f>'RW predict'!J94</f>
        <v>120</v>
      </c>
      <c r="V95" s="32">
        <f>IF(D95="G",'RW predict'!E94,0)</f>
        <v>0</v>
      </c>
      <c r="W95" s="18">
        <f>'RW predict'!R94</f>
        <v>0</v>
      </c>
      <c r="X95" s="18">
        <f>'RW predict'!T94</f>
        <v>0</v>
      </c>
      <c r="Y95" s="18">
        <f>'RW predict'!Y94</f>
        <v>0</v>
      </c>
      <c r="Z95" s="18">
        <f>'RW predict'!U94</f>
        <v>0</v>
      </c>
      <c r="AA95" s="18">
        <f>'RW predict'!W94</f>
        <v>0</v>
      </c>
      <c r="AB95" s="17"/>
      <c r="AG95" s="23"/>
      <c r="AI95" s="17"/>
      <c r="AO95" s="23"/>
    </row>
    <row r="96" spans="1:41" x14ac:dyDescent="0.3">
      <c r="A96" s="18">
        <v>93</v>
      </c>
      <c r="B96" s="18" t="str">
        <f>'RW predict'!A95</f>
        <v>Nikolaj Ehlers</v>
      </c>
      <c r="C96" s="18" t="str">
        <f>'RW predict'!B95</f>
        <v>WPG</v>
      </c>
      <c r="D96" s="22" t="str" cm="1">
        <f t="array" ref="D96">_xlfn.SWITCH('RW predict'!C95, "C", "F", "LW","F", "RW", "F", "D", "D", "G", "G", "other")</f>
        <v>F</v>
      </c>
      <c r="E96" s="32">
        <f t="shared" si="2"/>
        <v>2436</v>
      </c>
      <c r="F96" s="35">
        <f>E96/assumptions!$B$2</f>
        <v>29.707317073170731</v>
      </c>
      <c r="G96" s="36">
        <f t="shared" si="3"/>
        <v>90</v>
      </c>
      <c r="H96" s="18">
        <f>IF(NOT(D96="G"),'RW predict'!E95,0)</f>
        <v>30</v>
      </c>
      <c r="I96" s="18">
        <f>'RW predict'!Q95</f>
        <v>27</v>
      </c>
      <c r="J96" s="18">
        <f>'RW predict'!F95</f>
        <v>29</v>
      </c>
      <c r="K96" s="18"/>
      <c r="L96" s="18"/>
      <c r="M96" s="18">
        <f>'RW predict'!P95</f>
        <v>35</v>
      </c>
      <c r="N96" s="18"/>
      <c r="O96" s="18">
        <f>'RW predict'!H95</f>
        <v>17</v>
      </c>
      <c r="P96" s="18">
        <f>'RW predict'!I95</f>
        <v>22</v>
      </c>
      <c r="Q96" s="18">
        <f>'RW predict'!L95</f>
        <v>5</v>
      </c>
      <c r="R96" s="18">
        <f>'RW predict'!N95</f>
        <v>0</v>
      </c>
      <c r="S96" s="76">
        <f>'RW predict'!O95</f>
        <v>0</v>
      </c>
      <c r="T96" s="76">
        <f>'RW predict'!K95</f>
        <v>5</v>
      </c>
      <c r="U96" s="22">
        <f>'RW predict'!J95</f>
        <v>243</v>
      </c>
      <c r="V96" s="32">
        <f>IF(D96="G",'RW predict'!E95,0)</f>
        <v>0</v>
      </c>
      <c r="W96" s="18">
        <f>'RW predict'!R95</f>
        <v>0</v>
      </c>
      <c r="X96" s="18">
        <f>'RW predict'!T95</f>
        <v>0</v>
      </c>
      <c r="Y96" s="18">
        <f>'RW predict'!Y95</f>
        <v>0</v>
      </c>
      <c r="Z96" s="18">
        <f>'RW predict'!U95</f>
        <v>0</v>
      </c>
      <c r="AA96" s="18">
        <f>'RW predict'!W95</f>
        <v>0</v>
      </c>
      <c r="AB96" s="17"/>
      <c r="AG96" s="23"/>
      <c r="AI96" s="17"/>
      <c r="AO96" s="23"/>
    </row>
    <row r="97" spans="1:41" x14ac:dyDescent="0.3">
      <c r="A97" s="18">
        <v>94</v>
      </c>
      <c r="B97" s="18" t="str">
        <f>'RW predict'!A96</f>
        <v>Alex Tuch</v>
      </c>
      <c r="C97" s="18" t="str">
        <f>'RW predict'!B96</f>
        <v>BUF</v>
      </c>
      <c r="D97" s="22" t="str" cm="1">
        <f t="array" ref="D97">_xlfn.SWITCH('RW predict'!C96, "C", "F", "LW","F", "RW", "F", "D", "D", "G", "G", "other")</f>
        <v>F</v>
      </c>
      <c r="E97" s="32">
        <f t="shared" si="2"/>
        <v>2195</v>
      </c>
      <c r="F97" s="35">
        <f>E97/assumptions!$B$2</f>
        <v>26.76829268292683</v>
      </c>
      <c r="G97" s="36">
        <f t="shared" si="3"/>
        <v>127</v>
      </c>
      <c r="H97" s="18">
        <f>IF(NOT(D97="G"),'RW predict'!E96,0)</f>
        <v>21</v>
      </c>
      <c r="I97" s="18">
        <f>'RW predict'!Q96</f>
        <v>54</v>
      </c>
      <c r="J97" s="18">
        <f>'RW predict'!F96</f>
        <v>37</v>
      </c>
      <c r="K97" s="18"/>
      <c r="L97" s="18"/>
      <c r="M97" s="18">
        <f>'RW predict'!P96</f>
        <v>65</v>
      </c>
      <c r="N97" s="18"/>
      <c r="O97" s="18">
        <f>'RW predict'!H96</f>
        <v>-6</v>
      </c>
      <c r="P97" s="18">
        <f>'RW predict'!I96</f>
        <v>24</v>
      </c>
      <c r="Q97" s="18">
        <f>'RW predict'!L96</f>
        <v>4</v>
      </c>
      <c r="R97" s="18">
        <f>'RW predict'!N96</f>
        <v>1</v>
      </c>
      <c r="S97" s="76">
        <f>'RW predict'!O96</f>
        <v>1</v>
      </c>
      <c r="T97" s="76">
        <f>'RW predict'!K96</f>
        <v>3</v>
      </c>
      <c r="U97" s="22">
        <f>'RW predict'!J96</f>
        <v>215</v>
      </c>
      <c r="V97" s="32">
        <f>IF(D97="G",'RW predict'!E96,0)</f>
        <v>0</v>
      </c>
      <c r="W97" s="18">
        <f>'RW predict'!R96</f>
        <v>0</v>
      </c>
      <c r="X97" s="18">
        <f>'RW predict'!T96</f>
        <v>0</v>
      </c>
      <c r="Y97" s="18">
        <f>'RW predict'!Y96</f>
        <v>0</v>
      </c>
      <c r="Z97" s="18">
        <f>'RW predict'!U96</f>
        <v>0</v>
      </c>
      <c r="AA97" s="18">
        <f>'RW predict'!W96</f>
        <v>0</v>
      </c>
      <c r="AB97" s="17"/>
      <c r="AG97" s="23"/>
      <c r="AI97" s="17"/>
      <c r="AO97" s="23"/>
    </row>
    <row r="98" spans="1:41" x14ac:dyDescent="0.3">
      <c r="A98" s="18">
        <v>95</v>
      </c>
      <c r="B98" s="18" t="str">
        <f>'RW predict'!A97</f>
        <v>Taylor Hall</v>
      </c>
      <c r="C98" s="18" t="str">
        <f>'RW predict'!B97</f>
        <v>BOS</v>
      </c>
      <c r="D98" s="22" t="str" cm="1">
        <f t="array" ref="D98">_xlfn.SWITCH('RW predict'!C97, "C", "F", "LW","F", "RW", "F", "D", "D", "G", "G", "other")</f>
        <v>F</v>
      </c>
      <c r="E98" s="32">
        <f t="shared" si="2"/>
        <v>2327</v>
      </c>
      <c r="F98" s="35">
        <f>E98/assumptions!$B$2</f>
        <v>28.378048780487806</v>
      </c>
      <c r="G98" s="36">
        <f t="shared" si="3"/>
        <v>109</v>
      </c>
      <c r="H98" s="18">
        <f>IF(NOT(D98="G"),'RW predict'!E97,0)</f>
        <v>20</v>
      </c>
      <c r="I98" s="18">
        <f>'RW predict'!Q97</f>
        <v>31</v>
      </c>
      <c r="J98" s="18">
        <f>'RW predict'!F97</f>
        <v>38</v>
      </c>
      <c r="K98" s="18"/>
      <c r="L98" s="18"/>
      <c r="M98" s="18">
        <f>'RW predict'!P97</f>
        <v>51</v>
      </c>
      <c r="N98" s="18"/>
      <c r="O98" s="18">
        <f>'RW predict'!H97</f>
        <v>8</v>
      </c>
      <c r="P98" s="18">
        <f>'RW predict'!I97</f>
        <v>40</v>
      </c>
      <c r="Q98" s="18">
        <f>'RW predict'!L97</f>
        <v>6</v>
      </c>
      <c r="R98" s="18">
        <f>'RW predict'!N97</f>
        <v>0</v>
      </c>
      <c r="S98" s="76">
        <f>'RW predict'!O97</f>
        <v>0</v>
      </c>
      <c r="T98" s="76">
        <f>'RW predict'!K97</f>
        <v>3</v>
      </c>
      <c r="U98" s="22">
        <f>'RW predict'!J97</f>
        <v>222</v>
      </c>
      <c r="V98" s="32">
        <f>IF(D98="G",'RW predict'!E97,0)</f>
        <v>0</v>
      </c>
      <c r="W98" s="18">
        <f>'RW predict'!R97</f>
        <v>0</v>
      </c>
      <c r="X98" s="18">
        <f>'RW predict'!T97</f>
        <v>0</v>
      </c>
      <c r="Y98" s="18">
        <f>'RW predict'!Y97</f>
        <v>0</v>
      </c>
      <c r="Z98" s="18">
        <f>'RW predict'!U97</f>
        <v>0</v>
      </c>
      <c r="AA98" s="18">
        <f>'RW predict'!W97</f>
        <v>0</v>
      </c>
      <c r="AB98" s="17"/>
      <c r="AG98" s="23"/>
      <c r="AI98" s="17"/>
      <c r="AO98" s="23"/>
    </row>
    <row r="99" spans="1:41" x14ac:dyDescent="0.3">
      <c r="A99" s="18">
        <v>96</v>
      </c>
      <c r="B99" s="18" t="str">
        <f>'RW predict'!A98</f>
        <v>Troy Terry</v>
      </c>
      <c r="C99" s="18" t="str">
        <f>'RW predict'!B98</f>
        <v>ANH</v>
      </c>
      <c r="D99" s="22" t="str" cm="1">
        <f t="array" ref="D99">_xlfn.SWITCH('RW predict'!C98, "C", "F", "LW","F", "RW", "F", "D", "D", "G", "G", "other")</f>
        <v>F</v>
      </c>
      <c r="E99" s="32">
        <f t="shared" si="2"/>
        <v>2016</v>
      </c>
      <c r="F99" s="35">
        <f>E99/assumptions!$B$2</f>
        <v>24.585365853658537</v>
      </c>
      <c r="G99" s="36">
        <f t="shared" si="3"/>
        <v>163</v>
      </c>
      <c r="H99" s="18">
        <f>IF(NOT(D99="G"),'RW predict'!E98,0)</f>
        <v>30</v>
      </c>
      <c r="I99" s="18">
        <f>'RW predict'!Q98</f>
        <v>24</v>
      </c>
      <c r="J99" s="18">
        <f>'RW predict'!F98</f>
        <v>28</v>
      </c>
      <c r="K99" s="18"/>
      <c r="L99" s="18"/>
      <c r="M99" s="18">
        <f>'RW predict'!P98</f>
        <v>6</v>
      </c>
      <c r="N99" s="18"/>
      <c r="O99" s="18">
        <f>'RW predict'!H98</f>
        <v>-9</v>
      </c>
      <c r="P99" s="18">
        <f>'RW predict'!I98</f>
        <v>24</v>
      </c>
      <c r="Q99" s="18">
        <f>'RW predict'!L98</f>
        <v>6</v>
      </c>
      <c r="R99" s="18">
        <f>'RW predict'!N98</f>
        <v>0</v>
      </c>
      <c r="S99" s="76">
        <f>'RW predict'!O98</f>
        <v>0</v>
      </c>
      <c r="T99" s="76">
        <f>'RW predict'!K98</f>
        <v>5</v>
      </c>
      <c r="U99" s="22">
        <f>'RW predict'!J98</f>
        <v>185</v>
      </c>
      <c r="V99" s="32">
        <f>IF(D99="G",'RW predict'!E98,0)</f>
        <v>0</v>
      </c>
      <c r="W99" s="18">
        <f>'RW predict'!R98</f>
        <v>0</v>
      </c>
      <c r="X99" s="18">
        <f>'RW predict'!T98</f>
        <v>0</v>
      </c>
      <c r="Y99" s="18">
        <f>'RW predict'!Y98</f>
        <v>0</v>
      </c>
      <c r="Z99" s="18">
        <f>'RW predict'!U98</f>
        <v>0</v>
      </c>
      <c r="AA99" s="18">
        <f>'RW predict'!W98</f>
        <v>0</v>
      </c>
      <c r="AB99" s="17"/>
      <c r="AG99" s="23"/>
      <c r="AI99" s="17"/>
      <c r="AO99" s="23"/>
    </row>
    <row r="100" spans="1:41" x14ac:dyDescent="0.3">
      <c r="A100" s="18">
        <v>97</v>
      </c>
      <c r="B100" s="18" t="str">
        <f>'RW predict'!A99</f>
        <v>Nico Hischier</v>
      </c>
      <c r="C100" s="18" t="str">
        <f>'RW predict'!B99</f>
        <v>NJ</v>
      </c>
      <c r="D100" s="22" t="str" cm="1">
        <f t="array" ref="D100">_xlfn.SWITCH('RW predict'!C99, "C", "F", "LW","F", "RW", "F", "D", "D", "G", "G", "other")</f>
        <v>F</v>
      </c>
      <c r="E100" s="32">
        <f t="shared" si="2"/>
        <v>2045</v>
      </c>
      <c r="F100" s="35">
        <f>E100/assumptions!$B$2</f>
        <v>24.939024390243901</v>
      </c>
      <c r="G100" s="36">
        <f t="shared" si="3"/>
        <v>158</v>
      </c>
      <c r="H100" s="18">
        <f>IF(NOT(D100="G"),'RW predict'!E99,0)</f>
        <v>20</v>
      </c>
      <c r="I100" s="18">
        <f>'RW predict'!Q99</f>
        <v>48</v>
      </c>
      <c r="J100" s="18">
        <f>'RW predict'!F99</f>
        <v>38</v>
      </c>
      <c r="K100" s="18"/>
      <c r="L100" s="18"/>
      <c r="M100" s="18">
        <f>'RW predict'!P99</f>
        <v>51</v>
      </c>
      <c r="N100" s="18"/>
      <c r="O100" s="18">
        <f>'RW predict'!H99</f>
        <v>-6</v>
      </c>
      <c r="P100" s="18">
        <f>'RW predict'!I99</f>
        <v>18</v>
      </c>
      <c r="Q100" s="18">
        <f>'RW predict'!L99</f>
        <v>5</v>
      </c>
      <c r="R100" s="18">
        <f>'RW predict'!N99</f>
        <v>0</v>
      </c>
      <c r="S100" s="76">
        <f>'RW predict'!O99</f>
        <v>1</v>
      </c>
      <c r="T100" s="76">
        <f>'RW predict'!K99</f>
        <v>4</v>
      </c>
      <c r="U100" s="22">
        <f>'RW predict'!J99</f>
        <v>157</v>
      </c>
      <c r="V100" s="32">
        <f>IF(D100="G",'RW predict'!E99,0)</f>
        <v>0</v>
      </c>
      <c r="W100" s="18">
        <f>'RW predict'!R99</f>
        <v>0</v>
      </c>
      <c r="X100" s="18">
        <f>'RW predict'!T99</f>
        <v>0</v>
      </c>
      <c r="Y100" s="18">
        <f>'RW predict'!Y99</f>
        <v>0</v>
      </c>
      <c r="Z100" s="18">
        <f>'RW predict'!U99</f>
        <v>0</v>
      </c>
      <c r="AA100" s="18">
        <f>'RW predict'!W99</f>
        <v>0</v>
      </c>
      <c r="AB100" s="17"/>
      <c r="AG100" s="23"/>
      <c r="AI100" s="17"/>
      <c r="AO100" s="23"/>
    </row>
    <row r="101" spans="1:41" x14ac:dyDescent="0.3">
      <c r="A101" s="18">
        <v>98</v>
      </c>
      <c r="B101" s="18" t="str">
        <f>'RW predict'!A100</f>
        <v>Tage Thompson</v>
      </c>
      <c r="C101" s="18" t="str">
        <f>'RW predict'!B100</f>
        <v>BUF</v>
      </c>
      <c r="D101" s="22" t="str" cm="1">
        <f t="array" ref="D101">_xlfn.SWITCH('RW predict'!C100, "C", "F", "LW","F", "RW", "F", "D", "D", "G", "G", "other")</f>
        <v>F</v>
      </c>
      <c r="E101" s="32">
        <f t="shared" si="2"/>
        <v>2204</v>
      </c>
      <c r="F101" s="35">
        <f>E101/assumptions!$B$2</f>
        <v>26.878048780487806</v>
      </c>
      <c r="G101" s="36">
        <f t="shared" si="3"/>
        <v>122</v>
      </c>
      <c r="H101" s="18">
        <f>IF(NOT(D101="G"),'RW predict'!E100,0)</f>
        <v>32</v>
      </c>
      <c r="I101" s="18">
        <f>'RW predict'!Q100</f>
        <v>23</v>
      </c>
      <c r="J101" s="18">
        <f>'RW predict'!F100</f>
        <v>26</v>
      </c>
      <c r="K101" s="18"/>
      <c r="L101" s="18"/>
      <c r="M101" s="18">
        <f>'RW predict'!P100</f>
        <v>66</v>
      </c>
      <c r="N101" s="18"/>
      <c r="O101" s="18">
        <f>'RW predict'!H100</f>
        <v>-13</v>
      </c>
      <c r="P101" s="18">
        <f>'RW predict'!I100</f>
        <v>40</v>
      </c>
      <c r="Q101" s="18">
        <f>'RW predict'!L100</f>
        <v>7</v>
      </c>
      <c r="R101" s="18">
        <f>'RW predict'!N100</f>
        <v>1</v>
      </c>
      <c r="S101" s="76">
        <f>'RW predict'!O100</f>
        <v>0</v>
      </c>
      <c r="T101" s="76">
        <f>'RW predict'!K100</f>
        <v>3</v>
      </c>
      <c r="U101" s="22">
        <f>'RW predict'!J100</f>
        <v>251</v>
      </c>
      <c r="V101" s="32">
        <f>IF(D101="G",'RW predict'!E100,0)</f>
        <v>0</v>
      </c>
      <c r="W101" s="18">
        <f>'RW predict'!R100</f>
        <v>0</v>
      </c>
      <c r="X101" s="18">
        <f>'RW predict'!T100</f>
        <v>0</v>
      </c>
      <c r="Y101" s="18">
        <f>'RW predict'!Y100</f>
        <v>0</v>
      </c>
      <c r="Z101" s="18">
        <f>'RW predict'!U100</f>
        <v>0</v>
      </c>
      <c r="AA101" s="18">
        <f>'RW predict'!W100</f>
        <v>0</v>
      </c>
      <c r="AB101" s="17"/>
      <c r="AG101" s="23"/>
      <c r="AI101" s="17"/>
      <c r="AO101" s="23"/>
    </row>
    <row r="102" spans="1:41" x14ac:dyDescent="0.3">
      <c r="A102" s="18">
        <v>99</v>
      </c>
      <c r="B102" s="18" t="str">
        <f>'RW predict'!A101</f>
        <v>Matthew Boldy</v>
      </c>
      <c r="C102" s="18" t="str">
        <f>'RW predict'!B101</f>
        <v>MIN</v>
      </c>
      <c r="D102" s="22" t="str" cm="1">
        <f t="array" ref="D102">_xlfn.SWITCH('RW predict'!C101, "C", "F", "LW","F", "RW", "F", "D", "D", "G", "G", "other")</f>
        <v>F</v>
      </c>
      <c r="E102" s="32">
        <f t="shared" si="2"/>
        <v>2374</v>
      </c>
      <c r="F102" s="35">
        <f>E102/assumptions!$B$2</f>
        <v>28.951219512195124</v>
      </c>
      <c r="G102" s="36">
        <f t="shared" si="3"/>
        <v>100</v>
      </c>
      <c r="H102" s="18">
        <f>IF(NOT(D102="G"),'RW predict'!E101,0)</f>
        <v>23</v>
      </c>
      <c r="I102" s="18">
        <f>'RW predict'!Q101</f>
        <v>36</v>
      </c>
      <c r="J102" s="18">
        <f>'RW predict'!F101</f>
        <v>35</v>
      </c>
      <c r="K102" s="18"/>
      <c r="L102" s="18"/>
      <c r="M102" s="18">
        <f>'RW predict'!P101</f>
        <v>38</v>
      </c>
      <c r="N102" s="18"/>
      <c r="O102" s="18">
        <f>'RW predict'!H101</f>
        <v>23</v>
      </c>
      <c r="P102" s="18">
        <f>'RW predict'!I101</f>
        <v>16</v>
      </c>
      <c r="Q102" s="18">
        <f>'RW predict'!L101</f>
        <v>5</v>
      </c>
      <c r="R102" s="18">
        <f>'RW predict'!N101</f>
        <v>0</v>
      </c>
      <c r="S102" s="76">
        <f>'RW predict'!O101</f>
        <v>0</v>
      </c>
      <c r="T102" s="76">
        <f>'RW predict'!K101</f>
        <v>5</v>
      </c>
      <c r="U102" s="22">
        <f>'RW predict'!J101</f>
        <v>193</v>
      </c>
      <c r="V102" s="32">
        <f>IF(D102="G",'RW predict'!E101,0)</f>
        <v>0</v>
      </c>
      <c r="W102" s="18">
        <f>'RW predict'!R101</f>
        <v>0</v>
      </c>
      <c r="X102" s="18">
        <f>'RW predict'!T101</f>
        <v>0</v>
      </c>
      <c r="Y102" s="18">
        <f>'RW predict'!Y101</f>
        <v>0</v>
      </c>
      <c r="Z102" s="18">
        <f>'RW predict'!U101</f>
        <v>0</v>
      </c>
      <c r="AA102" s="18">
        <f>'RW predict'!W101</f>
        <v>0</v>
      </c>
      <c r="AB102" s="17"/>
      <c r="AG102" s="23"/>
      <c r="AI102" s="17"/>
      <c r="AO102" s="23"/>
    </row>
    <row r="103" spans="1:41" x14ac:dyDescent="0.3">
      <c r="A103" s="18">
        <v>100</v>
      </c>
      <c r="B103" s="18" t="str">
        <f>'RW predict'!A102</f>
        <v>Moritz Seider</v>
      </c>
      <c r="C103" s="18" t="str">
        <f>'RW predict'!B102</f>
        <v>DET</v>
      </c>
      <c r="D103" s="22" t="str" cm="1">
        <f t="array" ref="D103">_xlfn.SWITCH('RW predict'!C102, "C", "F", "LW","F", "RW", "F", "D", "D", "G", "G", "other")</f>
        <v>D</v>
      </c>
      <c r="E103" s="32">
        <f t="shared" si="2"/>
        <v>2462</v>
      </c>
      <c r="F103" s="35">
        <f>E103/assumptions!$B$2</f>
        <v>30.024390243902438</v>
      </c>
      <c r="G103" s="36">
        <f t="shared" si="3"/>
        <v>87</v>
      </c>
      <c r="H103" s="18">
        <f>IF(NOT(D103="G"),'RW predict'!E102,0)</f>
        <v>7</v>
      </c>
      <c r="I103" s="18">
        <f>'RW predict'!Q102</f>
        <v>161</v>
      </c>
      <c r="J103" s="18">
        <f>'RW predict'!F102</f>
        <v>51</v>
      </c>
      <c r="K103" s="18"/>
      <c r="L103" s="18"/>
      <c r="M103" s="18">
        <f>'RW predict'!P102</f>
        <v>162</v>
      </c>
      <c r="N103" s="18"/>
      <c r="O103" s="18">
        <f>'RW predict'!H102</f>
        <v>-7</v>
      </c>
      <c r="P103" s="18">
        <f>'RW predict'!I102</f>
        <v>38</v>
      </c>
      <c r="Q103" s="18">
        <f>'RW predict'!L102</f>
        <v>2</v>
      </c>
      <c r="R103" s="18">
        <f>'RW predict'!N102</f>
        <v>0</v>
      </c>
      <c r="S103" s="76">
        <f>'RW predict'!O102</f>
        <v>2</v>
      </c>
      <c r="T103" s="76">
        <f>'RW predict'!K102</f>
        <v>2</v>
      </c>
      <c r="U103" s="22">
        <f>'RW predict'!J102</f>
        <v>202</v>
      </c>
      <c r="V103" s="32">
        <f>IF(D103="G",'RW predict'!E102,0)</f>
        <v>0</v>
      </c>
      <c r="W103" s="18">
        <f>'RW predict'!R102</f>
        <v>0</v>
      </c>
      <c r="X103" s="18">
        <f>'RW predict'!T102</f>
        <v>0</v>
      </c>
      <c r="Y103" s="18">
        <f>'RW predict'!Y102</f>
        <v>0</v>
      </c>
      <c r="Z103" s="18">
        <f>'RW predict'!U102</f>
        <v>0</v>
      </c>
      <c r="AA103" s="18">
        <f>'RW predict'!W102</f>
        <v>0</v>
      </c>
      <c r="AB103" s="17"/>
      <c r="AG103" s="23"/>
      <c r="AI103" s="17"/>
      <c r="AO103" s="23"/>
    </row>
    <row r="104" spans="1:41" x14ac:dyDescent="0.3">
      <c r="A104" s="18">
        <v>101</v>
      </c>
      <c r="B104" s="18" t="str">
        <f>'RW predict'!A103</f>
        <v>Sean Couturier</v>
      </c>
      <c r="C104" s="18" t="str">
        <f>'RW predict'!B103</f>
        <v>PHI</v>
      </c>
      <c r="D104" s="22" t="str" cm="1">
        <f t="array" ref="D104">_xlfn.SWITCH('RW predict'!C103, "C", "F", "LW","F", "RW", "F", "D", "D", "G", "G", "other")</f>
        <v>F</v>
      </c>
      <c r="E104" s="32">
        <f t="shared" si="2"/>
        <v>2145</v>
      </c>
      <c r="F104" s="35">
        <f>E104/assumptions!$B$2</f>
        <v>26.158536585365855</v>
      </c>
      <c r="G104" s="36">
        <f t="shared" si="3"/>
        <v>137</v>
      </c>
      <c r="H104" s="18">
        <f>IF(NOT(D104="G"),'RW predict'!E103,0)</f>
        <v>23</v>
      </c>
      <c r="I104" s="18">
        <f>'RW predict'!Q103</f>
        <v>39</v>
      </c>
      <c r="J104" s="18">
        <f>'RW predict'!F103</f>
        <v>34</v>
      </c>
      <c r="K104" s="18"/>
      <c r="L104" s="18"/>
      <c r="M104" s="18">
        <f>'RW predict'!P103</f>
        <v>54</v>
      </c>
      <c r="N104" s="18"/>
      <c r="O104" s="18">
        <f>'RW predict'!H103</f>
        <v>-5</v>
      </c>
      <c r="P104" s="18">
        <f>'RW predict'!I103</f>
        <v>30</v>
      </c>
      <c r="Q104" s="18">
        <f>'RW predict'!L103</f>
        <v>5</v>
      </c>
      <c r="R104" s="18">
        <f>'RW predict'!N103</f>
        <v>1</v>
      </c>
      <c r="S104" s="76">
        <f>'RW predict'!O103</f>
        <v>1</v>
      </c>
      <c r="T104" s="76">
        <f>'RW predict'!K103</f>
        <v>4</v>
      </c>
      <c r="U104" s="22">
        <f>'RW predict'!J103</f>
        <v>194</v>
      </c>
      <c r="V104" s="32">
        <f>IF(D104="G",'RW predict'!E103,0)</f>
        <v>0</v>
      </c>
      <c r="W104" s="18">
        <f>'RW predict'!R103</f>
        <v>0</v>
      </c>
      <c r="X104" s="18">
        <f>'RW predict'!T103</f>
        <v>0</v>
      </c>
      <c r="Y104" s="18">
        <f>'RW predict'!Y103</f>
        <v>0</v>
      </c>
      <c r="Z104" s="18">
        <f>'RW predict'!U103</f>
        <v>0</v>
      </c>
      <c r="AA104" s="18">
        <f>'RW predict'!W103</f>
        <v>0</v>
      </c>
      <c r="AB104" s="17"/>
      <c r="AG104" s="23"/>
      <c r="AI104" s="17"/>
      <c r="AO104" s="23"/>
    </row>
    <row r="105" spans="1:41" x14ac:dyDescent="0.3">
      <c r="A105" s="18">
        <v>102</v>
      </c>
      <c r="B105" s="18" t="str">
        <f>'RW predict'!A104</f>
        <v>Brent Burns</v>
      </c>
      <c r="C105" s="18" t="str">
        <f>'RW predict'!B104</f>
        <v>CAR</v>
      </c>
      <c r="D105" s="22" t="str" cm="1">
        <f t="array" ref="D105">_xlfn.SWITCH('RW predict'!C104, "C", "F", "LW","F", "RW", "F", "D", "D", "G", "G", "other")</f>
        <v>D</v>
      </c>
      <c r="E105" s="32">
        <f t="shared" si="2"/>
        <v>2443</v>
      </c>
      <c r="F105" s="35">
        <f>E105/assumptions!$B$2</f>
        <v>29.792682926829269</v>
      </c>
      <c r="G105" s="36">
        <f t="shared" si="3"/>
        <v>89</v>
      </c>
      <c r="H105" s="18">
        <f>IF(NOT(D105="G"),'RW predict'!E104,0)</f>
        <v>11</v>
      </c>
      <c r="I105" s="18">
        <f>'RW predict'!Q104</f>
        <v>144</v>
      </c>
      <c r="J105" s="18">
        <f>'RW predict'!F104</f>
        <v>46</v>
      </c>
      <c r="K105" s="18"/>
      <c r="L105" s="18"/>
      <c r="M105" s="18">
        <f>'RW predict'!P104</f>
        <v>56</v>
      </c>
      <c r="N105" s="18"/>
      <c r="O105" s="18">
        <f>'RW predict'!H104</f>
        <v>6</v>
      </c>
      <c r="P105" s="18">
        <f>'RW predict'!I104</f>
        <v>40</v>
      </c>
      <c r="Q105" s="18">
        <f>'RW predict'!L104</f>
        <v>4</v>
      </c>
      <c r="R105" s="18">
        <f>'RW predict'!N104</f>
        <v>0</v>
      </c>
      <c r="S105" s="76">
        <f>'RW predict'!O104</f>
        <v>1</v>
      </c>
      <c r="T105" s="76">
        <f>'RW predict'!K104</f>
        <v>1</v>
      </c>
      <c r="U105" s="22">
        <f>'RW predict'!J104</f>
        <v>212</v>
      </c>
      <c r="V105" s="32">
        <f>IF(D105="G",'RW predict'!E104,0)</f>
        <v>0</v>
      </c>
      <c r="W105" s="18">
        <f>'RW predict'!R104</f>
        <v>0</v>
      </c>
      <c r="X105" s="18">
        <f>'RW predict'!T104</f>
        <v>0</v>
      </c>
      <c r="Y105" s="18">
        <f>'RW predict'!Y104</f>
        <v>0</v>
      </c>
      <c r="Z105" s="18">
        <f>'RW predict'!U104</f>
        <v>0</v>
      </c>
      <c r="AA105" s="18">
        <f>'RW predict'!W104</f>
        <v>0</v>
      </c>
      <c r="AB105" s="17"/>
      <c r="AG105" s="23"/>
      <c r="AI105" s="17"/>
      <c r="AO105" s="23"/>
    </row>
    <row r="106" spans="1:41" x14ac:dyDescent="0.3">
      <c r="A106" s="18">
        <v>103</v>
      </c>
      <c r="B106" s="18" t="str">
        <f>'RW predict'!A105</f>
        <v>Tyler Bertuzzi</v>
      </c>
      <c r="C106" s="18" t="str">
        <f>'RW predict'!B105</f>
        <v>DET</v>
      </c>
      <c r="D106" s="22" t="str" cm="1">
        <f t="array" ref="D106">_xlfn.SWITCH('RW predict'!C105, "C", "F", "LW","F", "RW", "F", "D", "D", "G", "G", "other")</f>
        <v>F</v>
      </c>
      <c r="E106" s="32">
        <f t="shared" si="2"/>
        <v>2106</v>
      </c>
      <c r="F106" s="35">
        <f>E106/assumptions!$B$2</f>
        <v>25.682926829268293</v>
      </c>
      <c r="G106" s="36">
        <f t="shared" si="3"/>
        <v>145</v>
      </c>
      <c r="H106" s="18">
        <f>IF(NOT(D106="G"),'RW predict'!E105,0)</f>
        <v>28</v>
      </c>
      <c r="I106" s="18">
        <f>'RW predict'!Q105</f>
        <v>37</v>
      </c>
      <c r="J106" s="18">
        <f>'RW predict'!F105</f>
        <v>29</v>
      </c>
      <c r="K106" s="18"/>
      <c r="L106" s="18"/>
      <c r="M106" s="18">
        <f>'RW predict'!P105</f>
        <v>63</v>
      </c>
      <c r="N106" s="18"/>
      <c r="O106" s="18">
        <f>'RW predict'!H105</f>
        <v>-11</v>
      </c>
      <c r="P106" s="18">
        <f>'RW predict'!I105</f>
        <v>44</v>
      </c>
      <c r="Q106" s="18">
        <f>'RW predict'!L105</f>
        <v>5</v>
      </c>
      <c r="R106" s="18">
        <f>'RW predict'!N105</f>
        <v>1</v>
      </c>
      <c r="S106" s="76">
        <f>'RW predict'!O105</f>
        <v>1</v>
      </c>
      <c r="T106" s="76">
        <f>'RW predict'!K105</f>
        <v>5</v>
      </c>
      <c r="U106" s="22">
        <f>'RW predict'!J105</f>
        <v>171</v>
      </c>
      <c r="V106" s="32">
        <f>IF(D106="G",'RW predict'!E105,0)</f>
        <v>0</v>
      </c>
      <c r="W106" s="18">
        <f>'RW predict'!R105</f>
        <v>0</v>
      </c>
      <c r="X106" s="18">
        <f>'RW predict'!T105</f>
        <v>0</v>
      </c>
      <c r="Y106" s="18">
        <f>'RW predict'!Y105</f>
        <v>0</v>
      </c>
      <c r="Z106" s="18">
        <f>'RW predict'!U105</f>
        <v>0</v>
      </c>
      <c r="AA106" s="18">
        <f>'RW predict'!W105</f>
        <v>0</v>
      </c>
      <c r="AB106" s="17"/>
      <c r="AG106" s="23"/>
      <c r="AI106" s="17"/>
      <c r="AO106" s="23"/>
    </row>
    <row r="107" spans="1:41" x14ac:dyDescent="0.3">
      <c r="A107" s="18">
        <v>104</v>
      </c>
      <c r="B107" s="18" t="str">
        <f>'RW predict'!A106</f>
        <v>Andrew Mangiapane</v>
      </c>
      <c r="C107" s="18" t="str">
        <f>'RW predict'!B106</f>
        <v>CGY</v>
      </c>
      <c r="D107" s="22" t="str" cm="1">
        <f t="array" ref="D107">_xlfn.SWITCH('RW predict'!C106, "C", "F", "LW","F", "RW", "F", "D", "D", "G", "G", "other")</f>
        <v>F</v>
      </c>
      <c r="E107" s="32">
        <f t="shared" si="2"/>
        <v>2395</v>
      </c>
      <c r="F107" s="35">
        <f>E107/assumptions!$B$2</f>
        <v>29.207317073170731</v>
      </c>
      <c r="G107" s="36">
        <f t="shared" si="3"/>
        <v>97</v>
      </c>
      <c r="H107" s="18">
        <f>IF(NOT(D107="G"),'RW predict'!E106,0)</f>
        <v>33</v>
      </c>
      <c r="I107" s="18">
        <f>'RW predict'!Q106</f>
        <v>30</v>
      </c>
      <c r="J107" s="18">
        <f>'RW predict'!F106</f>
        <v>23</v>
      </c>
      <c r="K107" s="18"/>
      <c r="L107" s="18"/>
      <c r="M107" s="18">
        <f>'RW predict'!P106</f>
        <v>73</v>
      </c>
      <c r="N107" s="18"/>
      <c r="O107" s="18">
        <f>'RW predict'!H106</f>
        <v>16</v>
      </c>
      <c r="P107" s="18">
        <f>'RW predict'!I106</f>
        <v>32</v>
      </c>
      <c r="Q107" s="18">
        <f>'RW predict'!L106</f>
        <v>6</v>
      </c>
      <c r="R107" s="18">
        <f>'RW predict'!N106</f>
        <v>1</v>
      </c>
      <c r="S107" s="76">
        <f>'RW predict'!O106</f>
        <v>1</v>
      </c>
      <c r="T107" s="76">
        <f>'RW predict'!K106</f>
        <v>7</v>
      </c>
      <c r="U107" s="22">
        <f>'RW predict'!J106</f>
        <v>188</v>
      </c>
      <c r="V107" s="32">
        <f>IF(D107="G",'RW predict'!E106,0)</f>
        <v>0</v>
      </c>
      <c r="W107" s="18">
        <f>'RW predict'!R106</f>
        <v>0</v>
      </c>
      <c r="X107" s="18">
        <f>'RW predict'!T106</f>
        <v>0</v>
      </c>
      <c r="Y107" s="18">
        <f>'RW predict'!Y106</f>
        <v>0</v>
      </c>
      <c r="Z107" s="18">
        <f>'RW predict'!U106</f>
        <v>0</v>
      </c>
      <c r="AA107" s="18">
        <f>'RW predict'!W106</f>
        <v>0</v>
      </c>
      <c r="AB107" s="17"/>
      <c r="AG107" s="23"/>
      <c r="AI107" s="17"/>
      <c r="AO107" s="23"/>
    </row>
    <row r="108" spans="1:41" x14ac:dyDescent="0.3">
      <c r="A108" s="18">
        <v>105</v>
      </c>
      <c r="B108" s="18" t="str">
        <f>'RW predict'!A107</f>
        <v>Bo Horvat</v>
      </c>
      <c r="C108" s="18" t="str">
        <f>'RW predict'!B107</f>
        <v>VAN</v>
      </c>
      <c r="D108" s="22" t="str" cm="1">
        <f t="array" ref="D108">_xlfn.SWITCH('RW predict'!C107, "C", "F", "LW","F", "RW", "F", "D", "D", "G", "G", "other")</f>
        <v>F</v>
      </c>
      <c r="E108" s="32">
        <f t="shared" si="2"/>
        <v>2427</v>
      </c>
      <c r="F108" s="35">
        <f>E108/assumptions!$B$2</f>
        <v>29.597560975609756</v>
      </c>
      <c r="G108" s="36">
        <f t="shared" si="3"/>
        <v>95</v>
      </c>
      <c r="H108" s="18">
        <f>IF(NOT(D108="G"),'RW predict'!E107,0)</f>
        <v>28</v>
      </c>
      <c r="I108" s="18">
        <f>'RW predict'!Q107</f>
        <v>54</v>
      </c>
      <c r="J108" s="18">
        <f>'RW predict'!F107</f>
        <v>28</v>
      </c>
      <c r="K108" s="18"/>
      <c r="L108" s="18"/>
      <c r="M108" s="18">
        <f>'RW predict'!P107</f>
        <v>93</v>
      </c>
      <c r="N108" s="18"/>
      <c r="O108" s="18">
        <f>'RW predict'!H107</f>
        <v>2</v>
      </c>
      <c r="P108" s="18">
        <f>'RW predict'!I107</f>
        <v>40</v>
      </c>
      <c r="Q108" s="18">
        <f>'RW predict'!L107</f>
        <v>12</v>
      </c>
      <c r="R108" s="18">
        <f>'RW predict'!N107</f>
        <v>1</v>
      </c>
      <c r="S108" s="76">
        <f>'RW predict'!O107</f>
        <v>1</v>
      </c>
      <c r="T108" s="76">
        <f>'RW predict'!K107</f>
        <v>5</v>
      </c>
      <c r="U108" s="22">
        <f>'RW predict'!J107</f>
        <v>218</v>
      </c>
      <c r="V108" s="32">
        <f>IF(D108="G",'RW predict'!E107,0)</f>
        <v>0</v>
      </c>
      <c r="W108" s="18">
        <f>'RW predict'!R107</f>
        <v>0</v>
      </c>
      <c r="X108" s="18">
        <f>'RW predict'!T107</f>
        <v>0</v>
      </c>
      <c r="Y108" s="18">
        <f>'RW predict'!Y107</f>
        <v>0</v>
      </c>
      <c r="Z108" s="18">
        <f>'RW predict'!U107</f>
        <v>0</v>
      </c>
      <c r="AA108" s="18">
        <f>'RW predict'!W107</f>
        <v>0</v>
      </c>
      <c r="AB108" s="17"/>
      <c r="AG108" s="23"/>
      <c r="AI108" s="17"/>
      <c r="AO108" s="23"/>
    </row>
    <row r="109" spans="1:41" x14ac:dyDescent="0.3">
      <c r="A109" s="18">
        <v>106</v>
      </c>
      <c r="B109" s="18" t="str">
        <f>'RW predict'!A108</f>
        <v>Andre Burakovsky</v>
      </c>
      <c r="C109" s="18" t="str">
        <f>'RW predict'!B108</f>
        <v>SEA</v>
      </c>
      <c r="D109" s="22" t="str" cm="1">
        <f t="array" ref="D109">_xlfn.SWITCH('RW predict'!C108, "C", "F", "LW","F", "RW", "F", "D", "D", "G", "G", "other")</f>
        <v>F</v>
      </c>
      <c r="E109" s="32">
        <f t="shared" si="2"/>
        <v>2014</v>
      </c>
      <c r="F109" s="35">
        <f>E109/assumptions!$B$2</f>
        <v>24.560975609756099</v>
      </c>
      <c r="G109" s="36">
        <f t="shared" si="3"/>
        <v>164</v>
      </c>
      <c r="H109" s="18">
        <f>IF(NOT(D109="G"),'RW predict'!E108,0)</f>
        <v>22</v>
      </c>
      <c r="I109" s="18">
        <f>'RW predict'!Q108</f>
        <v>34</v>
      </c>
      <c r="J109" s="18">
        <f>'RW predict'!F108</f>
        <v>34</v>
      </c>
      <c r="K109" s="18"/>
      <c r="L109" s="18"/>
      <c r="M109" s="18">
        <f>'RW predict'!P108</f>
        <v>46</v>
      </c>
      <c r="N109" s="18"/>
      <c r="O109" s="18">
        <f>'RW predict'!H108</f>
        <v>2</v>
      </c>
      <c r="P109" s="18">
        <f>'RW predict'!I108</f>
        <v>18</v>
      </c>
      <c r="Q109" s="18">
        <f>'RW predict'!L108</f>
        <v>4</v>
      </c>
      <c r="R109" s="18">
        <f>'RW predict'!N108</f>
        <v>0</v>
      </c>
      <c r="S109" s="76">
        <f>'RW predict'!O108</f>
        <v>0</v>
      </c>
      <c r="T109" s="76">
        <f>'RW predict'!K108</f>
        <v>4</v>
      </c>
      <c r="U109" s="22">
        <f>'RW predict'!J108</f>
        <v>153</v>
      </c>
      <c r="V109" s="32">
        <f>IF(D109="G",'RW predict'!E108,0)</f>
        <v>0</v>
      </c>
      <c r="W109" s="18">
        <f>'RW predict'!R108</f>
        <v>0</v>
      </c>
      <c r="X109" s="18">
        <f>'RW predict'!T108</f>
        <v>0</v>
      </c>
      <c r="Y109" s="18">
        <f>'RW predict'!Y108</f>
        <v>0</v>
      </c>
      <c r="Z109" s="18">
        <f>'RW predict'!U108</f>
        <v>0</v>
      </c>
      <c r="AA109" s="18">
        <f>'RW predict'!W108</f>
        <v>0</v>
      </c>
      <c r="AB109" s="17"/>
      <c r="AG109" s="23"/>
      <c r="AI109" s="17"/>
      <c r="AO109" s="23"/>
    </row>
    <row r="110" spans="1:41" x14ac:dyDescent="0.3">
      <c r="A110" s="18">
        <v>107</v>
      </c>
      <c r="B110" s="18" t="str">
        <f>'RW predict'!A109</f>
        <v>Vincent Trocheck</v>
      </c>
      <c r="C110" s="18" t="str">
        <f>'RW predict'!B109</f>
        <v>NYR</v>
      </c>
      <c r="D110" s="22" t="str" cm="1">
        <f t="array" ref="D110">_xlfn.SWITCH('RW predict'!C109, "C", "F", "LW","F", "RW", "F", "D", "D", "G", "G", "other")</f>
        <v>F</v>
      </c>
      <c r="E110" s="32">
        <f t="shared" si="2"/>
        <v>2506</v>
      </c>
      <c r="F110" s="35">
        <f>E110/assumptions!$B$2</f>
        <v>30.560975609756099</v>
      </c>
      <c r="G110" s="36">
        <f t="shared" si="3"/>
        <v>80</v>
      </c>
      <c r="H110" s="18">
        <f>IF(NOT(D110="G"),'RW predict'!E109,0)</f>
        <v>23</v>
      </c>
      <c r="I110" s="18">
        <f>'RW predict'!Q109</f>
        <v>41</v>
      </c>
      <c r="J110" s="18">
        <f>'RW predict'!F109</f>
        <v>33</v>
      </c>
      <c r="K110" s="18"/>
      <c r="L110" s="18"/>
      <c r="M110" s="18">
        <f>'RW predict'!P109</f>
        <v>172</v>
      </c>
      <c r="N110" s="18"/>
      <c r="O110" s="18">
        <f>'RW predict'!H109</f>
        <v>14</v>
      </c>
      <c r="P110" s="18">
        <f>'RW predict'!I109</f>
        <v>62</v>
      </c>
      <c r="Q110" s="18">
        <f>'RW predict'!L109</f>
        <v>6</v>
      </c>
      <c r="R110" s="18">
        <f>'RW predict'!N109</f>
        <v>1</v>
      </c>
      <c r="S110" s="76">
        <f>'RW predict'!O109</f>
        <v>0</v>
      </c>
      <c r="T110" s="76">
        <f>'RW predict'!K109</f>
        <v>5</v>
      </c>
      <c r="U110" s="22">
        <f>'RW predict'!J109</f>
        <v>173</v>
      </c>
      <c r="V110" s="32">
        <f>IF(D110="G",'RW predict'!E109,0)</f>
        <v>0</v>
      </c>
      <c r="W110" s="18">
        <f>'RW predict'!R109</f>
        <v>0</v>
      </c>
      <c r="X110" s="18">
        <f>'RW predict'!T109</f>
        <v>0</v>
      </c>
      <c r="Y110" s="18">
        <f>'RW predict'!Y109</f>
        <v>0</v>
      </c>
      <c r="Z110" s="18">
        <f>'RW predict'!U109</f>
        <v>0</v>
      </c>
      <c r="AA110" s="18">
        <f>'RW predict'!W109</f>
        <v>0</v>
      </c>
      <c r="AB110" s="17"/>
      <c r="AG110" s="23"/>
      <c r="AI110" s="17"/>
      <c r="AO110" s="23"/>
    </row>
    <row r="111" spans="1:41" x14ac:dyDescent="0.3">
      <c r="A111" s="18">
        <v>108</v>
      </c>
      <c r="B111" s="18" t="str">
        <f>'RW predict'!A110</f>
        <v>Rasmus Dahlin</v>
      </c>
      <c r="C111" s="18" t="str">
        <f>'RW predict'!B110</f>
        <v>BUF</v>
      </c>
      <c r="D111" s="22" t="str" cm="1">
        <f t="array" ref="D111">_xlfn.SWITCH('RW predict'!C110, "C", "F", "LW","F", "RW", "F", "D", "D", "G", "G", "other")</f>
        <v>D</v>
      </c>
      <c r="E111" s="32">
        <f t="shared" si="2"/>
        <v>2127</v>
      </c>
      <c r="F111" s="35">
        <f>E111/assumptions!$B$2</f>
        <v>25.939024390243901</v>
      </c>
      <c r="G111" s="36">
        <f t="shared" si="3"/>
        <v>140</v>
      </c>
      <c r="H111" s="18">
        <f>IF(NOT(D111="G"),'RW predict'!E110,0)</f>
        <v>12</v>
      </c>
      <c r="I111" s="18">
        <f>'RW predict'!Q110</f>
        <v>94</v>
      </c>
      <c r="J111" s="18">
        <f>'RW predict'!F110</f>
        <v>44</v>
      </c>
      <c r="K111" s="18"/>
      <c r="L111" s="18"/>
      <c r="M111" s="18">
        <f>'RW predict'!P110</f>
        <v>119</v>
      </c>
      <c r="N111" s="18"/>
      <c r="O111" s="18">
        <f>'RW predict'!H110</f>
        <v>-18</v>
      </c>
      <c r="P111" s="18">
        <f>'RW predict'!I110</f>
        <v>62</v>
      </c>
      <c r="Q111" s="18">
        <f>'RW predict'!L110</f>
        <v>2</v>
      </c>
      <c r="R111" s="18">
        <f>'RW predict'!N110</f>
        <v>0</v>
      </c>
      <c r="S111" s="76">
        <f>'RW predict'!O110</f>
        <v>1</v>
      </c>
      <c r="T111" s="76">
        <f>'RW predict'!K110</f>
        <v>2</v>
      </c>
      <c r="U111" s="22">
        <f>'RW predict'!J110</f>
        <v>172</v>
      </c>
      <c r="V111" s="32">
        <f>IF(D111="G",'RW predict'!E110,0)</f>
        <v>0</v>
      </c>
      <c r="W111" s="18">
        <f>'RW predict'!R110</f>
        <v>0</v>
      </c>
      <c r="X111" s="18">
        <f>'RW predict'!T110</f>
        <v>0</v>
      </c>
      <c r="Y111" s="18">
        <f>'RW predict'!Y110</f>
        <v>0</v>
      </c>
      <c r="Z111" s="18">
        <f>'RW predict'!U110</f>
        <v>0</v>
      </c>
      <c r="AA111" s="18">
        <f>'RW predict'!W110</f>
        <v>0</v>
      </c>
      <c r="AB111" s="17"/>
      <c r="AG111" s="23"/>
      <c r="AI111" s="17"/>
      <c r="AO111" s="23"/>
    </row>
    <row r="112" spans="1:41" x14ac:dyDescent="0.3">
      <c r="A112" s="18">
        <v>109</v>
      </c>
      <c r="B112" s="18" t="str">
        <f>'RW predict'!A111</f>
        <v>Conor Garland</v>
      </c>
      <c r="C112" s="18" t="str">
        <f>'RW predict'!B111</f>
        <v>VAN</v>
      </c>
      <c r="D112" s="22" t="str" cm="1">
        <f t="array" ref="D112">_xlfn.SWITCH('RW predict'!C111, "C", "F", "LW","F", "RW", "F", "D", "D", "G", "G", "other")</f>
        <v>F</v>
      </c>
      <c r="E112" s="32">
        <f t="shared" si="2"/>
        <v>2216</v>
      </c>
      <c r="F112" s="35">
        <f>E112/assumptions!$B$2</f>
        <v>27.024390243902438</v>
      </c>
      <c r="G112" s="36">
        <f t="shared" si="3"/>
        <v>121</v>
      </c>
      <c r="H112" s="18">
        <f>IF(NOT(D112="G"),'RW predict'!E111,0)</f>
        <v>20</v>
      </c>
      <c r="I112" s="18">
        <f>'RW predict'!Q111</f>
        <v>23</v>
      </c>
      <c r="J112" s="18">
        <f>'RW predict'!F111</f>
        <v>35</v>
      </c>
      <c r="K112" s="18"/>
      <c r="L112" s="18"/>
      <c r="M112" s="18">
        <f>'RW predict'!P111</f>
        <v>49</v>
      </c>
      <c r="N112" s="18"/>
      <c r="O112" s="18">
        <f>'RW predict'!H111</f>
        <v>13</v>
      </c>
      <c r="P112" s="18">
        <f>'RW predict'!I111</f>
        <v>32</v>
      </c>
      <c r="Q112" s="18">
        <f>'RW predict'!L111</f>
        <v>2</v>
      </c>
      <c r="R112" s="18">
        <f>'RW predict'!N111</f>
        <v>0</v>
      </c>
      <c r="S112" s="76">
        <f>'RW predict'!O111</f>
        <v>0</v>
      </c>
      <c r="T112" s="76">
        <f>'RW predict'!K111</f>
        <v>4</v>
      </c>
      <c r="U112" s="22">
        <f>'RW predict'!J111</f>
        <v>210</v>
      </c>
      <c r="V112" s="32">
        <f>IF(D112="G",'RW predict'!E111,0)</f>
        <v>0</v>
      </c>
      <c r="W112" s="18">
        <f>'RW predict'!R111</f>
        <v>0</v>
      </c>
      <c r="X112" s="18">
        <f>'RW predict'!T111</f>
        <v>0</v>
      </c>
      <c r="Y112" s="18">
        <f>'RW predict'!Y111</f>
        <v>0</v>
      </c>
      <c r="Z112" s="18">
        <f>'RW predict'!U111</f>
        <v>0</v>
      </c>
      <c r="AA112" s="18">
        <f>'RW predict'!W111</f>
        <v>0</v>
      </c>
      <c r="AB112" s="17"/>
      <c r="AG112" s="23"/>
      <c r="AI112" s="17"/>
      <c r="AO112" s="23"/>
    </row>
    <row r="113" spans="1:41" x14ac:dyDescent="0.3">
      <c r="A113" s="18">
        <v>110</v>
      </c>
      <c r="B113" s="18" t="str">
        <f>'RW predict'!A112</f>
        <v>Ryan Strome</v>
      </c>
      <c r="C113" s="18" t="str">
        <f>'RW predict'!B112</f>
        <v>ANH</v>
      </c>
      <c r="D113" s="22" t="str" cm="1">
        <f t="array" ref="D113">_xlfn.SWITCH('RW predict'!C112, "C", "F", "LW","F", "RW", "F", "D", "D", "G", "G", "other")</f>
        <v>F</v>
      </c>
      <c r="E113" s="32">
        <f t="shared" si="2"/>
        <v>2174</v>
      </c>
      <c r="F113" s="35">
        <f>E113/assumptions!$B$2</f>
        <v>26.512195121951219</v>
      </c>
      <c r="G113" s="36">
        <f t="shared" si="3"/>
        <v>131</v>
      </c>
      <c r="H113" s="18">
        <f>IF(NOT(D113="G"),'RW predict'!E112,0)</f>
        <v>19</v>
      </c>
      <c r="I113" s="18">
        <f>'RW predict'!Q112</f>
        <v>22</v>
      </c>
      <c r="J113" s="18">
        <f>'RW predict'!F112</f>
        <v>36</v>
      </c>
      <c r="K113" s="18"/>
      <c r="L113" s="18"/>
      <c r="M113" s="18">
        <f>'RW predict'!P112</f>
        <v>43</v>
      </c>
      <c r="N113" s="18"/>
      <c r="O113" s="18">
        <f>'RW predict'!H112</f>
        <v>6</v>
      </c>
      <c r="P113" s="18">
        <f>'RW predict'!I112</f>
        <v>56</v>
      </c>
      <c r="Q113" s="18">
        <f>'RW predict'!L112</f>
        <v>5</v>
      </c>
      <c r="R113" s="18">
        <f>'RW predict'!N112</f>
        <v>1</v>
      </c>
      <c r="S113" s="76">
        <f>'RW predict'!O112</f>
        <v>0</v>
      </c>
      <c r="T113" s="76">
        <f>'RW predict'!K112</f>
        <v>4</v>
      </c>
      <c r="U113" s="22">
        <f>'RW predict'!J112</f>
        <v>167</v>
      </c>
      <c r="V113" s="32">
        <f>IF(D113="G",'RW predict'!E112,0)</f>
        <v>0</v>
      </c>
      <c r="W113" s="18">
        <f>'RW predict'!R112</f>
        <v>0</v>
      </c>
      <c r="X113" s="18">
        <f>'RW predict'!T112</f>
        <v>0</v>
      </c>
      <c r="Y113" s="18">
        <f>'RW predict'!Y112</f>
        <v>0</v>
      </c>
      <c r="Z113" s="18">
        <f>'RW predict'!U112</f>
        <v>0</v>
      </c>
      <c r="AA113" s="18">
        <f>'RW predict'!W112</f>
        <v>0</v>
      </c>
      <c r="AB113" s="17"/>
      <c r="AG113" s="23"/>
      <c r="AI113" s="17"/>
      <c r="AO113" s="23"/>
    </row>
    <row r="114" spans="1:41" x14ac:dyDescent="0.3">
      <c r="A114" s="18">
        <v>111</v>
      </c>
      <c r="B114" s="18" t="str">
        <f>'RW predict'!A113</f>
        <v>Alex Killorn</v>
      </c>
      <c r="C114" s="18" t="str">
        <f>'RW predict'!B113</f>
        <v>TB</v>
      </c>
      <c r="D114" s="22" t="str" cm="1">
        <f t="array" ref="D114">_xlfn.SWITCH('RW predict'!C113, "C", "F", "LW","F", "RW", "F", "D", "D", "G", "G", "other")</f>
        <v>F</v>
      </c>
      <c r="E114" s="32">
        <f t="shared" si="2"/>
        <v>2183</v>
      </c>
      <c r="F114" s="35">
        <f>E114/assumptions!$B$2</f>
        <v>26.621951219512194</v>
      </c>
      <c r="G114" s="36">
        <f t="shared" si="3"/>
        <v>129</v>
      </c>
      <c r="H114" s="18">
        <f>IF(NOT(D114="G"),'RW predict'!E113,0)</f>
        <v>23</v>
      </c>
      <c r="I114" s="18">
        <f>'RW predict'!Q113</f>
        <v>25</v>
      </c>
      <c r="J114" s="18">
        <f>'RW predict'!F113</f>
        <v>32</v>
      </c>
      <c r="K114" s="18"/>
      <c r="L114" s="18"/>
      <c r="M114" s="18">
        <f>'RW predict'!P113</f>
        <v>86</v>
      </c>
      <c r="N114" s="18"/>
      <c r="O114" s="18">
        <f>'RW predict'!H113</f>
        <v>3</v>
      </c>
      <c r="P114" s="18">
        <f>'RW predict'!I113</f>
        <v>60</v>
      </c>
      <c r="Q114" s="18">
        <f>'RW predict'!L113</f>
        <v>6</v>
      </c>
      <c r="R114" s="18">
        <f>'RW predict'!N113</f>
        <v>0</v>
      </c>
      <c r="S114" s="76">
        <f>'RW predict'!O113</f>
        <v>1</v>
      </c>
      <c r="T114" s="76">
        <f>'RW predict'!K113</f>
        <v>4</v>
      </c>
      <c r="U114" s="22">
        <f>'RW predict'!J113</f>
        <v>156</v>
      </c>
      <c r="V114" s="32">
        <f>IF(D114="G",'RW predict'!E113,0)</f>
        <v>0</v>
      </c>
      <c r="W114" s="18">
        <f>'RW predict'!R113</f>
        <v>0</v>
      </c>
      <c r="X114" s="18">
        <f>'RW predict'!T113</f>
        <v>0</v>
      </c>
      <c r="Y114" s="18">
        <f>'RW predict'!Y113</f>
        <v>0</v>
      </c>
      <c r="Z114" s="18">
        <f>'RW predict'!U113</f>
        <v>0</v>
      </c>
      <c r="AA114" s="18">
        <f>'RW predict'!W113</f>
        <v>0</v>
      </c>
      <c r="AB114" s="17"/>
      <c r="AG114" s="23"/>
      <c r="AI114" s="17"/>
      <c r="AO114" s="23"/>
    </row>
    <row r="115" spans="1:41" x14ac:dyDescent="0.3">
      <c r="A115" s="18">
        <v>112</v>
      </c>
      <c r="B115" s="18" t="str">
        <f>'RW predict'!A114</f>
        <v>Ryan Johansen</v>
      </c>
      <c r="C115" s="18" t="str">
        <f>'RW predict'!B114</f>
        <v>NSH</v>
      </c>
      <c r="D115" s="22" t="str" cm="1">
        <f t="array" ref="D115">_xlfn.SWITCH('RW predict'!C114, "C", "F", "LW","F", "RW", "F", "D", "D", "G", "G", "other")</f>
        <v>F</v>
      </c>
      <c r="E115" s="32">
        <f t="shared" si="2"/>
        <v>2093</v>
      </c>
      <c r="F115" s="35">
        <f>E115/assumptions!$B$2</f>
        <v>25.524390243902438</v>
      </c>
      <c r="G115" s="36">
        <f t="shared" si="3"/>
        <v>152</v>
      </c>
      <c r="H115" s="18">
        <f>IF(NOT(D115="G"),'RW predict'!E114,0)</f>
        <v>20</v>
      </c>
      <c r="I115" s="18">
        <f>'RW predict'!Q114</f>
        <v>33</v>
      </c>
      <c r="J115" s="18">
        <f>'RW predict'!F114</f>
        <v>35</v>
      </c>
      <c r="K115" s="18"/>
      <c r="L115" s="18"/>
      <c r="M115" s="18">
        <f>'RW predict'!P114</f>
        <v>68</v>
      </c>
      <c r="N115" s="18"/>
      <c r="O115" s="18">
        <f>'RW predict'!H114</f>
        <v>-1</v>
      </c>
      <c r="P115" s="18">
        <f>'RW predict'!I114</f>
        <v>50</v>
      </c>
      <c r="Q115" s="18">
        <f>'RW predict'!L114</f>
        <v>8</v>
      </c>
      <c r="R115" s="18">
        <f>'RW predict'!N114</f>
        <v>1</v>
      </c>
      <c r="S115" s="76">
        <f>'RW predict'!O114</f>
        <v>0</v>
      </c>
      <c r="T115" s="76">
        <f>'RW predict'!K114</f>
        <v>4</v>
      </c>
      <c r="U115" s="22">
        <f>'RW predict'!J114</f>
        <v>132</v>
      </c>
      <c r="V115" s="32">
        <f>IF(D115="G",'RW predict'!E114,0)</f>
        <v>0</v>
      </c>
      <c r="W115" s="18">
        <f>'RW predict'!R114</f>
        <v>0</v>
      </c>
      <c r="X115" s="18">
        <f>'RW predict'!T114</f>
        <v>0</v>
      </c>
      <c r="Y115" s="18">
        <f>'RW predict'!Y114</f>
        <v>0</v>
      </c>
      <c r="Z115" s="18">
        <f>'RW predict'!U114</f>
        <v>0</v>
      </c>
      <c r="AA115" s="18">
        <f>'RW predict'!W114</f>
        <v>0</v>
      </c>
      <c r="AB115" s="17"/>
      <c r="AG115" s="23"/>
      <c r="AI115" s="17"/>
      <c r="AO115" s="23"/>
    </row>
    <row r="116" spans="1:41" x14ac:dyDescent="0.3">
      <c r="A116" s="18">
        <v>113</v>
      </c>
      <c r="B116" s="18" t="str">
        <f>'RW predict'!A115</f>
        <v>Logan Couture</v>
      </c>
      <c r="C116" s="18" t="str">
        <f>'RW predict'!B115</f>
        <v>SJ</v>
      </c>
      <c r="D116" s="22" t="str" cm="1">
        <f t="array" ref="D116">_xlfn.SWITCH('RW predict'!C115, "C", "F", "LW","F", "RW", "F", "D", "D", "G", "G", "other")</f>
        <v>F</v>
      </c>
      <c r="E116" s="32">
        <f t="shared" si="2"/>
        <v>2103</v>
      </c>
      <c r="F116" s="35">
        <f>E116/assumptions!$B$2</f>
        <v>25.646341463414632</v>
      </c>
      <c r="G116" s="36">
        <f t="shared" si="3"/>
        <v>146</v>
      </c>
      <c r="H116" s="18">
        <f>IF(NOT(D116="G"),'RW predict'!E115,0)</f>
        <v>24</v>
      </c>
      <c r="I116" s="18">
        <f>'RW predict'!Q115</f>
        <v>56</v>
      </c>
      <c r="J116" s="18">
        <f>'RW predict'!F115</f>
        <v>31</v>
      </c>
      <c r="K116" s="18"/>
      <c r="L116" s="18"/>
      <c r="M116" s="18">
        <f>'RW predict'!P115</f>
        <v>86</v>
      </c>
      <c r="N116" s="18"/>
      <c r="O116" s="18">
        <f>'RW predict'!H115</f>
        <v>-10</v>
      </c>
      <c r="P116" s="18">
        <f>'RW predict'!I115</f>
        <v>22</v>
      </c>
      <c r="Q116" s="18">
        <f>'RW predict'!L115</f>
        <v>4</v>
      </c>
      <c r="R116" s="18">
        <f>'RW predict'!N115</f>
        <v>2</v>
      </c>
      <c r="S116" s="76">
        <f>'RW predict'!O115</f>
        <v>1</v>
      </c>
      <c r="T116" s="76">
        <f>'RW predict'!K115</f>
        <v>4</v>
      </c>
      <c r="U116" s="22">
        <f>'RW predict'!J115</f>
        <v>197</v>
      </c>
      <c r="V116" s="32">
        <f>IF(D116="G",'RW predict'!E115,0)</f>
        <v>0</v>
      </c>
      <c r="W116" s="18">
        <f>'RW predict'!R115</f>
        <v>0</v>
      </c>
      <c r="X116" s="18">
        <f>'RW predict'!T115</f>
        <v>0</v>
      </c>
      <c r="Y116" s="18">
        <f>'RW predict'!Y115</f>
        <v>0</v>
      </c>
      <c r="Z116" s="18">
        <f>'RW predict'!U115</f>
        <v>0</v>
      </c>
      <c r="AA116" s="18">
        <f>'RW predict'!W115</f>
        <v>0</v>
      </c>
      <c r="AB116" s="17"/>
      <c r="AG116" s="23"/>
      <c r="AI116" s="17"/>
      <c r="AO116" s="23"/>
    </row>
    <row r="117" spans="1:41" x14ac:dyDescent="0.3">
      <c r="A117" s="18">
        <v>114</v>
      </c>
      <c r="B117" s="18" t="str">
        <f>'RW predict'!A116</f>
        <v>Tyler Seguin</v>
      </c>
      <c r="C117" s="18" t="str">
        <f>'RW predict'!B116</f>
        <v>DAL</v>
      </c>
      <c r="D117" s="22" t="str" cm="1">
        <f t="array" ref="D117">_xlfn.SWITCH('RW predict'!C116, "C", "F", "LW","F", "RW", "F", "D", "D", "G", "G", "other")</f>
        <v>F</v>
      </c>
      <c r="E117" s="32">
        <f t="shared" si="2"/>
        <v>2120</v>
      </c>
      <c r="F117" s="35">
        <f>E117/assumptions!$B$2</f>
        <v>25.853658536585368</v>
      </c>
      <c r="G117" s="36">
        <f t="shared" si="3"/>
        <v>143</v>
      </c>
      <c r="H117" s="18">
        <f>IF(NOT(D117="G"),'RW predict'!E116,0)</f>
        <v>25</v>
      </c>
      <c r="I117" s="18">
        <f>'RW predict'!Q116</f>
        <v>32</v>
      </c>
      <c r="J117" s="18">
        <f>'RW predict'!F116</f>
        <v>29</v>
      </c>
      <c r="K117" s="18"/>
      <c r="L117" s="18"/>
      <c r="M117" s="18">
        <f>'RW predict'!P116</f>
        <v>96</v>
      </c>
      <c r="N117" s="18"/>
      <c r="O117" s="18">
        <f>'RW predict'!H116</f>
        <v>-12</v>
      </c>
      <c r="P117" s="18">
        <f>'RW predict'!I116</f>
        <v>30</v>
      </c>
      <c r="Q117" s="18">
        <f>'RW predict'!L116</f>
        <v>5</v>
      </c>
      <c r="R117" s="18">
        <f>'RW predict'!N116</f>
        <v>0</v>
      </c>
      <c r="S117" s="76">
        <f>'RW predict'!O116</f>
        <v>0</v>
      </c>
      <c r="T117" s="76">
        <f>'RW predict'!K116</f>
        <v>5</v>
      </c>
      <c r="U117" s="22">
        <f>'RW predict'!J116</f>
        <v>245</v>
      </c>
      <c r="V117" s="32">
        <f>IF(D117="G",'RW predict'!E116,0)</f>
        <v>0</v>
      </c>
      <c r="W117" s="18">
        <f>'RW predict'!R116</f>
        <v>0</v>
      </c>
      <c r="X117" s="18">
        <f>'RW predict'!T116</f>
        <v>0</v>
      </c>
      <c r="Y117" s="18">
        <f>'RW predict'!Y116</f>
        <v>0</v>
      </c>
      <c r="Z117" s="18">
        <f>'RW predict'!U116</f>
        <v>0</v>
      </c>
      <c r="AA117" s="18">
        <f>'RW predict'!W116</f>
        <v>0</v>
      </c>
      <c r="AB117" s="17"/>
      <c r="AG117" s="23"/>
      <c r="AI117" s="17"/>
      <c r="AO117" s="23"/>
    </row>
    <row r="118" spans="1:41" x14ac:dyDescent="0.3">
      <c r="A118" s="18">
        <v>115</v>
      </c>
      <c r="B118" s="18" t="str">
        <f>'RW predict'!A117</f>
        <v>Brock Nelson</v>
      </c>
      <c r="C118" s="18" t="str">
        <f>'RW predict'!B117</f>
        <v>NYI</v>
      </c>
      <c r="D118" s="22" t="str" cm="1">
        <f t="array" ref="D118">_xlfn.SWITCH('RW predict'!C117, "C", "F", "LW","F", "RW", "F", "D", "D", "G", "G", "other")</f>
        <v>F</v>
      </c>
      <c r="E118" s="32">
        <f t="shared" si="2"/>
        <v>2077</v>
      </c>
      <c r="F118" s="35">
        <f>E118/assumptions!$B$2</f>
        <v>25.329268292682926</v>
      </c>
      <c r="G118" s="36">
        <f t="shared" si="3"/>
        <v>154</v>
      </c>
      <c r="H118" s="18">
        <f>IF(NOT(D118="G"),'RW predict'!E117,0)</f>
        <v>31</v>
      </c>
      <c r="I118" s="18">
        <f>'RW predict'!Q117</f>
        <v>44</v>
      </c>
      <c r="J118" s="18">
        <f>'RW predict'!F117</f>
        <v>23</v>
      </c>
      <c r="K118" s="18"/>
      <c r="L118" s="18"/>
      <c r="M118" s="18">
        <f>'RW predict'!P117</f>
        <v>39</v>
      </c>
      <c r="N118" s="18"/>
      <c r="O118" s="18">
        <f>'RW predict'!H117</f>
        <v>-7</v>
      </c>
      <c r="P118" s="18">
        <f>'RW predict'!I117</f>
        <v>34</v>
      </c>
      <c r="Q118" s="18">
        <f>'RW predict'!L117</f>
        <v>8</v>
      </c>
      <c r="R118" s="18">
        <f>'RW predict'!N117</f>
        <v>0</v>
      </c>
      <c r="S118" s="76">
        <f>'RW predict'!O117</f>
        <v>0</v>
      </c>
      <c r="T118" s="76">
        <f>'RW predict'!K117</f>
        <v>6</v>
      </c>
      <c r="U118" s="22">
        <f>'RW predict'!J117</f>
        <v>184</v>
      </c>
      <c r="V118" s="32">
        <f>IF(D118="G",'RW predict'!E117,0)</f>
        <v>0</v>
      </c>
      <c r="W118" s="18">
        <f>'RW predict'!R117</f>
        <v>0</v>
      </c>
      <c r="X118" s="18">
        <f>'RW predict'!T117</f>
        <v>0</v>
      </c>
      <c r="Y118" s="18">
        <f>'RW predict'!Y117</f>
        <v>0</v>
      </c>
      <c r="Z118" s="18">
        <f>'RW predict'!U117</f>
        <v>0</v>
      </c>
      <c r="AA118" s="18">
        <f>'RW predict'!W117</f>
        <v>0</v>
      </c>
      <c r="AB118" s="17"/>
      <c r="AG118" s="23"/>
      <c r="AI118" s="17"/>
      <c r="AO118" s="23"/>
    </row>
    <row r="119" spans="1:41" x14ac:dyDescent="0.3">
      <c r="A119" s="18">
        <v>116</v>
      </c>
      <c r="B119" s="18" t="str">
        <f>'RW predict'!A118</f>
        <v>Oliver Bjorkstrand</v>
      </c>
      <c r="C119" s="18" t="str">
        <f>'RW predict'!B118</f>
        <v>SEA</v>
      </c>
      <c r="D119" s="22" t="str" cm="1">
        <f t="array" ref="D119">_xlfn.SWITCH('RW predict'!C118, "C", "F", "LW","F", "RW", "F", "D", "D", "G", "G", "other")</f>
        <v>F</v>
      </c>
      <c r="E119" s="32">
        <f t="shared" si="2"/>
        <v>1876</v>
      </c>
      <c r="F119" s="35">
        <f>E119/assumptions!$B$2</f>
        <v>22.878048780487806</v>
      </c>
      <c r="G119" s="36">
        <f t="shared" si="3"/>
        <v>187</v>
      </c>
      <c r="H119" s="18">
        <f>IF(NOT(D119="G"),'RW predict'!E118,0)</f>
        <v>26</v>
      </c>
      <c r="I119" s="18">
        <f>'RW predict'!Q118</f>
        <v>31</v>
      </c>
      <c r="J119" s="18">
        <f>'RW predict'!F118</f>
        <v>28</v>
      </c>
      <c r="K119" s="18"/>
      <c r="L119" s="18"/>
      <c r="M119" s="18">
        <f>'RW predict'!P118</f>
        <v>76</v>
      </c>
      <c r="N119" s="18"/>
      <c r="O119" s="18">
        <f>'RW predict'!H118</f>
        <v>-23</v>
      </c>
      <c r="P119" s="18">
        <f>'RW predict'!I118</f>
        <v>20</v>
      </c>
      <c r="Q119" s="18">
        <f>'RW predict'!L118</f>
        <v>7</v>
      </c>
      <c r="R119" s="18">
        <f>'RW predict'!N118</f>
        <v>0</v>
      </c>
      <c r="S119" s="76">
        <f>'RW predict'!O118</f>
        <v>0</v>
      </c>
      <c r="T119" s="76">
        <f>'RW predict'!K118</f>
        <v>4</v>
      </c>
      <c r="U119" s="22">
        <f>'RW predict'!J118</f>
        <v>204</v>
      </c>
      <c r="V119" s="32">
        <f>IF(D119="G",'RW predict'!E118,0)</f>
        <v>0</v>
      </c>
      <c r="W119" s="18">
        <f>'RW predict'!R118</f>
        <v>0</v>
      </c>
      <c r="X119" s="18">
        <f>'RW predict'!T118</f>
        <v>0</v>
      </c>
      <c r="Y119" s="18">
        <f>'RW predict'!Y118</f>
        <v>0</v>
      </c>
      <c r="Z119" s="18">
        <f>'RW predict'!U118</f>
        <v>0</v>
      </c>
      <c r="AA119" s="18">
        <f>'RW predict'!W118</f>
        <v>0</v>
      </c>
      <c r="AB119" s="17"/>
      <c r="AG119" s="23"/>
      <c r="AI119" s="17"/>
      <c r="AO119" s="23"/>
    </row>
    <row r="120" spans="1:41" x14ac:dyDescent="0.3">
      <c r="A120" s="18">
        <v>117</v>
      </c>
      <c r="B120" s="18" t="str">
        <f>'RW predict'!A119</f>
        <v>Travis Konecny</v>
      </c>
      <c r="C120" s="18" t="str">
        <f>'RW predict'!B119</f>
        <v>PHI</v>
      </c>
      <c r="D120" s="22" t="str" cm="1">
        <f t="array" ref="D120">_xlfn.SWITCH('RW predict'!C119, "C", "F", "LW","F", "RW", "F", "D", "D", "G", "G", "other")</f>
        <v>F</v>
      </c>
      <c r="E120" s="32">
        <f t="shared" si="2"/>
        <v>2054</v>
      </c>
      <c r="F120" s="35">
        <f>E120/assumptions!$B$2</f>
        <v>25.048780487804876</v>
      </c>
      <c r="G120" s="36">
        <f t="shared" si="3"/>
        <v>155</v>
      </c>
      <c r="H120" s="18">
        <f>IF(NOT(D120="G"),'RW predict'!E119,0)</f>
        <v>21</v>
      </c>
      <c r="I120" s="18">
        <f>'RW predict'!Q119</f>
        <v>33</v>
      </c>
      <c r="J120" s="18">
        <f>'RW predict'!F119</f>
        <v>33</v>
      </c>
      <c r="K120" s="18"/>
      <c r="L120" s="18"/>
      <c r="M120" s="18">
        <f>'RW predict'!P119</f>
        <v>78</v>
      </c>
      <c r="N120" s="18"/>
      <c r="O120" s="18">
        <f>'RW predict'!H119</f>
        <v>-15</v>
      </c>
      <c r="P120" s="18">
        <f>'RW predict'!I119</f>
        <v>66</v>
      </c>
      <c r="Q120" s="18">
        <f>'RW predict'!L119</f>
        <v>4</v>
      </c>
      <c r="R120" s="18">
        <f>'RW predict'!N119</f>
        <v>0</v>
      </c>
      <c r="S120" s="76">
        <f>'RW predict'!O119</f>
        <v>0</v>
      </c>
      <c r="T120" s="76">
        <f>'RW predict'!K119</f>
        <v>3</v>
      </c>
      <c r="U120" s="22">
        <f>'RW predict'!J119</f>
        <v>206</v>
      </c>
      <c r="V120" s="32">
        <f>IF(D120="G",'RW predict'!E119,0)</f>
        <v>0</v>
      </c>
      <c r="W120" s="18">
        <f>'RW predict'!R119</f>
        <v>0</v>
      </c>
      <c r="X120" s="18">
        <f>'RW predict'!T119</f>
        <v>0</v>
      </c>
      <c r="Y120" s="18">
        <f>'RW predict'!Y119</f>
        <v>0</v>
      </c>
      <c r="Z120" s="18">
        <f>'RW predict'!U119</f>
        <v>0</v>
      </c>
      <c r="AA120" s="18">
        <f>'RW predict'!W119</f>
        <v>0</v>
      </c>
      <c r="AB120" s="17"/>
      <c r="AG120" s="23"/>
      <c r="AI120" s="17"/>
      <c r="AO120" s="23"/>
    </row>
    <row r="121" spans="1:41" x14ac:dyDescent="0.3">
      <c r="A121" s="18">
        <v>118</v>
      </c>
      <c r="B121" s="18" t="str">
        <f>'RW predict'!A120</f>
        <v>Devon Toews</v>
      </c>
      <c r="C121" s="18" t="str">
        <f>'RW predict'!B120</f>
        <v>COL</v>
      </c>
      <c r="D121" s="22" t="str" cm="1">
        <f t="array" ref="D121">_xlfn.SWITCH('RW predict'!C120, "C", "F", "LW","F", "RW", "F", "D", "D", "G", "G", "other")</f>
        <v>D</v>
      </c>
      <c r="E121" s="32">
        <f t="shared" si="2"/>
        <v>2479</v>
      </c>
      <c r="F121" s="35">
        <f>E121/assumptions!$B$2</f>
        <v>30.23170731707317</v>
      </c>
      <c r="G121" s="36">
        <f t="shared" si="3"/>
        <v>86</v>
      </c>
      <c r="H121" s="18">
        <f>IF(NOT(D121="G"),'RW predict'!E120,0)</f>
        <v>12</v>
      </c>
      <c r="I121" s="18">
        <f>'RW predict'!Q120</f>
        <v>97</v>
      </c>
      <c r="J121" s="18">
        <f>'RW predict'!F120</f>
        <v>42</v>
      </c>
      <c r="K121" s="18"/>
      <c r="L121" s="18"/>
      <c r="M121" s="18">
        <f>'RW predict'!P120</f>
        <v>59</v>
      </c>
      <c r="N121" s="18"/>
      <c r="O121" s="18">
        <f>'RW predict'!H120</f>
        <v>41</v>
      </c>
      <c r="P121" s="18">
        <f>'RW predict'!I120</f>
        <v>20</v>
      </c>
      <c r="Q121" s="18">
        <f>'RW predict'!L120</f>
        <v>2</v>
      </c>
      <c r="R121" s="18">
        <f>'RW predict'!N120</f>
        <v>0</v>
      </c>
      <c r="S121" s="76">
        <f>'RW predict'!O120</f>
        <v>1</v>
      </c>
      <c r="T121" s="76">
        <f>'RW predict'!K120</f>
        <v>2</v>
      </c>
      <c r="U121" s="22">
        <f>'RW predict'!J120</f>
        <v>168</v>
      </c>
      <c r="V121" s="32">
        <f>IF(D121="G",'RW predict'!E120,0)</f>
        <v>0</v>
      </c>
      <c r="W121" s="18">
        <f>'RW predict'!R120</f>
        <v>0</v>
      </c>
      <c r="X121" s="18">
        <f>'RW predict'!T120</f>
        <v>0</v>
      </c>
      <c r="Y121" s="18">
        <f>'RW predict'!Y120</f>
        <v>0</v>
      </c>
      <c r="Z121" s="18">
        <f>'RW predict'!U120</f>
        <v>0</v>
      </c>
      <c r="AA121" s="18">
        <f>'RW predict'!W120</f>
        <v>0</v>
      </c>
      <c r="AB121" s="17"/>
      <c r="AG121" s="23"/>
      <c r="AI121" s="17"/>
      <c r="AO121" s="23"/>
    </row>
    <row r="122" spans="1:41" x14ac:dyDescent="0.3">
      <c r="A122" s="18">
        <v>119</v>
      </c>
      <c r="B122" s="18" t="str">
        <f>'RW predict'!A121</f>
        <v>Zach Hyman</v>
      </c>
      <c r="C122" s="18" t="str">
        <f>'RW predict'!B121</f>
        <v>EDM</v>
      </c>
      <c r="D122" s="22" t="str" cm="1">
        <f t="array" ref="D122">_xlfn.SWITCH('RW predict'!C121, "C", "F", "LW","F", "RW", "F", "D", "D", "G", "G", "other")</f>
        <v>F</v>
      </c>
      <c r="E122" s="32">
        <f t="shared" si="2"/>
        <v>2217</v>
      </c>
      <c r="F122" s="35">
        <f>E122/assumptions!$B$2</f>
        <v>27.036585365853657</v>
      </c>
      <c r="G122" s="36">
        <f t="shared" si="3"/>
        <v>120</v>
      </c>
      <c r="H122" s="18">
        <f>IF(NOT(D122="G"),'RW predict'!E121,0)</f>
        <v>26</v>
      </c>
      <c r="I122" s="18">
        <f>'RW predict'!Q121</f>
        <v>32</v>
      </c>
      <c r="J122" s="18">
        <f>'RW predict'!F121</f>
        <v>28</v>
      </c>
      <c r="K122" s="18"/>
      <c r="L122" s="18"/>
      <c r="M122" s="18">
        <f>'RW predict'!P121</f>
        <v>73</v>
      </c>
      <c r="N122" s="18"/>
      <c r="O122" s="18">
        <f>'RW predict'!H121</f>
        <v>4</v>
      </c>
      <c r="P122" s="18">
        <f>'RW predict'!I121</f>
        <v>32</v>
      </c>
      <c r="Q122" s="18">
        <f>'RW predict'!L121</f>
        <v>5</v>
      </c>
      <c r="R122" s="18">
        <f>'RW predict'!N121</f>
        <v>2</v>
      </c>
      <c r="S122" s="76">
        <f>'RW predict'!O121</f>
        <v>2</v>
      </c>
      <c r="T122" s="76">
        <f>'RW predict'!K121</f>
        <v>4</v>
      </c>
      <c r="U122" s="22">
        <f>'RW predict'!J121</f>
        <v>202</v>
      </c>
      <c r="V122" s="32">
        <f>IF(D122="G",'RW predict'!E121,0)</f>
        <v>0</v>
      </c>
      <c r="W122" s="18">
        <f>'RW predict'!R121</f>
        <v>0</v>
      </c>
      <c r="X122" s="18">
        <f>'RW predict'!T121</f>
        <v>0</v>
      </c>
      <c r="Y122" s="18">
        <f>'RW predict'!Y121</f>
        <v>0</v>
      </c>
      <c r="Z122" s="18">
        <f>'RW predict'!U121</f>
        <v>0</v>
      </c>
      <c r="AA122" s="18">
        <f>'RW predict'!W121</f>
        <v>0</v>
      </c>
      <c r="AB122" s="17"/>
      <c r="AG122" s="23"/>
      <c r="AI122" s="17"/>
      <c r="AO122" s="23"/>
    </row>
    <row r="123" spans="1:41" x14ac:dyDescent="0.3">
      <c r="A123" s="18">
        <v>120</v>
      </c>
      <c r="B123" s="18" t="str">
        <f>'RW predict'!A122</f>
        <v>Victor Olofsson</v>
      </c>
      <c r="C123" s="18" t="str">
        <f>'RW predict'!B122</f>
        <v>BUF</v>
      </c>
      <c r="D123" s="22" t="str" cm="1">
        <f t="array" ref="D123">_xlfn.SWITCH('RW predict'!C122, "C", "F", "LW","F", "RW", "F", "D", "D", "G", "G", "other")</f>
        <v>F</v>
      </c>
      <c r="E123" s="32">
        <f t="shared" si="2"/>
        <v>1747</v>
      </c>
      <c r="F123" s="35">
        <f>E123/assumptions!$B$2</f>
        <v>21.304878048780488</v>
      </c>
      <c r="G123" s="36">
        <f t="shared" si="3"/>
        <v>215</v>
      </c>
      <c r="H123" s="18">
        <f>IF(NOT(D123="G"),'RW predict'!E122,0)</f>
        <v>22</v>
      </c>
      <c r="I123" s="18">
        <f>'RW predict'!Q122</f>
        <v>14</v>
      </c>
      <c r="J123" s="18">
        <f>'RW predict'!F122</f>
        <v>31</v>
      </c>
      <c r="K123" s="18"/>
      <c r="L123" s="18"/>
      <c r="M123" s="18">
        <f>'RW predict'!P122</f>
        <v>14</v>
      </c>
      <c r="N123" s="18"/>
      <c r="O123" s="18">
        <f>'RW predict'!H122</f>
        <v>-18</v>
      </c>
      <c r="P123" s="18">
        <f>'RW predict'!I122</f>
        <v>6</v>
      </c>
      <c r="Q123" s="18">
        <f>'RW predict'!L122</f>
        <v>9</v>
      </c>
      <c r="R123" s="18">
        <f>'RW predict'!N122</f>
        <v>0</v>
      </c>
      <c r="S123" s="76">
        <f>'RW predict'!O122</f>
        <v>0</v>
      </c>
      <c r="T123" s="76">
        <f>'RW predict'!K122</f>
        <v>5</v>
      </c>
      <c r="U123" s="22">
        <f>'RW predict'!J122</f>
        <v>176</v>
      </c>
      <c r="V123" s="32">
        <f>IF(D123="G",'RW predict'!E122,0)</f>
        <v>0</v>
      </c>
      <c r="W123" s="18">
        <f>'RW predict'!R122</f>
        <v>0</v>
      </c>
      <c r="X123" s="18">
        <f>'RW predict'!T122</f>
        <v>0</v>
      </c>
      <c r="Y123" s="18">
        <f>'RW predict'!Y122</f>
        <v>0</v>
      </c>
      <c r="Z123" s="18">
        <f>'RW predict'!U122</f>
        <v>0</v>
      </c>
      <c r="AA123" s="18">
        <f>'RW predict'!W122</f>
        <v>0</v>
      </c>
      <c r="AB123" s="17"/>
      <c r="AG123" s="23"/>
      <c r="AI123" s="17"/>
      <c r="AO123" s="23"/>
    </row>
    <row r="124" spans="1:41" x14ac:dyDescent="0.3">
      <c r="A124" s="18">
        <v>121</v>
      </c>
      <c r="B124" s="18" t="str">
        <f>'RW predict'!A123</f>
        <v>Ryan Hartman</v>
      </c>
      <c r="C124" s="18" t="str">
        <f>'RW predict'!B123</f>
        <v>MIN</v>
      </c>
      <c r="D124" s="22" t="str" cm="1">
        <f t="array" ref="D124">_xlfn.SWITCH('RW predict'!C123, "C", "F", "LW","F", "RW", "F", "D", "D", "G", "G", "other")</f>
        <v>F</v>
      </c>
      <c r="E124" s="32">
        <f t="shared" si="2"/>
        <v>2558</v>
      </c>
      <c r="F124" s="35">
        <f>E124/assumptions!$B$2</f>
        <v>31.195121951219512</v>
      </c>
      <c r="G124" s="36">
        <f t="shared" si="3"/>
        <v>76</v>
      </c>
      <c r="H124" s="18">
        <f>IF(NOT(D124="G"),'RW predict'!E123,0)</f>
        <v>27</v>
      </c>
      <c r="I124" s="18">
        <f>'RW predict'!Q123</f>
        <v>48</v>
      </c>
      <c r="J124" s="18">
        <f>'RW predict'!F123</f>
        <v>26</v>
      </c>
      <c r="K124" s="18"/>
      <c r="L124" s="18"/>
      <c r="M124" s="18">
        <f>'RW predict'!P123</f>
        <v>76</v>
      </c>
      <c r="N124" s="18"/>
      <c r="O124" s="18">
        <f>'RW predict'!H123</f>
        <v>23</v>
      </c>
      <c r="P124" s="18">
        <f>'RW predict'!I123</f>
        <v>85</v>
      </c>
      <c r="Q124" s="18">
        <f>'RW predict'!L123</f>
        <v>1</v>
      </c>
      <c r="R124" s="18">
        <f>'RW predict'!N123</f>
        <v>1</v>
      </c>
      <c r="S124" s="76">
        <f>'RW predict'!O123</f>
        <v>0</v>
      </c>
      <c r="T124" s="76">
        <f>'RW predict'!K123</f>
        <v>5</v>
      </c>
      <c r="U124" s="22">
        <f>'RW predict'!J123</f>
        <v>223</v>
      </c>
      <c r="V124" s="32">
        <f>IF(D124="G",'RW predict'!E123,0)</f>
        <v>0</v>
      </c>
      <c r="W124" s="18">
        <f>'RW predict'!R123</f>
        <v>0</v>
      </c>
      <c r="X124" s="18">
        <f>'RW predict'!T123</f>
        <v>0</v>
      </c>
      <c r="Y124" s="18">
        <f>'RW predict'!Y123</f>
        <v>0</v>
      </c>
      <c r="Z124" s="18">
        <f>'RW predict'!U123</f>
        <v>0</v>
      </c>
      <c r="AA124" s="18">
        <f>'RW predict'!W123</f>
        <v>0</v>
      </c>
      <c r="AB124" s="17"/>
      <c r="AG124" s="23"/>
      <c r="AI124" s="17"/>
      <c r="AO124" s="23"/>
    </row>
    <row r="125" spans="1:41" x14ac:dyDescent="0.3">
      <c r="A125" s="18">
        <v>122</v>
      </c>
      <c r="B125" s="18" t="str">
        <f>'RW predict'!A124</f>
        <v>Connor Brown</v>
      </c>
      <c r="C125" s="18" t="str">
        <f>'RW predict'!B124</f>
        <v>WAS</v>
      </c>
      <c r="D125" s="22" t="str" cm="1">
        <f t="array" ref="D125">_xlfn.SWITCH('RW predict'!C124, "C", "F", "LW","F", "RW", "F", "D", "D", "G", "G", "other")</f>
        <v>F</v>
      </c>
      <c r="E125" s="32">
        <f t="shared" si="2"/>
        <v>2027</v>
      </c>
      <c r="F125" s="35">
        <f>E125/assumptions!$B$2</f>
        <v>24.719512195121951</v>
      </c>
      <c r="G125" s="36">
        <f t="shared" si="3"/>
        <v>161</v>
      </c>
      <c r="H125" s="18">
        <f>IF(NOT(D125="G"),'RW predict'!E124,0)</f>
        <v>20</v>
      </c>
      <c r="I125" s="18">
        <f>'RW predict'!Q124</f>
        <v>42</v>
      </c>
      <c r="J125" s="18">
        <f>'RW predict'!F124</f>
        <v>33</v>
      </c>
      <c r="K125" s="18"/>
      <c r="L125" s="18"/>
      <c r="M125" s="18">
        <f>'RW predict'!P124</f>
        <v>26</v>
      </c>
      <c r="N125" s="18"/>
      <c r="O125" s="18">
        <f>'RW predict'!H124</f>
        <v>9</v>
      </c>
      <c r="P125" s="18">
        <f>'RW predict'!I124</f>
        <v>12</v>
      </c>
      <c r="Q125" s="18">
        <f>'RW predict'!L124</f>
        <v>2</v>
      </c>
      <c r="R125" s="18">
        <f>'RW predict'!N124</f>
        <v>2</v>
      </c>
      <c r="S125" s="76">
        <f>'RW predict'!O124</f>
        <v>2</v>
      </c>
      <c r="T125" s="76">
        <f>'RW predict'!K124</f>
        <v>4</v>
      </c>
      <c r="U125" s="22">
        <f>'RW predict'!J124</f>
        <v>153</v>
      </c>
      <c r="V125" s="32">
        <f>IF(D125="G",'RW predict'!E124,0)</f>
        <v>0</v>
      </c>
      <c r="W125" s="18">
        <f>'RW predict'!R124</f>
        <v>0</v>
      </c>
      <c r="X125" s="18">
        <f>'RW predict'!T124</f>
        <v>0</v>
      </c>
      <c r="Y125" s="18">
        <f>'RW predict'!Y124</f>
        <v>0</v>
      </c>
      <c r="Z125" s="18">
        <f>'RW predict'!U124</f>
        <v>0</v>
      </c>
      <c r="AA125" s="18">
        <f>'RW predict'!W124</f>
        <v>0</v>
      </c>
      <c r="AB125" s="17"/>
      <c r="AG125" s="23"/>
      <c r="AI125" s="17"/>
      <c r="AO125" s="23"/>
    </row>
    <row r="126" spans="1:41" x14ac:dyDescent="0.3">
      <c r="A126" s="18">
        <v>123</v>
      </c>
      <c r="B126" s="18" t="str">
        <f>'RW predict'!A125</f>
        <v>Tyler Toffoli</v>
      </c>
      <c r="C126" s="18" t="str">
        <f>'RW predict'!B125</f>
        <v>CGY</v>
      </c>
      <c r="D126" s="22" t="str" cm="1">
        <f t="array" ref="D126">_xlfn.SWITCH('RW predict'!C125, "C", "F", "LW","F", "RW", "F", "D", "D", "G", "G", "other")</f>
        <v>F</v>
      </c>
      <c r="E126" s="32">
        <f t="shared" si="2"/>
        <v>2156</v>
      </c>
      <c r="F126" s="35">
        <f>E126/assumptions!$B$2</f>
        <v>26.292682926829269</v>
      </c>
      <c r="G126" s="36">
        <f t="shared" si="3"/>
        <v>134</v>
      </c>
      <c r="H126" s="18">
        <f>IF(NOT(D126="G"),'RW predict'!E125,0)</f>
        <v>22</v>
      </c>
      <c r="I126" s="18">
        <f>'RW predict'!Q125</f>
        <v>20</v>
      </c>
      <c r="J126" s="18">
        <f>'RW predict'!F125</f>
        <v>31</v>
      </c>
      <c r="K126" s="18"/>
      <c r="L126" s="18"/>
      <c r="M126" s="18">
        <f>'RW predict'!P125</f>
        <v>73</v>
      </c>
      <c r="N126" s="18"/>
      <c r="O126" s="18">
        <f>'RW predict'!H125</f>
        <v>7</v>
      </c>
      <c r="P126" s="18">
        <f>'RW predict'!I125</f>
        <v>18</v>
      </c>
      <c r="Q126" s="18">
        <f>'RW predict'!L125</f>
        <v>7</v>
      </c>
      <c r="R126" s="18">
        <f>'RW predict'!N125</f>
        <v>1</v>
      </c>
      <c r="S126" s="76">
        <f>'RW predict'!O125</f>
        <v>1</v>
      </c>
      <c r="T126" s="76">
        <f>'RW predict'!K125</f>
        <v>4</v>
      </c>
      <c r="U126" s="22">
        <f>'RW predict'!J125</f>
        <v>207</v>
      </c>
      <c r="V126" s="32">
        <f>IF(D126="G",'RW predict'!E125,0)</f>
        <v>0</v>
      </c>
      <c r="W126" s="18">
        <f>'RW predict'!R125</f>
        <v>0</v>
      </c>
      <c r="X126" s="18">
        <f>'RW predict'!T125</f>
        <v>0</v>
      </c>
      <c r="Y126" s="18">
        <f>'RW predict'!Y125</f>
        <v>0</v>
      </c>
      <c r="Z126" s="18">
        <f>'RW predict'!U125</f>
        <v>0</v>
      </c>
      <c r="AA126" s="18">
        <f>'RW predict'!W125</f>
        <v>0</v>
      </c>
      <c r="AB126" s="17"/>
      <c r="AG126" s="23"/>
      <c r="AI126" s="17"/>
      <c r="AO126" s="23"/>
    </row>
    <row r="127" spans="1:41" x14ac:dyDescent="0.3">
      <c r="A127" s="18">
        <v>124</v>
      </c>
      <c r="B127" s="18" t="str">
        <f>'RW predict'!A126</f>
        <v>Gustav Nyquist</v>
      </c>
      <c r="C127" s="18" t="str">
        <f>'RW predict'!B126</f>
        <v>CLS</v>
      </c>
      <c r="D127" s="22" t="str" cm="1">
        <f t="array" ref="D127">_xlfn.SWITCH('RW predict'!C126, "C", "F", "LW","F", "RW", "F", "D", "D", "G", "G", "other")</f>
        <v>F</v>
      </c>
      <c r="E127" s="32">
        <f t="shared" si="2"/>
        <v>1862</v>
      </c>
      <c r="F127" s="35">
        <f>E127/assumptions!$B$2</f>
        <v>22.707317073170731</v>
      </c>
      <c r="G127" s="36">
        <f t="shared" si="3"/>
        <v>191</v>
      </c>
      <c r="H127" s="18">
        <f>IF(NOT(D127="G"),'RW predict'!E126,0)</f>
        <v>19</v>
      </c>
      <c r="I127" s="18">
        <f>'RW predict'!Q126</f>
        <v>44</v>
      </c>
      <c r="J127" s="18">
        <f>'RW predict'!F126</f>
        <v>34</v>
      </c>
      <c r="K127" s="18"/>
      <c r="L127" s="18"/>
      <c r="M127" s="18">
        <f>'RW predict'!P126</f>
        <v>41</v>
      </c>
      <c r="N127" s="18"/>
      <c r="O127" s="18">
        <f>'RW predict'!H126</f>
        <v>-5</v>
      </c>
      <c r="P127" s="18">
        <f>'RW predict'!I126</f>
        <v>24</v>
      </c>
      <c r="Q127" s="18">
        <f>'RW predict'!L126</f>
        <v>3</v>
      </c>
      <c r="R127" s="18">
        <f>'RW predict'!N126</f>
        <v>2</v>
      </c>
      <c r="S127" s="76">
        <f>'RW predict'!O126</f>
        <v>1</v>
      </c>
      <c r="T127" s="76">
        <f>'RW predict'!K126</f>
        <v>2</v>
      </c>
      <c r="U127" s="22">
        <f>'RW predict'!J126</f>
        <v>133</v>
      </c>
      <c r="V127" s="32">
        <f>IF(D127="G",'RW predict'!E126,0)</f>
        <v>0</v>
      </c>
      <c r="W127" s="18">
        <f>'RW predict'!R126</f>
        <v>0</v>
      </c>
      <c r="X127" s="18">
        <f>'RW predict'!T126</f>
        <v>0</v>
      </c>
      <c r="Y127" s="18">
        <f>'RW predict'!Y126</f>
        <v>0</v>
      </c>
      <c r="Z127" s="18">
        <f>'RW predict'!U126</f>
        <v>0</v>
      </c>
      <c r="AA127" s="18">
        <f>'RW predict'!W126</f>
        <v>0</v>
      </c>
      <c r="AB127" s="17"/>
      <c r="AG127" s="23"/>
      <c r="AI127" s="17"/>
      <c r="AO127" s="23"/>
    </row>
    <row r="128" spans="1:41" x14ac:dyDescent="0.3">
      <c r="A128" s="18">
        <v>125</v>
      </c>
      <c r="B128" s="18" t="str">
        <f>'RW predict'!A127</f>
        <v>Phil Kessel</v>
      </c>
      <c r="C128" s="18" t="str">
        <f>'RW predict'!B127</f>
        <v>VGK</v>
      </c>
      <c r="D128" s="22" t="str" cm="1">
        <f t="array" ref="D128">_xlfn.SWITCH('RW predict'!C127, "C", "F", "LW","F", "RW", "F", "D", "D", "G", "G", "other")</f>
        <v>F</v>
      </c>
      <c r="E128" s="32">
        <f t="shared" si="2"/>
        <v>1721</v>
      </c>
      <c r="F128" s="35">
        <f>E128/assumptions!$B$2</f>
        <v>20.987804878048781</v>
      </c>
      <c r="G128" s="36">
        <f t="shared" si="3"/>
        <v>224</v>
      </c>
      <c r="H128" s="18">
        <f>IF(NOT(D128="G"),'RW predict'!E127,0)</f>
        <v>13</v>
      </c>
      <c r="I128" s="18">
        <f>'RW predict'!Q127</f>
        <v>18</v>
      </c>
      <c r="J128" s="18">
        <f>'RW predict'!F127</f>
        <v>40</v>
      </c>
      <c r="K128" s="18"/>
      <c r="L128" s="18"/>
      <c r="M128" s="18">
        <f>'RW predict'!P127</f>
        <v>8</v>
      </c>
      <c r="N128" s="18"/>
      <c r="O128" s="18">
        <f>'RW predict'!H127</f>
        <v>-10</v>
      </c>
      <c r="P128" s="18">
        <f>'RW predict'!I127</f>
        <v>30</v>
      </c>
      <c r="Q128" s="18">
        <f>'RW predict'!L127</f>
        <v>3</v>
      </c>
      <c r="R128" s="18">
        <f>'RW predict'!N127</f>
        <v>0</v>
      </c>
      <c r="S128" s="76">
        <f>'RW predict'!O127</f>
        <v>0</v>
      </c>
      <c r="T128" s="76">
        <f>'RW predict'!K127</f>
        <v>1</v>
      </c>
      <c r="U128" s="22">
        <f>'RW predict'!J127</f>
        <v>156</v>
      </c>
      <c r="V128" s="32">
        <f>IF(D128="G",'RW predict'!E127,0)</f>
        <v>0</v>
      </c>
      <c r="W128" s="18">
        <f>'RW predict'!R127</f>
        <v>0</v>
      </c>
      <c r="X128" s="18">
        <f>'RW predict'!T127</f>
        <v>0</v>
      </c>
      <c r="Y128" s="18">
        <f>'RW predict'!Y127</f>
        <v>0</v>
      </c>
      <c r="Z128" s="18">
        <f>'RW predict'!U127</f>
        <v>0</v>
      </c>
      <c r="AA128" s="18">
        <f>'RW predict'!W127</f>
        <v>0</v>
      </c>
      <c r="AB128" s="17"/>
      <c r="AG128" s="23"/>
      <c r="AI128" s="17"/>
      <c r="AO128" s="23"/>
    </row>
    <row r="129" spans="1:41" x14ac:dyDescent="0.3">
      <c r="A129" s="18">
        <v>126</v>
      </c>
      <c r="B129" s="18" t="str">
        <f>'RW predict'!A128</f>
        <v>Drew Doughty</v>
      </c>
      <c r="C129" s="18" t="str">
        <f>'RW predict'!B128</f>
        <v>LA</v>
      </c>
      <c r="D129" s="22" t="str" cm="1">
        <f t="array" ref="D129">_xlfn.SWITCH('RW predict'!C128, "C", "F", "LW","F", "RW", "F", "D", "D", "G", "G", "other")</f>
        <v>D</v>
      </c>
      <c r="E129" s="32">
        <f t="shared" si="2"/>
        <v>2286</v>
      </c>
      <c r="F129" s="35">
        <f>E129/assumptions!$B$2</f>
        <v>27.878048780487806</v>
      </c>
      <c r="G129" s="36">
        <f t="shared" si="3"/>
        <v>112</v>
      </c>
      <c r="H129" s="18">
        <f>IF(NOT(D129="G"),'RW predict'!E128,0)</f>
        <v>9</v>
      </c>
      <c r="I129" s="18">
        <f>'RW predict'!Q128</f>
        <v>106</v>
      </c>
      <c r="J129" s="18">
        <f>'RW predict'!F128</f>
        <v>43</v>
      </c>
      <c r="K129" s="18"/>
      <c r="L129" s="18"/>
      <c r="M129" s="18">
        <f>'RW predict'!P128</f>
        <v>120</v>
      </c>
      <c r="N129" s="18"/>
      <c r="O129" s="18">
        <f>'RW predict'!H128</f>
        <v>7</v>
      </c>
      <c r="P129" s="18">
        <f>'RW predict'!I128</f>
        <v>52</v>
      </c>
      <c r="Q129" s="18">
        <f>'RW predict'!L128</f>
        <v>4</v>
      </c>
      <c r="R129" s="18">
        <f>'RW predict'!N128</f>
        <v>0</v>
      </c>
      <c r="S129" s="76">
        <f>'RW predict'!O128</f>
        <v>1</v>
      </c>
      <c r="T129" s="76">
        <f>'RW predict'!K128</f>
        <v>2</v>
      </c>
      <c r="U129" s="22">
        <f>'RW predict'!J128</f>
        <v>169</v>
      </c>
      <c r="V129" s="32">
        <f>IF(D129="G",'RW predict'!E128,0)</f>
        <v>0</v>
      </c>
      <c r="W129" s="18">
        <f>'RW predict'!R128</f>
        <v>0</v>
      </c>
      <c r="X129" s="18">
        <f>'RW predict'!T128</f>
        <v>0</v>
      </c>
      <c r="Y129" s="18">
        <f>'RW predict'!Y128</f>
        <v>0</v>
      </c>
      <c r="Z129" s="18">
        <f>'RW predict'!U128</f>
        <v>0</v>
      </c>
      <c r="AA129" s="18">
        <f>'RW predict'!W128</f>
        <v>0</v>
      </c>
      <c r="AB129" s="17"/>
      <c r="AG129" s="23"/>
      <c r="AI129" s="17"/>
      <c r="AO129" s="23"/>
    </row>
    <row r="130" spans="1:41" x14ac:dyDescent="0.3">
      <c r="A130" s="18">
        <v>127</v>
      </c>
      <c r="B130" s="18" t="str">
        <f>'RW predict'!A129</f>
        <v>Brayden Schenn</v>
      </c>
      <c r="C130" s="18" t="str">
        <f>'RW predict'!B129</f>
        <v>STL</v>
      </c>
      <c r="D130" s="22" t="str" cm="1">
        <f t="array" ref="D130">_xlfn.SWITCH('RW predict'!C129, "C", "F", "LW","F", "RW", "F", "D", "D", "G", "G", "other")</f>
        <v>F</v>
      </c>
      <c r="E130" s="32">
        <f t="shared" si="2"/>
        <v>2103</v>
      </c>
      <c r="F130" s="35">
        <f>E130/assumptions!$B$2</f>
        <v>25.646341463414632</v>
      </c>
      <c r="G130" s="36">
        <f t="shared" si="3"/>
        <v>146</v>
      </c>
      <c r="H130" s="18">
        <f>IF(NOT(D130="G"),'RW predict'!E129,0)</f>
        <v>21</v>
      </c>
      <c r="I130" s="18">
        <f>'RW predict'!Q129</f>
        <v>24</v>
      </c>
      <c r="J130" s="18">
        <f>'RW predict'!F129</f>
        <v>31</v>
      </c>
      <c r="K130" s="18"/>
      <c r="L130" s="18"/>
      <c r="M130" s="18">
        <f>'RW predict'!P129</f>
        <v>124</v>
      </c>
      <c r="N130" s="18"/>
      <c r="O130" s="18">
        <f>'RW predict'!H129</f>
        <v>13</v>
      </c>
      <c r="P130" s="18">
        <f>'RW predict'!I129</f>
        <v>39</v>
      </c>
      <c r="Q130" s="18">
        <f>'RW predict'!L129</f>
        <v>5</v>
      </c>
      <c r="R130" s="18">
        <f>'RW predict'!N129</f>
        <v>0</v>
      </c>
      <c r="S130" s="76">
        <f>'RW predict'!O129</f>
        <v>0</v>
      </c>
      <c r="T130" s="76">
        <f>'RW predict'!K129</f>
        <v>3</v>
      </c>
      <c r="U130" s="22">
        <f>'RW predict'!J129</f>
        <v>137</v>
      </c>
      <c r="V130" s="32">
        <f>IF(D130="G",'RW predict'!E129,0)</f>
        <v>0</v>
      </c>
      <c r="W130" s="18">
        <f>'RW predict'!R129</f>
        <v>0</v>
      </c>
      <c r="X130" s="18">
        <f>'RW predict'!T129</f>
        <v>0</v>
      </c>
      <c r="Y130" s="18">
        <f>'RW predict'!Y129</f>
        <v>0</v>
      </c>
      <c r="Z130" s="18">
        <f>'RW predict'!U129</f>
        <v>0</v>
      </c>
      <c r="AA130" s="18">
        <f>'RW predict'!W129</f>
        <v>0</v>
      </c>
      <c r="AB130" s="17"/>
      <c r="AG130" s="23"/>
      <c r="AI130" s="17"/>
      <c r="AO130" s="23"/>
    </row>
    <row r="131" spans="1:41" x14ac:dyDescent="0.3">
      <c r="A131" s="18">
        <v>128</v>
      </c>
      <c r="B131" s="18" t="str">
        <f>'RW predict'!A130</f>
        <v>Jeff Skinner</v>
      </c>
      <c r="C131" s="18" t="str">
        <f>'RW predict'!B130</f>
        <v>BUF</v>
      </c>
      <c r="D131" s="22" t="str" cm="1">
        <f t="array" ref="D131">_xlfn.SWITCH('RW predict'!C130, "C", "F", "LW","F", "RW", "F", "D", "D", "G", "G", "other")</f>
        <v>F</v>
      </c>
      <c r="E131" s="32">
        <f t="shared" si="2"/>
        <v>1996</v>
      </c>
      <c r="F131" s="35">
        <f>E131/assumptions!$B$2</f>
        <v>24.341463414634145</v>
      </c>
      <c r="G131" s="36">
        <f t="shared" si="3"/>
        <v>169</v>
      </c>
      <c r="H131" s="18">
        <f>IF(NOT(D131="G"),'RW predict'!E130,0)</f>
        <v>27</v>
      </c>
      <c r="I131" s="18">
        <f>'RW predict'!Q130</f>
        <v>19</v>
      </c>
      <c r="J131" s="18">
        <f>'RW predict'!F130</f>
        <v>25</v>
      </c>
      <c r="K131" s="18"/>
      <c r="L131" s="18"/>
      <c r="M131" s="18">
        <f>'RW predict'!P130</f>
        <v>30</v>
      </c>
      <c r="N131" s="18"/>
      <c r="O131" s="18">
        <f>'RW predict'!H130</f>
        <v>-14</v>
      </c>
      <c r="P131" s="18">
        <f>'RW predict'!I130</f>
        <v>38</v>
      </c>
      <c r="Q131" s="18">
        <f>'RW predict'!L130</f>
        <v>5</v>
      </c>
      <c r="R131" s="18">
        <f>'RW predict'!N130</f>
        <v>0</v>
      </c>
      <c r="S131" s="76">
        <f>'RW predict'!O130</f>
        <v>0</v>
      </c>
      <c r="T131" s="76">
        <f>'RW predict'!K130</f>
        <v>4</v>
      </c>
      <c r="U131" s="22">
        <f>'RW predict'!J130</f>
        <v>262</v>
      </c>
      <c r="V131" s="32">
        <f>IF(D131="G",'RW predict'!E130,0)</f>
        <v>0</v>
      </c>
      <c r="W131" s="18">
        <f>'RW predict'!R130</f>
        <v>0</v>
      </c>
      <c r="X131" s="18">
        <f>'RW predict'!T130</f>
        <v>0</v>
      </c>
      <c r="Y131" s="18">
        <f>'RW predict'!Y130</f>
        <v>0</v>
      </c>
      <c r="Z131" s="18">
        <f>'RW predict'!U130</f>
        <v>0</v>
      </c>
      <c r="AA131" s="18">
        <f>'RW predict'!W130</f>
        <v>0</v>
      </c>
      <c r="AB131" s="17"/>
      <c r="AG131" s="23"/>
      <c r="AI131" s="17"/>
      <c r="AO131" s="23"/>
    </row>
    <row r="132" spans="1:41" x14ac:dyDescent="0.3">
      <c r="A132" s="18">
        <v>129</v>
      </c>
      <c r="B132" s="18" t="str">
        <f>'RW predict'!A131</f>
        <v>Ondrej Palat</v>
      </c>
      <c r="C132" s="18" t="str">
        <f>'RW predict'!B131</f>
        <v>NJ</v>
      </c>
      <c r="D132" s="22" t="str" cm="1">
        <f t="array" ref="D132">_xlfn.SWITCH('RW predict'!C131, "C", "F", "LW","F", "RW", "F", "D", "D", "G", "G", "other")</f>
        <v>F</v>
      </c>
      <c r="E132" s="32">
        <f t="shared" si="2"/>
        <v>2121</v>
      </c>
      <c r="F132" s="35">
        <f>E132/assumptions!$B$2</f>
        <v>25.865853658536587</v>
      </c>
      <c r="G132" s="36">
        <f t="shared" si="3"/>
        <v>142</v>
      </c>
      <c r="H132" s="18">
        <f>IF(NOT(D132="G"),'RW predict'!E131,0)</f>
        <v>20</v>
      </c>
      <c r="I132" s="18">
        <f>'RW predict'!Q131</f>
        <v>45</v>
      </c>
      <c r="J132" s="18">
        <f>'RW predict'!F131</f>
        <v>32</v>
      </c>
      <c r="K132" s="18"/>
      <c r="L132" s="18"/>
      <c r="M132" s="18">
        <f>'RW predict'!P131</f>
        <v>129</v>
      </c>
      <c r="N132" s="18"/>
      <c r="O132" s="18">
        <f>'RW predict'!H131</f>
        <v>6</v>
      </c>
      <c r="P132" s="18">
        <f>'RW predict'!I131</f>
        <v>22</v>
      </c>
      <c r="Q132" s="18">
        <f>'RW predict'!L131</f>
        <v>4</v>
      </c>
      <c r="R132" s="18">
        <f>'RW predict'!N131</f>
        <v>1</v>
      </c>
      <c r="S132" s="76">
        <f>'RW predict'!O131</f>
        <v>1</v>
      </c>
      <c r="T132" s="76">
        <f>'RW predict'!K131</f>
        <v>5</v>
      </c>
      <c r="U132" s="22">
        <f>'RW predict'!J131</f>
        <v>153</v>
      </c>
      <c r="V132" s="32">
        <f>IF(D132="G",'RW predict'!E131,0)</f>
        <v>0</v>
      </c>
      <c r="W132" s="18">
        <f>'RW predict'!R131</f>
        <v>0</v>
      </c>
      <c r="X132" s="18">
        <f>'RW predict'!T131</f>
        <v>0</v>
      </c>
      <c r="Y132" s="18">
        <f>'RW predict'!Y131</f>
        <v>0</v>
      </c>
      <c r="Z132" s="18">
        <f>'RW predict'!U131</f>
        <v>0</v>
      </c>
      <c r="AA132" s="18">
        <f>'RW predict'!W131</f>
        <v>0</v>
      </c>
      <c r="AB132" s="17"/>
      <c r="AG132" s="23"/>
      <c r="AI132" s="17"/>
      <c r="AO132" s="23"/>
    </row>
    <row r="133" spans="1:41" x14ac:dyDescent="0.3">
      <c r="A133" s="18">
        <v>130</v>
      </c>
      <c r="B133" s="18" t="str">
        <f>'RW predict'!A132</f>
        <v>Anders Lee</v>
      </c>
      <c r="C133" s="18" t="str">
        <f>'RW predict'!B132</f>
        <v>NYI</v>
      </c>
      <c r="D133" s="22" t="str" cm="1">
        <f t="array" ref="D133">_xlfn.SWITCH('RW predict'!C132, "C", "F", "LW","F", "RW", "F", "D", "D", "G", "G", "other")</f>
        <v>F</v>
      </c>
      <c r="E133" s="32">
        <f t="shared" ref="E133:E196" si="4">H133*$H$3+I133*I$3+K133*K$3+L133*L$3+M133*M$3+N133*N$3+V133*V$3+J133*J$3+O133*$O$3+P133*$P$3+Q133*$Q$3+R133*$R$3+S133*$S$3+T133*$T$3+U133*$U$3+W133*$W$3+X133*$X$3+Y133*$Y$3+Z133*$Z$3+AA133*$AA$3</f>
        <v>2051</v>
      </c>
      <c r="F133" s="35">
        <f>E133/assumptions!$B$2</f>
        <v>25.012195121951219</v>
      </c>
      <c r="G133" s="36">
        <f t="shared" ref="G133:G196" si="5">RANK(E133,$E$4:$E$1100)</f>
        <v>156</v>
      </c>
      <c r="H133" s="18">
        <f>IF(NOT(D133="G"),'RW predict'!E132,0)</f>
        <v>30</v>
      </c>
      <c r="I133" s="18">
        <f>'RW predict'!Q132</f>
        <v>34</v>
      </c>
      <c r="J133" s="18">
        <f>'RW predict'!F132</f>
        <v>22</v>
      </c>
      <c r="K133" s="18"/>
      <c r="L133" s="18"/>
      <c r="M133" s="18">
        <f>'RW predict'!P132</f>
        <v>99</v>
      </c>
      <c r="N133" s="18"/>
      <c r="O133" s="18">
        <f>'RW predict'!H132</f>
        <v>-5</v>
      </c>
      <c r="P133" s="18">
        <f>'RW predict'!I132</f>
        <v>36</v>
      </c>
      <c r="Q133" s="18">
        <f>'RW predict'!L132</f>
        <v>9</v>
      </c>
      <c r="R133" s="18">
        <f>'RW predict'!N132</f>
        <v>0</v>
      </c>
      <c r="S133" s="76">
        <f>'RW predict'!O132</f>
        <v>0</v>
      </c>
      <c r="T133" s="76">
        <f>'RW predict'!K132</f>
        <v>4</v>
      </c>
      <c r="U133" s="22">
        <f>'RW predict'!J132</f>
        <v>178</v>
      </c>
      <c r="V133" s="32">
        <f>IF(D133="G",'RW predict'!E132,0)</f>
        <v>0</v>
      </c>
      <c r="W133" s="18">
        <f>'RW predict'!R132</f>
        <v>0</v>
      </c>
      <c r="X133" s="18">
        <f>'RW predict'!T132</f>
        <v>0</v>
      </c>
      <c r="Y133" s="18">
        <f>'RW predict'!Y132</f>
        <v>0</v>
      </c>
      <c r="Z133" s="18">
        <f>'RW predict'!U132</f>
        <v>0</v>
      </c>
      <c r="AA133" s="18">
        <f>'RW predict'!W132</f>
        <v>0</v>
      </c>
      <c r="AB133" s="17"/>
      <c r="AG133" s="23"/>
      <c r="AI133" s="17"/>
      <c r="AO133" s="23"/>
    </row>
    <row r="134" spans="1:41" x14ac:dyDescent="0.3">
      <c r="A134" s="18">
        <v>131</v>
      </c>
      <c r="B134" s="18" t="str">
        <f>'RW predict'!A133</f>
        <v>Yanni Gourde</v>
      </c>
      <c r="C134" s="18" t="str">
        <f>'RW predict'!B133</f>
        <v>SEA</v>
      </c>
      <c r="D134" s="22" t="str" cm="1">
        <f t="array" ref="D134">_xlfn.SWITCH('RW predict'!C133, "C", "F", "LW","F", "RW", "F", "D", "D", "G", "G", "other")</f>
        <v>F</v>
      </c>
      <c r="E134" s="32">
        <f t="shared" si="4"/>
        <v>1948</v>
      </c>
      <c r="F134" s="35">
        <f>E134/assumptions!$B$2</f>
        <v>23.756097560975611</v>
      </c>
      <c r="G134" s="36">
        <f t="shared" si="5"/>
        <v>174</v>
      </c>
      <c r="H134" s="18">
        <f>IF(NOT(D134="G"),'RW predict'!E133,0)</f>
        <v>23</v>
      </c>
      <c r="I134" s="18">
        <f>'RW predict'!Q133</f>
        <v>32</v>
      </c>
      <c r="J134" s="18">
        <f>'RW predict'!F133</f>
        <v>29</v>
      </c>
      <c r="K134" s="18"/>
      <c r="L134" s="18"/>
      <c r="M134" s="18">
        <f>'RW predict'!P133</f>
        <v>80</v>
      </c>
      <c r="N134" s="18"/>
      <c r="O134" s="18">
        <f>'RW predict'!H133</f>
        <v>-8</v>
      </c>
      <c r="P134" s="18">
        <f>'RW predict'!I133</f>
        <v>50</v>
      </c>
      <c r="Q134" s="18">
        <f>'RW predict'!L133</f>
        <v>3</v>
      </c>
      <c r="R134" s="18">
        <f>'RW predict'!N133</f>
        <v>1</v>
      </c>
      <c r="S134" s="76">
        <f>'RW predict'!O133</f>
        <v>2</v>
      </c>
      <c r="T134" s="76">
        <f>'RW predict'!K133</f>
        <v>4</v>
      </c>
      <c r="U134" s="22">
        <f>'RW predict'!J133</f>
        <v>142</v>
      </c>
      <c r="V134" s="32">
        <f>IF(D134="G",'RW predict'!E133,0)</f>
        <v>0</v>
      </c>
      <c r="W134" s="18">
        <f>'RW predict'!R133</f>
        <v>0</v>
      </c>
      <c r="X134" s="18">
        <f>'RW predict'!T133</f>
        <v>0</v>
      </c>
      <c r="Y134" s="18">
        <f>'RW predict'!Y133</f>
        <v>0</v>
      </c>
      <c r="Z134" s="18">
        <f>'RW predict'!U133</f>
        <v>0</v>
      </c>
      <c r="AA134" s="18">
        <f>'RW predict'!W133</f>
        <v>0</v>
      </c>
      <c r="AB134" s="17"/>
      <c r="AG134" s="23"/>
      <c r="AI134" s="17"/>
      <c r="AO134" s="23"/>
    </row>
    <row r="135" spans="1:41" x14ac:dyDescent="0.3">
      <c r="A135" s="18">
        <v>132</v>
      </c>
      <c r="B135" s="18" t="str">
        <f>'RW predict'!A134</f>
        <v>Shea Theodore</v>
      </c>
      <c r="C135" s="18" t="str">
        <f>'RW predict'!B134</f>
        <v>VGK</v>
      </c>
      <c r="D135" s="22" t="str" cm="1">
        <f t="array" ref="D135">_xlfn.SWITCH('RW predict'!C134, "C", "F", "LW","F", "RW", "F", "D", "D", "G", "G", "other")</f>
        <v>D</v>
      </c>
      <c r="E135" s="32">
        <f t="shared" si="4"/>
        <v>2222</v>
      </c>
      <c r="F135" s="35">
        <f>E135/assumptions!$B$2</f>
        <v>27.097560975609756</v>
      </c>
      <c r="G135" s="36">
        <f t="shared" si="5"/>
        <v>119</v>
      </c>
      <c r="H135" s="18">
        <f>IF(NOT(D135="G"),'RW predict'!E134,0)</f>
        <v>13</v>
      </c>
      <c r="I135" s="18">
        <f>'RW predict'!Q134</f>
        <v>93</v>
      </c>
      <c r="J135" s="18">
        <f>'RW predict'!F134</f>
        <v>39</v>
      </c>
      <c r="K135" s="18"/>
      <c r="L135" s="18"/>
      <c r="M135" s="18">
        <f>'RW predict'!P134</f>
        <v>36</v>
      </c>
      <c r="N135" s="18"/>
      <c r="O135" s="18">
        <f>'RW predict'!H134</f>
        <v>12</v>
      </c>
      <c r="P135" s="18">
        <f>'RW predict'!I134</f>
        <v>24</v>
      </c>
      <c r="Q135" s="18">
        <f>'RW predict'!L134</f>
        <v>2</v>
      </c>
      <c r="R135" s="18">
        <f>'RW predict'!N134</f>
        <v>0</v>
      </c>
      <c r="S135" s="76">
        <f>'RW predict'!O134</f>
        <v>0</v>
      </c>
      <c r="T135" s="76">
        <f>'RW predict'!K134</f>
        <v>3</v>
      </c>
      <c r="U135" s="22">
        <f>'RW predict'!J134</f>
        <v>214</v>
      </c>
      <c r="V135" s="32">
        <f>IF(D135="G",'RW predict'!E134,0)</f>
        <v>0</v>
      </c>
      <c r="W135" s="18">
        <f>'RW predict'!R134</f>
        <v>0</v>
      </c>
      <c r="X135" s="18">
        <f>'RW predict'!T134</f>
        <v>0</v>
      </c>
      <c r="Y135" s="18">
        <f>'RW predict'!Y134</f>
        <v>0</v>
      </c>
      <c r="Z135" s="18">
        <f>'RW predict'!U134</f>
        <v>0</v>
      </c>
      <c r="AA135" s="18">
        <f>'RW predict'!W134</f>
        <v>0</v>
      </c>
      <c r="AB135" s="17"/>
      <c r="AG135" s="23"/>
      <c r="AI135" s="17"/>
      <c r="AO135" s="23"/>
    </row>
    <row r="136" spans="1:41" x14ac:dyDescent="0.3">
      <c r="A136" s="18">
        <v>133</v>
      </c>
      <c r="B136" s="18" t="str">
        <f>'RW predict'!A135</f>
        <v>Carter Verhaeghe</v>
      </c>
      <c r="C136" s="18" t="str">
        <f>'RW predict'!B135</f>
        <v>FLA</v>
      </c>
      <c r="D136" s="22" t="str" cm="1">
        <f t="array" ref="D136">_xlfn.SWITCH('RW predict'!C135, "C", "F", "LW","F", "RW", "F", "D", "D", "G", "G", "other")</f>
        <v>F</v>
      </c>
      <c r="E136" s="32">
        <f t="shared" si="4"/>
        <v>2163</v>
      </c>
      <c r="F136" s="35">
        <f>E136/assumptions!$B$2</f>
        <v>26.378048780487806</v>
      </c>
      <c r="G136" s="36">
        <f t="shared" si="5"/>
        <v>133</v>
      </c>
      <c r="H136" s="18">
        <f>IF(NOT(D136="G"),'RW predict'!E135,0)</f>
        <v>24</v>
      </c>
      <c r="I136" s="18">
        <f>'RW predict'!Q135</f>
        <v>16</v>
      </c>
      <c r="J136" s="18">
        <f>'RW predict'!F135</f>
        <v>28</v>
      </c>
      <c r="K136" s="18"/>
      <c r="L136" s="18"/>
      <c r="M136" s="18">
        <f>'RW predict'!P135</f>
        <v>49</v>
      </c>
      <c r="N136" s="18"/>
      <c r="O136" s="18">
        <f>'RW predict'!H135</f>
        <v>22</v>
      </c>
      <c r="P136" s="18">
        <f>'RW predict'!I135</f>
        <v>44</v>
      </c>
      <c r="Q136" s="18">
        <f>'RW predict'!L135</f>
        <v>1</v>
      </c>
      <c r="R136" s="18">
        <f>'RW predict'!N135</f>
        <v>0</v>
      </c>
      <c r="S136" s="76">
        <f>'RW predict'!O135</f>
        <v>0</v>
      </c>
      <c r="T136" s="76">
        <f>'RW predict'!K135</f>
        <v>5</v>
      </c>
      <c r="U136" s="22">
        <f>'RW predict'!J135</f>
        <v>160</v>
      </c>
      <c r="V136" s="32">
        <f>IF(D136="G",'RW predict'!E135,0)</f>
        <v>0</v>
      </c>
      <c r="W136" s="18">
        <f>'RW predict'!R135</f>
        <v>0</v>
      </c>
      <c r="X136" s="18">
        <f>'RW predict'!T135</f>
        <v>0</v>
      </c>
      <c r="Y136" s="18">
        <f>'RW predict'!Y135</f>
        <v>0</v>
      </c>
      <c r="Z136" s="18">
        <f>'RW predict'!U135</f>
        <v>0</v>
      </c>
      <c r="AA136" s="18">
        <f>'RW predict'!W135</f>
        <v>0</v>
      </c>
      <c r="AB136" s="17"/>
      <c r="AG136" s="23"/>
      <c r="AI136" s="17"/>
      <c r="AO136" s="23"/>
    </row>
    <row r="137" spans="1:41" x14ac:dyDescent="0.3">
      <c r="A137" s="18">
        <v>134</v>
      </c>
      <c r="B137" s="18" t="str">
        <f>'RW predict'!A136</f>
        <v>Brock Boeser</v>
      </c>
      <c r="C137" s="18" t="str">
        <f>'RW predict'!B136</f>
        <v>VAN</v>
      </c>
      <c r="D137" s="22" t="str" cm="1">
        <f t="array" ref="D137">_xlfn.SWITCH('RW predict'!C136, "C", "F", "LW","F", "RW", "F", "D", "D", "G", "G", "other")</f>
        <v>F</v>
      </c>
      <c r="E137" s="32">
        <f t="shared" si="4"/>
        <v>2102</v>
      </c>
      <c r="F137" s="35">
        <f>E137/assumptions!$B$2</f>
        <v>25.634146341463413</v>
      </c>
      <c r="G137" s="36">
        <f t="shared" si="5"/>
        <v>148</v>
      </c>
      <c r="H137" s="18">
        <f>IF(NOT(D137="G"),'RW predict'!E136,0)</f>
        <v>25</v>
      </c>
      <c r="I137" s="18">
        <f>'RW predict'!Q136</f>
        <v>25</v>
      </c>
      <c r="J137" s="18">
        <f>'RW predict'!F136</f>
        <v>27</v>
      </c>
      <c r="K137" s="18"/>
      <c r="L137" s="18"/>
      <c r="M137" s="18">
        <f>'RW predict'!P136</f>
        <v>36</v>
      </c>
      <c r="N137" s="18"/>
      <c r="O137" s="18">
        <f>'RW predict'!H136</f>
        <v>4</v>
      </c>
      <c r="P137" s="18">
        <f>'RW predict'!I136</f>
        <v>20</v>
      </c>
      <c r="Q137" s="18">
        <f>'RW predict'!L136</f>
        <v>9</v>
      </c>
      <c r="R137" s="18">
        <f>'RW predict'!N136</f>
        <v>1</v>
      </c>
      <c r="S137" s="76">
        <f>'RW predict'!O136</f>
        <v>1</v>
      </c>
      <c r="T137" s="76">
        <f>'RW predict'!K136</f>
        <v>5</v>
      </c>
      <c r="U137" s="22">
        <f>'RW predict'!J136</f>
        <v>198</v>
      </c>
      <c r="V137" s="32">
        <f>IF(D137="G",'RW predict'!E136,0)</f>
        <v>0</v>
      </c>
      <c r="W137" s="18">
        <f>'RW predict'!R136</f>
        <v>0</v>
      </c>
      <c r="X137" s="18">
        <f>'RW predict'!T136</f>
        <v>0</v>
      </c>
      <c r="Y137" s="18">
        <f>'RW predict'!Y136</f>
        <v>0</v>
      </c>
      <c r="Z137" s="18">
        <f>'RW predict'!U136</f>
        <v>0</v>
      </c>
      <c r="AA137" s="18">
        <f>'RW predict'!W136</f>
        <v>0</v>
      </c>
      <c r="AB137" s="17"/>
      <c r="AG137" s="23"/>
      <c r="AI137" s="17"/>
      <c r="AO137" s="23"/>
    </row>
    <row r="138" spans="1:41" x14ac:dyDescent="0.3">
      <c r="A138" s="18">
        <v>135</v>
      </c>
      <c r="B138" s="18" t="str">
        <f>'RW predict'!A137</f>
        <v>Cole Caufield</v>
      </c>
      <c r="C138" s="18" t="str">
        <f>'RW predict'!B137</f>
        <v>MON</v>
      </c>
      <c r="D138" s="22" t="str" cm="1">
        <f t="array" ref="D138">_xlfn.SWITCH('RW predict'!C137, "C", "F", "LW","F", "RW", "F", "D", "D", "G", "G", "other")</f>
        <v>F</v>
      </c>
      <c r="E138" s="32">
        <f t="shared" si="4"/>
        <v>1746</v>
      </c>
      <c r="F138" s="35">
        <f>E138/assumptions!$B$2</f>
        <v>21.292682926829269</v>
      </c>
      <c r="G138" s="36">
        <f t="shared" si="5"/>
        <v>216</v>
      </c>
      <c r="H138" s="18">
        <f>IF(NOT(D138="G"),'RW predict'!E137,0)</f>
        <v>28</v>
      </c>
      <c r="I138" s="18">
        <f>'RW predict'!Q137</f>
        <v>8</v>
      </c>
      <c r="J138" s="18">
        <f>'RW predict'!F137</f>
        <v>24</v>
      </c>
      <c r="K138" s="18"/>
      <c r="L138" s="18"/>
      <c r="M138" s="18">
        <f>'RW predict'!P137</f>
        <v>20</v>
      </c>
      <c r="N138" s="18"/>
      <c r="O138" s="18">
        <f>'RW predict'!H137</f>
        <v>-20</v>
      </c>
      <c r="P138" s="18">
        <f>'RW predict'!I137</f>
        <v>10</v>
      </c>
      <c r="Q138" s="18">
        <f>'RW predict'!L137</f>
        <v>6</v>
      </c>
      <c r="R138" s="18">
        <f>'RW predict'!N137</f>
        <v>0</v>
      </c>
      <c r="S138" s="76">
        <f>'RW predict'!O137</f>
        <v>0</v>
      </c>
      <c r="T138" s="76">
        <f>'RW predict'!K137</f>
        <v>4</v>
      </c>
      <c r="U138" s="22">
        <f>'RW predict'!J137</f>
        <v>220</v>
      </c>
      <c r="V138" s="32">
        <f>IF(D138="G",'RW predict'!E137,0)</f>
        <v>0</v>
      </c>
      <c r="W138" s="18">
        <f>'RW predict'!R137</f>
        <v>0</v>
      </c>
      <c r="X138" s="18">
        <f>'RW predict'!T137</f>
        <v>0</v>
      </c>
      <c r="Y138" s="18">
        <f>'RW predict'!Y137</f>
        <v>0</v>
      </c>
      <c r="Z138" s="18">
        <f>'RW predict'!U137</f>
        <v>0</v>
      </c>
      <c r="AA138" s="18">
        <f>'RW predict'!W137</f>
        <v>0</v>
      </c>
      <c r="AB138" s="17"/>
      <c r="AG138" s="23"/>
      <c r="AI138" s="17"/>
      <c r="AO138" s="23"/>
    </row>
    <row r="139" spans="1:41" x14ac:dyDescent="0.3">
      <c r="A139" s="18">
        <v>136</v>
      </c>
      <c r="B139" s="18" t="str">
        <f>'RW predict'!A138</f>
        <v>Noah Dobson</v>
      </c>
      <c r="C139" s="18" t="str">
        <f>'RW predict'!B138</f>
        <v>NYI</v>
      </c>
      <c r="D139" s="22" t="str" cm="1">
        <f t="array" ref="D139">_xlfn.SWITCH('RW predict'!C138, "C", "F", "LW","F", "RW", "F", "D", "D", "G", "G", "other")</f>
        <v>D</v>
      </c>
      <c r="E139" s="32">
        <f t="shared" si="4"/>
        <v>2154</v>
      </c>
      <c r="F139" s="35">
        <f>E139/assumptions!$B$2</f>
        <v>26.26829268292683</v>
      </c>
      <c r="G139" s="36">
        <f t="shared" si="5"/>
        <v>135</v>
      </c>
      <c r="H139" s="18">
        <f>IF(NOT(D139="G"),'RW predict'!E138,0)</f>
        <v>13</v>
      </c>
      <c r="I139" s="18">
        <f>'RW predict'!Q138</f>
        <v>147</v>
      </c>
      <c r="J139" s="18">
        <f>'RW predict'!F138</f>
        <v>39</v>
      </c>
      <c r="K139" s="18"/>
      <c r="L139" s="18"/>
      <c r="M139" s="18">
        <f>'RW predict'!P138</f>
        <v>74</v>
      </c>
      <c r="N139" s="18"/>
      <c r="O139" s="18">
        <f>'RW predict'!H138</f>
        <v>-4</v>
      </c>
      <c r="P139" s="18">
        <f>'RW predict'!I138</f>
        <v>18</v>
      </c>
      <c r="Q139" s="18">
        <f>'RW predict'!L138</f>
        <v>4</v>
      </c>
      <c r="R139" s="18">
        <f>'RW predict'!N138</f>
        <v>0</v>
      </c>
      <c r="S139" s="76">
        <f>'RW predict'!O138</f>
        <v>0</v>
      </c>
      <c r="T139" s="76">
        <f>'RW predict'!K138</f>
        <v>3</v>
      </c>
      <c r="U139" s="22">
        <f>'RW predict'!J138</f>
        <v>186</v>
      </c>
      <c r="V139" s="32">
        <f>IF(D139="G",'RW predict'!E138,0)</f>
        <v>0</v>
      </c>
      <c r="W139" s="18">
        <f>'RW predict'!R138</f>
        <v>0</v>
      </c>
      <c r="X139" s="18">
        <f>'RW predict'!T138</f>
        <v>0</v>
      </c>
      <c r="Y139" s="18">
        <f>'RW predict'!Y138</f>
        <v>0</v>
      </c>
      <c r="Z139" s="18">
        <f>'RW predict'!U138</f>
        <v>0</v>
      </c>
      <c r="AA139" s="18">
        <f>'RW predict'!W138</f>
        <v>0</v>
      </c>
      <c r="AB139" s="17"/>
      <c r="AG139" s="23"/>
      <c r="AI139" s="17"/>
      <c r="AO139" s="23"/>
    </row>
    <row r="140" spans="1:41" x14ac:dyDescent="0.3">
      <c r="A140" s="18">
        <v>137</v>
      </c>
      <c r="B140" s="18" t="str">
        <f>'RW predict'!A139</f>
        <v>Anton Lundell</v>
      </c>
      <c r="C140" s="18" t="str">
        <f>'RW predict'!B139</f>
        <v>FLA</v>
      </c>
      <c r="D140" s="22" t="str" cm="1">
        <f t="array" ref="D140">_xlfn.SWITCH('RW predict'!C139, "C", "F", "LW","F", "RW", "F", "D", "D", "G", "G", "other")</f>
        <v>F</v>
      </c>
      <c r="E140" s="32">
        <f t="shared" si="4"/>
        <v>2240</v>
      </c>
      <c r="F140" s="35">
        <f>E140/assumptions!$B$2</f>
        <v>27.317073170731707</v>
      </c>
      <c r="G140" s="36">
        <f t="shared" si="5"/>
        <v>118</v>
      </c>
      <c r="H140" s="18">
        <f>IF(NOT(D140="G"),'RW predict'!E139,0)</f>
        <v>20</v>
      </c>
      <c r="I140" s="18">
        <f>'RW predict'!Q139</f>
        <v>60</v>
      </c>
      <c r="J140" s="18">
        <f>'RW predict'!F139</f>
        <v>32</v>
      </c>
      <c r="K140" s="18"/>
      <c r="L140" s="18"/>
      <c r="M140" s="18">
        <f>'RW predict'!P139</f>
        <v>28</v>
      </c>
      <c r="N140" s="18"/>
      <c r="O140" s="18">
        <f>'RW predict'!H139</f>
        <v>29</v>
      </c>
      <c r="P140" s="18">
        <f>'RW predict'!I139</f>
        <v>20</v>
      </c>
      <c r="Q140" s="18">
        <f>'RW predict'!L139</f>
        <v>2</v>
      </c>
      <c r="R140" s="18">
        <f>'RW predict'!N139</f>
        <v>1</v>
      </c>
      <c r="S140" s="76">
        <f>'RW predict'!O139</f>
        <v>2</v>
      </c>
      <c r="T140" s="76">
        <f>'RW predict'!K139</f>
        <v>5</v>
      </c>
      <c r="U140" s="22">
        <f>'RW predict'!J139</f>
        <v>141</v>
      </c>
      <c r="V140" s="32">
        <f>IF(D140="G",'RW predict'!E139,0)</f>
        <v>0</v>
      </c>
      <c r="W140" s="18">
        <f>'RW predict'!R139</f>
        <v>0</v>
      </c>
      <c r="X140" s="18">
        <f>'RW predict'!T139</f>
        <v>0</v>
      </c>
      <c r="Y140" s="18">
        <f>'RW predict'!Y139</f>
        <v>0</v>
      </c>
      <c r="Z140" s="18">
        <f>'RW predict'!U139</f>
        <v>0</v>
      </c>
      <c r="AA140" s="18">
        <f>'RW predict'!W139</f>
        <v>0</v>
      </c>
      <c r="AB140" s="17"/>
      <c r="AG140" s="23"/>
      <c r="AI140" s="17"/>
      <c r="AO140" s="23"/>
    </row>
    <row r="141" spans="1:41" x14ac:dyDescent="0.3">
      <c r="A141" s="18">
        <v>138</v>
      </c>
      <c r="B141" s="18" t="str">
        <f>'RW predict'!A140</f>
        <v>Jack Roslovic</v>
      </c>
      <c r="C141" s="18" t="str">
        <f>'RW predict'!B140</f>
        <v>CLS</v>
      </c>
      <c r="D141" s="22" t="str" cm="1">
        <f t="array" ref="D141">_xlfn.SWITCH('RW predict'!C140, "C", "F", "LW","F", "RW", "F", "D", "D", "G", "G", "other")</f>
        <v>F</v>
      </c>
      <c r="E141" s="32">
        <f t="shared" si="4"/>
        <v>1919</v>
      </c>
      <c r="F141" s="35">
        <f>E141/assumptions!$B$2</f>
        <v>23.402439024390244</v>
      </c>
      <c r="G141" s="36">
        <f t="shared" si="5"/>
        <v>176</v>
      </c>
      <c r="H141" s="18">
        <f>IF(NOT(D141="G"),'RW predict'!E140,0)</f>
        <v>23</v>
      </c>
      <c r="I141" s="18">
        <f>'RW predict'!Q140</f>
        <v>23</v>
      </c>
      <c r="J141" s="18">
        <f>'RW predict'!F140</f>
        <v>28</v>
      </c>
      <c r="K141" s="18"/>
      <c r="L141" s="18"/>
      <c r="M141" s="18">
        <f>'RW predict'!P140</f>
        <v>58</v>
      </c>
      <c r="N141" s="18"/>
      <c r="O141" s="18">
        <f>'RW predict'!H140</f>
        <v>7</v>
      </c>
      <c r="P141" s="18">
        <f>'RW predict'!I140</f>
        <v>12</v>
      </c>
      <c r="Q141" s="18">
        <f>'RW predict'!L140</f>
        <v>5</v>
      </c>
      <c r="R141" s="18">
        <f>'RW predict'!N140</f>
        <v>0</v>
      </c>
      <c r="S141" s="76">
        <f>'RW predict'!O140</f>
        <v>1</v>
      </c>
      <c r="T141" s="76">
        <f>'RW predict'!K140</f>
        <v>4</v>
      </c>
      <c r="U141" s="22">
        <f>'RW predict'!J140</f>
        <v>147</v>
      </c>
      <c r="V141" s="32">
        <f>IF(D141="G",'RW predict'!E140,0)</f>
        <v>0</v>
      </c>
      <c r="W141" s="18">
        <f>'RW predict'!R140</f>
        <v>0</v>
      </c>
      <c r="X141" s="18">
        <f>'RW predict'!T140</f>
        <v>0</v>
      </c>
      <c r="Y141" s="18">
        <f>'RW predict'!Y140</f>
        <v>0</v>
      </c>
      <c r="Z141" s="18">
        <f>'RW predict'!U140</f>
        <v>0</v>
      </c>
      <c r="AA141" s="18">
        <f>'RW predict'!W140</f>
        <v>0</v>
      </c>
      <c r="AB141" s="17"/>
      <c r="AG141" s="23"/>
      <c r="AI141" s="17"/>
      <c r="AO141" s="23"/>
    </row>
    <row r="142" spans="1:41" x14ac:dyDescent="0.3">
      <c r="A142" s="18">
        <v>139</v>
      </c>
      <c r="B142" s="18" t="str">
        <f>'RW predict'!A141</f>
        <v>Dylan Strome</v>
      </c>
      <c r="C142" s="18" t="str">
        <f>'RW predict'!B141</f>
        <v>WAS</v>
      </c>
      <c r="D142" s="22" t="str" cm="1">
        <f t="array" ref="D142">_xlfn.SWITCH('RW predict'!C141, "C", "F", "LW","F", "RW", "F", "D", "D", "G", "G", "other")</f>
        <v>F</v>
      </c>
      <c r="E142" s="32">
        <f t="shared" si="4"/>
        <v>1906</v>
      </c>
      <c r="F142" s="35">
        <f>E142/assumptions!$B$2</f>
        <v>23.243902439024389</v>
      </c>
      <c r="G142" s="36">
        <f t="shared" si="5"/>
        <v>179</v>
      </c>
      <c r="H142" s="18">
        <f>IF(NOT(D142="G"),'RW predict'!E141,0)</f>
        <v>22</v>
      </c>
      <c r="I142" s="18">
        <f>'RW predict'!Q141</f>
        <v>31</v>
      </c>
      <c r="J142" s="18">
        <f>'RW predict'!F141</f>
        <v>29</v>
      </c>
      <c r="K142" s="18"/>
      <c r="L142" s="18"/>
      <c r="M142" s="18">
        <f>'RW predict'!P141</f>
        <v>13</v>
      </c>
      <c r="N142" s="18"/>
      <c r="O142" s="18">
        <f>'RW predict'!H141</f>
        <v>4</v>
      </c>
      <c r="P142" s="18">
        <f>'RW predict'!I141</f>
        <v>28</v>
      </c>
      <c r="Q142" s="18">
        <f>'RW predict'!L141</f>
        <v>6</v>
      </c>
      <c r="R142" s="18">
        <f>'RW predict'!N141</f>
        <v>0</v>
      </c>
      <c r="S142" s="76">
        <f>'RW predict'!O141</f>
        <v>0</v>
      </c>
      <c r="T142" s="76">
        <f>'RW predict'!K141</f>
        <v>5</v>
      </c>
      <c r="U142" s="22">
        <f>'RW predict'!J141</f>
        <v>136</v>
      </c>
      <c r="V142" s="32">
        <f>IF(D142="G",'RW predict'!E141,0)</f>
        <v>0</v>
      </c>
      <c r="W142" s="18">
        <f>'RW predict'!R141</f>
        <v>0</v>
      </c>
      <c r="X142" s="18">
        <f>'RW predict'!T141</f>
        <v>0</v>
      </c>
      <c r="Y142" s="18">
        <f>'RW predict'!Y141</f>
        <v>0</v>
      </c>
      <c r="Z142" s="18">
        <f>'RW predict'!U141</f>
        <v>0</v>
      </c>
      <c r="AA142" s="18">
        <f>'RW predict'!W141</f>
        <v>0</v>
      </c>
      <c r="AB142" s="17"/>
      <c r="AG142" s="23"/>
      <c r="AI142" s="17"/>
      <c r="AO142" s="23"/>
    </row>
    <row r="143" spans="1:41" x14ac:dyDescent="0.3">
      <c r="A143" s="18">
        <v>140</v>
      </c>
      <c r="B143" s="18" t="str">
        <f>'RW predict'!A142</f>
        <v>Andrew Copp</v>
      </c>
      <c r="C143" s="18" t="str">
        <f>'RW predict'!B142</f>
        <v>DET</v>
      </c>
      <c r="D143" s="22" t="str" cm="1">
        <f t="array" ref="D143">_xlfn.SWITCH('RW predict'!C142, "C", "F", "LW","F", "RW", "F", "D", "D", "G", "G", "other")</f>
        <v>F</v>
      </c>
      <c r="E143" s="32">
        <f t="shared" si="4"/>
        <v>2044</v>
      </c>
      <c r="F143" s="35">
        <f>E143/assumptions!$B$2</f>
        <v>24.926829268292682</v>
      </c>
      <c r="G143" s="36">
        <f t="shared" si="5"/>
        <v>159</v>
      </c>
      <c r="H143" s="18">
        <f>IF(NOT(D143="G"),'RW predict'!E142,0)</f>
        <v>20</v>
      </c>
      <c r="I143" s="18">
        <f>'RW predict'!Q142</f>
        <v>43</v>
      </c>
      <c r="J143" s="18">
        <f>'RW predict'!F142</f>
        <v>31</v>
      </c>
      <c r="K143" s="18"/>
      <c r="L143" s="18"/>
      <c r="M143" s="18">
        <f>'RW predict'!P142</f>
        <v>65</v>
      </c>
      <c r="N143" s="18"/>
      <c r="O143" s="18">
        <f>'RW predict'!H142</f>
        <v>7</v>
      </c>
      <c r="P143" s="18">
        <f>'RW predict'!I142</f>
        <v>16</v>
      </c>
      <c r="Q143" s="18">
        <f>'RW predict'!L142</f>
        <v>4</v>
      </c>
      <c r="R143" s="18">
        <f>'RW predict'!N142</f>
        <v>2</v>
      </c>
      <c r="S143" s="76">
        <f>'RW predict'!O142</f>
        <v>1</v>
      </c>
      <c r="T143" s="76">
        <f>'RW predict'!K142</f>
        <v>4</v>
      </c>
      <c r="U143" s="22">
        <f>'RW predict'!J142</f>
        <v>165</v>
      </c>
      <c r="V143" s="32">
        <f>IF(D143="G",'RW predict'!E142,0)</f>
        <v>0</v>
      </c>
      <c r="W143" s="18">
        <f>'RW predict'!R142</f>
        <v>0</v>
      </c>
      <c r="X143" s="18">
        <f>'RW predict'!T142</f>
        <v>0</v>
      </c>
      <c r="Y143" s="18">
        <f>'RW predict'!Y142</f>
        <v>0</v>
      </c>
      <c r="Z143" s="18">
        <f>'RW predict'!U142</f>
        <v>0</v>
      </c>
      <c r="AA143" s="18">
        <f>'RW predict'!W142</f>
        <v>0</v>
      </c>
      <c r="AB143" s="17"/>
      <c r="AG143" s="23"/>
      <c r="AI143" s="17"/>
      <c r="AO143" s="23"/>
    </row>
    <row r="144" spans="1:41" x14ac:dyDescent="0.3">
      <c r="A144" s="18">
        <v>141</v>
      </c>
      <c r="B144" s="18" t="str">
        <f>'RW predict'!A143</f>
        <v>Jakub Vrana</v>
      </c>
      <c r="C144" s="18" t="str">
        <f>'RW predict'!B143</f>
        <v>DET</v>
      </c>
      <c r="D144" s="22" t="str" cm="1">
        <f t="array" ref="D144">_xlfn.SWITCH('RW predict'!C143, "C", "F", "LW","F", "RW", "F", "D", "D", "G", "G", "other")</f>
        <v>F</v>
      </c>
      <c r="E144" s="32">
        <f t="shared" si="4"/>
        <v>1814</v>
      </c>
      <c r="F144" s="35">
        <f>E144/assumptions!$B$2</f>
        <v>22.121951219512194</v>
      </c>
      <c r="G144" s="36">
        <f t="shared" si="5"/>
        <v>199</v>
      </c>
      <c r="H144" s="18">
        <f>IF(NOT(D144="G"),'RW predict'!E143,0)</f>
        <v>29</v>
      </c>
      <c r="I144" s="18">
        <f>'RW predict'!Q143</f>
        <v>18</v>
      </c>
      <c r="J144" s="18">
        <f>'RW predict'!F143</f>
        <v>21</v>
      </c>
      <c r="K144" s="18"/>
      <c r="L144" s="18"/>
      <c r="M144" s="18">
        <f>'RW predict'!P143</f>
        <v>31</v>
      </c>
      <c r="N144" s="18"/>
      <c r="O144" s="18">
        <f>'RW predict'!H143</f>
        <v>-7</v>
      </c>
      <c r="P144" s="18">
        <f>'RW predict'!I143</f>
        <v>29</v>
      </c>
      <c r="Q144" s="18">
        <f>'RW predict'!L143</f>
        <v>5</v>
      </c>
      <c r="R144" s="18">
        <f>'RW predict'!N143</f>
        <v>0</v>
      </c>
      <c r="S144" s="76">
        <f>'RW predict'!O143</f>
        <v>0</v>
      </c>
      <c r="T144" s="76">
        <f>'RW predict'!K143</f>
        <v>5</v>
      </c>
      <c r="U144" s="22">
        <f>'RW predict'!J143</f>
        <v>165</v>
      </c>
      <c r="V144" s="32">
        <f>IF(D144="G",'RW predict'!E143,0)</f>
        <v>0</v>
      </c>
      <c r="W144" s="18">
        <f>'RW predict'!R143</f>
        <v>0</v>
      </c>
      <c r="X144" s="18">
        <f>'RW predict'!T143</f>
        <v>0</v>
      </c>
      <c r="Y144" s="18">
        <f>'RW predict'!Y143</f>
        <v>0</v>
      </c>
      <c r="Z144" s="18">
        <f>'RW predict'!U143</f>
        <v>0</v>
      </c>
      <c r="AA144" s="18">
        <f>'RW predict'!W143</f>
        <v>0</v>
      </c>
      <c r="AB144" s="17"/>
      <c r="AG144" s="23"/>
      <c r="AI144" s="17"/>
      <c r="AO144" s="23"/>
    </row>
    <row r="145" spans="1:41" x14ac:dyDescent="0.3">
      <c r="A145" s="18">
        <v>142</v>
      </c>
      <c r="B145" s="18" t="str">
        <f>'RW predict'!A144</f>
        <v>Miro Heiskanen</v>
      </c>
      <c r="C145" s="18" t="str">
        <f>'RW predict'!B144</f>
        <v>DAL</v>
      </c>
      <c r="D145" s="22" t="str" cm="1">
        <f t="array" ref="D145">_xlfn.SWITCH('RW predict'!C144, "C", "F", "LW","F", "RW", "F", "D", "D", "G", "G", "other")</f>
        <v>D</v>
      </c>
      <c r="E145" s="32">
        <f t="shared" si="4"/>
        <v>2133</v>
      </c>
      <c r="F145" s="35">
        <f>E145/assumptions!$B$2</f>
        <v>26.012195121951219</v>
      </c>
      <c r="G145" s="36">
        <f t="shared" si="5"/>
        <v>139</v>
      </c>
      <c r="H145" s="18">
        <f>IF(NOT(D145="G"),'RW predict'!E144,0)</f>
        <v>12</v>
      </c>
      <c r="I145" s="18">
        <f>'RW predict'!Q144</f>
        <v>98</v>
      </c>
      <c r="J145" s="18">
        <f>'RW predict'!F144</f>
        <v>38</v>
      </c>
      <c r="K145" s="18"/>
      <c r="L145" s="18"/>
      <c r="M145" s="18">
        <f>'RW predict'!P144</f>
        <v>55</v>
      </c>
      <c r="N145" s="18"/>
      <c r="O145" s="18">
        <f>'RW predict'!H144</f>
        <v>8</v>
      </c>
      <c r="P145" s="18">
        <f>'RW predict'!I144</f>
        <v>24</v>
      </c>
      <c r="Q145" s="18">
        <f>'RW predict'!L144</f>
        <v>4</v>
      </c>
      <c r="R145" s="18">
        <f>'RW predict'!N144</f>
        <v>0</v>
      </c>
      <c r="S145" s="76">
        <f>'RW predict'!O144</f>
        <v>1</v>
      </c>
      <c r="T145" s="76">
        <f>'RW predict'!K144</f>
        <v>2</v>
      </c>
      <c r="U145" s="22">
        <f>'RW predict'!J144</f>
        <v>195</v>
      </c>
      <c r="V145" s="32">
        <f>IF(D145="G",'RW predict'!E144,0)</f>
        <v>0</v>
      </c>
      <c r="W145" s="18">
        <f>'RW predict'!R144</f>
        <v>0</v>
      </c>
      <c r="X145" s="18">
        <f>'RW predict'!T144</f>
        <v>0</v>
      </c>
      <c r="Y145" s="18">
        <f>'RW predict'!Y144</f>
        <v>0</v>
      </c>
      <c r="Z145" s="18">
        <f>'RW predict'!U144</f>
        <v>0</v>
      </c>
      <c r="AA145" s="18">
        <f>'RW predict'!W144</f>
        <v>0</v>
      </c>
      <c r="AB145" s="17"/>
      <c r="AG145" s="23"/>
      <c r="AI145" s="17"/>
      <c r="AO145" s="23"/>
    </row>
    <row r="146" spans="1:41" x14ac:dyDescent="0.3">
      <c r="A146" s="18">
        <v>143</v>
      </c>
      <c r="B146" s="18" t="str">
        <f>'RW predict'!A145</f>
        <v>Alex Kerfoot</v>
      </c>
      <c r="C146" s="18" t="str">
        <f>'RW predict'!B145</f>
        <v>TOR</v>
      </c>
      <c r="D146" s="22" t="str" cm="1">
        <f t="array" ref="D146">_xlfn.SWITCH('RW predict'!C145, "C", "F", "LW","F", "RW", "F", "D", "D", "G", "G", "other")</f>
        <v>F</v>
      </c>
      <c r="E146" s="32">
        <f t="shared" si="4"/>
        <v>1903</v>
      </c>
      <c r="F146" s="35">
        <f>E146/assumptions!$B$2</f>
        <v>23.207317073170731</v>
      </c>
      <c r="G146" s="36">
        <f t="shared" si="5"/>
        <v>181</v>
      </c>
      <c r="H146" s="18">
        <f>IF(NOT(D146="G"),'RW predict'!E145,0)</f>
        <v>14</v>
      </c>
      <c r="I146" s="18">
        <f>'RW predict'!Q145</f>
        <v>57</v>
      </c>
      <c r="J146" s="18">
        <f>'RW predict'!F145</f>
        <v>35</v>
      </c>
      <c r="K146" s="18"/>
      <c r="L146" s="18"/>
      <c r="M146" s="18">
        <f>'RW predict'!P145</f>
        <v>70</v>
      </c>
      <c r="N146" s="18"/>
      <c r="O146" s="18">
        <f>'RW predict'!H145</f>
        <v>14</v>
      </c>
      <c r="P146" s="18">
        <f>'RW predict'!I145</f>
        <v>22</v>
      </c>
      <c r="Q146" s="18">
        <f>'RW predict'!L145</f>
        <v>0</v>
      </c>
      <c r="R146" s="18">
        <f>'RW predict'!N145</f>
        <v>0</v>
      </c>
      <c r="S146" s="76">
        <f>'RW predict'!O145</f>
        <v>2</v>
      </c>
      <c r="T146" s="76">
        <f>'RW predict'!K145</f>
        <v>2</v>
      </c>
      <c r="U146" s="22">
        <f>'RW predict'!J145</f>
        <v>114</v>
      </c>
      <c r="V146" s="32">
        <f>IF(D146="G",'RW predict'!E145,0)</f>
        <v>0</v>
      </c>
      <c r="W146" s="18">
        <f>'RW predict'!R145</f>
        <v>0</v>
      </c>
      <c r="X146" s="18">
        <f>'RW predict'!T145</f>
        <v>0</v>
      </c>
      <c r="Y146" s="18">
        <f>'RW predict'!Y145</f>
        <v>0</v>
      </c>
      <c r="Z146" s="18">
        <f>'RW predict'!U145</f>
        <v>0</v>
      </c>
      <c r="AA146" s="18">
        <f>'RW predict'!W145</f>
        <v>0</v>
      </c>
      <c r="AB146" s="17"/>
      <c r="AG146" s="23"/>
      <c r="AI146" s="17"/>
      <c r="AO146" s="23"/>
    </row>
    <row r="147" spans="1:41" x14ac:dyDescent="0.3">
      <c r="A147" s="18">
        <v>144</v>
      </c>
      <c r="B147" s="18" t="str">
        <f>'RW predict'!A146</f>
        <v>Joel Eriksson Ek</v>
      </c>
      <c r="C147" s="18" t="str">
        <f>'RW predict'!B146</f>
        <v>MIN</v>
      </c>
      <c r="D147" s="22" t="str" cm="1">
        <f t="array" ref="D147">_xlfn.SWITCH('RW predict'!C146, "C", "F", "LW","F", "RW", "F", "D", "D", "G", "G", "other")</f>
        <v>F</v>
      </c>
      <c r="E147" s="32">
        <f t="shared" si="4"/>
        <v>2331</v>
      </c>
      <c r="F147" s="35">
        <f>E147/assumptions!$B$2</f>
        <v>28.426829268292682</v>
      </c>
      <c r="G147" s="36">
        <f t="shared" si="5"/>
        <v>107</v>
      </c>
      <c r="H147" s="18">
        <f>IF(NOT(D147="G"),'RW predict'!E146,0)</f>
        <v>26</v>
      </c>
      <c r="I147" s="18">
        <f>'RW predict'!Q146</f>
        <v>47</v>
      </c>
      <c r="J147" s="18">
        <f>'RW predict'!F146</f>
        <v>23</v>
      </c>
      <c r="K147" s="18"/>
      <c r="L147" s="18"/>
      <c r="M147" s="18">
        <f>'RW predict'!P146</f>
        <v>140</v>
      </c>
      <c r="N147" s="18"/>
      <c r="O147" s="18">
        <f>'RW predict'!H146</f>
        <v>17</v>
      </c>
      <c r="P147" s="18">
        <f>'RW predict'!I146</f>
        <v>26</v>
      </c>
      <c r="Q147" s="18">
        <f>'RW predict'!L146</f>
        <v>9</v>
      </c>
      <c r="R147" s="18">
        <f>'RW predict'!N146</f>
        <v>1</v>
      </c>
      <c r="S147" s="76">
        <f>'RW predict'!O146</f>
        <v>0</v>
      </c>
      <c r="T147" s="76">
        <f>'RW predict'!K146</f>
        <v>4</v>
      </c>
      <c r="U147" s="22">
        <f>'RW predict'!J146</f>
        <v>217</v>
      </c>
      <c r="V147" s="32">
        <f>IF(D147="G",'RW predict'!E146,0)</f>
        <v>0</v>
      </c>
      <c r="W147" s="18">
        <f>'RW predict'!R146</f>
        <v>0</v>
      </c>
      <c r="X147" s="18">
        <f>'RW predict'!T146</f>
        <v>0</v>
      </c>
      <c r="Y147" s="18">
        <f>'RW predict'!Y146</f>
        <v>0</v>
      </c>
      <c r="Z147" s="18">
        <f>'RW predict'!U146</f>
        <v>0</v>
      </c>
      <c r="AA147" s="18">
        <f>'RW predict'!W146</f>
        <v>0</v>
      </c>
      <c r="AB147" s="17"/>
      <c r="AG147" s="23"/>
      <c r="AI147" s="17"/>
      <c r="AO147" s="23"/>
    </row>
    <row r="148" spans="1:41" x14ac:dyDescent="0.3">
      <c r="A148" s="18">
        <v>145</v>
      </c>
      <c r="B148" s="18" t="str">
        <f>'RW predict'!A147</f>
        <v>Yegor Sharangovich</v>
      </c>
      <c r="C148" s="18" t="str">
        <f>'RW predict'!B147</f>
        <v>NJ</v>
      </c>
      <c r="D148" s="22" t="str" cm="1">
        <f t="array" ref="D148">_xlfn.SWITCH('RW predict'!C147, "C", "F", "LW","F", "RW", "F", "D", "D", "G", "G", "other")</f>
        <v>F</v>
      </c>
      <c r="E148" s="32">
        <f t="shared" si="4"/>
        <v>1793</v>
      </c>
      <c r="F148" s="35">
        <f>E148/assumptions!$B$2</f>
        <v>21.865853658536587</v>
      </c>
      <c r="G148" s="36">
        <f t="shared" si="5"/>
        <v>203</v>
      </c>
      <c r="H148" s="18">
        <f>IF(NOT(D148="G"),'RW predict'!E147,0)</f>
        <v>26</v>
      </c>
      <c r="I148" s="18">
        <f>'RW predict'!Q147</f>
        <v>27</v>
      </c>
      <c r="J148" s="18">
        <f>'RW predict'!F147</f>
        <v>23</v>
      </c>
      <c r="K148" s="18"/>
      <c r="L148" s="18"/>
      <c r="M148" s="18">
        <f>'RW predict'!P147</f>
        <v>32</v>
      </c>
      <c r="N148" s="18"/>
      <c r="O148" s="18">
        <f>'RW predict'!H147</f>
        <v>-8</v>
      </c>
      <c r="P148" s="18">
        <f>'RW predict'!I147</f>
        <v>20</v>
      </c>
      <c r="Q148" s="18">
        <f>'RW predict'!L147</f>
        <v>2</v>
      </c>
      <c r="R148" s="18">
        <f>'RW predict'!N147</f>
        <v>1</v>
      </c>
      <c r="S148" s="76">
        <f>'RW predict'!O147</f>
        <v>0</v>
      </c>
      <c r="T148" s="76">
        <f>'RW predict'!K147</f>
        <v>5</v>
      </c>
      <c r="U148" s="22">
        <f>'RW predict'!J147</f>
        <v>181</v>
      </c>
      <c r="V148" s="32">
        <f>IF(D148="G",'RW predict'!E147,0)</f>
        <v>0</v>
      </c>
      <c r="W148" s="18">
        <f>'RW predict'!R147</f>
        <v>0</v>
      </c>
      <c r="X148" s="18">
        <f>'RW predict'!T147</f>
        <v>0</v>
      </c>
      <c r="Y148" s="18">
        <f>'RW predict'!Y147</f>
        <v>0</v>
      </c>
      <c r="Z148" s="18">
        <f>'RW predict'!U147</f>
        <v>0</v>
      </c>
      <c r="AA148" s="18">
        <f>'RW predict'!W147</f>
        <v>0</v>
      </c>
      <c r="AB148" s="17"/>
      <c r="AG148" s="23"/>
      <c r="AI148" s="17"/>
      <c r="AO148" s="23"/>
    </row>
    <row r="149" spans="1:41" x14ac:dyDescent="0.3">
      <c r="A149" s="18">
        <v>146</v>
      </c>
      <c r="B149" s="18" t="str">
        <f>'RW predict'!A148</f>
        <v>Tony DeAngelo</v>
      </c>
      <c r="C149" s="18" t="str">
        <f>'RW predict'!B148</f>
        <v>PHI</v>
      </c>
      <c r="D149" s="22" t="str" cm="1">
        <f t="array" ref="D149">_xlfn.SWITCH('RW predict'!C148, "C", "F", "LW","F", "RW", "F", "D", "D", "G", "G", "other")</f>
        <v>D</v>
      </c>
      <c r="E149" s="32">
        <f t="shared" si="4"/>
        <v>2028</v>
      </c>
      <c r="F149" s="35">
        <f>E149/assumptions!$B$2</f>
        <v>24.73170731707317</v>
      </c>
      <c r="G149" s="36">
        <f t="shared" si="5"/>
        <v>160</v>
      </c>
      <c r="H149" s="18">
        <f>IF(NOT(D149="G"),'RW predict'!E148,0)</f>
        <v>10</v>
      </c>
      <c r="I149" s="18">
        <f>'RW predict'!Q148</f>
        <v>61</v>
      </c>
      <c r="J149" s="18">
        <f>'RW predict'!F148</f>
        <v>39</v>
      </c>
      <c r="K149" s="18"/>
      <c r="L149" s="18"/>
      <c r="M149" s="18">
        <f>'RW predict'!P148</f>
        <v>44</v>
      </c>
      <c r="N149" s="18"/>
      <c r="O149" s="18">
        <f>'RW predict'!H148</f>
        <v>8</v>
      </c>
      <c r="P149" s="18">
        <f>'RW predict'!I148</f>
        <v>57</v>
      </c>
      <c r="Q149" s="18">
        <f>'RW predict'!L148</f>
        <v>2</v>
      </c>
      <c r="R149" s="18">
        <f>'RW predict'!N148</f>
        <v>0</v>
      </c>
      <c r="S149" s="76">
        <f>'RW predict'!O148</f>
        <v>0</v>
      </c>
      <c r="T149" s="76">
        <f>'RW predict'!K148</f>
        <v>2</v>
      </c>
      <c r="U149" s="22">
        <f>'RW predict'!J148</f>
        <v>163</v>
      </c>
      <c r="V149" s="32">
        <f>IF(D149="G",'RW predict'!E148,0)</f>
        <v>0</v>
      </c>
      <c r="W149" s="18">
        <f>'RW predict'!R148</f>
        <v>0</v>
      </c>
      <c r="X149" s="18">
        <f>'RW predict'!T148</f>
        <v>0</v>
      </c>
      <c r="Y149" s="18">
        <f>'RW predict'!Y148</f>
        <v>0</v>
      </c>
      <c r="Z149" s="18">
        <f>'RW predict'!U148</f>
        <v>0</v>
      </c>
      <c r="AA149" s="18">
        <f>'RW predict'!W148</f>
        <v>0</v>
      </c>
      <c r="AB149" s="17"/>
      <c r="AG149" s="23"/>
      <c r="AI149" s="17"/>
      <c r="AO149" s="23"/>
    </row>
    <row r="150" spans="1:41" x14ac:dyDescent="0.3">
      <c r="A150" s="18">
        <v>147</v>
      </c>
      <c r="B150" s="18" t="str">
        <f>'RW predict'!A149</f>
        <v>Sam Bennett</v>
      </c>
      <c r="C150" s="18" t="str">
        <f>'RW predict'!B149</f>
        <v>FLA</v>
      </c>
      <c r="D150" s="22" t="str" cm="1">
        <f t="array" ref="D150">_xlfn.SWITCH('RW predict'!C149, "C", "F", "LW","F", "RW", "F", "D", "D", "G", "G", "other")</f>
        <v>F</v>
      </c>
      <c r="E150" s="32">
        <f t="shared" si="4"/>
        <v>2503</v>
      </c>
      <c r="F150" s="35">
        <f>E150/assumptions!$B$2</f>
        <v>30.524390243902438</v>
      </c>
      <c r="G150" s="36">
        <f t="shared" si="5"/>
        <v>83</v>
      </c>
      <c r="H150" s="18">
        <f>IF(NOT(D150="G"),'RW predict'!E149,0)</f>
        <v>27</v>
      </c>
      <c r="I150" s="18">
        <f>'RW predict'!Q149</f>
        <v>26</v>
      </c>
      <c r="J150" s="18">
        <f>'RW predict'!F149</f>
        <v>22</v>
      </c>
      <c r="K150" s="18"/>
      <c r="L150" s="18"/>
      <c r="M150" s="18">
        <f>'RW predict'!P149</f>
        <v>128</v>
      </c>
      <c r="N150" s="18"/>
      <c r="O150" s="18">
        <f>'RW predict'!H149</f>
        <v>21</v>
      </c>
      <c r="P150" s="18">
        <f>'RW predict'!I149</f>
        <v>74</v>
      </c>
      <c r="Q150" s="18">
        <f>'RW predict'!L149</f>
        <v>6</v>
      </c>
      <c r="R150" s="18">
        <f>'RW predict'!N149</f>
        <v>0</v>
      </c>
      <c r="S150" s="76">
        <f>'RW predict'!O149</f>
        <v>1</v>
      </c>
      <c r="T150" s="76">
        <f>'RW predict'!K149</f>
        <v>6</v>
      </c>
      <c r="U150" s="22">
        <f>'RW predict'!J149</f>
        <v>238</v>
      </c>
      <c r="V150" s="32">
        <f>IF(D150="G",'RW predict'!E149,0)</f>
        <v>0</v>
      </c>
      <c r="W150" s="18">
        <f>'RW predict'!R149</f>
        <v>0</v>
      </c>
      <c r="X150" s="18">
        <f>'RW predict'!T149</f>
        <v>0</v>
      </c>
      <c r="Y150" s="18">
        <f>'RW predict'!Y149</f>
        <v>0</v>
      </c>
      <c r="Z150" s="18">
        <f>'RW predict'!U149</f>
        <v>0</v>
      </c>
      <c r="AA150" s="18">
        <f>'RW predict'!W149</f>
        <v>0</v>
      </c>
      <c r="AB150" s="17"/>
      <c r="AG150" s="23"/>
      <c r="AI150" s="17"/>
      <c r="AO150" s="23"/>
    </row>
    <row r="151" spans="1:41" x14ac:dyDescent="0.3">
      <c r="A151" s="18">
        <v>148</v>
      </c>
      <c r="B151" s="18" t="str">
        <f>'RW predict'!A150</f>
        <v>Valeri Nichushkin</v>
      </c>
      <c r="C151" s="18" t="str">
        <f>'RW predict'!B150</f>
        <v>COL</v>
      </c>
      <c r="D151" s="22" t="str" cm="1">
        <f t="array" ref="D151">_xlfn.SWITCH('RW predict'!C150, "C", "F", "LW","F", "RW", "F", "D", "D", "G", "G", "other")</f>
        <v>F</v>
      </c>
      <c r="E151" s="32">
        <f t="shared" si="4"/>
        <v>2201</v>
      </c>
      <c r="F151" s="35">
        <f>E151/assumptions!$B$2</f>
        <v>26.841463414634145</v>
      </c>
      <c r="G151" s="36">
        <f t="shared" si="5"/>
        <v>124</v>
      </c>
      <c r="H151" s="18">
        <f>IF(NOT(D151="G"),'RW predict'!E150,0)</f>
        <v>23</v>
      </c>
      <c r="I151" s="18">
        <f>'RW predict'!Q150</f>
        <v>30</v>
      </c>
      <c r="J151" s="18">
        <f>'RW predict'!F150</f>
        <v>26</v>
      </c>
      <c r="K151" s="18"/>
      <c r="L151" s="18"/>
      <c r="M151" s="18">
        <f>'RW predict'!P150</f>
        <v>96</v>
      </c>
      <c r="N151" s="18"/>
      <c r="O151" s="18">
        <f>'RW predict'!H150</f>
        <v>23</v>
      </c>
      <c r="P151" s="18">
        <f>'RW predict'!I150</f>
        <v>14</v>
      </c>
      <c r="Q151" s="18">
        <f>'RW predict'!L150</f>
        <v>4</v>
      </c>
      <c r="R151" s="18">
        <f>'RW predict'!N150</f>
        <v>1</v>
      </c>
      <c r="S151" s="76">
        <f>'RW predict'!O150</f>
        <v>1</v>
      </c>
      <c r="T151" s="76">
        <f>'RW predict'!K150</f>
        <v>5</v>
      </c>
      <c r="U151" s="22">
        <f>'RW predict'!J150</f>
        <v>189</v>
      </c>
      <c r="V151" s="32">
        <f>IF(D151="G",'RW predict'!E150,0)</f>
        <v>0</v>
      </c>
      <c r="W151" s="18">
        <f>'RW predict'!R150</f>
        <v>0</v>
      </c>
      <c r="X151" s="18">
        <f>'RW predict'!T150</f>
        <v>0</v>
      </c>
      <c r="Y151" s="18">
        <f>'RW predict'!Y150</f>
        <v>0</v>
      </c>
      <c r="Z151" s="18">
        <f>'RW predict'!U150</f>
        <v>0</v>
      </c>
      <c r="AA151" s="18">
        <f>'RW predict'!W150</f>
        <v>0</v>
      </c>
      <c r="AB151" s="17"/>
      <c r="AG151" s="23"/>
      <c r="AI151" s="17"/>
      <c r="AO151" s="23"/>
    </row>
    <row r="152" spans="1:41" x14ac:dyDescent="0.3">
      <c r="A152" s="18">
        <v>149</v>
      </c>
      <c r="B152" s="18" t="str">
        <f>'RW predict'!A151</f>
        <v>Phillip Danault</v>
      </c>
      <c r="C152" s="18" t="str">
        <f>'RW predict'!B151</f>
        <v>LA</v>
      </c>
      <c r="D152" s="22" t="str" cm="1">
        <f t="array" ref="D152">_xlfn.SWITCH('RW predict'!C151, "C", "F", "LW","F", "RW", "F", "D", "D", "G", "G", "other")</f>
        <v>F</v>
      </c>
      <c r="E152" s="32">
        <f t="shared" si="4"/>
        <v>2173</v>
      </c>
      <c r="F152" s="35">
        <f>E152/assumptions!$B$2</f>
        <v>26.5</v>
      </c>
      <c r="G152" s="36">
        <f t="shared" si="5"/>
        <v>132</v>
      </c>
      <c r="H152" s="18">
        <f>IF(NOT(D152="G"),'RW predict'!E151,0)</f>
        <v>21</v>
      </c>
      <c r="I152" s="18">
        <f>'RW predict'!Q151</f>
        <v>48</v>
      </c>
      <c r="J152" s="18">
        <f>'RW predict'!F151</f>
        <v>28</v>
      </c>
      <c r="K152" s="18"/>
      <c r="L152" s="18"/>
      <c r="M152" s="18">
        <f>'RW predict'!P151</f>
        <v>86</v>
      </c>
      <c r="N152" s="18"/>
      <c r="O152" s="18">
        <f>'RW predict'!H151</f>
        <v>15</v>
      </c>
      <c r="P152" s="18">
        <f>'RW predict'!I151</f>
        <v>36</v>
      </c>
      <c r="Q152" s="18">
        <f>'RW predict'!L151</f>
        <v>2</v>
      </c>
      <c r="R152" s="18">
        <f>'RW predict'!N151</f>
        <v>1</v>
      </c>
      <c r="S152" s="76">
        <f>'RW predict'!O151</f>
        <v>2</v>
      </c>
      <c r="T152" s="76">
        <f>'RW predict'!K151</f>
        <v>4</v>
      </c>
      <c r="U152" s="22">
        <f>'RW predict'!J151</f>
        <v>184</v>
      </c>
      <c r="V152" s="32">
        <f>IF(D152="G",'RW predict'!E151,0)</f>
        <v>0</v>
      </c>
      <c r="W152" s="18">
        <f>'RW predict'!R151</f>
        <v>0</v>
      </c>
      <c r="X152" s="18">
        <f>'RW predict'!T151</f>
        <v>0</v>
      </c>
      <c r="Y152" s="18">
        <f>'RW predict'!Y151</f>
        <v>0</v>
      </c>
      <c r="Z152" s="18">
        <f>'RW predict'!U151</f>
        <v>0</v>
      </c>
      <c r="AA152" s="18">
        <f>'RW predict'!W151</f>
        <v>0</v>
      </c>
      <c r="AB152" s="17"/>
      <c r="AG152" s="23"/>
      <c r="AI152" s="17"/>
      <c r="AO152" s="23"/>
    </row>
    <row r="153" spans="1:41" x14ac:dyDescent="0.3">
      <c r="A153" s="18">
        <v>150</v>
      </c>
      <c r="B153" s="18" t="str">
        <f>'RW predict'!A152</f>
        <v>Reilly Smith</v>
      </c>
      <c r="C153" s="18" t="str">
        <f>'RW predict'!B152</f>
        <v>VGK</v>
      </c>
      <c r="D153" s="22" t="str" cm="1">
        <f t="array" ref="D153">_xlfn.SWITCH('RW predict'!C152, "C", "F", "LW","F", "RW", "F", "D", "D", "G", "G", "other")</f>
        <v>F</v>
      </c>
      <c r="E153" s="32">
        <f t="shared" si="4"/>
        <v>2009</v>
      </c>
      <c r="F153" s="35">
        <f>E153/assumptions!$B$2</f>
        <v>24.5</v>
      </c>
      <c r="G153" s="36">
        <f t="shared" si="5"/>
        <v>165</v>
      </c>
      <c r="H153" s="18">
        <f>IF(NOT(D153="G"),'RW predict'!E152,0)</f>
        <v>21</v>
      </c>
      <c r="I153" s="18">
        <f>'RW predict'!Q152</f>
        <v>28</v>
      </c>
      <c r="J153" s="18">
        <f>'RW predict'!F152</f>
        <v>28</v>
      </c>
      <c r="K153" s="18"/>
      <c r="L153" s="18"/>
      <c r="M153" s="18">
        <f>'RW predict'!P152</f>
        <v>66</v>
      </c>
      <c r="N153" s="18"/>
      <c r="O153" s="18">
        <f>'RW predict'!H152</f>
        <v>8</v>
      </c>
      <c r="P153" s="18">
        <f>'RW predict'!I152</f>
        <v>14</v>
      </c>
      <c r="Q153" s="18">
        <f>'RW predict'!L152</f>
        <v>4</v>
      </c>
      <c r="R153" s="18">
        <f>'RW predict'!N152</f>
        <v>2</v>
      </c>
      <c r="S153" s="76">
        <f>'RW predict'!O152</f>
        <v>2</v>
      </c>
      <c r="T153" s="76">
        <f>'RW predict'!K152</f>
        <v>5</v>
      </c>
      <c r="U153" s="22">
        <f>'RW predict'!J152</f>
        <v>170</v>
      </c>
      <c r="V153" s="32">
        <f>IF(D153="G",'RW predict'!E152,0)</f>
        <v>0</v>
      </c>
      <c r="W153" s="18">
        <f>'RW predict'!R152</f>
        <v>0</v>
      </c>
      <c r="X153" s="18">
        <f>'RW predict'!T152</f>
        <v>0</v>
      </c>
      <c r="Y153" s="18">
        <f>'RW predict'!Y152</f>
        <v>0</v>
      </c>
      <c r="Z153" s="18">
        <f>'RW predict'!U152</f>
        <v>0</v>
      </c>
      <c r="AA153" s="18">
        <f>'RW predict'!W152</f>
        <v>0</v>
      </c>
      <c r="AB153" s="17"/>
      <c r="AG153" s="23"/>
      <c r="AI153" s="17"/>
      <c r="AO153" s="23"/>
    </row>
    <row r="154" spans="1:41" x14ac:dyDescent="0.3">
      <c r="A154" s="18">
        <v>151</v>
      </c>
      <c r="B154" s="18" t="str">
        <f>'RW predict'!A153</f>
        <v>Cam Atkinson</v>
      </c>
      <c r="C154" s="18" t="str">
        <f>'RW predict'!B153</f>
        <v>PHI</v>
      </c>
      <c r="D154" s="22" t="str" cm="1">
        <f t="array" ref="D154">_xlfn.SWITCH('RW predict'!C153, "C", "F", "LW","F", "RW", "F", "D", "D", "G", "G", "other")</f>
        <v>F</v>
      </c>
      <c r="E154" s="32">
        <f t="shared" si="4"/>
        <v>1872</v>
      </c>
      <c r="F154" s="35">
        <f>E154/assumptions!$B$2</f>
        <v>22.829268292682926</v>
      </c>
      <c r="G154" s="36">
        <f t="shared" si="5"/>
        <v>189</v>
      </c>
      <c r="H154" s="18">
        <f>IF(NOT(D154="G"),'RW predict'!E153,0)</f>
        <v>22</v>
      </c>
      <c r="I154" s="18">
        <f>'RW predict'!Q153</f>
        <v>43</v>
      </c>
      <c r="J154" s="18">
        <f>'RW predict'!F153</f>
        <v>26</v>
      </c>
      <c r="K154" s="18"/>
      <c r="L154" s="18"/>
      <c r="M154" s="18">
        <f>'RW predict'!P153</f>
        <v>24</v>
      </c>
      <c r="N154" s="18"/>
      <c r="O154" s="18">
        <f>'RW predict'!H153</f>
        <v>-6</v>
      </c>
      <c r="P154" s="18">
        <f>'RW predict'!I153</f>
        <v>12</v>
      </c>
      <c r="Q154" s="18">
        <f>'RW predict'!L153</f>
        <v>3</v>
      </c>
      <c r="R154" s="18">
        <f>'RW predict'!N153</f>
        <v>2</v>
      </c>
      <c r="S154" s="76">
        <f>'RW predict'!O153</f>
        <v>0</v>
      </c>
      <c r="T154" s="76">
        <f>'RW predict'!K153</f>
        <v>4</v>
      </c>
      <c r="U154" s="22">
        <f>'RW predict'!J153</f>
        <v>218</v>
      </c>
      <c r="V154" s="32">
        <f>IF(D154="G",'RW predict'!E153,0)</f>
        <v>0</v>
      </c>
      <c r="W154" s="18">
        <f>'RW predict'!R153</f>
        <v>0</v>
      </c>
      <c r="X154" s="18">
        <f>'RW predict'!T153</f>
        <v>0</v>
      </c>
      <c r="Y154" s="18">
        <f>'RW predict'!Y153</f>
        <v>0</v>
      </c>
      <c r="Z154" s="18">
        <f>'RW predict'!U153</f>
        <v>0</v>
      </c>
      <c r="AA154" s="18">
        <f>'RW predict'!W153</f>
        <v>0</v>
      </c>
      <c r="AB154" s="17"/>
      <c r="AG154" s="23"/>
      <c r="AI154" s="17"/>
      <c r="AO154" s="23"/>
    </row>
    <row r="155" spans="1:41" x14ac:dyDescent="0.3">
      <c r="A155" s="18">
        <v>152</v>
      </c>
      <c r="B155" s="18" t="str">
        <f>'RW predict'!A154</f>
        <v>Jamie Benn</v>
      </c>
      <c r="C155" s="18" t="str">
        <f>'RW predict'!B154</f>
        <v>DAL</v>
      </c>
      <c r="D155" s="22" t="str" cm="1">
        <f t="array" ref="D155">_xlfn.SWITCH('RW predict'!C154, "C", "F", "LW","F", "RW", "F", "D", "D", "G", "G", "other")</f>
        <v>F</v>
      </c>
      <c r="E155" s="32">
        <f t="shared" si="4"/>
        <v>2119</v>
      </c>
      <c r="F155" s="35">
        <f>E155/assumptions!$B$2</f>
        <v>25.841463414634145</v>
      </c>
      <c r="G155" s="36">
        <f t="shared" si="5"/>
        <v>144</v>
      </c>
      <c r="H155" s="18">
        <f>IF(NOT(D155="G"),'RW predict'!E154,0)</f>
        <v>19</v>
      </c>
      <c r="I155" s="18">
        <f>'RW predict'!Q154</f>
        <v>58</v>
      </c>
      <c r="J155" s="18">
        <f>'RW predict'!F154</f>
        <v>29</v>
      </c>
      <c r="K155" s="18"/>
      <c r="L155" s="18"/>
      <c r="M155" s="18">
        <f>'RW predict'!P154</f>
        <v>147</v>
      </c>
      <c r="N155" s="18"/>
      <c r="O155" s="18">
        <f>'RW predict'!H154</f>
        <v>-6</v>
      </c>
      <c r="P155" s="18">
        <f>'RW predict'!I154</f>
        <v>80</v>
      </c>
      <c r="Q155" s="18">
        <f>'RW predict'!L154</f>
        <v>4</v>
      </c>
      <c r="R155" s="18">
        <f>'RW predict'!N154</f>
        <v>1</v>
      </c>
      <c r="S155" s="76">
        <f>'RW predict'!O154</f>
        <v>0</v>
      </c>
      <c r="T155" s="76">
        <f>'RW predict'!K154</f>
        <v>3</v>
      </c>
      <c r="U155" s="22">
        <f>'RW predict'!J154</f>
        <v>178</v>
      </c>
      <c r="V155" s="32">
        <f>IF(D155="G",'RW predict'!E154,0)</f>
        <v>0</v>
      </c>
      <c r="W155" s="18">
        <f>'RW predict'!R154</f>
        <v>0</v>
      </c>
      <c r="X155" s="18">
        <f>'RW predict'!T154</f>
        <v>0</v>
      </c>
      <c r="Y155" s="18">
        <f>'RW predict'!Y154</f>
        <v>0</v>
      </c>
      <c r="Z155" s="18">
        <f>'RW predict'!U154</f>
        <v>0</v>
      </c>
      <c r="AA155" s="18">
        <f>'RW predict'!W154</f>
        <v>0</v>
      </c>
      <c r="AB155" s="17"/>
      <c r="AG155" s="23"/>
      <c r="AI155" s="17"/>
      <c r="AO155" s="23"/>
    </row>
    <row r="156" spans="1:41" x14ac:dyDescent="0.3">
      <c r="A156" s="18">
        <v>153</v>
      </c>
      <c r="B156" s="18" t="str">
        <f>'RW predict'!A155</f>
        <v>John Klingberg</v>
      </c>
      <c r="C156" s="18" t="str">
        <f>'RW predict'!B155</f>
        <v>ANH</v>
      </c>
      <c r="D156" s="22" t="str" cm="1">
        <f t="array" ref="D156">_xlfn.SWITCH('RW predict'!C155, "C", "F", "LW","F", "RW", "F", "D", "D", "G", "G", "other")</f>
        <v>D</v>
      </c>
      <c r="E156" s="32">
        <f t="shared" si="4"/>
        <v>1604</v>
      </c>
      <c r="F156" s="35">
        <f>E156/assumptions!$B$2</f>
        <v>19.560975609756099</v>
      </c>
      <c r="G156" s="36">
        <f t="shared" si="5"/>
        <v>259</v>
      </c>
      <c r="H156" s="18">
        <f>IF(NOT(D156="G"),'RW predict'!E155,0)</f>
        <v>8</v>
      </c>
      <c r="I156" s="18">
        <f>'RW predict'!Q155</f>
        <v>76</v>
      </c>
      <c r="J156" s="18">
        <f>'RW predict'!F155</f>
        <v>40</v>
      </c>
      <c r="K156" s="18"/>
      <c r="L156" s="18"/>
      <c r="M156" s="18">
        <f>'RW predict'!P155</f>
        <v>57</v>
      </c>
      <c r="N156" s="18"/>
      <c r="O156" s="18">
        <f>'RW predict'!H155</f>
        <v>-25</v>
      </c>
      <c r="P156" s="18">
        <f>'RW predict'!I155</f>
        <v>33</v>
      </c>
      <c r="Q156" s="18">
        <f>'RW predict'!L155</f>
        <v>2</v>
      </c>
      <c r="R156" s="18">
        <f>'RW predict'!N155</f>
        <v>0</v>
      </c>
      <c r="S156" s="76">
        <f>'RW predict'!O155</f>
        <v>0</v>
      </c>
      <c r="T156" s="76">
        <f>'RW predict'!K155</f>
        <v>2</v>
      </c>
      <c r="U156" s="22">
        <f>'RW predict'!J155</f>
        <v>143</v>
      </c>
      <c r="V156" s="32">
        <f>IF(D156="G",'RW predict'!E155,0)</f>
        <v>0</v>
      </c>
      <c r="W156" s="18">
        <f>'RW predict'!R155</f>
        <v>0</v>
      </c>
      <c r="X156" s="18">
        <f>'RW predict'!T155</f>
        <v>0</v>
      </c>
      <c r="Y156" s="18">
        <f>'RW predict'!Y155</f>
        <v>0</v>
      </c>
      <c r="Z156" s="18">
        <f>'RW predict'!U155</f>
        <v>0</v>
      </c>
      <c r="AA156" s="18">
        <f>'RW predict'!W155</f>
        <v>0</v>
      </c>
      <c r="AB156" s="17"/>
      <c r="AG156" s="23"/>
      <c r="AI156" s="17"/>
      <c r="AO156" s="23"/>
    </row>
    <row r="157" spans="1:41" x14ac:dyDescent="0.3">
      <c r="A157" s="18">
        <v>154</v>
      </c>
      <c r="B157" s="18" t="str">
        <f>'RW predict'!A156</f>
        <v>Seth Jones</v>
      </c>
      <c r="C157" s="18" t="str">
        <f>'RW predict'!B156</f>
        <v>CHI</v>
      </c>
      <c r="D157" s="22" t="str" cm="1">
        <f t="array" ref="D157">_xlfn.SWITCH('RW predict'!C156, "C", "F", "LW","F", "RW", "F", "D", "D", "G", "G", "other")</f>
        <v>D</v>
      </c>
      <c r="E157" s="32">
        <f t="shared" si="4"/>
        <v>1846</v>
      </c>
      <c r="F157" s="35">
        <f>E157/assumptions!$B$2</f>
        <v>22.512195121951219</v>
      </c>
      <c r="G157" s="36">
        <f t="shared" si="5"/>
        <v>192</v>
      </c>
      <c r="H157" s="18">
        <f>IF(NOT(D157="G"),'RW predict'!E156,0)</f>
        <v>6</v>
      </c>
      <c r="I157" s="18">
        <f>'RW predict'!Q156</f>
        <v>150</v>
      </c>
      <c r="J157" s="18">
        <f>'RW predict'!F156</f>
        <v>42</v>
      </c>
      <c r="K157" s="18"/>
      <c r="L157" s="18"/>
      <c r="M157" s="18">
        <f>'RW predict'!P156</f>
        <v>102</v>
      </c>
      <c r="N157" s="18"/>
      <c r="O157" s="18">
        <f>'RW predict'!H156</f>
        <v>-25</v>
      </c>
      <c r="P157" s="18">
        <f>'RW predict'!I156</f>
        <v>28</v>
      </c>
      <c r="Q157" s="18">
        <f>'RW predict'!L156</f>
        <v>2</v>
      </c>
      <c r="R157" s="18">
        <f>'RW predict'!N156</f>
        <v>0</v>
      </c>
      <c r="S157" s="76">
        <f>'RW predict'!O156</f>
        <v>1</v>
      </c>
      <c r="T157" s="76">
        <f>'RW predict'!K156</f>
        <v>0</v>
      </c>
      <c r="U157" s="22">
        <f>'RW predict'!J156</f>
        <v>190</v>
      </c>
      <c r="V157" s="32">
        <f>IF(D157="G",'RW predict'!E156,0)</f>
        <v>0</v>
      </c>
      <c r="W157" s="18">
        <f>'RW predict'!R156</f>
        <v>0</v>
      </c>
      <c r="X157" s="18">
        <f>'RW predict'!T156</f>
        <v>0</v>
      </c>
      <c r="Y157" s="18">
        <f>'RW predict'!Y156</f>
        <v>0</v>
      </c>
      <c r="Z157" s="18">
        <f>'RW predict'!U156</f>
        <v>0</v>
      </c>
      <c r="AA157" s="18">
        <f>'RW predict'!W156</f>
        <v>0</v>
      </c>
      <c r="AB157" s="17"/>
      <c r="AG157" s="23"/>
      <c r="AI157" s="17"/>
      <c r="AO157" s="23"/>
    </row>
    <row r="158" spans="1:41" x14ac:dyDescent="0.3">
      <c r="A158" s="18">
        <v>155</v>
      </c>
      <c r="B158" s="18" t="str">
        <f>'RW predict'!A157</f>
        <v>Jared McCann</v>
      </c>
      <c r="C158" s="18" t="str">
        <f>'RW predict'!B157</f>
        <v>SEA</v>
      </c>
      <c r="D158" s="22" t="str" cm="1">
        <f t="array" ref="D158">_xlfn.SWITCH('RW predict'!C157, "C", "F", "LW","F", "RW", "F", "D", "D", "G", "G", "other")</f>
        <v>F</v>
      </c>
      <c r="E158" s="32">
        <f t="shared" si="4"/>
        <v>1831</v>
      </c>
      <c r="F158" s="35">
        <f>E158/assumptions!$B$2</f>
        <v>22.329268292682926</v>
      </c>
      <c r="G158" s="36">
        <f t="shared" si="5"/>
        <v>197</v>
      </c>
      <c r="H158" s="18">
        <f>IF(NOT(D158="G"),'RW predict'!E157,0)</f>
        <v>25</v>
      </c>
      <c r="I158" s="18">
        <f>'RW predict'!Q157</f>
        <v>30</v>
      </c>
      <c r="J158" s="18">
        <f>'RW predict'!F157</f>
        <v>23</v>
      </c>
      <c r="K158" s="18"/>
      <c r="L158" s="18"/>
      <c r="M158" s="18">
        <f>'RW predict'!P157</f>
        <v>69</v>
      </c>
      <c r="N158" s="18"/>
      <c r="O158" s="18">
        <f>'RW predict'!H157</f>
        <v>-13</v>
      </c>
      <c r="P158" s="18">
        <f>'RW predict'!I157</f>
        <v>30</v>
      </c>
      <c r="Q158" s="18">
        <f>'RW predict'!L157</f>
        <v>6</v>
      </c>
      <c r="R158" s="18">
        <f>'RW predict'!N157</f>
        <v>1</v>
      </c>
      <c r="S158" s="76">
        <f>'RW predict'!O157</f>
        <v>0</v>
      </c>
      <c r="T158" s="76">
        <f>'RW predict'!K157</f>
        <v>4</v>
      </c>
      <c r="U158" s="22">
        <f>'RW predict'!J157</f>
        <v>191</v>
      </c>
      <c r="V158" s="32">
        <f>IF(D158="G",'RW predict'!E157,0)</f>
        <v>0</v>
      </c>
      <c r="W158" s="18">
        <f>'RW predict'!R157</f>
        <v>0</v>
      </c>
      <c r="X158" s="18">
        <f>'RW predict'!T157</f>
        <v>0</v>
      </c>
      <c r="Y158" s="18">
        <f>'RW predict'!Y157</f>
        <v>0</v>
      </c>
      <c r="Z158" s="18">
        <f>'RW predict'!U157</f>
        <v>0</v>
      </c>
      <c r="AA158" s="18">
        <f>'RW predict'!W157</f>
        <v>0</v>
      </c>
      <c r="AB158" s="17"/>
      <c r="AG158" s="23"/>
      <c r="AI158" s="17"/>
      <c r="AO158" s="23"/>
    </row>
    <row r="159" spans="1:41" x14ac:dyDescent="0.3">
      <c r="A159" s="18">
        <v>156</v>
      </c>
      <c r="B159" s="18" t="str">
        <f>'RW predict'!A158</f>
        <v>Zach Werenski</v>
      </c>
      <c r="C159" s="18" t="str">
        <f>'RW predict'!B158</f>
        <v>CLS</v>
      </c>
      <c r="D159" s="22" t="str" cm="1">
        <f t="array" ref="D159">_xlfn.SWITCH('RW predict'!C158, "C", "F", "LW","F", "RW", "F", "D", "D", "G", "G", "other")</f>
        <v>D</v>
      </c>
      <c r="E159" s="32">
        <f t="shared" si="4"/>
        <v>1914</v>
      </c>
      <c r="F159" s="35">
        <f>E159/assumptions!$B$2</f>
        <v>23.341463414634145</v>
      </c>
      <c r="G159" s="36">
        <f t="shared" si="5"/>
        <v>177</v>
      </c>
      <c r="H159" s="18">
        <f>IF(NOT(D159="G"),'RW predict'!E158,0)</f>
        <v>13</v>
      </c>
      <c r="I159" s="18">
        <f>'RW predict'!Q158</f>
        <v>92</v>
      </c>
      <c r="J159" s="18">
        <f>'RW predict'!F158</f>
        <v>35</v>
      </c>
      <c r="K159" s="18"/>
      <c r="L159" s="18"/>
      <c r="M159" s="18">
        <f>'RW predict'!P158</f>
        <v>36</v>
      </c>
      <c r="N159" s="18"/>
      <c r="O159" s="18">
        <f>'RW predict'!H158</f>
        <v>-8</v>
      </c>
      <c r="P159" s="18">
        <f>'RW predict'!I158</f>
        <v>20</v>
      </c>
      <c r="Q159" s="18">
        <f>'RW predict'!L158</f>
        <v>4</v>
      </c>
      <c r="R159" s="18">
        <f>'RW predict'!N158</f>
        <v>0</v>
      </c>
      <c r="S159" s="76">
        <f>'RW predict'!O158</f>
        <v>1</v>
      </c>
      <c r="T159" s="76">
        <f>'RW predict'!K158</f>
        <v>2</v>
      </c>
      <c r="U159" s="22">
        <f>'RW predict'!J158</f>
        <v>212</v>
      </c>
      <c r="V159" s="32">
        <f>IF(D159="G",'RW predict'!E158,0)</f>
        <v>0</v>
      </c>
      <c r="W159" s="18">
        <f>'RW predict'!R158</f>
        <v>0</v>
      </c>
      <c r="X159" s="18">
        <f>'RW predict'!T158</f>
        <v>0</v>
      </c>
      <c r="Y159" s="18">
        <f>'RW predict'!Y158</f>
        <v>0</v>
      </c>
      <c r="Z159" s="18">
        <f>'RW predict'!U158</f>
        <v>0</v>
      </c>
      <c r="AA159" s="18">
        <f>'RW predict'!W158</f>
        <v>0</v>
      </c>
      <c r="AB159" s="17"/>
      <c r="AG159" s="23"/>
      <c r="AI159" s="17"/>
      <c r="AO159" s="23"/>
    </row>
    <row r="160" spans="1:41" x14ac:dyDescent="0.3">
      <c r="A160" s="18">
        <v>157</v>
      </c>
      <c r="B160" s="18" t="str">
        <f>'RW predict'!A159</f>
        <v>Dawson Mercer</v>
      </c>
      <c r="C160" s="18" t="str">
        <f>'RW predict'!B159</f>
        <v>NJ</v>
      </c>
      <c r="D160" s="22" t="str" cm="1">
        <f t="array" ref="D160">_xlfn.SWITCH('RW predict'!C159, "C", "F", "LW","F", "RW", "F", "D", "D", "G", "G", "other")</f>
        <v>F</v>
      </c>
      <c r="E160" s="32">
        <f t="shared" si="4"/>
        <v>1681</v>
      </c>
      <c r="F160" s="35">
        <f>E160/assumptions!$B$2</f>
        <v>20.5</v>
      </c>
      <c r="G160" s="36">
        <f t="shared" si="5"/>
        <v>234</v>
      </c>
      <c r="H160" s="18">
        <f>IF(NOT(D160="G"),'RW predict'!E159,0)</f>
        <v>19</v>
      </c>
      <c r="I160" s="18">
        <f>'RW predict'!Q159</f>
        <v>37</v>
      </c>
      <c r="J160" s="18">
        <f>'RW predict'!F159</f>
        <v>29</v>
      </c>
      <c r="K160" s="18"/>
      <c r="L160" s="18"/>
      <c r="M160" s="18">
        <f>'RW predict'!P159</f>
        <v>29</v>
      </c>
      <c r="N160" s="18"/>
      <c r="O160" s="18">
        <f>'RW predict'!H159</f>
        <v>-17</v>
      </c>
      <c r="P160" s="18">
        <f>'RW predict'!I159</f>
        <v>26</v>
      </c>
      <c r="Q160" s="18">
        <f>'RW predict'!L159</f>
        <v>3</v>
      </c>
      <c r="R160" s="18">
        <f>'RW predict'!N159</f>
        <v>1</v>
      </c>
      <c r="S160" s="76">
        <f>'RW predict'!O159</f>
        <v>1</v>
      </c>
      <c r="T160" s="76">
        <f>'RW predict'!K159</f>
        <v>4</v>
      </c>
      <c r="U160" s="22">
        <f>'RW predict'!J159</f>
        <v>165</v>
      </c>
      <c r="V160" s="32">
        <f>IF(D160="G",'RW predict'!E159,0)</f>
        <v>0</v>
      </c>
      <c r="W160" s="18">
        <f>'RW predict'!R159</f>
        <v>0</v>
      </c>
      <c r="X160" s="18">
        <f>'RW predict'!T159</f>
        <v>0</v>
      </c>
      <c r="Y160" s="18">
        <f>'RW predict'!Y159</f>
        <v>0</v>
      </c>
      <c r="Z160" s="18">
        <f>'RW predict'!U159</f>
        <v>0</v>
      </c>
      <c r="AA160" s="18">
        <f>'RW predict'!W159</f>
        <v>0</v>
      </c>
      <c r="AB160" s="17"/>
      <c r="AG160" s="23"/>
      <c r="AI160" s="17"/>
      <c r="AO160" s="23"/>
    </row>
    <row r="161" spans="1:41" x14ac:dyDescent="0.3">
      <c r="A161" s="18">
        <v>158</v>
      </c>
      <c r="B161" s="18" t="str">
        <f>'RW predict'!A160</f>
        <v>Rasmus Andersson</v>
      </c>
      <c r="C161" s="18" t="str">
        <f>'RW predict'!B160</f>
        <v>CGY</v>
      </c>
      <c r="D161" s="22" t="str" cm="1">
        <f t="array" ref="D161">_xlfn.SWITCH('RW predict'!C160, "C", "F", "LW","F", "RW", "F", "D", "D", "G", "G", "other")</f>
        <v>D</v>
      </c>
      <c r="E161" s="32">
        <f t="shared" si="4"/>
        <v>2197</v>
      </c>
      <c r="F161" s="35">
        <f>E161/assumptions!$B$2</f>
        <v>26.792682926829269</v>
      </c>
      <c r="G161" s="36">
        <f t="shared" si="5"/>
        <v>125</v>
      </c>
      <c r="H161" s="18">
        <f>IF(NOT(D161="G"),'RW predict'!E160,0)</f>
        <v>5</v>
      </c>
      <c r="I161" s="18">
        <f>'RW predict'!Q160</f>
        <v>122</v>
      </c>
      <c r="J161" s="18">
        <f>'RW predict'!F160</f>
        <v>43</v>
      </c>
      <c r="K161" s="18"/>
      <c r="L161" s="18"/>
      <c r="M161" s="18">
        <f>'RW predict'!P160</f>
        <v>67</v>
      </c>
      <c r="N161" s="18"/>
      <c r="O161" s="18">
        <f>'RW predict'!H160</f>
        <v>23</v>
      </c>
      <c r="P161" s="18">
        <f>'RW predict'!I160</f>
        <v>36</v>
      </c>
      <c r="Q161" s="18">
        <f>'RW predict'!L160</f>
        <v>2</v>
      </c>
      <c r="R161" s="18">
        <f>'RW predict'!N160</f>
        <v>0</v>
      </c>
      <c r="S161" s="76">
        <f>'RW predict'!O160</f>
        <v>1</v>
      </c>
      <c r="T161" s="76">
        <f>'RW predict'!K160</f>
        <v>1</v>
      </c>
      <c r="U161" s="22">
        <f>'RW predict'!J160</f>
        <v>149</v>
      </c>
      <c r="V161" s="32">
        <f>IF(D161="G",'RW predict'!E160,0)</f>
        <v>0</v>
      </c>
      <c r="W161" s="18">
        <f>'RW predict'!R160</f>
        <v>0</v>
      </c>
      <c r="X161" s="18">
        <f>'RW predict'!T160</f>
        <v>0</v>
      </c>
      <c r="Y161" s="18">
        <f>'RW predict'!Y160</f>
        <v>0</v>
      </c>
      <c r="Z161" s="18">
        <f>'RW predict'!U160</f>
        <v>0</v>
      </c>
      <c r="AA161" s="18">
        <f>'RW predict'!W160</f>
        <v>0</v>
      </c>
      <c r="AB161" s="17"/>
      <c r="AG161" s="23"/>
      <c r="AI161" s="17"/>
      <c r="AO161" s="23"/>
    </row>
    <row r="162" spans="1:41" x14ac:dyDescent="0.3">
      <c r="A162" s="18">
        <v>159</v>
      </c>
      <c r="B162" s="18" t="str">
        <f>'RW predict'!A161</f>
        <v>Matty Beniers</v>
      </c>
      <c r="C162" s="18" t="str">
        <f>'RW predict'!B161</f>
        <v>SEA</v>
      </c>
      <c r="D162" s="22" t="str" cm="1">
        <f t="array" ref="D162">_xlfn.SWITCH('RW predict'!C161, "C", "F", "LW","F", "RW", "F", "D", "D", "G", "G", "other")</f>
        <v>F</v>
      </c>
      <c r="E162" s="32">
        <f t="shared" si="4"/>
        <v>1594</v>
      </c>
      <c r="F162" s="35">
        <f>E162/assumptions!$B$2</f>
        <v>19.439024390243901</v>
      </c>
      <c r="G162" s="36">
        <f t="shared" si="5"/>
        <v>261</v>
      </c>
      <c r="H162" s="18">
        <f>IF(NOT(D162="G"),'RW predict'!E161,0)</f>
        <v>16</v>
      </c>
      <c r="I162" s="18">
        <f>'RW predict'!Q161</f>
        <v>30</v>
      </c>
      <c r="J162" s="18">
        <f>'RW predict'!F161</f>
        <v>31</v>
      </c>
      <c r="K162" s="18"/>
      <c r="L162" s="18"/>
      <c r="M162" s="18">
        <f>'RW predict'!P161</f>
        <v>53</v>
      </c>
      <c r="N162" s="18"/>
      <c r="O162" s="18">
        <f>'RW predict'!H161</f>
        <v>-7</v>
      </c>
      <c r="P162" s="18">
        <f>'RW predict'!I161</f>
        <v>18</v>
      </c>
      <c r="Q162" s="18">
        <f>'RW predict'!L161</f>
        <v>4</v>
      </c>
      <c r="R162" s="18">
        <f>'RW predict'!N161</f>
        <v>0</v>
      </c>
      <c r="S162" s="76">
        <f>'RW predict'!O161</f>
        <v>0</v>
      </c>
      <c r="T162" s="76">
        <f>'RW predict'!K161</f>
        <v>1</v>
      </c>
      <c r="U162" s="22">
        <f>'RW predict'!J161</f>
        <v>131</v>
      </c>
      <c r="V162" s="32">
        <f>IF(D162="G",'RW predict'!E161,0)</f>
        <v>0</v>
      </c>
      <c r="W162" s="18">
        <f>'RW predict'!R161</f>
        <v>0</v>
      </c>
      <c r="X162" s="18">
        <f>'RW predict'!T161</f>
        <v>0</v>
      </c>
      <c r="Y162" s="18">
        <f>'RW predict'!Y161</f>
        <v>0</v>
      </c>
      <c r="Z162" s="18">
        <f>'RW predict'!U161</f>
        <v>0</v>
      </c>
      <c r="AA162" s="18">
        <f>'RW predict'!W161</f>
        <v>0</v>
      </c>
      <c r="AB162" s="17"/>
      <c r="AG162" s="23"/>
      <c r="AI162" s="17"/>
      <c r="AO162" s="23"/>
    </row>
    <row r="163" spans="1:41" x14ac:dyDescent="0.3">
      <c r="A163" s="18">
        <v>160</v>
      </c>
      <c r="B163" s="18" t="str">
        <f>'RW predict'!A162</f>
        <v>Evan Bouchard</v>
      </c>
      <c r="C163" s="18" t="str">
        <f>'RW predict'!B162</f>
        <v>EDM</v>
      </c>
      <c r="D163" s="22" t="str" cm="1">
        <f t="array" ref="D163">_xlfn.SWITCH('RW predict'!C162, "C", "F", "LW","F", "RW", "F", "D", "D", "G", "G", "other")</f>
        <v>D</v>
      </c>
      <c r="E163" s="32">
        <f t="shared" si="4"/>
        <v>2122</v>
      </c>
      <c r="F163" s="35">
        <f>E163/assumptions!$B$2</f>
        <v>25.878048780487806</v>
      </c>
      <c r="G163" s="36">
        <f t="shared" si="5"/>
        <v>141</v>
      </c>
      <c r="H163" s="18">
        <f>IF(NOT(D163="G"),'RW predict'!E162,0)</f>
        <v>11</v>
      </c>
      <c r="I163" s="18">
        <f>'RW predict'!Q162</f>
        <v>116</v>
      </c>
      <c r="J163" s="18">
        <f>'RW predict'!F162</f>
        <v>35</v>
      </c>
      <c r="K163" s="18"/>
      <c r="L163" s="18"/>
      <c r="M163" s="18">
        <f>'RW predict'!P162</f>
        <v>78</v>
      </c>
      <c r="N163" s="18"/>
      <c r="O163" s="18">
        <f>'RW predict'!H162</f>
        <v>13</v>
      </c>
      <c r="P163" s="18">
        <f>'RW predict'!I162</f>
        <v>26</v>
      </c>
      <c r="Q163" s="18">
        <f>'RW predict'!L162</f>
        <v>2</v>
      </c>
      <c r="R163" s="18">
        <f>'RW predict'!N162</f>
        <v>0</v>
      </c>
      <c r="S163" s="76">
        <f>'RW predict'!O162</f>
        <v>1</v>
      </c>
      <c r="T163" s="76">
        <f>'RW predict'!K162</f>
        <v>1</v>
      </c>
      <c r="U163" s="22">
        <f>'RW predict'!J162</f>
        <v>202</v>
      </c>
      <c r="V163" s="32">
        <f>IF(D163="G",'RW predict'!E162,0)</f>
        <v>0</v>
      </c>
      <c r="W163" s="18">
        <f>'RW predict'!R162</f>
        <v>0</v>
      </c>
      <c r="X163" s="18">
        <f>'RW predict'!T162</f>
        <v>0</v>
      </c>
      <c r="Y163" s="18">
        <f>'RW predict'!Y162</f>
        <v>0</v>
      </c>
      <c r="Z163" s="18">
        <f>'RW predict'!U162</f>
        <v>0</v>
      </c>
      <c r="AA163" s="18">
        <f>'RW predict'!W162</f>
        <v>0</v>
      </c>
      <c r="AB163" s="17"/>
      <c r="AG163" s="23"/>
      <c r="AI163" s="17"/>
      <c r="AO163" s="23"/>
    </row>
    <row r="164" spans="1:41" x14ac:dyDescent="0.3">
      <c r="A164" s="18">
        <v>161</v>
      </c>
      <c r="B164" s="18" t="str">
        <f>'RW predict'!A163</f>
        <v>Trevor Moore</v>
      </c>
      <c r="C164" s="18" t="str">
        <f>'RW predict'!B163</f>
        <v>LA</v>
      </c>
      <c r="D164" s="22" t="str" cm="1">
        <f t="array" ref="D164">_xlfn.SWITCH('RW predict'!C163, "C", "F", "LW","F", "RW", "F", "D", "D", "G", "G", "other")</f>
        <v>F</v>
      </c>
      <c r="E164" s="32">
        <f t="shared" si="4"/>
        <v>2000</v>
      </c>
      <c r="F164" s="35">
        <f>E164/assumptions!$B$2</f>
        <v>24.390243902439025</v>
      </c>
      <c r="G164" s="36">
        <f t="shared" si="5"/>
        <v>167</v>
      </c>
      <c r="H164" s="18">
        <f>IF(NOT(D164="G"),'RW predict'!E163,0)</f>
        <v>19</v>
      </c>
      <c r="I164" s="18">
        <f>'RW predict'!Q163</f>
        <v>30</v>
      </c>
      <c r="J164" s="18">
        <f>'RW predict'!F163</f>
        <v>27</v>
      </c>
      <c r="K164" s="18"/>
      <c r="L164" s="18"/>
      <c r="M164" s="18">
        <f>'RW predict'!P163</f>
        <v>70</v>
      </c>
      <c r="N164" s="18"/>
      <c r="O164" s="18">
        <f>'RW predict'!H163</f>
        <v>15</v>
      </c>
      <c r="P164" s="18">
        <f>'RW predict'!I163</f>
        <v>20</v>
      </c>
      <c r="Q164" s="18">
        <f>'RW predict'!L163</f>
        <v>1</v>
      </c>
      <c r="R164" s="18">
        <f>'RW predict'!N163</f>
        <v>3</v>
      </c>
      <c r="S164" s="76">
        <f>'RW predict'!O163</f>
        <v>1</v>
      </c>
      <c r="T164" s="76">
        <f>'RW predict'!K163</f>
        <v>2</v>
      </c>
      <c r="U164" s="22">
        <f>'RW predict'!J163</f>
        <v>195</v>
      </c>
      <c r="V164" s="32">
        <f>IF(D164="G",'RW predict'!E163,0)</f>
        <v>0</v>
      </c>
      <c r="W164" s="18">
        <f>'RW predict'!R163</f>
        <v>0</v>
      </c>
      <c r="X164" s="18">
        <f>'RW predict'!T163</f>
        <v>0</v>
      </c>
      <c r="Y164" s="18">
        <f>'RW predict'!Y163</f>
        <v>0</v>
      </c>
      <c r="Z164" s="18">
        <f>'RW predict'!U163</f>
        <v>0</v>
      </c>
      <c r="AA164" s="18">
        <f>'RW predict'!W163</f>
        <v>0</v>
      </c>
      <c r="AB164" s="17"/>
      <c r="AG164" s="23"/>
      <c r="AI164" s="17"/>
      <c r="AO164" s="23"/>
    </row>
    <row r="165" spans="1:41" x14ac:dyDescent="0.3">
      <c r="A165" s="18">
        <v>162</v>
      </c>
      <c r="B165" s="18" t="str">
        <f>'RW predict'!A164</f>
        <v>Viktor Arvidsson</v>
      </c>
      <c r="C165" s="18" t="str">
        <f>'RW predict'!B164</f>
        <v>LA</v>
      </c>
      <c r="D165" s="22" t="str" cm="1">
        <f t="array" ref="D165">_xlfn.SWITCH('RW predict'!C164, "C", "F", "LW","F", "RW", "F", "D", "D", "G", "G", "other")</f>
        <v>F</v>
      </c>
      <c r="E165" s="32">
        <f t="shared" si="4"/>
        <v>1868</v>
      </c>
      <c r="F165" s="35">
        <f>E165/assumptions!$B$2</f>
        <v>22.780487804878049</v>
      </c>
      <c r="G165" s="36">
        <f t="shared" si="5"/>
        <v>190</v>
      </c>
      <c r="H165" s="18">
        <f>IF(NOT(D165="G"),'RW predict'!E164,0)</f>
        <v>20</v>
      </c>
      <c r="I165" s="18">
        <f>'RW predict'!Q164</f>
        <v>38</v>
      </c>
      <c r="J165" s="18">
        <f>'RW predict'!F164</f>
        <v>26</v>
      </c>
      <c r="K165" s="18"/>
      <c r="L165" s="18"/>
      <c r="M165" s="18">
        <f>'RW predict'!P164</f>
        <v>22</v>
      </c>
      <c r="N165" s="18"/>
      <c r="O165" s="18">
        <f>'RW predict'!H164</f>
        <v>3</v>
      </c>
      <c r="P165" s="18">
        <f>'RW predict'!I164</f>
        <v>24</v>
      </c>
      <c r="Q165" s="18">
        <f>'RW predict'!L164</f>
        <v>4</v>
      </c>
      <c r="R165" s="18">
        <f>'RW predict'!N164</f>
        <v>0</v>
      </c>
      <c r="S165" s="76">
        <f>'RW predict'!O164</f>
        <v>0</v>
      </c>
      <c r="T165" s="76">
        <f>'RW predict'!K164</f>
        <v>3</v>
      </c>
      <c r="U165" s="22">
        <f>'RW predict'!J164</f>
        <v>209</v>
      </c>
      <c r="V165" s="32">
        <f>IF(D165="G",'RW predict'!E164,0)</f>
        <v>0</v>
      </c>
      <c r="W165" s="18">
        <f>'RW predict'!R164</f>
        <v>0</v>
      </c>
      <c r="X165" s="18">
        <f>'RW predict'!T164</f>
        <v>0</v>
      </c>
      <c r="Y165" s="18">
        <f>'RW predict'!Y164</f>
        <v>0</v>
      </c>
      <c r="Z165" s="18">
        <f>'RW predict'!U164</f>
        <v>0</v>
      </c>
      <c r="AA165" s="18">
        <f>'RW predict'!W164</f>
        <v>0</v>
      </c>
      <c r="AB165" s="17"/>
      <c r="AG165" s="23"/>
      <c r="AI165" s="17"/>
      <c r="AO165" s="23"/>
    </row>
    <row r="166" spans="1:41" x14ac:dyDescent="0.3">
      <c r="A166" s="18">
        <v>163</v>
      </c>
      <c r="B166" s="18" t="str">
        <f>'RW predict'!A165</f>
        <v>Alex Pietrangelo</v>
      </c>
      <c r="C166" s="18" t="str">
        <f>'RW predict'!B165</f>
        <v>VGK</v>
      </c>
      <c r="D166" s="22" t="str" cm="1">
        <f t="array" ref="D166">_xlfn.SWITCH('RW predict'!C165, "C", "F", "LW","F", "RW", "F", "D", "D", "G", "G", "other")</f>
        <v>D</v>
      </c>
      <c r="E166" s="32">
        <f t="shared" si="4"/>
        <v>2309</v>
      </c>
      <c r="F166" s="35">
        <f>E166/assumptions!$B$2</f>
        <v>28.158536585365855</v>
      </c>
      <c r="G166" s="36">
        <f t="shared" si="5"/>
        <v>110</v>
      </c>
      <c r="H166" s="18">
        <f>IF(NOT(D166="G"),'RW predict'!E165,0)</f>
        <v>14</v>
      </c>
      <c r="I166" s="18">
        <f>'RW predict'!Q165</f>
        <v>161</v>
      </c>
      <c r="J166" s="18">
        <f>'RW predict'!F165</f>
        <v>32</v>
      </c>
      <c r="K166" s="18"/>
      <c r="L166" s="18"/>
      <c r="M166" s="18">
        <f>'RW predict'!P165</f>
        <v>63</v>
      </c>
      <c r="N166" s="18"/>
      <c r="O166" s="18">
        <f>'RW predict'!H165</f>
        <v>10</v>
      </c>
      <c r="P166" s="18">
        <f>'RW predict'!I165</f>
        <v>40</v>
      </c>
      <c r="Q166" s="18">
        <f>'RW predict'!L165</f>
        <v>3</v>
      </c>
      <c r="R166" s="18">
        <f>'RW predict'!N165</f>
        <v>1</v>
      </c>
      <c r="S166" s="76">
        <f>'RW predict'!O165</f>
        <v>2</v>
      </c>
      <c r="T166" s="76">
        <f>'RW predict'!K165</f>
        <v>2</v>
      </c>
      <c r="U166" s="22">
        <f>'RW predict'!J165</f>
        <v>222</v>
      </c>
      <c r="V166" s="32">
        <f>IF(D166="G",'RW predict'!E165,0)</f>
        <v>0</v>
      </c>
      <c r="W166" s="18">
        <f>'RW predict'!R165</f>
        <v>0</v>
      </c>
      <c r="X166" s="18">
        <f>'RW predict'!T165</f>
        <v>0</v>
      </c>
      <c r="Y166" s="18">
        <f>'RW predict'!Y165</f>
        <v>0</v>
      </c>
      <c r="Z166" s="18">
        <f>'RW predict'!U165</f>
        <v>0</v>
      </c>
      <c r="AA166" s="18">
        <f>'RW predict'!W165</f>
        <v>0</v>
      </c>
      <c r="AB166" s="17"/>
      <c r="AG166" s="23"/>
      <c r="AI166" s="17"/>
      <c r="AO166" s="23"/>
    </row>
    <row r="167" spans="1:41" x14ac:dyDescent="0.3">
      <c r="A167" s="18">
        <v>164</v>
      </c>
      <c r="B167" s="18" t="str">
        <f>'RW predict'!A166</f>
        <v>Josh Bailey</v>
      </c>
      <c r="C167" s="18" t="str">
        <f>'RW predict'!B166</f>
        <v>NYI</v>
      </c>
      <c r="D167" s="22" t="str" cm="1">
        <f t="array" ref="D167">_xlfn.SWITCH('RW predict'!C166, "C", "F", "LW","F", "RW", "F", "D", "D", "G", "G", "other")</f>
        <v>F</v>
      </c>
      <c r="E167" s="32">
        <f t="shared" si="4"/>
        <v>1439</v>
      </c>
      <c r="F167" s="35">
        <f>E167/assumptions!$B$2</f>
        <v>17.548780487804876</v>
      </c>
      <c r="G167" s="36">
        <f t="shared" si="5"/>
        <v>315</v>
      </c>
      <c r="H167" s="18">
        <f>IF(NOT(D167="G"),'RW predict'!E166,0)</f>
        <v>13</v>
      </c>
      <c r="I167" s="18">
        <f>'RW predict'!Q166</f>
        <v>29</v>
      </c>
      <c r="J167" s="18">
        <f>'RW predict'!F166</f>
        <v>33</v>
      </c>
      <c r="K167" s="18"/>
      <c r="L167" s="18"/>
      <c r="M167" s="18">
        <f>'RW predict'!P166</f>
        <v>19</v>
      </c>
      <c r="N167" s="18"/>
      <c r="O167" s="18">
        <f>'RW predict'!H166</f>
        <v>-5</v>
      </c>
      <c r="P167" s="18">
        <f>'RW predict'!I166</f>
        <v>6</v>
      </c>
      <c r="Q167" s="18">
        <f>'RW predict'!L166</f>
        <v>1</v>
      </c>
      <c r="R167" s="18">
        <f>'RW predict'!N166</f>
        <v>0</v>
      </c>
      <c r="S167" s="76">
        <f>'RW predict'!O166</f>
        <v>0</v>
      </c>
      <c r="T167" s="76">
        <f>'RW predict'!K166</f>
        <v>2</v>
      </c>
      <c r="U167" s="22">
        <f>'RW predict'!J166</f>
        <v>97</v>
      </c>
      <c r="V167" s="32">
        <f>IF(D167="G",'RW predict'!E166,0)</f>
        <v>0</v>
      </c>
      <c r="W167" s="18">
        <f>'RW predict'!R166</f>
        <v>0</v>
      </c>
      <c r="X167" s="18">
        <f>'RW predict'!T166</f>
        <v>0</v>
      </c>
      <c r="Y167" s="18">
        <f>'RW predict'!Y166</f>
        <v>0</v>
      </c>
      <c r="Z167" s="18">
        <f>'RW predict'!U166</f>
        <v>0</v>
      </c>
      <c r="AA167" s="18">
        <f>'RW predict'!W166</f>
        <v>0</v>
      </c>
      <c r="AB167" s="17"/>
      <c r="AG167" s="23"/>
      <c r="AI167" s="17"/>
      <c r="AO167" s="23"/>
    </row>
    <row r="168" spans="1:41" x14ac:dyDescent="0.3">
      <c r="A168" s="18">
        <v>165</v>
      </c>
      <c r="B168" s="18" t="str">
        <f>'RW predict'!A167</f>
        <v>Jordan Eberle</v>
      </c>
      <c r="C168" s="18" t="str">
        <f>'RW predict'!B167</f>
        <v>SEA</v>
      </c>
      <c r="D168" s="22" t="str" cm="1">
        <f t="array" ref="D168">_xlfn.SWITCH('RW predict'!C167, "C", "F", "LW","F", "RW", "F", "D", "D", "G", "G", "other")</f>
        <v>F</v>
      </c>
      <c r="E168" s="32">
        <f t="shared" si="4"/>
        <v>1552</v>
      </c>
      <c r="F168" s="35">
        <f>E168/assumptions!$B$2</f>
        <v>18.926829268292682</v>
      </c>
      <c r="G168" s="36">
        <f t="shared" si="5"/>
        <v>275</v>
      </c>
      <c r="H168" s="18">
        <f>IF(NOT(D168="G"),'RW predict'!E167,0)</f>
        <v>21</v>
      </c>
      <c r="I168" s="18">
        <f>'RW predict'!Q167</f>
        <v>38</v>
      </c>
      <c r="J168" s="18">
        <f>'RW predict'!F167</f>
        <v>25</v>
      </c>
      <c r="K168" s="18"/>
      <c r="L168" s="18"/>
      <c r="M168" s="18">
        <f>'RW predict'!P167</f>
        <v>46</v>
      </c>
      <c r="N168" s="18"/>
      <c r="O168" s="18">
        <f>'RW predict'!H167</f>
        <v>-19</v>
      </c>
      <c r="P168" s="18">
        <f>'RW predict'!I167</f>
        <v>16</v>
      </c>
      <c r="Q168" s="18">
        <f>'RW predict'!L167</f>
        <v>3</v>
      </c>
      <c r="R168" s="18">
        <f>'RW predict'!N167</f>
        <v>0</v>
      </c>
      <c r="S168" s="76">
        <f>'RW predict'!O167</f>
        <v>0</v>
      </c>
      <c r="T168" s="76">
        <f>'RW predict'!K167</f>
        <v>3</v>
      </c>
      <c r="U168" s="22">
        <f>'RW predict'!J167</f>
        <v>166</v>
      </c>
      <c r="V168" s="32">
        <f>IF(D168="G",'RW predict'!E167,0)</f>
        <v>0</v>
      </c>
      <c r="W168" s="18">
        <f>'RW predict'!R167</f>
        <v>0</v>
      </c>
      <c r="X168" s="18">
        <f>'RW predict'!T167</f>
        <v>0</v>
      </c>
      <c r="Y168" s="18">
        <f>'RW predict'!Y167</f>
        <v>0</v>
      </c>
      <c r="Z168" s="18">
        <f>'RW predict'!U167</f>
        <v>0</v>
      </c>
      <c r="AA168" s="18">
        <f>'RW predict'!W167</f>
        <v>0</v>
      </c>
      <c r="AB168" s="17"/>
      <c r="AG168" s="23"/>
      <c r="AI168" s="17"/>
      <c r="AO168" s="23"/>
    </row>
    <row r="169" spans="1:41" x14ac:dyDescent="0.3">
      <c r="A169" s="18">
        <v>166</v>
      </c>
      <c r="B169" s="18" t="str">
        <f>'RW predict'!A168</f>
        <v>Rickard Rakell</v>
      </c>
      <c r="C169" s="18" t="str">
        <f>'RW predict'!B168</f>
        <v>PIT</v>
      </c>
      <c r="D169" s="22" t="str" cm="1">
        <f t="array" ref="D169">_xlfn.SWITCH('RW predict'!C168, "C", "F", "LW","F", "RW", "F", "D", "D", "G", "G", "other")</f>
        <v>F</v>
      </c>
      <c r="E169" s="32">
        <f t="shared" si="4"/>
        <v>1783</v>
      </c>
      <c r="F169" s="35">
        <f>E169/assumptions!$B$2</f>
        <v>21.743902439024389</v>
      </c>
      <c r="G169" s="36">
        <f t="shared" si="5"/>
        <v>205</v>
      </c>
      <c r="H169" s="18">
        <f>IF(NOT(D169="G"),'RW predict'!E168,0)</f>
        <v>23</v>
      </c>
      <c r="I169" s="18">
        <f>'RW predict'!Q168</f>
        <v>40</v>
      </c>
      <c r="J169" s="18">
        <f>'RW predict'!F168</f>
        <v>23</v>
      </c>
      <c r="K169" s="18"/>
      <c r="L169" s="18"/>
      <c r="M169" s="18">
        <f>'RW predict'!P168</f>
        <v>96</v>
      </c>
      <c r="N169" s="18"/>
      <c r="O169" s="18">
        <f>'RW predict'!H168</f>
        <v>-4</v>
      </c>
      <c r="P169" s="18">
        <f>'RW predict'!I168</f>
        <v>13</v>
      </c>
      <c r="Q169" s="18">
        <f>'RW predict'!L168</f>
        <v>4</v>
      </c>
      <c r="R169" s="18">
        <f>'RW predict'!N168</f>
        <v>0</v>
      </c>
      <c r="S169" s="76">
        <f>'RW predict'!O168</f>
        <v>0</v>
      </c>
      <c r="T169" s="76">
        <f>'RW predict'!K168</f>
        <v>2</v>
      </c>
      <c r="U169" s="22">
        <f>'RW predict'!J168</f>
        <v>189</v>
      </c>
      <c r="V169" s="32">
        <f>IF(D169="G",'RW predict'!E168,0)</f>
        <v>0</v>
      </c>
      <c r="W169" s="18">
        <f>'RW predict'!R168</f>
        <v>0</v>
      </c>
      <c r="X169" s="18">
        <f>'RW predict'!T168</f>
        <v>0</v>
      </c>
      <c r="Y169" s="18">
        <f>'RW predict'!Y168</f>
        <v>0</v>
      </c>
      <c r="Z169" s="18">
        <f>'RW predict'!U168</f>
        <v>0</v>
      </c>
      <c r="AA169" s="18">
        <f>'RW predict'!W168</f>
        <v>0</v>
      </c>
      <c r="AB169" s="17"/>
      <c r="AG169" s="23"/>
      <c r="AI169" s="17"/>
      <c r="AO169" s="23"/>
    </row>
    <row r="170" spans="1:41" x14ac:dyDescent="0.3">
      <c r="A170" s="18">
        <v>167</v>
      </c>
      <c r="B170" s="18" t="str">
        <f>'RW predict'!A169</f>
        <v>Evgenii Dadonov</v>
      </c>
      <c r="C170" s="18" t="str">
        <f>'RW predict'!B169</f>
        <v>MON</v>
      </c>
      <c r="D170" s="22" t="str" cm="1">
        <f t="array" ref="D170">_xlfn.SWITCH('RW predict'!C169, "C", "F", "LW","F", "RW", "F", "D", "D", "G", "G", "other")</f>
        <v>F</v>
      </c>
      <c r="E170" s="32">
        <f t="shared" si="4"/>
        <v>1724</v>
      </c>
      <c r="F170" s="35">
        <f>E170/assumptions!$B$2</f>
        <v>21.024390243902438</v>
      </c>
      <c r="G170" s="36">
        <f t="shared" si="5"/>
        <v>223</v>
      </c>
      <c r="H170" s="18">
        <f>IF(NOT(D170="G"),'RW predict'!E169,0)</f>
        <v>24</v>
      </c>
      <c r="I170" s="18">
        <f>'RW predict'!Q169</f>
        <v>25</v>
      </c>
      <c r="J170" s="18">
        <f>'RW predict'!F169</f>
        <v>22</v>
      </c>
      <c r="K170" s="18"/>
      <c r="L170" s="18"/>
      <c r="M170" s="18">
        <f>'RW predict'!P169</f>
        <v>62</v>
      </c>
      <c r="N170" s="18"/>
      <c r="O170" s="18">
        <f>'RW predict'!H169</f>
        <v>-11</v>
      </c>
      <c r="P170" s="18">
        <f>'RW predict'!I169</f>
        <v>16</v>
      </c>
      <c r="Q170" s="18">
        <f>'RW predict'!L169</f>
        <v>6</v>
      </c>
      <c r="R170" s="18">
        <f>'RW predict'!N169</f>
        <v>0</v>
      </c>
      <c r="S170" s="76">
        <f>'RW predict'!O169</f>
        <v>0</v>
      </c>
      <c r="T170" s="76">
        <f>'RW predict'!K169</f>
        <v>5</v>
      </c>
      <c r="U170" s="22">
        <f>'RW predict'!J169</f>
        <v>182</v>
      </c>
      <c r="V170" s="32">
        <f>IF(D170="G",'RW predict'!E169,0)</f>
        <v>0</v>
      </c>
      <c r="W170" s="18">
        <f>'RW predict'!R169</f>
        <v>0</v>
      </c>
      <c r="X170" s="18">
        <f>'RW predict'!T169</f>
        <v>0</v>
      </c>
      <c r="Y170" s="18">
        <f>'RW predict'!Y169</f>
        <v>0</v>
      </c>
      <c r="Z170" s="18">
        <f>'RW predict'!U169</f>
        <v>0</v>
      </c>
      <c r="AA170" s="18">
        <f>'RW predict'!W169</f>
        <v>0</v>
      </c>
      <c r="AB170" s="17"/>
      <c r="AG170" s="23"/>
      <c r="AI170" s="17"/>
      <c r="AO170" s="23"/>
    </row>
    <row r="171" spans="1:41" x14ac:dyDescent="0.3">
      <c r="A171" s="18">
        <v>168</v>
      </c>
      <c r="B171" s="18" t="str">
        <f>'RW predict'!A170</f>
        <v>Kevin Hayes</v>
      </c>
      <c r="C171" s="18" t="str">
        <f>'RW predict'!B170</f>
        <v>PHI</v>
      </c>
      <c r="D171" s="22" t="str" cm="1">
        <f t="array" ref="D171">_xlfn.SWITCH('RW predict'!C170, "C", "F", "LW","F", "RW", "F", "D", "D", "G", "G", "other")</f>
        <v>F</v>
      </c>
      <c r="E171" s="32">
        <f t="shared" si="4"/>
        <v>1653</v>
      </c>
      <c r="F171" s="35">
        <f>E171/assumptions!$B$2</f>
        <v>20.158536585365855</v>
      </c>
      <c r="G171" s="36">
        <f t="shared" si="5"/>
        <v>243</v>
      </c>
      <c r="H171" s="18">
        <f>IF(NOT(D171="G"),'RW predict'!E170,0)</f>
        <v>17</v>
      </c>
      <c r="I171" s="18">
        <f>'RW predict'!Q170</f>
        <v>18</v>
      </c>
      <c r="J171" s="18">
        <f>'RW predict'!F170</f>
        <v>29</v>
      </c>
      <c r="K171" s="18"/>
      <c r="L171" s="18"/>
      <c r="M171" s="18">
        <f>'RW predict'!P170</f>
        <v>67</v>
      </c>
      <c r="N171" s="18"/>
      <c r="O171" s="18">
        <f>'RW predict'!H170</f>
        <v>-21</v>
      </c>
      <c r="P171" s="18">
        <f>'RW predict'!I170</f>
        <v>38</v>
      </c>
      <c r="Q171" s="18">
        <f>'RW predict'!L170</f>
        <v>4</v>
      </c>
      <c r="R171" s="18">
        <f>'RW predict'!N170</f>
        <v>1</v>
      </c>
      <c r="S171" s="76">
        <f>'RW predict'!O170</f>
        <v>2</v>
      </c>
      <c r="T171" s="76">
        <f>'RW predict'!K170</f>
        <v>3</v>
      </c>
      <c r="U171" s="22">
        <f>'RW predict'!J170</f>
        <v>178</v>
      </c>
      <c r="V171" s="32">
        <f>IF(D171="G",'RW predict'!E170,0)</f>
        <v>0</v>
      </c>
      <c r="W171" s="18">
        <f>'RW predict'!R170</f>
        <v>0</v>
      </c>
      <c r="X171" s="18">
        <f>'RW predict'!T170</f>
        <v>0</v>
      </c>
      <c r="Y171" s="18">
        <f>'RW predict'!Y170</f>
        <v>0</v>
      </c>
      <c r="Z171" s="18">
        <f>'RW predict'!U170</f>
        <v>0</v>
      </c>
      <c r="AA171" s="18">
        <f>'RW predict'!W170</f>
        <v>0</v>
      </c>
      <c r="AB171" s="17"/>
      <c r="AG171" s="23"/>
      <c r="AI171" s="17"/>
      <c r="AO171" s="23"/>
    </row>
    <row r="172" spans="1:41" x14ac:dyDescent="0.3">
      <c r="A172" s="18">
        <v>169</v>
      </c>
      <c r="B172" s="18" t="str">
        <f>'RW predict'!A171</f>
        <v>Tyson Barrie</v>
      </c>
      <c r="C172" s="18" t="str">
        <f>'RW predict'!B171</f>
        <v>EDM</v>
      </c>
      <c r="D172" s="22" t="str" cm="1">
        <f t="array" ref="D172">_xlfn.SWITCH('RW predict'!C171, "C", "F", "LW","F", "RW", "F", "D", "D", "G", "G", "other")</f>
        <v>D</v>
      </c>
      <c r="E172" s="32">
        <f t="shared" si="4"/>
        <v>1757</v>
      </c>
      <c r="F172" s="35">
        <f>E172/assumptions!$B$2</f>
        <v>21.426829268292682</v>
      </c>
      <c r="G172" s="36">
        <f t="shared" si="5"/>
        <v>212</v>
      </c>
      <c r="H172" s="18">
        <f>IF(NOT(D172="G"),'RW predict'!E171,0)</f>
        <v>8</v>
      </c>
      <c r="I172" s="18">
        <f>'RW predict'!Q171</f>
        <v>74</v>
      </c>
      <c r="J172" s="18">
        <f>'RW predict'!F171</f>
        <v>37</v>
      </c>
      <c r="K172" s="18"/>
      <c r="L172" s="18"/>
      <c r="M172" s="18">
        <f>'RW predict'!P171</f>
        <v>28</v>
      </c>
      <c r="N172" s="18"/>
      <c r="O172" s="18">
        <f>'RW predict'!H171</f>
        <v>2</v>
      </c>
      <c r="P172" s="18">
        <f>'RW predict'!I171</f>
        <v>18</v>
      </c>
      <c r="Q172" s="18">
        <f>'RW predict'!L171</f>
        <v>3</v>
      </c>
      <c r="R172" s="18">
        <f>'RW predict'!N171</f>
        <v>0</v>
      </c>
      <c r="S172" s="76">
        <f>'RW predict'!O171</f>
        <v>0</v>
      </c>
      <c r="T172" s="76">
        <f>'RW predict'!K171</f>
        <v>1</v>
      </c>
      <c r="U172" s="22">
        <f>'RW predict'!J171</f>
        <v>166</v>
      </c>
      <c r="V172" s="32">
        <f>IF(D172="G",'RW predict'!E171,0)</f>
        <v>0</v>
      </c>
      <c r="W172" s="18">
        <f>'RW predict'!R171</f>
        <v>0</v>
      </c>
      <c r="X172" s="18">
        <f>'RW predict'!T171</f>
        <v>0</v>
      </c>
      <c r="Y172" s="18">
        <f>'RW predict'!Y171</f>
        <v>0</v>
      </c>
      <c r="Z172" s="18">
        <f>'RW predict'!U171</f>
        <v>0</v>
      </c>
      <c r="AA172" s="18">
        <f>'RW predict'!W171</f>
        <v>0</v>
      </c>
      <c r="AB172" s="17"/>
      <c r="AG172" s="23"/>
      <c r="AI172" s="17"/>
      <c r="AO172" s="23"/>
    </row>
    <row r="173" spans="1:41" x14ac:dyDescent="0.3">
      <c r="A173" s="18">
        <v>170</v>
      </c>
      <c r="B173" s="18" t="str">
        <f>'RW predict'!A172</f>
        <v>Nino Niederreiter</v>
      </c>
      <c r="C173" s="18" t="str">
        <f>'RW predict'!B172</f>
        <v>NSH</v>
      </c>
      <c r="D173" s="22" t="str" cm="1">
        <f t="array" ref="D173">_xlfn.SWITCH('RW predict'!C172, "C", "F", "LW","F", "RW", "F", "D", "D", "G", "G", "other")</f>
        <v>F</v>
      </c>
      <c r="E173" s="32">
        <f t="shared" si="4"/>
        <v>1959</v>
      </c>
      <c r="F173" s="35">
        <f>E173/assumptions!$B$2</f>
        <v>23.890243902439025</v>
      </c>
      <c r="G173" s="36">
        <f t="shared" si="5"/>
        <v>173</v>
      </c>
      <c r="H173" s="18">
        <f>IF(NOT(D173="G"),'RW predict'!E172,0)</f>
        <v>24</v>
      </c>
      <c r="I173" s="18">
        <f>'RW predict'!Q172</f>
        <v>18</v>
      </c>
      <c r="J173" s="18">
        <f>'RW predict'!F172</f>
        <v>21</v>
      </c>
      <c r="K173" s="18"/>
      <c r="L173" s="18"/>
      <c r="M173" s="18">
        <f>'RW predict'!P172</f>
        <v>112</v>
      </c>
      <c r="N173" s="18"/>
      <c r="O173" s="18">
        <f>'RW predict'!H172</f>
        <v>12</v>
      </c>
      <c r="P173" s="18">
        <f>'RW predict'!I172</f>
        <v>36</v>
      </c>
      <c r="Q173" s="18">
        <f>'RW predict'!L172</f>
        <v>4</v>
      </c>
      <c r="R173" s="18">
        <f>'RW predict'!N172</f>
        <v>0</v>
      </c>
      <c r="S173" s="76">
        <f>'RW predict'!O172</f>
        <v>0</v>
      </c>
      <c r="T173" s="76">
        <f>'RW predict'!K172</f>
        <v>5</v>
      </c>
      <c r="U173" s="22">
        <f>'RW predict'!J172</f>
        <v>159</v>
      </c>
      <c r="V173" s="32">
        <f>IF(D173="G",'RW predict'!E172,0)</f>
        <v>0</v>
      </c>
      <c r="W173" s="18">
        <f>'RW predict'!R172</f>
        <v>0</v>
      </c>
      <c r="X173" s="18">
        <f>'RW predict'!T172</f>
        <v>0</v>
      </c>
      <c r="Y173" s="18">
        <f>'RW predict'!Y172</f>
        <v>0</v>
      </c>
      <c r="Z173" s="18">
        <f>'RW predict'!U172</f>
        <v>0</v>
      </c>
      <c r="AA173" s="18">
        <f>'RW predict'!W172</f>
        <v>0</v>
      </c>
      <c r="AB173" s="17"/>
      <c r="AG173" s="23"/>
      <c r="AI173" s="17"/>
      <c r="AO173" s="23"/>
    </row>
    <row r="174" spans="1:41" x14ac:dyDescent="0.3">
      <c r="A174" s="18">
        <v>171</v>
      </c>
      <c r="B174" s="18" t="str">
        <f>'RW predict'!A173</f>
        <v>Torey Krug</v>
      </c>
      <c r="C174" s="18" t="str">
        <f>'RW predict'!B173</f>
        <v>STL</v>
      </c>
      <c r="D174" s="22" t="str" cm="1">
        <f t="array" ref="D174">_xlfn.SWITCH('RW predict'!C173, "C", "F", "LW","F", "RW", "F", "D", "D", "G", "G", "other")</f>
        <v>D</v>
      </c>
      <c r="E174" s="32">
        <f t="shared" si="4"/>
        <v>2021</v>
      </c>
      <c r="F174" s="35">
        <f>E174/assumptions!$B$2</f>
        <v>24.646341463414632</v>
      </c>
      <c r="G174" s="36">
        <f t="shared" si="5"/>
        <v>162</v>
      </c>
      <c r="H174" s="18">
        <f>IF(NOT(D174="G"),'RW predict'!E173,0)</f>
        <v>9</v>
      </c>
      <c r="I174" s="18">
        <f>'RW predict'!Q173</f>
        <v>73</v>
      </c>
      <c r="J174" s="18">
        <f>'RW predict'!F173</f>
        <v>36</v>
      </c>
      <c r="K174" s="18"/>
      <c r="L174" s="18"/>
      <c r="M174" s="18">
        <f>'RW predict'!P173</f>
        <v>60</v>
      </c>
      <c r="N174" s="18"/>
      <c r="O174" s="18">
        <f>'RW predict'!H173</f>
        <v>21</v>
      </c>
      <c r="P174" s="18">
        <f>'RW predict'!I173</f>
        <v>44</v>
      </c>
      <c r="Q174" s="18">
        <f>'RW predict'!L173</f>
        <v>2</v>
      </c>
      <c r="R174" s="18">
        <f>'RW predict'!N173</f>
        <v>1</v>
      </c>
      <c r="S174" s="76">
        <f>'RW predict'!O173</f>
        <v>0</v>
      </c>
      <c r="T174" s="76">
        <f>'RW predict'!K173</f>
        <v>1</v>
      </c>
      <c r="U174" s="22">
        <f>'RW predict'!J173</f>
        <v>144</v>
      </c>
      <c r="V174" s="32">
        <f>IF(D174="G",'RW predict'!E173,0)</f>
        <v>0</v>
      </c>
      <c r="W174" s="18">
        <f>'RW predict'!R173</f>
        <v>0</v>
      </c>
      <c r="X174" s="18">
        <f>'RW predict'!T173</f>
        <v>0</v>
      </c>
      <c r="Y174" s="18">
        <f>'RW predict'!Y173</f>
        <v>0</v>
      </c>
      <c r="Z174" s="18">
        <f>'RW predict'!U173</f>
        <v>0</v>
      </c>
      <c r="AA174" s="18">
        <f>'RW predict'!W173</f>
        <v>0</v>
      </c>
      <c r="AB174" s="17"/>
      <c r="AG174" s="23"/>
      <c r="AI174" s="17"/>
      <c r="AO174" s="23"/>
    </row>
    <row r="175" spans="1:41" x14ac:dyDescent="0.3">
      <c r="A175" s="18">
        <v>172</v>
      </c>
      <c r="B175" s="18" t="str">
        <f>'RW predict'!A174</f>
        <v>Paul Stastny</v>
      </c>
      <c r="C175" s="18" t="str">
        <f>'RW predict'!B174</f>
        <v>CAR</v>
      </c>
      <c r="D175" s="22" t="str" cm="1">
        <f t="array" ref="D175">_xlfn.SWITCH('RW predict'!C174, "C", "F", "LW","F", "RW", "F", "D", "D", "G", "G", "other")</f>
        <v>F</v>
      </c>
      <c r="E175" s="32">
        <f t="shared" si="4"/>
        <v>1767</v>
      </c>
      <c r="F175" s="35">
        <f>E175/assumptions!$B$2</f>
        <v>21.548780487804876</v>
      </c>
      <c r="G175" s="36">
        <f t="shared" si="5"/>
        <v>209</v>
      </c>
      <c r="H175" s="18">
        <f>IF(NOT(D175="G"),'RW predict'!E174,0)</f>
        <v>21</v>
      </c>
      <c r="I175" s="18">
        <f>'RW predict'!Q174</f>
        <v>27</v>
      </c>
      <c r="J175" s="18">
        <f>'RW predict'!F174</f>
        <v>24</v>
      </c>
      <c r="K175" s="18"/>
      <c r="L175" s="18"/>
      <c r="M175" s="18">
        <f>'RW predict'!P174</f>
        <v>34</v>
      </c>
      <c r="N175" s="18"/>
      <c r="O175" s="18">
        <f>'RW predict'!H174</f>
        <v>11</v>
      </c>
      <c r="P175" s="18">
        <f>'RW predict'!I174</f>
        <v>20</v>
      </c>
      <c r="Q175" s="18">
        <f>'RW predict'!L174</f>
        <v>4</v>
      </c>
      <c r="R175" s="18">
        <f>'RW predict'!N174</f>
        <v>0</v>
      </c>
      <c r="S175" s="76">
        <f>'RW predict'!O174</f>
        <v>0</v>
      </c>
      <c r="T175" s="76">
        <f>'RW predict'!K174</f>
        <v>3</v>
      </c>
      <c r="U175" s="22">
        <f>'RW predict'!J174</f>
        <v>142</v>
      </c>
      <c r="V175" s="32">
        <f>IF(D175="G",'RW predict'!E174,0)</f>
        <v>0</v>
      </c>
      <c r="W175" s="18">
        <f>'RW predict'!R174</f>
        <v>0</v>
      </c>
      <c r="X175" s="18">
        <f>'RW predict'!T174</f>
        <v>0</v>
      </c>
      <c r="Y175" s="18">
        <f>'RW predict'!Y174</f>
        <v>0</v>
      </c>
      <c r="Z175" s="18">
        <f>'RW predict'!U174</f>
        <v>0</v>
      </c>
      <c r="AA175" s="18">
        <f>'RW predict'!W174</f>
        <v>0</v>
      </c>
      <c r="AB175" s="17"/>
      <c r="AG175" s="23"/>
      <c r="AI175" s="17"/>
      <c r="AO175" s="23"/>
    </row>
    <row r="176" spans="1:41" x14ac:dyDescent="0.3">
      <c r="A176" s="18">
        <v>173</v>
      </c>
      <c r="B176" s="18" t="str">
        <f>'RW predict'!A175</f>
        <v>Adrian Kempe</v>
      </c>
      <c r="C176" s="18" t="str">
        <f>'RW predict'!B175</f>
        <v>LA</v>
      </c>
      <c r="D176" s="22" t="str" cm="1">
        <f t="array" ref="D176">_xlfn.SWITCH('RW predict'!C175, "C", "F", "LW","F", "RW", "F", "D", "D", "G", "G", "other")</f>
        <v>F</v>
      </c>
      <c r="E176" s="32">
        <f t="shared" si="4"/>
        <v>1999</v>
      </c>
      <c r="F176" s="35">
        <f>E176/assumptions!$B$2</f>
        <v>24.378048780487806</v>
      </c>
      <c r="G176" s="36">
        <f t="shared" si="5"/>
        <v>168</v>
      </c>
      <c r="H176" s="18">
        <f>IF(NOT(D176="G"),'RW predict'!E175,0)</f>
        <v>27</v>
      </c>
      <c r="I176" s="18">
        <f>'RW predict'!Q175</f>
        <v>27</v>
      </c>
      <c r="J176" s="18">
        <f>'RW predict'!F175</f>
        <v>18</v>
      </c>
      <c r="K176" s="18"/>
      <c r="L176" s="18"/>
      <c r="M176" s="18">
        <f>'RW predict'!P175</f>
        <v>106</v>
      </c>
      <c r="N176" s="18"/>
      <c r="O176" s="18">
        <f>'RW predict'!H175</f>
        <v>-5</v>
      </c>
      <c r="P176" s="18">
        <f>'RW predict'!I175</f>
        <v>44</v>
      </c>
      <c r="Q176" s="18">
        <f>'RW predict'!L175</f>
        <v>4</v>
      </c>
      <c r="R176" s="18">
        <f>'RW predict'!N175</f>
        <v>1</v>
      </c>
      <c r="S176" s="76">
        <f>'RW predict'!O175</f>
        <v>1</v>
      </c>
      <c r="T176" s="76">
        <f>'RW predict'!K175</f>
        <v>5</v>
      </c>
      <c r="U176" s="22">
        <f>'RW predict'!J175</f>
        <v>231</v>
      </c>
      <c r="V176" s="32">
        <f>IF(D176="G",'RW predict'!E175,0)</f>
        <v>0</v>
      </c>
      <c r="W176" s="18">
        <f>'RW predict'!R175</f>
        <v>0</v>
      </c>
      <c r="X176" s="18">
        <f>'RW predict'!T175</f>
        <v>0</v>
      </c>
      <c r="Y176" s="18">
        <f>'RW predict'!Y175</f>
        <v>0</v>
      </c>
      <c r="Z176" s="18">
        <f>'RW predict'!U175</f>
        <v>0</v>
      </c>
      <c r="AA176" s="18">
        <f>'RW predict'!W175</f>
        <v>0</v>
      </c>
      <c r="AB176" s="17"/>
      <c r="AG176" s="23"/>
      <c r="AI176" s="17"/>
      <c r="AO176" s="23"/>
    </row>
    <row r="177" spans="1:41" x14ac:dyDescent="0.3">
      <c r="A177" s="18">
        <v>174</v>
      </c>
      <c r="B177" s="18" t="str">
        <f>'RW predict'!A176</f>
        <v>Shayne Gostisbehere</v>
      </c>
      <c r="C177" s="18" t="str">
        <f>'RW predict'!B176</f>
        <v>ARI</v>
      </c>
      <c r="D177" s="22" t="str" cm="1">
        <f t="array" ref="D177">_xlfn.SWITCH('RW predict'!C176, "C", "F", "LW","F", "RW", "F", "D", "D", "G", "G", "other")</f>
        <v>D</v>
      </c>
      <c r="E177" s="32">
        <f t="shared" si="4"/>
        <v>1669</v>
      </c>
      <c r="F177" s="35">
        <f>E177/assumptions!$B$2</f>
        <v>20.353658536585368</v>
      </c>
      <c r="G177" s="36">
        <f t="shared" si="5"/>
        <v>238</v>
      </c>
      <c r="H177" s="18">
        <f>IF(NOT(D177="G"),'RW predict'!E176,0)</f>
        <v>13</v>
      </c>
      <c r="I177" s="18">
        <f>'RW predict'!Q176</f>
        <v>105</v>
      </c>
      <c r="J177" s="18">
        <f>'RW predict'!F176</f>
        <v>32</v>
      </c>
      <c r="K177" s="18"/>
      <c r="L177" s="18"/>
      <c r="M177" s="18">
        <f>'RW predict'!P176</f>
        <v>52</v>
      </c>
      <c r="N177" s="18"/>
      <c r="O177" s="18">
        <f>'RW predict'!H176</f>
        <v>-17</v>
      </c>
      <c r="P177" s="18">
        <f>'RW predict'!I176</f>
        <v>22</v>
      </c>
      <c r="Q177" s="18">
        <f>'RW predict'!L176</f>
        <v>3</v>
      </c>
      <c r="R177" s="18">
        <f>'RW predict'!N176</f>
        <v>0</v>
      </c>
      <c r="S177" s="76">
        <f>'RW predict'!O176</f>
        <v>0</v>
      </c>
      <c r="T177" s="76">
        <f>'RW predict'!K176</f>
        <v>3</v>
      </c>
      <c r="U177" s="22">
        <f>'RW predict'!J176</f>
        <v>148</v>
      </c>
      <c r="V177" s="32">
        <f>IF(D177="G",'RW predict'!E176,0)</f>
        <v>0</v>
      </c>
      <c r="W177" s="18">
        <f>'RW predict'!R176</f>
        <v>0</v>
      </c>
      <c r="X177" s="18">
        <f>'RW predict'!T176</f>
        <v>0</v>
      </c>
      <c r="Y177" s="18">
        <f>'RW predict'!Y176</f>
        <v>0</v>
      </c>
      <c r="Z177" s="18">
        <f>'RW predict'!U176</f>
        <v>0</v>
      </c>
      <c r="AA177" s="18">
        <f>'RW predict'!W176</f>
        <v>0</v>
      </c>
      <c r="AB177" s="17"/>
      <c r="AG177" s="23"/>
      <c r="AI177" s="17"/>
      <c r="AO177" s="23"/>
    </row>
    <row r="178" spans="1:41" x14ac:dyDescent="0.3">
      <c r="A178" s="18">
        <v>175</v>
      </c>
      <c r="B178" s="18" t="str">
        <f>'RW predict'!A177</f>
        <v>Ivan Barbashev</v>
      </c>
      <c r="C178" s="18" t="str">
        <f>'RW predict'!B177</f>
        <v>STL</v>
      </c>
      <c r="D178" s="22" t="str" cm="1">
        <f t="array" ref="D178">_xlfn.SWITCH('RW predict'!C177, "C", "F", "LW","F", "RW", "F", "D", "D", "G", "G", "other")</f>
        <v>F</v>
      </c>
      <c r="E178" s="32">
        <f t="shared" si="4"/>
        <v>1748</v>
      </c>
      <c r="F178" s="35">
        <f>E178/assumptions!$B$2</f>
        <v>21.317073170731707</v>
      </c>
      <c r="G178" s="36">
        <f t="shared" si="5"/>
        <v>214</v>
      </c>
      <c r="H178" s="18">
        <f>IF(NOT(D178="G"),'RW predict'!E177,0)</f>
        <v>17</v>
      </c>
      <c r="I178" s="18">
        <f>'RW predict'!Q177</f>
        <v>27</v>
      </c>
      <c r="J178" s="18">
        <f>'RW predict'!F177</f>
        <v>27</v>
      </c>
      <c r="K178" s="18"/>
      <c r="L178" s="18"/>
      <c r="M178" s="18">
        <f>'RW predict'!P177</f>
        <v>148</v>
      </c>
      <c r="N178" s="18"/>
      <c r="O178" s="18">
        <f>'RW predict'!H177</f>
        <v>2</v>
      </c>
      <c r="P178" s="18">
        <f>'RW predict'!I177</f>
        <v>34</v>
      </c>
      <c r="Q178" s="18">
        <f>'RW predict'!L177</f>
        <v>3</v>
      </c>
      <c r="R178" s="18">
        <f>'RW predict'!N177</f>
        <v>1</v>
      </c>
      <c r="S178" s="76">
        <f>'RW predict'!O177</f>
        <v>1</v>
      </c>
      <c r="T178" s="76">
        <f>'RW predict'!K177</f>
        <v>3</v>
      </c>
      <c r="U178" s="22">
        <f>'RW predict'!J177</f>
        <v>102</v>
      </c>
      <c r="V178" s="32">
        <f>IF(D178="G",'RW predict'!E177,0)</f>
        <v>0</v>
      </c>
      <c r="W178" s="18">
        <f>'RW predict'!R177</f>
        <v>0</v>
      </c>
      <c r="X178" s="18">
        <f>'RW predict'!T177</f>
        <v>0</v>
      </c>
      <c r="Y178" s="18">
        <f>'RW predict'!Y177</f>
        <v>0</v>
      </c>
      <c r="Z178" s="18">
        <f>'RW predict'!U177</f>
        <v>0</v>
      </c>
      <c r="AA178" s="18">
        <f>'RW predict'!W177</f>
        <v>0</v>
      </c>
      <c r="AB178" s="17"/>
      <c r="AG178" s="23"/>
      <c r="AI178" s="17"/>
      <c r="AO178" s="23"/>
    </row>
    <row r="179" spans="1:41" x14ac:dyDescent="0.3">
      <c r="A179" s="18">
        <v>176</v>
      </c>
      <c r="B179" s="18" t="str">
        <f>'RW predict'!A178</f>
        <v>Thomas Chabot</v>
      </c>
      <c r="C179" s="18" t="str">
        <f>'RW predict'!B178</f>
        <v>OTT</v>
      </c>
      <c r="D179" s="22" t="str" cm="1">
        <f t="array" ref="D179">_xlfn.SWITCH('RW predict'!C178, "C", "F", "LW","F", "RW", "F", "D", "D", "G", "G", "other")</f>
        <v>D</v>
      </c>
      <c r="E179" s="32">
        <f t="shared" si="4"/>
        <v>1875</v>
      </c>
      <c r="F179" s="35">
        <f>E179/assumptions!$B$2</f>
        <v>22.865853658536587</v>
      </c>
      <c r="G179" s="36">
        <f t="shared" si="5"/>
        <v>188</v>
      </c>
      <c r="H179" s="18">
        <f>IF(NOT(D179="G"),'RW predict'!E178,0)</f>
        <v>8</v>
      </c>
      <c r="I179" s="18">
        <f>'RW predict'!Q178</f>
        <v>109</v>
      </c>
      <c r="J179" s="18">
        <f>'RW predict'!F178</f>
        <v>36</v>
      </c>
      <c r="K179" s="18"/>
      <c r="L179" s="18"/>
      <c r="M179" s="18">
        <f>'RW predict'!P178</f>
        <v>89</v>
      </c>
      <c r="N179" s="18"/>
      <c r="O179" s="18">
        <f>'RW predict'!H178</f>
        <v>-6</v>
      </c>
      <c r="P179" s="18">
        <f>'RW predict'!I178</f>
        <v>36</v>
      </c>
      <c r="Q179" s="18">
        <f>'RW predict'!L178</f>
        <v>1</v>
      </c>
      <c r="R179" s="18">
        <f>'RW predict'!N178</f>
        <v>0</v>
      </c>
      <c r="S179" s="76">
        <f>'RW predict'!O178</f>
        <v>0</v>
      </c>
      <c r="T179" s="76">
        <f>'RW predict'!K178</f>
        <v>2</v>
      </c>
      <c r="U179" s="22">
        <f>'RW predict'!J178</f>
        <v>185</v>
      </c>
      <c r="V179" s="32">
        <f>IF(D179="G",'RW predict'!E178,0)</f>
        <v>0</v>
      </c>
      <c r="W179" s="18">
        <f>'RW predict'!R178</f>
        <v>0</v>
      </c>
      <c r="X179" s="18">
        <f>'RW predict'!T178</f>
        <v>0</v>
      </c>
      <c r="Y179" s="18">
        <f>'RW predict'!Y178</f>
        <v>0</v>
      </c>
      <c r="Z179" s="18">
        <f>'RW predict'!U178</f>
        <v>0</v>
      </c>
      <c r="AA179" s="18">
        <f>'RW predict'!W178</f>
        <v>0</v>
      </c>
      <c r="AB179" s="17"/>
      <c r="AG179" s="23"/>
      <c r="AI179" s="17"/>
      <c r="AO179" s="23"/>
    </row>
    <row r="180" spans="1:41" x14ac:dyDescent="0.3">
      <c r="A180" s="18">
        <v>177</v>
      </c>
      <c r="B180" s="18" t="str">
        <f>'RW predict'!A179</f>
        <v>Jeff Carter</v>
      </c>
      <c r="C180" s="18" t="str">
        <f>'RW predict'!B179</f>
        <v>PIT</v>
      </c>
      <c r="D180" s="22" t="str" cm="1">
        <f t="array" ref="D180">_xlfn.SWITCH('RW predict'!C179, "C", "F", "LW","F", "RW", "F", "D", "D", "G", "G", "other")</f>
        <v>F</v>
      </c>
      <c r="E180" s="32">
        <f t="shared" si="4"/>
        <v>1832</v>
      </c>
      <c r="F180" s="35">
        <f>E180/assumptions!$B$2</f>
        <v>22.341463414634145</v>
      </c>
      <c r="G180" s="36">
        <f t="shared" si="5"/>
        <v>196</v>
      </c>
      <c r="H180" s="18">
        <f>IF(NOT(D180="G"),'RW predict'!E179,0)</f>
        <v>20</v>
      </c>
      <c r="I180" s="18">
        <f>'RW predict'!Q179</f>
        <v>47</v>
      </c>
      <c r="J180" s="18">
        <f>'RW predict'!F179</f>
        <v>24</v>
      </c>
      <c r="K180" s="18"/>
      <c r="L180" s="18"/>
      <c r="M180" s="18">
        <f>'RW predict'!P179</f>
        <v>90</v>
      </c>
      <c r="N180" s="18"/>
      <c r="O180" s="18">
        <f>'RW predict'!H179</f>
        <v>-7</v>
      </c>
      <c r="P180" s="18">
        <f>'RW predict'!I179</f>
        <v>38</v>
      </c>
      <c r="Q180" s="18">
        <f>'RW predict'!L179</f>
        <v>2</v>
      </c>
      <c r="R180" s="18">
        <f>'RW predict'!N179</f>
        <v>1</v>
      </c>
      <c r="S180" s="76">
        <f>'RW predict'!O179</f>
        <v>0</v>
      </c>
      <c r="T180" s="76">
        <f>'RW predict'!K179</f>
        <v>3</v>
      </c>
      <c r="U180" s="22">
        <f>'RW predict'!J179</f>
        <v>202</v>
      </c>
      <c r="V180" s="32">
        <f>IF(D180="G",'RW predict'!E179,0)</f>
        <v>0</v>
      </c>
      <c r="W180" s="18">
        <f>'RW predict'!R179</f>
        <v>0</v>
      </c>
      <c r="X180" s="18">
        <f>'RW predict'!T179</f>
        <v>0</v>
      </c>
      <c r="Y180" s="18">
        <f>'RW predict'!Y179</f>
        <v>0</v>
      </c>
      <c r="Z180" s="18">
        <f>'RW predict'!U179</f>
        <v>0</v>
      </c>
      <c r="AA180" s="18">
        <f>'RW predict'!W179</f>
        <v>0</v>
      </c>
      <c r="AB180" s="17"/>
      <c r="AG180" s="23"/>
      <c r="AI180" s="17"/>
      <c r="AO180" s="23"/>
    </row>
    <row r="181" spans="1:41" x14ac:dyDescent="0.3">
      <c r="A181" s="18">
        <v>178</v>
      </c>
      <c r="B181" s="18" t="str">
        <f>'RW predict'!A180</f>
        <v>Brandon Saad</v>
      </c>
      <c r="C181" s="18" t="str">
        <f>'RW predict'!B180</f>
        <v>STL</v>
      </c>
      <c r="D181" s="22" t="str" cm="1">
        <f t="array" ref="D181">_xlfn.SWITCH('RW predict'!C180, "C", "F", "LW","F", "RW", "F", "D", "D", "G", "G", "other")</f>
        <v>F</v>
      </c>
      <c r="E181" s="32">
        <f t="shared" si="4"/>
        <v>1711</v>
      </c>
      <c r="F181" s="35">
        <f>E181/assumptions!$B$2</f>
        <v>20.865853658536587</v>
      </c>
      <c r="G181" s="36">
        <f t="shared" si="5"/>
        <v>227</v>
      </c>
      <c r="H181" s="18">
        <f>IF(NOT(D181="G"),'RW predict'!E180,0)</f>
        <v>22</v>
      </c>
      <c r="I181" s="18">
        <f>'RW predict'!Q180</f>
        <v>19</v>
      </c>
      <c r="J181" s="18">
        <f>'RW predict'!F180</f>
        <v>22</v>
      </c>
      <c r="K181" s="18"/>
      <c r="L181" s="18"/>
      <c r="M181" s="18">
        <f>'RW predict'!P180</f>
        <v>23</v>
      </c>
      <c r="N181" s="18"/>
      <c r="O181" s="18">
        <f>'RW predict'!H180</f>
        <v>8</v>
      </c>
      <c r="P181" s="18">
        <f>'RW predict'!I180</f>
        <v>12</v>
      </c>
      <c r="Q181" s="18">
        <f>'RW predict'!L180</f>
        <v>4</v>
      </c>
      <c r="R181" s="18">
        <f>'RW predict'!N180</f>
        <v>1</v>
      </c>
      <c r="S181" s="76">
        <f>'RW predict'!O180</f>
        <v>1</v>
      </c>
      <c r="T181" s="76">
        <f>'RW predict'!K180</f>
        <v>3</v>
      </c>
      <c r="U181" s="22">
        <f>'RW predict'!J180</f>
        <v>152</v>
      </c>
      <c r="V181" s="32">
        <f>IF(D181="G",'RW predict'!E180,0)</f>
        <v>0</v>
      </c>
      <c r="W181" s="18">
        <f>'RW predict'!R180</f>
        <v>0</v>
      </c>
      <c r="X181" s="18">
        <f>'RW predict'!T180</f>
        <v>0</v>
      </c>
      <c r="Y181" s="18">
        <f>'RW predict'!Y180</f>
        <v>0</v>
      </c>
      <c r="Z181" s="18">
        <f>'RW predict'!U180</f>
        <v>0</v>
      </c>
      <c r="AA181" s="18">
        <f>'RW predict'!W180</f>
        <v>0</v>
      </c>
      <c r="AB181" s="17"/>
      <c r="AG181" s="23"/>
      <c r="AI181" s="17"/>
      <c r="AO181" s="23"/>
    </row>
    <row r="182" spans="1:41" x14ac:dyDescent="0.3">
      <c r="A182" s="18">
        <v>179</v>
      </c>
      <c r="B182" s="18" t="str">
        <f>'RW predict'!A181</f>
        <v>Justin Faulk</v>
      </c>
      <c r="C182" s="18" t="str">
        <f>'RW predict'!B181</f>
        <v>STL</v>
      </c>
      <c r="D182" s="22" t="str" cm="1">
        <f t="array" ref="D182">_xlfn.SWITCH('RW predict'!C181, "C", "F", "LW","F", "RW", "F", "D", "D", "G", "G", "other")</f>
        <v>D</v>
      </c>
      <c r="E182" s="32">
        <f t="shared" si="4"/>
        <v>2371</v>
      </c>
      <c r="F182" s="35">
        <f>E182/assumptions!$B$2</f>
        <v>28.914634146341463</v>
      </c>
      <c r="G182" s="36">
        <f t="shared" si="5"/>
        <v>101</v>
      </c>
      <c r="H182" s="18">
        <f>IF(NOT(D182="G"),'RW predict'!E181,0)</f>
        <v>14</v>
      </c>
      <c r="I182" s="18">
        <f>'RW predict'!Q181</f>
        <v>108</v>
      </c>
      <c r="J182" s="18">
        <f>'RW predict'!F181</f>
        <v>30</v>
      </c>
      <c r="K182" s="18"/>
      <c r="L182" s="18"/>
      <c r="M182" s="18">
        <f>'RW predict'!P181</f>
        <v>152</v>
      </c>
      <c r="N182" s="18"/>
      <c r="O182" s="18">
        <f>'RW predict'!H181</f>
        <v>33</v>
      </c>
      <c r="P182" s="18">
        <f>'RW predict'!I181</f>
        <v>45</v>
      </c>
      <c r="Q182" s="18">
        <f>'RW predict'!L181</f>
        <v>1</v>
      </c>
      <c r="R182" s="18">
        <f>'RW predict'!N181</f>
        <v>0</v>
      </c>
      <c r="S182" s="76">
        <f>'RW predict'!O181</f>
        <v>1</v>
      </c>
      <c r="T182" s="76">
        <f>'RW predict'!K181</f>
        <v>3</v>
      </c>
      <c r="U182" s="22">
        <f>'RW predict'!J181</f>
        <v>179</v>
      </c>
      <c r="V182" s="32">
        <f>IF(D182="G",'RW predict'!E181,0)</f>
        <v>0</v>
      </c>
      <c r="W182" s="18">
        <f>'RW predict'!R181</f>
        <v>0</v>
      </c>
      <c r="X182" s="18">
        <f>'RW predict'!T181</f>
        <v>0</v>
      </c>
      <c r="Y182" s="18">
        <f>'RW predict'!Y181</f>
        <v>0</v>
      </c>
      <c r="Z182" s="18">
        <f>'RW predict'!U181</f>
        <v>0</v>
      </c>
      <c r="AA182" s="18">
        <f>'RW predict'!W181</f>
        <v>0</v>
      </c>
      <c r="AB182" s="17"/>
      <c r="AG182" s="23"/>
      <c r="AI182" s="17"/>
      <c r="AO182" s="23"/>
    </row>
    <row r="183" spans="1:41" x14ac:dyDescent="0.3">
      <c r="A183" s="18">
        <v>180</v>
      </c>
      <c r="B183" s="18" t="str">
        <f>'RW predict'!A182</f>
        <v>Jaden Schwartz</v>
      </c>
      <c r="C183" s="18" t="str">
        <f>'RW predict'!B182</f>
        <v>SEA</v>
      </c>
      <c r="D183" s="22" t="str" cm="1">
        <f t="array" ref="D183">_xlfn.SWITCH('RW predict'!C182, "C", "F", "LW","F", "RW", "F", "D", "D", "G", "G", "other")</f>
        <v>F</v>
      </c>
      <c r="E183" s="32">
        <f t="shared" si="4"/>
        <v>1560</v>
      </c>
      <c r="F183" s="35">
        <f>E183/assumptions!$B$2</f>
        <v>19.024390243902438</v>
      </c>
      <c r="G183" s="36">
        <f t="shared" si="5"/>
        <v>274</v>
      </c>
      <c r="H183" s="18">
        <f>IF(NOT(D183="G"),'RW predict'!E182,0)</f>
        <v>16</v>
      </c>
      <c r="I183" s="18">
        <f>'RW predict'!Q182</f>
        <v>27</v>
      </c>
      <c r="J183" s="18">
        <f>'RW predict'!F182</f>
        <v>28</v>
      </c>
      <c r="K183" s="18"/>
      <c r="L183" s="18"/>
      <c r="M183" s="18">
        <f>'RW predict'!P182</f>
        <v>62</v>
      </c>
      <c r="N183" s="18"/>
      <c r="O183" s="18">
        <f>'RW predict'!H182</f>
        <v>-12</v>
      </c>
      <c r="P183" s="18">
        <f>'RW predict'!I182</f>
        <v>26</v>
      </c>
      <c r="Q183" s="18">
        <f>'RW predict'!L182</f>
        <v>3</v>
      </c>
      <c r="R183" s="18">
        <f>'RW predict'!N182</f>
        <v>0</v>
      </c>
      <c r="S183" s="76">
        <f>'RW predict'!O182</f>
        <v>0</v>
      </c>
      <c r="T183" s="76">
        <f>'RW predict'!K182</f>
        <v>2</v>
      </c>
      <c r="U183" s="22">
        <f>'RW predict'!J182</f>
        <v>158</v>
      </c>
      <c r="V183" s="32">
        <f>IF(D183="G",'RW predict'!E182,0)</f>
        <v>0</v>
      </c>
      <c r="W183" s="18">
        <f>'RW predict'!R182</f>
        <v>0</v>
      </c>
      <c r="X183" s="18">
        <f>'RW predict'!T182</f>
        <v>0</v>
      </c>
      <c r="Y183" s="18">
        <f>'RW predict'!Y182</f>
        <v>0</v>
      </c>
      <c r="Z183" s="18">
        <f>'RW predict'!U182</f>
        <v>0</v>
      </c>
      <c r="AA183" s="18">
        <f>'RW predict'!W182</f>
        <v>0</v>
      </c>
      <c r="AB183" s="17"/>
      <c r="AG183" s="23"/>
      <c r="AI183" s="17"/>
      <c r="AO183" s="23"/>
    </row>
    <row r="184" spans="1:41" x14ac:dyDescent="0.3">
      <c r="A184" s="18">
        <v>181</v>
      </c>
      <c r="B184" s="18" t="str">
        <f>'RW predict'!A183</f>
        <v>Mike Hoffman</v>
      </c>
      <c r="C184" s="18" t="str">
        <f>'RW predict'!B183</f>
        <v>MON</v>
      </c>
      <c r="D184" s="22" t="str" cm="1">
        <f t="array" ref="D184">_xlfn.SWITCH('RW predict'!C183, "C", "F", "LW","F", "RW", "F", "D", "D", "G", "G", "other")</f>
        <v>F</v>
      </c>
      <c r="E184" s="32">
        <f t="shared" si="4"/>
        <v>1581</v>
      </c>
      <c r="F184" s="35">
        <f>E184/assumptions!$B$2</f>
        <v>19.280487804878049</v>
      </c>
      <c r="G184" s="36">
        <f t="shared" si="5"/>
        <v>268</v>
      </c>
      <c r="H184" s="18">
        <f>IF(NOT(D184="G"),'RW predict'!E183,0)</f>
        <v>20</v>
      </c>
      <c r="I184" s="18">
        <f>'RW predict'!Q183</f>
        <v>27</v>
      </c>
      <c r="J184" s="18">
        <f>'RW predict'!F183</f>
        <v>24</v>
      </c>
      <c r="K184" s="18"/>
      <c r="L184" s="18"/>
      <c r="M184" s="18">
        <f>'RW predict'!P183</f>
        <v>29</v>
      </c>
      <c r="N184" s="18"/>
      <c r="O184" s="18">
        <f>'RW predict'!H183</f>
        <v>-19</v>
      </c>
      <c r="P184" s="18">
        <f>'RW predict'!I183</f>
        <v>30</v>
      </c>
      <c r="Q184" s="18">
        <f>'RW predict'!L183</f>
        <v>7</v>
      </c>
      <c r="R184" s="18">
        <f>'RW predict'!N183</f>
        <v>0</v>
      </c>
      <c r="S184" s="76">
        <f>'RW predict'!O183</f>
        <v>0</v>
      </c>
      <c r="T184" s="76">
        <f>'RW predict'!K183</f>
        <v>4</v>
      </c>
      <c r="U184" s="22">
        <f>'RW predict'!J183</f>
        <v>174</v>
      </c>
      <c r="V184" s="32">
        <f>IF(D184="G",'RW predict'!E183,0)</f>
        <v>0</v>
      </c>
      <c r="W184" s="18">
        <f>'RW predict'!R183</f>
        <v>0</v>
      </c>
      <c r="X184" s="18">
        <f>'RW predict'!T183</f>
        <v>0</v>
      </c>
      <c r="Y184" s="18">
        <f>'RW predict'!Y183</f>
        <v>0</v>
      </c>
      <c r="Z184" s="18">
        <f>'RW predict'!U183</f>
        <v>0</v>
      </c>
      <c r="AA184" s="18">
        <f>'RW predict'!W183</f>
        <v>0</v>
      </c>
      <c r="AB184" s="17"/>
      <c r="AG184" s="23"/>
      <c r="AI184" s="17"/>
      <c r="AO184" s="23"/>
    </row>
    <row r="185" spans="1:41" x14ac:dyDescent="0.3">
      <c r="A185" s="18">
        <v>182</v>
      </c>
      <c r="B185" s="18" t="str">
        <f>'RW predict'!A184</f>
        <v>Dougie Hamilton</v>
      </c>
      <c r="C185" s="18" t="str">
        <f>'RW predict'!B184</f>
        <v>NJ</v>
      </c>
      <c r="D185" s="22" t="str" cm="1">
        <f t="array" ref="D185">_xlfn.SWITCH('RW predict'!C184, "C", "F", "LW","F", "RW", "F", "D", "D", "G", "G", "other")</f>
        <v>D</v>
      </c>
      <c r="E185" s="32">
        <f t="shared" si="4"/>
        <v>1975</v>
      </c>
      <c r="F185" s="35">
        <f>E185/assumptions!$B$2</f>
        <v>24.085365853658537</v>
      </c>
      <c r="G185" s="36">
        <f t="shared" si="5"/>
        <v>172</v>
      </c>
      <c r="H185" s="18">
        <f>IF(NOT(D185="G"),'RW predict'!E184,0)</f>
        <v>13</v>
      </c>
      <c r="I185" s="18">
        <f>'RW predict'!Q184</f>
        <v>103</v>
      </c>
      <c r="J185" s="18">
        <f>'RW predict'!F184</f>
        <v>30</v>
      </c>
      <c r="K185" s="18"/>
      <c r="L185" s="18"/>
      <c r="M185" s="18">
        <f>'RW predict'!P184</f>
        <v>90</v>
      </c>
      <c r="N185" s="18"/>
      <c r="O185" s="18">
        <f>'RW predict'!H184</f>
        <v>-6</v>
      </c>
      <c r="P185" s="18">
        <f>'RW predict'!I184</f>
        <v>40</v>
      </c>
      <c r="Q185" s="18">
        <f>'RW predict'!L184</f>
        <v>2</v>
      </c>
      <c r="R185" s="18">
        <f>'RW predict'!N184</f>
        <v>0</v>
      </c>
      <c r="S185" s="76">
        <f>'RW predict'!O184</f>
        <v>0</v>
      </c>
      <c r="T185" s="76">
        <f>'RW predict'!K184</f>
        <v>2</v>
      </c>
      <c r="U185" s="22">
        <f>'RW predict'!J184</f>
        <v>242</v>
      </c>
      <c r="V185" s="32">
        <f>IF(D185="G",'RW predict'!E184,0)</f>
        <v>0</v>
      </c>
      <c r="W185" s="18">
        <f>'RW predict'!R184</f>
        <v>0</v>
      </c>
      <c r="X185" s="18">
        <f>'RW predict'!T184</f>
        <v>0</v>
      </c>
      <c r="Y185" s="18">
        <f>'RW predict'!Y184</f>
        <v>0</v>
      </c>
      <c r="Z185" s="18">
        <f>'RW predict'!U184</f>
        <v>0</v>
      </c>
      <c r="AA185" s="18">
        <f>'RW predict'!W184</f>
        <v>0</v>
      </c>
      <c r="AB185" s="17"/>
      <c r="AG185" s="23"/>
      <c r="AI185" s="17"/>
      <c r="AO185" s="23"/>
    </row>
    <row r="186" spans="1:41" x14ac:dyDescent="0.3">
      <c r="A186" s="18">
        <v>183</v>
      </c>
      <c r="B186" s="18" t="str">
        <f>'RW predict'!A185</f>
        <v>William Karlsson</v>
      </c>
      <c r="C186" s="18" t="str">
        <f>'RW predict'!B185</f>
        <v>VGK</v>
      </c>
      <c r="D186" s="22" t="str" cm="1">
        <f t="array" ref="D186">_xlfn.SWITCH('RW predict'!C185, "C", "F", "LW","F", "RW", "F", "D", "D", "G", "G", "other")</f>
        <v>F</v>
      </c>
      <c r="E186" s="32">
        <f t="shared" si="4"/>
        <v>1705</v>
      </c>
      <c r="F186" s="35">
        <f>E186/assumptions!$B$2</f>
        <v>20.792682926829269</v>
      </c>
      <c r="G186" s="36">
        <f t="shared" si="5"/>
        <v>229</v>
      </c>
      <c r="H186" s="18">
        <f>IF(NOT(D186="G"),'RW predict'!E185,0)</f>
        <v>15</v>
      </c>
      <c r="I186" s="18">
        <f>'RW predict'!Q185</f>
        <v>46</v>
      </c>
      <c r="J186" s="18">
        <f>'RW predict'!F185</f>
        <v>28</v>
      </c>
      <c r="K186" s="18"/>
      <c r="L186" s="18"/>
      <c r="M186" s="18">
        <f>'RW predict'!P185</f>
        <v>46</v>
      </c>
      <c r="N186" s="18"/>
      <c r="O186" s="18">
        <f>'RW predict'!H185</f>
        <v>8</v>
      </c>
      <c r="P186" s="18">
        <f>'RW predict'!I185</f>
        <v>12</v>
      </c>
      <c r="Q186" s="18">
        <f>'RW predict'!L185</f>
        <v>1</v>
      </c>
      <c r="R186" s="18">
        <f>'RW predict'!N185</f>
        <v>1</v>
      </c>
      <c r="S186" s="76">
        <f>'RW predict'!O185</f>
        <v>1</v>
      </c>
      <c r="T186" s="76">
        <f>'RW predict'!K185</f>
        <v>2</v>
      </c>
      <c r="U186" s="22">
        <f>'RW predict'!J185</f>
        <v>148</v>
      </c>
      <c r="V186" s="32">
        <f>IF(D186="G",'RW predict'!E185,0)</f>
        <v>0</v>
      </c>
      <c r="W186" s="18">
        <f>'RW predict'!R185</f>
        <v>0</v>
      </c>
      <c r="X186" s="18">
        <f>'RW predict'!T185</f>
        <v>0</v>
      </c>
      <c r="Y186" s="18">
        <f>'RW predict'!Y185</f>
        <v>0</v>
      </c>
      <c r="Z186" s="18">
        <f>'RW predict'!U185</f>
        <v>0</v>
      </c>
      <c r="AA186" s="18">
        <f>'RW predict'!W185</f>
        <v>0</v>
      </c>
      <c r="AB186" s="17"/>
      <c r="AG186" s="23"/>
      <c r="AI186" s="17"/>
      <c r="AO186" s="23"/>
    </row>
    <row r="187" spans="1:41" x14ac:dyDescent="0.3">
      <c r="A187" s="18">
        <v>184</v>
      </c>
      <c r="B187" s="18" t="str">
        <f>'RW predict'!A186</f>
        <v>Mason Marchment</v>
      </c>
      <c r="C187" s="18" t="str">
        <f>'RW predict'!B186</f>
        <v>DAL</v>
      </c>
      <c r="D187" s="22" t="str" cm="1">
        <f t="array" ref="D187">_xlfn.SWITCH('RW predict'!C186, "C", "F", "LW","F", "RW", "F", "D", "D", "G", "G", "other")</f>
        <v>F</v>
      </c>
      <c r="E187" s="32">
        <f t="shared" si="4"/>
        <v>1906</v>
      </c>
      <c r="F187" s="35">
        <f>E187/assumptions!$B$2</f>
        <v>23.243902439024389</v>
      </c>
      <c r="G187" s="36">
        <f t="shared" si="5"/>
        <v>179</v>
      </c>
      <c r="H187" s="18">
        <f>IF(NOT(D187="G"),'RW predict'!E186,0)</f>
        <v>15</v>
      </c>
      <c r="I187" s="18">
        <f>'RW predict'!Q186</f>
        <v>13</v>
      </c>
      <c r="J187" s="18">
        <f>'RW predict'!F186</f>
        <v>28</v>
      </c>
      <c r="K187" s="18"/>
      <c r="L187" s="18"/>
      <c r="M187" s="18">
        <f>'RW predict'!P186</f>
        <v>145</v>
      </c>
      <c r="N187" s="18"/>
      <c r="O187" s="18">
        <f>'RW predict'!H186</f>
        <v>8</v>
      </c>
      <c r="P187" s="18">
        <f>'RW predict'!I186</f>
        <v>62</v>
      </c>
      <c r="Q187" s="18">
        <f>'RW predict'!L186</f>
        <v>2</v>
      </c>
      <c r="R187" s="18">
        <f>'RW predict'!N186</f>
        <v>0</v>
      </c>
      <c r="S187" s="76">
        <f>'RW predict'!O186</f>
        <v>0</v>
      </c>
      <c r="T187" s="76">
        <f>'RW predict'!K186</f>
        <v>3</v>
      </c>
      <c r="U187" s="22">
        <f>'RW predict'!J186</f>
        <v>157</v>
      </c>
      <c r="V187" s="32">
        <f>IF(D187="G",'RW predict'!E186,0)</f>
        <v>0</v>
      </c>
      <c r="W187" s="18">
        <f>'RW predict'!R186</f>
        <v>0</v>
      </c>
      <c r="X187" s="18">
        <f>'RW predict'!T186</f>
        <v>0</v>
      </c>
      <c r="Y187" s="18">
        <f>'RW predict'!Y186</f>
        <v>0</v>
      </c>
      <c r="Z187" s="18">
        <f>'RW predict'!U186</f>
        <v>0</v>
      </c>
      <c r="AA187" s="18">
        <f>'RW predict'!W186</f>
        <v>0</v>
      </c>
      <c r="AB187" s="17"/>
      <c r="AG187" s="23"/>
      <c r="AI187" s="17"/>
      <c r="AO187" s="23"/>
    </row>
    <row r="188" spans="1:41" x14ac:dyDescent="0.3">
      <c r="A188" s="18">
        <v>185</v>
      </c>
      <c r="B188" s="18" t="str">
        <f>'RW predict'!A187</f>
        <v>Cole Sillinger</v>
      </c>
      <c r="C188" s="18" t="str">
        <f>'RW predict'!B187</f>
        <v>CLS</v>
      </c>
      <c r="D188" s="22" t="str" cm="1">
        <f t="array" ref="D188">_xlfn.SWITCH('RW predict'!C187, "C", "F", "LW","F", "RW", "F", "D", "D", "G", "G", "other")</f>
        <v>F</v>
      </c>
      <c r="E188" s="32">
        <f t="shared" si="4"/>
        <v>1671</v>
      </c>
      <c r="F188" s="35">
        <f>E188/assumptions!$B$2</f>
        <v>20.378048780487806</v>
      </c>
      <c r="G188" s="36">
        <f t="shared" si="5"/>
        <v>237</v>
      </c>
      <c r="H188" s="18">
        <f>IF(NOT(D188="G"),'RW predict'!E187,0)</f>
        <v>22</v>
      </c>
      <c r="I188" s="18">
        <f>'RW predict'!Q187</f>
        <v>48</v>
      </c>
      <c r="J188" s="18">
        <f>'RW predict'!F187</f>
        <v>21</v>
      </c>
      <c r="K188" s="18"/>
      <c r="L188" s="18"/>
      <c r="M188" s="18">
        <f>'RW predict'!P187</f>
        <v>108</v>
      </c>
      <c r="N188" s="18"/>
      <c r="O188" s="18">
        <f>'RW predict'!H187</f>
        <v>-13</v>
      </c>
      <c r="P188" s="18">
        <f>'RW predict'!I187</f>
        <v>32</v>
      </c>
      <c r="Q188" s="18">
        <f>'RW predict'!L187</f>
        <v>2</v>
      </c>
      <c r="R188" s="18">
        <f>'RW predict'!N187</f>
        <v>0</v>
      </c>
      <c r="S188" s="76">
        <f>'RW predict'!O187</f>
        <v>0</v>
      </c>
      <c r="T188" s="76">
        <f>'RW predict'!K187</f>
        <v>3</v>
      </c>
      <c r="U188" s="22">
        <f>'RW predict'!J187</f>
        <v>173</v>
      </c>
      <c r="V188" s="32">
        <f>IF(D188="G",'RW predict'!E187,0)</f>
        <v>0</v>
      </c>
      <c r="W188" s="18">
        <f>'RW predict'!R187</f>
        <v>0</v>
      </c>
      <c r="X188" s="18">
        <f>'RW predict'!T187</f>
        <v>0</v>
      </c>
      <c r="Y188" s="18">
        <f>'RW predict'!Y187</f>
        <v>0</v>
      </c>
      <c r="Z188" s="18">
        <f>'RW predict'!U187</f>
        <v>0</v>
      </c>
      <c r="AA188" s="18">
        <f>'RW predict'!W187</f>
        <v>0</v>
      </c>
      <c r="AB188" s="17"/>
      <c r="AG188" s="23"/>
      <c r="AI188" s="17"/>
      <c r="AO188" s="23"/>
    </row>
    <row r="189" spans="1:41" x14ac:dyDescent="0.3">
      <c r="A189" s="18">
        <v>186</v>
      </c>
      <c r="B189" s="18" t="str">
        <f>'RW predict'!A188</f>
        <v>Seth Jarvis</v>
      </c>
      <c r="C189" s="18" t="str">
        <f>'RW predict'!B188</f>
        <v>CAR</v>
      </c>
      <c r="D189" s="22" t="str" cm="1">
        <f t="array" ref="D189">_xlfn.SWITCH('RW predict'!C188, "C", "F", "LW","F", "RW", "F", "D", "D", "G", "G", "other")</f>
        <v>F</v>
      </c>
      <c r="E189" s="32">
        <f t="shared" si="4"/>
        <v>1709</v>
      </c>
      <c r="F189" s="35">
        <f>E189/assumptions!$B$2</f>
        <v>20.841463414634145</v>
      </c>
      <c r="G189" s="36">
        <f t="shared" si="5"/>
        <v>228</v>
      </c>
      <c r="H189" s="18">
        <f>IF(NOT(D189="G"),'RW predict'!E188,0)</f>
        <v>15</v>
      </c>
      <c r="I189" s="18">
        <f>'RW predict'!Q188</f>
        <v>22</v>
      </c>
      <c r="J189" s="18">
        <f>'RW predict'!F188</f>
        <v>27</v>
      </c>
      <c r="K189" s="18"/>
      <c r="L189" s="18"/>
      <c r="M189" s="18">
        <f>'RW predict'!P188</f>
        <v>75</v>
      </c>
      <c r="N189" s="18"/>
      <c r="O189" s="18">
        <f>'RW predict'!H188</f>
        <v>13</v>
      </c>
      <c r="P189" s="18">
        <f>'RW predict'!I188</f>
        <v>18</v>
      </c>
      <c r="Q189" s="18">
        <f>'RW predict'!L188</f>
        <v>3</v>
      </c>
      <c r="R189" s="18">
        <f>'RW predict'!N188</f>
        <v>0</v>
      </c>
      <c r="S189" s="76">
        <f>'RW predict'!O188</f>
        <v>0</v>
      </c>
      <c r="T189" s="76">
        <f>'RW predict'!K188</f>
        <v>4</v>
      </c>
      <c r="U189" s="22">
        <f>'RW predict'!J188</f>
        <v>123</v>
      </c>
      <c r="V189" s="32">
        <f>IF(D189="G",'RW predict'!E188,0)</f>
        <v>0</v>
      </c>
      <c r="W189" s="18">
        <f>'RW predict'!R188</f>
        <v>0</v>
      </c>
      <c r="X189" s="18">
        <f>'RW predict'!T188</f>
        <v>0</v>
      </c>
      <c r="Y189" s="18">
        <f>'RW predict'!Y188</f>
        <v>0</v>
      </c>
      <c r="Z189" s="18">
        <f>'RW predict'!U188</f>
        <v>0</v>
      </c>
      <c r="AA189" s="18">
        <f>'RW predict'!W188</f>
        <v>0</v>
      </c>
      <c r="AB189" s="17"/>
      <c r="AG189" s="23"/>
      <c r="AI189" s="17"/>
      <c r="AO189" s="23"/>
    </row>
    <row r="190" spans="1:41" x14ac:dyDescent="0.3">
      <c r="A190" s="18">
        <v>187</v>
      </c>
      <c r="B190" s="18" t="str">
        <f>'RW predict'!A189</f>
        <v>Alexander Barabanov</v>
      </c>
      <c r="C190" s="18" t="str">
        <f>'RW predict'!B189</f>
        <v>SJ</v>
      </c>
      <c r="D190" s="22" t="str" cm="1">
        <f t="array" ref="D190">_xlfn.SWITCH('RW predict'!C189, "C", "F", "LW","F", "RW", "F", "D", "D", "G", "G", "other")</f>
        <v>F</v>
      </c>
      <c r="E190" s="32">
        <f t="shared" si="4"/>
        <v>1456</v>
      </c>
      <c r="F190" s="35">
        <f>E190/assumptions!$B$2</f>
        <v>17.756097560975611</v>
      </c>
      <c r="G190" s="36">
        <f t="shared" si="5"/>
        <v>309</v>
      </c>
      <c r="H190" s="18">
        <f>IF(NOT(D190="G"),'RW predict'!E189,0)</f>
        <v>12</v>
      </c>
      <c r="I190" s="18">
        <f>'RW predict'!Q189</f>
        <v>40</v>
      </c>
      <c r="J190" s="18">
        <f>'RW predict'!F189</f>
        <v>30</v>
      </c>
      <c r="K190" s="18"/>
      <c r="L190" s="18"/>
      <c r="M190" s="18">
        <f>'RW predict'!P189</f>
        <v>56</v>
      </c>
      <c r="N190" s="18"/>
      <c r="O190" s="18">
        <f>'RW predict'!H189</f>
        <v>-5</v>
      </c>
      <c r="P190" s="18">
        <f>'RW predict'!I189</f>
        <v>14</v>
      </c>
      <c r="Q190" s="18">
        <f>'RW predict'!L189</f>
        <v>2</v>
      </c>
      <c r="R190" s="18">
        <f>'RW predict'!N189</f>
        <v>0</v>
      </c>
      <c r="S190" s="76">
        <f>'RW predict'!O189</f>
        <v>0</v>
      </c>
      <c r="T190" s="76">
        <f>'RW predict'!K189</f>
        <v>2</v>
      </c>
      <c r="U190" s="22">
        <f>'RW predict'!J189</f>
        <v>109</v>
      </c>
      <c r="V190" s="32">
        <f>IF(D190="G",'RW predict'!E189,0)</f>
        <v>0</v>
      </c>
      <c r="W190" s="18">
        <f>'RW predict'!R189</f>
        <v>0</v>
      </c>
      <c r="X190" s="18">
        <f>'RW predict'!T189</f>
        <v>0</v>
      </c>
      <c r="Y190" s="18">
        <f>'RW predict'!Y189</f>
        <v>0</v>
      </c>
      <c r="Z190" s="18">
        <f>'RW predict'!U189</f>
        <v>0</v>
      </c>
      <c r="AA190" s="18">
        <f>'RW predict'!W189</f>
        <v>0</v>
      </c>
      <c r="AB190" s="17"/>
      <c r="AG190" s="23"/>
      <c r="AI190" s="17"/>
      <c r="AO190" s="23"/>
    </row>
    <row r="191" spans="1:41" x14ac:dyDescent="0.3">
      <c r="A191" s="18">
        <v>188</v>
      </c>
      <c r="B191" s="18" t="str">
        <f>'RW predict'!A190</f>
        <v>Boone Jenner</v>
      </c>
      <c r="C191" s="18" t="str">
        <f>'RW predict'!B190</f>
        <v>CLS</v>
      </c>
      <c r="D191" s="22" t="str" cm="1">
        <f t="array" ref="D191">_xlfn.SWITCH('RW predict'!C190, "C", "F", "LW","F", "RW", "F", "D", "D", "G", "G", "other")</f>
        <v>F</v>
      </c>
      <c r="E191" s="32">
        <f t="shared" si="4"/>
        <v>1775</v>
      </c>
      <c r="F191" s="35">
        <f>E191/assumptions!$B$2</f>
        <v>21.646341463414632</v>
      </c>
      <c r="G191" s="36">
        <f t="shared" si="5"/>
        <v>208</v>
      </c>
      <c r="H191" s="18">
        <f>IF(NOT(D191="G"),'RW predict'!E190,0)</f>
        <v>21</v>
      </c>
      <c r="I191" s="18">
        <f>'RW predict'!Q190</f>
        <v>68</v>
      </c>
      <c r="J191" s="18">
        <f>'RW predict'!F190</f>
        <v>21</v>
      </c>
      <c r="K191" s="18"/>
      <c r="L191" s="18"/>
      <c r="M191" s="18">
        <f>'RW predict'!P190</f>
        <v>97</v>
      </c>
      <c r="N191" s="18"/>
      <c r="O191" s="18">
        <f>'RW predict'!H190</f>
        <v>-9</v>
      </c>
      <c r="P191" s="18">
        <f>'RW predict'!I190</f>
        <v>28</v>
      </c>
      <c r="Q191" s="18">
        <f>'RW predict'!L190</f>
        <v>5</v>
      </c>
      <c r="R191" s="18">
        <f>'RW predict'!N190</f>
        <v>1</v>
      </c>
      <c r="S191" s="76">
        <f>'RW predict'!O190</f>
        <v>1</v>
      </c>
      <c r="T191" s="76">
        <f>'RW predict'!K190</f>
        <v>3</v>
      </c>
      <c r="U191" s="22">
        <f>'RW predict'!J190</f>
        <v>179</v>
      </c>
      <c r="V191" s="32">
        <f>IF(D191="G",'RW predict'!E190,0)</f>
        <v>0</v>
      </c>
      <c r="W191" s="18">
        <f>'RW predict'!R190</f>
        <v>0</v>
      </c>
      <c r="X191" s="18">
        <f>'RW predict'!T190</f>
        <v>0</v>
      </c>
      <c r="Y191" s="18">
        <f>'RW predict'!Y190</f>
        <v>0</v>
      </c>
      <c r="Z191" s="18">
        <f>'RW predict'!U190</f>
        <v>0</v>
      </c>
      <c r="AA191" s="18">
        <f>'RW predict'!W190</f>
        <v>0</v>
      </c>
      <c r="AB191" s="17"/>
      <c r="AG191" s="23"/>
      <c r="AI191" s="17"/>
      <c r="AO191" s="23"/>
    </row>
    <row r="192" spans="1:41" x14ac:dyDescent="0.3">
      <c r="A192" s="18">
        <v>189</v>
      </c>
      <c r="B192" s="18" t="str">
        <f>'RW predict'!A191</f>
        <v>Charlie Coyle</v>
      </c>
      <c r="C192" s="18" t="str">
        <f>'RW predict'!B191</f>
        <v>BOS</v>
      </c>
      <c r="D192" s="22" t="str" cm="1">
        <f t="array" ref="D192">_xlfn.SWITCH('RW predict'!C191, "C", "F", "LW","F", "RW", "F", "D", "D", "G", "G", "other")</f>
        <v>F</v>
      </c>
      <c r="E192" s="32">
        <f t="shared" si="4"/>
        <v>1638</v>
      </c>
      <c r="F192" s="35">
        <f>E192/assumptions!$B$2</f>
        <v>19.975609756097562</v>
      </c>
      <c r="G192" s="36">
        <f t="shared" si="5"/>
        <v>248</v>
      </c>
      <c r="H192" s="18">
        <f>IF(NOT(D192="G"),'RW predict'!E191,0)</f>
        <v>14</v>
      </c>
      <c r="I192" s="18">
        <f>'RW predict'!Q191</f>
        <v>38</v>
      </c>
      <c r="J192" s="18">
        <f>'RW predict'!F191</f>
        <v>28</v>
      </c>
      <c r="K192" s="18"/>
      <c r="L192" s="18"/>
      <c r="M192" s="18">
        <f>'RW predict'!P191</f>
        <v>84</v>
      </c>
      <c r="N192" s="18"/>
      <c r="O192" s="18">
        <f>'RW predict'!H191</f>
        <v>-6</v>
      </c>
      <c r="P192" s="18">
        <f>'RW predict'!I191</f>
        <v>30</v>
      </c>
      <c r="Q192" s="18">
        <f>'RW predict'!L191</f>
        <v>2</v>
      </c>
      <c r="R192" s="18">
        <f>'RW predict'!N191</f>
        <v>1</v>
      </c>
      <c r="S192" s="76">
        <f>'RW predict'!O191</f>
        <v>1</v>
      </c>
      <c r="T192" s="76">
        <f>'RW predict'!K191</f>
        <v>4</v>
      </c>
      <c r="U192" s="22">
        <f>'RW predict'!J191</f>
        <v>134</v>
      </c>
      <c r="V192" s="32">
        <f>IF(D192="G",'RW predict'!E191,0)</f>
        <v>0</v>
      </c>
      <c r="W192" s="18">
        <f>'RW predict'!R191</f>
        <v>0</v>
      </c>
      <c r="X192" s="18">
        <f>'RW predict'!T191</f>
        <v>0</v>
      </c>
      <c r="Y192" s="18">
        <f>'RW predict'!Y191</f>
        <v>0</v>
      </c>
      <c r="Z192" s="18">
        <f>'RW predict'!U191</f>
        <v>0</v>
      </c>
      <c r="AA192" s="18">
        <f>'RW predict'!W191</f>
        <v>0</v>
      </c>
      <c r="AB192" s="17"/>
      <c r="AG192" s="23"/>
      <c r="AI192" s="17"/>
      <c r="AO192" s="23"/>
    </row>
    <row r="193" spans="1:41" x14ac:dyDescent="0.3">
      <c r="A193" s="18">
        <v>190</v>
      </c>
      <c r="B193" s="18" t="str">
        <f>'RW predict'!A192</f>
        <v>T.J. Oshie</v>
      </c>
      <c r="C193" s="18" t="str">
        <f>'RW predict'!B192</f>
        <v>WAS</v>
      </c>
      <c r="D193" s="22" t="str" cm="1">
        <f t="array" ref="D193">_xlfn.SWITCH('RW predict'!C192, "C", "F", "LW","F", "RW", "F", "D", "D", "G", "G", "other")</f>
        <v>F</v>
      </c>
      <c r="E193" s="32">
        <f t="shared" si="4"/>
        <v>1638</v>
      </c>
      <c r="F193" s="35">
        <f>E193/assumptions!$B$2</f>
        <v>19.975609756097562</v>
      </c>
      <c r="G193" s="36">
        <f t="shared" si="5"/>
        <v>248</v>
      </c>
      <c r="H193" s="18">
        <f>IF(NOT(D193="G"),'RW predict'!E192,0)</f>
        <v>19</v>
      </c>
      <c r="I193" s="18">
        <f>'RW predict'!Q192</f>
        <v>41</v>
      </c>
      <c r="J193" s="18">
        <f>'RW predict'!F192</f>
        <v>23</v>
      </c>
      <c r="K193" s="18"/>
      <c r="L193" s="18"/>
      <c r="M193" s="18">
        <f>'RW predict'!P192</f>
        <v>108</v>
      </c>
      <c r="N193" s="18"/>
      <c r="O193" s="18">
        <f>'RW predict'!H192</f>
        <v>-8</v>
      </c>
      <c r="P193" s="18">
        <f>'RW predict'!I192</f>
        <v>28</v>
      </c>
      <c r="Q193" s="18">
        <f>'RW predict'!L192</f>
        <v>8</v>
      </c>
      <c r="R193" s="18">
        <f>'RW predict'!N192</f>
        <v>0</v>
      </c>
      <c r="S193" s="76">
        <f>'RW predict'!O192</f>
        <v>1</v>
      </c>
      <c r="T193" s="76">
        <f>'RW predict'!K192</f>
        <v>3</v>
      </c>
      <c r="U193" s="22">
        <f>'RW predict'!J192</f>
        <v>122</v>
      </c>
      <c r="V193" s="32">
        <f>IF(D193="G",'RW predict'!E192,0)</f>
        <v>0</v>
      </c>
      <c r="W193" s="18">
        <f>'RW predict'!R192</f>
        <v>0</v>
      </c>
      <c r="X193" s="18">
        <f>'RW predict'!T192</f>
        <v>0</v>
      </c>
      <c r="Y193" s="18">
        <f>'RW predict'!Y192</f>
        <v>0</v>
      </c>
      <c r="Z193" s="18">
        <f>'RW predict'!U192</f>
        <v>0</v>
      </c>
      <c r="AA193" s="18">
        <f>'RW predict'!W192</f>
        <v>0</v>
      </c>
      <c r="AB193" s="17"/>
      <c r="AG193" s="23"/>
      <c r="AI193" s="17"/>
      <c r="AO193" s="23"/>
    </row>
    <row r="194" spans="1:41" x14ac:dyDescent="0.3">
      <c r="A194" s="18">
        <v>191</v>
      </c>
      <c r="B194" s="18" t="str">
        <f>'RW predict'!A193</f>
        <v>Jeff Petry</v>
      </c>
      <c r="C194" s="18" t="str">
        <f>'RW predict'!B193</f>
        <v>PIT</v>
      </c>
      <c r="D194" s="22" t="str" cm="1">
        <f t="array" ref="D194">_xlfn.SWITCH('RW predict'!C193, "C", "F", "LW","F", "RW", "F", "D", "D", "G", "G", "other")</f>
        <v>D</v>
      </c>
      <c r="E194" s="32">
        <f t="shared" si="4"/>
        <v>1776</v>
      </c>
      <c r="F194" s="35">
        <f>E194/assumptions!$B$2</f>
        <v>21.658536585365855</v>
      </c>
      <c r="G194" s="36">
        <f t="shared" si="5"/>
        <v>207</v>
      </c>
      <c r="H194" s="18">
        <f>IF(NOT(D194="G"),'RW predict'!E193,0)</f>
        <v>11</v>
      </c>
      <c r="I194" s="18">
        <f>'RW predict'!Q193</f>
        <v>109</v>
      </c>
      <c r="J194" s="18">
        <f>'RW predict'!F193</f>
        <v>31</v>
      </c>
      <c r="K194" s="18"/>
      <c r="L194" s="18"/>
      <c r="M194" s="18">
        <f>'RW predict'!P193</f>
        <v>144</v>
      </c>
      <c r="N194" s="18"/>
      <c r="O194" s="18">
        <f>'RW predict'!H193</f>
        <v>-8</v>
      </c>
      <c r="P194" s="18">
        <f>'RW predict'!I193</f>
        <v>34</v>
      </c>
      <c r="Q194" s="18">
        <f>'RW predict'!L193</f>
        <v>1</v>
      </c>
      <c r="R194" s="18">
        <f>'RW predict'!N193</f>
        <v>0</v>
      </c>
      <c r="S194" s="76">
        <f>'RW predict'!O193</f>
        <v>1</v>
      </c>
      <c r="T194" s="76">
        <f>'RW predict'!K193</f>
        <v>1</v>
      </c>
      <c r="U194" s="22">
        <f>'RW predict'!J193</f>
        <v>151</v>
      </c>
      <c r="V194" s="32">
        <f>IF(D194="G",'RW predict'!E193,0)</f>
        <v>0</v>
      </c>
      <c r="W194" s="18">
        <f>'RW predict'!R193</f>
        <v>0</v>
      </c>
      <c r="X194" s="18">
        <f>'RW predict'!T193</f>
        <v>0</v>
      </c>
      <c r="Y194" s="18">
        <f>'RW predict'!Y193</f>
        <v>0</v>
      </c>
      <c r="Z194" s="18">
        <f>'RW predict'!U193</f>
        <v>0</v>
      </c>
      <c r="AA194" s="18">
        <f>'RW predict'!W193</f>
        <v>0</v>
      </c>
      <c r="AB194" s="17"/>
      <c r="AG194" s="23"/>
      <c r="AI194" s="17"/>
      <c r="AO194" s="23"/>
    </row>
    <row r="195" spans="1:41" x14ac:dyDescent="0.3">
      <c r="A195" s="18">
        <v>192</v>
      </c>
      <c r="B195" s="18" t="str">
        <f>'RW predict'!A194</f>
        <v>Anthony Mantha</v>
      </c>
      <c r="C195" s="18" t="str">
        <f>'RW predict'!B194</f>
        <v>WAS</v>
      </c>
      <c r="D195" s="22" t="str" cm="1">
        <f t="array" ref="D195">_xlfn.SWITCH('RW predict'!C194, "C", "F", "LW","F", "RW", "F", "D", "D", "G", "G", "other")</f>
        <v>F</v>
      </c>
      <c r="E195" s="32">
        <f t="shared" si="4"/>
        <v>1678</v>
      </c>
      <c r="F195" s="35">
        <f>E195/assumptions!$B$2</f>
        <v>20.463414634146343</v>
      </c>
      <c r="G195" s="36">
        <f t="shared" si="5"/>
        <v>236</v>
      </c>
      <c r="H195" s="18">
        <f>IF(NOT(D195="G"),'RW predict'!E194,0)</f>
        <v>20</v>
      </c>
      <c r="I195" s="18">
        <f>'RW predict'!Q194</f>
        <v>31</v>
      </c>
      <c r="J195" s="18">
        <f>'RW predict'!F194</f>
        <v>22</v>
      </c>
      <c r="K195" s="18"/>
      <c r="L195" s="18"/>
      <c r="M195" s="18">
        <f>'RW predict'!P194</f>
        <v>74</v>
      </c>
      <c r="N195" s="18"/>
      <c r="O195" s="18">
        <f>'RW predict'!H194</f>
        <v>1</v>
      </c>
      <c r="P195" s="18">
        <f>'RW predict'!I194</f>
        <v>28</v>
      </c>
      <c r="Q195" s="18">
        <f>'RW predict'!L194</f>
        <v>3</v>
      </c>
      <c r="R195" s="18">
        <f>'RW predict'!N194</f>
        <v>0</v>
      </c>
      <c r="S195" s="76">
        <f>'RW predict'!O194</f>
        <v>0</v>
      </c>
      <c r="T195" s="76">
        <f>'RW predict'!K194</f>
        <v>2</v>
      </c>
      <c r="U195" s="22">
        <f>'RW predict'!J194</f>
        <v>164</v>
      </c>
      <c r="V195" s="32">
        <f>IF(D195="G",'RW predict'!E194,0)</f>
        <v>0</v>
      </c>
      <c r="W195" s="18">
        <f>'RW predict'!R194</f>
        <v>0</v>
      </c>
      <c r="X195" s="18">
        <f>'RW predict'!T194</f>
        <v>0</v>
      </c>
      <c r="Y195" s="18">
        <f>'RW predict'!Y194</f>
        <v>0</v>
      </c>
      <c r="Z195" s="18">
        <f>'RW predict'!U194</f>
        <v>0</v>
      </c>
      <c r="AA195" s="18">
        <f>'RW predict'!W194</f>
        <v>0</v>
      </c>
      <c r="AB195" s="17"/>
      <c r="AG195" s="23"/>
      <c r="AI195" s="17"/>
      <c r="AO195" s="23"/>
    </row>
    <row r="196" spans="1:41" x14ac:dyDescent="0.3">
      <c r="A196" s="18">
        <v>193</v>
      </c>
      <c r="B196" s="18" t="str">
        <f>'RW predict'!A195</f>
        <v>Jonathan Drouin</v>
      </c>
      <c r="C196" s="18" t="str">
        <f>'RW predict'!B195</f>
        <v>MON</v>
      </c>
      <c r="D196" s="22" t="str" cm="1">
        <f t="array" ref="D196">_xlfn.SWITCH('RW predict'!C195, "C", "F", "LW","F", "RW", "F", "D", "D", "G", "G", "other")</f>
        <v>F</v>
      </c>
      <c r="E196" s="32">
        <f t="shared" si="4"/>
        <v>1354</v>
      </c>
      <c r="F196" s="35">
        <f>E196/assumptions!$B$2</f>
        <v>16.512195121951219</v>
      </c>
      <c r="G196" s="36">
        <f t="shared" si="5"/>
        <v>342</v>
      </c>
      <c r="H196" s="18">
        <f>IF(NOT(D196="G"),'RW predict'!E195,0)</f>
        <v>10</v>
      </c>
      <c r="I196" s="18">
        <f>'RW predict'!Q195</f>
        <v>20</v>
      </c>
      <c r="J196" s="18">
        <f>'RW predict'!F195</f>
        <v>32</v>
      </c>
      <c r="K196" s="18"/>
      <c r="L196" s="18"/>
      <c r="M196" s="18">
        <f>'RW predict'!P195</f>
        <v>56</v>
      </c>
      <c r="N196" s="18"/>
      <c r="O196" s="18">
        <f>'RW predict'!H195</f>
        <v>-12</v>
      </c>
      <c r="P196" s="18">
        <f>'RW predict'!I195</f>
        <v>32</v>
      </c>
      <c r="Q196" s="18">
        <f>'RW predict'!L195</f>
        <v>1</v>
      </c>
      <c r="R196" s="18">
        <f>'RW predict'!N195</f>
        <v>0</v>
      </c>
      <c r="S196" s="76">
        <f>'RW predict'!O195</f>
        <v>0</v>
      </c>
      <c r="T196" s="76">
        <f>'RW predict'!K195</f>
        <v>0</v>
      </c>
      <c r="U196" s="22">
        <f>'RW predict'!J195</f>
        <v>111</v>
      </c>
      <c r="V196" s="32">
        <f>IF(D196="G",'RW predict'!E195,0)</f>
        <v>0</v>
      </c>
      <c r="W196" s="18">
        <f>'RW predict'!R195</f>
        <v>0</v>
      </c>
      <c r="X196" s="18">
        <f>'RW predict'!T195</f>
        <v>0</v>
      </c>
      <c r="Y196" s="18">
        <f>'RW predict'!Y195</f>
        <v>0</v>
      </c>
      <c r="Z196" s="18">
        <f>'RW predict'!U195</f>
        <v>0</v>
      </c>
      <c r="AA196" s="18">
        <f>'RW predict'!W195</f>
        <v>0</v>
      </c>
      <c r="AB196" s="17"/>
      <c r="AG196" s="23"/>
      <c r="AI196" s="17"/>
      <c r="AO196" s="23"/>
    </row>
    <row r="197" spans="1:41" x14ac:dyDescent="0.3">
      <c r="A197" s="18">
        <v>194</v>
      </c>
      <c r="B197" s="18" t="str">
        <f>'RW predict'!A196</f>
        <v>Alexander Wennberg</v>
      </c>
      <c r="C197" s="18" t="str">
        <f>'RW predict'!B196</f>
        <v>SEA</v>
      </c>
      <c r="D197" s="22" t="str" cm="1">
        <f t="array" ref="D197">_xlfn.SWITCH('RW predict'!C196, "C", "F", "LW","F", "RW", "F", "D", "D", "G", "G", "other")</f>
        <v>F</v>
      </c>
      <c r="E197" s="32">
        <f t="shared" ref="E197:E260" si="6">H197*$H$3+I197*I$3+K197*K$3+L197*L$3+M197*M$3+N197*N$3+V197*V$3+J197*J$3+O197*$O$3+P197*$P$3+Q197*$Q$3+R197*$R$3+S197*$S$3+T197*$T$3+U197*$U$3+W197*$W$3+X197*$X$3+Y197*$Y$3+Z197*$Z$3+AA197*$AA$3</f>
        <v>1348</v>
      </c>
      <c r="F197" s="35">
        <f>E197/assumptions!$B$2</f>
        <v>16.439024390243901</v>
      </c>
      <c r="G197" s="36">
        <f t="shared" ref="G197:G260" si="7">RANK(E197,$E$4:$E$1100)</f>
        <v>345</v>
      </c>
      <c r="H197" s="18">
        <f>IF(NOT(D197="G"),'RW predict'!E196,0)</f>
        <v>13</v>
      </c>
      <c r="I197" s="18">
        <f>'RW predict'!Q196</f>
        <v>43</v>
      </c>
      <c r="J197" s="18">
        <f>'RW predict'!F196</f>
        <v>28</v>
      </c>
      <c r="K197" s="18"/>
      <c r="L197" s="18"/>
      <c r="M197" s="18">
        <f>'RW predict'!P196</f>
        <v>45</v>
      </c>
      <c r="N197" s="18"/>
      <c r="O197" s="18">
        <f>'RW predict'!H196</f>
        <v>-17</v>
      </c>
      <c r="P197" s="18">
        <f>'RW predict'!I196</f>
        <v>24</v>
      </c>
      <c r="Q197" s="18">
        <f>'RW predict'!L196</f>
        <v>2</v>
      </c>
      <c r="R197" s="18">
        <f>'RW predict'!N196</f>
        <v>1</v>
      </c>
      <c r="S197" s="76">
        <f>'RW predict'!O196</f>
        <v>1</v>
      </c>
      <c r="T197" s="76">
        <f>'RW predict'!K196</f>
        <v>2</v>
      </c>
      <c r="U197" s="22">
        <f>'RW predict'!J196</f>
        <v>100</v>
      </c>
      <c r="V197" s="32">
        <f>IF(D197="G",'RW predict'!E196,0)</f>
        <v>0</v>
      </c>
      <c r="W197" s="18">
        <f>'RW predict'!R196</f>
        <v>0</v>
      </c>
      <c r="X197" s="18">
        <f>'RW predict'!T196</f>
        <v>0</v>
      </c>
      <c r="Y197" s="18">
        <f>'RW predict'!Y196</f>
        <v>0</v>
      </c>
      <c r="Z197" s="18">
        <f>'RW predict'!U196</f>
        <v>0</v>
      </c>
      <c r="AA197" s="18">
        <f>'RW predict'!W196</f>
        <v>0</v>
      </c>
      <c r="AB197" s="17"/>
      <c r="AG197" s="23"/>
      <c r="AI197" s="17"/>
      <c r="AO197" s="23"/>
    </row>
    <row r="198" spans="1:41" x14ac:dyDescent="0.3">
      <c r="A198" s="18">
        <v>195</v>
      </c>
      <c r="B198" s="18" t="str">
        <f>'RW predict'!A197</f>
        <v>Damon Severson</v>
      </c>
      <c r="C198" s="18" t="str">
        <f>'RW predict'!B197</f>
        <v>NJ</v>
      </c>
      <c r="D198" s="22" t="str" cm="1">
        <f t="array" ref="D198">_xlfn.SWITCH('RW predict'!C197, "C", "F", "LW","F", "RW", "F", "D", "D", "G", "G", "other")</f>
        <v>D</v>
      </c>
      <c r="E198" s="32">
        <f t="shared" si="6"/>
        <v>1731</v>
      </c>
      <c r="F198" s="35">
        <f>E198/assumptions!$B$2</f>
        <v>21.109756097560975</v>
      </c>
      <c r="G198" s="36">
        <f t="shared" si="7"/>
        <v>221</v>
      </c>
      <c r="H198" s="18">
        <f>IF(NOT(D198="G"),'RW predict'!E197,0)</f>
        <v>9</v>
      </c>
      <c r="I198" s="18">
        <f>'RW predict'!Q197</f>
        <v>94</v>
      </c>
      <c r="J198" s="18">
        <f>'RW predict'!F197</f>
        <v>32</v>
      </c>
      <c r="K198" s="18"/>
      <c r="L198" s="18"/>
      <c r="M198" s="18">
        <f>'RW predict'!P197</f>
        <v>91</v>
      </c>
      <c r="N198" s="18"/>
      <c r="O198" s="18">
        <f>'RW predict'!H197</f>
        <v>-11</v>
      </c>
      <c r="P198" s="18">
        <f>'RW predict'!I197</f>
        <v>55</v>
      </c>
      <c r="Q198" s="18">
        <f>'RW predict'!L197</f>
        <v>3</v>
      </c>
      <c r="R198" s="18">
        <f>'RW predict'!N197</f>
        <v>0</v>
      </c>
      <c r="S198" s="76">
        <f>'RW predict'!O197</f>
        <v>1</v>
      </c>
      <c r="T198" s="76">
        <f>'RW predict'!K197</f>
        <v>1</v>
      </c>
      <c r="U198" s="22">
        <f>'RW predict'!J197</f>
        <v>156</v>
      </c>
      <c r="V198" s="32">
        <f>IF(D198="G",'RW predict'!E197,0)</f>
        <v>0</v>
      </c>
      <c r="W198" s="18">
        <f>'RW predict'!R197</f>
        <v>0</v>
      </c>
      <c r="X198" s="18">
        <f>'RW predict'!T197</f>
        <v>0</v>
      </c>
      <c r="Y198" s="18">
        <f>'RW predict'!Y197</f>
        <v>0</v>
      </c>
      <c r="Z198" s="18">
        <f>'RW predict'!U197</f>
        <v>0</v>
      </c>
      <c r="AA198" s="18">
        <f>'RW predict'!W197</f>
        <v>0</v>
      </c>
      <c r="AB198" s="17"/>
      <c r="AG198" s="23"/>
      <c r="AI198" s="17"/>
      <c r="AO198" s="23"/>
    </row>
    <row r="199" spans="1:41" x14ac:dyDescent="0.3">
      <c r="A199" s="18">
        <v>196</v>
      </c>
      <c r="B199" s="18" t="str">
        <f>'RW predict'!A198</f>
        <v>Noah Hanifin</v>
      </c>
      <c r="C199" s="18" t="str">
        <f>'RW predict'!B198</f>
        <v>CGY</v>
      </c>
      <c r="D199" s="22" t="str" cm="1">
        <f t="array" ref="D199">_xlfn.SWITCH('RW predict'!C198, "C", "F", "LW","F", "RW", "F", "D", "D", "G", "G", "other")</f>
        <v>D</v>
      </c>
      <c r="E199" s="32">
        <f t="shared" si="6"/>
        <v>1879</v>
      </c>
      <c r="F199" s="35">
        <f>E199/assumptions!$B$2</f>
        <v>22.914634146341463</v>
      </c>
      <c r="G199" s="36">
        <f t="shared" si="7"/>
        <v>185</v>
      </c>
      <c r="H199" s="18">
        <f>IF(NOT(D199="G"),'RW predict'!E198,0)</f>
        <v>7</v>
      </c>
      <c r="I199" s="18">
        <f>'RW predict'!Q198</f>
        <v>83</v>
      </c>
      <c r="J199" s="18">
        <f>'RW predict'!F198</f>
        <v>34</v>
      </c>
      <c r="K199" s="18"/>
      <c r="L199" s="18"/>
      <c r="M199" s="18">
        <f>'RW predict'!P198</f>
        <v>64</v>
      </c>
      <c r="N199" s="18"/>
      <c r="O199" s="18">
        <f>'RW predict'!H198</f>
        <v>21</v>
      </c>
      <c r="P199" s="18">
        <f>'RW predict'!I198</f>
        <v>16</v>
      </c>
      <c r="Q199" s="18">
        <f>'RW predict'!L198</f>
        <v>1</v>
      </c>
      <c r="R199" s="18">
        <f>'RW predict'!N198</f>
        <v>0</v>
      </c>
      <c r="S199" s="76">
        <f>'RW predict'!O198</f>
        <v>1</v>
      </c>
      <c r="T199" s="76">
        <f>'RW predict'!K198</f>
        <v>1</v>
      </c>
      <c r="U199" s="22">
        <f>'RW predict'!J198</f>
        <v>163</v>
      </c>
      <c r="V199" s="32">
        <f>IF(D199="G",'RW predict'!E198,0)</f>
        <v>0</v>
      </c>
      <c r="W199" s="18">
        <f>'RW predict'!R198</f>
        <v>0</v>
      </c>
      <c r="X199" s="18">
        <f>'RW predict'!T198</f>
        <v>0</v>
      </c>
      <c r="Y199" s="18">
        <f>'RW predict'!Y198</f>
        <v>0</v>
      </c>
      <c r="Z199" s="18">
        <f>'RW predict'!U198</f>
        <v>0</v>
      </c>
      <c r="AA199" s="18">
        <f>'RW predict'!W198</f>
        <v>0</v>
      </c>
      <c r="AB199" s="17"/>
      <c r="AG199" s="23"/>
      <c r="AI199" s="17"/>
      <c r="AO199" s="23"/>
    </row>
    <row r="200" spans="1:41" x14ac:dyDescent="0.3">
      <c r="A200" s="18">
        <v>197</v>
      </c>
      <c r="B200" s="18" t="str">
        <f>'RW predict'!A199</f>
        <v>Mikael Backlund</v>
      </c>
      <c r="C200" s="18" t="str">
        <f>'RW predict'!B199</f>
        <v>CGY</v>
      </c>
      <c r="D200" s="22" t="str" cm="1">
        <f t="array" ref="D200">_xlfn.SWITCH('RW predict'!C199, "C", "F", "LW","F", "RW", "F", "D", "D", "G", "G", "other")</f>
        <v>F</v>
      </c>
      <c r="E200" s="32">
        <f t="shared" si="6"/>
        <v>1842</v>
      </c>
      <c r="F200" s="35">
        <f>E200/assumptions!$B$2</f>
        <v>22.463414634146343</v>
      </c>
      <c r="G200" s="36">
        <f t="shared" si="7"/>
        <v>193</v>
      </c>
      <c r="H200" s="18">
        <f>IF(NOT(D200="G"),'RW predict'!E199,0)</f>
        <v>13</v>
      </c>
      <c r="I200" s="18">
        <f>'RW predict'!Q199</f>
        <v>28</v>
      </c>
      <c r="J200" s="18">
        <f>'RW predict'!F199</f>
        <v>28</v>
      </c>
      <c r="K200" s="18"/>
      <c r="L200" s="18"/>
      <c r="M200" s="18">
        <f>'RW predict'!P199</f>
        <v>59</v>
      </c>
      <c r="N200" s="18"/>
      <c r="O200" s="18">
        <f>'RW predict'!H199</f>
        <v>13</v>
      </c>
      <c r="P200" s="18">
        <f>'RW predict'!I199</f>
        <v>32</v>
      </c>
      <c r="Q200" s="18">
        <f>'RW predict'!L199</f>
        <v>1</v>
      </c>
      <c r="R200" s="18">
        <f>'RW predict'!N199</f>
        <v>1</v>
      </c>
      <c r="S200" s="76">
        <f>'RW predict'!O199</f>
        <v>0</v>
      </c>
      <c r="T200" s="76">
        <f>'RW predict'!K199</f>
        <v>2</v>
      </c>
      <c r="U200" s="22">
        <f>'RW predict'!J199</f>
        <v>203</v>
      </c>
      <c r="V200" s="32">
        <f>IF(D200="G",'RW predict'!E199,0)</f>
        <v>0</v>
      </c>
      <c r="W200" s="18">
        <f>'RW predict'!R199</f>
        <v>0</v>
      </c>
      <c r="X200" s="18">
        <f>'RW predict'!T199</f>
        <v>0</v>
      </c>
      <c r="Y200" s="18">
        <f>'RW predict'!Y199</f>
        <v>0</v>
      </c>
      <c r="Z200" s="18">
        <f>'RW predict'!U199</f>
        <v>0</v>
      </c>
      <c r="AA200" s="18">
        <f>'RW predict'!W199</f>
        <v>0</v>
      </c>
      <c r="AB200" s="17"/>
      <c r="AG200" s="23"/>
      <c r="AI200" s="17"/>
      <c r="AO200" s="23"/>
    </row>
    <row r="201" spans="1:41" x14ac:dyDescent="0.3">
      <c r="A201" s="18">
        <v>198</v>
      </c>
      <c r="B201" s="18" t="str">
        <f>'RW predict'!A200</f>
        <v>Adam Henrique</v>
      </c>
      <c r="C201" s="18" t="str">
        <f>'RW predict'!B200</f>
        <v>ANH</v>
      </c>
      <c r="D201" s="22" t="str" cm="1">
        <f t="array" ref="D201">_xlfn.SWITCH('RW predict'!C200, "C", "F", "LW","F", "RW", "F", "D", "D", "G", "G", "other")</f>
        <v>F</v>
      </c>
      <c r="E201" s="32">
        <f t="shared" si="6"/>
        <v>1543</v>
      </c>
      <c r="F201" s="35">
        <f>E201/assumptions!$B$2</f>
        <v>18.817073170731707</v>
      </c>
      <c r="G201" s="36">
        <f t="shared" si="7"/>
        <v>277</v>
      </c>
      <c r="H201" s="18">
        <f>IF(NOT(D201="G"),'RW predict'!E200,0)</f>
        <v>20</v>
      </c>
      <c r="I201" s="18">
        <f>'RW predict'!Q200</f>
        <v>42</v>
      </c>
      <c r="J201" s="18">
        <f>'RW predict'!F200</f>
        <v>21</v>
      </c>
      <c r="K201" s="18"/>
      <c r="L201" s="18"/>
      <c r="M201" s="18">
        <f>'RW predict'!P200</f>
        <v>34</v>
      </c>
      <c r="N201" s="18"/>
      <c r="O201" s="18">
        <f>'RW predict'!H200</f>
        <v>-4</v>
      </c>
      <c r="P201" s="18">
        <f>'RW predict'!I200</f>
        <v>14</v>
      </c>
      <c r="Q201" s="18">
        <f>'RW predict'!L200</f>
        <v>6</v>
      </c>
      <c r="R201" s="18">
        <f>'RW predict'!N200</f>
        <v>0</v>
      </c>
      <c r="S201" s="76">
        <f>'RW predict'!O200</f>
        <v>0</v>
      </c>
      <c r="T201" s="76">
        <f>'RW predict'!K200</f>
        <v>2</v>
      </c>
      <c r="U201" s="22">
        <f>'RW predict'!J200</f>
        <v>149</v>
      </c>
      <c r="V201" s="32">
        <f>IF(D201="G",'RW predict'!E200,0)</f>
        <v>0</v>
      </c>
      <c r="W201" s="18">
        <f>'RW predict'!R200</f>
        <v>0</v>
      </c>
      <c r="X201" s="18">
        <f>'RW predict'!T200</f>
        <v>0</v>
      </c>
      <c r="Y201" s="18">
        <f>'RW predict'!Y200</f>
        <v>0</v>
      </c>
      <c r="Z201" s="18">
        <f>'RW predict'!U200</f>
        <v>0</v>
      </c>
      <c r="AA201" s="18">
        <f>'RW predict'!W200</f>
        <v>0</v>
      </c>
      <c r="AB201" s="17"/>
      <c r="AG201" s="23"/>
      <c r="AI201" s="17"/>
      <c r="AO201" s="23"/>
    </row>
    <row r="202" spans="1:41" x14ac:dyDescent="0.3">
      <c r="A202" s="18">
        <v>199</v>
      </c>
      <c r="B202" s="18" t="str">
        <f>'RW predict'!A201</f>
        <v>Dylan Cozens</v>
      </c>
      <c r="C202" s="18" t="str">
        <f>'RW predict'!B201</f>
        <v>BUF</v>
      </c>
      <c r="D202" s="22" t="str" cm="1">
        <f t="array" ref="D202">_xlfn.SWITCH('RW predict'!C201, "C", "F", "LW","F", "RW", "F", "D", "D", "G", "G", "other")</f>
        <v>F</v>
      </c>
      <c r="E202" s="32">
        <f t="shared" si="6"/>
        <v>1536</v>
      </c>
      <c r="F202" s="35">
        <f>E202/assumptions!$B$2</f>
        <v>18.73170731707317</v>
      </c>
      <c r="G202" s="36">
        <f t="shared" si="7"/>
        <v>281</v>
      </c>
      <c r="H202" s="18">
        <f>IF(NOT(D202="G"),'RW predict'!E201,0)</f>
        <v>15</v>
      </c>
      <c r="I202" s="18">
        <f>'RW predict'!Q201</f>
        <v>20</v>
      </c>
      <c r="J202" s="18">
        <f>'RW predict'!F201</f>
        <v>26</v>
      </c>
      <c r="K202" s="18"/>
      <c r="L202" s="18"/>
      <c r="M202" s="18">
        <f>'RW predict'!P201</f>
        <v>35</v>
      </c>
      <c r="N202" s="18"/>
      <c r="O202" s="18">
        <f>'RW predict'!H201</f>
        <v>-14</v>
      </c>
      <c r="P202" s="18">
        <f>'RW predict'!I201</f>
        <v>50</v>
      </c>
      <c r="Q202" s="18">
        <f>'RW predict'!L201</f>
        <v>3</v>
      </c>
      <c r="R202" s="18">
        <f>'RW predict'!N201</f>
        <v>0</v>
      </c>
      <c r="S202" s="76">
        <f>'RW predict'!O201</f>
        <v>1</v>
      </c>
      <c r="T202" s="76">
        <f>'RW predict'!K201</f>
        <v>2</v>
      </c>
      <c r="U202" s="22">
        <f>'RW predict'!J201</f>
        <v>173</v>
      </c>
      <c r="V202" s="32">
        <f>IF(D202="G",'RW predict'!E201,0)</f>
        <v>0</v>
      </c>
      <c r="W202" s="18">
        <f>'RW predict'!R201</f>
        <v>0</v>
      </c>
      <c r="X202" s="18">
        <f>'RW predict'!T201</f>
        <v>0</v>
      </c>
      <c r="Y202" s="18">
        <f>'RW predict'!Y201</f>
        <v>0</v>
      </c>
      <c r="Z202" s="18">
        <f>'RW predict'!U201</f>
        <v>0</v>
      </c>
      <c r="AA202" s="18">
        <f>'RW predict'!W201</f>
        <v>0</v>
      </c>
      <c r="AB202" s="17"/>
      <c r="AG202" s="23"/>
      <c r="AI202" s="17"/>
      <c r="AO202" s="23"/>
    </row>
    <row r="203" spans="1:41" x14ac:dyDescent="0.3">
      <c r="A203" s="18">
        <v>200</v>
      </c>
      <c r="B203" s="18" t="str">
        <f>'RW predict'!A202</f>
        <v>Kailer Yamamoto</v>
      </c>
      <c r="C203" s="18" t="str">
        <f>'RW predict'!B202</f>
        <v>EDM</v>
      </c>
      <c r="D203" s="22" t="str" cm="1">
        <f t="array" ref="D203">_xlfn.SWITCH('RW predict'!C202, "C", "F", "LW","F", "RW", "F", "D", "D", "G", "G", "other")</f>
        <v>F</v>
      </c>
      <c r="E203" s="32">
        <f t="shared" si="6"/>
        <v>1740</v>
      </c>
      <c r="F203" s="35">
        <f>E203/assumptions!$B$2</f>
        <v>21.219512195121951</v>
      </c>
      <c r="G203" s="36">
        <f t="shared" si="7"/>
        <v>217</v>
      </c>
      <c r="H203" s="18">
        <f>IF(NOT(D203="G"),'RW predict'!E202,0)</f>
        <v>19</v>
      </c>
      <c r="I203" s="18">
        <f>'RW predict'!Q202</f>
        <v>37</v>
      </c>
      <c r="J203" s="18">
        <f>'RW predict'!F202</f>
        <v>22</v>
      </c>
      <c r="K203" s="18"/>
      <c r="L203" s="18"/>
      <c r="M203" s="18">
        <f>'RW predict'!P202</f>
        <v>103</v>
      </c>
      <c r="N203" s="18"/>
      <c r="O203" s="18">
        <f>'RW predict'!H202</f>
        <v>5</v>
      </c>
      <c r="P203" s="18">
        <f>'RW predict'!I202</f>
        <v>38</v>
      </c>
      <c r="Q203" s="18">
        <f>'RW predict'!L202</f>
        <v>2</v>
      </c>
      <c r="R203" s="18">
        <f>'RW predict'!N202</f>
        <v>1</v>
      </c>
      <c r="S203" s="76">
        <f>'RW predict'!O202</f>
        <v>1</v>
      </c>
      <c r="T203" s="76">
        <f>'RW predict'!K202</f>
        <v>4</v>
      </c>
      <c r="U203" s="22">
        <f>'RW predict'!J202</f>
        <v>122</v>
      </c>
      <c r="V203" s="32">
        <f>IF(D203="G",'RW predict'!E202,0)</f>
        <v>0</v>
      </c>
      <c r="W203" s="18">
        <f>'RW predict'!R202</f>
        <v>0</v>
      </c>
      <c r="X203" s="18">
        <f>'RW predict'!T202</f>
        <v>0</v>
      </c>
      <c r="Y203" s="18">
        <f>'RW predict'!Y202</f>
        <v>0</v>
      </c>
      <c r="Z203" s="18">
        <f>'RW predict'!U202</f>
        <v>0</v>
      </c>
      <c r="AA203" s="18">
        <f>'RW predict'!W202</f>
        <v>0</v>
      </c>
      <c r="AB203" s="17"/>
      <c r="AG203" s="23"/>
      <c r="AI203" s="17"/>
      <c r="AO203" s="23"/>
    </row>
    <row r="204" spans="1:41" x14ac:dyDescent="0.3">
      <c r="A204" s="18">
        <v>201</v>
      </c>
      <c r="B204" s="18" t="str">
        <f>'RW predict'!A203</f>
        <v>Cam Fowler</v>
      </c>
      <c r="C204" s="18" t="str">
        <f>'RW predict'!B203</f>
        <v>ANH</v>
      </c>
      <c r="D204" s="22" t="str" cm="1">
        <f t="array" ref="D204">_xlfn.SWITCH('RW predict'!C203, "C", "F", "LW","F", "RW", "F", "D", "D", "G", "G", "other")</f>
        <v>D</v>
      </c>
      <c r="E204" s="32">
        <f t="shared" si="6"/>
        <v>1499</v>
      </c>
      <c r="F204" s="35">
        <f>E204/assumptions!$B$2</f>
        <v>18.280487804878049</v>
      </c>
      <c r="G204" s="36">
        <f t="shared" si="7"/>
        <v>291</v>
      </c>
      <c r="H204" s="18">
        <f>IF(NOT(D204="G"),'RW predict'!E203,0)</f>
        <v>8</v>
      </c>
      <c r="I204" s="18">
        <f>'RW predict'!Q203</f>
        <v>101</v>
      </c>
      <c r="J204" s="18">
        <f>'RW predict'!F203</f>
        <v>32</v>
      </c>
      <c r="K204" s="18"/>
      <c r="L204" s="18"/>
      <c r="M204" s="18">
        <f>'RW predict'!P203</f>
        <v>37</v>
      </c>
      <c r="N204" s="18"/>
      <c r="O204" s="18">
        <f>'RW predict'!H203</f>
        <v>-8</v>
      </c>
      <c r="P204" s="18">
        <f>'RW predict'!I203</f>
        <v>16</v>
      </c>
      <c r="Q204" s="18">
        <f>'RW predict'!L203</f>
        <v>3</v>
      </c>
      <c r="R204" s="18">
        <f>'RW predict'!N203</f>
        <v>0</v>
      </c>
      <c r="S204" s="76">
        <f>'RW predict'!O203</f>
        <v>0</v>
      </c>
      <c r="T204" s="76">
        <f>'RW predict'!K203</f>
        <v>1</v>
      </c>
      <c r="U204" s="22">
        <f>'RW predict'!J203</f>
        <v>121</v>
      </c>
      <c r="V204" s="32">
        <f>IF(D204="G",'RW predict'!E203,0)</f>
        <v>0</v>
      </c>
      <c r="W204" s="18">
        <f>'RW predict'!R203</f>
        <v>0</v>
      </c>
      <c r="X204" s="18">
        <f>'RW predict'!T203</f>
        <v>0</v>
      </c>
      <c r="Y204" s="18">
        <f>'RW predict'!Y203</f>
        <v>0</v>
      </c>
      <c r="Z204" s="18">
        <f>'RW predict'!U203</f>
        <v>0</v>
      </c>
      <c r="AA204" s="18">
        <f>'RW predict'!W203</f>
        <v>0</v>
      </c>
      <c r="AB204" s="17"/>
      <c r="AG204" s="23"/>
      <c r="AI204" s="17"/>
      <c r="AO204" s="23"/>
    </row>
    <row r="205" spans="1:41" x14ac:dyDescent="0.3">
      <c r="A205" s="18">
        <v>202</v>
      </c>
      <c r="B205" s="18" t="str">
        <f>'RW predict'!A204</f>
        <v>Jean-Gabriel Pageau</v>
      </c>
      <c r="C205" s="18" t="str">
        <f>'RW predict'!B204</f>
        <v>NYI</v>
      </c>
      <c r="D205" s="22" t="str" cm="1">
        <f t="array" ref="D205">_xlfn.SWITCH('RW predict'!C204, "C", "F", "LW","F", "RW", "F", "D", "D", "G", "G", "other")</f>
        <v>F</v>
      </c>
      <c r="E205" s="32">
        <f t="shared" si="6"/>
        <v>1817</v>
      </c>
      <c r="F205" s="35">
        <f>E205/assumptions!$B$2</f>
        <v>22.158536585365855</v>
      </c>
      <c r="G205" s="36">
        <f t="shared" si="7"/>
        <v>198</v>
      </c>
      <c r="H205" s="18">
        <f>IF(NOT(D205="G"),'RW predict'!E204,0)</f>
        <v>19</v>
      </c>
      <c r="I205" s="18">
        <f>'RW predict'!Q204</f>
        <v>56</v>
      </c>
      <c r="J205" s="18">
        <f>'RW predict'!F204</f>
        <v>21</v>
      </c>
      <c r="K205" s="18"/>
      <c r="L205" s="18"/>
      <c r="M205" s="18">
        <f>'RW predict'!P204</f>
        <v>165</v>
      </c>
      <c r="N205" s="18"/>
      <c r="O205" s="18">
        <f>'RW predict'!H204</f>
        <v>4</v>
      </c>
      <c r="P205" s="18">
        <f>'RW predict'!I204</f>
        <v>32</v>
      </c>
      <c r="Q205" s="18">
        <f>'RW predict'!L204</f>
        <v>4</v>
      </c>
      <c r="R205" s="18">
        <f>'RW predict'!N204</f>
        <v>1</v>
      </c>
      <c r="S205" s="76">
        <f>'RW predict'!O204</f>
        <v>2</v>
      </c>
      <c r="T205" s="76">
        <f>'RW predict'!K204</f>
        <v>3</v>
      </c>
      <c r="U205" s="22">
        <f>'RW predict'!J204</f>
        <v>132</v>
      </c>
      <c r="V205" s="32">
        <f>IF(D205="G",'RW predict'!E204,0)</f>
        <v>0</v>
      </c>
      <c r="W205" s="18">
        <f>'RW predict'!R204</f>
        <v>0</v>
      </c>
      <c r="X205" s="18">
        <f>'RW predict'!T204</f>
        <v>0</v>
      </c>
      <c r="Y205" s="18">
        <f>'RW predict'!Y204</f>
        <v>0</v>
      </c>
      <c r="Z205" s="18">
        <f>'RW predict'!U204</f>
        <v>0</v>
      </c>
      <c r="AA205" s="18">
        <f>'RW predict'!W204</f>
        <v>0</v>
      </c>
      <c r="AB205" s="17"/>
      <c r="AG205" s="23"/>
      <c r="AI205" s="17"/>
      <c r="AO205" s="23"/>
    </row>
    <row r="206" spans="1:41" x14ac:dyDescent="0.3">
      <c r="A206" s="18">
        <v>203</v>
      </c>
      <c r="B206" s="18" t="str">
        <f>'RW predict'!A205</f>
        <v>Jonathan Toews</v>
      </c>
      <c r="C206" s="18" t="str">
        <f>'RW predict'!B205</f>
        <v>CHI</v>
      </c>
      <c r="D206" s="22" t="str" cm="1">
        <f t="array" ref="D206">_xlfn.SWITCH('RW predict'!C205, "C", "F", "LW","F", "RW", "F", "D", "D", "G", "G", "other")</f>
        <v>F</v>
      </c>
      <c r="E206" s="32">
        <f t="shared" si="6"/>
        <v>1431</v>
      </c>
      <c r="F206" s="35">
        <f>E206/assumptions!$B$2</f>
        <v>17.451219512195124</v>
      </c>
      <c r="G206" s="36">
        <f t="shared" si="7"/>
        <v>318</v>
      </c>
      <c r="H206" s="18">
        <f>IF(NOT(D206="G"),'RW predict'!E205,0)</f>
        <v>13</v>
      </c>
      <c r="I206" s="18">
        <f>'RW predict'!Q205</f>
        <v>24</v>
      </c>
      <c r="J206" s="18">
        <f>'RW predict'!F205</f>
        <v>27</v>
      </c>
      <c r="K206" s="18"/>
      <c r="L206" s="18"/>
      <c r="M206" s="18">
        <f>'RW predict'!P205</f>
        <v>29</v>
      </c>
      <c r="N206" s="18"/>
      <c r="O206" s="18">
        <f>'RW predict'!H205</f>
        <v>-12</v>
      </c>
      <c r="P206" s="18">
        <f>'RW predict'!I205</f>
        <v>40</v>
      </c>
      <c r="Q206" s="18">
        <f>'RW predict'!L205</f>
        <v>3</v>
      </c>
      <c r="R206" s="18">
        <f>'RW predict'!N205</f>
        <v>1</v>
      </c>
      <c r="S206" s="76">
        <f>'RW predict'!O205</f>
        <v>0</v>
      </c>
      <c r="T206" s="76">
        <f>'RW predict'!K205</f>
        <v>2</v>
      </c>
      <c r="U206" s="22">
        <f>'RW predict'!J205</f>
        <v>132</v>
      </c>
      <c r="V206" s="32">
        <f>IF(D206="G",'RW predict'!E205,0)</f>
        <v>0</v>
      </c>
      <c r="W206" s="18">
        <f>'RW predict'!R205</f>
        <v>0</v>
      </c>
      <c r="X206" s="18">
        <f>'RW predict'!T205</f>
        <v>0</v>
      </c>
      <c r="Y206" s="18">
        <f>'RW predict'!Y205</f>
        <v>0</v>
      </c>
      <c r="Z206" s="18">
        <f>'RW predict'!U205</f>
        <v>0</v>
      </c>
      <c r="AA206" s="18">
        <f>'RW predict'!W205</f>
        <v>0</v>
      </c>
      <c r="AB206" s="17"/>
      <c r="AG206" s="23"/>
      <c r="AI206" s="17"/>
      <c r="AO206" s="23"/>
    </row>
    <row r="207" spans="1:41" x14ac:dyDescent="0.3">
      <c r="A207" s="18">
        <v>204</v>
      </c>
      <c r="B207" s="18" t="str">
        <f>'RW predict'!A206</f>
        <v>James van Riemsdyk</v>
      </c>
      <c r="C207" s="18" t="str">
        <f>'RW predict'!B206</f>
        <v>PHI</v>
      </c>
      <c r="D207" s="22" t="str" cm="1">
        <f t="array" ref="D207">_xlfn.SWITCH('RW predict'!C206, "C", "F", "LW","F", "RW", "F", "D", "D", "G", "G", "other")</f>
        <v>F</v>
      </c>
      <c r="E207" s="32">
        <f t="shared" si="6"/>
        <v>1474</v>
      </c>
      <c r="F207" s="35">
        <f>E207/assumptions!$B$2</f>
        <v>17.975609756097562</v>
      </c>
      <c r="G207" s="36">
        <f t="shared" si="7"/>
        <v>302</v>
      </c>
      <c r="H207" s="18">
        <f>IF(NOT(D207="G"),'RW predict'!E206,0)</f>
        <v>23</v>
      </c>
      <c r="I207" s="18">
        <f>'RW predict'!Q206</f>
        <v>23</v>
      </c>
      <c r="J207" s="18">
        <f>'RW predict'!F206</f>
        <v>17</v>
      </c>
      <c r="K207" s="18"/>
      <c r="L207" s="18"/>
      <c r="M207" s="18">
        <f>'RW predict'!P206</f>
        <v>36</v>
      </c>
      <c r="N207" s="18"/>
      <c r="O207" s="18">
        <f>'RW predict'!H206</f>
        <v>-19</v>
      </c>
      <c r="P207" s="18">
        <f>'RW predict'!I206</f>
        <v>22</v>
      </c>
      <c r="Q207" s="18">
        <f>'RW predict'!L206</f>
        <v>8</v>
      </c>
      <c r="R207" s="18">
        <f>'RW predict'!N206</f>
        <v>0</v>
      </c>
      <c r="S207" s="76">
        <f>'RW predict'!O206</f>
        <v>0</v>
      </c>
      <c r="T207" s="76">
        <f>'RW predict'!K206</f>
        <v>3</v>
      </c>
      <c r="U207" s="22">
        <f>'RW predict'!J206</f>
        <v>188</v>
      </c>
      <c r="V207" s="32">
        <f>IF(D207="G",'RW predict'!E206,0)</f>
        <v>0</v>
      </c>
      <c r="W207" s="18">
        <f>'RW predict'!R206</f>
        <v>0</v>
      </c>
      <c r="X207" s="18">
        <f>'RW predict'!T206</f>
        <v>0</v>
      </c>
      <c r="Y207" s="18">
        <f>'RW predict'!Y206</f>
        <v>0</v>
      </c>
      <c r="Z207" s="18">
        <f>'RW predict'!U206</f>
        <v>0</v>
      </c>
      <c r="AA207" s="18">
        <f>'RW predict'!W206</f>
        <v>0</v>
      </c>
      <c r="AB207" s="17"/>
      <c r="AG207" s="23"/>
      <c r="AI207" s="17"/>
      <c r="AO207" s="23"/>
    </row>
    <row r="208" spans="1:41" x14ac:dyDescent="0.3">
      <c r="A208" s="18">
        <v>205</v>
      </c>
      <c r="B208" s="18" t="str">
        <f>'RW predict'!A207</f>
        <v>Darnell Nurse</v>
      </c>
      <c r="C208" s="18" t="str">
        <f>'RW predict'!B207</f>
        <v>EDM</v>
      </c>
      <c r="D208" s="22" t="str" cm="1">
        <f t="array" ref="D208">_xlfn.SWITCH('RW predict'!C207, "C", "F", "LW","F", "RW", "F", "D", "D", "G", "G", "other")</f>
        <v>D</v>
      </c>
      <c r="E208" s="32">
        <f t="shared" si="6"/>
        <v>2381</v>
      </c>
      <c r="F208" s="35">
        <f>E208/assumptions!$B$2</f>
        <v>29.036585365853657</v>
      </c>
      <c r="G208" s="36">
        <f t="shared" si="7"/>
        <v>99</v>
      </c>
      <c r="H208" s="18">
        <f>IF(NOT(D208="G"),'RW predict'!E207,0)</f>
        <v>12</v>
      </c>
      <c r="I208" s="18">
        <f>'RW predict'!Q207</f>
        <v>144</v>
      </c>
      <c r="J208" s="18">
        <f>'RW predict'!F207</f>
        <v>28</v>
      </c>
      <c r="K208" s="18"/>
      <c r="L208" s="18"/>
      <c r="M208" s="18">
        <f>'RW predict'!P207</f>
        <v>203</v>
      </c>
      <c r="N208" s="18"/>
      <c r="O208" s="18">
        <f>'RW predict'!H207</f>
        <v>21</v>
      </c>
      <c r="P208" s="18">
        <f>'RW predict'!I207</f>
        <v>62</v>
      </c>
      <c r="Q208" s="18">
        <f>'RW predict'!L207</f>
        <v>1</v>
      </c>
      <c r="R208" s="18">
        <f>'RW predict'!N207</f>
        <v>1</v>
      </c>
      <c r="S208" s="76">
        <f>'RW predict'!O207</f>
        <v>1</v>
      </c>
      <c r="T208" s="76">
        <f>'RW predict'!K207</f>
        <v>1</v>
      </c>
      <c r="U208" s="22">
        <f>'RW predict'!J207</f>
        <v>217</v>
      </c>
      <c r="V208" s="32">
        <f>IF(D208="G",'RW predict'!E207,0)</f>
        <v>0</v>
      </c>
      <c r="W208" s="18">
        <f>'RW predict'!R207</f>
        <v>0</v>
      </c>
      <c r="X208" s="18">
        <f>'RW predict'!T207</f>
        <v>0</v>
      </c>
      <c r="Y208" s="18">
        <f>'RW predict'!Y207</f>
        <v>0</v>
      </c>
      <c r="Z208" s="18">
        <f>'RW predict'!U207</f>
        <v>0</v>
      </c>
      <c r="AA208" s="18">
        <f>'RW predict'!W207</f>
        <v>0</v>
      </c>
      <c r="AB208" s="17"/>
      <c r="AG208" s="23"/>
      <c r="AI208" s="17"/>
      <c r="AO208" s="23"/>
    </row>
    <row r="209" spans="1:41" x14ac:dyDescent="0.3">
      <c r="A209" s="18">
        <v>206</v>
      </c>
      <c r="B209" s="18" t="str">
        <f>'RW predict'!A208</f>
        <v>Jaccob Slavin</v>
      </c>
      <c r="C209" s="18" t="str">
        <f>'RW predict'!B208</f>
        <v>CAR</v>
      </c>
      <c r="D209" s="22" t="str" cm="1">
        <f t="array" ref="D209">_xlfn.SWITCH('RW predict'!C208, "C", "F", "LW","F", "RW", "F", "D", "D", "G", "G", "other")</f>
        <v>D</v>
      </c>
      <c r="E209" s="32">
        <f t="shared" si="6"/>
        <v>1996</v>
      </c>
      <c r="F209" s="35">
        <f>E209/assumptions!$B$2</f>
        <v>24.341463414634145</v>
      </c>
      <c r="G209" s="36">
        <f t="shared" si="7"/>
        <v>169</v>
      </c>
      <c r="H209" s="18">
        <f>IF(NOT(D209="G"),'RW predict'!E208,0)</f>
        <v>5</v>
      </c>
      <c r="I209" s="18">
        <f>'RW predict'!Q208</f>
        <v>126</v>
      </c>
      <c r="J209" s="18">
        <f>'RW predict'!F208</f>
        <v>34</v>
      </c>
      <c r="K209" s="18"/>
      <c r="L209" s="18"/>
      <c r="M209" s="18">
        <f>'RW predict'!P208</f>
        <v>49</v>
      </c>
      <c r="N209" s="18"/>
      <c r="O209" s="18">
        <f>'RW predict'!H208</f>
        <v>35</v>
      </c>
      <c r="P209" s="18">
        <f>'RW predict'!I208</f>
        <v>8</v>
      </c>
      <c r="Q209" s="18">
        <f>'RW predict'!L208</f>
        <v>1</v>
      </c>
      <c r="R209" s="18">
        <f>'RW predict'!N208</f>
        <v>0</v>
      </c>
      <c r="S209" s="76">
        <f>'RW predict'!O208</f>
        <v>2</v>
      </c>
      <c r="T209" s="76">
        <f>'RW predict'!K208</f>
        <v>0</v>
      </c>
      <c r="U209" s="22">
        <f>'RW predict'!J208</f>
        <v>158</v>
      </c>
      <c r="V209" s="32">
        <f>IF(D209="G",'RW predict'!E208,0)</f>
        <v>0</v>
      </c>
      <c r="W209" s="18">
        <f>'RW predict'!R208</f>
        <v>0</v>
      </c>
      <c r="X209" s="18">
        <f>'RW predict'!T208</f>
        <v>0</v>
      </c>
      <c r="Y209" s="18">
        <f>'RW predict'!Y208</f>
        <v>0</v>
      </c>
      <c r="Z209" s="18">
        <f>'RW predict'!U208</f>
        <v>0</v>
      </c>
      <c r="AA209" s="18">
        <f>'RW predict'!W208</f>
        <v>0</v>
      </c>
      <c r="AB209" s="17"/>
      <c r="AG209" s="23"/>
      <c r="AI209" s="17"/>
      <c r="AO209" s="23"/>
    </row>
    <row r="210" spans="1:41" x14ac:dyDescent="0.3">
      <c r="A210" s="18">
        <v>207</v>
      </c>
      <c r="B210" s="18" t="str">
        <f>'RW predict'!A209</f>
        <v>MacKenzie Weegar</v>
      </c>
      <c r="C210" s="18" t="str">
        <f>'RW predict'!B209</f>
        <v>CGY</v>
      </c>
      <c r="D210" s="22" t="str" cm="1">
        <f t="array" ref="D210">_xlfn.SWITCH('RW predict'!C209, "C", "F", "LW","F", "RW", "F", "D", "D", "G", "G", "other")</f>
        <v>D</v>
      </c>
      <c r="E210" s="32">
        <f t="shared" si="6"/>
        <v>2429</v>
      </c>
      <c r="F210" s="35">
        <f>E210/assumptions!$B$2</f>
        <v>29.621951219512194</v>
      </c>
      <c r="G210" s="36">
        <f t="shared" si="7"/>
        <v>94</v>
      </c>
      <c r="H210" s="18">
        <f>IF(NOT(D210="G"),'RW predict'!E209,0)</f>
        <v>7</v>
      </c>
      <c r="I210" s="18">
        <f>'RW predict'!Q209</f>
        <v>152</v>
      </c>
      <c r="J210" s="18">
        <f>'RW predict'!F209</f>
        <v>32</v>
      </c>
      <c r="K210" s="18"/>
      <c r="L210" s="18"/>
      <c r="M210" s="18">
        <f>'RW predict'!P209</f>
        <v>185</v>
      </c>
      <c r="N210" s="18"/>
      <c r="O210" s="18">
        <f>'RW predict'!H209</f>
        <v>33</v>
      </c>
      <c r="P210" s="18">
        <f>'RW predict'!I209</f>
        <v>77</v>
      </c>
      <c r="Q210" s="18">
        <f>'RW predict'!L209</f>
        <v>1</v>
      </c>
      <c r="R210" s="18">
        <f>'RW predict'!N209</f>
        <v>0</v>
      </c>
      <c r="S210" s="76">
        <f>'RW predict'!O209</f>
        <v>2</v>
      </c>
      <c r="T210" s="76">
        <f>'RW predict'!K209</f>
        <v>1</v>
      </c>
      <c r="U210" s="22">
        <f>'RW predict'!J209</f>
        <v>177</v>
      </c>
      <c r="V210" s="32">
        <f>IF(D210="G",'RW predict'!E209,0)</f>
        <v>0</v>
      </c>
      <c r="W210" s="18">
        <f>'RW predict'!R209</f>
        <v>0</v>
      </c>
      <c r="X210" s="18">
        <f>'RW predict'!T209</f>
        <v>0</v>
      </c>
      <c r="Y210" s="18">
        <f>'RW predict'!Y209</f>
        <v>0</v>
      </c>
      <c r="Z210" s="18">
        <f>'RW predict'!U209</f>
        <v>0</v>
      </c>
      <c r="AA210" s="18">
        <f>'RW predict'!W209</f>
        <v>0</v>
      </c>
      <c r="AB210" s="17"/>
      <c r="AG210" s="23"/>
      <c r="AI210" s="17"/>
      <c r="AO210" s="23"/>
    </row>
    <row r="211" spans="1:41" x14ac:dyDescent="0.3">
      <c r="A211" s="18">
        <v>208</v>
      </c>
      <c r="B211" s="18" t="str">
        <f>'RW predict'!A210</f>
        <v>Jake DeBrusk</v>
      </c>
      <c r="C211" s="18" t="str">
        <f>'RW predict'!B210</f>
        <v>BOS</v>
      </c>
      <c r="D211" s="22" t="str" cm="1">
        <f t="array" ref="D211">_xlfn.SWITCH('RW predict'!C210, "C", "F", "LW","F", "RW", "F", "D", "D", "G", "G", "other")</f>
        <v>F</v>
      </c>
      <c r="E211" s="32">
        <f t="shared" si="6"/>
        <v>1668</v>
      </c>
      <c r="F211" s="35">
        <f>E211/assumptions!$B$2</f>
        <v>20.341463414634145</v>
      </c>
      <c r="G211" s="36">
        <f t="shared" si="7"/>
        <v>239</v>
      </c>
      <c r="H211" s="18">
        <f>IF(NOT(D211="G"),'RW predict'!E210,0)</f>
        <v>21</v>
      </c>
      <c r="I211" s="18">
        <f>'RW predict'!Q210</f>
        <v>23</v>
      </c>
      <c r="J211" s="18">
        <f>'RW predict'!F210</f>
        <v>18</v>
      </c>
      <c r="K211" s="18"/>
      <c r="L211" s="18"/>
      <c r="M211" s="18">
        <f>'RW predict'!P210</f>
        <v>59</v>
      </c>
      <c r="N211" s="18"/>
      <c r="O211" s="18">
        <f>'RW predict'!H210</f>
        <v>5</v>
      </c>
      <c r="P211" s="18">
        <f>'RW predict'!I210</f>
        <v>10</v>
      </c>
      <c r="Q211" s="18">
        <f>'RW predict'!L210</f>
        <v>3</v>
      </c>
      <c r="R211" s="18">
        <f>'RW predict'!N210</f>
        <v>0</v>
      </c>
      <c r="S211" s="76">
        <f>'RW predict'!O210</f>
        <v>0</v>
      </c>
      <c r="T211" s="76">
        <f>'RW predict'!K210</f>
        <v>6</v>
      </c>
      <c r="U211" s="22">
        <f>'RW predict'!J210</f>
        <v>179</v>
      </c>
      <c r="V211" s="32">
        <f>IF(D211="G",'RW predict'!E210,0)</f>
        <v>0</v>
      </c>
      <c r="W211" s="18">
        <f>'RW predict'!R210</f>
        <v>0</v>
      </c>
      <c r="X211" s="18">
        <f>'RW predict'!T210</f>
        <v>0</v>
      </c>
      <c r="Y211" s="18">
        <f>'RW predict'!Y210</f>
        <v>0</v>
      </c>
      <c r="Z211" s="18">
        <f>'RW predict'!U210</f>
        <v>0</v>
      </c>
      <c r="AA211" s="18">
        <f>'RW predict'!W210</f>
        <v>0</v>
      </c>
      <c r="AB211" s="17"/>
      <c r="AG211" s="23"/>
      <c r="AI211" s="17"/>
      <c r="AO211" s="23"/>
    </row>
    <row r="212" spans="1:41" x14ac:dyDescent="0.3">
      <c r="A212" s="18">
        <v>209</v>
      </c>
      <c r="B212" s="18" t="str">
        <f>'RW predict'!A211</f>
        <v>Denis Gurianov</v>
      </c>
      <c r="C212" s="18" t="str">
        <f>'RW predict'!B211</f>
        <v>DAL</v>
      </c>
      <c r="D212" s="22" t="str" cm="1">
        <f t="array" ref="D212">_xlfn.SWITCH('RW predict'!C211, "C", "F", "LW","F", "RW", "F", "D", "D", "G", "G", "other")</f>
        <v>F</v>
      </c>
      <c r="E212" s="32">
        <f t="shared" si="6"/>
        <v>1623</v>
      </c>
      <c r="F212" s="35">
        <f>E212/assumptions!$B$2</f>
        <v>19.792682926829269</v>
      </c>
      <c r="G212" s="36">
        <f t="shared" si="7"/>
        <v>254</v>
      </c>
      <c r="H212" s="18">
        <f>IF(NOT(D212="G"),'RW predict'!E211,0)</f>
        <v>16</v>
      </c>
      <c r="I212" s="18">
        <f>'RW predict'!Q211</f>
        <v>29</v>
      </c>
      <c r="J212" s="18">
        <f>'RW predict'!F211</f>
        <v>23</v>
      </c>
      <c r="K212" s="18"/>
      <c r="L212" s="18"/>
      <c r="M212" s="18">
        <f>'RW predict'!P211</f>
        <v>75</v>
      </c>
      <c r="N212" s="18"/>
      <c r="O212" s="18">
        <f>'RW predict'!H211</f>
        <v>3</v>
      </c>
      <c r="P212" s="18">
        <f>'RW predict'!I211</f>
        <v>19</v>
      </c>
      <c r="Q212" s="18">
        <f>'RW predict'!L211</f>
        <v>4</v>
      </c>
      <c r="R212" s="18">
        <f>'RW predict'!N211</f>
        <v>0</v>
      </c>
      <c r="S212" s="76">
        <f>'RW predict'!O211</f>
        <v>0</v>
      </c>
      <c r="T212" s="76">
        <f>'RW predict'!K211</f>
        <v>3</v>
      </c>
      <c r="U212" s="22">
        <f>'RW predict'!J211</f>
        <v>164</v>
      </c>
      <c r="V212" s="32">
        <f>IF(D212="G",'RW predict'!E211,0)</f>
        <v>0</v>
      </c>
      <c r="W212" s="18">
        <f>'RW predict'!R211</f>
        <v>0</v>
      </c>
      <c r="X212" s="18">
        <f>'RW predict'!T211</f>
        <v>0</v>
      </c>
      <c r="Y212" s="18">
        <f>'RW predict'!Y211</f>
        <v>0</v>
      </c>
      <c r="Z212" s="18">
        <f>'RW predict'!U211</f>
        <v>0</v>
      </c>
      <c r="AA212" s="18">
        <f>'RW predict'!W211</f>
        <v>0</v>
      </c>
      <c r="AB212" s="17"/>
      <c r="AG212" s="23"/>
      <c r="AI212" s="17"/>
      <c r="AO212" s="23"/>
    </row>
    <row r="213" spans="1:41" x14ac:dyDescent="0.3">
      <c r="A213" s="18">
        <v>210</v>
      </c>
      <c r="B213" s="18" t="str">
        <f>'RW predict'!A212</f>
        <v>Christian Dvorak</v>
      </c>
      <c r="C213" s="18" t="str">
        <f>'RW predict'!B212</f>
        <v>MON</v>
      </c>
      <c r="D213" s="22" t="str" cm="1">
        <f t="array" ref="D213">_xlfn.SWITCH('RW predict'!C212, "C", "F", "LW","F", "RW", "F", "D", "D", "G", "G", "other")</f>
        <v>F</v>
      </c>
      <c r="E213" s="32">
        <f t="shared" si="6"/>
        <v>1385</v>
      </c>
      <c r="F213" s="35">
        <f>E213/assumptions!$B$2</f>
        <v>16.890243902439025</v>
      </c>
      <c r="G213" s="36">
        <f t="shared" si="7"/>
        <v>333</v>
      </c>
      <c r="H213" s="18">
        <f>IF(NOT(D213="G"),'RW predict'!E212,0)</f>
        <v>16</v>
      </c>
      <c r="I213" s="18">
        <f>'RW predict'!Q212</f>
        <v>58</v>
      </c>
      <c r="J213" s="18">
        <f>'RW predict'!F212</f>
        <v>23</v>
      </c>
      <c r="K213" s="18"/>
      <c r="L213" s="18"/>
      <c r="M213" s="18">
        <f>'RW predict'!P212</f>
        <v>48</v>
      </c>
      <c r="N213" s="18"/>
      <c r="O213" s="18">
        <f>'RW predict'!H212</f>
        <v>-16</v>
      </c>
      <c r="P213" s="18">
        <f>'RW predict'!I212</f>
        <v>26</v>
      </c>
      <c r="Q213" s="18">
        <f>'RW predict'!L212</f>
        <v>4</v>
      </c>
      <c r="R213" s="18">
        <f>'RW predict'!N212</f>
        <v>0</v>
      </c>
      <c r="S213" s="76">
        <f>'RW predict'!O212</f>
        <v>1</v>
      </c>
      <c r="T213" s="76">
        <f>'RW predict'!K212</f>
        <v>2</v>
      </c>
      <c r="U213" s="22">
        <f>'RW predict'!J212</f>
        <v>119</v>
      </c>
      <c r="V213" s="32">
        <f>IF(D213="G",'RW predict'!E212,0)</f>
        <v>0</v>
      </c>
      <c r="W213" s="18">
        <f>'RW predict'!R212</f>
        <v>0</v>
      </c>
      <c r="X213" s="18">
        <f>'RW predict'!T212</f>
        <v>0</v>
      </c>
      <c r="Y213" s="18">
        <f>'RW predict'!Y212</f>
        <v>0</v>
      </c>
      <c r="Z213" s="18">
        <f>'RW predict'!U212</f>
        <v>0</v>
      </c>
      <c r="AA213" s="18">
        <f>'RW predict'!W212</f>
        <v>0</v>
      </c>
      <c r="AB213" s="17"/>
      <c r="AG213" s="23"/>
      <c r="AI213" s="17"/>
      <c r="AO213" s="23"/>
    </row>
    <row r="214" spans="1:41" x14ac:dyDescent="0.3">
      <c r="A214" s="18">
        <v>211</v>
      </c>
      <c r="B214" s="18" t="str">
        <f>'RW predict'!A213</f>
        <v>Jared Spurgeon</v>
      </c>
      <c r="C214" s="18" t="str">
        <f>'RW predict'!B213</f>
        <v>MIN</v>
      </c>
      <c r="D214" s="22" t="str" cm="1">
        <f t="array" ref="D214">_xlfn.SWITCH('RW predict'!C213, "C", "F", "LW","F", "RW", "F", "D", "D", "G", "G", "other")</f>
        <v>D</v>
      </c>
      <c r="E214" s="32">
        <f t="shared" si="6"/>
        <v>1838</v>
      </c>
      <c r="F214" s="35">
        <f>E214/assumptions!$B$2</f>
        <v>22.414634146341463</v>
      </c>
      <c r="G214" s="36">
        <f t="shared" si="7"/>
        <v>195</v>
      </c>
      <c r="H214" s="18">
        <f>IF(NOT(D214="G"),'RW predict'!E213,0)</f>
        <v>10</v>
      </c>
      <c r="I214" s="18">
        <f>'RW predict'!Q213</f>
        <v>107</v>
      </c>
      <c r="J214" s="18">
        <f>'RW predict'!F213</f>
        <v>29</v>
      </c>
      <c r="K214" s="18"/>
      <c r="L214" s="18"/>
      <c r="M214" s="18">
        <f>'RW predict'!P213</f>
        <v>51</v>
      </c>
      <c r="N214" s="18"/>
      <c r="O214" s="18">
        <f>'RW predict'!H213</f>
        <v>24</v>
      </c>
      <c r="P214" s="18">
        <f>'RW predict'!I213</f>
        <v>12</v>
      </c>
      <c r="Q214" s="18">
        <f>'RW predict'!L213</f>
        <v>1</v>
      </c>
      <c r="R214" s="18">
        <f>'RW predict'!N213</f>
        <v>0</v>
      </c>
      <c r="S214" s="76">
        <f>'RW predict'!O213</f>
        <v>1</v>
      </c>
      <c r="T214" s="76">
        <f>'RW predict'!K213</f>
        <v>2</v>
      </c>
      <c r="U214" s="22">
        <f>'RW predict'!J213</f>
        <v>131</v>
      </c>
      <c r="V214" s="32">
        <f>IF(D214="G",'RW predict'!E213,0)</f>
        <v>0</v>
      </c>
      <c r="W214" s="18">
        <f>'RW predict'!R213</f>
        <v>0</v>
      </c>
      <c r="X214" s="18">
        <f>'RW predict'!T213</f>
        <v>0</v>
      </c>
      <c r="Y214" s="18">
        <f>'RW predict'!Y213</f>
        <v>0</v>
      </c>
      <c r="Z214" s="18">
        <f>'RW predict'!U213</f>
        <v>0</v>
      </c>
      <c r="AA214" s="18">
        <f>'RW predict'!W213</f>
        <v>0</v>
      </c>
      <c r="AB214" s="17"/>
      <c r="AG214" s="23"/>
      <c r="AI214" s="17"/>
      <c r="AO214" s="23"/>
    </row>
    <row r="215" spans="1:41" x14ac:dyDescent="0.3">
      <c r="A215" s="18">
        <v>212</v>
      </c>
      <c r="B215" s="18" t="str">
        <f>'RW predict'!A214</f>
        <v>Pius Suter</v>
      </c>
      <c r="C215" s="18" t="str">
        <f>'RW predict'!B214</f>
        <v>DET</v>
      </c>
      <c r="D215" s="22" t="str" cm="1">
        <f t="array" ref="D215">_xlfn.SWITCH('RW predict'!C214, "C", "F", "LW","F", "RW", "F", "D", "D", "G", "G", "other")</f>
        <v>F</v>
      </c>
      <c r="E215" s="32">
        <f t="shared" si="6"/>
        <v>1447</v>
      </c>
      <c r="F215" s="35">
        <f>E215/assumptions!$B$2</f>
        <v>17.646341463414632</v>
      </c>
      <c r="G215" s="36">
        <f t="shared" si="7"/>
        <v>312</v>
      </c>
      <c r="H215" s="18">
        <f>IF(NOT(D215="G"),'RW predict'!E214,0)</f>
        <v>16</v>
      </c>
      <c r="I215" s="18">
        <f>'RW predict'!Q214</f>
        <v>36</v>
      </c>
      <c r="J215" s="18">
        <f>'RW predict'!F214</f>
        <v>23</v>
      </c>
      <c r="K215" s="18"/>
      <c r="L215" s="18"/>
      <c r="M215" s="18">
        <f>'RW predict'!P214</f>
        <v>26</v>
      </c>
      <c r="N215" s="18"/>
      <c r="O215" s="18">
        <f>'RW predict'!H214</f>
        <v>-12</v>
      </c>
      <c r="P215" s="18">
        <f>'RW predict'!I214</f>
        <v>22</v>
      </c>
      <c r="Q215" s="18">
        <f>'RW predict'!L214</f>
        <v>0</v>
      </c>
      <c r="R215" s="18">
        <f>'RW predict'!N214</f>
        <v>1</v>
      </c>
      <c r="S215" s="76">
        <f>'RW predict'!O214</f>
        <v>1</v>
      </c>
      <c r="T215" s="76">
        <f>'RW predict'!K214</f>
        <v>3</v>
      </c>
      <c r="U215" s="22">
        <f>'RW predict'!J214</f>
        <v>169</v>
      </c>
      <c r="V215" s="32">
        <f>IF(D215="G",'RW predict'!E214,0)</f>
        <v>0</v>
      </c>
      <c r="W215" s="18">
        <f>'RW predict'!R214</f>
        <v>0</v>
      </c>
      <c r="X215" s="18">
        <f>'RW predict'!T214</f>
        <v>0</v>
      </c>
      <c r="Y215" s="18">
        <f>'RW predict'!Y214</f>
        <v>0</v>
      </c>
      <c r="Z215" s="18">
        <f>'RW predict'!U214</f>
        <v>0</v>
      </c>
      <c r="AA215" s="18">
        <f>'RW predict'!W214</f>
        <v>0</v>
      </c>
      <c r="AB215" s="17"/>
      <c r="AG215" s="23"/>
      <c r="AI215" s="17"/>
      <c r="AO215" s="23"/>
    </row>
    <row r="216" spans="1:41" x14ac:dyDescent="0.3">
      <c r="A216" s="18">
        <v>213</v>
      </c>
      <c r="B216" s="18" t="str">
        <f>'RW predict'!A215</f>
        <v>Charlie McAvoy</v>
      </c>
      <c r="C216" s="18" t="str">
        <f>'RW predict'!B215</f>
        <v>BOS</v>
      </c>
      <c r="D216" s="22" t="str" cm="1">
        <f t="array" ref="D216">_xlfn.SWITCH('RW predict'!C215, "C", "F", "LW","F", "RW", "F", "D", "D", "G", "G", "other")</f>
        <v>D</v>
      </c>
      <c r="E216" s="32">
        <f t="shared" si="6"/>
        <v>1901</v>
      </c>
      <c r="F216" s="35">
        <f>E216/assumptions!$B$2</f>
        <v>23.182926829268293</v>
      </c>
      <c r="G216" s="36">
        <f t="shared" si="7"/>
        <v>182</v>
      </c>
      <c r="H216" s="18">
        <f>IF(NOT(D216="G"),'RW predict'!E215,0)</f>
        <v>7</v>
      </c>
      <c r="I216" s="18">
        <f>'RW predict'!Q215</f>
        <v>95</v>
      </c>
      <c r="J216" s="18">
        <f>'RW predict'!F215</f>
        <v>32</v>
      </c>
      <c r="K216" s="18"/>
      <c r="L216" s="18"/>
      <c r="M216" s="18">
        <f>'RW predict'!P215</f>
        <v>94</v>
      </c>
      <c r="N216" s="18"/>
      <c r="O216" s="18">
        <f>'RW predict'!H215</f>
        <v>21</v>
      </c>
      <c r="P216" s="18">
        <f>'RW predict'!I215</f>
        <v>44</v>
      </c>
      <c r="Q216" s="18">
        <f>'RW predict'!L215</f>
        <v>2</v>
      </c>
      <c r="R216" s="18">
        <f>'RW predict'!N215</f>
        <v>0</v>
      </c>
      <c r="S216" s="76">
        <f>'RW predict'!O215</f>
        <v>1</v>
      </c>
      <c r="T216" s="76">
        <f>'RW predict'!K215</f>
        <v>2</v>
      </c>
      <c r="U216" s="22">
        <f>'RW predict'!J215</f>
        <v>115</v>
      </c>
      <c r="V216" s="32">
        <f>IF(D216="G",'RW predict'!E215,0)</f>
        <v>0</v>
      </c>
      <c r="W216" s="18">
        <f>'RW predict'!R215</f>
        <v>0</v>
      </c>
      <c r="X216" s="18">
        <f>'RW predict'!T215</f>
        <v>0</v>
      </c>
      <c r="Y216" s="18">
        <f>'RW predict'!Y215</f>
        <v>0</v>
      </c>
      <c r="Z216" s="18">
        <f>'RW predict'!U215</f>
        <v>0</v>
      </c>
      <c r="AA216" s="18">
        <f>'RW predict'!W215</f>
        <v>0</v>
      </c>
      <c r="AB216" s="17"/>
      <c r="AG216" s="23"/>
      <c r="AI216" s="17"/>
      <c r="AO216" s="23"/>
    </row>
    <row r="217" spans="1:41" x14ac:dyDescent="0.3">
      <c r="A217" s="18">
        <v>214</v>
      </c>
      <c r="B217" s="18" t="str">
        <f>'RW predict'!A216</f>
        <v>Anthony Cirelli</v>
      </c>
      <c r="C217" s="18" t="str">
        <f>'RW predict'!B216</f>
        <v>TB</v>
      </c>
      <c r="D217" s="22" t="str" cm="1">
        <f t="array" ref="D217">_xlfn.SWITCH('RW predict'!C216, "C", "F", "LW","F", "RW", "F", "D", "D", "G", "G", "other")</f>
        <v>F</v>
      </c>
      <c r="E217" s="32">
        <f t="shared" si="6"/>
        <v>1782</v>
      </c>
      <c r="F217" s="35">
        <f>E217/assumptions!$B$2</f>
        <v>21.73170731707317</v>
      </c>
      <c r="G217" s="36">
        <f t="shared" si="7"/>
        <v>206</v>
      </c>
      <c r="H217" s="18">
        <f>IF(NOT(D217="G"),'RW predict'!E216,0)</f>
        <v>13</v>
      </c>
      <c r="I217" s="18">
        <f>'RW predict'!Q216</f>
        <v>56</v>
      </c>
      <c r="J217" s="18">
        <f>'RW predict'!F216</f>
        <v>25</v>
      </c>
      <c r="K217" s="18"/>
      <c r="L217" s="18"/>
      <c r="M217" s="18">
        <f>'RW predict'!P216</f>
        <v>74</v>
      </c>
      <c r="N217" s="18"/>
      <c r="O217" s="18">
        <f>'RW predict'!H216</f>
        <v>13</v>
      </c>
      <c r="P217" s="18">
        <f>'RW predict'!I216</f>
        <v>52</v>
      </c>
      <c r="Q217" s="18">
        <f>'RW predict'!L216</f>
        <v>2</v>
      </c>
      <c r="R217" s="18">
        <f>'RW predict'!N216</f>
        <v>1</v>
      </c>
      <c r="S217" s="76">
        <f>'RW predict'!O216</f>
        <v>1</v>
      </c>
      <c r="T217" s="76">
        <f>'RW predict'!K216</f>
        <v>3</v>
      </c>
      <c r="U217" s="22">
        <f>'RW predict'!J216</f>
        <v>125</v>
      </c>
      <c r="V217" s="32">
        <f>IF(D217="G",'RW predict'!E216,0)</f>
        <v>0</v>
      </c>
      <c r="W217" s="18">
        <f>'RW predict'!R216</f>
        <v>0</v>
      </c>
      <c r="X217" s="18">
        <f>'RW predict'!T216</f>
        <v>0</v>
      </c>
      <c r="Y217" s="18">
        <f>'RW predict'!Y216</f>
        <v>0</v>
      </c>
      <c r="Z217" s="18">
        <f>'RW predict'!U216</f>
        <v>0</v>
      </c>
      <c r="AA217" s="18">
        <f>'RW predict'!W216</f>
        <v>0</v>
      </c>
      <c r="AB217" s="17"/>
      <c r="AG217" s="23"/>
      <c r="AI217" s="17"/>
      <c r="AO217" s="23"/>
    </row>
    <row r="218" spans="1:41" x14ac:dyDescent="0.3">
      <c r="A218" s="18">
        <v>215</v>
      </c>
      <c r="B218" s="18" t="str">
        <f>'RW predict'!A217</f>
        <v>Neal Pionk</v>
      </c>
      <c r="C218" s="18" t="str">
        <f>'RW predict'!B217</f>
        <v>WPG</v>
      </c>
      <c r="D218" s="22" t="str" cm="1">
        <f t="array" ref="D218">_xlfn.SWITCH('RW predict'!C217, "C", "F", "LW","F", "RW", "F", "D", "D", "G", "G", "other")</f>
        <v>D</v>
      </c>
      <c r="E218" s="32">
        <f t="shared" si="6"/>
        <v>1840</v>
      </c>
      <c r="F218" s="35">
        <f>E218/assumptions!$B$2</f>
        <v>22.439024390243901</v>
      </c>
      <c r="G218" s="36">
        <f t="shared" si="7"/>
        <v>194</v>
      </c>
      <c r="H218" s="18">
        <f>IF(NOT(D218="G"),'RW predict'!E217,0)</f>
        <v>5</v>
      </c>
      <c r="I218" s="18">
        <f>'RW predict'!Q217</f>
        <v>93</v>
      </c>
      <c r="J218" s="18">
        <f>'RW predict'!F217</f>
        <v>33</v>
      </c>
      <c r="K218" s="18"/>
      <c r="L218" s="18"/>
      <c r="M218" s="18">
        <f>'RW predict'!P217</f>
        <v>188</v>
      </c>
      <c r="N218" s="18"/>
      <c r="O218" s="18">
        <f>'RW predict'!H217</f>
        <v>6</v>
      </c>
      <c r="P218" s="18">
        <f>'RW predict'!I217</f>
        <v>44</v>
      </c>
      <c r="Q218" s="18">
        <f>'RW predict'!L217</f>
        <v>1</v>
      </c>
      <c r="R218" s="18">
        <f>'RW predict'!N217</f>
        <v>0</v>
      </c>
      <c r="S218" s="76">
        <f>'RW predict'!O217</f>
        <v>0</v>
      </c>
      <c r="T218" s="76">
        <f>'RW predict'!K217</f>
        <v>1</v>
      </c>
      <c r="U218" s="22">
        <f>'RW predict'!J217</f>
        <v>147</v>
      </c>
      <c r="V218" s="32">
        <f>IF(D218="G",'RW predict'!E217,0)</f>
        <v>0</v>
      </c>
      <c r="W218" s="18">
        <f>'RW predict'!R217</f>
        <v>0</v>
      </c>
      <c r="X218" s="18">
        <f>'RW predict'!T217</f>
        <v>0</v>
      </c>
      <c r="Y218" s="18">
        <f>'RW predict'!Y217</f>
        <v>0</v>
      </c>
      <c r="Z218" s="18">
        <f>'RW predict'!U217</f>
        <v>0</v>
      </c>
      <c r="AA218" s="18">
        <f>'RW predict'!W217</f>
        <v>0</v>
      </c>
      <c r="AB218" s="17"/>
      <c r="AG218" s="23"/>
      <c r="AI218" s="17"/>
      <c r="AO218" s="23"/>
    </row>
    <row r="219" spans="1:41" x14ac:dyDescent="0.3">
      <c r="A219" s="18">
        <v>216</v>
      </c>
      <c r="B219" s="18" t="str">
        <f>'RW predict'!A218</f>
        <v>Alex Iafallo</v>
      </c>
      <c r="C219" s="18" t="str">
        <f>'RW predict'!B218</f>
        <v>LA</v>
      </c>
      <c r="D219" s="22" t="str" cm="1">
        <f t="array" ref="D219">_xlfn.SWITCH('RW predict'!C218, "C", "F", "LW","F", "RW", "F", "D", "D", "G", "G", "other")</f>
        <v>F</v>
      </c>
      <c r="E219" s="32">
        <f t="shared" si="6"/>
        <v>1646</v>
      </c>
      <c r="F219" s="35">
        <f>E219/assumptions!$B$2</f>
        <v>20.073170731707318</v>
      </c>
      <c r="G219" s="36">
        <f t="shared" si="7"/>
        <v>246</v>
      </c>
      <c r="H219" s="18">
        <f>IF(NOT(D219="G"),'RW predict'!E218,0)</f>
        <v>16</v>
      </c>
      <c r="I219" s="18">
        <f>'RW predict'!Q218</f>
        <v>51</v>
      </c>
      <c r="J219" s="18">
        <f>'RW predict'!F218</f>
        <v>22</v>
      </c>
      <c r="K219" s="18"/>
      <c r="L219" s="18"/>
      <c r="M219" s="18">
        <f>'RW predict'!P218</f>
        <v>48</v>
      </c>
      <c r="N219" s="18"/>
      <c r="O219" s="18">
        <f>'RW predict'!H218</f>
        <v>2</v>
      </c>
      <c r="P219" s="18">
        <f>'RW predict'!I218</f>
        <v>8</v>
      </c>
      <c r="Q219" s="18">
        <f>'RW predict'!L218</f>
        <v>2</v>
      </c>
      <c r="R219" s="18">
        <f>'RW predict'!N218</f>
        <v>1</v>
      </c>
      <c r="S219" s="76">
        <f>'RW predict'!O218</f>
        <v>1</v>
      </c>
      <c r="T219" s="76">
        <f>'RW predict'!K218</f>
        <v>3</v>
      </c>
      <c r="U219" s="22">
        <f>'RW predict'!J218</f>
        <v>196</v>
      </c>
      <c r="V219" s="32">
        <f>IF(D219="G",'RW predict'!E218,0)</f>
        <v>0</v>
      </c>
      <c r="W219" s="18">
        <f>'RW predict'!R218</f>
        <v>0</v>
      </c>
      <c r="X219" s="18">
        <f>'RW predict'!T218</f>
        <v>0</v>
      </c>
      <c r="Y219" s="18">
        <f>'RW predict'!Y218</f>
        <v>0</v>
      </c>
      <c r="Z219" s="18">
        <f>'RW predict'!U218</f>
        <v>0</v>
      </c>
      <c r="AA219" s="18">
        <f>'RW predict'!W218</f>
        <v>0</v>
      </c>
      <c r="AB219" s="17"/>
      <c r="AG219" s="23"/>
      <c r="AI219" s="17"/>
      <c r="AO219" s="23"/>
    </row>
    <row r="220" spans="1:41" x14ac:dyDescent="0.3">
      <c r="A220" s="18">
        <v>217</v>
      </c>
      <c r="B220" s="18" t="str">
        <f>'RW predict'!A219</f>
        <v>Dominik Kubalik</v>
      </c>
      <c r="C220" s="18" t="str">
        <f>'RW predict'!B219</f>
        <v>DET</v>
      </c>
      <c r="D220" s="22" t="str" cm="1">
        <f t="array" ref="D220">_xlfn.SWITCH('RW predict'!C219, "C", "F", "LW","F", "RW", "F", "D", "D", "G", "G", "other")</f>
        <v>F</v>
      </c>
      <c r="E220" s="32">
        <f t="shared" si="6"/>
        <v>1424</v>
      </c>
      <c r="F220" s="35">
        <f>E220/assumptions!$B$2</f>
        <v>17.365853658536587</v>
      </c>
      <c r="G220" s="36">
        <f t="shared" si="7"/>
        <v>320</v>
      </c>
      <c r="H220" s="18">
        <f>IF(NOT(D220="G"),'RW predict'!E219,0)</f>
        <v>18</v>
      </c>
      <c r="I220" s="18">
        <f>'RW predict'!Q219</f>
        <v>26</v>
      </c>
      <c r="J220" s="18">
        <f>'RW predict'!F219</f>
        <v>20</v>
      </c>
      <c r="K220" s="18"/>
      <c r="L220" s="18"/>
      <c r="M220" s="18">
        <f>'RW predict'!P219</f>
        <v>98</v>
      </c>
      <c r="N220" s="18"/>
      <c r="O220" s="18">
        <f>'RW predict'!H219</f>
        <v>-13</v>
      </c>
      <c r="P220" s="18">
        <f>'RW predict'!I219</f>
        <v>18</v>
      </c>
      <c r="Q220" s="18">
        <f>'RW predict'!L219</f>
        <v>3</v>
      </c>
      <c r="R220" s="18">
        <f>'RW predict'!N219</f>
        <v>0</v>
      </c>
      <c r="S220" s="76">
        <f>'RW predict'!O219</f>
        <v>0</v>
      </c>
      <c r="T220" s="76">
        <f>'RW predict'!K219</f>
        <v>1</v>
      </c>
      <c r="U220" s="22">
        <f>'RW predict'!J219</f>
        <v>175</v>
      </c>
      <c r="V220" s="32">
        <f>IF(D220="G",'RW predict'!E219,0)</f>
        <v>0</v>
      </c>
      <c r="W220" s="18">
        <f>'RW predict'!R219</f>
        <v>0</v>
      </c>
      <c r="X220" s="18">
        <f>'RW predict'!T219</f>
        <v>0</v>
      </c>
      <c r="Y220" s="18">
        <f>'RW predict'!Y219</f>
        <v>0</v>
      </c>
      <c r="Z220" s="18">
        <f>'RW predict'!U219</f>
        <v>0</v>
      </c>
      <c r="AA220" s="18">
        <f>'RW predict'!W219</f>
        <v>0</v>
      </c>
      <c r="AB220" s="17"/>
      <c r="AG220" s="23"/>
      <c r="AI220" s="17"/>
      <c r="AO220" s="23"/>
    </row>
    <row r="221" spans="1:41" x14ac:dyDescent="0.3">
      <c r="A221" s="18">
        <v>218</v>
      </c>
      <c r="B221" s="18" t="str">
        <f>'RW predict'!A220</f>
        <v>Brandon Hagel</v>
      </c>
      <c r="C221" s="18" t="str">
        <f>'RW predict'!B220</f>
        <v>TB</v>
      </c>
      <c r="D221" s="22" t="str" cm="1">
        <f t="array" ref="D221">_xlfn.SWITCH('RW predict'!C220, "C", "F", "LW","F", "RW", "F", "D", "D", "G", "G", "other")</f>
        <v>F</v>
      </c>
      <c r="E221" s="32">
        <f t="shared" si="6"/>
        <v>1495</v>
      </c>
      <c r="F221" s="35">
        <f>E221/assumptions!$B$2</f>
        <v>18.23170731707317</v>
      </c>
      <c r="G221" s="36">
        <f t="shared" si="7"/>
        <v>292</v>
      </c>
      <c r="H221" s="18">
        <f>IF(NOT(D221="G"),'RW predict'!E220,0)</f>
        <v>18</v>
      </c>
      <c r="I221" s="18">
        <f>'RW predict'!Q220</f>
        <v>33</v>
      </c>
      <c r="J221" s="18">
        <f>'RW predict'!F220</f>
        <v>20</v>
      </c>
      <c r="K221" s="18"/>
      <c r="L221" s="18"/>
      <c r="M221" s="18">
        <f>'RW predict'!P220</f>
        <v>75</v>
      </c>
      <c r="N221" s="18"/>
      <c r="O221" s="18">
        <f>'RW predict'!H220</f>
        <v>-6</v>
      </c>
      <c r="P221" s="18">
        <f>'RW predict'!I220</f>
        <v>28</v>
      </c>
      <c r="Q221" s="18">
        <f>'RW predict'!L220</f>
        <v>2</v>
      </c>
      <c r="R221" s="18">
        <f>'RW predict'!N220</f>
        <v>1</v>
      </c>
      <c r="S221" s="76">
        <f>'RW predict'!O220</f>
        <v>1</v>
      </c>
      <c r="T221" s="76">
        <f>'RW predict'!K220</f>
        <v>3</v>
      </c>
      <c r="U221" s="22">
        <f>'RW predict'!J220</f>
        <v>135</v>
      </c>
      <c r="V221" s="32">
        <f>IF(D221="G",'RW predict'!E220,0)</f>
        <v>0</v>
      </c>
      <c r="W221" s="18">
        <f>'RW predict'!R220</f>
        <v>0</v>
      </c>
      <c r="X221" s="18">
        <f>'RW predict'!T220</f>
        <v>0</v>
      </c>
      <c r="Y221" s="18">
        <f>'RW predict'!Y220</f>
        <v>0</v>
      </c>
      <c r="Z221" s="18">
        <f>'RW predict'!U220</f>
        <v>0</v>
      </c>
      <c r="AA221" s="18">
        <f>'RW predict'!W220</f>
        <v>0</v>
      </c>
      <c r="AB221" s="17"/>
      <c r="AG221" s="23"/>
      <c r="AI221" s="17"/>
      <c r="AO221" s="23"/>
    </row>
    <row r="222" spans="1:41" x14ac:dyDescent="0.3">
      <c r="A222" s="18">
        <v>219</v>
      </c>
      <c r="B222" s="18" t="str">
        <f>'RW predict'!A221</f>
        <v>Andrei Kuzmenko</v>
      </c>
      <c r="C222" s="18" t="str">
        <f>'RW predict'!B221</f>
        <v>VAN</v>
      </c>
      <c r="D222" s="22" t="str" cm="1">
        <f t="array" ref="D222">_xlfn.SWITCH('RW predict'!C221, "C", "F", "LW","F", "RW", "F", "D", "D", "G", "G", "other")</f>
        <v>F</v>
      </c>
      <c r="E222" s="32">
        <f t="shared" si="6"/>
        <v>1422</v>
      </c>
      <c r="F222" s="35">
        <f>E222/assumptions!$B$2</f>
        <v>17.341463414634145</v>
      </c>
      <c r="G222" s="36">
        <f t="shared" si="7"/>
        <v>323</v>
      </c>
      <c r="H222" s="18">
        <f>IF(NOT(D222="G"),'RW predict'!E221,0)</f>
        <v>15</v>
      </c>
      <c r="I222" s="18">
        <f>'RW predict'!Q221</f>
        <v>16</v>
      </c>
      <c r="J222" s="18">
        <f>'RW predict'!F221</f>
        <v>23</v>
      </c>
      <c r="K222" s="18"/>
      <c r="L222" s="18"/>
      <c r="M222" s="18">
        <f>'RW predict'!P221</f>
        <v>52</v>
      </c>
      <c r="N222" s="18"/>
      <c r="O222" s="18">
        <f>'RW predict'!H221</f>
        <v>4</v>
      </c>
      <c r="P222" s="18">
        <f>'RW predict'!I221</f>
        <v>10</v>
      </c>
      <c r="Q222" s="18">
        <f>'RW predict'!L221</f>
        <v>2</v>
      </c>
      <c r="R222" s="18">
        <f>'RW predict'!N221</f>
        <v>0</v>
      </c>
      <c r="S222" s="76">
        <f>'RW predict'!O221</f>
        <v>0</v>
      </c>
      <c r="T222" s="76">
        <f>'RW predict'!K221</f>
        <v>1</v>
      </c>
      <c r="U222" s="22">
        <f>'RW predict'!J221</f>
        <v>139</v>
      </c>
      <c r="V222" s="32">
        <f>IF(D222="G",'RW predict'!E221,0)</f>
        <v>0</v>
      </c>
      <c r="W222" s="18">
        <f>'RW predict'!R221</f>
        <v>0</v>
      </c>
      <c r="X222" s="18">
        <f>'RW predict'!T221</f>
        <v>0</v>
      </c>
      <c r="Y222" s="18">
        <f>'RW predict'!Y221</f>
        <v>0</v>
      </c>
      <c r="Z222" s="18">
        <f>'RW predict'!U221</f>
        <v>0</v>
      </c>
      <c r="AA222" s="18">
        <f>'RW predict'!W221</f>
        <v>0</v>
      </c>
      <c r="AB222" s="17"/>
      <c r="AG222" s="23"/>
      <c r="AI222" s="17"/>
      <c r="AO222" s="23"/>
    </row>
    <row r="223" spans="1:41" x14ac:dyDescent="0.3">
      <c r="A223" s="18">
        <v>220</v>
      </c>
      <c r="B223" s="18" t="str">
        <f>'RW predict'!A222</f>
        <v>David Krejci</v>
      </c>
      <c r="C223" s="18" t="str">
        <f>'RW predict'!B222</f>
        <v>BOS</v>
      </c>
      <c r="D223" s="22" t="str" cm="1">
        <f t="array" ref="D223">_xlfn.SWITCH('RW predict'!C222, "C", "F", "LW","F", "RW", "F", "D", "D", "G", "G", "other")</f>
        <v>F</v>
      </c>
      <c r="E223" s="32">
        <f t="shared" si="6"/>
        <v>1055</v>
      </c>
      <c r="F223" s="35">
        <f>E223/assumptions!$B$2</f>
        <v>12.865853658536585</v>
      </c>
      <c r="G223" s="36">
        <f t="shared" si="7"/>
        <v>464</v>
      </c>
      <c r="H223" s="18">
        <f>IF(NOT(D223="G"),'RW predict'!E222,0)</f>
        <v>11</v>
      </c>
      <c r="I223" s="18">
        <f>'RW predict'!Q222</f>
        <v>29</v>
      </c>
      <c r="J223" s="18">
        <f>'RW predict'!F222</f>
        <v>27</v>
      </c>
      <c r="K223" s="18"/>
      <c r="L223" s="18"/>
      <c r="M223" s="18">
        <f>'RW predict'!P222</f>
        <v>27</v>
      </c>
      <c r="N223" s="18"/>
      <c r="O223" s="18">
        <f>'RW predict'!H222</f>
        <v>0</v>
      </c>
      <c r="P223" s="18">
        <f>'RW predict'!I222</f>
        <v>0</v>
      </c>
      <c r="Q223" s="18">
        <f>'RW predict'!L222</f>
        <v>0</v>
      </c>
      <c r="R223" s="18">
        <f>'RW predict'!N222</f>
        <v>0</v>
      </c>
      <c r="S223" s="76">
        <f>'RW predict'!O222</f>
        <v>0</v>
      </c>
      <c r="T223" s="76">
        <f>'RW predict'!K222</f>
        <v>1</v>
      </c>
      <c r="U223" s="22">
        <f>'RW predict'!J222</f>
        <v>0</v>
      </c>
      <c r="V223" s="32">
        <f>IF(D223="G",'RW predict'!E222,0)</f>
        <v>0</v>
      </c>
      <c r="W223" s="18">
        <f>'RW predict'!R222</f>
        <v>0</v>
      </c>
      <c r="X223" s="18">
        <f>'RW predict'!T222</f>
        <v>0</v>
      </c>
      <c r="Y223" s="18">
        <f>'RW predict'!Y222</f>
        <v>0</v>
      </c>
      <c r="Z223" s="18">
        <f>'RW predict'!U222</f>
        <v>0</v>
      </c>
      <c r="AA223" s="18">
        <f>'RW predict'!W222</f>
        <v>0</v>
      </c>
      <c r="AB223" s="17"/>
      <c r="AG223" s="23"/>
      <c r="AI223" s="17"/>
      <c r="AO223" s="23"/>
    </row>
    <row r="224" spans="1:41" x14ac:dyDescent="0.3">
      <c r="A224" s="18">
        <v>221</v>
      </c>
      <c r="B224" s="18" t="str">
        <f>'RW predict'!A223</f>
        <v>Erik Karlsson</v>
      </c>
      <c r="C224" s="18" t="str">
        <f>'RW predict'!B223</f>
        <v>SJ</v>
      </c>
      <c r="D224" s="22" t="str" cm="1">
        <f t="array" ref="D224">_xlfn.SWITCH('RW predict'!C223, "C", "F", "LW","F", "RW", "F", "D", "D", "G", "G", "other")</f>
        <v>D</v>
      </c>
      <c r="E224" s="32">
        <f t="shared" si="6"/>
        <v>1309</v>
      </c>
      <c r="F224" s="35">
        <f>E224/assumptions!$B$2</f>
        <v>15.963414634146341</v>
      </c>
      <c r="G224" s="36">
        <f t="shared" si="7"/>
        <v>364</v>
      </c>
      <c r="H224" s="18">
        <f>IF(NOT(D224="G"),'RW predict'!E223,0)</f>
        <v>10</v>
      </c>
      <c r="I224" s="18">
        <f>'RW predict'!Q223</f>
        <v>62</v>
      </c>
      <c r="J224" s="18">
        <f>'RW predict'!F223</f>
        <v>28</v>
      </c>
      <c r="K224" s="18"/>
      <c r="L224" s="18"/>
      <c r="M224" s="18">
        <f>'RW predict'!P223</f>
        <v>23</v>
      </c>
      <c r="N224" s="18"/>
      <c r="O224" s="18">
        <f>'RW predict'!H223</f>
        <v>-19</v>
      </c>
      <c r="P224" s="18">
        <f>'RW predict'!I223</f>
        <v>20</v>
      </c>
      <c r="Q224" s="18">
        <f>'RW predict'!L223</f>
        <v>1</v>
      </c>
      <c r="R224" s="18">
        <f>'RW predict'!N223</f>
        <v>0</v>
      </c>
      <c r="S224" s="76">
        <f>'RW predict'!O223</f>
        <v>0</v>
      </c>
      <c r="T224" s="76">
        <f>'RW predict'!K223</f>
        <v>2</v>
      </c>
      <c r="U224" s="22">
        <f>'RW predict'!J223</f>
        <v>146</v>
      </c>
      <c r="V224" s="32">
        <f>IF(D224="G",'RW predict'!E223,0)</f>
        <v>0</v>
      </c>
      <c r="W224" s="18">
        <f>'RW predict'!R223</f>
        <v>0</v>
      </c>
      <c r="X224" s="18">
        <f>'RW predict'!T223</f>
        <v>0</v>
      </c>
      <c r="Y224" s="18">
        <f>'RW predict'!Y223</f>
        <v>0</v>
      </c>
      <c r="Z224" s="18">
        <f>'RW predict'!U223</f>
        <v>0</v>
      </c>
      <c r="AA224" s="18">
        <f>'RW predict'!W223</f>
        <v>0</v>
      </c>
      <c r="AB224" s="17"/>
      <c r="AG224" s="23"/>
      <c r="AI224" s="17"/>
      <c r="AO224" s="23"/>
    </row>
    <row r="225" spans="1:41" x14ac:dyDescent="0.3">
      <c r="A225" s="18">
        <v>222</v>
      </c>
      <c r="B225" s="18" t="str">
        <f>'RW predict'!A224</f>
        <v>Anthony Beauvillier</v>
      </c>
      <c r="C225" s="18" t="str">
        <f>'RW predict'!B224</f>
        <v>NYI</v>
      </c>
      <c r="D225" s="22" t="str" cm="1">
        <f t="array" ref="D225">_xlfn.SWITCH('RW predict'!C224, "C", "F", "LW","F", "RW", "F", "D", "D", "G", "G", "other")</f>
        <v>F</v>
      </c>
      <c r="E225" s="32">
        <f t="shared" si="6"/>
        <v>1408</v>
      </c>
      <c r="F225" s="35">
        <f>E225/assumptions!$B$2</f>
        <v>17.170731707317074</v>
      </c>
      <c r="G225" s="36">
        <f t="shared" si="7"/>
        <v>327</v>
      </c>
      <c r="H225" s="18">
        <f>IF(NOT(D225="G"),'RW predict'!E224,0)</f>
        <v>15</v>
      </c>
      <c r="I225" s="18">
        <f>'RW predict'!Q224</f>
        <v>22</v>
      </c>
      <c r="J225" s="18">
        <f>'RW predict'!F224</f>
        <v>23</v>
      </c>
      <c r="K225" s="18"/>
      <c r="L225" s="18"/>
      <c r="M225" s="18">
        <f>'RW predict'!P224</f>
        <v>48</v>
      </c>
      <c r="N225" s="18"/>
      <c r="O225" s="18">
        <f>'RW predict'!H224</f>
        <v>-8</v>
      </c>
      <c r="P225" s="18">
        <f>'RW predict'!I224</f>
        <v>14</v>
      </c>
      <c r="Q225" s="18">
        <f>'RW predict'!L224</f>
        <v>4</v>
      </c>
      <c r="R225" s="18">
        <f>'RW predict'!N224</f>
        <v>0</v>
      </c>
      <c r="S225" s="76">
        <f>'RW predict'!O224</f>
        <v>0</v>
      </c>
      <c r="T225" s="76">
        <f>'RW predict'!K224</f>
        <v>3</v>
      </c>
      <c r="U225" s="22">
        <f>'RW predict'!J224</f>
        <v>152</v>
      </c>
      <c r="V225" s="32">
        <f>IF(D225="G",'RW predict'!E224,0)</f>
        <v>0</v>
      </c>
      <c r="W225" s="18">
        <f>'RW predict'!R224</f>
        <v>0</v>
      </c>
      <c r="X225" s="18">
        <f>'RW predict'!T224</f>
        <v>0</v>
      </c>
      <c r="Y225" s="18">
        <f>'RW predict'!Y224</f>
        <v>0</v>
      </c>
      <c r="Z225" s="18">
        <f>'RW predict'!U224</f>
        <v>0</v>
      </c>
      <c r="AA225" s="18">
        <f>'RW predict'!W224</f>
        <v>0</v>
      </c>
      <c r="AB225" s="17"/>
      <c r="AG225" s="23"/>
      <c r="AI225" s="17"/>
      <c r="AO225" s="23"/>
    </row>
    <row r="226" spans="1:41" x14ac:dyDescent="0.3">
      <c r="A226" s="18">
        <v>223</v>
      </c>
      <c r="B226" s="18" t="str">
        <f>'RW predict'!A225</f>
        <v>Andreas Athanasiou</v>
      </c>
      <c r="C226" s="18" t="str">
        <f>'RW predict'!B225</f>
        <v>CHI</v>
      </c>
      <c r="D226" s="22" t="str" cm="1">
        <f t="array" ref="D226">_xlfn.SWITCH('RW predict'!C225, "C", "F", "LW","F", "RW", "F", "D", "D", "G", "G", "other")</f>
        <v>F</v>
      </c>
      <c r="E226" s="32">
        <f t="shared" si="6"/>
        <v>1319</v>
      </c>
      <c r="F226" s="35">
        <f>E226/assumptions!$B$2</f>
        <v>16.085365853658537</v>
      </c>
      <c r="G226" s="36">
        <f t="shared" si="7"/>
        <v>359</v>
      </c>
      <c r="H226" s="18">
        <f>IF(NOT(D226="G"),'RW predict'!E225,0)</f>
        <v>18</v>
      </c>
      <c r="I226" s="18">
        <f>'RW predict'!Q225</f>
        <v>23</v>
      </c>
      <c r="J226" s="18">
        <f>'RW predict'!F225</f>
        <v>20</v>
      </c>
      <c r="K226" s="18"/>
      <c r="L226" s="18"/>
      <c r="M226" s="18">
        <f>'RW predict'!P225</f>
        <v>23</v>
      </c>
      <c r="N226" s="18"/>
      <c r="O226" s="18">
        <f>'RW predict'!H225</f>
        <v>-13</v>
      </c>
      <c r="P226" s="18">
        <f>'RW predict'!I225</f>
        <v>22</v>
      </c>
      <c r="Q226" s="18">
        <f>'RW predict'!L225</f>
        <v>4</v>
      </c>
      <c r="R226" s="18">
        <f>'RW predict'!N225</f>
        <v>0</v>
      </c>
      <c r="S226" s="76">
        <f>'RW predict'!O225</f>
        <v>0</v>
      </c>
      <c r="T226" s="76">
        <f>'RW predict'!K225</f>
        <v>2</v>
      </c>
      <c r="U226" s="22">
        <f>'RW predict'!J225</f>
        <v>142</v>
      </c>
      <c r="V226" s="32">
        <f>IF(D226="G",'RW predict'!E225,0)</f>
        <v>0</v>
      </c>
      <c r="W226" s="18">
        <f>'RW predict'!R225</f>
        <v>0</v>
      </c>
      <c r="X226" s="18">
        <f>'RW predict'!T225</f>
        <v>0</v>
      </c>
      <c r="Y226" s="18">
        <f>'RW predict'!Y225</f>
        <v>0</v>
      </c>
      <c r="Z226" s="18">
        <f>'RW predict'!U225</f>
        <v>0</v>
      </c>
      <c r="AA226" s="18">
        <f>'RW predict'!W225</f>
        <v>0</v>
      </c>
      <c r="AB226" s="17"/>
      <c r="AG226" s="23"/>
      <c r="AI226" s="17"/>
      <c r="AO226" s="23"/>
    </row>
    <row r="227" spans="1:41" x14ac:dyDescent="0.3">
      <c r="A227" s="18">
        <v>224</v>
      </c>
      <c r="B227" s="18" t="str">
        <f>'RW predict'!A226</f>
        <v>Tanner Pearson</v>
      </c>
      <c r="C227" s="18" t="str">
        <f>'RW predict'!B226</f>
        <v>VAN</v>
      </c>
      <c r="D227" s="22" t="str" cm="1">
        <f t="array" ref="D227">_xlfn.SWITCH('RW predict'!C226, "C", "F", "LW","F", "RW", "F", "D", "D", "G", "G", "other")</f>
        <v>F</v>
      </c>
      <c r="E227" s="32">
        <f t="shared" si="6"/>
        <v>1655</v>
      </c>
      <c r="F227" s="35">
        <f>E227/assumptions!$B$2</f>
        <v>20.182926829268293</v>
      </c>
      <c r="G227" s="36">
        <f t="shared" si="7"/>
        <v>242</v>
      </c>
      <c r="H227" s="18">
        <f>IF(NOT(D227="G"),'RW predict'!E226,0)</f>
        <v>16</v>
      </c>
      <c r="I227" s="18">
        <f>'RW predict'!Q226</f>
        <v>41</v>
      </c>
      <c r="J227" s="18">
        <f>'RW predict'!F226</f>
        <v>21</v>
      </c>
      <c r="K227" s="18"/>
      <c r="L227" s="18"/>
      <c r="M227" s="18">
        <f>'RW predict'!P226</f>
        <v>94</v>
      </c>
      <c r="N227" s="18"/>
      <c r="O227" s="18">
        <f>'RW predict'!H226</f>
        <v>4</v>
      </c>
      <c r="P227" s="18">
        <f>'RW predict'!I226</f>
        <v>32</v>
      </c>
      <c r="Q227" s="18">
        <f>'RW predict'!L226</f>
        <v>2</v>
      </c>
      <c r="R227" s="18">
        <f>'RW predict'!N226</f>
        <v>0</v>
      </c>
      <c r="S227" s="76">
        <f>'RW predict'!O226</f>
        <v>0</v>
      </c>
      <c r="T227" s="76">
        <f>'RW predict'!K226</f>
        <v>3</v>
      </c>
      <c r="U227" s="22">
        <f>'RW predict'!J226</f>
        <v>169</v>
      </c>
      <c r="V227" s="32">
        <f>IF(D227="G",'RW predict'!E226,0)</f>
        <v>0</v>
      </c>
      <c r="W227" s="18">
        <f>'RW predict'!R226</f>
        <v>0</v>
      </c>
      <c r="X227" s="18">
        <f>'RW predict'!T226</f>
        <v>0</v>
      </c>
      <c r="Y227" s="18">
        <f>'RW predict'!Y226</f>
        <v>0</v>
      </c>
      <c r="Z227" s="18">
        <f>'RW predict'!U226</f>
        <v>0</v>
      </c>
      <c r="AA227" s="18">
        <f>'RW predict'!W226</f>
        <v>0</v>
      </c>
      <c r="AB227" s="17"/>
      <c r="AG227" s="23"/>
      <c r="AI227" s="17"/>
      <c r="AO227" s="23"/>
    </row>
    <row r="228" spans="1:41" x14ac:dyDescent="0.3">
      <c r="A228" s="18">
        <v>225</v>
      </c>
      <c r="B228" s="18" t="str">
        <f>'RW predict'!A227</f>
        <v>Artturi Lehkonen</v>
      </c>
      <c r="C228" s="18" t="str">
        <f>'RW predict'!B227</f>
        <v>COL</v>
      </c>
      <c r="D228" s="22" t="str" cm="1">
        <f t="array" ref="D228">_xlfn.SWITCH('RW predict'!C227, "C", "F", "LW","F", "RW", "F", "D", "D", "G", "G", "other")</f>
        <v>F</v>
      </c>
      <c r="E228" s="32">
        <f t="shared" si="6"/>
        <v>1656</v>
      </c>
      <c r="F228" s="35">
        <f>E228/assumptions!$B$2</f>
        <v>20.195121951219512</v>
      </c>
      <c r="G228" s="36">
        <f t="shared" si="7"/>
        <v>240</v>
      </c>
      <c r="H228" s="18">
        <f>IF(NOT(D228="G"),'RW predict'!E227,0)</f>
        <v>18</v>
      </c>
      <c r="I228" s="18">
        <f>'RW predict'!Q227</f>
        <v>37</v>
      </c>
      <c r="J228" s="18">
        <f>'RW predict'!F227</f>
        <v>19</v>
      </c>
      <c r="K228" s="18"/>
      <c r="L228" s="18"/>
      <c r="M228" s="18">
        <f>'RW predict'!P227</f>
        <v>93</v>
      </c>
      <c r="N228" s="18"/>
      <c r="O228" s="18">
        <f>'RW predict'!H227</f>
        <v>5</v>
      </c>
      <c r="P228" s="18">
        <f>'RW predict'!I227</f>
        <v>20</v>
      </c>
      <c r="Q228" s="18">
        <f>'RW predict'!L227</f>
        <v>2</v>
      </c>
      <c r="R228" s="18">
        <f>'RW predict'!N227</f>
        <v>2</v>
      </c>
      <c r="S228" s="76">
        <f>'RW predict'!O227</f>
        <v>1</v>
      </c>
      <c r="T228" s="76">
        <f>'RW predict'!K227</f>
        <v>3</v>
      </c>
      <c r="U228" s="22">
        <f>'RW predict'!J227</f>
        <v>162</v>
      </c>
      <c r="V228" s="32">
        <f>IF(D228="G",'RW predict'!E227,0)</f>
        <v>0</v>
      </c>
      <c r="W228" s="18">
        <f>'RW predict'!R227</f>
        <v>0</v>
      </c>
      <c r="X228" s="18">
        <f>'RW predict'!T227</f>
        <v>0</v>
      </c>
      <c r="Y228" s="18">
        <f>'RW predict'!Y227</f>
        <v>0</v>
      </c>
      <c r="Z228" s="18">
        <f>'RW predict'!U227</f>
        <v>0</v>
      </c>
      <c r="AA228" s="18">
        <f>'RW predict'!W227</f>
        <v>0</v>
      </c>
      <c r="AB228" s="17"/>
      <c r="AG228" s="23"/>
      <c r="AI228" s="17"/>
      <c r="AO228" s="23"/>
    </row>
    <row r="229" spans="1:41" x14ac:dyDescent="0.3">
      <c r="A229" s="18">
        <v>226</v>
      </c>
      <c r="B229" s="18" t="str">
        <f>'RW predict'!A228</f>
        <v>Nicolas Roy</v>
      </c>
      <c r="C229" s="18" t="str">
        <f>'RW predict'!B228</f>
        <v>VGK</v>
      </c>
      <c r="D229" s="22" t="str" cm="1">
        <f t="array" ref="D229">_xlfn.SWITCH('RW predict'!C228, "C", "F", "LW","F", "RW", "F", "D", "D", "G", "G", "other")</f>
        <v>F</v>
      </c>
      <c r="E229" s="32">
        <f t="shared" si="6"/>
        <v>1703</v>
      </c>
      <c r="F229" s="35">
        <f>E229/assumptions!$B$2</f>
        <v>20.76829268292683</v>
      </c>
      <c r="G229" s="36">
        <f t="shared" si="7"/>
        <v>230</v>
      </c>
      <c r="H229" s="18">
        <f>IF(NOT(D229="G"),'RW predict'!E228,0)</f>
        <v>13</v>
      </c>
      <c r="I229" s="18">
        <f>'RW predict'!Q228</f>
        <v>34</v>
      </c>
      <c r="J229" s="18">
        <f>'RW predict'!F228</f>
        <v>24</v>
      </c>
      <c r="K229" s="18"/>
      <c r="L229" s="18"/>
      <c r="M229" s="18">
        <f>'RW predict'!P228</f>
        <v>90</v>
      </c>
      <c r="N229" s="18"/>
      <c r="O229" s="18">
        <f>'RW predict'!H228</f>
        <v>12</v>
      </c>
      <c r="P229" s="18">
        <f>'RW predict'!I228</f>
        <v>44</v>
      </c>
      <c r="Q229" s="18">
        <f>'RW predict'!L228</f>
        <v>1</v>
      </c>
      <c r="R229" s="18">
        <f>'RW predict'!N228</f>
        <v>0</v>
      </c>
      <c r="S229" s="76">
        <f>'RW predict'!O228</f>
        <v>1</v>
      </c>
      <c r="T229" s="76">
        <f>'RW predict'!K228</f>
        <v>3</v>
      </c>
      <c r="U229" s="22">
        <f>'RW predict'!J228</f>
        <v>144</v>
      </c>
      <c r="V229" s="32">
        <f>IF(D229="G",'RW predict'!E228,0)</f>
        <v>0</v>
      </c>
      <c r="W229" s="18">
        <f>'RW predict'!R228</f>
        <v>0</v>
      </c>
      <c r="X229" s="18">
        <f>'RW predict'!T228</f>
        <v>0</v>
      </c>
      <c r="Y229" s="18">
        <f>'RW predict'!Y228</f>
        <v>0</v>
      </c>
      <c r="Z229" s="18">
        <f>'RW predict'!U228</f>
        <v>0</v>
      </c>
      <c r="AA229" s="18">
        <f>'RW predict'!W228</f>
        <v>0</v>
      </c>
      <c r="AB229" s="17"/>
      <c r="AG229" s="23"/>
      <c r="AI229" s="17"/>
      <c r="AO229" s="23"/>
    </row>
    <row r="230" spans="1:41" x14ac:dyDescent="0.3">
      <c r="A230" s="18">
        <v>227</v>
      </c>
      <c r="B230" s="18" t="str">
        <f>'RW predict'!A229</f>
        <v>Evan Rodrigues</v>
      </c>
      <c r="C230" s="18" t="str">
        <f>'RW predict'!B229</f>
        <v>COL</v>
      </c>
      <c r="D230" s="22" t="str" cm="1">
        <f t="array" ref="D230">_xlfn.SWITCH('RW predict'!C229, "C", "F", "LW","F", "RW", "F", "D", "D", "G", "G", "other")</f>
        <v>F</v>
      </c>
      <c r="E230" s="32">
        <f t="shared" si="6"/>
        <v>1590</v>
      </c>
      <c r="F230" s="35">
        <f>E230/assumptions!$B$2</f>
        <v>19.390243902439025</v>
      </c>
      <c r="G230" s="36">
        <f t="shared" si="7"/>
        <v>264</v>
      </c>
      <c r="H230" s="18">
        <f>IF(NOT(D230="G"),'RW predict'!E229,0)</f>
        <v>17</v>
      </c>
      <c r="I230" s="18">
        <f>'RW predict'!Q229</f>
        <v>27</v>
      </c>
      <c r="J230" s="18">
        <f>'RW predict'!F229</f>
        <v>20</v>
      </c>
      <c r="K230" s="18"/>
      <c r="L230" s="18"/>
      <c r="M230" s="18">
        <f>'RW predict'!P229</f>
        <v>74</v>
      </c>
      <c r="N230" s="18"/>
      <c r="O230" s="18">
        <f>'RW predict'!H229</f>
        <v>0</v>
      </c>
      <c r="P230" s="18">
        <f>'RW predict'!I229</f>
        <v>13</v>
      </c>
      <c r="Q230" s="18">
        <f>'RW predict'!L229</f>
        <v>5</v>
      </c>
      <c r="R230" s="18">
        <f>'RW predict'!N229</f>
        <v>0</v>
      </c>
      <c r="S230" s="76">
        <f>'RW predict'!O229</f>
        <v>0</v>
      </c>
      <c r="T230" s="76">
        <f>'RW predict'!K229</f>
        <v>2</v>
      </c>
      <c r="U230" s="22">
        <f>'RW predict'!J229</f>
        <v>204</v>
      </c>
      <c r="V230" s="32">
        <f>IF(D230="G",'RW predict'!E229,0)</f>
        <v>0</v>
      </c>
      <c r="W230" s="18">
        <f>'RW predict'!R229</f>
        <v>0</v>
      </c>
      <c r="X230" s="18">
        <f>'RW predict'!T229</f>
        <v>0</v>
      </c>
      <c r="Y230" s="18">
        <f>'RW predict'!Y229</f>
        <v>0</v>
      </c>
      <c r="Z230" s="18">
        <f>'RW predict'!U229</f>
        <v>0</v>
      </c>
      <c r="AA230" s="18">
        <f>'RW predict'!W229</f>
        <v>0</v>
      </c>
      <c r="AB230" s="17"/>
      <c r="AG230" s="23"/>
      <c r="AI230" s="17"/>
      <c r="AO230" s="23"/>
    </row>
    <row r="231" spans="1:41" x14ac:dyDescent="0.3">
      <c r="A231" s="18">
        <v>228</v>
      </c>
      <c r="B231" s="18" t="str">
        <f>'RW predict'!A230</f>
        <v>Craig Smith</v>
      </c>
      <c r="C231" s="18" t="str">
        <f>'RW predict'!B230</f>
        <v>BOS</v>
      </c>
      <c r="D231" s="22" t="str" cm="1">
        <f t="array" ref="D231">_xlfn.SWITCH('RW predict'!C230, "C", "F", "LW","F", "RW", "F", "D", "D", "G", "G", "other")</f>
        <v>F</v>
      </c>
      <c r="E231" s="32">
        <f t="shared" si="6"/>
        <v>1656</v>
      </c>
      <c r="F231" s="35">
        <f>E231/assumptions!$B$2</f>
        <v>20.195121951219512</v>
      </c>
      <c r="G231" s="36">
        <f t="shared" si="7"/>
        <v>240</v>
      </c>
      <c r="H231" s="18">
        <f>IF(NOT(D231="G"),'RW predict'!E230,0)</f>
        <v>18</v>
      </c>
      <c r="I231" s="18">
        <f>'RW predict'!Q230</f>
        <v>24</v>
      </c>
      <c r="J231" s="18">
        <f>'RW predict'!F230</f>
        <v>19</v>
      </c>
      <c r="K231" s="18"/>
      <c r="L231" s="18"/>
      <c r="M231" s="18">
        <f>'RW predict'!P230</f>
        <v>87</v>
      </c>
      <c r="N231" s="18"/>
      <c r="O231" s="18">
        <f>'RW predict'!H230</f>
        <v>6</v>
      </c>
      <c r="P231" s="18">
        <f>'RW predict'!I230</f>
        <v>26</v>
      </c>
      <c r="Q231" s="18">
        <f>'RW predict'!L230</f>
        <v>1</v>
      </c>
      <c r="R231" s="18">
        <f>'RW predict'!N230</f>
        <v>0</v>
      </c>
      <c r="S231" s="76">
        <f>'RW predict'!O230</f>
        <v>0</v>
      </c>
      <c r="T231" s="76">
        <f>'RW predict'!K230</f>
        <v>3</v>
      </c>
      <c r="U231" s="22">
        <f>'RW predict'!J230</f>
        <v>194</v>
      </c>
      <c r="V231" s="32">
        <f>IF(D231="G",'RW predict'!E230,0)</f>
        <v>0</v>
      </c>
      <c r="W231" s="18">
        <f>'RW predict'!R230</f>
        <v>0</v>
      </c>
      <c r="X231" s="18">
        <f>'RW predict'!T230</f>
        <v>0</v>
      </c>
      <c r="Y231" s="18">
        <f>'RW predict'!Y230</f>
        <v>0</v>
      </c>
      <c r="Z231" s="18">
        <f>'RW predict'!U230</f>
        <v>0</v>
      </c>
      <c r="AA231" s="18">
        <f>'RW predict'!W230</f>
        <v>0</v>
      </c>
      <c r="AB231" s="17"/>
      <c r="AG231" s="23"/>
      <c r="AI231" s="17"/>
      <c r="AO231" s="23"/>
    </row>
    <row r="232" spans="1:41" x14ac:dyDescent="0.3">
      <c r="A232" s="18">
        <v>229</v>
      </c>
      <c r="B232" s="18" t="str">
        <f>'RW predict'!A231</f>
        <v>Kent Johnson</v>
      </c>
      <c r="C232" s="18" t="str">
        <f>'RW predict'!B231</f>
        <v>CLS</v>
      </c>
      <c r="D232" s="22" t="str" cm="1">
        <f t="array" ref="D232">_xlfn.SWITCH('RW predict'!C231, "C", "F", "LW","F", "RW", "F", "D", "D", "G", "G", "other")</f>
        <v>F</v>
      </c>
      <c r="E232" s="32">
        <f t="shared" si="6"/>
        <v>1169</v>
      </c>
      <c r="F232" s="35">
        <f>E232/assumptions!$B$2</f>
        <v>14.25609756097561</v>
      </c>
      <c r="G232" s="36">
        <f t="shared" si="7"/>
        <v>416</v>
      </c>
      <c r="H232" s="18">
        <f>IF(NOT(D232="G"),'RW predict'!E231,0)</f>
        <v>8</v>
      </c>
      <c r="I232" s="18">
        <f>'RW predict'!Q231</f>
        <v>8</v>
      </c>
      <c r="J232" s="18">
        <f>'RW predict'!F231</f>
        <v>29</v>
      </c>
      <c r="K232" s="18"/>
      <c r="L232" s="18"/>
      <c r="M232" s="18">
        <f>'RW predict'!P231</f>
        <v>30</v>
      </c>
      <c r="N232" s="18"/>
      <c r="O232" s="18">
        <f>'RW predict'!H231</f>
        <v>6</v>
      </c>
      <c r="P232" s="18">
        <f>'RW predict'!I231</f>
        <v>12</v>
      </c>
      <c r="Q232" s="18">
        <f>'RW predict'!L231</f>
        <v>0</v>
      </c>
      <c r="R232" s="18">
        <f>'RW predict'!N231</f>
        <v>0</v>
      </c>
      <c r="S232" s="76">
        <f>'RW predict'!O231</f>
        <v>0</v>
      </c>
      <c r="T232" s="76">
        <f>'RW predict'!K231</f>
        <v>1</v>
      </c>
      <c r="U232" s="22">
        <f>'RW predict'!J231</f>
        <v>41</v>
      </c>
      <c r="V232" s="32">
        <f>IF(D232="G",'RW predict'!E231,0)</f>
        <v>0</v>
      </c>
      <c r="W232" s="18">
        <f>'RW predict'!R231</f>
        <v>0</v>
      </c>
      <c r="X232" s="18">
        <f>'RW predict'!T231</f>
        <v>0</v>
      </c>
      <c r="Y232" s="18">
        <f>'RW predict'!Y231</f>
        <v>0</v>
      </c>
      <c r="Z232" s="18">
        <f>'RW predict'!U231</f>
        <v>0</v>
      </c>
      <c r="AA232" s="18">
        <f>'RW predict'!W231</f>
        <v>0</v>
      </c>
      <c r="AB232" s="17"/>
      <c r="AG232" s="23"/>
      <c r="AI232" s="17"/>
      <c r="AO232" s="23"/>
    </row>
    <row r="233" spans="1:41" x14ac:dyDescent="0.3">
      <c r="A233" s="18">
        <v>230</v>
      </c>
      <c r="B233" s="18" t="str">
        <f>'RW predict'!A232</f>
        <v>Ross Colton</v>
      </c>
      <c r="C233" s="18" t="str">
        <f>'RW predict'!B232</f>
        <v>TB</v>
      </c>
      <c r="D233" s="22" t="str" cm="1">
        <f t="array" ref="D233">_xlfn.SWITCH('RW predict'!C232, "C", "F", "LW","F", "RW", "F", "D", "D", "G", "G", "other")</f>
        <v>F</v>
      </c>
      <c r="E233" s="32">
        <f t="shared" si="6"/>
        <v>1652</v>
      </c>
      <c r="F233" s="35">
        <f>E233/assumptions!$B$2</f>
        <v>20.146341463414632</v>
      </c>
      <c r="G233" s="36">
        <f t="shared" si="7"/>
        <v>244</v>
      </c>
      <c r="H233" s="18">
        <f>IF(NOT(D233="G"),'RW predict'!E232,0)</f>
        <v>19</v>
      </c>
      <c r="I233" s="18">
        <f>'RW predict'!Q232</f>
        <v>33</v>
      </c>
      <c r="J233" s="18">
        <f>'RW predict'!F232</f>
        <v>18</v>
      </c>
      <c r="K233" s="18"/>
      <c r="L233" s="18"/>
      <c r="M233" s="18">
        <f>'RW predict'!P232</f>
        <v>149</v>
      </c>
      <c r="N233" s="18"/>
      <c r="O233" s="18">
        <f>'RW predict'!H232</f>
        <v>4</v>
      </c>
      <c r="P233" s="18">
        <f>'RW predict'!I232</f>
        <v>24</v>
      </c>
      <c r="Q233" s="18">
        <f>'RW predict'!L232</f>
        <v>1</v>
      </c>
      <c r="R233" s="18">
        <f>'RW predict'!N232</f>
        <v>0</v>
      </c>
      <c r="S233" s="76">
        <f>'RW predict'!O232</f>
        <v>0</v>
      </c>
      <c r="T233" s="76">
        <f>'RW predict'!K232</f>
        <v>4</v>
      </c>
      <c r="U233" s="22">
        <f>'RW predict'!J232</f>
        <v>155</v>
      </c>
      <c r="V233" s="32">
        <f>IF(D233="G",'RW predict'!E232,0)</f>
        <v>0</v>
      </c>
      <c r="W233" s="18">
        <f>'RW predict'!R232</f>
        <v>0</v>
      </c>
      <c r="X233" s="18">
        <f>'RW predict'!T232</f>
        <v>0</v>
      </c>
      <c r="Y233" s="18">
        <f>'RW predict'!Y232</f>
        <v>0</v>
      </c>
      <c r="Z233" s="18">
        <f>'RW predict'!U232</f>
        <v>0</v>
      </c>
      <c r="AA233" s="18">
        <f>'RW predict'!W232</f>
        <v>0</v>
      </c>
      <c r="AB233" s="17"/>
      <c r="AG233" s="23"/>
      <c r="AI233" s="17"/>
      <c r="AO233" s="23"/>
    </row>
    <row r="234" spans="1:41" x14ac:dyDescent="0.3">
      <c r="A234" s="18">
        <v>231</v>
      </c>
      <c r="B234" s="18" t="str">
        <f>'RW predict'!A233</f>
        <v>Alexis Lafreniere</v>
      </c>
      <c r="C234" s="18" t="str">
        <f>'RW predict'!B233</f>
        <v>NYR</v>
      </c>
      <c r="D234" s="22" t="str" cm="1">
        <f t="array" ref="D234">_xlfn.SWITCH('RW predict'!C233, "C", "F", "LW","F", "RW", "F", "D", "D", "G", "G", "other")</f>
        <v>F</v>
      </c>
      <c r="E234" s="32">
        <f t="shared" si="6"/>
        <v>1599</v>
      </c>
      <c r="F234" s="35">
        <f>E234/assumptions!$B$2</f>
        <v>19.5</v>
      </c>
      <c r="G234" s="36">
        <f t="shared" si="7"/>
        <v>260</v>
      </c>
      <c r="H234" s="18">
        <f>IF(NOT(D234="G"),'RW predict'!E233,0)</f>
        <v>22</v>
      </c>
      <c r="I234" s="18">
        <f>'RW predict'!Q233</f>
        <v>24</v>
      </c>
      <c r="J234" s="18">
        <f>'RW predict'!F233</f>
        <v>15</v>
      </c>
      <c r="K234" s="18"/>
      <c r="L234" s="18"/>
      <c r="M234" s="18">
        <f>'RW predict'!P233</f>
        <v>118</v>
      </c>
      <c r="N234" s="18"/>
      <c r="O234" s="18">
        <f>'RW predict'!H233</f>
        <v>5</v>
      </c>
      <c r="P234" s="18">
        <f>'RW predict'!I233</f>
        <v>32</v>
      </c>
      <c r="Q234" s="18">
        <f>'RW predict'!L233</f>
        <v>1</v>
      </c>
      <c r="R234" s="18">
        <f>'RW predict'!N233</f>
        <v>0</v>
      </c>
      <c r="S234" s="76">
        <f>'RW predict'!O233</f>
        <v>0</v>
      </c>
      <c r="T234" s="76">
        <f>'RW predict'!K233</f>
        <v>5</v>
      </c>
      <c r="U234" s="22">
        <f>'RW predict'!J233</f>
        <v>126</v>
      </c>
      <c r="V234" s="32">
        <f>IF(D234="G",'RW predict'!E233,0)</f>
        <v>0</v>
      </c>
      <c r="W234" s="18">
        <f>'RW predict'!R233</f>
        <v>0</v>
      </c>
      <c r="X234" s="18">
        <f>'RW predict'!T233</f>
        <v>0</v>
      </c>
      <c r="Y234" s="18">
        <f>'RW predict'!Y233</f>
        <v>0</v>
      </c>
      <c r="Z234" s="18">
        <f>'RW predict'!U233</f>
        <v>0</v>
      </c>
      <c r="AA234" s="18">
        <f>'RW predict'!W233</f>
        <v>0</v>
      </c>
      <c r="AB234" s="17"/>
      <c r="AG234" s="23"/>
      <c r="AI234" s="17"/>
      <c r="AO234" s="23"/>
    </row>
    <row r="235" spans="1:41" x14ac:dyDescent="0.3">
      <c r="A235" s="18">
        <v>232</v>
      </c>
      <c r="B235" s="18" t="str">
        <f>'RW predict'!A234</f>
        <v>Tanner Jeannot</v>
      </c>
      <c r="C235" s="18" t="str">
        <f>'RW predict'!B234</f>
        <v>NSH</v>
      </c>
      <c r="D235" s="22" t="str" cm="1">
        <f t="array" ref="D235">_xlfn.SWITCH('RW predict'!C234, "C", "F", "LW","F", "RW", "F", "D", "D", "G", "G", "other")</f>
        <v>F</v>
      </c>
      <c r="E235" s="32">
        <f t="shared" si="6"/>
        <v>2183</v>
      </c>
      <c r="F235" s="35">
        <f>E235/assumptions!$B$2</f>
        <v>26.621951219512194</v>
      </c>
      <c r="G235" s="36">
        <f t="shared" si="7"/>
        <v>129</v>
      </c>
      <c r="H235" s="18">
        <f>IF(NOT(D235="G"),'RW predict'!E234,0)</f>
        <v>22</v>
      </c>
      <c r="I235" s="18">
        <f>'RW predict'!Q234</f>
        <v>62</v>
      </c>
      <c r="J235" s="18">
        <f>'RW predict'!F234</f>
        <v>15</v>
      </c>
      <c r="K235" s="18"/>
      <c r="L235" s="18"/>
      <c r="M235" s="18">
        <f>'RW predict'!P234</f>
        <v>313</v>
      </c>
      <c r="N235" s="18"/>
      <c r="O235" s="18">
        <f>'RW predict'!H234</f>
        <v>3</v>
      </c>
      <c r="P235" s="18">
        <f>'RW predict'!I234</f>
        <v>135</v>
      </c>
      <c r="Q235" s="18">
        <f>'RW predict'!L234</f>
        <v>1</v>
      </c>
      <c r="R235" s="18">
        <f>'RW predict'!N234</f>
        <v>1</v>
      </c>
      <c r="S235" s="76">
        <f>'RW predict'!O234</f>
        <v>1</v>
      </c>
      <c r="T235" s="76">
        <f>'RW predict'!K234</f>
        <v>4</v>
      </c>
      <c r="U235" s="22">
        <f>'RW predict'!J234</f>
        <v>133</v>
      </c>
      <c r="V235" s="32">
        <f>IF(D235="G",'RW predict'!E234,0)</f>
        <v>0</v>
      </c>
      <c r="W235" s="18">
        <f>'RW predict'!R234</f>
        <v>0</v>
      </c>
      <c r="X235" s="18">
        <f>'RW predict'!T234</f>
        <v>0</v>
      </c>
      <c r="Y235" s="18">
        <f>'RW predict'!Y234</f>
        <v>0</v>
      </c>
      <c r="Z235" s="18">
        <f>'RW predict'!U234</f>
        <v>0</v>
      </c>
      <c r="AA235" s="18">
        <f>'RW predict'!W234</f>
        <v>0</v>
      </c>
      <c r="AB235" s="17"/>
      <c r="AG235" s="23"/>
      <c r="AI235" s="17"/>
      <c r="AO235" s="23"/>
    </row>
    <row r="236" spans="1:41" x14ac:dyDescent="0.3">
      <c r="A236" s="18">
        <v>233</v>
      </c>
      <c r="B236" s="18" t="str">
        <f>'RW predict'!A235</f>
        <v>Mikhail Sergachev</v>
      </c>
      <c r="C236" s="18" t="str">
        <f>'RW predict'!B235</f>
        <v>TB</v>
      </c>
      <c r="D236" s="22" t="str" cm="1">
        <f t="array" ref="D236">_xlfn.SWITCH('RW predict'!C235, "C", "F", "LW","F", "RW", "F", "D", "D", "G", "G", "other")</f>
        <v>D</v>
      </c>
      <c r="E236" s="32">
        <f t="shared" si="6"/>
        <v>1898</v>
      </c>
      <c r="F236" s="35">
        <f>E236/assumptions!$B$2</f>
        <v>23.146341463414632</v>
      </c>
      <c r="G236" s="36">
        <f t="shared" si="7"/>
        <v>183</v>
      </c>
      <c r="H236" s="18">
        <f>IF(NOT(D236="G"),'RW predict'!E235,0)</f>
        <v>8</v>
      </c>
      <c r="I236" s="18">
        <f>'RW predict'!Q235</f>
        <v>122</v>
      </c>
      <c r="J236" s="18">
        <f>'RW predict'!F235</f>
        <v>29</v>
      </c>
      <c r="K236" s="18"/>
      <c r="L236" s="18"/>
      <c r="M236" s="18">
        <f>'RW predict'!P235</f>
        <v>131</v>
      </c>
      <c r="N236" s="18"/>
      <c r="O236" s="18">
        <f>'RW predict'!H235</f>
        <v>8</v>
      </c>
      <c r="P236" s="18">
        <f>'RW predict'!I235</f>
        <v>54</v>
      </c>
      <c r="Q236" s="18">
        <f>'RW predict'!L235</f>
        <v>2</v>
      </c>
      <c r="R236" s="18">
        <f>'RW predict'!N235</f>
        <v>0</v>
      </c>
      <c r="S236" s="76">
        <f>'RW predict'!O235</f>
        <v>1</v>
      </c>
      <c r="T236" s="76">
        <f>'RW predict'!K235</f>
        <v>1</v>
      </c>
      <c r="U236" s="22">
        <f>'RW predict'!J235</f>
        <v>153</v>
      </c>
      <c r="V236" s="32">
        <f>IF(D236="G",'RW predict'!E235,0)</f>
        <v>0</v>
      </c>
      <c r="W236" s="18">
        <f>'RW predict'!R235</f>
        <v>0</v>
      </c>
      <c r="X236" s="18">
        <f>'RW predict'!T235</f>
        <v>0</v>
      </c>
      <c r="Y236" s="18">
        <f>'RW predict'!Y235</f>
        <v>0</v>
      </c>
      <c r="Z236" s="18">
        <f>'RW predict'!U235</f>
        <v>0</v>
      </c>
      <c r="AA236" s="18">
        <f>'RW predict'!W235</f>
        <v>0</v>
      </c>
      <c r="AB236" s="17"/>
      <c r="AG236" s="23"/>
      <c r="AI236" s="17"/>
      <c r="AO236" s="23"/>
    </row>
    <row r="237" spans="1:41" x14ac:dyDescent="0.3">
      <c r="A237" s="18">
        <v>234</v>
      </c>
      <c r="B237" s="18" t="str">
        <f>'RW predict'!A236</f>
        <v>Dillon Dube</v>
      </c>
      <c r="C237" s="18" t="str">
        <f>'RW predict'!B236</f>
        <v>CGY</v>
      </c>
      <c r="D237" s="22" t="str" cm="1">
        <f t="array" ref="D237">_xlfn.SWITCH('RW predict'!C236, "C", "F", "LW","F", "RW", "F", "D", "D", "G", "G", "other")</f>
        <v>F</v>
      </c>
      <c r="E237" s="32">
        <f t="shared" si="6"/>
        <v>1480</v>
      </c>
      <c r="F237" s="35">
        <f>E237/assumptions!$B$2</f>
        <v>18.048780487804876</v>
      </c>
      <c r="G237" s="36">
        <f t="shared" si="7"/>
        <v>298</v>
      </c>
      <c r="H237" s="18">
        <f>IF(NOT(D237="G"),'RW predict'!E236,0)</f>
        <v>17</v>
      </c>
      <c r="I237" s="18">
        <f>'RW predict'!Q236</f>
        <v>15</v>
      </c>
      <c r="J237" s="18">
        <f>'RW predict'!F236</f>
        <v>19</v>
      </c>
      <c r="K237" s="18"/>
      <c r="L237" s="18"/>
      <c r="M237" s="18">
        <f>'RW predict'!P236</f>
        <v>92</v>
      </c>
      <c r="N237" s="18"/>
      <c r="O237" s="18">
        <f>'RW predict'!H236</f>
        <v>2</v>
      </c>
      <c r="P237" s="18">
        <f>'RW predict'!I236</f>
        <v>20</v>
      </c>
      <c r="Q237" s="18">
        <f>'RW predict'!L236</f>
        <v>2</v>
      </c>
      <c r="R237" s="18">
        <f>'RW predict'!N236</f>
        <v>1</v>
      </c>
      <c r="S237" s="76">
        <f>'RW predict'!O236</f>
        <v>1</v>
      </c>
      <c r="T237" s="76">
        <f>'RW predict'!K236</f>
        <v>2</v>
      </c>
      <c r="U237" s="22">
        <f>'RW predict'!J236</f>
        <v>144</v>
      </c>
      <c r="V237" s="32">
        <f>IF(D237="G",'RW predict'!E236,0)</f>
        <v>0</v>
      </c>
      <c r="W237" s="18">
        <f>'RW predict'!R236</f>
        <v>0</v>
      </c>
      <c r="X237" s="18">
        <f>'RW predict'!T236</f>
        <v>0</v>
      </c>
      <c r="Y237" s="18">
        <f>'RW predict'!Y236</f>
        <v>0</v>
      </c>
      <c r="Z237" s="18">
        <f>'RW predict'!U236</f>
        <v>0</v>
      </c>
      <c r="AA237" s="18">
        <f>'RW predict'!W236</f>
        <v>0</v>
      </c>
      <c r="AB237" s="17"/>
      <c r="AG237" s="23"/>
      <c r="AI237" s="17"/>
      <c r="AO237" s="23"/>
    </row>
    <row r="238" spans="1:41" x14ac:dyDescent="0.3">
      <c r="A238" s="18">
        <v>235</v>
      </c>
      <c r="B238" s="18" t="str">
        <f>'RW predict'!A237</f>
        <v>Filip Hronek</v>
      </c>
      <c r="C238" s="18" t="str">
        <f>'RW predict'!B237</f>
        <v>DET</v>
      </c>
      <c r="D238" s="22" t="str" cm="1">
        <f t="array" ref="D238">_xlfn.SWITCH('RW predict'!C237, "C", "F", "LW","F", "RW", "F", "D", "D", "G", "G", "other")</f>
        <v>D</v>
      </c>
      <c r="E238" s="32">
        <f t="shared" si="6"/>
        <v>1267</v>
      </c>
      <c r="F238" s="35">
        <f>E238/assumptions!$B$2</f>
        <v>15.451219512195122</v>
      </c>
      <c r="G238" s="36">
        <f t="shared" si="7"/>
        <v>379</v>
      </c>
      <c r="H238" s="18">
        <f>IF(NOT(D238="G"),'RW predict'!E237,0)</f>
        <v>4</v>
      </c>
      <c r="I238" s="18">
        <f>'RW predict'!Q237</f>
        <v>74</v>
      </c>
      <c r="J238" s="18">
        <f>'RW predict'!F237</f>
        <v>32</v>
      </c>
      <c r="K238" s="18"/>
      <c r="L238" s="18"/>
      <c r="M238" s="18">
        <f>'RW predict'!P237</f>
        <v>81</v>
      </c>
      <c r="N238" s="18"/>
      <c r="O238" s="18">
        <f>'RW predict'!H237</f>
        <v>-31</v>
      </c>
      <c r="P238" s="18">
        <f>'RW predict'!I237</f>
        <v>44</v>
      </c>
      <c r="Q238" s="18">
        <f>'RW predict'!L237</f>
        <v>2</v>
      </c>
      <c r="R238" s="18">
        <f>'RW predict'!N237</f>
        <v>0</v>
      </c>
      <c r="S238" s="76">
        <f>'RW predict'!O237</f>
        <v>0</v>
      </c>
      <c r="T238" s="76">
        <f>'RW predict'!K237</f>
        <v>0</v>
      </c>
      <c r="U238" s="22">
        <f>'RW predict'!J237</f>
        <v>148</v>
      </c>
      <c r="V238" s="32">
        <f>IF(D238="G",'RW predict'!E237,0)</f>
        <v>0</v>
      </c>
      <c r="W238" s="18">
        <f>'RW predict'!R237</f>
        <v>0</v>
      </c>
      <c r="X238" s="18">
        <f>'RW predict'!T237</f>
        <v>0</v>
      </c>
      <c r="Y238" s="18">
        <f>'RW predict'!Y237</f>
        <v>0</v>
      </c>
      <c r="Z238" s="18">
        <f>'RW predict'!U237</f>
        <v>0</v>
      </c>
      <c r="AA238" s="18">
        <f>'RW predict'!W237</f>
        <v>0</v>
      </c>
      <c r="AB238" s="17"/>
      <c r="AG238" s="23"/>
      <c r="AI238" s="17"/>
      <c r="AO238" s="23"/>
    </row>
    <row r="239" spans="1:41" x14ac:dyDescent="0.3">
      <c r="A239" s="18">
        <v>236</v>
      </c>
      <c r="B239" s="18" t="str">
        <f>'RW predict'!A238</f>
        <v>Frank Vatrano</v>
      </c>
      <c r="C239" s="18" t="str">
        <f>'RW predict'!B238</f>
        <v>ANH</v>
      </c>
      <c r="D239" s="22" t="str" cm="1">
        <f t="array" ref="D239">_xlfn.SWITCH('RW predict'!C238, "C", "F", "LW","F", "RW", "F", "D", "D", "G", "G", "other")</f>
        <v>F</v>
      </c>
      <c r="E239" s="32">
        <f t="shared" si="6"/>
        <v>1581</v>
      </c>
      <c r="F239" s="35">
        <f>E239/assumptions!$B$2</f>
        <v>19.280487804878049</v>
      </c>
      <c r="G239" s="36">
        <f t="shared" si="7"/>
        <v>268</v>
      </c>
      <c r="H239" s="18">
        <f>IF(NOT(D239="G"),'RW predict'!E238,0)</f>
        <v>20</v>
      </c>
      <c r="I239" s="18">
        <f>'RW predict'!Q238</f>
        <v>31</v>
      </c>
      <c r="J239" s="18">
        <f>'RW predict'!F238</f>
        <v>16</v>
      </c>
      <c r="K239" s="18"/>
      <c r="L239" s="18"/>
      <c r="M239" s="18">
        <f>'RW predict'!P238</f>
        <v>79</v>
      </c>
      <c r="N239" s="18"/>
      <c r="O239" s="18">
        <f>'RW predict'!H238</f>
        <v>2</v>
      </c>
      <c r="P239" s="18">
        <f>'RW predict'!I238</f>
        <v>26</v>
      </c>
      <c r="Q239" s="18">
        <f>'RW predict'!L238</f>
        <v>1</v>
      </c>
      <c r="R239" s="18">
        <f>'RW predict'!N238</f>
        <v>0</v>
      </c>
      <c r="S239" s="76">
        <f>'RW predict'!O238</f>
        <v>0</v>
      </c>
      <c r="T239" s="76">
        <f>'RW predict'!K238</f>
        <v>4</v>
      </c>
      <c r="U239" s="22">
        <f>'RW predict'!J238</f>
        <v>176</v>
      </c>
      <c r="V239" s="32">
        <f>IF(D239="G",'RW predict'!E238,0)</f>
        <v>0</v>
      </c>
      <c r="W239" s="18">
        <f>'RW predict'!R238</f>
        <v>0</v>
      </c>
      <c r="X239" s="18">
        <f>'RW predict'!T238</f>
        <v>0</v>
      </c>
      <c r="Y239" s="18">
        <f>'RW predict'!Y238</f>
        <v>0</v>
      </c>
      <c r="Z239" s="18">
        <f>'RW predict'!U238</f>
        <v>0</v>
      </c>
      <c r="AA239" s="18">
        <f>'RW predict'!W238</f>
        <v>0</v>
      </c>
      <c r="AB239" s="17"/>
      <c r="AG239" s="23"/>
      <c r="AI239" s="17"/>
      <c r="AO239" s="23"/>
    </row>
    <row r="240" spans="1:41" x14ac:dyDescent="0.3">
      <c r="A240" s="18">
        <v>237</v>
      </c>
      <c r="B240" s="18" t="str">
        <f>'RW predict'!A239</f>
        <v>Martin Necas</v>
      </c>
      <c r="C240" s="18" t="str">
        <f>'RW predict'!B239</f>
        <v>CAR</v>
      </c>
      <c r="D240" s="22" t="str" cm="1">
        <f t="array" ref="D240">_xlfn.SWITCH('RW predict'!C239, "C", "F", "LW","F", "RW", "F", "D", "D", "G", "G", "other")</f>
        <v>F</v>
      </c>
      <c r="E240" s="32">
        <f t="shared" si="6"/>
        <v>1615</v>
      </c>
      <c r="F240" s="35">
        <f>E240/assumptions!$B$2</f>
        <v>19.695121951219512</v>
      </c>
      <c r="G240" s="36">
        <f t="shared" si="7"/>
        <v>257</v>
      </c>
      <c r="H240" s="18">
        <f>IF(NOT(D240="G"),'RW predict'!E239,0)</f>
        <v>14</v>
      </c>
      <c r="I240" s="18">
        <f>'RW predict'!Q239</f>
        <v>19</v>
      </c>
      <c r="J240" s="18">
        <f>'RW predict'!F239</f>
        <v>22</v>
      </c>
      <c r="K240" s="18"/>
      <c r="L240" s="18"/>
      <c r="M240" s="18">
        <f>'RW predict'!P239</f>
        <v>49</v>
      </c>
      <c r="N240" s="18"/>
      <c r="O240" s="18">
        <f>'RW predict'!H239</f>
        <v>8</v>
      </c>
      <c r="P240" s="18">
        <f>'RW predict'!I239</f>
        <v>26</v>
      </c>
      <c r="Q240" s="18">
        <f>'RW predict'!L239</f>
        <v>4</v>
      </c>
      <c r="R240" s="18">
        <f>'RW predict'!N239</f>
        <v>2</v>
      </c>
      <c r="S240" s="76">
        <f>'RW predict'!O239</f>
        <v>0</v>
      </c>
      <c r="T240" s="76">
        <f>'RW predict'!K239</f>
        <v>4</v>
      </c>
      <c r="U240" s="22">
        <f>'RW predict'!J239</f>
        <v>155</v>
      </c>
      <c r="V240" s="32">
        <f>IF(D240="G",'RW predict'!E239,0)</f>
        <v>0</v>
      </c>
      <c r="W240" s="18">
        <f>'RW predict'!R239</f>
        <v>0</v>
      </c>
      <c r="X240" s="18">
        <f>'RW predict'!T239</f>
        <v>0</v>
      </c>
      <c r="Y240" s="18">
        <f>'RW predict'!Y239</f>
        <v>0</v>
      </c>
      <c r="Z240" s="18">
        <f>'RW predict'!U239</f>
        <v>0</v>
      </c>
      <c r="AA240" s="18">
        <f>'RW predict'!W239</f>
        <v>0</v>
      </c>
      <c r="AB240" s="17"/>
      <c r="AG240" s="23"/>
      <c r="AI240" s="17"/>
      <c r="AO240" s="23"/>
    </row>
    <row r="241" spans="1:41" x14ac:dyDescent="0.3">
      <c r="A241" s="18">
        <v>238</v>
      </c>
      <c r="B241" s="18" t="str">
        <f>'RW predict'!A240</f>
        <v>Joel Farabee</v>
      </c>
      <c r="C241" s="18" t="str">
        <f>'RW predict'!B240</f>
        <v>PHI</v>
      </c>
      <c r="D241" s="22" t="str" cm="1">
        <f t="array" ref="D241">_xlfn.SWITCH('RW predict'!C240, "C", "F", "LW","F", "RW", "F", "D", "D", "G", "G", "other")</f>
        <v>F</v>
      </c>
      <c r="E241" s="32">
        <f t="shared" si="6"/>
        <v>1441</v>
      </c>
      <c r="F241" s="35">
        <f>E241/assumptions!$B$2</f>
        <v>17.573170731707318</v>
      </c>
      <c r="G241" s="36">
        <f t="shared" si="7"/>
        <v>313</v>
      </c>
      <c r="H241" s="18">
        <f>IF(NOT(D241="G"),'RW predict'!E240,0)</f>
        <v>18</v>
      </c>
      <c r="I241" s="18">
        <f>'RW predict'!Q240</f>
        <v>34</v>
      </c>
      <c r="J241" s="18">
        <f>'RW predict'!F240</f>
        <v>18</v>
      </c>
      <c r="K241" s="18"/>
      <c r="L241" s="18"/>
      <c r="M241" s="18">
        <f>'RW predict'!P240</f>
        <v>69</v>
      </c>
      <c r="N241" s="18"/>
      <c r="O241" s="18">
        <f>'RW predict'!H240</f>
        <v>-9</v>
      </c>
      <c r="P241" s="18">
        <f>'RW predict'!I240</f>
        <v>48</v>
      </c>
      <c r="Q241" s="18">
        <f>'RW predict'!L240</f>
        <v>2</v>
      </c>
      <c r="R241" s="18">
        <f>'RW predict'!N240</f>
        <v>1</v>
      </c>
      <c r="S241" s="76">
        <f>'RW predict'!O240</f>
        <v>1</v>
      </c>
      <c r="T241" s="76">
        <f>'RW predict'!K240</f>
        <v>2</v>
      </c>
      <c r="U241" s="22">
        <f>'RW predict'!J240</f>
        <v>130</v>
      </c>
      <c r="V241" s="32">
        <f>IF(D241="G",'RW predict'!E240,0)</f>
        <v>0</v>
      </c>
      <c r="W241" s="18">
        <f>'RW predict'!R240</f>
        <v>0</v>
      </c>
      <c r="X241" s="18">
        <f>'RW predict'!T240</f>
        <v>0</v>
      </c>
      <c r="Y241" s="18">
        <f>'RW predict'!Y240</f>
        <v>0</v>
      </c>
      <c r="Z241" s="18">
        <f>'RW predict'!U240</f>
        <v>0</v>
      </c>
      <c r="AA241" s="18">
        <f>'RW predict'!W240</f>
        <v>0</v>
      </c>
      <c r="AB241" s="17"/>
      <c r="AG241" s="23"/>
      <c r="AI241" s="17"/>
      <c r="AO241" s="23"/>
    </row>
    <row r="242" spans="1:41" x14ac:dyDescent="0.3">
      <c r="A242" s="18">
        <v>239</v>
      </c>
      <c r="B242" s="18" t="str">
        <f>'RW predict'!A241</f>
        <v>Kyle Palmieri</v>
      </c>
      <c r="C242" s="18" t="str">
        <f>'RW predict'!B241</f>
        <v>NYI</v>
      </c>
      <c r="D242" s="22" t="str" cm="1">
        <f t="array" ref="D242">_xlfn.SWITCH('RW predict'!C241, "C", "F", "LW","F", "RW", "F", "D", "D", "G", "G", "other")</f>
        <v>F</v>
      </c>
      <c r="E242" s="32">
        <f t="shared" si="6"/>
        <v>1582</v>
      </c>
      <c r="F242" s="35">
        <f>E242/assumptions!$B$2</f>
        <v>19.292682926829269</v>
      </c>
      <c r="G242" s="36">
        <f t="shared" si="7"/>
        <v>267</v>
      </c>
      <c r="H242" s="18">
        <f>IF(NOT(D242="G"),'RW predict'!E241,0)</f>
        <v>17</v>
      </c>
      <c r="I242" s="18">
        <f>'RW predict'!Q241</f>
        <v>21</v>
      </c>
      <c r="J242" s="18">
        <f>'RW predict'!F241</f>
        <v>19</v>
      </c>
      <c r="K242" s="18"/>
      <c r="L242" s="18"/>
      <c r="M242" s="18">
        <f>'RW predict'!P241</f>
        <v>81</v>
      </c>
      <c r="N242" s="18"/>
      <c r="O242" s="18">
        <f>'RW predict'!H241</f>
        <v>-1</v>
      </c>
      <c r="P242" s="18">
        <f>'RW predict'!I241</f>
        <v>51</v>
      </c>
      <c r="Q242" s="18">
        <f>'RW predict'!L241</f>
        <v>2</v>
      </c>
      <c r="R242" s="18">
        <f>'RW predict'!N241</f>
        <v>0</v>
      </c>
      <c r="S242" s="76">
        <f>'RW predict'!O241</f>
        <v>0</v>
      </c>
      <c r="T242" s="76">
        <f>'RW predict'!K241</f>
        <v>4</v>
      </c>
      <c r="U242" s="22">
        <f>'RW predict'!J241</f>
        <v>158</v>
      </c>
      <c r="V242" s="32">
        <f>IF(D242="G",'RW predict'!E241,0)</f>
        <v>0</v>
      </c>
      <c r="W242" s="18">
        <f>'RW predict'!R241</f>
        <v>0</v>
      </c>
      <c r="X242" s="18">
        <f>'RW predict'!T241</f>
        <v>0</v>
      </c>
      <c r="Y242" s="18">
        <f>'RW predict'!Y241</f>
        <v>0</v>
      </c>
      <c r="Z242" s="18">
        <f>'RW predict'!U241</f>
        <v>0</v>
      </c>
      <c r="AA242" s="18">
        <f>'RW predict'!W241</f>
        <v>0</v>
      </c>
      <c r="AB242" s="17"/>
      <c r="AG242" s="23"/>
      <c r="AI242" s="17"/>
      <c r="AO242" s="23"/>
    </row>
    <row r="243" spans="1:41" x14ac:dyDescent="0.3">
      <c r="A243" s="18">
        <v>240</v>
      </c>
      <c r="B243" s="18" t="str">
        <f>'RW predict'!A242</f>
        <v>Jordan Staal</v>
      </c>
      <c r="C243" s="18" t="str">
        <f>'RW predict'!B242</f>
        <v>CAR</v>
      </c>
      <c r="D243" s="22" t="str" cm="1">
        <f t="array" ref="D243">_xlfn.SWITCH('RW predict'!C242, "C", "F", "LW","F", "RW", "F", "D", "D", "G", "G", "other")</f>
        <v>F</v>
      </c>
      <c r="E243" s="32">
        <f t="shared" si="6"/>
        <v>1688</v>
      </c>
      <c r="F243" s="35">
        <f>E243/assumptions!$B$2</f>
        <v>20.585365853658537</v>
      </c>
      <c r="G243" s="36">
        <f t="shared" si="7"/>
        <v>232</v>
      </c>
      <c r="H243" s="18">
        <f>IF(NOT(D243="G"),'RW predict'!E242,0)</f>
        <v>14</v>
      </c>
      <c r="I243" s="18">
        <f>'RW predict'!Q242</f>
        <v>28</v>
      </c>
      <c r="J243" s="18">
        <f>'RW predict'!F242</f>
        <v>22</v>
      </c>
      <c r="K243" s="18"/>
      <c r="L243" s="18"/>
      <c r="M243" s="18">
        <f>'RW predict'!P242</f>
        <v>186</v>
      </c>
      <c r="N243" s="18"/>
      <c r="O243" s="18">
        <f>'RW predict'!H242</f>
        <v>9</v>
      </c>
      <c r="P243" s="18">
        <f>'RW predict'!I242</f>
        <v>24</v>
      </c>
      <c r="Q243" s="18">
        <f>'RW predict'!L242</f>
        <v>2</v>
      </c>
      <c r="R243" s="18">
        <f>'RW predict'!N242</f>
        <v>1</v>
      </c>
      <c r="S243" s="76">
        <f>'RW predict'!O242</f>
        <v>0</v>
      </c>
      <c r="T243" s="76">
        <f>'RW predict'!K242</f>
        <v>3</v>
      </c>
      <c r="U243" s="22">
        <f>'RW predict'!J242</f>
        <v>142</v>
      </c>
      <c r="V243" s="32">
        <f>IF(D243="G",'RW predict'!E242,0)</f>
        <v>0</v>
      </c>
      <c r="W243" s="18">
        <f>'RW predict'!R242</f>
        <v>0</v>
      </c>
      <c r="X243" s="18">
        <f>'RW predict'!T242</f>
        <v>0</v>
      </c>
      <c r="Y243" s="18">
        <f>'RW predict'!Y242</f>
        <v>0</v>
      </c>
      <c r="Z243" s="18">
        <f>'RW predict'!U242</f>
        <v>0</v>
      </c>
      <c r="AA243" s="18">
        <f>'RW predict'!W242</f>
        <v>0</v>
      </c>
      <c r="AB243" s="17"/>
      <c r="AG243" s="23"/>
      <c r="AI243" s="17"/>
      <c r="AO243" s="23"/>
    </row>
    <row r="244" spans="1:41" x14ac:dyDescent="0.3">
      <c r="A244" s="18">
        <v>241</v>
      </c>
      <c r="B244" s="18" t="str">
        <f>'RW predict'!A243</f>
        <v>Ivan Provorov</v>
      </c>
      <c r="C244" s="18" t="str">
        <f>'RW predict'!B243</f>
        <v>PHI</v>
      </c>
      <c r="D244" s="22" t="str" cm="1">
        <f t="array" ref="D244">_xlfn.SWITCH('RW predict'!C243, "C", "F", "LW","F", "RW", "F", "D", "D", "G", "G", "other")</f>
        <v>D</v>
      </c>
      <c r="E244" s="32">
        <f t="shared" si="6"/>
        <v>1734</v>
      </c>
      <c r="F244" s="35">
        <f>E244/assumptions!$B$2</f>
        <v>21.146341463414632</v>
      </c>
      <c r="G244" s="36">
        <f t="shared" si="7"/>
        <v>219</v>
      </c>
      <c r="H244" s="18">
        <f>IF(NOT(D244="G"),'RW predict'!E243,0)</f>
        <v>11</v>
      </c>
      <c r="I244" s="18">
        <f>'RW predict'!Q243</f>
        <v>175</v>
      </c>
      <c r="J244" s="18">
        <f>'RW predict'!F243</f>
        <v>25</v>
      </c>
      <c r="K244" s="18"/>
      <c r="L244" s="18"/>
      <c r="M244" s="18">
        <f>'RW predict'!P243</f>
        <v>84</v>
      </c>
      <c r="N244" s="18"/>
      <c r="O244" s="18">
        <f>'RW predict'!H243</f>
        <v>-10</v>
      </c>
      <c r="P244" s="18">
        <f>'RW predict'!I243</f>
        <v>36</v>
      </c>
      <c r="Q244" s="18">
        <f>'RW predict'!L243</f>
        <v>2</v>
      </c>
      <c r="R244" s="18">
        <f>'RW predict'!N243</f>
        <v>0</v>
      </c>
      <c r="S244" s="76">
        <f>'RW predict'!O243</f>
        <v>1</v>
      </c>
      <c r="T244" s="76">
        <f>'RW predict'!K243</f>
        <v>1</v>
      </c>
      <c r="U244" s="22">
        <f>'RW predict'!J243</f>
        <v>171</v>
      </c>
      <c r="V244" s="32">
        <f>IF(D244="G",'RW predict'!E243,0)</f>
        <v>0</v>
      </c>
      <c r="W244" s="18">
        <f>'RW predict'!R243</f>
        <v>0</v>
      </c>
      <c r="X244" s="18">
        <f>'RW predict'!T243</f>
        <v>0</v>
      </c>
      <c r="Y244" s="18">
        <f>'RW predict'!Y243</f>
        <v>0</v>
      </c>
      <c r="Z244" s="18">
        <f>'RW predict'!U243</f>
        <v>0</v>
      </c>
      <c r="AA244" s="18">
        <f>'RW predict'!W243</f>
        <v>0</v>
      </c>
      <c r="AB244" s="17"/>
      <c r="AG244" s="23"/>
      <c r="AI244" s="17"/>
      <c r="AO244" s="23"/>
    </row>
    <row r="245" spans="1:41" x14ac:dyDescent="0.3">
      <c r="A245" s="18">
        <v>242</v>
      </c>
      <c r="B245" s="18" t="str">
        <f>'RW predict'!A244</f>
        <v>Jacob Trouba</v>
      </c>
      <c r="C245" s="18" t="str">
        <f>'RW predict'!B244</f>
        <v>NYR</v>
      </c>
      <c r="D245" s="22" t="str" cm="1">
        <f t="array" ref="D245">_xlfn.SWITCH('RW predict'!C244, "C", "F", "LW","F", "RW", "F", "D", "D", "G", "G", "other")</f>
        <v>D</v>
      </c>
      <c r="E245" s="32">
        <f t="shared" si="6"/>
        <v>2286</v>
      </c>
      <c r="F245" s="35">
        <f>E245/assumptions!$B$2</f>
        <v>27.878048780487806</v>
      </c>
      <c r="G245" s="36">
        <f t="shared" si="7"/>
        <v>112</v>
      </c>
      <c r="H245" s="18">
        <f>IF(NOT(D245="G"),'RW predict'!E244,0)</f>
        <v>9</v>
      </c>
      <c r="I245" s="18">
        <f>'RW predict'!Q244</f>
        <v>170</v>
      </c>
      <c r="J245" s="18">
        <f>'RW predict'!F244</f>
        <v>27</v>
      </c>
      <c r="K245" s="18"/>
      <c r="L245" s="18"/>
      <c r="M245" s="18">
        <f>'RW predict'!P244</f>
        <v>198</v>
      </c>
      <c r="N245" s="18"/>
      <c r="O245" s="18">
        <f>'RW predict'!H244</f>
        <v>19</v>
      </c>
      <c r="P245" s="18">
        <f>'RW predict'!I244</f>
        <v>78</v>
      </c>
      <c r="Q245" s="18">
        <f>'RW predict'!L244</f>
        <v>1</v>
      </c>
      <c r="R245" s="18">
        <f>'RW predict'!N244</f>
        <v>0</v>
      </c>
      <c r="S245" s="76">
        <f>'RW predict'!O244</f>
        <v>2</v>
      </c>
      <c r="T245" s="76">
        <f>'RW predict'!K244</f>
        <v>1</v>
      </c>
      <c r="U245" s="22">
        <f>'RW predict'!J244</f>
        <v>187</v>
      </c>
      <c r="V245" s="32">
        <f>IF(D245="G",'RW predict'!E244,0)</f>
        <v>0</v>
      </c>
      <c r="W245" s="18">
        <f>'RW predict'!R244</f>
        <v>0</v>
      </c>
      <c r="X245" s="18">
        <f>'RW predict'!T244</f>
        <v>0</v>
      </c>
      <c r="Y245" s="18">
        <f>'RW predict'!Y244</f>
        <v>0</v>
      </c>
      <c r="Z245" s="18">
        <f>'RW predict'!U244</f>
        <v>0</v>
      </c>
      <c r="AA245" s="18">
        <f>'RW predict'!W244</f>
        <v>0</v>
      </c>
      <c r="AB245" s="17"/>
      <c r="AG245" s="23"/>
      <c r="AI245" s="17"/>
      <c r="AO245" s="23"/>
    </row>
    <row r="246" spans="1:41" x14ac:dyDescent="0.3">
      <c r="A246" s="18">
        <v>243</v>
      </c>
      <c r="B246" s="18" t="str">
        <f>'RW predict'!A245</f>
        <v>Josh Morrissey</v>
      </c>
      <c r="C246" s="18" t="str">
        <f>'RW predict'!B245</f>
        <v>WPG</v>
      </c>
      <c r="D246" s="22" t="str" cm="1">
        <f t="array" ref="D246">_xlfn.SWITCH('RW predict'!C245, "C", "F", "LW","F", "RW", "F", "D", "D", "G", "G", "other")</f>
        <v>D</v>
      </c>
      <c r="E246" s="32">
        <f t="shared" si="6"/>
        <v>1809</v>
      </c>
      <c r="F246" s="35">
        <f>E246/assumptions!$B$2</f>
        <v>22.060975609756099</v>
      </c>
      <c r="G246" s="36">
        <f t="shared" si="7"/>
        <v>200</v>
      </c>
      <c r="H246" s="18">
        <f>IF(NOT(D246="G"),'RW predict'!E245,0)</f>
        <v>8</v>
      </c>
      <c r="I246" s="18">
        <f>'RW predict'!Q245</f>
        <v>107</v>
      </c>
      <c r="J246" s="18">
        <f>'RW predict'!F245</f>
        <v>27</v>
      </c>
      <c r="K246" s="18"/>
      <c r="L246" s="18"/>
      <c r="M246" s="18">
        <f>'RW predict'!P245</f>
        <v>138</v>
      </c>
      <c r="N246" s="18"/>
      <c r="O246" s="18">
        <f>'RW predict'!H245</f>
        <v>-2</v>
      </c>
      <c r="P246" s="18">
        <f>'RW predict'!I245</f>
        <v>62</v>
      </c>
      <c r="Q246" s="18">
        <f>'RW predict'!L245</f>
        <v>3</v>
      </c>
      <c r="R246" s="18">
        <f>'RW predict'!N245</f>
        <v>0</v>
      </c>
      <c r="S246" s="76">
        <f>'RW predict'!O245</f>
        <v>0</v>
      </c>
      <c r="T246" s="76">
        <f>'RW predict'!K245</f>
        <v>2</v>
      </c>
      <c r="U246" s="22">
        <f>'RW predict'!J245</f>
        <v>173</v>
      </c>
      <c r="V246" s="32">
        <f>IF(D246="G",'RW predict'!E245,0)</f>
        <v>0</v>
      </c>
      <c r="W246" s="18">
        <f>'RW predict'!R245</f>
        <v>0</v>
      </c>
      <c r="X246" s="18">
        <f>'RW predict'!T245</f>
        <v>0</v>
      </c>
      <c r="Y246" s="18">
        <f>'RW predict'!Y245</f>
        <v>0</v>
      </c>
      <c r="Z246" s="18">
        <f>'RW predict'!U245</f>
        <v>0</v>
      </c>
      <c r="AA246" s="18">
        <f>'RW predict'!W245</f>
        <v>0</v>
      </c>
      <c r="AB246" s="17"/>
      <c r="AG246" s="23"/>
      <c r="AI246" s="17"/>
      <c r="AO246" s="23"/>
    </row>
    <row r="247" spans="1:41" x14ac:dyDescent="0.3">
      <c r="A247" s="18">
        <v>244</v>
      </c>
      <c r="B247" s="18" t="str">
        <f>'RW predict'!A246</f>
        <v>Max Domi</v>
      </c>
      <c r="C247" s="18" t="str">
        <f>'RW predict'!B246</f>
        <v>CHI</v>
      </c>
      <c r="D247" s="22" t="str" cm="1">
        <f t="array" ref="D247">_xlfn.SWITCH('RW predict'!C246, "C", "F", "LW","F", "RW", "F", "D", "D", "G", "G", "other")</f>
        <v>F</v>
      </c>
      <c r="E247" s="32">
        <f t="shared" si="6"/>
        <v>1198</v>
      </c>
      <c r="F247" s="35">
        <f>E247/assumptions!$B$2</f>
        <v>14.609756097560975</v>
      </c>
      <c r="G247" s="36">
        <f t="shared" si="7"/>
        <v>403</v>
      </c>
      <c r="H247" s="18">
        <f>IF(NOT(D247="G"),'RW predict'!E246,0)</f>
        <v>10</v>
      </c>
      <c r="I247" s="18">
        <f>'RW predict'!Q246</f>
        <v>10</v>
      </c>
      <c r="J247" s="18">
        <f>'RW predict'!F246</f>
        <v>25</v>
      </c>
      <c r="K247" s="18"/>
      <c r="L247" s="18"/>
      <c r="M247" s="18">
        <f>'RW predict'!P246</f>
        <v>24</v>
      </c>
      <c r="N247" s="18"/>
      <c r="O247" s="18">
        <f>'RW predict'!H246</f>
        <v>-16</v>
      </c>
      <c r="P247" s="18">
        <f>'RW predict'!I246</f>
        <v>61</v>
      </c>
      <c r="Q247" s="18">
        <f>'RW predict'!L246</f>
        <v>0</v>
      </c>
      <c r="R247" s="18">
        <f>'RW predict'!N246</f>
        <v>0</v>
      </c>
      <c r="S247" s="76">
        <f>'RW predict'!O246</f>
        <v>0</v>
      </c>
      <c r="T247" s="76">
        <f>'RW predict'!K246</f>
        <v>1</v>
      </c>
      <c r="U247" s="22">
        <f>'RW predict'!J246</f>
        <v>118</v>
      </c>
      <c r="V247" s="32">
        <f>IF(D247="G",'RW predict'!E246,0)</f>
        <v>0</v>
      </c>
      <c r="W247" s="18">
        <f>'RW predict'!R246</f>
        <v>0</v>
      </c>
      <c r="X247" s="18">
        <f>'RW predict'!T246</f>
        <v>0</v>
      </c>
      <c r="Y247" s="18">
        <f>'RW predict'!Y246</f>
        <v>0</v>
      </c>
      <c r="Z247" s="18">
        <f>'RW predict'!U246</f>
        <v>0</v>
      </c>
      <c r="AA247" s="18">
        <f>'RW predict'!W246</f>
        <v>0</v>
      </c>
      <c r="AB247" s="17"/>
      <c r="AG247" s="23"/>
      <c r="AI247" s="17"/>
      <c r="AO247" s="23"/>
    </row>
    <row r="248" spans="1:41" x14ac:dyDescent="0.3">
      <c r="A248" s="18">
        <v>245</v>
      </c>
      <c r="B248" s="18" t="str">
        <f>'RW predict'!A247</f>
        <v>Jordan Greenway</v>
      </c>
      <c r="C248" s="18" t="str">
        <f>'RW predict'!B247</f>
        <v>MIN</v>
      </c>
      <c r="D248" s="22" t="str" cm="1">
        <f t="array" ref="D248">_xlfn.SWITCH('RW predict'!C247, "C", "F", "LW","F", "RW", "F", "D", "D", "G", "G", "other")</f>
        <v>F</v>
      </c>
      <c r="E248" s="32">
        <f t="shared" si="6"/>
        <v>1886</v>
      </c>
      <c r="F248" s="35">
        <f>E248/assumptions!$B$2</f>
        <v>23</v>
      </c>
      <c r="G248" s="36">
        <f t="shared" si="7"/>
        <v>184</v>
      </c>
      <c r="H248" s="18">
        <f>IF(NOT(D248="G"),'RW predict'!E247,0)</f>
        <v>11</v>
      </c>
      <c r="I248" s="18">
        <f>'RW predict'!Q247</f>
        <v>41</v>
      </c>
      <c r="J248" s="18">
        <f>'RW predict'!F247</f>
        <v>24</v>
      </c>
      <c r="K248" s="18"/>
      <c r="L248" s="18"/>
      <c r="M248" s="18">
        <f>'RW predict'!P247</f>
        <v>163</v>
      </c>
      <c r="N248" s="18"/>
      <c r="O248" s="18">
        <f>'RW predict'!H247</f>
        <v>22</v>
      </c>
      <c r="P248" s="18">
        <f>'RW predict'!I247</f>
        <v>70</v>
      </c>
      <c r="Q248" s="18">
        <f>'RW predict'!L247</f>
        <v>1</v>
      </c>
      <c r="R248" s="18">
        <f>'RW predict'!N247</f>
        <v>1</v>
      </c>
      <c r="S248" s="76">
        <f>'RW predict'!O247</f>
        <v>0</v>
      </c>
      <c r="T248" s="76">
        <f>'RW predict'!K247</f>
        <v>3</v>
      </c>
      <c r="U248" s="22">
        <f>'RW predict'!J247</f>
        <v>123</v>
      </c>
      <c r="V248" s="32">
        <f>IF(D248="G",'RW predict'!E247,0)</f>
        <v>0</v>
      </c>
      <c r="W248" s="18">
        <f>'RW predict'!R247</f>
        <v>0</v>
      </c>
      <c r="X248" s="18">
        <f>'RW predict'!T247</f>
        <v>0</v>
      </c>
      <c r="Y248" s="18">
        <f>'RW predict'!Y247</f>
        <v>0</v>
      </c>
      <c r="Z248" s="18">
        <f>'RW predict'!U247</f>
        <v>0</v>
      </c>
      <c r="AA248" s="18">
        <f>'RW predict'!W247</f>
        <v>0</v>
      </c>
      <c r="AB248" s="17"/>
      <c r="AG248" s="23"/>
      <c r="AI248" s="17"/>
      <c r="AO248" s="23"/>
    </row>
    <row r="249" spans="1:41" x14ac:dyDescent="0.3">
      <c r="A249" s="18">
        <v>246</v>
      </c>
      <c r="B249" s="18" t="str">
        <f>'RW predict'!A248</f>
        <v>Frederick Gaudreau</v>
      </c>
      <c r="C249" s="18" t="str">
        <f>'RW predict'!B248</f>
        <v>MIN</v>
      </c>
      <c r="D249" s="22" t="str" cm="1">
        <f t="array" ref="D249">_xlfn.SWITCH('RW predict'!C248, "C", "F", "LW","F", "RW", "F", "D", "D", "G", "G", "other")</f>
        <v>F</v>
      </c>
      <c r="E249" s="32">
        <f t="shared" si="6"/>
        <v>1502</v>
      </c>
      <c r="F249" s="35">
        <f>E249/assumptions!$B$2</f>
        <v>18.317073170731707</v>
      </c>
      <c r="G249" s="36">
        <f t="shared" si="7"/>
        <v>289</v>
      </c>
      <c r="H249" s="18">
        <f>IF(NOT(D249="G"),'RW predict'!E248,0)</f>
        <v>11</v>
      </c>
      <c r="I249" s="18">
        <f>'RW predict'!Q248</f>
        <v>38</v>
      </c>
      <c r="J249" s="18">
        <f>'RW predict'!F248</f>
        <v>24</v>
      </c>
      <c r="K249" s="18"/>
      <c r="L249" s="18"/>
      <c r="M249" s="18">
        <f>'RW predict'!P248</f>
        <v>43</v>
      </c>
      <c r="N249" s="18"/>
      <c r="O249" s="18">
        <f>'RW predict'!H248</f>
        <v>12</v>
      </c>
      <c r="P249" s="18">
        <f>'RW predict'!I248</f>
        <v>8</v>
      </c>
      <c r="Q249" s="18">
        <f>'RW predict'!L248</f>
        <v>1</v>
      </c>
      <c r="R249" s="18">
        <f>'RW predict'!N248</f>
        <v>0</v>
      </c>
      <c r="S249" s="76">
        <f>'RW predict'!O248</f>
        <v>1</v>
      </c>
      <c r="T249" s="76">
        <f>'RW predict'!K248</f>
        <v>3</v>
      </c>
      <c r="U249" s="22">
        <f>'RW predict'!J248</f>
        <v>142</v>
      </c>
      <c r="V249" s="32">
        <f>IF(D249="G",'RW predict'!E248,0)</f>
        <v>0</v>
      </c>
      <c r="W249" s="18">
        <f>'RW predict'!R248</f>
        <v>0</v>
      </c>
      <c r="X249" s="18">
        <f>'RW predict'!T248</f>
        <v>0</v>
      </c>
      <c r="Y249" s="18">
        <f>'RW predict'!Y248</f>
        <v>0</v>
      </c>
      <c r="Z249" s="18">
        <f>'RW predict'!U248</f>
        <v>0</v>
      </c>
      <c r="AA249" s="18">
        <f>'RW predict'!W248</f>
        <v>0</v>
      </c>
      <c r="AB249" s="17"/>
      <c r="AG249" s="23"/>
      <c r="AI249" s="17"/>
      <c r="AO249" s="23"/>
    </row>
    <row r="250" spans="1:41" x14ac:dyDescent="0.3">
      <c r="A250" s="18">
        <v>247</v>
      </c>
      <c r="B250" s="18" t="str">
        <f>'RW predict'!A249</f>
        <v>Ryan Suter</v>
      </c>
      <c r="C250" s="18" t="str">
        <f>'RW predict'!B249</f>
        <v>DAL</v>
      </c>
      <c r="D250" s="22" t="str" cm="1">
        <f t="array" ref="D250">_xlfn.SWITCH('RW predict'!C249, "C", "F", "LW","F", "RW", "F", "D", "D", "G", "G", "other")</f>
        <v>D</v>
      </c>
      <c r="E250" s="32">
        <f t="shared" si="6"/>
        <v>1509</v>
      </c>
      <c r="F250" s="35">
        <f>E250/assumptions!$B$2</f>
        <v>18.402439024390244</v>
      </c>
      <c r="G250" s="36">
        <f t="shared" si="7"/>
        <v>288</v>
      </c>
      <c r="H250" s="18">
        <f>IF(NOT(D250="G"),'RW predict'!E249,0)</f>
        <v>7</v>
      </c>
      <c r="I250" s="18">
        <f>'RW predict'!Q249</f>
        <v>82</v>
      </c>
      <c r="J250" s="18">
        <f>'RW predict'!F249</f>
        <v>28</v>
      </c>
      <c r="K250" s="18"/>
      <c r="L250" s="18"/>
      <c r="M250" s="18">
        <f>'RW predict'!P249</f>
        <v>44</v>
      </c>
      <c r="N250" s="18"/>
      <c r="O250" s="18">
        <f>'RW predict'!H249</f>
        <v>3</v>
      </c>
      <c r="P250" s="18">
        <f>'RW predict'!I249</f>
        <v>32</v>
      </c>
      <c r="Q250" s="18">
        <f>'RW predict'!L249</f>
        <v>3</v>
      </c>
      <c r="R250" s="18">
        <f>'RW predict'!N249</f>
        <v>0</v>
      </c>
      <c r="S250" s="76">
        <f>'RW predict'!O249</f>
        <v>1</v>
      </c>
      <c r="T250" s="76">
        <f>'RW predict'!K249</f>
        <v>1</v>
      </c>
      <c r="U250" s="22">
        <f>'RW predict'!J249</f>
        <v>120</v>
      </c>
      <c r="V250" s="32">
        <f>IF(D250="G",'RW predict'!E249,0)</f>
        <v>0</v>
      </c>
      <c r="W250" s="18">
        <f>'RW predict'!R249</f>
        <v>0</v>
      </c>
      <c r="X250" s="18">
        <f>'RW predict'!T249</f>
        <v>0</v>
      </c>
      <c r="Y250" s="18">
        <f>'RW predict'!Y249</f>
        <v>0</v>
      </c>
      <c r="Z250" s="18">
        <f>'RW predict'!U249</f>
        <v>0</v>
      </c>
      <c r="AA250" s="18">
        <f>'RW predict'!W249</f>
        <v>0</v>
      </c>
      <c r="AB250" s="17"/>
      <c r="AG250" s="23"/>
      <c r="AI250" s="17"/>
      <c r="AO250" s="23"/>
    </row>
    <row r="251" spans="1:41" x14ac:dyDescent="0.3">
      <c r="A251" s="18">
        <v>248</v>
      </c>
      <c r="B251" s="18" t="str">
        <f>'RW predict'!A250</f>
        <v>Erik Haula</v>
      </c>
      <c r="C251" s="18" t="str">
        <f>'RW predict'!B250</f>
        <v>NJ</v>
      </c>
      <c r="D251" s="22" t="str" cm="1">
        <f t="array" ref="D251">_xlfn.SWITCH('RW predict'!C250, "C", "F", "LW","F", "RW", "F", "D", "D", "G", "G", "other")</f>
        <v>F</v>
      </c>
      <c r="E251" s="32">
        <f t="shared" si="6"/>
        <v>1583</v>
      </c>
      <c r="F251" s="35">
        <f>E251/assumptions!$B$2</f>
        <v>19.304878048780488</v>
      </c>
      <c r="G251" s="36">
        <f t="shared" si="7"/>
        <v>265</v>
      </c>
      <c r="H251" s="18">
        <f>IF(NOT(D251="G"),'RW predict'!E250,0)</f>
        <v>14</v>
      </c>
      <c r="I251" s="18">
        <f>'RW predict'!Q250</f>
        <v>34</v>
      </c>
      <c r="J251" s="18">
        <f>'RW predict'!F250</f>
        <v>21</v>
      </c>
      <c r="K251" s="18"/>
      <c r="L251" s="18"/>
      <c r="M251" s="18">
        <f>'RW predict'!P250</f>
        <v>118</v>
      </c>
      <c r="N251" s="18"/>
      <c r="O251" s="18">
        <f>'RW predict'!H250</f>
        <v>4</v>
      </c>
      <c r="P251" s="18">
        <f>'RW predict'!I250</f>
        <v>44</v>
      </c>
      <c r="Q251" s="18">
        <f>'RW predict'!L250</f>
        <v>1</v>
      </c>
      <c r="R251" s="18">
        <f>'RW predict'!N250</f>
        <v>1</v>
      </c>
      <c r="S251" s="76">
        <f>'RW predict'!O250</f>
        <v>0</v>
      </c>
      <c r="T251" s="76">
        <f>'RW predict'!K250</f>
        <v>3</v>
      </c>
      <c r="U251" s="22">
        <f>'RW predict'!J250</f>
        <v>130</v>
      </c>
      <c r="V251" s="32">
        <f>IF(D251="G",'RW predict'!E250,0)</f>
        <v>0</v>
      </c>
      <c r="W251" s="18">
        <f>'RW predict'!R250</f>
        <v>0</v>
      </c>
      <c r="X251" s="18">
        <f>'RW predict'!T250</f>
        <v>0</v>
      </c>
      <c r="Y251" s="18">
        <f>'RW predict'!Y250</f>
        <v>0</v>
      </c>
      <c r="Z251" s="18">
        <f>'RW predict'!U250</f>
        <v>0</v>
      </c>
      <c r="AA251" s="18">
        <f>'RW predict'!W250</f>
        <v>0</v>
      </c>
      <c r="AB251" s="17"/>
      <c r="AG251" s="23"/>
      <c r="AI251" s="17"/>
      <c r="AO251" s="23"/>
    </row>
    <row r="252" spans="1:41" x14ac:dyDescent="0.3">
      <c r="A252" s="18">
        <v>249</v>
      </c>
      <c r="B252" s="18" t="str">
        <f>'RW predict'!A251</f>
        <v>Philip Tomasino</v>
      </c>
      <c r="C252" s="18" t="str">
        <f>'RW predict'!B251</f>
        <v>NSH</v>
      </c>
      <c r="D252" s="22" t="str" cm="1">
        <f t="array" ref="D252">_xlfn.SWITCH('RW predict'!C251, "C", "F", "LW","F", "RW", "F", "D", "D", "G", "G", "other")</f>
        <v>F</v>
      </c>
      <c r="E252" s="32">
        <f t="shared" si="6"/>
        <v>1350</v>
      </c>
      <c r="F252" s="35">
        <f>E252/assumptions!$B$2</f>
        <v>16.463414634146343</v>
      </c>
      <c r="G252" s="36">
        <f t="shared" si="7"/>
        <v>343</v>
      </c>
      <c r="H252" s="18">
        <f>IF(NOT(D252="G"),'RW predict'!E251,0)</f>
        <v>12</v>
      </c>
      <c r="I252" s="18">
        <f>'RW predict'!Q251</f>
        <v>30</v>
      </c>
      <c r="J252" s="18">
        <f>'RW predict'!F251</f>
        <v>23</v>
      </c>
      <c r="K252" s="18"/>
      <c r="L252" s="18"/>
      <c r="M252" s="18">
        <f>'RW predict'!P251</f>
        <v>53</v>
      </c>
      <c r="N252" s="18"/>
      <c r="O252" s="18">
        <f>'RW predict'!H251</f>
        <v>3</v>
      </c>
      <c r="P252" s="18">
        <f>'RW predict'!I251</f>
        <v>10</v>
      </c>
      <c r="Q252" s="18">
        <f>'RW predict'!L251</f>
        <v>2</v>
      </c>
      <c r="R252" s="18">
        <f>'RW predict'!N251</f>
        <v>0</v>
      </c>
      <c r="S252" s="76">
        <f>'RW predict'!O251</f>
        <v>0</v>
      </c>
      <c r="T252" s="76">
        <f>'RW predict'!K251</f>
        <v>2</v>
      </c>
      <c r="U252" s="22">
        <f>'RW predict'!J251</f>
        <v>121</v>
      </c>
      <c r="V252" s="32">
        <f>IF(D252="G",'RW predict'!E251,0)</f>
        <v>0</v>
      </c>
      <c r="W252" s="18">
        <f>'RW predict'!R251</f>
        <v>0</v>
      </c>
      <c r="X252" s="18">
        <f>'RW predict'!T251</f>
        <v>0</v>
      </c>
      <c r="Y252" s="18">
        <f>'RW predict'!Y251</f>
        <v>0</v>
      </c>
      <c r="Z252" s="18">
        <f>'RW predict'!U251</f>
        <v>0</v>
      </c>
      <c r="AA252" s="18">
        <f>'RW predict'!W251</f>
        <v>0</v>
      </c>
      <c r="AB252" s="17"/>
      <c r="AG252" s="23"/>
      <c r="AI252" s="17"/>
      <c r="AO252" s="23"/>
    </row>
    <row r="253" spans="1:41" x14ac:dyDescent="0.3">
      <c r="A253" s="18">
        <v>250</v>
      </c>
      <c r="B253" s="18" t="str">
        <f>'RW predict'!A252</f>
        <v>Ilya Mikheyev</v>
      </c>
      <c r="C253" s="18" t="str">
        <f>'RW predict'!B252</f>
        <v>VAN</v>
      </c>
      <c r="D253" s="22" t="str" cm="1">
        <f t="array" ref="D253">_xlfn.SWITCH('RW predict'!C252, "C", "F", "LW","F", "RW", "F", "D", "D", "G", "G", "other")</f>
        <v>F</v>
      </c>
      <c r="E253" s="32">
        <f t="shared" si="6"/>
        <v>1643</v>
      </c>
      <c r="F253" s="35">
        <f>E253/assumptions!$B$2</f>
        <v>20.036585365853657</v>
      </c>
      <c r="G253" s="36">
        <f t="shared" si="7"/>
        <v>247</v>
      </c>
      <c r="H253" s="18">
        <f>IF(NOT(D253="G"),'RW predict'!E252,0)</f>
        <v>20</v>
      </c>
      <c r="I253" s="18">
        <f>'RW predict'!Q252</f>
        <v>26</v>
      </c>
      <c r="J253" s="18">
        <f>'RW predict'!F252</f>
        <v>15</v>
      </c>
      <c r="K253" s="18"/>
      <c r="L253" s="18"/>
      <c r="M253" s="18">
        <f>'RW predict'!P252</f>
        <v>66</v>
      </c>
      <c r="N253" s="18"/>
      <c r="O253" s="18">
        <f>'RW predict'!H252</f>
        <v>5</v>
      </c>
      <c r="P253" s="18">
        <f>'RW predict'!I252</f>
        <v>26</v>
      </c>
      <c r="Q253" s="18">
        <f>'RW predict'!L252</f>
        <v>4</v>
      </c>
      <c r="R253" s="18">
        <f>'RW predict'!N252</f>
        <v>2</v>
      </c>
      <c r="S253" s="76">
        <f>'RW predict'!O252</f>
        <v>1</v>
      </c>
      <c r="T253" s="76">
        <f>'RW predict'!K252</f>
        <v>4</v>
      </c>
      <c r="U253" s="22">
        <f>'RW predict'!J252</f>
        <v>176</v>
      </c>
      <c r="V253" s="32">
        <f>IF(D253="G",'RW predict'!E252,0)</f>
        <v>0</v>
      </c>
      <c r="W253" s="18">
        <f>'RW predict'!R252</f>
        <v>0</v>
      </c>
      <c r="X253" s="18">
        <f>'RW predict'!T252</f>
        <v>0</v>
      </c>
      <c r="Y253" s="18">
        <f>'RW predict'!Y252</f>
        <v>0</v>
      </c>
      <c r="Z253" s="18">
        <f>'RW predict'!U252</f>
        <v>0</v>
      </c>
      <c r="AA253" s="18">
        <f>'RW predict'!W252</f>
        <v>0</v>
      </c>
      <c r="AB253" s="17"/>
      <c r="AG253" s="23"/>
      <c r="AI253" s="17"/>
      <c r="AO253" s="23"/>
    </row>
    <row r="254" spans="1:41" x14ac:dyDescent="0.3">
      <c r="A254" s="18">
        <v>251</v>
      </c>
      <c r="B254" s="18" t="str">
        <f>'RW predict'!A253</f>
        <v>Jamie Drysdale</v>
      </c>
      <c r="C254" s="18" t="str">
        <f>'RW predict'!B253</f>
        <v>ANH</v>
      </c>
      <c r="D254" s="22" t="str" cm="1">
        <f t="array" ref="D254">_xlfn.SWITCH('RW predict'!C253, "C", "F", "LW","F", "RW", "F", "D", "D", "G", "G", "other")</f>
        <v>D</v>
      </c>
      <c r="E254" s="32">
        <f t="shared" si="6"/>
        <v>1169</v>
      </c>
      <c r="F254" s="35">
        <f>E254/assumptions!$B$2</f>
        <v>14.25609756097561</v>
      </c>
      <c r="G254" s="36">
        <f t="shared" si="7"/>
        <v>416</v>
      </c>
      <c r="H254" s="18">
        <f>IF(NOT(D254="G"),'RW predict'!E253,0)</f>
        <v>5</v>
      </c>
      <c r="I254" s="18">
        <f>'RW predict'!Q253</f>
        <v>78</v>
      </c>
      <c r="J254" s="18">
        <f>'RW predict'!F253</f>
        <v>30</v>
      </c>
      <c r="K254" s="18"/>
      <c r="L254" s="18"/>
      <c r="M254" s="18">
        <f>'RW predict'!P253</f>
        <v>36</v>
      </c>
      <c r="N254" s="18"/>
      <c r="O254" s="18">
        <f>'RW predict'!H253</f>
        <v>-23</v>
      </c>
      <c r="P254" s="18">
        <f>'RW predict'!I253</f>
        <v>14</v>
      </c>
      <c r="Q254" s="18">
        <f>'RW predict'!L253</f>
        <v>0</v>
      </c>
      <c r="R254" s="18">
        <f>'RW predict'!N253</f>
        <v>0</v>
      </c>
      <c r="S254" s="76">
        <f>'RW predict'!O253</f>
        <v>0</v>
      </c>
      <c r="T254" s="76">
        <f>'RW predict'!K253</f>
        <v>1</v>
      </c>
      <c r="U254" s="22">
        <f>'RW predict'!J253</f>
        <v>135</v>
      </c>
      <c r="V254" s="32">
        <f>IF(D254="G",'RW predict'!E253,0)</f>
        <v>0</v>
      </c>
      <c r="W254" s="18">
        <f>'RW predict'!R253</f>
        <v>0</v>
      </c>
      <c r="X254" s="18">
        <f>'RW predict'!T253</f>
        <v>0</v>
      </c>
      <c r="Y254" s="18">
        <f>'RW predict'!Y253</f>
        <v>0</v>
      </c>
      <c r="Z254" s="18">
        <f>'RW predict'!U253</f>
        <v>0</v>
      </c>
      <c r="AA254" s="18">
        <f>'RW predict'!W253</f>
        <v>0</v>
      </c>
      <c r="AB254" s="17"/>
      <c r="AG254" s="23"/>
      <c r="AI254" s="17"/>
      <c r="AO254" s="23"/>
    </row>
    <row r="255" spans="1:41" x14ac:dyDescent="0.3">
      <c r="A255" s="18">
        <v>252</v>
      </c>
      <c r="B255" s="18" t="str">
        <f>'RW predict'!A254</f>
        <v>Shane Wright</v>
      </c>
      <c r="C255" s="18" t="str">
        <f>'RW predict'!B254</f>
        <v>SEA</v>
      </c>
      <c r="D255" s="22" t="str" cm="1">
        <f t="array" ref="D255">_xlfn.SWITCH('RW predict'!C254, "C", "F", "LW","F", "RW", "F", "D", "D", "G", "G", "other")</f>
        <v>F</v>
      </c>
      <c r="E255" s="32">
        <f t="shared" si="6"/>
        <v>968</v>
      </c>
      <c r="F255" s="35">
        <f>E255/assumptions!$B$2</f>
        <v>11.804878048780488</v>
      </c>
      <c r="G255" s="36">
        <f t="shared" si="7"/>
        <v>502</v>
      </c>
      <c r="H255" s="18">
        <f>IF(NOT(D255="G"),'RW predict'!E254,0)</f>
        <v>13</v>
      </c>
      <c r="I255" s="18">
        <f>'RW predict'!Q254</f>
        <v>22</v>
      </c>
      <c r="J255" s="18">
        <f>'RW predict'!F254</f>
        <v>22</v>
      </c>
      <c r="K255" s="18"/>
      <c r="L255" s="18"/>
      <c r="M255" s="18">
        <f>'RW predict'!P254</f>
        <v>29</v>
      </c>
      <c r="N255" s="18"/>
      <c r="O255" s="18">
        <f>'RW predict'!H254</f>
        <v>0</v>
      </c>
      <c r="P255" s="18">
        <f>'RW predict'!I254</f>
        <v>0</v>
      </c>
      <c r="Q255" s="18">
        <f>'RW predict'!L254</f>
        <v>0</v>
      </c>
      <c r="R255" s="18">
        <f>'RW predict'!N254</f>
        <v>0</v>
      </c>
      <c r="S255" s="76">
        <f>'RW predict'!O254</f>
        <v>0</v>
      </c>
      <c r="T255" s="76">
        <f>'RW predict'!K254</f>
        <v>1</v>
      </c>
      <c r="U255" s="22">
        <f>'RW predict'!J254</f>
        <v>0</v>
      </c>
      <c r="V255" s="32">
        <f>IF(D255="G",'RW predict'!E254,0)</f>
        <v>0</v>
      </c>
      <c r="W255" s="18">
        <f>'RW predict'!R254</f>
        <v>0</v>
      </c>
      <c r="X255" s="18">
        <f>'RW predict'!T254</f>
        <v>0</v>
      </c>
      <c r="Y255" s="18">
        <f>'RW predict'!Y254</f>
        <v>0</v>
      </c>
      <c r="Z255" s="18">
        <f>'RW predict'!U254</f>
        <v>0</v>
      </c>
      <c r="AA255" s="18">
        <f>'RW predict'!W254</f>
        <v>0</v>
      </c>
      <c r="AB255" s="17"/>
      <c r="AG255" s="23"/>
      <c r="AI255" s="17"/>
      <c r="AO255" s="23"/>
    </row>
    <row r="256" spans="1:41" x14ac:dyDescent="0.3">
      <c r="A256" s="18">
        <v>253</v>
      </c>
      <c r="B256" s="18" t="str">
        <f>'RW predict'!A255</f>
        <v>Conor Sheary</v>
      </c>
      <c r="C256" s="18" t="str">
        <f>'RW predict'!B255</f>
        <v>WAS</v>
      </c>
      <c r="D256" s="22" t="str" cm="1">
        <f t="array" ref="D256">_xlfn.SWITCH('RW predict'!C255, "C", "F", "LW","F", "RW", "F", "D", "D", "G", "G", "other")</f>
        <v>F</v>
      </c>
      <c r="E256" s="32">
        <f t="shared" si="6"/>
        <v>1441</v>
      </c>
      <c r="F256" s="35">
        <f>E256/assumptions!$B$2</f>
        <v>17.573170731707318</v>
      </c>
      <c r="G256" s="36">
        <f t="shared" si="7"/>
        <v>313</v>
      </c>
      <c r="H256" s="18">
        <f>IF(NOT(D256="G"),'RW predict'!E255,0)</f>
        <v>16</v>
      </c>
      <c r="I256" s="18">
        <f>'RW predict'!Q255</f>
        <v>42</v>
      </c>
      <c r="J256" s="18">
        <f>'RW predict'!F255</f>
        <v>19</v>
      </c>
      <c r="K256" s="18"/>
      <c r="L256" s="18"/>
      <c r="M256" s="18">
        <f>'RW predict'!P255</f>
        <v>44</v>
      </c>
      <c r="N256" s="18"/>
      <c r="O256" s="18">
        <f>'RW predict'!H255</f>
        <v>2</v>
      </c>
      <c r="P256" s="18">
        <f>'RW predict'!I255</f>
        <v>16</v>
      </c>
      <c r="Q256" s="18">
        <f>'RW predict'!L255</f>
        <v>2</v>
      </c>
      <c r="R256" s="18">
        <f>'RW predict'!N255</f>
        <v>0</v>
      </c>
      <c r="S256" s="76">
        <f>'RW predict'!O255</f>
        <v>0</v>
      </c>
      <c r="T256" s="76">
        <f>'RW predict'!K255</f>
        <v>4</v>
      </c>
      <c r="U256" s="22">
        <f>'RW predict'!J255</f>
        <v>135</v>
      </c>
      <c r="V256" s="32">
        <f>IF(D256="G",'RW predict'!E255,0)</f>
        <v>0</v>
      </c>
      <c r="W256" s="18">
        <f>'RW predict'!R255</f>
        <v>0</v>
      </c>
      <c r="X256" s="18">
        <f>'RW predict'!T255</f>
        <v>0</v>
      </c>
      <c r="Y256" s="18">
        <f>'RW predict'!Y255</f>
        <v>0</v>
      </c>
      <c r="Z256" s="18">
        <f>'RW predict'!U255</f>
        <v>0</v>
      </c>
      <c r="AA256" s="18">
        <f>'RW predict'!W255</f>
        <v>0</v>
      </c>
      <c r="AB256" s="17"/>
      <c r="AG256" s="23"/>
      <c r="AI256" s="17"/>
      <c r="AO256" s="23"/>
    </row>
    <row r="257" spans="1:41" x14ac:dyDescent="0.3">
      <c r="A257" s="18">
        <v>254</v>
      </c>
      <c r="B257" s="18" t="str">
        <f>'RW predict'!A256</f>
        <v>Vince Dunn</v>
      </c>
      <c r="C257" s="18" t="str">
        <f>'RW predict'!B256</f>
        <v>SEA</v>
      </c>
      <c r="D257" s="22" t="str" cm="1">
        <f t="array" ref="D257">_xlfn.SWITCH('RW predict'!C256, "C", "F", "LW","F", "RW", "F", "D", "D", "G", "G", "other")</f>
        <v>D</v>
      </c>
      <c r="E257" s="32">
        <f t="shared" si="6"/>
        <v>1458</v>
      </c>
      <c r="F257" s="35">
        <f>E257/assumptions!$B$2</f>
        <v>17.780487804878049</v>
      </c>
      <c r="G257" s="36">
        <f t="shared" si="7"/>
        <v>306</v>
      </c>
      <c r="H257" s="18">
        <f>IF(NOT(D257="G"),'RW predict'!E256,0)</f>
        <v>8</v>
      </c>
      <c r="I257" s="18">
        <f>'RW predict'!Q256</f>
        <v>85</v>
      </c>
      <c r="J257" s="18">
        <f>'RW predict'!F256</f>
        <v>27</v>
      </c>
      <c r="K257" s="18"/>
      <c r="L257" s="18"/>
      <c r="M257" s="18">
        <f>'RW predict'!P256</f>
        <v>76</v>
      </c>
      <c r="N257" s="18"/>
      <c r="O257" s="18">
        <f>'RW predict'!H256</f>
        <v>-15</v>
      </c>
      <c r="P257" s="18">
        <f>'RW predict'!I256</f>
        <v>57</v>
      </c>
      <c r="Q257" s="18">
        <f>'RW predict'!L256</f>
        <v>2</v>
      </c>
      <c r="R257" s="18">
        <f>'RW predict'!N256</f>
        <v>0</v>
      </c>
      <c r="S257" s="76">
        <f>'RW predict'!O256</f>
        <v>0</v>
      </c>
      <c r="T257" s="76">
        <f>'RW predict'!K256</f>
        <v>1</v>
      </c>
      <c r="U257" s="22">
        <f>'RW predict'!J256</f>
        <v>138</v>
      </c>
      <c r="V257" s="32">
        <f>IF(D257="G",'RW predict'!E256,0)</f>
        <v>0</v>
      </c>
      <c r="W257" s="18">
        <f>'RW predict'!R256</f>
        <v>0</v>
      </c>
      <c r="X257" s="18">
        <f>'RW predict'!T256</f>
        <v>0</v>
      </c>
      <c r="Y257" s="18">
        <f>'RW predict'!Y256</f>
        <v>0</v>
      </c>
      <c r="Z257" s="18">
        <f>'RW predict'!U256</f>
        <v>0</v>
      </c>
      <c r="AA257" s="18">
        <f>'RW predict'!W256</f>
        <v>0</v>
      </c>
      <c r="AB257" s="17"/>
      <c r="AG257" s="23"/>
      <c r="AI257" s="17"/>
      <c r="AO257" s="23"/>
    </row>
    <row r="258" spans="1:41" x14ac:dyDescent="0.3">
      <c r="A258" s="18">
        <v>255</v>
      </c>
      <c r="B258" s="18" t="str">
        <f>'RW predict'!A257</f>
        <v>Jesse Puljujarvi</v>
      </c>
      <c r="C258" s="18" t="str">
        <f>'RW predict'!B257</f>
        <v>EDM</v>
      </c>
      <c r="D258" s="22" t="str" cm="1">
        <f t="array" ref="D258">_xlfn.SWITCH('RW predict'!C257, "C", "F", "LW","F", "RW", "F", "D", "D", "G", "G", "other")</f>
        <v>F</v>
      </c>
      <c r="E258" s="32">
        <f t="shared" si="6"/>
        <v>1611</v>
      </c>
      <c r="F258" s="35">
        <f>E258/assumptions!$B$2</f>
        <v>19.646341463414632</v>
      </c>
      <c r="G258" s="36">
        <f t="shared" si="7"/>
        <v>258</v>
      </c>
      <c r="H258" s="18">
        <f>IF(NOT(D258="G"),'RW predict'!E257,0)</f>
        <v>14</v>
      </c>
      <c r="I258" s="18">
        <f>'RW predict'!Q257</f>
        <v>20</v>
      </c>
      <c r="J258" s="18">
        <f>'RW predict'!F257</f>
        <v>20</v>
      </c>
      <c r="K258" s="18"/>
      <c r="L258" s="18"/>
      <c r="M258" s="18">
        <f>'RW predict'!P257</f>
        <v>93</v>
      </c>
      <c r="N258" s="18"/>
      <c r="O258" s="18">
        <f>'RW predict'!H257</f>
        <v>16</v>
      </c>
      <c r="P258" s="18">
        <f>'RW predict'!I257</f>
        <v>22</v>
      </c>
      <c r="Q258" s="18">
        <f>'RW predict'!L257</f>
        <v>3</v>
      </c>
      <c r="R258" s="18">
        <f>'RW predict'!N257</f>
        <v>0</v>
      </c>
      <c r="S258" s="76">
        <f>'RW predict'!O257</f>
        <v>0</v>
      </c>
      <c r="T258" s="76">
        <f>'RW predict'!K257</f>
        <v>2</v>
      </c>
      <c r="U258" s="22">
        <f>'RW predict'!J257</f>
        <v>166</v>
      </c>
      <c r="V258" s="32">
        <f>IF(D258="G",'RW predict'!E257,0)</f>
        <v>0</v>
      </c>
      <c r="W258" s="18">
        <f>'RW predict'!R257</f>
        <v>0</v>
      </c>
      <c r="X258" s="18">
        <f>'RW predict'!T257</f>
        <v>0</v>
      </c>
      <c r="Y258" s="18">
        <f>'RW predict'!Y257</f>
        <v>0</v>
      </c>
      <c r="Z258" s="18">
        <f>'RW predict'!U257</f>
        <v>0</v>
      </c>
      <c r="AA258" s="18">
        <f>'RW predict'!W257</f>
        <v>0</v>
      </c>
      <c r="AB258" s="17"/>
      <c r="AG258" s="23"/>
      <c r="AI258" s="17"/>
      <c r="AO258" s="23"/>
    </row>
    <row r="259" spans="1:41" x14ac:dyDescent="0.3">
      <c r="A259" s="18">
        <v>256</v>
      </c>
      <c r="B259" s="18" t="str">
        <f>'RW predict'!A258</f>
        <v>Mathieu Joseph</v>
      </c>
      <c r="C259" s="18" t="str">
        <f>'RW predict'!B258</f>
        <v>OTT</v>
      </c>
      <c r="D259" s="22" t="str" cm="1">
        <f t="array" ref="D259">_xlfn.SWITCH('RW predict'!C258, "C", "F", "LW","F", "RW", "F", "D", "D", "G", "G", "other")</f>
        <v>F</v>
      </c>
      <c r="E259" s="32">
        <f t="shared" si="6"/>
        <v>1432</v>
      </c>
      <c r="F259" s="35">
        <f>E259/assumptions!$B$2</f>
        <v>17.463414634146343</v>
      </c>
      <c r="G259" s="36">
        <f t="shared" si="7"/>
        <v>317</v>
      </c>
      <c r="H259" s="18">
        <f>IF(NOT(D259="G"),'RW predict'!E258,0)</f>
        <v>15</v>
      </c>
      <c r="I259" s="18">
        <f>'RW predict'!Q258</f>
        <v>25</v>
      </c>
      <c r="J259" s="18">
        <f>'RW predict'!F258</f>
        <v>19</v>
      </c>
      <c r="K259" s="18"/>
      <c r="L259" s="18"/>
      <c r="M259" s="18">
        <f>'RW predict'!P258</f>
        <v>116</v>
      </c>
      <c r="N259" s="18"/>
      <c r="O259" s="18">
        <f>'RW predict'!H258</f>
        <v>5</v>
      </c>
      <c r="P259" s="18">
        <f>'RW predict'!I258</f>
        <v>28</v>
      </c>
      <c r="Q259" s="18">
        <f>'RW predict'!L258</f>
        <v>0</v>
      </c>
      <c r="R259" s="18">
        <f>'RW predict'!N258</f>
        <v>1</v>
      </c>
      <c r="S259" s="76">
        <f>'RW predict'!O258</f>
        <v>2</v>
      </c>
      <c r="T259" s="76">
        <f>'RW predict'!K258</f>
        <v>2</v>
      </c>
      <c r="U259" s="22">
        <f>'RW predict'!J258</f>
        <v>101</v>
      </c>
      <c r="V259" s="32">
        <f>IF(D259="G",'RW predict'!E258,0)</f>
        <v>0</v>
      </c>
      <c r="W259" s="18">
        <f>'RW predict'!R258</f>
        <v>0</v>
      </c>
      <c r="X259" s="18">
        <f>'RW predict'!T258</f>
        <v>0</v>
      </c>
      <c r="Y259" s="18">
        <f>'RW predict'!Y258</f>
        <v>0</v>
      </c>
      <c r="Z259" s="18">
        <f>'RW predict'!U258</f>
        <v>0</v>
      </c>
      <c r="AA259" s="18">
        <f>'RW predict'!W258</f>
        <v>0</v>
      </c>
      <c r="AB259" s="17"/>
      <c r="AG259" s="23"/>
      <c r="AI259" s="17"/>
      <c r="AO259" s="23"/>
    </row>
    <row r="260" spans="1:41" x14ac:dyDescent="0.3">
      <c r="A260" s="18">
        <v>257</v>
      </c>
      <c r="B260" s="18" t="str">
        <f>'RW predict'!A259</f>
        <v>Cole Perfetti</v>
      </c>
      <c r="C260" s="18" t="str">
        <f>'RW predict'!B259</f>
        <v>WPG</v>
      </c>
      <c r="D260" s="22" t="str" cm="1">
        <f t="array" ref="D260">_xlfn.SWITCH('RW predict'!C259, "C", "F", "LW","F", "RW", "F", "D", "D", "G", "G", "other")</f>
        <v>F</v>
      </c>
      <c r="E260" s="32">
        <f t="shared" si="6"/>
        <v>1290</v>
      </c>
      <c r="F260" s="35">
        <f>E260/assumptions!$B$2</f>
        <v>15.731707317073171</v>
      </c>
      <c r="G260" s="36">
        <f t="shared" si="7"/>
        <v>372</v>
      </c>
      <c r="H260" s="18">
        <f>IF(NOT(D260="G"),'RW predict'!E259,0)</f>
        <v>10</v>
      </c>
      <c r="I260" s="18">
        <f>'RW predict'!Q259</f>
        <v>8</v>
      </c>
      <c r="J260" s="18">
        <f>'RW predict'!F259</f>
        <v>24</v>
      </c>
      <c r="K260" s="18"/>
      <c r="L260" s="18"/>
      <c r="M260" s="18">
        <f>'RW predict'!P259</f>
        <v>64</v>
      </c>
      <c r="N260" s="18"/>
      <c r="O260" s="18">
        <f>'RW predict'!H259</f>
        <v>4</v>
      </c>
      <c r="P260" s="18">
        <f>'RW predict'!I259</f>
        <v>8</v>
      </c>
      <c r="Q260" s="18">
        <f>'RW predict'!L259</f>
        <v>2</v>
      </c>
      <c r="R260" s="18">
        <f>'RW predict'!N259</f>
        <v>0</v>
      </c>
      <c r="S260" s="76">
        <f>'RW predict'!O259</f>
        <v>0</v>
      </c>
      <c r="T260" s="76">
        <f>'RW predict'!K259</f>
        <v>4</v>
      </c>
      <c r="U260" s="22">
        <f>'RW predict'!J259</f>
        <v>98</v>
      </c>
      <c r="V260" s="32">
        <f>IF(D260="G",'RW predict'!E259,0)</f>
        <v>0</v>
      </c>
      <c r="W260" s="18">
        <f>'RW predict'!R259</f>
        <v>0</v>
      </c>
      <c r="X260" s="18">
        <f>'RW predict'!T259</f>
        <v>0</v>
      </c>
      <c r="Y260" s="18">
        <f>'RW predict'!Y259</f>
        <v>0</v>
      </c>
      <c r="Z260" s="18">
        <f>'RW predict'!U259</f>
        <v>0</v>
      </c>
      <c r="AA260" s="18">
        <f>'RW predict'!W259</f>
        <v>0</v>
      </c>
      <c r="AB260" s="17"/>
      <c r="AG260" s="23"/>
      <c r="AI260" s="17"/>
      <c r="AO260" s="23"/>
    </row>
    <row r="261" spans="1:41" x14ac:dyDescent="0.3">
      <c r="A261" s="18">
        <v>258</v>
      </c>
      <c r="B261" s="18" t="str">
        <f>'RW predict'!A260</f>
        <v>Brendan Gallagher</v>
      </c>
      <c r="C261" s="18" t="str">
        <f>'RW predict'!B260</f>
        <v>MON</v>
      </c>
      <c r="D261" s="22" t="str" cm="1">
        <f t="array" ref="D261">_xlfn.SWITCH('RW predict'!C260, "C", "F", "LW","F", "RW", "F", "D", "D", "G", "G", "other")</f>
        <v>F</v>
      </c>
      <c r="E261" s="32">
        <f t="shared" ref="E261:E324" si="8">H261*$H$3+I261*I$3+K261*K$3+L261*L$3+M261*M$3+N261*N$3+V261*V$3+J261*J$3+O261*$O$3+P261*$P$3+Q261*$Q$3+R261*$R$3+S261*$S$3+T261*$T$3+U261*$U$3+W261*$W$3+X261*$X$3+Y261*$Y$3+Z261*$Z$3+AA261*$AA$3</f>
        <v>1591</v>
      </c>
      <c r="F261" s="35">
        <f>E261/assumptions!$B$2</f>
        <v>19.402439024390244</v>
      </c>
      <c r="G261" s="36">
        <f t="shared" ref="G261:G324" si="9">RANK(E261,$E$4:$E$1100)</f>
        <v>263</v>
      </c>
      <c r="H261" s="18">
        <f>IF(NOT(D261="G"),'RW predict'!E260,0)</f>
        <v>14</v>
      </c>
      <c r="I261" s="18">
        <f>'RW predict'!Q260</f>
        <v>32</v>
      </c>
      <c r="J261" s="18">
        <f>'RW predict'!F260</f>
        <v>20</v>
      </c>
      <c r="K261" s="18"/>
      <c r="L261" s="18"/>
      <c r="M261" s="18">
        <f>'RW predict'!P260</f>
        <v>67</v>
      </c>
      <c r="N261" s="18"/>
      <c r="O261" s="18">
        <f>'RW predict'!H260</f>
        <v>-2</v>
      </c>
      <c r="P261" s="18">
        <f>'RW predict'!I260</f>
        <v>66</v>
      </c>
      <c r="Q261" s="18">
        <f>'RW predict'!L260</f>
        <v>4</v>
      </c>
      <c r="R261" s="18">
        <f>'RW predict'!N260</f>
        <v>0</v>
      </c>
      <c r="S261" s="76">
        <f>'RW predict'!O260</f>
        <v>0</v>
      </c>
      <c r="T261" s="76">
        <f>'RW predict'!K260</f>
        <v>2</v>
      </c>
      <c r="U261" s="22">
        <f>'RW predict'!J260</f>
        <v>176</v>
      </c>
      <c r="V261" s="32">
        <f>IF(D261="G",'RW predict'!E260,0)</f>
        <v>0</v>
      </c>
      <c r="W261" s="18">
        <f>'RW predict'!R260</f>
        <v>0</v>
      </c>
      <c r="X261" s="18">
        <f>'RW predict'!T260</f>
        <v>0</v>
      </c>
      <c r="Y261" s="18">
        <f>'RW predict'!Y260</f>
        <v>0</v>
      </c>
      <c r="Z261" s="18">
        <f>'RW predict'!U260</f>
        <v>0</v>
      </c>
      <c r="AA261" s="18">
        <f>'RW predict'!W260</f>
        <v>0</v>
      </c>
      <c r="AB261" s="17"/>
      <c r="AG261" s="23"/>
      <c r="AI261" s="17"/>
      <c r="AO261" s="23"/>
    </row>
    <row r="262" spans="1:41" x14ac:dyDescent="0.3">
      <c r="A262" s="18">
        <v>259</v>
      </c>
      <c r="B262" s="18" t="str">
        <f>'RW predict'!A261</f>
        <v>Mattias Ekholm</v>
      </c>
      <c r="C262" s="18" t="str">
        <f>'RW predict'!B261</f>
        <v>NSH</v>
      </c>
      <c r="D262" s="22" t="str" cm="1">
        <f t="array" ref="D262">_xlfn.SWITCH('RW predict'!C261, "C", "F", "LW","F", "RW", "F", "D", "D", "G", "G", "other")</f>
        <v>D</v>
      </c>
      <c r="E262" s="32">
        <f t="shared" si="8"/>
        <v>1725</v>
      </c>
      <c r="F262" s="35">
        <f>E262/assumptions!$B$2</f>
        <v>21.036585365853657</v>
      </c>
      <c r="G262" s="36">
        <f t="shared" si="9"/>
        <v>222</v>
      </c>
      <c r="H262" s="18">
        <f>IF(NOT(D262="G"),'RW predict'!E261,0)</f>
        <v>7</v>
      </c>
      <c r="I262" s="18">
        <f>'RW predict'!Q261</f>
        <v>98</v>
      </c>
      <c r="J262" s="18">
        <f>'RW predict'!F261</f>
        <v>27</v>
      </c>
      <c r="K262" s="18"/>
      <c r="L262" s="18"/>
      <c r="M262" s="18">
        <f>'RW predict'!P261</f>
        <v>73</v>
      </c>
      <c r="N262" s="18"/>
      <c r="O262" s="18">
        <f>'RW predict'!H261</f>
        <v>16</v>
      </c>
      <c r="P262" s="18">
        <f>'RW predict'!I261</f>
        <v>40</v>
      </c>
      <c r="Q262" s="18">
        <f>'RW predict'!L261</f>
        <v>0</v>
      </c>
      <c r="R262" s="18">
        <f>'RW predict'!N261</f>
        <v>0</v>
      </c>
      <c r="S262" s="76">
        <f>'RW predict'!O261</f>
        <v>1</v>
      </c>
      <c r="T262" s="76">
        <f>'RW predict'!K261</f>
        <v>1</v>
      </c>
      <c r="U262" s="22">
        <f>'RW predict'!J261</f>
        <v>148</v>
      </c>
      <c r="V262" s="32">
        <f>IF(D262="G",'RW predict'!E261,0)</f>
        <v>0</v>
      </c>
      <c r="W262" s="18">
        <f>'RW predict'!R261</f>
        <v>0</v>
      </c>
      <c r="X262" s="18">
        <f>'RW predict'!T261</f>
        <v>0</v>
      </c>
      <c r="Y262" s="18">
        <f>'RW predict'!Y261</f>
        <v>0</v>
      </c>
      <c r="Z262" s="18">
        <f>'RW predict'!U261</f>
        <v>0</v>
      </c>
      <c r="AA262" s="18">
        <f>'RW predict'!W261</f>
        <v>0</v>
      </c>
      <c r="AB262" s="17"/>
      <c r="AG262" s="23"/>
      <c r="AI262" s="17"/>
      <c r="AO262" s="23"/>
    </row>
    <row r="263" spans="1:41" x14ac:dyDescent="0.3">
      <c r="A263" s="18">
        <v>260</v>
      </c>
      <c r="B263" s="18" t="str">
        <f>'RW predict'!A262</f>
        <v>Marcus Foligno</v>
      </c>
      <c r="C263" s="18" t="str">
        <f>'RW predict'!B262</f>
        <v>MIN</v>
      </c>
      <c r="D263" s="22" t="str" cm="1">
        <f t="array" ref="D263">_xlfn.SWITCH('RW predict'!C262, "C", "F", "LW","F", "RW", "F", "D", "D", "G", "G", "other")</f>
        <v>F</v>
      </c>
      <c r="E263" s="32">
        <f t="shared" si="8"/>
        <v>2001</v>
      </c>
      <c r="F263" s="35">
        <f>E263/assumptions!$B$2</f>
        <v>24.402439024390244</v>
      </c>
      <c r="G263" s="36">
        <f t="shared" si="9"/>
        <v>166</v>
      </c>
      <c r="H263" s="18">
        <f>IF(NOT(D263="G"),'RW predict'!E262,0)</f>
        <v>15</v>
      </c>
      <c r="I263" s="18">
        <f>'RW predict'!Q262</f>
        <v>40</v>
      </c>
      <c r="J263" s="18">
        <f>'RW predict'!F262</f>
        <v>19</v>
      </c>
      <c r="K263" s="18"/>
      <c r="L263" s="18"/>
      <c r="M263" s="18">
        <f>'RW predict'!P262</f>
        <v>234</v>
      </c>
      <c r="N263" s="18"/>
      <c r="O263" s="18">
        <f>'RW predict'!H262</f>
        <v>21</v>
      </c>
      <c r="P263" s="18">
        <f>'RW predict'!I262</f>
        <v>103</v>
      </c>
      <c r="Q263" s="18">
        <f>'RW predict'!L262</f>
        <v>3</v>
      </c>
      <c r="R263" s="18">
        <f>'RW predict'!N262</f>
        <v>1</v>
      </c>
      <c r="S263" s="76">
        <f>'RW predict'!O262</f>
        <v>0</v>
      </c>
      <c r="T263" s="76">
        <f>'RW predict'!K262</f>
        <v>4</v>
      </c>
      <c r="U263" s="22">
        <f>'RW predict'!J262</f>
        <v>94</v>
      </c>
      <c r="V263" s="32">
        <f>IF(D263="G",'RW predict'!E262,0)</f>
        <v>0</v>
      </c>
      <c r="W263" s="18">
        <f>'RW predict'!R262</f>
        <v>0</v>
      </c>
      <c r="X263" s="18">
        <f>'RW predict'!T262</f>
        <v>0</v>
      </c>
      <c r="Y263" s="18">
        <f>'RW predict'!Y262</f>
        <v>0</v>
      </c>
      <c r="Z263" s="18">
        <f>'RW predict'!U262</f>
        <v>0</v>
      </c>
      <c r="AA263" s="18">
        <f>'RW predict'!W262</f>
        <v>0</v>
      </c>
      <c r="AB263" s="17"/>
      <c r="AG263" s="23"/>
      <c r="AI263" s="17"/>
      <c r="AO263" s="23"/>
    </row>
    <row r="264" spans="1:41" x14ac:dyDescent="0.3">
      <c r="A264" s="18">
        <v>261</v>
      </c>
      <c r="B264" s="18" t="str">
        <f>'RW predict'!A263</f>
        <v>Nick Paul</v>
      </c>
      <c r="C264" s="18" t="str">
        <f>'RW predict'!B263</f>
        <v>TB</v>
      </c>
      <c r="D264" s="22" t="str" cm="1">
        <f t="array" ref="D264">_xlfn.SWITCH('RW predict'!C263, "C", "F", "LW","F", "RW", "F", "D", "D", "G", "G", "other")</f>
        <v>F</v>
      </c>
      <c r="E264" s="32">
        <f t="shared" si="8"/>
        <v>1637</v>
      </c>
      <c r="F264" s="35">
        <f>E264/assumptions!$B$2</f>
        <v>19.963414634146343</v>
      </c>
      <c r="G264" s="36">
        <f t="shared" si="9"/>
        <v>251</v>
      </c>
      <c r="H264" s="18">
        <f>IF(NOT(D264="G"),'RW predict'!E263,0)</f>
        <v>15</v>
      </c>
      <c r="I264" s="18">
        <f>'RW predict'!Q263</f>
        <v>55</v>
      </c>
      <c r="J264" s="18">
        <f>'RW predict'!F263</f>
        <v>19</v>
      </c>
      <c r="K264" s="18"/>
      <c r="L264" s="18"/>
      <c r="M264" s="18">
        <f>'RW predict'!P263</f>
        <v>115</v>
      </c>
      <c r="N264" s="18"/>
      <c r="O264" s="18">
        <f>'RW predict'!H263</f>
        <v>3</v>
      </c>
      <c r="P264" s="18">
        <f>'RW predict'!I263</f>
        <v>36</v>
      </c>
      <c r="Q264" s="18">
        <f>'RW predict'!L263</f>
        <v>0</v>
      </c>
      <c r="R264" s="18">
        <f>'RW predict'!N263</f>
        <v>1</v>
      </c>
      <c r="S264" s="76">
        <f>'RW predict'!O263</f>
        <v>2</v>
      </c>
      <c r="T264" s="76">
        <f>'RW predict'!K263</f>
        <v>3</v>
      </c>
      <c r="U264" s="22">
        <f>'RW predict'!J263</f>
        <v>162</v>
      </c>
      <c r="V264" s="32">
        <f>IF(D264="G",'RW predict'!E263,0)</f>
        <v>0</v>
      </c>
      <c r="W264" s="18">
        <f>'RW predict'!R263</f>
        <v>0</v>
      </c>
      <c r="X264" s="18">
        <f>'RW predict'!T263</f>
        <v>0</v>
      </c>
      <c r="Y264" s="18">
        <f>'RW predict'!Y263</f>
        <v>0</v>
      </c>
      <c r="Z264" s="18">
        <f>'RW predict'!U263</f>
        <v>0</v>
      </c>
      <c r="AA264" s="18">
        <f>'RW predict'!W263</f>
        <v>0</v>
      </c>
      <c r="AB264" s="17"/>
      <c r="AG264" s="23"/>
      <c r="AI264" s="17"/>
      <c r="AO264" s="23"/>
    </row>
    <row r="265" spans="1:41" x14ac:dyDescent="0.3">
      <c r="A265" s="18">
        <v>262</v>
      </c>
      <c r="B265" s="18" t="str">
        <f>'RW predict'!A264</f>
        <v>Gustav Forsling</v>
      </c>
      <c r="C265" s="18" t="str">
        <f>'RW predict'!B264</f>
        <v>FLA</v>
      </c>
      <c r="D265" s="22" t="str" cm="1">
        <f t="array" ref="D265">_xlfn.SWITCH('RW predict'!C264, "C", "F", "LW","F", "RW", "F", "D", "D", "G", "G", "other")</f>
        <v>D</v>
      </c>
      <c r="E265" s="32">
        <f t="shared" si="8"/>
        <v>1762</v>
      </c>
      <c r="F265" s="35">
        <f>E265/assumptions!$B$2</f>
        <v>21.487804878048781</v>
      </c>
      <c r="G265" s="36">
        <f t="shared" si="9"/>
        <v>211</v>
      </c>
      <c r="H265" s="18">
        <f>IF(NOT(D265="G"),'RW predict'!E264,0)</f>
        <v>8</v>
      </c>
      <c r="I265" s="18">
        <f>'RW predict'!Q264</f>
        <v>83</v>
      </c>
      <c r="J265" s="18">
        <f>'RW predict'!F264</f>
        <v>26</v>
      </c>
      <c r="K265" s="18"/>
      <c r="L265" s="18"/>
      <c r="M265" s="18">
        <f>'RW predict'!P264</f>
        <v>46</v>
      </c>
      <c r="N265" s="18"/>
      <c r="O265" s="18">
        <f>'RW predict'!H264</f>
        <v>33</v>
      </c>
      <c r="P265" s="18">
        <f>'RW predict'!I264</f>
        <v>16</v>
      </c>
      <c r="Q265" s="18">
        <f>'RW predict'!L264</f>
        <v>0</v>
      </c>
      <c r="R265" s="18">
        <f>'RW predict'!N264</f>
        <v>0</v>
      </c>
      <c r="S265" s="76">
        <f>'RW predict'!O264</f>
        <v>0</v>
      </c>
      <c r="T265" s="76">
        <f>'RW predict'!K264</f>
        <v>1</v>
      </c>
      <c r="U265" s="22">
        <f>'RW predict'!J264</f>
        <v>151</v>
      </c>
      <c r="V265" s="32">
        <f>IF(D265="G",'RW predict'!E264,0)</f>
        <v>0</v>
      </c>
      <c r="W265" s="18">
        <f>'RW predict'!R264</f>
        <v>0</v>
      </c>
      <c r="X265" s="18">
        <f>'RW predict'!T264</f>
        <v>0</v>
      </c>
      <c r="Y265" s="18">
        <f>'RW predict'!Y264</f>
        <v>0</v>
      </c>
      <c r="Z265" s="18">
        <f>'RW predict'!U264</f>
        <v>0</v>
      </c>
      <c r="AA265" s="18">
        <f>'RW predict'!W264</f>
        <v>0</v>
      </c>
      <c r="AB265" s="17"/>
      <c r="AG265" s="23"/>
      <c r="AI265" s="17"/>
      <c r="AO265" s="23"/>
    </row>
    <row r="266" spans="1:41" x14ac:dyDescent="0.3">
      <c r="A266" s="18">
        <v>263</v>
      </c>
      <c r="B266" s="18" t="str">
        <f>'RW predict'!A265</f>
        <v>Colton Parayko</v>
      </c>
      <c r="C266" s="18" t="str">
        <f>'RW predict'!B265</f>
        <v>STL</v>
      </c>
      <c r="D266" s="22" t="str" cm="1">
        <f t="array" ref="D266">_xlfn.SWITCH('RW predict'!C265, "C", "F", "LW","F", "RW", "F", "D", "D", "G", "G", "other")</f>
        <v>D</v>
      </c>
      <c r="E266" s="32">
        <f t="shared" si="8"/>
        <v>1735</v>
      </c>
      <c r="F266" s="35">
        <f>E266/assumptions!$B$2</f>
        <v>21.158536585365855</v>
      </c>
      <c r="G266" s="36">
        <f t="shared" si="9"/>
        <v>218</v>
      </c>
      <c r="H266" s="18">
        <f>IF(NOT(D266="G"),'RW predict'!E265,0)</f>
        <v>6</v>
      </c>
      <c r="I266" s="18">
        <f>'RW predict'!Q265</f>
        <v>162</v>
      </c>
      <c r="J266" s="18">
        <f>'RW predict'!F265</f>
        <v>27</v>
      </c>
      <c r="K266" s="18"/>
      <c r="L266" s="18"/>
      <c r="M266" s="18">
        <f>'RW predict'!P265</f>
        <v>86</v>
      </c>
      <c r="N266" s="18"/>
      <c r="O266" s="18">
        <f>'RW predict'!H265</f>
        <v>14</v>
      </c>
      <c r="P266" s="18">
        <f>'RW predict'!I265</f>
        <v>20</v>
      </c>
      <c r="Q266" s="18">
        <f>'RW predict'!L265</f>
        <v>0</v>
      </c>
      <c r="R266" s="18">
        <f>'RW predict'!N265</f>
        <v>0</v>
      </c>
      <c r="S266" s="76">
        <f>'RW predict'!O265</f>
        <v>1</v>
      </c>
      <c r="T266" s="76">
        <f>'RW predict'!K265</f>
        <v>1</v>
      </c>
      <c r="U266" s="22">
        <f>'RW predict'!J265</f>
        <v>135</v>
      </c>
      <c r="V266" s="32">
        <f>IF(D266="G",'RW predict'!E265,0)</f>
        <v>0</v>
      </c>
      <c r="W266" s="18">
        <f>'RW predict'!R265</f>
        <v>0</v>
      </c>
      <c r="X266" s="18">
        <f>'RW predict'!T265</f>
        <v>0</v>
      </c>
      <c r="Y266" s="18">
        <f>'RW predict'!Y265</f>
        <v>0</v>
      </c>
      <c r="Z266" s="18">
        <f>'RW predict'!U265</f>
        <v>0</v>
      </c>
      <c r="AA266" s="18">
        <f>'RW predict'!W265</f>
        <v>0</v>
      </c>
      <c r="AB266" s="17"/>
      <c r="AG266" s="23"/>
      <c r="AI266" s="17"/>
      <c r="AO266" s="23"/>
    </row>
    <row r="267" spans="1:41" x14ac:dyDescent="0.3">
      <c r="A267" s="18">
        <v>264</v>
      </c>
      <c r="B267" s="18" t="str">
        <f>'RW predict'!A266</f>
        <v>Lawson Crouse</v>
      </c>
      <c r="C267" s="18" t="str">
        <f>'RW predict'!B266</f>
        <v>ARI</v>
      </c>
      <c r="D267" s="22" t="str" cm="1">
        <f t="array" ref="D267">_xlfn.SWITCH('RW predict'!C266, "C", "F", "LW","F", "RW", "F", "D", "D", "G", "G", "other")</f>
        <v>F</v>
      </c>
      <c r="E267" s="32">
        <f t="shared" si="8"/>
        <v>1576</v>
      </c>
      <c r="F267" s="35">
        <f>E267/assumptions!$B$2</f>
        <v>19.219512195121951</v>
      </c>
      <c r="G267" s="36">
        <f t="shared" si="9"/>
        <v>271</v>
      </c>
      <c r="H267" s="18">
        <f>IF(NOT(D267="G"),'RW predict'!E266,0)</f>
        <v>17</v>
      </c>
      <c r="I267" s="18">
        <f>'RW predict'!Q266</f>
        <v>39</v>
      </c>
      <c r="J267" s="18">
        <f>'RW predict'!F266</f>
        <v>16</v>
      </c>
      <c r="K267" s="18"/>
      <c r="L267" s="18"/>
      <c r="M267" s="18">
        <f>'RW predict'!P266</f>
        <v>212</v>
      </c>
      <c r="N267" s="18"/>
      <c r="O267" s="18">
        <f>'RW predict'!H266</f>
        <v>-10</v>
      </c>
      <c r="P267" s="18">
        <f>'RW predict'!I266</f>
        <v>61</v>
      </c>
      <c r="Q267" s="18">
        <f>'RW predict'!L266</f>
        <v>2</v>
      </c>
      <c r="R267" s="18">
        <f>'RW predict'!N266</f>
        <v>1</v>
      </c>
      <c r="S267" s="76">
        <f>'RW predict'!O266</f>
        <v>0</v>
      </c>
      <c r="T267" s="76">
        <f>'RW predict'!K266</f>
        <v>3</v>
      </c>
      <c r="U267" s="22">
        <f>'RW predict'!J266</f>
        <v>139</v>
      </c>
      <c r="V267" s="32">
        <f>IF(D267="G",'RW predict'!E266,0)</f>
        <v>0</v>
      </c>
      <c r="W267" s="18">
        <f>'RW predict'!R266</f>
        <v>0</v>
      </c>
      <c r="X267" s="18">
        <f>'RW predict'!T266</f>
        <v>0</v>
      </c>
      <c r="Y267" s="18">
        <f>'RW predict'!Y266</f>
        <v>0</v>
      </c>
      <c r="Z267" s="18">
        <f>'RW predict'!U266</f>
        <v>0</v>
      </c>
      <c r="AA267" s="18">
        <f>'RW predict'!W266</f>
        <v>0</v>
      </c>
      <c r="AB267" s="17"/>
      <c r="AG267" s="23"/>
      <c r="AI267" s="17"/>
      <c r="AO267" s="23"/>
    </row>
    <row r="268" spans="1:41" x14ac:dyDescent="0.3">
      <c r="A268" s="18">
        <v>265</v>
      </c>
      <c r="B268" s="18" t="str">
        <f>'RW predict'!A267</f>
        <v>Kasperi Kapanen</v>
      </c>
      <c r="C268" s="18" t="str">
        <f>'RW predict'!B267</f>
        <v>PIT</v>
      </c>
      <c r="D268" s="22" t="str" cm="1">
        <f t="array" ref="D268">_xlfn.SWITCH('RW predict'!C267, "C", "F", "LW","F", "RW", "F", "D", "D", "G", "G", "other")</f>
        <v>F</v>
      </c>
      <c r="E268" s="32">
        <f t="shared" si="8"/>
        <v>1366</v>
      </c>
      <c r="F268" s="35">
        <f>E268/assumptions!$B$2</f>
        <v>16.658536585365855</v>
      </c>
      <c r="G268" s="36">
        <f t="shared" si="9"/>
        <v>337</v>
      </c>
      <c r="H268" s="18">
        <f>IF(NOT(D268="G"),'RW predict'!E267,0)</f>
        <v>11</v>
      </c>
      <c r="I268" s="18">
        <f>'RW predict'!Q267</f>
        <v>18</v>
      </c>
      <c r="J268" s="18">
        <f>'RW predict'!F267</f>
        <v>22</v>
      </c>
      <c r="K268" s="18"/>
      <c r="L268" s="18"/>
      <c r="M268" s="18">
        <f>'RW predict'!P267</f>
        <v>99</v>
      </c>
      <c r="N268" s="18"/>
      <c r="O268" s="18">
        <f>'RW predict'!H267</f>
        <v>5</v>
      </c>
      <c r="P268" s="18">
        <f>'RW predict'!I267</f>
        <v>16</v>
      </c>
      <c r="Q268" s="18">
        <f>'RW predict'!L267</f>
        <v>0</v>
      </c>
      <c r="R268" s="18">
        <f>'RW predict'!N267</f>
        <v>0</v>
      </c>
      <c r="S268" s="76">
        <f>'RW predict'!O267</f>
        <v>0</v>
      </c>
      <c r="T268" s="76">
        <f>'RW predict'!K267</f>
        <v>3</v>
      </c>
      <c r="U268" s="22">
        <f>'RW predict'!J267</f>
        <v>124</v>
      </c>
      <c r="V268" s="32">
        <f>IF(D268="G",'RW predict'!E267,0)</f>
        <v>0</v>
      </c>
      <c r="W268" s="18">
        <f>'RW predict'!R267</f>
        <v>0</v>
      </c>
      <c r="X268" s="18">
        <f>'RW predict'!T267</f>
        <v>0</v>
      </c>
      <c r="Y268" s="18">
        <f>'RW predict'!Y267</f>
        <v>0</v>
      </c>
      <c r="Z268" s="18">
        <f>'RW predict'!U267</f>
        <v>0</v>
      </c>
      <c r="AA268" s="18">
        <f>'RW predict'!W267</f>
        <v>0</v>
      </c>
      <c r="AB268" s="17"/>
      <c r="AG268" s="23"/>
      <c r="AI268" s="17"/>
      <c r="AO268" s="23"/>
    </row>
    <row r="269" spans="1:41" x14ac:dyDescent="0.3">
      <c r="A269" s="18">
        <v>266</v>
      </c>
      <c r="B269" s="18" t="str">
        <f>'RW predict'!A268</f>
        <v>Tom Wilson</v>
      </c>
      <c r="C269" s="18" t="str">
        <f>'RW predict'!B268</f>
        <v>WAS</v>
      </c>
      <c r="D269" s="22" t="str" cm="1">
        <f t="array" ref="D269">_xlfn.SWITCH('RW predict'!C268, "C", "F", "LW","F", "RW", "F", "D", "D", "G", "G", "other")</f>
        <v>F</v>
      </c>
      <c r="E269" s="32">
        <f t="shared" si="8"/>
        <v>1718</v>
      </c>
      <c r="F269" s="35">
        <f>E269/assumptions!$B$2</f>
        <v>20.951219512195124</v>
      </c>
      <c r="G269" s="36">
        <f t="shared" si="9"/>
        <v>225</v>
      </c>
      <c r="H269" s="18">
        <f>IF(NOT(D269="G"),'RW predict'!E268,0)</f>
        <v>16</v>
      </c>
      <c r="I269" s="18">
        <f>'RW predict'!Q268</f>
        <v>36</v>
      </c>
      <c r="J269" s="18">
        <f>'RW predict'!F268</f>
        <v>17</v>
      </c>
      <c r="K269" s="18"/>
      <c r="L269" s="18"/>
      <c r="M269" s="18">
        <f>'RW predict'!P268</f>
        <v>166</v>
      </c>
      <c r="N269" s="18"/>
      <c r="O269" s="18">
        <f>'RW predict'!H268</f>
        <v>7</v>
      </c>
      <c r="P269" s="18">
        <f>'RW predict'!I268</f>
        <v>79</v>
      </c>
      <c r="Q269" s="18">
        <f>'RW predict'!L268</f>
        <v>3</v>
      </c>
      <c r="R269" s="18">
        <f>'RW predict'!N268</f>
        <v>1</v>
      </c>
      <c r="S269" s="76">
        <f>'RW predict'!O268</f>
        <v>1</v>
      </c>
      <c r="T269" s="76">
        <f>'RW predict'!K268</f>
        <v>4</v>
      </c>
      <c r="U269" s="22">
        <f>'RW predict'!J268</f>
        <v>104</v>
      </c>
      <c r="V269" s="32">
        <f>IF(D269="G",'RW predict'!E268,0)</f>
        <v>0</v>
      </c>
      <c r="W269" s="18">
        <f>'RW predict'!R268</f>
        <v>0</v>
      </c>
      <c r="X269" s="18">
        <f>'RW predict'!T268</f>
        <v>0</v>
      </c>
      <c r="Y269" s="18">
        <f>'RW predict'!Y268</f>
        <v>0</v>
      </c>
      <c r="Z269" s="18">
        <f>'RW predict'!U268</f>
        <v>0</v>
      </c>
      <c r="AA269" s="18">
        <f>'RW predict'!W268</f>
        <v>0</v>
      </c>
      <c r="AB269" s="17"/>
      <c r="AG269" s="23"/>
      <c r="AI269" s="17"/>
      <c r="AO269" s="23"/>
    </row>
    <row r="270" spans="1:41" x14ac:dyDescent="0.3">
      <c r="A270" s="18">
        <v>267</v>
      </c>
      <c r="B270" s="18" t="str">
        <f>'RW predict'!A269</f>
        <v>J.T. Compher</v>
      </c>
      <c r="C270" s="18" t="str">
        <f>'RW predict'!B269</f>
        <v>COL</v>
      </c>
      <c r="D270" s="22" t="str" cm="1">
        <f t="array" ref="D270">_xlfn.SWITCH('RW predict'!C269, "C", "F", "LW","F", "RW", "F", "D", "D", "G", "G", "other")</f>
        <v>F</v>
      </c>
      <c r="E270" s="32">
        <f t="shared" si="8"/>
        <v>1480</v>
      </c>
      <c r="F270" s="35">
        <f>E270/assumptions!$B$2</f>
        <v>18.048780487804876</v>
      </c>
      <c r="G270" s="36">
        <f t="shared" si="9"/>
        <v>298</v>
      </c>
      <c r="H270" s="18">
        <f>IF(NOT(D270="G"),'RW predict'!E269,0)</f>
        <v>17</v>
      </c>
      <c r="I270" s="18">
        <f>'RW predict'!Q269</f>
        <v>57</v>
      </c>
      <c r="J270" s="18">
        <f>'RW predict'!F269</f>
        <v>16</v>
      </c>
      <c r="K270" s="18"/>
      <c r="L270" s="18"/>
      <c r="M270" s="18">
        <f>'RW predict'!P269</f>
        <v>35</v>
      </c>
      <c r="N270" s="18"/>
      <c r="O270" s="18">
        <f>'RW predict'!H269</f>
        <v>10</v>
      </c>
      <c r="P270" s="18">
        <f>'RW predict'!I269</f>
        <v>26</v>
      </c>
      <c r="Q270" s="18">
        <f>'RW predict'!L269</f>
        <v>3</v>
      </c>
      <c r="R270" s="18">
        <f>'RW predict'!N269</f>
        <v>1</v>
      </c>
      <c r="S270" s="76">
        <f>'RW predict'!O269</f>
        <v>1</v>
      </c>
      <c r="T270" s="76">
        <f>'RW predict'!K269</f>
        <v>2</v>
      </c>
      <c r="U270" s="22">
        <f>'RW predict'!J269</f>
        <v>114</v>
      </c>
      <c r="V270" s="32">
        <f>IF(D270="G",'RW predict'!E269,0)</f>
        <v>0</v>
      </c>
      <c r="W270" s="18">
        <f>'RW predict'!R269</f>
        <v>0</v>
      </c>
      <c r="X270" s="18">
        <f>'RW predict'!T269</f>
        <v>0</v>
      </c>
      <c r="Y270" s="18">
        <f>'RW predict'!Y269</f>
        <v>0</v>
      </c>
      <c r="Z270" s="18">
        <f>'RW predict'!U269</f>
        <v>0</v>
      </c>
      <c r="AA270" s="18">
        <f>'RW predict'!W269</f>
        <v>0</v>
      </c>
      <c r="AB270" s="17"/>
      <c r="AG270" s="23"/>
      <c r="AI270" s="17"/>
      <c r="AO270" s="23"/>
    </row>
    <row r="271" spans="1:41" x14ac:dyDescent="0.3">
      <c r="A271" s="18">
        <v>268</v>
      </c>
      <c r="B271" s="18" t="str">
        <f>'RW predict'!A270</f>
        <v>Anthony Duclair</v>
      </c>
      <c r="C271" s="18" t="str">
        <f>'RW predict'!B270</f>
        <v>FLA</v>
      </c>
      <c r="D271" s="22" t="str" cm="1">
        <f t="array" ref="D271">_xlfn.SWITCH('RW predict'!C270, "C", "F", "LW","F", "RW", "F", "D", "D", "G", "G", "other")</f>
        <v>F</v>
      </c>
      <c r="E271" s="32">
        <f t="shared" si="8"/>
        <v>1386</v>
      </c>
      <c r="F271" s="35">
        <f>E271/assumptions!$B$2</f>
        <v>16.902439024390244</v>
      </c>
      <c r="G271" s="36">
        <f t="shared" si="9"/>
        <v>332</v>
      </c>
      <c r="H271" s="18">
        <f>IF(NOT(D271="G"),'RW predict'!E270,0)</f>
        <v>16</v>
      </c>
      <c r="I271" s="18">
        <f>'RW predict'!Q270</f>
        <v>10</v>
      </c>
      <c r="J271" s="18">
        <f>'RW predict'!F270</f>
        <v>17</v>
      </c>
      <c r="K271" s="18"/>
      <c r="L271" s="18"/>
      <c r="M271" s="18">
        <f>'RW predict'!P270</f>
        <v>25</v>
      </c>
      <c r="N271" s="18"/>
      <c r="O271" s="18">
        <f>'RW predict'!H270</f>
        <v>14</v>
      </c>
      <c r="P271" s="18">
        <f>'RW predict'!I270</f>
        <v>16</v>
      </c>
      <c r="Q271" s="18">
        <f>'RW predict'!L270</f>
        <v>4</v>
      </c>
      <c r="R271" s="18">
        <f>'RW predict'!N270</f>
        <v>1</v>
      </c>
      <c r="S271" s="76">
        <f>'RW predict'!O270</f>
        <v>0</v>
      </c>
      <c r="T271" s="76">
        <f>'RW predict'!K270</f>
        <v>3</v>
      </c>
      <c r="U271" s="22">
        <f>'RW predict'!J270</f>
        <v>104</v>
      </c>
      <c r="V271" s="32">
        <f>IF(D271="G",'RW predict'!E270,0)</f>
        <v>0</v>
      </c>
      <c r="W271" s="18">
        <f>'RW predict'!R270</f>
        <v>0</v>
      </c>
      <c r="X271" s="18">
        <f>'RW predict'!T270</f>
        <v>0</v>
      </c>
      <c r="Y271" s="18">
        <f>'RW predict'!Y270</f>
        <v>0</v>
      </c>
      <c r="Z271" s="18">
        <f>'RW predict'!U270</f>
        <v>0</v>
      </c>
      <c r="AA271" s="18">
        <f>'RW predict'!W270</f>
        <v>0</v>
      </c>
      <c r="AB271" s="17"/>
      <c r="AG271" s="23"/>
      <c r="AI271" s="17"/>
      <c r="AO271" s="23"/>
    </row>
    <row r="272" spans="1:41" x14ac:dyDescent="0.3">
      <c r="A272" s="18">
        <v>269</v>
      </c>
      <c r="B272" s="18" t="str">
        <f>'RW predict'!A271</f>
        <v>Blake Coleman</v>
      </c>
      <c r="C272" s="18" t="str">
        <f>'RW predict'!B271</f>
        <v>CGY</v>
      </c>
      <c r="D272" s="22" t="str" cm="1">
        <f t="array" ref="D272">_xlfn.SWITCH('RW predict'!C271, "C", "F", "LW","F", "RW", "F", "D", "D", "G", "G", "other")</f>
        <v>F</v>
      </c>
      <c r="E272" s="32">
        <f t="shared" si="8"/>
        <v>1877</v>
      </c>
      <c r="F272" s="35">
        <f>E272/assumptions!$B$2</f>
        <v>22.890243902439025</v>
      </c>
      <c r="G272" s="36">
        <f t="shared" si="9"/>
        <v>186</v>
      </c>
      <c r="H272" s="18">
        <f>IF(NOT(D272="G"),'RW predict'!E271,0)</f>
        <v>15</v>
      </c>
      <c r="I272" s="18">
        <f>'RW predict'!Q271</f>
        <v>42</v>
      </c>
      <c r="J272" s="18">
        <f>'RW predict'!F271</f>
        <v>18</v>
      </c>
      <c r="K272" s="18"/>
      <c r="L272" s="18"/>
      <c r="M272" s="18">
        <f>'RW predict'!P271</f>
        <v>161</v>
      </c>
      <c r="N272" s="18"/>
      <c r="O272" s="18">
        <f>'RW predict'!H271</f>
        <v>15</v>
      </c>
      <c r="P272" s="18">
        <f>'RW predict'!I271</f>
        <v>55</v>
      </c>
      <c r="Q272" s="18">
        <f>'RW predict'!L271</f>
        <v>0</v>
      </c>
      <c r="R272" s="18">
        <f>'RW predict'!N271</f>
        <v>1</v>
      </c>
      <c r="S272" s="76">
        <f>'RW predict'!O271</f>
        <v>1</v>
      </c>
      <c r="T272" s="76">
        <f>'RW predict'!K271</f>
        <v>3</v>
      </c>
      <c r="U272" s="22">
        <f>'RW predict'!J271</f>
        <v>201</v>
      </c>
      <c r="V272" s="32">
        <f>IF(D272="G",'RW predict'!E271,0)</f>
        <v>0</v>
      </c>
      <c r="W272" s="18">
        <f>'RW predict'!R271</f>
        <v>0</v>
      </c>
      <c r="X272" s="18">
        <f>'RW predict'!T271</f>
        <v>0</v>
      </c>
      <c r="Y272" s="18">
        <f>'RW predict'!Y271</f>
        <v>0</v>
      </c>
      <c r="Z272" s="18">
        <f>'RW predict'!U271</f>
        <v>0</v>
      </c>
      <c r="AA272" s="18">
        <f>'RW predict'!W271</f>
        <v>0</v>
      </c>
      <c r="AB272" s="17"/>
      <c r="AG272" s="23"/>
      <c r="AI272" s="17"/>
      <c r="AO272" s="23"/>
    </row>
    <row r="273" spans="1:41" x14ac:dyDescent="0.3">
      <c r="A273" s="18">
        <v>270</v>
      </c>
      <c r="B273" s="18" t="str">
        <f>'RW predict'!A272</f>
        <v>Tomas Tatar</v>
      </c>
      <c r="C273" s="18" t="str">
        <f>'RW predict'!B272</f>
        <v>NJ</v>
      </c>
      <c r="D273" s="22" t="str" cm="1">
        <f t="array" ref="D273">_xlfn.SWITCH('RW predict'!C272, "C", "F", "LW","F", "RW", "F", "D", "D", "G", "G", "other")</f>
        <v>F</v>
      </c>
      <c r="E273" s="32">
        <f t="shared" si="8"/>
        <v>1172</v>
      </c>
      <c r="F273" s="35">
        <f>E273/assumptions!$B$2</f>
        <v>14.292682926829269</v>
      </c>
      <c r="G273" s="36">
        <f t="shared" si="9"/>
        <v>413</v>
      </c>
      <c r="H273" s="18">
        <f>IF(NOT(D273="G"),'RW predict'!E272,0)</f>
        <v>14</v>
      </c>
      <c r="I273" s="18">
        <f>'RW predict'!Q272</f>
        <v>26</v>
      </c>
      <c r="J273" s="18">
        <f>'RW predict'!F272</f>
        <v>19</v>
      </c>
      <c r="K273" s="18"/>
      <c r="L273" s="18"/>
      <c r="M273" s="18">
        <f>'RW predict'!P272</f>
        <v>77</v>
      </c>
      <c r="N273" s="18"/>
      <c r="O273" s="18">
        <f>'RW predict'!H272</f>
        <v>-16</v>
      </c>
      <c r="P273" s="18">
        <f>'RW predict'!I272</f>
        <v>24</v>
      </c>
      <c r="Q273" s="18">
        <f>'RW predict'!L272</f>
        <v>2</v>
      </c>
      <c r="R273" s="18">
        <f>'RW predict'!N272</f>
        <v>0</v>
      </c>
      <c r="S273" s="76">
        <f>'RW predict'!O272</f>
        <v>0</v>
      </c>
      <c r="T273" s="76">
        <f>'RW predict'!K272</f>
        <v>1</v>
      </c>
      <c r="U273" s="22">
        <f>'RW predict'!J272</f>
        <v>133</v>
      </c>
      <c r="V273" s="32">
        <f>IF(D273="G",'RW predict'!E272,0)</f>
        <v>0</v>
      </c>
      <c r="W273" s="18">
        <f>'RW predict'!R272</f>
        <v>0</v>
      </c>
      <c r="X273" s="18">
        <f>'RW predict'!T272</f>
        <v>0</v>
      </c>
      <c r="Y273" s="18">
        <f>'RW predict'!Y272</f>
        <v>0</v>
      </c>
      <c r="Z273" s="18">
        <f>'RW predict'!U272</f>
        <v>0</v>
      </c>
      <c r="AA273" s="18">
        <f>'RW predict'!W272</f>
        <v>0</v>
      </c>
      <c r="AB273" s="17"/>
      <c r="AG273" s="23"/>
      <c r="AI273" s="17"/>
      <c r="AO273" s="23"/>
    </row>
    <row r="274" spans="1:41" x14ac:dyDescent="0.3">
      <c r="A274" s="18">
        <v>271</v>
      </c>
      <c r="B274" s="18" t="str">
        <f>'RW predict'!A273</f>
        <v>Dmitry Orlov</v>
      </c>
      <c r="C274" s="18" t="str">
        <f>'RW predict'!B273</f>
        <v>WAS</v>
      </c>
      <c r="D274" s="22" t="str" cm="1">
        <f t="array" ref="D274">_xlfn.SWITCH('RW predict'!C273, "C", "F", "LW","F", "RW", "F", "D", "D", "G", "G", "other")</f>
        <v>D</v>
      </c>
      <c r="E274" s="32">
        <f t="shared" si="8"/>
        <v>1787</v>
      </c>
      <c r="F274" s="35">
        <f>E274/assumptions!$B$2</f>
        <v>21.792682926829269</v>
      </c>
      <c r="G274" s="36">
        <f t="shared" si="9"/>
        <v>204</v>
      </c>
      <c r="H274" s="18">
        <f>IF(NOT(D274="G"),'RW predict'!E273,0)</f>
        <v>9</v>
      </c>
      <c r="I274" s="18">
        <f>'RW predict'!Q273</f>
        <v>97</v>
      </c>
      <c r="J274" s="18">
        <f>'RW predict'!F273</f>
        <v>24</v>
      </c>
      <c r="K274" s="18"/>
      <c r="L274" s="18"/>
      <c r="M274" s="18">
        <f>'RW predict'!P273</f>
        <v>126</v>
      </c>
      <c r="N274" s="18"/>
      <c r="O274" s="18">
        <f>'RW predict'!H273</f>
        <v>21</v>
      </c>
      <c r="P274" s="18">
        <f>'RW predict'!I273</f>
        <v>42</v>
      </c>
      <c r="Q274" s="18">
        <f>'RW predict'!L273</f>
        <v>2</v>
      </c>
      <c r="R274" s="18">
        <f>'RW predict'!N273</f>
        <v>0</v>
      </c>
      <c r="S274" s="76">
        <f>'RW predict'!O273</f>
        <v>0</v>
      </c>
      <c r="T274" s="76">
        <f>'RW predict'!K273</f>
        <v>2</v>
      </c>
      <c r="U274" s="22">
        <f>'RW predict'!J273</f>
        <v>123</v>
      </c>
      <c r="V274" s="32">
        <f>IF(D274="G",'RW predict'!E273,0)</f>
        <v>0</v>
      </c>
      <c r="W274" s="18">
        <f>'RW predict'!R273</f>
        <v>0</v>
      </c>
      <c r="X274" s="18">
        <f>'RW predict'!T273</f>
        <v>0</v>
      </c>
      <c r="Y274" s="18">
        <f>'RW predict'!Y273</f>
        <v>0</v>
      </c>
      <c r="Z274" s="18">
        <f>'RW predict'!U273</f>
        <v>0</v>
      </c>
      <c r="AA274" s="18">
        <f>'RW predict'!W273</f>
        <v>0</v>
      </c>
      <c r="AB274" s="17"/>
      <c r="AG274" s="23"/>
      <c r="AI274" s="17"/>
      <c r="AO274" s="23"/>
    </row>
    <row r="275" spans="1:41" x14ac:dyDescent="0.3">
      <c r="A275" s="18">
        <v>272</v>
      </c>
      <c r="B275" s="18" t="str">
        <f>'RW predict'!A274</f>
        <v>Corey Perry</v>
      </c>
      <c r="C275" s="18" t="str">
        <f>'RW predict'!B274</f>
        <v>TB</v>
      </c>
      <c r="D275" s="22" t="str" cm="1">
        <f t="array" ref="D275">_xlfn.SWITCH('RW predict'!C274, "C", "F", "LW","F", "RW", "F", "D", "D", "G", "G", "other")</f>
        <v>F</v>
      </c>
      <c r="E275" s="32">
        <f t="shared" si="8"/>
        <v>1573</v>
      </c>
      <c r="F275" s="35">
        <f>E275/assumptions!$B$2</f>
        <v>19.182926829268293</v>
      </c>
      <c r="G275" s="36">
        <f t="shared" si="9"/>
        <v>272</v>
      </c>
      <c r="H275" s="18">
        <f>IF(NOT(D275="G"),'RW predict'!E274,0)</f>
        <v>15</v>
      </c>
      <c r="I275" s="18">
        <f>'RW predict'!Q274</f>
        <v>25</v>
      </c>
      <c r="J275" s="18">
        <f>'RW predict'!F274</f>
        <v>18</v>
      </c>
      <c r="K275" s="18"/>
      <c r="L275" s="18"/>
      <c r="M275" s="18">
        <f>'RW predict'!P274</f>
        <v>68</v>
      </c>
      <c r="N275" s="18"/>
      <c r="O275" s="18">
        <f>'RW predict'!H274</f>
        <v>6</v>
      </c>
      <c r="P275" s="18">
        <f>'RW predict'!I274</f>
        <v>62</v>
      </c>
      <c r="Q275" s="18">
        <f>'RW predict'!L274</f>
        <v>4</v>
      </c>
      <c r="R275" s="18">
        <f>'RW predict'!N274</f>
        <v>0</v>
      </c>
      <c r="S275" s="76">
        <f>'RW predict'!O274</f>
        <v>0</v>
      </c>
      <c r="T275" s="76">
        <f>'RW predict'!K274</f>
        <v>4</v>
      </c>
      <c r="U275" s="22">
        <f>'RW predict'!J274</f>
        <v>132</v>
      </c>
      <c r="V275" s="32">
        <f>IF(D275="G",'RW predict'!E274,0)</f>
        <v>0</v>
      </c>
      <c r="W275" s="18">
        <f>'RW predict'!R274</f>
        <v>0</v>
      </c>
      <c r="X275" s="18">
        <f>'RW predict'!T274</f>
        <v>0</v>
      </c>
      <c r="Y275" s="18">
        <f>'RW predict'!Y274</f>
        <v>0</v>
      </c>
      <c r="Z275" s="18">
        <f>'RW predict'!U274</f>
        <v>0</v>
      </c>
      <c r="AA275" s="18">
        <f>'RW predict'!W274</f>
        <v>0</v>
      </c>
      <c r="AB275" s="17"/>
      <c r="AG275" s="23"/>
      <c r="AI275" s="17"/>
      <c r="AO275" s="23"/>
    </row>
    <row r="276" spans="1:41" x14ac:dyDescent="0.3">
      <c r="A276" s="18">
        <v>273</v>
      </c>
      <c r="B276" s="18" t="str">
        <f>'RW predict'!A275</f>
        <v>Mark Giordano</v>
      </c>
      <c r="C276" s="18" t="str">
        <f>'RW predict'!B275</f>
        <v>TOR</v>
      </c>
      <c r="D276" s="22" t="str" cm="1">
        <f t="array" ref="D276">_xlfn.SWITCH('RW predict'!C275, "C", "F", "LW","F", "RW", "F", "D", "D", "G", "G", "other")</f>
        <v>D</v>
      </c>
      <c r="E276" s="32">
        <f t="shared" si="8"/>
        <v>1718</v>
      </c>
      <c r="F276" s="35">
        <f>E276/assumptions!$B$2</f>
        <v>20.951219512195124</v>
      </c>
      <c r="G276" s="36">
        <f t="shared" si="9"/>
        <v>225</v>
      </c>
      <c r="H276" s="18">
        <f>IF(NOT(D276="G"),'RW predict'!E275,0)</f>
        <v>8</v>
      </c>
      <c r="I276" s="18">
        <f>'RW predict'!Q275</f>
        <v>143</v>
      </c>
      <c r="J276" s="18">
        <f>'RW predict'!F275</f>
        <v>25</v>
      </c>
      <c r="K276" s="18"/>
      <c r="L276" s="18"/>
      <c r="M276" s="18">
        <f>'RW predict'!P275</f>
        <v>71</v>
      </c>
      <c r="N276" s="18"/>
      <c r="O276" s="18">
        <f>'RW predict'!H275</f>
        <v>5</v>
      </c>
      <c r="P276" s="18">
        <f>'RW predict'!I275</f>
        <v>48</v>
      </c>
      <c r="Q276" s="18">
        <f>'RW predict'!L275</f>
        <v>1</v>
      </c>
      <c r="R276" s="18">
        <f>'RW predict'!N275</f>
        <v>1</v>
      </c>
      <c r="S276" s="76">
        <f>'RW predict'!O275</f>
        <v>0</v>
      </c>
      <c r="T276" s="76">
        <f>'RW predict'!K275</f>
        <v>1</v>
      </c>
      <c r="U276" s="22">
        <f>'RW predict'!J275</f>
        <v>146</v>
      </c>
      <c r="V276" s="32">
        <f>IF(D276="G",'RW predict'!E275,0)</f>
        <v>0</v>
      </c>
      <c r="W276" s="18">
        <f>'RW predict'!R275</f>
        <v>0</v>
      </c>
      <c r="X276" s="18">
        <f>'RW predict'!T275</f>
        <v>0</v>
      </c>
      <c r="Y276" s="18">
        <f>'RW predict'!Y275</f>
        <v>0</v>
      </c>
      <c r="Z276" s="18">
        <f>'RW predict'!U275</f>
        <v>0</v>
      </c>
      <c r="AA276" s="18">
        <f>'RW predict'!W275</f>
        <v>0</v>
      </c>
      <c r="AB276" s="17"/>
      <c r="AG276" s="23"/>
      <c r="AI276" s="17"/>
      <c r="AO276" s="23"/>
    </row>
    <row r="277" spans="1:41" x14ac:dyDescent="0.3">
      <c r="A277" s="18">
        <v>274</v>
      </c>
      <c r="B277" s="18" t="str">
        <f>'RW predict'!A276</f>
        <v>Jesperi Kotkaniemi</v>
      </c>
      <c r="C277" s="18" t="str">
        <f>'RW predict'!B276</f>
        <v>CAR</v>
      </c>
      <c r="D277" s="22" t="str" cm="1">
        <f t="array" ref="D277">_xlfn.SWITCH('RW predict'!C276, "C", "F", "LW","F", "RW", "F", "D", "D", "G", "G", "other")</f>
        <v>F</v>
      </c>
      <c r="E277" s="32">
        <f t="shared" si="8"/>
        <v>1368</v>
      </c>
      <c r="F277" s="35">
        <f>E277/assumptions!$B$2</f>
        <v>16.682926829268293</v>
      </c>
      <c r="G277" s="36">
        <f t="shared" si="9"/>
        <v>336</v>
      </c>
      <c r="H277" s="18">
        <f>IF(NOT(D277="G"),'RW predict'!E276,0)</f>
        <v>14</v>
      </c>
      <c r="I277" s="18">
        <f>'RW predict'!Q276</f>
        <v>19</v>
      </c>
      <c r="J277" s="18">
        <f>'RW predict'!F276</f>
        <v>19</v>
      </c>
      <c r="K277" s="18"/>
      <c r="L277" s="18"/>
      <c r="M277" s="18">
        <f>'RW predict'!P276</f>
        <v>89</v>
      </c>
      <c r="N277" s="18"/>
      <c r="O277" s="18">
        <f>'RW predict'!H276</f>
        <v>3</v>
      </c>
      <c r="P277" s="18">
        <f>'RW predict'!I276</f>
        <v>34</v>
      </c>
      <c r="Q277" s="18">
        <f>'RW predict'!L276</f>
        <v>1</v>
      </c>
      <c r="R277" s="18">
        <f>'RW predict'!N276</f>
        <v>0</v>
      </c>
      <c r="S277" s="76">
        <f>'RW predict'!O276</f>
        <v>0</v>
      </c>
      <c r="T277" s="76">
        <f>'RW predict'!K276</f>
        <v>3</v>
      </c>
      <c r="U277" s="22">
        <f>'RW predict'!J276</f>
        <v>107</v>
      </c>
      <c r="V277" s="32">
        <f>IF(D277="G",'RW predict'!E276,0)</f>
        <v>0</v>
      </c>
      <c r="W277" s="18">
        <f>'RW predict'!R276</f>
        <v>0</v>
      </c>
      <c r="X277" s="18">
        <f>'RW predict'!T276</f>
        <v>0</v>
      </c>
      <c r="Y277" s="18">
        <f>'RW predict'!Y276</f>
        <v>0</v>
      </c>
      <c r="Z277" s="18">
        <f>'RW predict'!U276</f>
        <v>0</v>
      </c>
      <c r="AA277" s="18">
        <f>'RW predict'!W276</f>
        <v>0</v>
      </c>
      <c r="AB277" s="17"/>
      <c r="AG277" s="23"/>
      <c r="AI277" s="17"/>
      <c r="AO277" s="23"/>
    </row>
    <row r="278" spans="1:41" x14ac:dyDescent="0.3">
      <c r="A278" s="18">
        <v>275</v>
      </c>
      <c r="B278" s="18" t="str">
        <f>'RW predict'!A277</f>
        <v>Ondrej Kase</v>
      </c>
      <c r="C278" s="18" t="str">
        <f>'RW predict'!B277</f>
        <v>CAR</v>
      </c>
      <c r="D278" s="22" t="str" cm="1">
        <f t="array" ref="D278">_xlfn.SWITCH('RW predict'!C277, "C", "F", "LW","F", "RW", "F", "D", "D", "G", "G", "other")</f>
        <v>F</v>
      </c>
      <c r="E278" s="32">
        <f t="shared" si="8"/>
        <v>1420</v>
      </c>
      <c r="F278" s="35">
        <f>E278/assumptions!$B$2</f>
        <v>17.317073170731707</v>
      </c>
      <c r="G278" s="36">
        <f t="shared" si="9"/>
        <v>324</v>
      </c>
      <c r="H278" s="18">
        <f>IF(NOT(D278="G"),'RW predict'!E277,0)</f>
        <v>17</v>
      </c>
      <c r="I278" s="18">
        <f>'RW predict'!Q277</f>
        <v>28</v>
      </c>
      <c r="J278" s="18">
        <f>'RW predict'!F277</f>
        <v>16</v>
      </c>
      <c r="K278" s="18"/>
      <c r="L278" s="18"/>
      <c r="M278" s="18">
        <f>'RW predict'!P277</f>
        <v>30</v>
      </c>
      <c r="N278" s="18"/>
      <c r="O278" s="18">
        <f>'RW predict'!H277</f>
        <v>7</v>
      </c>
      <c r="P278" s="18">
        <f>'RW predict'!I277</f>
        <v>15</v>
      </c>
      <c r="Q278" s="18">
        <f>'RW predict'!L277</f>
        <v>1</v>
      </c>
      <c r="R278" s="18">
        <f>'RW predict'!N277</f>
        <v>1</v>
      </c>
      <c r="S278" s="76">
        <f>'RW predict'!O277</f>
        <v>0</v>
      </c>
      <c r="T278" s="76">
        <f>'RW predict'!K277</f>
        <v>3</v>
      </c>
      <c r="U278" s="22">
        <f>'RW predict'!J277</f>
        <v>152</v>
      </c>
      <c r="V278" s="32">
        <f>IF(D278="G",'RW predict'!E277,0)</f>
        <v>0</v>
      </c>
      <c r="W278" s="18">
        <f>'RW predict'!R277</f>
        <v>0</v>
      </c>
      <c r="X278" s="18">
        <f>'RW predict'!T277</f>
        <v>0</v>
      </c>
      <c r="Y278" s="18">
        <f>'RW predict'!Y277</f>
        <v>0</v>
      </c>
      <c r="Z278" s="18">
        <f>'RW predict'!U277</f>
        <v>0</v>
      </c>
      <c r="AA278" s="18">
        <f>'RW predict'!W277</f>
        <v>0</v>
      </c>
      <c r="AB278" s="17"/>
      <c r="AG278" s="23"/>
      <c r="AI278" s="17"/>
      <c r="AO278" s="23"/>
    </row>
    <row r="279" spans="1:41" x14ac:dyDescent="0.3">
      <c r="A279" s="18">
        <v>276</v>
      </c>
      <c r="B279" s="18" t="str">
        <f>'RW predict'!A278</f>
        <v>Andreas Johnsson</v>
      </c>
      <c r="C279" s="18" t="str">
        <f>'RW predict'!B278</f>
        <v>NJ</v>
      </c>
      <c r="D279" s="22" t="str" cm="1">
        <f t="array" ref="D279">_xlfn.SWITCH('RW predict'!C278, "C", "F", "LW","F", "RW", "F", "D", "D", "G", "G", "other")</f>
        <v>F</v>
      </c>
      <c r="E279" s="32">
        <f t="shared" si="8"/>
        <v>1280</v>
      </c>
      <c r="F279" s="35">
        <f>E279/assumptions!$B$2</f>
        <v>15.609756097560975</v>
      </c>
      <c r="G279" s="36">
        <f t="shared" si="9"/>
        <v>374</v>
      </c>
      <c r="H279" s="18">
        <f>IF(NOT(D279="G"),'RW predict'!E278,0)</f>
        <v>13</v>
      </c>
      <c r="I279" s="18">
        <f>'RW predict'!Q278</f>
        <v>26</v>
      </c>
      <c r="J279" s="18">
        <f>'RW predict'!F278</f>
        <v>19</v>
      </c>
      <c r="K279" s="18"/>
      <c r="L279" s="18"/>
      <c r="M279" s="18">
        <f>'RW predict'!P278</f>
        <v>66</v>
      </c>
      <c r="N279" s="18"/>
      <c r="O279" s="18">
        <f>'RW predict'!H278</f>
        <v>2</v>
      </c>
      <c r="P279" s="18">
        <f>'RW predict'!I278</f>
        <v>28</v>
      </c>
      <c r="Q279" s="18">
        <f>'RW predict'!L278</f>
        <v>0</v>
      </c>
      <c r="R279" s="18">
        <f>'RW predict'!N278</f>
        <v>0</v>
      </c>
      <c r="S279" s="76">
        <f>'RW predict'!O278</f>
        <v>0</v>
      </c>
      <c r="T279" s="76">
        <f>'RW predict'!K278</f>
        <v>1</v>
      </c>
      <c r="U279" s="22">
        <f>'RW predict'!J278</f>
        <v>119</v>
      </c>
      <c r="V279" s="32">
        <f>IF(D279="G",'RW predict'!E278,0)</f>
        <v>0</v>
      </c>
      <c r="W279" s="18">
        <f>'RW predict'!R278</f>
        <v>0</v>
      </c>
      <c r="X279" s="18">
        <f>'RW predict'!T278</f>
        <v>0</v>
      </c>
      <c r="Y279" s="18">
        <f>'RW predict'!Y278</f>
        <v>0</v>
      </c>
      <c r="Z279" s="18">
        <f>'RW predict'!U278</f>
        <v>0</v>
      </c>
      <c r="AA279" s="18">
        <f>'RW predict'!W278</f>
        <v>0</v>
      </c>
      <c r="AB279" s="17"/>
      <c r="AG279" s="23"/>
      <c r="AI279" s="17"/>
      <c r="AO279" s="23"/>
    </row>
    <row r="280" spans="1:41" x14ac:dyDescent="0.3">
      <c r="A280" s="18">
        <v>277</v>
      </c>
      <c r="B280" s="18" t="str">
        <f>'RW predict'!A279</f>
        <v>Sean Durzi</v>
      </c>
      <c r="C280" s="18" t="str">
        <f>'RW predict'!B279</f>
        <v>LA</v>
      </c>
      <c r="D280" s="22" t="str" cm="1">
        <f t="array" ref="D280">_xlfn.SWITCH('RW predict'!C279, "C", "F", "LW","F", "RW", "F", "D", "D", "G", "G", "other")</f>
        <v>D</v>
      </c>
      <c r="E280" s="32">
        <f t="shared" si="8"/>
        <v>1567</v>
      </c>
      <c r="F280" s="35">
        <f>E280/assumptions!$B$2</f>
        <v>19.109756097560975</v>
      </c>
      <c r="G280" s="36">
        <f t="shared" si="9"/>
        <v>273</v>
      </c>
      <c r="H280" s="18">
        <f>IF(NOT(D280="G"),'RW predict'!E279,0)</f>
        <v>4</v>
      </c>
      <c r="I280" s="18">
        <f>'RW predict'!Q279</f>
        <v>135</v>
      </c>
      <c r="J280" s="18">
        <f>'RW predict'!F279</f>
        <v>28</v>
      </c>
      <c r="K280" s="18"/>
      <c r="L280" s="18"/>
      <c r="M280" s="18">
        <f>'RW predict'!P279</f>
        <v>81</v>
      </c>
      <c r="N280" s="18"/>
      <c r="O280" s="18">
        <f>'RW predict'!H279</f>
        <v>-6</v>
      </c>
      <c r="P280" s="18">
        <f>'RW predict'!I279</f>
        <v>60</v>
      </c>
      <c r="Q280" s="18">
        <f>'RW predict'!L279</f>
        <v>2</v>
      </c>
      <c r="R280" s="18">
        <f>'RW predict'!N279</f>
        <v>0</v>
      </c>
      <c r="S280" s="76">
        <f>'RW predict'!O279</f>
        <v>1</v>
      </c>
      <c r="T280" s="76">
        <f>'RW predict'!K279</f>
        <v>0</v>
      </c>
      <c r="U280" s="22">
        <f>'RW predict'!J279</f>
        <v>133</v>
      </c>
      <c r="V280" s="32">
        <f>IF(D280="G",'RW predict'!E279,0)</f>
        <v>0</v>
      </c>
      <c r="W280" s="18">
        <f>'RW predict'!R279</f>
        <v>0</v>
      </c>
      <c r="X280" s="18">
        <f>'RW predict'!T279</f>
        <v>0</v>
      </c>
      <c r="Y280" s="18">
        <f>'RW predict'!Y279</f>
        <v>0</v>
      </c>
      <c r="Z280" s="18">
        <f>'RW predict'!U279</f>
        <v>0</v>
      </c>
      <c r="AA280" s="18">
        <f>'RW predict'!W279</f>
        <v>0</v>
      </c>
      <c r="AB280" s="17"/>
      <c r="AG280" s="23"/>
      <c r="AI280" s="17"/>
      <c r="AO280" s="23"/>
    </row>
    <row r="281" spans="1:41" x14ac:dyDescent="0.3">
      <c r="A281" s="18">
        <v>278</v>
      </c>
      <c r="B281" s="18" t="str">
        <f>'RW predict'!A280</f>
        <v>Pierre Engvall</v>
      </c>
      <c r="C281" s="18" t="str">
        <f>'RW predict'!B280</f>
        <v>TOR</v>
      </c>
      <c r="D281" s="22" t="str" cm="1">
        <f t="array" ref="D281">_xlfn.SWITCH('RW predict'!C280, "C", "F", "LW","F", "RW", "F", "D", "D", "G", "G", "other")</f>
        <v>F</v>
      </c>
      <c r="E281" s="32">
        <f t="shared" si="8"/>
        <v>1462</v>
      </c>
      <c r="F281" s="35">
        <f>E281/assumptions!$B$2</f>
        <v>17.829268292682926</v>
      </c>
      <c r="G281" s="36">
        <f t="shared" si="9"/>
        <v>305</v>
      </c>
      <c r="H281" s="18">
        <f>IF(NOT(D281="G"),'RW predict'!E280,0)</f>
        <v>14</v>
      </c>
      <c r="I281" s="18">
        <f>'RW predict'!Q280</f>
        <v>13</v>
      </c>
      <c r="J281" s="18">
        <f>'RW predict'!F280</f>
        <v>18</v>
      </c>
      <c r="K281" s="18"/>
      <c r="L281" s="18"/>
      <c r="M281" s="18">
        <f>'RW predict'!P280</f>
        <v>64</v>
      </c>
      <c r="N281" s="18"/>
      <c r="O281" s="18">
        <f>'RW predict'!H280</f>
        <v>10</v>
      </c>
      <c r="P281" s="18">
        <f>'RW predict'!I280</f>
        <v>28</v>
      </c>
      <c r="Q281" s="18">
        <f>'RW predict'!L280</f>
        <v>1</v>
      </c>
      <c r="R281" s="18">
        <f>'RW predict'!N280</f>
        <v>2</v>
      </c>
      <c r="S281" s="76">
        <f>'RW predict'!O280</f>
        <v>1</v>
      </c>
      <c r="T281" s="76">
        <f>'RW predict'!K280</f>
        <v>2</v>
      </c>
      <c r="U281" s="22">
        <f>'RW predict'!J280</f>
        <v>144</v>
      </c>
      <c r="V281" s="32">
        <f>IF(D281="G",'RW predict'!E280,0)</f>
        <v>0</v>
      </c>
      <c r="W281" s="18">
        <f>'RW predict'!R280</f>
        <v>0</v>
      </c>
      <c r="X281" s="18">
        <f>'RW predict'!T280</f>
        <v>0</v>
      </c>
      <c r="Y281" s="18">
        <f>'RW predict'!Y280</f>
        <v>0</v>
      </c>
      <c r="Z281" s="18">
        <f>'RW predict'!U280</f>
        <v>0</v>
      </c>
      <c r="AA281" s="18">
        <f>'RW predict'!W280</f>
        <v>0</v>
      </c>
      <c r="AB281" s="17"/>
      <c r="AG281" s="23"/>
      <c r="AI281" s="17"/>
      <c r="AO281" s="23"/>
    </row>
    <row r="282" spans="1:41" x14ac:dyDescent="0.3">
      <c r="A282" s="18">
        <v>279</v>
      </c>
      <c r="B282" s="18" t="str">
        <f>'RW predict'!A281</f>
        <v>Bowen Byram</v>
      </c>
      <c r="C282" s="18" t="str">
        <f>'RW predict'!B281</f>
        <v>COL</v>
      </c>
      <c r="D282" s="22" t="str" cm="1">
        <f t="array" ref="D282">_xlfn.SWITCH('RW predict'!C281, "C", "F", "LW","F", "RW", "F", "D", "D", "G", "G", "other")</f>
        <v>D</v>
      </c>
      <c r="E282" s="32">
        <f t="shared" si="8"/>
        <v>1494</v>
      </c>
      <c r="F282" s="35">
        <f>E282/assumptions!$B$2</f>
        <v>18.219512195121951</v>
      </c>
      <c r="G282" s="36">
        <f t="shared" si="9"/>
        <v>294</v>
      </c>
      <c r="H282" s="18">
        <f>IF(NOT(D282="G"),'RW predict'!E281,0)</f>
        <v>8</v>
      </c>
      <c r="I282" s="18">
        <f>'RW predict'!Q281</f>
        <v>57</v>
      </c>
      <c r="J282" s="18">
        <f>'RW predict'!F281</f>
        <v>24</v>
      </c>
      <c r="K282" s="18"/>
      <c r="L282" s="18"/>
      <c r="M282" s="18">
        <f>'RW predict'!P281</f>
        <v>96</v>
      </c>
      <c r="N282" s="18"/>
      <c r="O282" s="18">
        <f>'RW predict'!H281</f>
        <v>12</v>
      </c>
      <c r="P282" s="18">
        <f>'RW predict'!I281</f>
        <v>30</v>
      </c>
      <c r="Q282" s="18">
        <f>'RW predict'!L281</f>
        <v>2</v>
      </c>
      <c r="R282" s="18">
        <f>'RW predict'!N281</f>
        <v>0</v>
      </c>
      <c r="S282" s="76">
        <f>'RW predict'!O281</f>
        <v>0</v>
      </c>
      <c r="T282" s="76">
        <f>'RW predict'!K281</f>
        <v>2</v>
      </c>
      <c r="U282" s="22">
        <f>'RW predict'!J281</f>
        <v>107</v>
      </c>
      <c r="V282" s="32">
        <f>IF(D282="G",'RW predict'!E281,0)</f>
        <v>0</v>
      </c>
      <c r="W282" s="18">
        <f>'RW predict'!R281</f>
        <v>0</v>
      </c>
      <c r="X282" s="18">
        <f>'RW predict'!T281</f>
        <v>0</v>
      </c>
      <c r="Y282" s="18">
        <f>'RW predict'!Y281</f>
        <v>0</v>
      </c>
      <c r="Z282" s="18">
        <f>'RW predict'!U281</f>
        <v>0</v>
      </c>
      <c r="AA282" s="18">
        <f>'RW predict'!W281</f>
        <v>0</v>
      </c>
      <c r="AB282" s="17"/>
      <c r="AG282" s="23"/>
      <c r="AI282" s="17"/>
      <c r="AO282" s="23"/>
    </row>
    <row r="283" spans="1:41" x14ac:dyDescent="0.3">
      <c r="A283" s="18">
        <v>280</v>
      </c>
      <c r="B283" s="18" t="str">
        <f>'RW predict'!A282</f>
        <v>Peyton Krebs</v>
      </c>
      <c r="C283" s="18" t="str">
        <f>'RW predict'!B282</f>
        <v>BUF</v>
      </c>
      <c r="D283" s="22" t="str" cm="1">
        <f t="array" ref="D283">_xlfn.SWITCH('RW predict'!C282, "C", "F", "LW","F", "RW", "F", "D", "D", "G", "G", "other")</f>
        <v>F</v>
      </c>
      <c r="E283" s="32">
        <f t="shared" si="8"/>
        <v>990</v>
      </c>
      <c r="F283" s="35">
        <f>E283/assumptions!$B$2</f>
        <v>12.073170731707316</v>
      </c>
      <c r="G283" s="36">
        <f t="shared" si="9"/>
        <v>492</v>
      </c>
      <c r="H283" s="18">
        <f>IF(NOT(D283="G"),'RW predict'!E282,0)</f>
        <v>11</v>
      </c>
      <c r="I283" s="18">
        <f>'RW predict'!Q282</f>
        <v>11</v>
      </c>
      <c r="J283" s="18">
        <f>'RW predict'!F282</f>
        <v>21</v>
      </c>
      <c r="K283" s="18"/>
      <c r="L283" s="18"/>
      <c r="M283" s="18">
        <f>'RW predict'!P282</f>
        <v>36</v>
      </c>
      <c r="N283" s="18"/>
      <c r="O283" s="18">
        <f>'RW predict'!H282</f>
        <v>-21</v>
      </c>
      <c r="P283" s="18">
        <f>'RW predict'!I282</f>
        <v>26</v>
      </c>
      <c r="Q283" s="18">
        <f>'RW predict'!L282</f>
        <v>2</v>
      </c>
      <c r="R283" s="18">
        <f>'RW predict'!N282</f>
        <v>0</v>
      </c>
      <c r="S283" s="76">
        <f>'RW predict'!O282</f>
        <v>0</v>
      </c>
      <c r="T283" s="76">
        <f>'RW predict'!K282</f>
        <v>3</v>
      </c>
      <c r="U283" s="22">
        <f>'RW predict'!J282</f>
        <v>92</v>
      </c>
      <c r="V283" s="32">
        <f>IF(D283="G",'RW predict'!E282,0)</f>
        <v>0</v>
      </c>
      <c r="W283" s="18">
        <f>'RW predict'!R282</f>
        <v>0</v>
      </c>
      <c r="X283" s="18">
        <f>'RW predict'!T282</f>
        <v>0</v>
      </c>
      <c r="Y283" s="18">
        <f>'RW predict'!Y282</f>
        <v>0</v>
      </c>
      <c r="Z283" s="18">
        <f>'RW predict'!U282</f>
        <v>0</v>
      </c>
      <c r="AA283" s="18">
        <f>'RW predict'!W282</f>
        <v>0</v>
      </c>
      <c r="AB283" s="17"/>
      <c r="AG283" s="23"/>
      <c r="AI283" s="17"/>
      <c r="AO283" s="23"/>
    </row>
    <row r="284" spans="1:41" x14ac:dyDescent="0.3">
      <c r="A284" s="18">
        <v>281</v>
      </c>
      <c r="B284" s="18" t="str">
        <f>'RW predict'!A283</f>
        <v>Kirby Dach</v>
      </c>
      <c r="C284" s="18" t="str">
        <f>'RW predict'!B283</f>
        <v>MON</v>
      </c>
      <c r="D284" s="22" t="str" cm="1">
        <f t="array" ref="D284">_xlfn.SWITCH('RW predict'!C283, "C", "F", "LW","F", "RW", "F", "D", "D", "G", "G", "other")</f>
        <v>F</v>
      </c>
      <c r="E284" s="32">
        <f t="shared" si="8"/>
        <v>1192</v>
      </c>
      <c r="F284" s="35">
        <f>E284/assumptions!$B$2</f>
        <v>14.536585365853659</v>
      </c>
      <c r="G284" s="36">
        <f t="shared" si="9"/>
        <v>404</v>
      </c>
      <c r="H284" s="18">
        <f>IF(NOT(D284="G"),'RW predict'!E283,0)</f>
        <v>10</v>
      </c>
      <c r="I284" s="18">
        <f>'RW predict'!Q283</f>
        <v>43</v>
      </c>
      <c r="J284" s="18">
        <f>'RW predict'!F283</f>
        <v>22</v>
      </c>
      <c r="K284" s="18"/>
      <c r="L284" s="18"/>
      <c r="M284" s="18">
        <f>'RW predict'!P283</f>
        <v>54</v>
      </c>
      <c r="N284" s="18"/>
      <c r="O284" s="18">
        <f>'RW predict'!H283</f>
        <v>-17</v>
      </c>
      <c r="P284" s="18">
        <f>'RW predict'!I283</f>
        <v>38</v>
      </c>
      <c r="Q284" s="18">
        <f>'RW predict'!L283</f>
        <v>2</v>
      </c>
      <c r="R284" s="18">
        <f>'RW predict'!N283</f>
        <v>0</v>
      </c>
      <c r="S284" s="76">
        <f>'RW predict'!O283</f>
        <v>1</v>
      </c>
      <c r="T284" s="76">
        <f>'RW predict'!K283</f>
        <v>1</v>
      </c>
      <c r="U284" s="22">
        <f>'RW predict'!J283</f>
        <v>129</v>
      </c>
      <c r="V284" s="32">
        <f>IF(D284="G",'RW predict'!E283,0)</f>
        <v>0</v>
      </c>
      <c r="W284" s="18">
        <f>'RW predict'!R283</f>
        <v>0</v>
      </c>
      <c r="X284" s="18">
        <f>'RW predict'!T283</f>
        <v>0</v>
      </c>
      <c r="Y284" s="18">
        <f>'RW predict'!Y283</f>
        <v>0</v>
      </c>
      <c r="Z284" s="18">
        <f>'RW predict'!U283</f>
        <v>0</v>
      </c>
      <c r="AA284" s="18">
        <f>'RW predict'!W283</f>
        <v>0</v>
      </c>
      <c r="AB284" s="17"/>
      <c r="AG284" s="23"/>
      <c r="AI284" s="17"/>
      <c r="AO284" s="23"/>
    </row>
    <row r="285" spans="1:41" x14ac:dyDescent="0.3">
      <c r="A285" s="18">
        <v>282</v>
      </c>
      <c r="B285" s="18" t="str">
        <f>'RW predict'!A284</f>
        <v>Lukas Reichel</v>
      </c>
      <c r="C285" s="18" t="str">
        <f>'RW predict'!B284</f>
        <v>CHI</v>
      </c>
      <c r="D285" s="22" t="str" cm="1">
        <f t="array" ref="D285">_xlfn.SWITCH('RW predict'!C284, "C", "F", "LW","F", "RW", "F", "D", "D", "G", "G", "other")</f>
        <v>F</v>
      </c>
      <c r="E285" s="32">
        <f t="shared" si="8"/>
        <v>1033</v>
      </c>
      <c r="F285" s="35">
        <f>E285/assumptions!$B$2</f>
        <v>12.597560975609756</v>
      </c>
      <c r="G285" s="36">
        <f t="shared" si="9"/>
        <v>471</v>
      </c>
      <c r="H285" s="18">
        <f>IF(NOT(D285="G"),'RW predict'!E284,0)</f>
        <v>7</v>
      </c>
      <c r="I285" s="18">
        <f>'RW predict'!Q284</f>
        <v>20</v>
      </c>
      <c r="J285" s="18">
        <f>'RW predict'!F284</f>
        <v>25</v>
      </c>
      <c r="K285" s="18"/>
      <c r="L285" s="18"/>
      <c r="M285" s="18">
        <f>'RW predict'!P284</f>
        <v>33</v>
      </c>
      <c r="N285" s="18"/>
      <c r="O285" s="18">
        <f>'RW predict'!H284</f>
        <v>-14</v>
      </c>
      <c r="P285" s="18">
        <f>'RW predict'!I284</f>
        <v>20</v>
      </c>
      <c r="Q285" s="18">
        <f>'RW predict'!L284</f>
        <v>2</v>
      </c>
      <c r="R285" s="18">
        <f>'RW predict'!N284</f>
        <v>0</v>
      </c>
      <c r="S285" s="76">
        <f>'RW predict'!O284</f>
        <v>0</v>
      </c>
      <c r="T285" s="76">
        <f>'RW predict'!K284</f>
        <v>1</v>
      </c>
      <c r="U285" s="22">
        <f>'RW predict'!J284</f>
        <v>100</v>
      </c>
      <c r="V285" s="32">
        <f>IF(D285="G",'RW predict'!E284,0)</f>
        <v>0</v>
      </c>
      <c r="W285" s="18">
        <f>'RW predict'!R284</f>
        <v>0</v>
      </c>
      <c r="X285" s="18">
        <f>'RW predict'!T284</f>
        <v>0</v>
      </c>
      <c r="Y285" s="18">
        <f>'RW predict'!Y284</f>
        <v>0</v>
      </c>
      <c r="Z285" s="18">
        <f>'RW predict'!U284</f>
        <v>0</v>
      </c>
      <c r="AA285" s="18">
        <f>'RW predict'!W284</f>
        <v>0</v>
      </c>
      <c r="AB285" s="17"/>
      <c r="AG285" s="23"/>
      <c r="AI285" s="17"/>
      <c r="AO285" s="23"/>
    </row>
    <row r="286" spans="1:41" x14ac:dyDescent="0.3">
      <c r="A286" s="18">
        <v>283</v>
      </c>
      <c r="B286" s="18" t="str">
        <f>'RW predict'!A285</f>
        <v>Lars Eller</v>
      </c>
      <c r="C286" s="18" t="str">
        <f>'RW predict'!B285</f>
        <v>WAS</v>
      </c>
      <c r="D286" s="22" t="str" cm="1">
        <f t="array" ref="D286">_xlfn.SWITCH('RW predict'!C285, "C", "F", "LW","F", "RW", "F", "D", "D", "G", "G", "other")</f>
        <v>F</v>
      </c>
      <c r="E286" s="32">
        <f t="shared" si="8"/>
        <v>1343</v>
      </c>
      <c r="F286" s="35">
        <f>E286/assumptions!$B$2</f>
        <v>16.378048780487806</v>
      </c>
      <c r="G286" s="36">
        <f t="shared" si="9"/>
        <v>347</v>
      </c>
      <c r="H286" s="18">
        <f>IF(NOT(D286="G"),'RW predict'!E285,0)</f>
        <v>13</v>
      </c>
      <c r="I286" s="18">
        <f>'RW predict'!Q285</f>
        <v>36</v>
      </c>
      <c r="J286" s="18">
        <f>'RW predict'!F285</f>
        <v>19</v>
      </c>
      <c r="K286" s="18"/>
      <c r="L286" s="18"/>
      <c r="M286" s="18">
        <f>'RW predict'!P285</f>
        <v>87</v>
      </c>
      <c r="N286" s="18"/>
      <c r="O286" s="18">
        <f>'RW predict'!H285</f>
        <v>-3</v>
      </c>
      <c r="P286" s="18">
        <f>'RW predict'!I285</f>
        <v>40</v>
      </c>
      <c r="Q286" s="18">
        <f>'RW predict'!L285</f>
        <v>0</v>
      </c>
      <c r="R286" s="18">
        <f>'RW predict'!N285</f>
        <v>0</v>
      </c>
      <c r="S286" s="76">
        <f>'RW predict'!O285</f>
        <v>0</v>
      </c>
      <c r="T286" s="76">
        <f>'RW predict'!K285</f>
        <v>2</v>
      </c>
      <c r="U286" s="22">
        <f>'RW predict'!J285</f>
        <v>127</v>
      </c>
      <c r="V286" s="32">
        <f>IF(D286="G",'RW predict'!E285,0)</f>
        <v>0</v>
      </c>
      <c r="W286" s="18">
        <f>'RW predict'!R285</f>
        <v>0</v>
      </c>
      <c r="X286" s="18">
        <f>'RW predict'!T285</f>
        <v>0</v>
      </c>
      <c r="Y286" s="18">
        <f>'RW predict'!Y285</f>
        <v>0</v>
      </c>
      <c r="Z286" s="18">
        <f>'RW predict'!U285</f>
        <v>0</v>
      </c>
      <c r="AA286" s="18">
        <f>'RW predict'!W285</f>
        <v>0</v>
      </c>
      <c r="AB286" s="17"/>
      <c r="AG286" s="23"/>
      <c r="AI286" s="17"/>
      <c r="AO286" s="23"/>
    </row>
    <row r="287" spans="1:41" x14ac:dyDescent="0.3">
      <c r="A287" s="18">
        <v>284</v>
      </c>
      <c r="B287" s="18" t="str">
        <f>'RW predict'!A286</f>
        <v>Kevin Shattenkirk</v>
      </c>
      <c r="C287" s="18" t="str">
        <f>'RW predict'!B286</f>
        <v>ANH</v>
      </c>
      <c r="D287" s="22" t="str" cm="1">
        <f t="array" ref="D287">_xlfn.SWITCH('RW predict'!C286, "C", "F", "LW","F", "RW", "F", "D", "D", "G", "G", "other")</f>
        <v>D</v>
      </c>
      <c r="E287" s="32">
        <f t="shared" si="8"/>
        <v>1475</v>
      </c>
      <c r="F287" s="35">
        <f>E287/assumptions!$B$2</f>
        <v>17.987804878048781</v>
      </c>
      <c r="G287" s="36">
        <f t="shared" si="9"/>
        <v>301</v>
      </c>
      <c r="H287" s="18">
        <f>IF(NOT(D287="G"),'RW predict'!E286,0)</f>
        <v>6</v>
      </c>
      <c r="I287" s="18">
        <f>'RW predict'!Q286</f>
        <v>121</v>
      </c>
      <c r="J287" s="18">
        <f>'RW predict'!F286</f>
        <v>26</v>
      </c>
      <c r="K287" s="18"/>
      <c r="L287" s="18"/>
      <c r="M287" s="18">
        <f>'RW predict'!P286</f>
        <v>72</v>
      </c>
      <c r="N287" s="18"/>
      <c r="O287" s="18">
        <f>'RW predict'!H286</f>
        <v>-9</v>
      </c>
      <c r="P287" s="18">
        <f>'RW predict'!I286</f>
        <v>37</v>
      </c>
      <c r="Q287" s="18">
        <f>'RW predict'!L286</f>
        <v>1</v>
      </c>
      <c r="R287" s="18">
        <f>'RW predict'!N286</f>
        <v>0</v>
      </c>
      <c r="S287" s="76">
        <f>'RW predict'!O286</f>
        <v>0</v>
      </c>
      <c r="T287" s="76">
        <f>'RW predict'!K286</f>
        <v>1</v>
      </c>
      <c r="U287" s="22">
        <f>'RW predict'!J286</f>
        <v>155</v>
      </c>
      <c r="V287" s="32">
        <f>IF(D287="G",'RW predict'!E286,0)</f>
        <v>0</v>
      </c>
      <c r="W287" s="18">
        <f>'RW predict'!R286</f>
        <v>0</v>
      </c>
      <c r="X287" s="18">
        <f>'RW predict'!T286</f>
        <v>0</v>
      </c>
      <c r="Y287" s="18">
        <f>'RW predict'!Y286</f>
        <v>0</v>
      </c>
      <c r="Z287" s="18">
        <f>'RW predict'!U286</f>
        <v>0</v>
      </c>
      <c r="AA287" s="18">
        <f>'RW predict'!W286</f>
        <v>0</v>
      </c>
      <c r="AB287" s="17"/>
      <c r="AG287" s="23"/>
      <c r="AI287" s="17"/>
      <c r="AO287" s="23"/>
    </row>
    <row r="288" spans="1:41" x14ac:dyDescent="0.3">
      <c r="A288" s="18">
        <v>285</v>
      </c>
      <c r="B288" s="18" t="str">
        <f>'RW predict'!A287</f>
        <v>Zach Parise</v>
      </c>
      <c r="C288" s="18" t="str">
        <f>'RW predict'!B287</f>
        <v>NYI</v>
      </c>
      <c r="D288" s="22" t="str" cm="1">
        <f t="array" ref="D288">_xlfn.SWITCH('RW predict'!C287, "C", "F", "LW","F", "RW", "F", "D", "D", "G", "G", "other")</f>
        <v>F</v>
      </c>
      <c r="E288" s="32">
        <f t="shared" si="8"/>
        <v>1303</v>
      </c>
      <c r="F288" s="35">
        <f>E288/assumptions!$B$2</f>
        <v>15.890243902439025</v>
      </c>
      <c r="G288" s="36">
        <f t="shared" si="9"/>
        <v>367</v>
      </c>
      <c r="H288" s="18">
        <f>IF(NOT(D288="G"),'RW predict'!E287,0)</f>
        <v>14</v>
      </c>
      <c r="I288" s="18">
        <f>'RW predict'!Q287</f>
        <v>44</v>
      </c>
      <c r="J288" s="18">
        <f>'RW predict'!F287</f>
        <v>18</v>
      </c>
      <c r="K288" s="18"/>
      <c r="L288" s="18"/>
      <c r="M288" s="18">
        <f>'RW predict'!P287</f>
        <v>48</v>
      </c>
      <c r="N288" s="18"/>
      <c r="O288" s="18">
        <f>'RW predict'!H287</f>
        <v>-5</v>
      </c>
      <c r="P288" s="18">
        <f>'RW predict'!I287</f>
        <v>23</v>
      </c>
      <c r="Q288" s="18">
        <f>'RW predict'!L287</f>
        <v>2</v>
      </c>
      <c r="R288" s="18">
        <f>'RW predict'!N287</f>
        <v>1</v>
      </c>
      <c r="S288" s="76">
        <f>'RW predict'!O287</f>
        <v>0</v>
      </c>
      <c r="T288" s="76">
        <f>'RW predict'!K287</f>
        <v>3</v>
      </c>
      <c r="U288" s="22">
        <f>'RW predict'!J287</f>
        <v>124</v>
      </c>
      <c r="V288" s="32">
        <f>IF(D288="G",'RW predict'!E287,0)</f>
        <v>0</v>
      </c>
      <c r="W288" s="18">
        <f>'RW predict'!R287</f>
        <v>0</v>
      </c>
      <c r="X288" s="18">
        <f>'RW predict'!T287</f>
        <v>0</v>
      </c>
      <c r="Y288" s="18">
        <f>'RW predict'!Y287</f>
        <v>0</v>
      </c>
      <c r="Z288" s="18">
        <f>'RW predict'!U287</f>
        <v>0</v>
      </c>
      <c r="AA288" s="18">
        <f>'RW predict'!W287</f>
        <v>0</v>
      </c>
      <c r="AB288" s="17"/>
      <c r="AG288" s="23"/>
      <c r="AI288" s="17"/>
      <c r="AO288" s="23"/>
    </row>
    <row r="289" spans="1:41" x14ac:dyDescent="0.3">
      <c r="A289" s="18">
        <v>286</v>
      </c>
      <c r="B289" s="18" t="str">
        <f>'RW predict'!A288</f>
        <v>Jonas Brodin</v>
      </c>
      <c r="C289" s="18" t="str">
        <f>'RW predict'!B288</f>
        <v>MIN</v>
      </c>
      <c r="D289" s="22" t="str" cm="1">
        <f t="array" ref="D289">_xlfn.SWITCH('RW predict'!C288, "C", "F", "LW","F", "RW", "F", "D", "D", "G", "G", "other")</f>
        <v>D</v>
      </c>
      <c r="E289" s="32">
        <f t="shared" si="8"/>
        <v>1579</v>
      </c>
      <c r="F289" s="35">
        <f>E289/assumptions!$B$2</f>
        <v>19.256097560975611</v>
      </c>
      <c r="G289" s="36">
        <f t="shared" si="9"/>
        <v>270</v>
      </c>
      <c r="H289" s="18">
        <f>IF(NOT(D289="G"),'RW predict'!E288,0)</f>
        <v>6</v>
      </c>
      <c r="I289" s="18">
        <f>'RW predict'!Q288</f>
        <v>134</v>
      </c>
      <c r="J289" s="18">
        <f>'RW predict'!F288</f>
        <v>26</v>
      </c>
      <c r="K289" s="18"/>
      <c r="L289" s="18"/>
      <c r="M289" s="18">
        <f>'RW predict'!P288</f>
        <v>45</v>
      </c>
      <c r="N289" s="18"/>
      <c r="O289" s="18">
        <f>'RW predict'!H288</f>
        <v>11</v>
      </c>
      <c r="P289" s="18">
        <f>'RW predict'!I288</f>
        <v>20</v>
      </c>
      <c r="Q289" s="18">
        <f>'RW predict'!L288</f>
        <v>1</v>
      </c>
      <c r="R289" s="18">
        <f>'RW predict'!N288</f>
        <v>0</v>
      </c>
      <c r="S289" s="76">
        <f>'RW predict'!O288</f>
        <v>1</v>
      </c>
      <c r="T289" s="76">
        <f>'RW predict'!K288</f>
        <v>1</v>
      </c>
      <c r="U289" s="22">
        <f>'RW predict'!J288</f>
        <v>128</v>
      </c>
      <c r="V289" s="32">
        <f>IF(D289="G",'RW predict'!E288,0)</f>
        <v>0</v>
      </c>
      <c r="W289" s="18">
        <f>'RW predict'!R288</f>
        <v>0</v>
      </c>
      <c r="X289" s="18">
        <f>'RW predict'!T288</f>
        <v>0</v>
      </c>
      <c r="Y289" s="18">
        <f>'RW predict'!Y288</f>
        <v>0</v>
      </c>
      <c r="Z289" s="18">
        <f>'RW predict'!U288</f>
        <v>0</v>
      </c>
      <c r="AA289" s="18">
        <f>'RW predict'!W288</f>
        <v>0</v>
      </c>
      <c r="AB289" s="17"/>
      <c r="AG289" s="23"/>
      <c r="AI289" s="17"/>
      <c r="AO289" s="23"/>
    </row>
    <row r="290" spans="1:41" x14ac:dyDescent="0.3">
      <c r="A290" s="18">
        <v>287</v>
      </c>
      <c r="B290" s="18" t="str">
        <f>'RW predict'!A289</f>
        <v>Jason Zucker</v>
      </c>
      <c r="C290" s="18" t="str">
        <f>'RW predict'!B289</f>
        <v>PIT</v>
      </c>
      <c r="D290" s="22" t="str" cm="1">
        <f t="array" ref="D290">_xlfn.SWITCH('RW predict'!C289, "C", "F", "LW","F", "RW", "F", "D", "D", "G", "G", "other")</f>
        <v>F</v>
      </c>
      <c r="E290" s="32">
        <f t="shared" si="8"/>
        <v>1349</v>
      </c>
      <c r="F290" s="35">
        <f>E290/assumptions!$B$2</f>
        <v>16.451219512195124</v>
      </c>
      <c r="G290" s="36">
        <f t="shared" si="9"/>
        <v>344</v>
      </c>
      <c r="H290" s="18">
        <f>IF(NOT(D290="G"),'RW predict'!E289,0)</f>
        <v>15</v>
      </c>
      <c r="I290" s="18">
        <f>'RW predict'!Q289</f>
        <v>30</v>
      </c>
      <c r="J290" s="18">
        <f>'RW predict'!F289</f>
        <v>17</v>
      </c>
      <c r="K290" s="18"/>
      <c r="L290" s="18"/>
      <c r="M290" s="18">
        <f>'RW predict'!P289</f>
        <v>106</v>
      </c>
      <c r="N290" s="18"/>
      <c r="O290" s="18">
        <f>'RW predict'!H289</f>
        <v>-6</v>
      </c>
      <c r="P290" s="18">
        <f>'RW predict'!I289</f>
        <v>27</v>
      </c>
      <c r="Q290" s="18">
        <f>'RW predict'!L289</f>
        <v>5</v>
      </c>
      <c r="R290" s="18">
        <f>'RW predict'!N289</f>
        <v>0</v>
      </c>
      <c r="S290" s="76">
        <f>'RW predict'!O289</f>
        <v>0</v>
      </c>
      <c r="T290" s="76">
        <f>'RW predict'!K289</f>
        <v>0</v>
      </c>
      <c r="U290" s="22">
        <f>'RW predict'!J289</f>
        <v>156</v>
      </c>
      <c r="V290" s="32">
        <f>IF(D290="G",'RW predict'!E289,0)</f>
        <v>0</v>
      </c>
      <c r="W290" s="18">
        <f>'RW predict'!R289</f>
        <v>0</v>
      </c>
      <c r="X290" s="18">
        <f>'RW predict'!T289</f>
        <v>0</v>
      </c>
      <c r="Y290" s="18">
        <f>'RW predict'!Y289</f>
        <v>0</v>
      </c>
      <c r="Z290" s="18">
        <f>'RW predict'!U289</f>
        <v>0</v>
      </c>
      <c r="AA290" s="18">
        <f>'RW predict'!W289</f>
        <v>0</v>
      </c>
      <c r="AB290" s="17"/>
      <c r="AG290" s="23"/>
      <c r="AI290" s="17"/>
      <c r="AO290" s="23"/>
    </row>
    <row r="291" spans="1:41" x14ac:dyDescent="0.3">
      <c r="A291" s="18">
        <v>288</v>
      </c>
      <c r="B291" s="18" t="str">
        <f>'RW predict'!A290</f>
        <v>Brady Skjei</v>
      </c>
      <c r="C291" s="18" t="str">
        <f>'RW predict'!B290</f>
        <v>CAR</v>
      </c>
      <c r="D291" s="22" t="str" cm="1">
        <f t="array" ref="D291">_xlfn.SWITCH('RW predict'!C290, "C", "F", "LW","F", "RW", "F", "D", "D", "G", "G", "other")</f>
        <v>D</v>
      </c>
      <c r="E291" s="32">
        <f t="shared" si="8"/>
        <v>1681</v>
      </c>
      <c r="F291" s="35">
        <f>E291/assumptions!$B$2</f>
        <v>20.5</v>
      </c>
      <c r="G291" s="36">
        <f t="shared" si="9"/>
        <v>234</v>
      </c>
      <c r="H291" s="18">
        <f>IF(NOT(D291="G"),'RW predict'!E290,0)</f>
        <v>7</v>
      </c>
      <c r="I291" s="18">
        <f>'RW predict'!Q290</f>
        <v>78</v>
      </c>
      <c r="J291" s="18">
        <f>'RW predict'!F290</f>
        <v>25</v>
      </c>
      <c r="K291" s="18"/>
      <c r="L291" s="18"/>
      <c r="M291" s="18">
        <f>'RW predict'!P290</f>
        <v>93</v>
      </c>
      <c r="N291" s="18"/>
      <c r="O291" s="18">
        <f>'RW predict'!H290</f>
        <v>17</v>
      </c>
      <c r="P291" s="18">
        <f>'RW predict'!I290</f>
        <v>46</v>
      </c>
      <c r="Q291" s="18">
        <f>'RW predict'!L290</f>
        <v>0</v>
      </c>
      <c r="R291" s="18">
        <f>'RW predict'!N290</f>
        <v>0</v>
      </c>
      <c r="S291" s="76">
        <f>'RW predict'!O290</f>
        <v>1</v>
      </c>
      <c r="T291" s="76">
        <f>'RW predict'!K290</f>
        <v>0</v>
      </c>
      <c r="U291" s="22">
        <f>'RW predict'!J290</f>
        <v>157</v>
      </c>
      <c r="V291" s="32">
        <f>IF(D291="G",'RW predict'!E290,0)</f>
        <v>0</v>
      </c>
      <c r="W291" s="18">
        <f>'RW predict'!R290</f>
        <v>0</v>
      </c>
      <c r="X291" s="18">
        <f>'RW predict'!T290</f>
        <v>0</v>
      </c>
      <c r="Y291" s="18">
        <f>'RW predict'!Y290</f>
        <v>0</v>
      </c>
      <c r="Z291" s="18">
        <f>'RW predict'!U290</f>
        <v>0</v>
      </c>
      <c r="AA291" s="18">
        <f>'RW predict'!W290</f>
        <v>0</v>
      </c>
      <c r="AB291" s="17"/>
      <c r="AG291" s="23"/>
      <c r="AI291" s="17"/>
      <c r="AO291" s="23"/>
    </row>
    <row r="292" spans="1:41" x14ac:dyDescent="0.3">
      <c r="A292" s="18">
        <v>289</v>
      </c>
      <c r="B292" s="18" t="str">
        <f>'RW predict'!A291</f>
        <v>Jesper Fast</v>
      </c>
      <c r="C292" s="18" t="str">
        <f>'RW predict'!B291</f>
        <v>CAR</v>
      </c>
      <c r="D292" s="22" t="str" cm="1">
        <f t="array" ref="D292">_xlfn.SWITCH('RW predict'!C291, "C", "F", "LW","F", "RW", "F", "D", "D", "G", "G", "other")</f>
        <v>F</v>
      </c>
      <c r="E292" s="32">
        <f t="shared" si="8"/>
        <v>1457</v>
      </c>
      <c r="F292" s="35">
        <f>E292/assumptions!$B$2</f>
        <v>17.76829268292683</v>
      </c>
      <c r="G292" s="36">
        <f t="shared" si="9"/>
        <v>307</v>
      </c>
      <c r="H292" s="18">
        <f>IF(NOT(D292="G"),'RW predict'!E291,0)</f>
        <v>12</v>
      </c>
      <c r="I292" s="18">
        <f>'RW predict'!Q291</f>
        <v>42</v>
      </c>
      <c r="J292" s="18">
        <f>'RW predict'!F291</f>
        <v>20</v>
      </c>
      <c r="K292" s="18"/>
      <c r="L292" s="18"/>
      <c r="M292" s="18">
        <f>'RW predict'!P291</f>
        <v>113</v>
      </c>
      <c r="N292" s="18"/>
      <c r="O292" s="18">
        <f>'RW predict'!H291</f>
        <v>17</v>
      </c>
      <c r="P292" s="18">
        <f>'RW predict'!I291</f>
        <v>12</v>
      </c>
      <c r="Q292" s="18">
        <f>'RW predict'!L291</f>
        <v>0</v>
      </c>
      <c r="R292" s="18">
        <f>'RW predict'!N291</f>
        <v>1</v>
      </c>
      <c r="S292" s="76">
        <f>'RW predict'!O291</f>
        <v>1</v>
      </c>
      <c r="T292" s="76">
        <f>'RW predict'!K291</f>
        <v>2</v>
      </c>
      <c r="U292" s="22">
        <f>'RW predict'!J291</f>
        <v>92</v>
      </c>
      <c r="V292" s="32">
        <f>IF(D292="G",'RW predict'!E291,0)</f>
        <v>0</v>
      </c>
      <c r="W292" s="18">
        <f>'RW predict'!R291</f>
        <v>0</v>
      </c>
      <c r="X292" s="18">
        <f>'RW predict'!T291</f>
        <v>0</v>
      </c>
      <c r="Y292" s="18">
        <f>'RW predict'!Y291</f>
        <v>0</v>
      </c>
      <c r="Z292" s="18">
        <f>'RW predict'!U291</f>
        <v>0</v>
      </c>
      <c r="AA292" s="18">
        <f>'RW predict'!W291</f>
        <v>0</v>
      </c>
      <c r="AB292" s="17"/>
      <c r="AG292" s="23"/>
      <c r="AI292" s="17"/>
      <c r="AO292" s="23"/>
    </row>
    <row r="293" spans="1:41" x14ac:dyDescent="0.3">
      <c r="A293" s="18">
        <v>290</v>
      </c>
      <c r="B293" s="18" t="str">
        <f>'RW predict'!A292</f>
        <v>Travis Sanheim</v>
      </c>
      <c r="C293" s="18" t="str">
        <f>'RW predict'!B292</f>
        <v>PHI</v>
      </c>
      <c r="D293" s="22" t="str" cm="1">
        <f t="array" ref="D293">_xlfn.SWITCH('RW predict'!C292, "C", "F", "LW","F", "RW", "F", "D", "D", "G", "G", "other")</f>
        <v>D</v>
      </c>
      <c r="E293" s="32">
        <f t="shared" si="8"/>
        <v>1540</v>
      </c>
      <c r="F293" s="35">
        <f>E293/assumptions!$B$2</f>
        <v>18.780487804878049</v>
      </c>
      <c r="G293" s="36">
        <f t="shared" si="9"/>
        <v>279</v>
      </c>
      <c r="H293" s="18">
        <f>IF(NOT(D293="G"),'RW predict'!E292,0)</f>
        <v>7</v>
      </c>
      <c r="I293" s="18">
        <f>'RW predict'!Q292</f>
        <v>138</v>
      </c>
      <c r="J293" s="18">
        <f>'RW predict'!F292</f>
        <v>25</v>
      </c>
      <c r="K293" s="18"/>
      <c r="L293" s="18"/>
      <c r="M293" s="18">
        <f>'RW predict'!P292</f>
        <v>64</v>
      </c>
      <c r="N293" s="18"/>
      <c r="O293" s="18">
        <f>'RW predict'!H292</f>
        <v>2</v>
      </c>
      <c r="P293" s="18">
        <f>'RW predict'!I292</f>
        <v>34</v>
      </c>
      <c r="Q293" s="18">
        <f>'RW predict'!L292</f>
        <v>0</v>
      </c>
      <c r="R293" s="18">
        <f>'RW predict'!N292</f>
        <v>0</v>
      </c>
      <c r="S293" s="76">
        <f>'RW predict'!O292</f>
        <v>0</v>
      </c>
      <c r="T293" s="76">
        <f>'RW predict'!K292</f>
        <v>1</v>
      </c>
      <c r="U293" s="22">
        <f>'RW predict'!J292</f>
        <v>129</v>
      </c>
      <c r="V293" s="32">
        <f>IF(D293="G",'RW predict'!E292,0)</f>
        <v>0</v>
      </c>
      <c r="W293" s="18">
        <f>'RW predict'!R292</f>
        <v>0</v>
      </c>
      <c r="X293" s="18">
        <f>'RW predict'!T292</f>
        <v>0</v>
      </c>
      <c r="Y293" s="18">
        <f>'RW predict'!Y292</f>
        <v>0</v>
      </c>
      <c r="Z293" s="18">
        <f>'RW predict'!U292</f>
        <v>0</v>
      </c>
      <c r="AA293" s="18">
        <f>'RW predict'!W292</f>
        <v>0</v>
      </c>
      <c r="AB293" s="17"/>
      <c r="AG293" s="23"/>
      <c r="AI293" s="17"/>
      <c r="AO293" s="23"/>
    </row>
    <row r="294" spans="1:41" x14ac:dyDescent="0.3">
      <c r="A294" s="18">
        <v>291</v>
      </c>
      <c r="B294" s="18" t="str">
        <f>'RW predict'!A293</f>
        <v>Chris Wideman</v>
      </c>
      <c r="C294" s="18" t="str">
        <f>'RW predict'!B293</f>
        <v>MON</v>
      </c>
      <c r="D294" s="22" t="str" cm="1">
        <f t="array" ref="D294">_xlfn.SWITCH('RW predict'!C293, "C", "F", "LW","F", "RW", "F", "D", "D", "G", "G", "other")</f>
        <v>D</v>
      </c>
      <c r="E294" s="32">
        <f t="shared" si="8"/>
        <v>1137</v>
      </c>
      <c r="F294" s="35">
        <f>E294/assumptions!$B$2</f>
        <v>13.865853658536585</v>
      </c>
      <c r="G294" s="36">
        <f t="shared" si="9"/>
        <v>429</v>
      </c>
      <c r="H294" s="18">
        <f>IF(NOT(D294="G"),'RW predict'!E293,0)</f>
        <v>6</v>
      </c>
      <c r="I294" s="18">
        <f>'RW predict'!Q293</f>
        <v>58</v>
      </c>
      <c r="J294" s="18">
        <f>'RW predict'!F293</f>
        <v>26</v>
      </c>
      <c r="K294" s="18"/>
      <c r="L294" s="18"/>
      <c r="M294" s="18">
        <f>'RW predict'!P293</f>
        <v>65</v>
      </c>
      <c r="N294" s="18"/>
      <c r="O294" s="18">
        <f>'RW predict'!H293</f>
        <v>-26</v>
      </c>
      <c r="P294" s="18">
        <f>'RW predict'!I293</f>
        <v>66</v>
      </c>
      <c r="Q294" s="18">
        <f>'RW predict'!L293</f>
        <v>1</v>
      </c>
      <c r="R294" s="18">
        <f>'RW predict'!N293</f>
        <v>0</v>
      </c>
      <c r="S294" s="76">
        <f>'RW predict'!O293</f>
        <v>0</v>
      </c>
      <c r="T294" s="76">
        <f>'RW predict'!K293</f>
        <v>1</v>
      </c>
      <c r="U294" s="22">
        <f>'RW predict'!J293</f>
        <v>94</v>
      </c>
      <c r="V294" s="32">
        <f>IF(D294="G",'RW predict'!E293,0)</f>
        <v>0</v>
      </c>
      <c r="W294" s="18">
        <f>'RW predict'!R293</f>
        <v>0</v>
      </c>
      <c r="X294" s="18">
        <f>'RW predict'!T293</f>
        <v>0</v>
      </c>
      <c r="Y294" s="18">
        <f>'RW predict'!Y293</f>
        <v>0</v>
      </c>
      <c r="Z294" s="18">
        <f>'RW predict'!U293</f>
        <v>0</v>
      </c>
      <c r="AA294" s="18">
        <f>'RW predict'!W293</f>
        <v>0</v>
      </c>
      <c r="AB294" s="17"/>
      <c r="AG294" s="23"/>
      <c r="AI294" s="17"/>
      <c r="AO294" s="23"/>
    </row>
    <row r="295" spans="1:41" x14ac:dyDescent="0.3">
      <c r="A295" s="18">
        <v>292</v>
      </c>
      <c r="B295" s="18" t="str">
        <f>'RW predict'!A294</f>
        <v>Brandon Montour</v>
      </c>
      <c r="C295" s="18" t="str">
        <f>'RW predict'!B294</f>
        <v>FLA</v>
      </c>
      <c r="D295" s="22" t="str" cm="1">
        <f t="array" ref="D295">_xlfn.SWITCH('RW predict'!C294, "C", "F", "LW","F", "RW", "F", "D", "D", "G", "G", "other")</f>
        <v>D</v>
      </c>
      <c r="E295" s="32">
        <f t="shared" si="8"/>
        <v>1624</v>
      </c>
      <c r="F295" s="35">
        <f>E295/assumptions!$B$2</f>
        <v>19.804878048780488</v>
      </c>
      <c r="G295" s="36">
        <f t="shared" si="9"/>
        <v>253</v>
      </c>
      <c r="H295" s="18">
        <f>IF(NOT(D295="G"),'RW predict'!E294,0)</f>
        <v>7</v>
      </c>
      <c r="I295" s="18">
        <f>'RW predict'!Q294</f>
        <v>74</v>
      </c>
      <c r="J295" s="18">
        <f>'RW predict'!F294</f>
        <v>25</v>
      </c>
      <c r="K295" s="18"/>
      <c r="L295" s="18"/>
      <c r="M295" s="18">
        <f>'RW predict'!P294</f>
        <v>66</v>
      </c>
      <c r="N295" s="18"/>
      <c r="O295" s="18">
        <f>'RW predict'!H294</f>
        <v>14</v>
      </c>
      <c r="P295" s="18">
        <f>'RW predict'!I294</f>
        <v>44</v>
      </c>
      <c r="Q295" s="18">
        <f>'RW predict'!L294</f>
        <v>2</v>
      </c>
      <c r="R295" s="18">
        <f>'RW predict'!N294</f>
        <v>0</v>
      </c>
      <c r="S295" s="76">
        <f>'RW predict'!O294</f>
        <v>0</v>
      </c>
      <c r="T295" s="76">
        <f>'RW predict'!K294</f>
        <v>1</v>
      </c>
      <c r="U295" s="22">
        <f>'RW predict'!J294</f>
        <v>149</v>
      </c>
      <c r="V295" s="32">
        <f>IF(D295="G",'RW predict'!E294,0)</f>
        <v>0</v>
      </c>
      <c r="W295" s="18">
        <f>'RW predict'!R294</f>
        <v>0</v>
      </c>
      <c r="X295" s="18">
        <f>'RW predict'!T294</f>
        <v>0</v>
      </c>
      <c r="Y295" s="18">
        <f>'RW predict'!Y294</f>
        <v>0</v>
      </c>
      <c r="Z295" s="18">
        <f>'RW predict'!U294</f>
        <v>0</v>
      </c>
      <c r="AA295" s="18">
        <f>'RW predict'!W294</f>
        <v>0</v>
      </c>
      <c r="AB295" s="17"/>
      <c r="AG295" s="23"/>
      <c r="AI295" s="17"/>
      <c r="AO295" s="23"/>
    </row>
    <row r="296" spans="1:41" x14ac:dyDescent="0.3">
      <c r="A296" s="18">
        <v>293</v>
      </c>
      <c r="B296" s="18" t="str">
        <f>'RW predict'!A295</f>
        <v>Pavel Zacha</v>
      </c>
      <c r="C296" s="18" t="str">
        <f>'RW predict'!B295</f>
        <v>BOS</v>
      </c>
      <c r="D296" s="22" t="str" cm="1">
        <f t="array" ref="D296">_xlfn.SWITCH('RW predict'!C295, "C", "F", "LW","F", "RW", "F", "D", "D", "G", "G", "other")</f>
        <v>F</v>
      </c>
      <c r="E296" s="32">
        <f t="shared" si="8"/>
        <v>1269</v>
      </c>
      <c r="F296" s="35">
        <f>E296/assumptions!$B$2</f>
        <v>15.475609756097562</v>
      </c>
      <c r="G296" s="36">
        <f t="shared" si="9"/>
        <v>378</v>
      </c>
      <c r="H296" s="18">
        <f>IF(NOT(D296="G"),'RW predict'!E295,0)</f>
        <v>13</v>
      </c>
      <c r="I296" s="18">
        <f>'RW predict'!Q295</f>
        <v>19</v>
      </c>
      <c r="J296" s="18">
        <f>'RW predict'!F295</f>
        <v>19</v>
      </c>
      <c r="K296" s="18"/>
      <c r="L296" s="18"/>
      <c r="M296" s="18">
        <f>'RW predict'!P295</f>
        <v>77</v>
      </c>
      <c r="N296" s="18"/>
      <c r="O296" s="18">
        <f>'RW predict'!H295</f>
        <v>-7</v>
      </c>
      <c r="P296" s="18">
        <f>'RW predict'!I295</f>
        <v>24</v>
      </c>
      <c r="Q296" s="18">
        <f>'RW predict'!L295</f>
        <v>2</v>
      </c>
      <c r="R296" s="18">
        <f>'RW predict'!N295</f>
        <v>1</v>
      </c>
      <c r="S296" s="76">
        <f>'RW predict'!O295</f>
        <v>0</v>
      </c>
      <c r="T296" s="76">
        <f>'RW predict'!K295</f>
        <v>2</v>
      </c>
      <c r="U296" s="22">
        <f>'RW predict'!J295</f>
        <v>136</v>
      </c>
      <c r="V296" s="32">
        <f>IF(D296="G",'RW predict'!E295,0)</f>
        <v>0</v>
      </c>
      <c r="W296" s="18">
        <f>'RW predict'!R295</f>
        <v>0</v>
      </c>
      <c r="X296" s="18">
        <f>'RW predict'!T295</f>
        <v>0</v>
      </c>
      <c r="Y296" s="18">
        <f>'RW predict'!Y295</f>
        <v>0</v>
      </c>
      <c r="Z296" s="18">
        <f>'RW predict'!U295</f>
        <v>0</v>
      </c>
      <c r="AA296" s="18">
        <f>'RW predict'!W295</f>
        <v>0</v>
      </c>
      <c r="AB296" s="17"/>
      <c r="AG296" s="23"/>
      <c r="AI296" s="17"/>
      <c r="AO296" s="23"/>
    </row>
    <row r="297" spans="1:41" x14ac:dyDescent="0.3">
      <c r="A297" s="18">
        <v>294</v>
      </c>
      <c r="B297" s="18" t="str">
        <f>'RW predict'!A296</f>
        <v>Ryan Pulock</v>
      </c>
      <c r="C297" s="18" t="str">
        <f>'RW predict'!B296</f>
        <v>NYI</v>
      </c>
      <c r="D297" s="22" t="str" cm="1">
        <f t="array" ref="D297">_xlfn.SWITCH('RW predict'!C296, "C", "F", "LW","F", "RW", "F", "D", "D", "G", "G", "other")</f>
        <v>D</v>
      </c>
      <c r="E297" s="32">
        <f t="shared" si="8"/>
        <v>1733</v>
      </c>
      <c r="F297" s="35">
        <f>E297/assumptions!$B$2</f>
        <v>21.134146341463413</v>
      </c>
      <c r="G297" s="36">
        <f t="shared" si="9"/>
        <v>220</v>
      </c>
      <c r="H297" s="18">
        <f>IF(NOT(D297="G"),'RW predict'!E296,0)</f>
        <v>7</v>
      </c>
      <c r="I297" s="18">
        <f>'RW predict'!Q296</f>
        <v>163</v>
      </c>
      <c r="J297" s="18">
        <f>'RW predict'!F296</f>
        <v>24</v>
      </c>
      <c r="K297" s="18"/>
      <c r="L297" s="18"/>
      <c r="M297" s="18">
        <f>'RW predict'!P296</f>
        <v>122</v>
      </c>
      <c r="N297" s="18"/>
      <c r="O297" s="18">
        <f>'RW predict'!H296</f>
        <v>7</v>
      </c>
      <c r="P297" s="18">
        <f>'RW predict'!I296</f>
        <v>10</v>
      </c>
      <c r="Q297" s="18">
        <f>'RW predict'!L296</f>
        <v>3</v>
      </c>
      <c r="R297" s="18">
        <f>'RW predict'!N296</f>
        <v>0</v>
      </c>
      <c r="S297" s="76">
        <f>'RW predict'!O296</f>
        <v>1</v>
      </c>
      <c r="T297" s="76">
        <f>'RW predict'!K296</f>
        <v>1</v>
      </c>
      <c r="U297" s="22">
        <f>'RW predict'!J296</f>
        <v>175</v>
      </c>
      <c r="V297" s="32">
        <f>IF(D297="G",'RW predict'!E296,0)</f>
        <v>0</v>
      </c>
      <c r="W297" s="18">
        <f>'RW predict'!R296</f>
        <v>0</v>
      </c>
      <c r="X297" s="18">
        <f>'RW predict'!T296</f>
        <v>0</v>
      </c>
      <c r="Y297" s="18">
        <f>'RW predict'!Y296</f>
        <v>0</v>
      </c>
      <c r="Z297" s="18">
        <f>'RW predict'!U296</f>
        <v>0</v>
      </c>
      <c r="AA297" s="18">
        <f>'RW predict'!W296</f>
        <v>0</v>
      </c>
      <c r="AB297" s="17"/>
      <c r="AG297" s="23"/>
      <c r="AI297" s="17"/>
      <c r="AO297" s="23"/>
    </row>
    <row r="298" spans="1:41" x14ac:dyDescent="0.3">
      <c r="A298" s="18">
        <v>295</v>
      </c>
      <c r="B298" s="18" t="str">
        <f>'RW predict'!A297</f>
        <v>Kyle Okposo</v>
      </c>
      <c r="C298" s="18" t="str">
        <f>'RW predict'!B297</f>
        <v>BUF</v>
      </c>
      <c r="D298" s="22" t="str" cm="1">
        <f t="array" ref="D298">_xlfn.SWITCH('RW predict'!C297, "C", "F", "LW","F", "RW", "F", "D", "D", "G", "G", "other")</f>
        <v>F</v>
      </c>
      <c r="E298" s="32">
        <f t="shared" si="8"/>
        <v>1266</v>
      </c>
      <c r="F298" s="35">
        <f>E298/assumptions!$B$2</f>
        <v>15.439024390243903</v>
      </c>
      <c r="G298" s="36">
        <f t="shared" si="9"/>
        <v>380</v>
      </c>
      <c r="H298" s="18">
        <f>IF(NOT(D298="G"),'RW predict'!E297,0)</f>
        <v>12</v>
      </c>
      <c r="I298" s="18">
        <f>'RW predict'!Q297</f>
        <v>16</v>
      </c>
      <c r="J298" s="18">
        <f>'RW predict'!F297</f>
        <v>19</v>
      </c>
      <c r="K298" s="18"/>
      <c r="L298" s="18"/>
      <c r="M298" s="18">
        <f>'RW predict'!P297</f>
        <v>54</v>
      </c>
      <c r="N298" s="18"/>
      <c r="O298" s="18">
        <f>'RW predict'!H297</f>
        <v>-13</v>
      </c>
      <c r="P298" s="18">
        <f>'RW predict'!I297</f>
        <v>35</v>
      </c>
      <c r="Q298" s="18">
        <f>'RW predict'!L297</f>
        <v>5</v>
      </c>
      <c r="R298" s="18">
        <f>'RW predict'!N297</f>
        <v>1</v>
      </c>
      <c r="S298" s="76">
        <f>'RW predict'!O297</f>
        <v>1</v>
      </c>
      <c r="T298" s="76">
        <f>'RW predict'!K297</f>
        <v>2</v>
      </c>
      <c r="U298" s="22">
        <f>'RW predict'!J297</f>
        <v>155</v>
      </c>
      <c r="V298" s="32">
        <f>IF(D298="G",'RW predict'!E297,0)</f>
        <v>0</v>
      </c>
      <c r="W298" s="18">
        <f>'RW predict'!R297</f>
        <v>0</v>
      </c>
      <c r="X298" s="18">
        <f>'RW predict'!T297</f>
        <v>0</v>
      </c>
      <c r="Y298" s="18">
        <f>'RW predict'!Y297</f>
        <v>0</v>
      </c>
      <c r="Z298" s="18">
        <f>'RW predict'!U297</f>
        <v>0</v>
      </c>
      <c r="AA298" s="18">
        <f>'RW predict'!W297</f>
        <v>0</v>
      </c>
      <c r="AB298" s="17"/>
      <c r="AG298" s="23"/>
      <c r="AI298" s="17"/>
      <c r="AO298" s="23"/>
    </row>
    <row r="299" spans="1:41" x14ac:dyDescent="0.3">
      <c r="A299" s="18">
        <v>296</v>
      </c>
      <c r="B299" s="18" t="str">
        <f>'RW predict'!A298</f>
        <v>Oliver Ekman-Larsson</v>
      </c>
      <c r="C299" s="18" t="str">
        <f>'RW predict'!B298</f>
        <v>VAN</v>
      </c>
      <c r="D299" s="22" t="str" cm="1">
        <f t="array" ref="D299">_xlfn.SWITCH('RW predict'!C298, "C", "F", "LW","F", "RW", "F", "D", "D", "G", "G", "other")</f>
        <v>D</v>
      </c>
      <c r="E299" s="32">
        <f t="shared" si="8"/>
        <v>1529</v>
      </c>
      <c r="F299" s="35">
        <f>E299/assumptions!$B$2</f>
        <v>18.646341463414632</v>
      </c>
      <c r="G299" s="36">
        <f t="shared" si="9"/>
        <v>283</v>
      </c>
      <c r="H299" s="18">
        <f>IF(NOT(D299="G"),'RW predict'!E298,0)</f>
        <v>6</v>
      </c>
      <c r="I299" s="18">
        <f>'RW predict'!Q298</f>
        <v>74</v>
      </c>
      <c r="J299" s="18">
        <f>'RW predict'!F298</f>
        <v>25</v>
      </c>
      <c r="K299" s="18"/>
      <c r="L299" s="18"/>
      <c r="M299" s="18">
        <f>'RW predict'!P298</f>
        <v>112</v>
      </c>
      <c r="N299" s="18"/>
      <c r="O299" s="18">
        <f>'RW predict'!H298</f>
        <v>-3</v>
      </c>
      <c r="P299" s="18">
        <f>'RW predict'!I298</f>
        <v>50</v>
      </c>
      <c r="Q299" s="18">
        <f>'RW predict'!L298</f>
        <v>3</v>
      </c>
      <c r="R299" s="18">
        <f>'RW predict'!N298</f>
        <v>0</v>
      </c>
      <c r="S299" s="76">
        <f>'RW predict'!O298</f>
        <v>0</v>
      </c>
      <c r="T299" s="76">
        <f>'RW predict'!K298</f>
        <v>1</v>
      </c>
      <c r="U299" s="22">
        <f>'RW predict'!J298</f>
        <v>162</v>
      </c>
      <c r="V299" s="32">
        <f>IF(D299="G",'RW predict'!E298,0)</f>
        <v>0</v>
      </c>
      <c r="W299" s="18">
        <f>'RW predict'!R298</f>
        <v>0</v>
      </c>
      <c r="X299" s="18">
        <f>'RW predict'!T298</f>
        <v>0</v>
      </c>
      <c r="Y299" s="18">
        <f>'RW predict'!Y298</f>
        <v>0</v>
      </c>
      <c r="Z299" s="18">
        <f>'RW predict'!U298</f>
        <v>0</v>
      </c>
      <c r="AA299" s="18">
        <f>'RW predict'!W298</f>
        <v>0</v>
      </c>
      <c r="AB299" s="17"/>
      <c r="AG299" s="23"/>
      <c r="AI299" s="17"/>
      <c r="AO299" s="23"/>
    </row>
    <row r="300" spans="1:41" x14ac:dyDescent="0.3">
      <c r="A300" s="18">
        <v>297</v>
      </c>
      <c r="B300" s="18" t="str">
        <f>'RW predict'!A299</f>
        <v>Barrett Hayton</v>
      </c>
      <c r="C300" s="18" t="str">
        <f>'RW predict'!B299</f>
        <v>ARI</v>
      </c>
      <c r="D300" s="22" t="str" cm="1">
        <f t="array" ref="D300">_xlfn.SWITCH('RW predict'!C299, "C", "F", "LW","F", "RW", "F", "D", "D", "G", "G", "other")</f>
        <v>F</v>
      </c>
      <c r="E300" s="32">
        <f t="shared" si="8"/>
        <v>1244</v>
      </c>
      <c r="F300" s="35">
        <f>E300/assumptions!$B$2</f>
        <v>15.170731707317072</v>
      </c>
      <c r="G300" s="36">
        <f t="shared" si="9"/>
        <v>386</v>
      </c>
      <c r="H300" s="18">
        <f>IF(NOT(D300="G"),'RW predict'!E299,0)</f>
        <v>13</v>
      </c>
      <c r="I300" s="18">
        <f>'RW predict'!Q299</f>
        <v>38</v>
      </c>
      <c r="J300" s="18">
        <f>'RW predict'!F299</f>
        <v>18</v>
      </c>
      <c r="K300" s="18"/>
      <c r="L300" s="18"/>
      <c r="M300" s="18">
        <f>'RW predict'!P299</f>
        <v>103</v>
      </c>
      <c r="N300" s="18"/>
      <c r="O300" s="18">
        <f>'RW predict'!H299</f>
        <v>-9</v>
      </c>
      <c r="P300" s="18">
        <f>'RW predict'!I299</f>
        <v>24</v>
      </c>
      <c r="Q300" s="18">
        <f>'RW predict'!L299</f>
        <v>3</v>
      </c>
      <c r="R300" s="18">
        <f>'RW predict'!N299</f>
        <v>1</v>
      </c>
      <c r="S300" s="76">
        <f>'RW predict'!O299</f>
        <v>0</v>
      </c>
      <c r="T300" s="76">
        <f>'RW predict'!K299</f>
        <v>2</v>
      </c>
      <c r="U300" s="22">
        <f>'RW predict'!J299</f>
        <v>109</v>
      </c>
      <c r="V300" s="32">
        <f>IF(D300="G",'RW predict'!E299,0)</f>
        <v>0</v>
      </c>
      <c r="W300" s="18">
        <f>'RW predict'!R299</f>
        <v>0</v>
      </c>
      <c r="X300" s="18">
        <f>'RW predict'!T299</f>
        <v>0</v>
      </c>
      <c r="Y300" s="18">
        <f>'RW predict'!Y299</f>
        <v>0</v>
      </c>
      <c r="Z300" s="18">
        <f>'RW predict'!U299</f>
        <v>0</v>
      </c>
      <c r="AA300" s="18">
        <f>'RW predict'!W299</f>
        <v>0</v>
      </c>
      <c r="AB300" s="17"/>
      <c r="AG300" s="23"/>
      <c r="AI300" s="17"/>
      <c r="AO300" s="23"/>
    </row>
    <row r="301" spans="1:41" x14ac:dyDescent="0.3">
      <c r="A301" s="18">
        <v>298</v>
      </c>
      <c r="B301" s="18" t="str">
        <f>'RW predict'!A300</f>
        <v>Vladislav Gavrikov</v>
      </c>
      <c r="C301" s="18" t="str">
        <f>'RW predict'!B300</f>
        <v>CLS</v>
      </c>
      <c r="D301" s="22" t="str" cm="1">
        <f t="array" ref="D301">_xlfn.SWITCH('RW predict'!C300, "C", "F", "LW","F", "RW", "F", "D", "D", "G", "G", "other")</f>
        <v>D</v>
      </c>
      <c r="E301" s="32">
        <f t="shared" si="8"/>
        <v>1539</v>
      </c>
      <c r="F301" s="35">
        <f>E301/assumptions!$B$2</f>
        <v>18.76829268292683</v>
      </c>
      <c r="G301" s="36">
        <f t="shared" si="9"/>
        <v>280</v>
      </c>
      <c r="H301" s="18">
        <f>IF(NOT(D301="G"),'RW predict'!E300,0)</f>
        <v>5</v>
      </c>
      <c r="I301" s="18">
        <f>'RW predict'!Q300</f>
        <v>132</v>
      </c>
      <c r="J301" s="18">
        <f>'RW predict'!F300</f>
        <v>26</v>
      </c>
      <c r="K301" s="18"/>
      <c r="L301" s="18"/>
      <c r="M301" s="18">
        <f>'RW predict'!P300</f>
        <v>122</v>
      </c>
      <c r="N301" s="18"/>
      <c r="O301" s="18">
        <f>'RW predict'!H300</f>
        <v>-3</v>
      </c>
      <c r="P301" s="18">
        <f>'RW predict'!I300</f>
        <v>54</v>
      </c>
      <c r="Q301" s="18">
        <f>'RW predict'!L300</f>
        <v>0</v>
      </c>
      <c r="R301" s="18">
        <f>'RW predict'!N300</f>
        <v>0</v>
      </c>
      <c r="S301" s="76">
        <f>'RW predict'!O300</f>
        <v>1</v>
      </c>
      <c r="T301" s="76">
        <f>'RW predict'!K300</f>
        <v>1</v>
      </c>
      <c r="U301" s="22">
        <f>'RW predict'!J300</f>
        <v>108</v>
      </c>
      <c r="V301" s="32">
        <f>IF(D301="G",'RW predict'!E300,0)</f>
        <v>0</v>
      </c>
      <c r="W301" s="18">
        <f>'RW predict'!R300</f>
        <v>0</v>
      </c>
      <c r="X301" s="18">
        <f>'RW predict'!T300</f>
        <v>0</v>
      </c>
      <c r="Y301" s="18">
        <f>'RW predict'!Y300</f>
        <v>0</v>
      </c>
      <c r="Z301" s="18">
        <f>'RW predict'!U300</f>
        <v>0</v>
      </c>
      <c r="AA301" s="18">
        <f>'RW predict'!W300</f>
        <v>0</v>
      </c>
      <c r="AB301" s="17"/>
      <c r="AG301" s="23"/>
      <c r="AI301" s="17"/>
      <c r="AO301" s="23"/>
    </row>
    <row r="302" spans="1:41" x14ac:dyDescent="0.3">
      <c r="A302" s="18">
        <v>299</v>
      </c>
      <c r="B302" s="18" t="str">
        <f>'RW predict'!A301</f>
        <v>Samuel Girard</v>
      </c>
      <c r="C302" s="18" t="str">
        <f>'RW predict'!B301</f>
        <v>COL</v>
      </c>
      <c r="D302" s="22" t="str" cm="1">
        <f t="array" ref="D302">_xlfn.SWITCH('RW predict'!C301, "C", "F", "LW","F", "RW", "F", "D", "D", "G", "G", "other")</f>
        <v>D</v>
      </c>
      <c r="E302" s="32">
        <f t="shared" si="8"/>
        <v>1326</v>
      </c>
      <c r="F302" s="35">
        <f>E302/assumptions!$B$2</f>
        <v>16.170731707317074</v>
      </c>
      <c r="G302" s="36">
        <f t="shared" si="9"/>
        <v>355</v>
      </c>
      <c r="H302" s="18">
        <f>IF(NOT(D302="G"),'RW predict'!E301,0)</f>
        <v>4</v>
      </c>
      <c r="I302" s="18">
        <f>'RW predict'!Q301</f>
        <v>94</v>
      </c>
      <c r="J302" s="18">
        <f>'RW predict'!F301</f>
        <v>27</v>
      </c>
      <c r="K302" s="18"/>
      <c r="L302" s="18"/>
      <c r="M302" s="18">
        <f>'RW predict'!P301</f>
        <v>63</v>
      </c>
      <c r="N302" s="18"/>
      <c r="O302" s="18">
        <f>'RW predict'!H301</f>
        <v>5</v>
      </c>
      <c r="P302" s="18">
        <f>'RW predict'!I301</f>
        <v>18</v>
      </c>
      <c r="Q302" s="18">
        <f>'RW predict'!L301</f>
        <v>0</v>
      </c>
      <c r="R302" s="18">
        <f>'RW predict'!N301</f>
        <v>0</v>
      </c>
      <c r="S302" s="76">
        <f>'RW predict'!O301</f>
        <v>0</v>
      </c>
      <c r="T302" s="76">
        <f>'RW predict'!K301</f>
        <v>1</v>
      </c>
      <c r="U302" s="22">
        <f>'RW predict'!J301</f>
        <v>88</v>
      </c>
      <c r="V302" s="32">
        <f>IF(D302="G",'RW predict'!E301,0)</f>
        <v>0</v>
      </c>
      <c r="W302" s="18">
        <f>'RW predict'!R301</f>
        <v>0</v>
      </c>
      <c r="X302" s="18">
        <f>'RW predict'!T301</f>
        <v>0</v>
      </c>
      <c r="Y302" s="18">
        <f>'RW predict'!Y301</f>
        <v>0</v>
      </c>
      <c r="Z302" s="18">
        <f>'RW predict'!U301</f>
        <v>0</v>
      </c>
      <c r="AA302" s="18">
        <f>'RW predict'!W301</f>
        <v>0</v>
      </c>
      <c r="AB302" s="17"/>
      <c r="AG302" s="23"/>
      <c r="AI302" s="17"/>
      <c r="AO302" s="23"/>
    </row>
    <row r="303" spans="1:41" x14ac:dyDescent="0.3">
      <c r="A303" s="18">
        <v>300</v>
      </c>
      <c r="B303" s="18" t="str">
        <f>'RW predict'!A302</f>
        <v>Jakob Chychrun</v>
      </c>
      <c r="C303" s="18" t="str">
        <f>'RW predict'!B302</f>
        <v>ARI</v>
      </c>
      <c r="D303" s="22" t="str" cm="1">
        <f t="array" ref="D303">_xlfn.SWITCH('RW predict'!C302, "C", "F", "LW","F", "RW", "F", "D", "D", "G", "G", "other")</f>
        <v>D</v>
      </c>
      <c r="E303" s="32">
        <f t="shared" si="8"/>
        <v>1405</v>
      </c>
      <c r="F303" s="35">
        <f>E303/assumptions!$B$2</f>
        <v>17.134146341463413</v>
      </c>
      <c r="G303" s="36">
        <f t="shared" si="9"/>
        <v>328</v>
      </c>
      <c r="H303" s="18">
        <f>IF(NOT(D303="G"),'RW predict'!E302,0)</f>
        <v>11</v>
      </c>
      <c r="I303" s="18">
        <f>'RW predict'!Q302</f>
        <v>92</v>
      </c>
      <c r="J303" s="18">
        <f>'RW predict'!F302</f>
        <v>19</v>
      </c>
      <c r="K303" s="18"/>
      <c r="L303" s="18"/>
      <c r="M303" s="18">
        <f>'RW predict'!P302</f>
        <v>69</v>
      </c>
      <c r="N303" s="18"/>
      <c r="O303" s="18">
        <f>'RW predict'!H302</f>
        <v>-19</v>
      </c>
      <c r="P303" s="18">
        <f>'RW predict'!I302</f>
        <v>52</v>
      </c>
      <c r="Q303" s="18">
        <f>'RW predict'!L302</f>
        <v>3</v>
      </c>
      <c r="R303" s="18">
        <f>'RW predict'!N302</f>
        <v>0</v>
      </c>
      <c r="S303" s="76">
        <f>'RW predict'!O302</f>
        <v>1</v>
      </c>
      <c r="T303" s="76">
        <f>'RW predict'!K302</f>
        <v>2</v>
      </c>
      <c r="U303" s="22">
        <f>'RW predict'!J302</f>
        <v>178</v>
      </c>
      <c r="V303" s="32">
        <f>IF(D303="G",'RW predict'!E302,0)</f>
        <v>0</v>
      </c>
      <c r="W303" s="18">
        <f>'RW predict'!R302</f>
        <v>0</v>
      </c>
      <c r="X303" s="18">
        <f>'RW predict'!T302</f>
        <v>0</v>
      </c>
      <c r="Y303" s="18">
        <f>'RW predict'!Y302</f>
        <v>0</v>
      </c>
      <c r="Z303" s="18">
        <f>'RW predict'!U302</f>
        <v>0</v>
      </c>
      <c r="AA303" s="18">
        <f>'RW predict'!W302</f>
        <v>0</v>
      </c>
      <c r="AB303" s="17"/>
      <c r="AG303" s="23"/>
      <c r="AI303" s="17"/>
      <c r="AO303" s="23"/>
    </row>
    <row r="304" spans="1:41" x14ac:dyDescent="0.3">
      <c r="A304" s="18">
        <v>301</v>
      </c>
      <c r="B304" s="18" t="str">
        <f>'RW predict'!A303</f>
        <v>Joonas Donskoi</v>
      </c>
      <c r="C304" s="18" t="str">
        <f>'RW predict'!B303</f>
        <v>SEA</v>
      </c>
      <c r="D304" s="22" t="str" cm="1">
        <f t="array" ref="D304">_xlfn.SWITCH('RW predict'!C303, "C", "F", "LW","F", "RW", "F", "D", "D", "G", "G", "other")</f>
        <v>F</v>
      </c>
      <c r="E304" s="32">
        <f t="shared" si="8"/>
        <v>1048</v>
      </c>
      <c r="F304" s="35">
        <f>E304/assumptions!$B$2</f>
        <v>12.780487804878049</v>
      </c>
      <c r="G304" s="36">
        <f t="shared" si="9"/>
        <v>467</v>
      </c>
      <c r="H304" s="18">
        <f>IF(NOT(D304="G"),'RW predict'!E303,0)</f>
        <v>9</v>
      </c>
      <c r="I304" s="18">
        <f>'RW predict'!Q303</f>
        <v>33</v>
      </c>
      <c r="J304" s="18">
        <f>'RW predict'!F303</f>
        <v>21</v>
      </c>
      <c r="K304" s="18"/>
      <c r="L304" s="18"/>
      <c r="M304" s="18">
        <f>'RW predict'!P303</f>
        <v>34</v>
      </c>
      <c r="N304" s="18"/>
      <c r="O304" s="18">
        <f>'RW predict'!H303</f>
        <v>-7</v>
      </c>
      <c r="P304" s="18">
        <f>'RW predict'!I303</f>
        <v>16</v>
      </c>
      <c r="Q304" s="18">
        <f>'RW predict'!L303</f>
        <v>0</v>
      </c>
      <c r="R304" s="18">
        <f>'RW predict'!N303</f>
        <v>0</v>
      </c>
      <c r="S304" s="76">
        <f>'RW predict'!O303</f>
        <v>1</v>
      </c>
      <c r="T304" s="76">
        <f>'RW predict'!K303</f>
        <v>1</v>
      </c>
      <c r="U304" s="22">
        <f>'RW predict'!J303</f>
        <v>95</v>
      </c>
      <c r="V304" s="32">
        <f>IF(D304="G",'RW predict'!E303,0)</f>
        <v>0</v>
      </c>
      <c r="W304" s="18">
        <f>'RW predict'!R303</f>
        <v>0</v>
      </c>
      <c r="X304" s="18">
        <f>'RW predict'!T303</f>
        <v>0</v>
      </c>
      <c r="Y304" s="18">
        <f>'RW predict'!Y303</f>
        <v>0</v>
      </c>
      <c r="Z304" s="18">
        <f>'RW predict'!U303</f>
        <v>0</v>
      </c>
      <c r="AA304" s="18">
        <f>'RW predict'!W303</f>
        <v>0</v>
      </c>
      <c r="AB304" s="17"/>
      <c r="AG304" s="23"/>
      <c r="AI304" s="17"/>
      <c r="AO304" s="23"/>
    </row>
    <row r="305" spans="1:41" x14ac:dyDescent="0.3">
      <c r="A305" s="18">
        <v>302</v>
      </c>
      <c r="B305" s="18" t="str">
        <f>'RW predict'!A304</f>
        <v>Casey Mittelstadt</v>
      </c>
      <c r="C305" s="18" t="str">
        <f>'RW predict'!B304</f>
        <v>BUF</v>
      </c>
      <c r="D305" s="22" t="str" cm="1">
        <f t="array" ref="D305">_xlfn.SWITCH('RW predict'!C304, "C", "F", "LW","F", "RW", "F", "D", "D", "G", "G", "other")</f>
        <v>F</v>
      </c>
      <c r="E305" s="32">
        <f t="shared" si="8"/>
        <v>947</v>
      </c>
      <c r="F305" s="35">
        <f>E305/assumptions!$B$2</f>
        <v>11.548780487804878</v>
      </c>
      <c r="G305" s="36">
        <f t="shared" si="9"/>
        <v>513</v>
      </c>
      <c r="H305" s="18">
        <f>IF(NOT(D305="G"),'RW predict'!E304,0)</f>
        <v>12</v>
      </c>
      <c r="I305" s="18">
        <f>'RW predict'!Q304</f>
        <v>16</v>
      </c>
      <c r="J305" s="18">
        <f>'RW predict'!F304</f>
        <v>18</v>
      </c>
      <c r="K305" s="18"/>
      <c r="L305" s="18"/>
      <c r="M305" s="18">
        <f>'RW predict'!P304</f>
        <v>23</v>
      </c>
      <c r="N305" s="18"/>
      <c r="O305" s="18">
        <f>'RW predict'!H304</f>
        <v>-17</v>
      </c>
      <c r="P305" s="18">
        <f>'RW predict'!I304</f>
        <v>6</v>
      </c>
      <c r="Q305" s="18">
        <f>'RW predict'!L304</f>
        <v>2</v>
      </c>
      <c r="R305" s="18">
        <f>'RW predict'!N304</f>
        <v>0</v>
      </c>
      <c r="S305" s="76">
        <f>'RW predict'!O304</f>
        <v>1</v>
      </c>
      <c r="T305" s="76">
        <f>'RW predict'!K304</f>
        <v>2</v>
      </c>
      <c r="U305" s="22">
        <f>'RW predict'!J304</f>
        <v>112</v>
      </c>
      <c r="V305" s="32">
        <f>IF(D305="G",'RW predict'!E304,0)</f>
        <v>0</v>
      </c>
      <c r="W305" s="18">
        <f>'RW predict'!R304</f>
        <v>0</v>
      </c>
      <c r="X305" s="18">
        <f>'RW predict'!T304</f>
        <v>0</v>
      </c>
      <c r="Y305" s="18">
        <f>'RW predict'!Y304</f>
        <v>0</v>
      </c>
      <c r="Z305" s="18">
        <f>'RW predict'!U304</f>
        <v>0</v>
      </c>
      <c r="AA305" s="18">
        <f>'RW predict'!W304</f>
        <v>0</v>
      </c>
      <c r="AB305" s="17"/>
      <c r="AG305" s="23"/>
      <c r="AI305" s="17"/>
      <c r="AO305" s="23"/>
    </row>
    <row r="306" spans="1:41" x14ac:dyDescent="0.3">
      <c r="A306" s="18">
        <v>303</v>
      </c>
      <c r="B306" s="18" t="str">
        <f>'RW predict'!A305</f>
        <v>Alex Newhook</v>
      </c>
      <c r="C306" s="18" t="str">
        <f>'RW predict'!B305</f>
        <v>COL</v>
      </c>
      <c r="D306" s="22" t="str" cm="1">
        <f t="array" ref="D306">_xlfn.SWITCH('RW predict'!C305, "C", "F", "LW","F", "RW", "F", "D", "D", "G", "G", "other")</f>
        <v>F</v>
      </c>
      <c r="E306" s="32">
        <f t="shared" si="8"/>
        <v>1364</v>
      </c>
      <c r="F306" s="35">
        <f>E306/assumptions!$B$2</f>
        <v>16.634146341463413</v>
      </c>
      <c r="G306" s="36">
        <f t="shared" si="9"/>
        <v>338</v>
      </c>
      <c r="H306" s="18">
        <f>IF(NOT(D306="G"),'RW predict'!E305,0)</f>
        <v>11</v>
      </c>
      <c r="I306" s="18">
        <f>'RW predict'!Q305</f>
        <v>32</v>
      </c>
      <c r="J306" s="18">
        <f>'RW predict'!F305</f>
        <v>19</v>
      </c>
      <c r="K306" s="18"/>
      <c r="L306" s="18"/>
      <c r="M306" s="18">
        <f>'RW predict'!P305</f>
        <v>38</v>
      </c>
      <c r="N306" s="18"/>
      <c r="O306" s="18">
        <f>'RW predict'!H305</f>
        <v>12</v>
      </c>
      <c r="P306" s="18">
        <f>'RW predict'!I305</f>
        <v>12</v>
      </c>
      <c r="Q306" s="18">
        <f>'RW predict'!L305</f>
        <v>3</v>
      </c>
      <c r="R306" s="18">
        <f>'RW predict'!N305</f>
        <v>0</v>
      </c>
      <c r="S306" s="76">
        <f>'RW predict'!O305</f>
        <v>0</v>
      </c>
      <c r="T306" s="76">
        <f>'RW predict'!K305</f>
        <v>4</v>
      </c>
      <c r="U306" s="22">
        <f>'RW predict'!J305</f>
        <v>123</v>
      </c>
      <c r="V306" s="32">
        <f>IF(D306="G",'RW predict'!E305,0)</f>
        <v>0</v>
      </c>
      <c r="W306" s="18">
        <f>'RW predict'!R305</f>
        <v>0</v>
      </c>
      <c r="X306" s="18">
        <f>'RW predict'!T305</f>
        <v>0</v>
      </c>
      <c r="Y306" s="18">
        <f>'RW predict'!Y305</f>
        <v>0</v>
      </c>
      <c r="Z306" s="18">
        <f>'RW predict'!U305</f>
        <v>0</v>
      </c>
      <c r="AA306" s="18">
        <f>'RW predict'!W305</f>
        <v>0</v>
      </c>
      <c r="AB306" s="17"/>
      <c r="AG306" s="23"/>
      <c r="AI306" s="17"/>
      <c r="AO306" s="23"/>
    </row>
    <row r="307" spans="1:41" x14ac:dyDescent="0.3">
      <c r="A307" s="18">
        <v>304</v>
      </c>
      <c r="B307" s="18" t="str">
        <f>'RW predict'!A306</f>
        <v>Vasili Podkolzin</v>
      </c>
      <c r="C307" s="18" t="str">
        <f>'RW predict'!B306</f>
        <v>VAN</v>
      </c>
      <c r="D307" s="22" t="str" cm="1">
        <f t="array" ref="D307">_xlfn.SWITCH('RW predict'!C306, "C", "F", "LW","F", "RW", "F", "D", "D", "G", "G", "other")</f>
        <v>F</v>
      </c>
      <c r="E307" s="32">
        <f t="shared" si="8"/>
        <v>1329</v>
      </c>
      <c r="F307" s="35">
        <f>E307/assumptions!$B$2</f>
        <v>16.207317073170731</v>
      </c>
      <c r="G307" s="36">
        <f t="shared" si="9"/>
        <v>353</v>
      </c>
      <c r="H307" s="18">
        <f>IF(NOT(D307="G"),'RW predict'!E306,0)</f>
        <v>15</v>
      </c>
      <c r="I307" s="18">
        <f>'RW predict'!Q306</f>
        <v>34</v>
      </c>
      <c r="J307" s="18">
        <f>'RW predict'!F306</f>
        <v>15</v>
      </c>
      <c r="K307" s="18"/>
      <c r="L307" s="18"/>
      <c r="M307" s="18">
        <f>'RW predict'!P306</f>
        <v>89</v>
      </c>
      <c r="N307" s="18"/>
      <c r="O307" s="18">
        <f>'RW predict'!H306</f>
        <v>5</v>
      </c>
      <c r="P307" s="18">
        <f>'RW predict'!I306</f>
        <v>26</v>
      </c>
      <c r="Q307" s="18">
        <f>'RW predict'!L306</f>
        <v>1</v>
      </c>
      <c r="R307" s="18">
        <f>'RW predict'!N306</f>
        <v>0</v>
      </c>
      <c r="S307" s="76">
        <f>'RW predict'!O306</f>
        <v>0</v>
      </c>
      <c r="T307" s="76">
        <f>'RW predict'!K306</f>
        <v>2</v>
      </c>
      <c r="U307" s="22">
        <f>'RW predict'!J306</f>
        <v>122</v>
      </c>
      <c r="V307" s="32">
        <f>IF(D307="G",'RW predict'!E306,0)</f>
        <v>0</v>
      </c>
      <c r="W307" s="18">
        <f>'RW predict'!R306</f>
        <v>0</v>
      </c>
      <c r="X307" s="18">
        <f>'RW predict'!T306</f>
        <v>0</v>
      </c>
      <c r="Y307" s="18">
        <f>'RW predict'!Y306</f>
        <v>0</v>
      </c>
      <c r="Z307" s="18">
        <f>'RW predict'!U306</f>
        <v>0</v>
      </c>
      <c r="AA307" s="18">
        <f>'RW predict'!W306</f>
        <v>0</v>
      </c>
      <c r="AB307" s="17"/>
      <c r="AG307" s="23"/>
      <c r="AI307" s="17"/>
      <c r="AO307" s="23"/>
    </row>
    <row r="308" spans="1:41" x14ac:dyDescent="0.3">
      <c r="A308" s="18">
        <v>305</v>
      </c>
      <c r="B308" s="18" t="str">
        <f>'RW predict'!A307</f>
        <v>Nick Bonino</v>
      </c>
      <c r="C308" s="18" t="str">
        <f>'RW predict'!B307</f>
        <v>SJ</v>
      </c>
      <c r="D308" s="22" t="str" cm="1">
        <f t="array" ref="D308">_xlfn.SWITCH('RW predict'!C307, "C", "F", "LW","F", "RW", "F", "D", "D", "G", "G", "other")</f>
        <v>F</v>
      </c>
      <c r="E308" s="32">
        <f t="shared" si="8"/>
        <v>1222</v>
      </c>
      <c r="F308" s="35">
        <f>E308/assumptions!$B$2</f>
        <v>14.902439024390244</v>
      </c>
      <c r="G308" s="36">
        <f t="shared" si="9"/>
        <v>391</v>
      </c>
      <c r="H308" s="18">
        <f>IF(NOT(D308="G"),'RW predict'!E307,0)</f>
        <v>16</v>
      </c>
      <c r="I308" s="18">
        <f>'RW predict'!Q307</f>
        <v>97</v>
      </c>
      <c r="J308" s="18">
        <f>'RW predict'!F307</f>
        <v>14</v>
      </c>
      <c r="K308" s="18"/>
      <c r="L308" s="18"/>
      <c r="M308" s="18">
        <f>'RW predict'!P307</f>
        <v>30</v>
      </c>
      <c r="N308" s="18"/>
      <c r="O308" s="18">
        <f>'RW predict'!H307</f>
        <v>-17</v>
      </c>
      <c r="P308" s="18">
        <f>'RW predict'!I307</f>
        <v>22</v>
      </c>
      <c r="Q308" s="18">
        <f>'RW predict'!L307</f>
        <v>2</v>
      </c>
      <c r="R308" s="18">
        <f>'RW predict'!N307</f>
        <v>1</v>
      </c>
      <c r="S308" s="76">
        <f>'RW predict'!O307</f>
        <v>1</v>
      </c>
      <c r="T308" s="76">
        <f>'RW predict'!K307</f>
        <v>2</v>
      </c>
      <c r="U308" s="22">
        <f>'RW predict'!J307</f>
        <v>131</v>
      </c>
      <c r="V308" s="32">
        <f>IF(D308="G",'RW predict'!E307,0)</f>
        <v>0</v>
      </c>
      <c r="W308" s="18">
        <f>'RW predict'!R307</f>
        <v>0</v>
      </c>
      <c r="X308" s="18">
        <f>'RW predict'!T307</f>
        <v>0</v>
      </c>
      <c r="Y308" s="18">
        <f>'RW predict'!Y307</f>
        <v>0</v>
      </c>
      <c r="Z308" s="18">
        <f>'RW predict'!U307</f>
        <v>0</v>
      </c>
      <c r="AA308" s="18">
        <f>'RW predict'!W307</f>
        <v>0</v>
      </c>
      <c r="AB308" s="17"/>
      <c r="AG308" s="23"/>
      <c r="AI308" s="17"/>
      <c r="AO308" s="23"/>
    </row>
    <row r="309" spans="1:41" x14ac:dyDescent="0.3">
      <c r="A309" s="18">
        <v>306</v>
      </c>
      <c r="B309" s="18" t="str">
        <f>'RW predict'!A308</f>
        <v>Matt Dumba</v>
      </c>
      <c r="C309" s="18" t="str">
        <f>'RW predict'!B308</f>
        <v>MIN</v>
      </c>
      <c r="D309" s="22" t="str" cm="1">
        <f t="array" ref="D309">_xlfn.SWITCH('RW predict'!C308, "C", "F", "LW","F", "RW", "F", "D", "D", "G", "G", "other")</f>
        <v>D</v>
      </c>
      <c r="E309" s="32">
        <f t="shared" si="8"/>
        <v>1633</v>
      </c>
      <c r="F309" s="35">
        <f>E309/assumptions!$B$2</f>
        <v>19.914634146341463</v>
      </c>
      <c r="G309" s="36">
        <f t="shared" si="9"/>
        <v>252</v>
      </c>
      <c r="H309" s="18">
        <f>IF(NOT(D309="G"),'RW predict'!E308,0)</f>
        <v>8</v>
      </c>
      <c r="I309" s="18">
        <f>'RW predict'!Q308</f>
        <v>98</v>
      </c>
      <c r="J309" s="18">
        <f>'RW predict'!F308</f>
        <v>22</v>
      </c>
      <c r="K309" s="18"/>
      <c r="L309" s="18"/>
      <c r="M309" s="18">
        <f>'RW predict'!P308</f>
        <v>117</v>
      </c>
      <c r="N309" s="18"/>
      <c r="O309" s="18">
        <f>'RW predict'!H308</f>
        <v>10</v>
      </c>
      <c r="P309" s="18">
        <f>'RW predict'!I308</f>
        <v>52</v>
      </c>
      <c r="Q309" s="18">
        <f>'RW predict'!L308</f>
        <v>1</v>
      </c>
      <c r="R309" s="18">
        <f>'RW predict'!N308</f>
        <v>0</v>
      </c>
      <c r="S309" s="76">
        <f>'RW predict'!O308</f>
        <v>1</v>
      </c>
      <c r="T309" s="76">
        <f>'RW predict'!K308</f>
        <v>1</v>
      </c>
      <c r="U309" s="22">
        <f>'RW predict'!J308</f>
        <v>137</v>
      </c>
      <c r="V309" s="32">
        <f>IF(D309="G",'RW predict'!E308,0)</f>
        <v>0</v>
      </c>
      <c r="W309" s="18">
        <f>'RW predict'!R308</f>
        <v>0</v>
      </c>
      <c r="X309" s="18">
        <f>'RW predict'!T308</f>
        <v>0</v>
      </c>
      <c r="Y309" s="18">
        <f>'RW predict'!Y308</f>
        <v>0</v>
      </c>
      <c r="Z309" s="18">
        <f>'RW predict'!U308</f>
        <v>0</v>
      </c>
      <c r="AA309" s="18">
        <f>'RW predict'!W308</f>
        <v>0</v>
      </c>
      <c r="AB309" s="17"/>
      <c r="AG309" s="23"/>
      <c r="AI309" s="17"/>
      <c r="AO309" s="23"/>
    </row>
    <row r="310" spans="1:41" x14ac:dyDescent="0.3">
      <c r="A310" s="18">
        <v>307</v>
      </c>
      <c r="B310" s="18" t="str">
        <f>'RW predict'!A309</f>
        <v>Teddy Blueger</v>
      </c>
      <c r="C310" s="18" t="str">
        <f>'RW predict'!B309</f>
        <v>PIT</v>
      </c>
      <c r="D310" s="22" t="str" cm="1">
        <f t="array" ref="D310">_xlfn.SWITCH('RW predict'!C309, "C", "F", "LW","F", "RW", "F", "D", "D", "G", "G", "other")</f>
        <v>F</v>
      </c>
      <c r="E310" s="32">
        <f t="shared" si="8"/>
        <v>1322</v>
      </c>
      <c r="F310" s="35">
        <f>E310/assumptions!$B$2</f>
        <v>16.121951219512194</v>
      </c>
      <c r="G310" s="36">
        <f t="shared" si="9"/>
        <v>357</v>
      </c>
      <c r="H310" s="18">
        <f>IF(NOT(D310="G"),'RW predict'!E309,0)</f>
        <v>11</v>
      </c>
      <c r="I310" s="18">
        <f>'RW predict'!Q309</f>
        <v>35</v>
      </c>
      <c r="J310" s="18">
        <f>'RW predict'!F309</f>
        <v>19</v>
      </c>
      <c r="K310" s="18"/>
      <c r="L310" s="18"/>
      <c r="M310" s="18">
        <f>'RW predict'!P309</f>
        <v>90</v>
      </c>
      <c r="N310" s="18"/>
      <c r="O310" s="18">
        <f>'RW predict'!H309</f>
        <v>12</v>
      </c>
      <c r="P310" s="18">
        <f>'RW predict'!I309</f>
        <v>16</v>
      </c>
      <c r="Q310" s="18">
        <f>'RW predict'!L309</f>
        <v>0</v>
      </c>
      <c r="R310" s="18">
        <f>'RW predict'!N309</f>
        <v>2</v>
      </c>
      <c r="S310" s="76">
        <f>'RW predict'!O309</f>
        <v>1</v>
      </c>
      <c r="T310" s="76">
        <f>'RW predict'!K309</f>
        <v>0</v>
      </c>
      <c r="U310" s="22">
        <f>'RW predict'!J309</f>
        <v>97</v>
      </c>
      <c r="V310" s="32">
        <f>IF(D310="G",'RW predict'!E309,0)</f>
        <v>0</v>
      </c>
      <c r="W310" s="18">
        <f>'RW predict'!R309</f>
        <v>0</v>
      </c>
      <c r="X310" s="18">
        <f>'RW predict'!T309</f>
        <v>0</v>
      </c>
      <c r="Y310" s="18">
        <f>'RW predict'!Y309</f>
        <v>0</v>
      </c>
      <c r="Z310" s="18">
        <f>'RW predict'!U309</f>
        <v>0</v>
      </c>
      <c r="AA310" s="18">
        <f>'RW predict'!W309</f>
        <v>0</v>
      </c>
      <c r="AB310" s="17"/>
      <c r="AG310" s="23"/>
      <c r="AI310" s="17"/>
      <c r="AO310" s="23"/>
    </row>
    <row r="311" spans="1:41" x14ac:dyDescent="0.3">
      <c r="A311" s="18">
        <v>308</v>
      </c>
      <c r="B311" s="18" t="str">
        <f>'RW predict'!A310</f>
        <v>Josh Anderson</v>
      </c>
      <c r="C311" s="18" t="str">
        <f>'RW predict'!B310</f>
        <v>MON</v>
      </c>
      <c r="D311" s="22" t="str" cm="1">
        <f t="array" ref="D311">_xlfn.SWITCH('RW predict'!C310, "C", "F", "LW","F", "RW", "F", "D", "D", "G", "G", "other")</f>
        <v>F</v>
      </c>
      <c r="E311" s="32">
        <f t="shared" si="8"/>
        <v>1388</v>
      </c>
      <c r="F311" s="35">
        <f>E311/assumptions!$B$2</f>
        <v>16.926829268292682</v>
      </c>
      <c r="G311" s="36">
        <f t="shared" si="9"/>
        <v>331</v>
      </c>
      <c r="H311" s="18">
        <f>IF(NOT(D311="G"),'RW predict'!E310,0)</f>
        <v>18</v>
      </c>
      <c r="I311" s="18">
        <f>'RW predict'!Q310</f>
        <v>36</v>
      </c>
      <c r="J311" s="18">
        <f>'RW predict'!F310</f>
        <v>12</v>
      </c>
      <c r="K311" s="18"/>
      <c r="L311" s="18"/>
      <c r="M311" s="18">
        <f>'RW predict'!P310</f>
        <v>164</v>
      </c>
      <c r="N311" s="18"/>
      <c r="O311" s="18">
        <f>'RW predict'!H310</f>
        <v>-23</v>
      </c>
      <c r="P311" s="18">
        <f>'RW predict'!I310</f>
        <v>66</v>
      </c>
      <c r="Q311" s="18">
        <f>'RW predict'!L310</f>
        <v>1</v>
      </c>
      <c r="R311" s="18">
        <f>'RW predict'!N310</f>
        <v>1</v>
      </c>
      <c r="S311" s="76">
        <f>'RW predict'!O310</f>
        <v>0</v>
      </c>
      <c r="T311" s="76">
        <f>'RW predict'!K310</f>
        <v>3</v>
      </c>
      <c r="U311" s="22">
        <f>'RW predict'!J310</f>
        <v>172</v>
      </c>
      <c r="V311" s="32">
        <f>IF(D311="G",'RW predict'!E310,0)</f>
        <v>0</v>
      </c>
      <c r="W311" s="18">
        <f>'RW predict'!R310</f>
        <v>0</v>
      </c>
      <c r="X311" s="18">
        <f>'RW predict'!T310</f>
        <v>0</v>
      </c>
      <c r="Y311" s="18">
        <f>'RW predict'!Y310</f>
        <v>0</v>
      </c>
      <c r="Z311" s="18">
        <f>'RW predict'!U310</f>
        <v>0</v>
      </c>
      <c r="AA311" s="18">
        <f>'RW predict'!W310</f>
        <v>0</v>
      </c>
      <c r="AB311" s="17"/>
      <c r="AG311" s="23"/>
      <c r="AI311" s="17"/>
      <c r="AO311" s="23"/>
    </row>
    <row r="312" spans="1:41" x14ac:dyDescent="0.3">
      <c r="A312" s="18">
        <v>309</v>
      </c>
      <c r="B312" s="18" t="str">
        <f>'RW predict'!A311</f>
        <v>Ryan Graves</v>
      </c>
      <c r="C312" s="18" t="str">
        <f>'RW predict'!B311</f>
        <v>NJ</v>
      </c>
      <c r="D312" s="22" t="str" cm="1">
        <f t="array" ref="D312">_xlfn.SWITCH('RW predict'!C311, "C", "F", "LW","F", "RW", "F", "D", "D", "G", "G", "other")</f>
        <v>D</v>
      </c>
      <c r="E312" s="32">
        <f t="shared" si="8"/>
        <v>1480</v>
      </c>
      <c r="F312" s="35">
        <f>E312/assumptions!$B$2</f>
        <v>18.048780487804876</v>
      </c>
      <c r="G312" s="36">
        <f t="shared" si="9"/>
        <v>298</v>
      </c>
      <c r="H312" s="18">
        <f>IF(NOT(D312="G"),'RW predict'!E311,0)</f>
        <v>6</v>
      </c>
      <c r="I312" s="18">
        <f>'RW predict'!Q311</f>
        <v>143</v>
      </c>
      <c r="J312" s="18">
        <f>'RW predict'!F311</f>
        <v>24</v>
      </c>
      <c r="K312" s="18"/>
      <c r="L312" s="18"/>
      <c r="M312" s="18">
        <f>'RW predict'!P311</f>
        <v>100</v>
      </c>
      <c r="N312" s="18"/>
      <c r="O312" s="18">
        <f>'RW predict'!H311</f>
        <v>-2</v>
      </c>
      <c r="P312" s="18">
        <f>'RW predict'!I311</f>
        <v>36</v>
      </c>
      <c r="Q312" s="18">
        <f>'RW predict'!L311</f>
        <v>0</v>
      </c>
      <c r="R312" s="18">
        <f>'RW predict'!N311</f>
        <v>0</v>
      </c>
      <c r="S312" s="76">
        <f>'RW predict'!O311</f>
        <v>0</v>
      </c>
      <c r="T312" s="76">
        <f>'RW predict'!K311</f>
        <v>0</v>
      </c>
      <c r="U312" s="22">
        <f>'RW predict'!J311</f>
        <v>128</v>
      </c>
      <c r="V312" s="32">
        <f>IF(D312="G",'RW predict'!E311,0)</f>
        <v>0</v>
      </c>
      <c r="W312" s="18">
        <f>'RW predict'!R311</f>
        <v>0</v>
      </c>
      <c r="X312" s="18">
        <f>'RW predict'!T311</f>
        <v>0</v>
      </c>
      <c r="Y312" s="18">
        <f>'RW predict'!Y311</f>
        <v>0</v>
      </c>
      <c r="Z312" s="18">
        <f>'RW predict'!U311</f>
        <v>0</v>
      </c>
      <c r="AA312" s="18">
        <f>'RW predict'!W311</f>
        <v>0</v>
      </c>
      <c r="AB312" s="17"/>
      <c r="AG312" s="23"/>
      <c r="AI312" s="17"/>
      <c r="AO312" s="23"/>
    </row>
    <row r="313" spans="1:41" x14ac:dyDescent="0.3">
      <c r="A313" s="18">
        <v>310</v>
      </c>
      <c r="B313" s="18" t="str">
        <f>'RW predict'!A312</f>
        <v>Sonny Milano</v>
      </c>
      <c r="C313" s="18" t="str">
        <f>'RW predict'!B312</f>
        <v>FA</v>
      </c>
      <c r="D313" s="22" t="str" cm="1">
        <f t="array" ref="D313">_xlfn.SWITCH('RW predict'!C312, "C", "F", "LW","F", "RW", "F", "D", "D", "G", "G", "other")</f>
        <v>F</v>
      </c>
      <c r="E313" s="32">
        <f t="shared" si="8"/>
        <v>968</v>
      </c>
      <c r="F313" s="35">
        <f>E313/assumptions!$B$2</f>
        <v>11.804878048780488</v>
      </c>
      <c r="G313" s="36">
        <f t="shared" si="9"/>
        <v>502</v>
      </c>
      <c r="H313" s="18">
        <f>IF(NOT(D313="G"),'RW predict'!E312,0)</f>
        <v>12</v>
      </c>
      <c r="I313" s="18">
        <f>'RW predict'!Q312</f>
        <v>12</v>
      </c>
      <c r="J313" s="18">
        <f>'RW predict'!F312</f>
        <v>17</v>
      </c>
      <c r="K313" s="18"/>
      <c r="L313" s="18"/>
      <c r="M313" s="18">
        <f>'RW predict'!P312</f>
        <v>24</v>
      </c>
      <c r="N313" s="18"/>
      <c r="O313" s="18">
        <f>'RW predict'!H312</f>
        <v>-8</v>
      </c>
      <c r="P313" s="18">
        <f>'RW predict'!I312</f>
        <v>11</v>
      </c>
      <c r="Q313" s="18">
        <f>'RW predict'!L312</f>
        <v>4</v>
      </c>
      <c r="R313" s="18">
        <f>'RW predict'!N312</f>
        <v>0</v>
      </c>
      <c r="S313" s="76">
        <f>'RW predict'!O312</f>
        <v>0</v>
      </c>
      <c r="T313" s="76">
        <f>'RW predict'!K312</f>
        <v>2</v>
      </c>
      <c r="U313" s="22">
        <f>'RW predict'!J312</f>
        <v>81</v>
      </c>
      <c r="V313" s="32">
        <f>IF(D313="G",'RW predict'!E312,0)</f>
        <v>0</v>
      </c>
      <c r="W313" s="18">
        <f>'RW predict'!R312</f>
        <v>0</v>
      </c>
      <c r="X313" s="18">
        <f>'RW predict'!T312</f>
        <v>0</v>
      </c>
      <c r="Y313" s="18">
        <f>'RW predict'!Y312</f>
        <v>0</v>
      </c>
      <c r="Z313" s="18">
        <f>'RW predict'!U312</f>
        <v>0</v>
      </c>
      <c r="AA313" s="18">
        <f>'RW predict'!W312</f>
        <v>0</v>
      </c>
      <c r="AB313" s="17"/>
      <c r="AG313" s="23"/>
      <c r="AI313" s="17"/>
      <c r="AO313" s="23"/>
    </row>
    <row r="314" spans="1:41" x14ac:dyDescent="0.3">
      <c r="A314" s="18">
        <v>311</v>
      </c>
      <c r="B314" s="18" t="str">
        <f>'RW predict'!A313</f>
        <v>Vinnie Hinostroza</v>
      </c>
      <c r="C314" s="18" t="str">
        <f>'RW predict'!B313</f>
        <v>BUF</v>
      </c>
      <c r="D314" s="22" t="str" cm="1">
        <f t="array" ref="D314">_xlfn.SWITCH('RW predict'!C313, "C", "F", "LW","F", "RW", "F", "D", "D", "G", "G", "other")</f>
        <v>F</v>
      </c>
      <c r="E314" s="32">
        <f t="shared" si="8"/>
        <v>1041</v>
      </c>
      <c r="F314" s="35">
        <f>E314/assumptions!$B$2</f>
        <v>12.695121951219512</v>
      </c>
      <c r="G314" s="36">
        <f t="shared" si="9"/>
        <v>468</v>
      </c>
      <c r="H314" s="18">
        <f>IF(NOT(D314="G"),'RW predict'!E313,0)</f>
        <v>15</v>
      </c>
      <c r="I314" s="18">
        <f>'RW predict'!Q313</f>
        <v>16</v>
      </c>
      <c r="J314" s="18">
        <f>'RW predict'!F313</f>
        <v>14</v>
      </c>
      <c r="K314" s="18"/>
      <c r="L314" s="18"/>
      <c r="M314" s="18">
        <f>'RW predict'!P313</f>
        <v>36</v>
      </c>
      <c r="N314" s="18"/>
      <c r="O314" s="18">
        <f>'RW predict'!H313</f>
        <v>-10</v>
      </c>
      <c r="P314" s="18">
        <f>'RW predict'!I313</f>
        <v>22</v>
      </c>
      <c r="Q314" s="18">
        <f>'RW predict'!L313</f>
        <v>1</v>
      </c>
      <c r="R314" s="18">
        <f>'RW predict'!N313</f>
        <v>0</v>
      </c>
      <c r="S314" s="76">
        <f>'RW predict'!O313</f>
        <v>0</v>
      </c>
      <c r="T314" s="76">
        <f>'RW predict'!K313</f>
        <v>2</v>
      </c>
      <c r="U314" s="22">
        <f>'RW predict'!J313</f>
        <v>116</v>
      </c>
      <c r="V314" s="32">
        <f>IF(D314="G",'RW predict'!E313,0)</f>
        <v>0</v>
      </c>
      <c r="W314" s="18">
        <f>'RW predict'!R313</f>
        <v>0</v>
      </c>
      <c r="X314" s="18">
        <f>'RW predict'!T313</f>
        <v>0</v>
      </c>
      <c r="Y314" s="18">
        <f>'RW predict'!Y313</f>
        <v>0</v>
      </c>
      <c r="Z314" s="18">
        <f>'RW predict'!U313</f>
        <v>0</v>
      </c>
      <c r="AA314" s="18">
        <f>'RW predict'!W313</f>
        <v>0</v>
      </c>
      <c r="AB314" s="17"/>
      <c r="AG314" s="23"/>
      <c r="AI314" s="17"/>
      <c r="AO314" s="23"/>
    </row>
    <row r="315" spans="1:41" x14ac:dyDescent="0.3">
      <c r="A315" s="18">
        <v>312</v>
      </c>
      <c r="B315" s="18" t="str">
        <f>'RW predict'!A314</f>
        <v>Hampus Lindholm</v>
      </c>
      <c r="C315" s="18" t="str">
        <f>'RW predict'!B314</f>
        <v>BOS</v>
      </c>
      <c r="D315" s="22" t="str" cm="1">
        <f t="array" ref="D315">_xlfn.SWITCH('RW predict'!C314, "C", "F", "LW","F", "RW", "F", "D", "D", "G", "G", "other")</f>
        <v>D</v>
      </c>
      <c r="E315" s="32">
        <f t="shared" si="8"/>
        <v>1535</v>
      </c>
      <c r="F315" s="35">
        <f>E315/assumptions!$B$2</f>
        <v>18.719512195121951</v>
      </c>
      <c r="G315" s="36">
        <f t="shared" si="9"/>
        <v>282</v>
      </c>
      <c r="H315" s="18">
        <f>IF(NOT(D315="G"),'RW predict'!E314,0)</f>
        <v>5</v>
      </c>
      <c r="I315" s="18">
        <f>'RW predict'!Q314</f>
        <v>95</v>
      </c>
      <c r="J315" s="18">
        <f>'RW predict'!F314</f>
        <v>24</v>
      </c>
      <c r="K315" s="18"/>
      <c r="L315" s="18"/>
      <c r="M315" s="18">
        <f>'RW predict'!P314</f>
        <v>69</v>
      </c>
      <c r="N315" s="18"/>
      <c r="O315" s="18">
        <f>'RW predict'!H314</f>
        <v>8</v>
      </c>
      <c r="P315" s="18">
        <f>'RW predict'!I314</f>
        <v>47</v>
      </c>
      <c r="Q315" s="18">
        <f>'RW predict'!L314</f>
        <v>1</v>
      </c>
      <c r="R315" s="18">
        <f>'RW predict'!N314</f>
        <v>0</v>
      </c>
      <c r="S315" s="76">
        <f>'RW predict'!O314</f>
        <v>2</v>
      </c>
      <c r="T315" s="76">
        <f>'RW predict'!K314</f>
        <v>1</v>
      </c>
      <c r="U315" s="22">
        <f>'RW predict'!J314</f>
        <v>140</v>
      </c>
      <c r="V315" s="32">
        <f>IF(D315="G",'RW predict'!E314,0)</f>
        <v>0</v>
      </c>
      <c r="W315" s="18">
        <f>'RW predict'!R314</f>
        <v>0</v>
      </c>
      <c r="X315" s="18">
        <f>'RW predict'!T314</f>
        <v>0</v>
      </c>
      <c r="Y315" s="18">
        <f>'RW predict'!Y314</f>
        <v>0</v>
      </c>
      <c r="Z315" s="18">
        <f>'RW predict'!U314</f>
        <v>0</v>
      </c>
      <c r="AA315" s="18">
        <f>'RW predict'!W314</f>
        <v>0</v>
      </c>
      <c r="AB315" s="17"/>
      <c r="AG315" s="23"/>
      <c r="AI315" s="17"/>
      <c r="AO315" s="23"/>
    </row>
    <row r="316" spans="1:41" x14ac:dyDescent="0.3">
      <c r="A316" s="18">
        <v>313</v>
      </c>
      <c r="B316" s="18" t="str">
        <f>'RW predict'!A315</f>
        <v>Nils Hoglander</v>
      </c>
      <c r="C316" s="18" t="str">
        <f>'RW predict'!B315</f>
        <v>VAN</v>
      </c>
      <c r="D316" s="22" t="str" cm="1">
        <f t="array" ref="D316">_xlfn.SWITCH('RW predict'!C315, "C", "F", "LW","F", "RW", "F", "D", "D", "G", "G", "other")</f>
        <v>F</v>
      </c>
      <c r="E316" s="32">
        <f t="shared" si="8"/>
        <v>1250</v>
      </c>
      <c r="F316" s="35">
        <f>E316/assumptions!$B$2</f>
        <v>15.24390243902439</v>
      </c>
      <c r="G316" s="36">
        <f t="shared" si="9"/>
        <v>385</v>
      </c>
      <c r="H316" s="18">
        <f>IF(NOT(D316="G"),'RW predict'!E315,0)</f>
        <v>15</v>
      </c>
      <c r="I316" s="18">
        <f>'RW predict'!Q315</f>
        <v>21</v>
      </c>
      <c r="J316" s="18">
        <f>'RW predict'!F315</f>
        <v>14</v>
      </c>
      <c r="K316" s="18"/>
      <c r="L316" s="18"/>
      <c r="M316" s="18">
        <f>'RW predict'!P315</f>
        <v>49</v>
      </c>
      <c r="N316" s="18"/>
      <c r="O316" s="18">
        <f>'RW predict'!H315</f>
        <v>-2</v>
      </c>
      <c r="P316" s="18">
        <f>'RW predict'!I315</f>
        <v>28</v>
      </c>
      <c r="Q316" s="18">
        <f>'RW predict'!L315</f>
        <v>1</v>
      </c>
      <c r="R316" s="18">
        <f>'RW predict'!N315</f>
        <v>0</v>
      </c>
      <c r="S316" s="76">
        <f>'RW predict'!O315</f>
        <v>0</v>
      </c>
      <c r="T316" s="76">
        <f>'RW predict'!K315</f>
        <v>2</v>
      </c>
      <c r="U316" s="22">
        <f>'RW predict'!J315</f>
        <v>160</v>
      </c>
      <c r="V316" s="32">
        <f>IF(D316="G",'RW predict'!E315,0)</f>
        <v>0</v>
      </c>
      <c r="W316" s="18">
        <f>'RW predict'!R315</f>
        <v>0</v>
      </c>
      <c r="X316" s="18">
        <f>'RW predict'!T315</f>
        <v>0</v>
      </c>
      <c r="Y316" s="18">
        <f>'RW predict'!Y315</f>
        <v>0</v>
      </c>
      <c r="Z316" s="18">
        <f>'RW predict'!U315</f>
        <v>0</v>
      </c>
      <c r="AA316" s="18">
        <f>'RW predict'!W315</f>
        <v>0</v>
      </c>
      <c r="AB316" s="17"/>
      <c r="AG316" s="23"/>
      <c r="AI316" s="17"/>
      <c r="AO316" s="23"/>
    </row>
    <row r="317" spans="1:41" x14ac:dyDescent="0.3">
      <c r="A317" s="18">
        <v>314</v>
      </c>
      <c r="B317" s="18" t="str">
        <f>'RW predict'!A316</f>
        <v>Nathan Smith</v>
      </c>
      <c r="C317" s="18" t="str">
        <f>'RW predict'!B316</f>
        <v>ARI</v>
      </c>
      <c r="D317" s="22" t="str" cm="1">
        <f t="array" ref="D317">_xlfn.SWITCH('RW predict'!C316, "C", "F", "LW","F", "RW", "F", "D", "D", "G", "G", "other")</f>
        <v>F</v>
      </c>
      <c r="E317" s="32">
        <f t="shared" si="8"/>
        <v>1212</v>
      </c>
      <c r="F317" s="35">
        <f>E317/assumptions!$B$2</f>
        <v>14.780487804878049</v>
      </c>
      <c r="G317" s="36">
        <f t="shared" si="9"/>
        <v>395</v>
      </c>
      <c r="H317" s="18">
        <f>IF(NOT(D317="G"),'RW predict'!E316,0)</f>
        <v>13</v>
      </c>
      <c r="I317" s="18">
        <f>'RW predict'!Q316</f>
        <v>36</v>
      </c>
      <c r="J317" s="18">
        <f>'RW predict'!F316</f>
        <v>16</v>
      </c>
      <c r="K317" s="18"/>
      <c r="L317" s="18"/>
      <c r="M317" s="18">
        <f>'RW predict'!P316</f>
        <v>167</v>
      </c>
      <c r="N317" s="18"/>
      <c r="O317" s="18">
        <f>'RW predict'!H316</f>
        <v>-8</v>
      </c>
      <c r="P317" s="18">
        <f>'RW predict'!I316</f>
        <v>20</v>
      </c>
      <c r="Q317" s="18">
        <f>'RW predict'!L316</f>
        <v>2</v>
      </c>
      <c r="R317" s="18">
        <f>'RW predict'!N316</f>
        <v>0</v>
      </c>
      <c r="S317" s="76">
        <f>'RW predict'!O316</f>
        <v>0</v>
      </c>
      <c r="T317" s="76">
        <f>'RW predict'!K316</f>
        <v>1</v>
      </c>
      <c r="U317" s="22">
        <f>'RW predict'!J316</f>
        <v>114</v>
      </c>
      <c r="V317" s="32">
        <f>IF(D317="G",'RW predict'!E316,0)</f>
        <v>0</v>
      </c>
      <c r="W317" s="18">
        <f>'RW predict'!R316</f>
        <v>0</v>
      </c>
      <c r="X317" s="18">
        <f>'RW predict'!T316</f>
        <v>0</v>
      </c>
      <c r="Y317" s="18">
        <f>'RW predict'!Y316</f>
        <v>0</v>
      </c>
      <c r="Z317" s="18">
        <f>'RW predict'!U316</f>
        <v>0</v>
      </c>
      <c r="AA317" s="18">
        <f>'RW predict'!W316</f>
        <v>0</v>
      </c>
      <c r="AB317" s="17"/>
      <c r="AG317" s="23"/>
      <c r="AI317" s="17"/>
      <c r="AO317" s="23"/>
    </row>
    <row r="318" spans="1:41" x14ac:dyDescent="0.3">
      <c r="A318" s="18">
        <v>315</v>
      </c>
      <c r="B318" s="18" t="str">
        <f>'RW predict'!A317</f>
        <v>Alex Formenton</v>
      </c>
      <c r="C318" s="18" t="str">
        <f>'RW predict'!B317</f>
        <v>OTT</v>
      </c>
      <c r="D318" s="22" t="str" cm="1">
        <f t="array" ref="D318">_xlfn.SWITCH('RW predict'!C317, "C", "F", "LW","F", "RW", "F", "D", "D", "G", "G", "other")</f>
        <v>F</v>
      </c>
      <c r="E318" s="32">
        <f t="shared" si="8"/>
        <v>1339</v>
      </c>
      <c r="F318" s="35">
        <f>E318/assumptions!$B$2</f>
        <v>16.329268292682926</v>
      </c>
      <c r="G318" s="36">
        <f t="shared" si="9"/>
        <v>349</v>
      </c>
      <c r="H318" s="18">
        <f>IF(NOT(D318="G"),'RW predict'!E317,0)</f>
        <v>16</v>
      </c>
      <c r="I318" s="18">
        <f>'RW predict'!Q317</f>
        <v>24</v>
      </c>
      <c r="J318" s="18">
        <f>'RW predict'!F317</f>
        <v>13</v>
      </c>
      <c r="K318" s="18"/>
      <c r="L318" s="18"/>
      <c r="M318" s="18">
        <f>'RW predict'!P317</f>
        <v>105</v>
      </c>
      <c r="N318" s="18"/>
      <c r="O318" s="18">
        <f>'RW predict'!H317</f>
        <v>-9</v>
      </c>
      <c r="P318" s="18">
        <f>'RW predict'!I317</f>
        <v>55</v>
      </c>
      <c r="Q318" s="18">
        <f>'RW predict'!L317</f>
        <v>0</v>
      </c>
      <c r="R318" s="18">
        <f>'RW predict'!N317</f>
        <v>2</v>
      </c>
      <c r="S318" s="76">
        <f>'RW predict'!O317</f>
        <v>1</v>
      </c>
      <c r="T318" s="76">
        <f>'RW predict'!K317</f>
        <v>2</v>
      </c>
      <c r="U318" s="22">
        <f>'RW predict'!J317</f>
        <v>148</v>
      </c>
      <c r="V318" s="32">
        <f>IF(D318="G",'RW predict'!E317,0)</f>
        <v>0</v>
      </c>
      <c r="W318" s="18">
        <f>'RW predict'!R317</f>
        <v>0</v>
      </c>
      <c r="X318" s="18">
        <f>'RW predict'!T317</f>
        <v>0</v>
      </c>
      <c r="Y318" s="18">
        <f>'RW predict'!Y317</f>
        <v>0</v>
      </c>
      <c r="Z318" s="18">
        <f>'RW predict'!U317</f>
        <v>0</v>
      </c>
      <c r="AA318" s="18">
        <f>'RW predict'!W317</f>
        <v>0</v>
      </c>
      <c r="AB318" s="17"/>
      <c r="AG318" s="23"/>
      <c r="AI318" s="17"/>
      <c r="AO318" s="23"/>
    </row>
    <row r="319" spans="1:41" x14ac:dyDescent="0.3">
      <c r="A319" s="18">
        <v>316</v>
      </c>
      <c r="B319" s="18" t="str">
        <f>'RW predict'!A318</f>
        <v>Travis Boyd</v>
      </c>
      <c r="C319" s="18" t="str">
        <f>'RW predict'!B318</f>
        <v>ARI</v>
      </c>
      <c r="D319" s="22" t="str" cm="1">
        <f t="array" ref="D319">_xlfn.SWITCH('RW predict'!C318, "C", "F", "LW","F", "RW", "F", "D", "D", "G", "G", "other")</f>
        <v>F</v>
      </c>
      <c r="E319" s="32">
        <f t="shared" si="8"/>
        <v>1121</v>
      </c>
      <c r="F319" s="35">
        <f>E319/assumptions!$B$2</f>
        <v>13.670731707317072</v>
      </c>
      <c r="G319" s="36">
        <f t="shared" si="9"/>
        <v>440</v>
      </c>
      <c r="H319" s="18">
        <f>IF(NOT(D319="G"),'RW predict'!E318,0)</f>
        <v>14</v>
      </c>
      <c r="I319" s="18">
        <f>'RW predict'!Q318</f>
        <v>53</v>
      </c>
      <c r="J319" s="18">
        <f>'RW predict'!F318</f>
        <v>15</v>
      </c>
      <c r="K319" s="18"/>
      <c r="L319" s="18"/>
      <c r="M319" s="18">
        <f>'RW predict'!P318</f>
        <v>72</v>
      </c>
      <c r="N319" s="18"/>
      <c r="O319" s="18">
        <f>'RW predict'!H318</f>
        <v>-10</v>
      </c>
      <c r="P319" s="18">
        <f>'RW predict'!I318</f>
        <v>28</v>
      </c>
      <c r="Q319" s="18">
        <f>'RW predict'!L318</f>
        <v>2</v>
      </c>
      <c r="R319" s="18">
        <f>'RW predict'!N318</f>
        <v>0</v>
      </c>
      <c r="S319" s="76">
        <f>'RW predict'!O318</f>
        <v>0</v>
      </c>
      <c r="T319" s="76">
        <f>'RW predict'!K318</f>
        <v>2</v>
      </c>
      <c r="U319" s="22">
        <f>'RW predict'!J318</f>
        <v>87</v>
      </c>
      <c r="V319" s="32">
        <f>IF(D319="G",'RW predict'!E318,0)</f>
        <v>0</v>
      </c>
      <c r="W319" s="18">
        <f>'RW predict'!R318</f>
        <v>0</v>
      </c>
      <c r="X319" s="18">
        <f>'RW predict'!T318</f>
        <v>0</v>
      </c>
      <c r="Y319" s="18">
        <f>'RW predict'!Y318</f>
        <v>0</v>
      </c>
      <c r="Z319" s="18">
        <f>'RW predict'!U318</f>
        <v>0</v>
      </c>
      <c r="AA319" s="18">
        <f>'RW predict'!W318</f>
        <v>0</v>
      </c>
      <c r="AB319" s="17"/>
      <c r="AG319" s="23"/>
      <c r="AI319" s="17"/>
      <c r="AO319" s="23"/>
    </row>
    <row r="320" spans="1:41" x14ac:dyDescent="0.3">
      <c r="A320" s="18">
        <v>317</v>
      </c>
      <c r="B320" s="18" t="str">
        <f>'RW predict'!A319</f>
        <v>Taylor Raddysh</v>
      </c>
      <c r="C320" s="18" t="str">
        <f>'RW predict'!B319</f>
        <v>CHI</v>
      </c>
      <c r="D320" s="22" t="str" cm="1">
        <f t="array" ref="D320">_xlfn.SWITCH('RW predict'!C319, "C", "F", "LW","F", "RW", "F", "D", "D", "G", "G", "other")</f>
        <v>F</v>
      </c>
      <c r="E320" s="32">
        <f t="shared" si="8"/>
        <v>1299</v>
      </c>
      <c r="F320" s="35">
        <f>E320/assumptions!$B$2</f>
        <v>15.841463414634147</v>
      </c>
      <c r="G320" s="36">
        <f t="shared" si="9"/>
        <v>370</v>
      </c>
      <c r="H320" s="18">
        <f>IF(NOT(D320="G"),'RW predict'!E319,0)</f>
        <v>13</v>
      </c>
      <c r="I320" s="18">
        <f>'RW predict'!Q319</f>
        <v>22</v>
      </c>
      <c r="J320" s="18">
        <f>'RW predict'!F319</f>
        <v>16</v>
      </c>
      <c r="K320" s="18"/>
      <c r="L320" s="18"/>
      <c r="M320" s="18">
        <f>'RW predict'!P319</f>
        <v>110</v>
      </c>
      <c r="N320" s="18"/>
      <c r="O320" s="18">
        <f>'RW predict'!H319</f>
        <v>3</v>
      </c>
      <c r="P320" s="18">
        <f>'RW predict'!I319</f>
        <v>12</v>
      </c>
      <c r="Q320" s="18">
        <f>'RW predict'!L319</f>
        <v>3</v>
      </c>
      <c r="R320" s="18">
        <f>'RW predict'!N319</f>
        <v>1</v>
      </c>
      <c r="S320" s="76">
        <f>'RW predict'!O319</f>
        <v>0</v>
      </c>
      <c r="T320" s="76">
        <f>'RW predict'!K319</f>
        <v>2</v>
      </c>
      <c r="U320" s="22">
        <f>'RW predict'!J319</f>
        <v>132</v>
      </c>
      <c r="V320" s="32">
        <f>IF(D320="G",'RW predict'!E319,0)</f>
        <v>0</v>
      </c>
      <c r="W320" s="18">
        <f>'RW predict'!R319</f>
        <v>0</v>
      </c>
      <c r="X320" s="18">
        <f>'RW predict'!T319</f>
        <v>0</v>
      </c>
      <c r="Y320" s="18">
        <f>'RW predict'!Y319</f>
        <v>0</v>
      </c>
      <c r="Z320" s="18">
        <f>'RW predict'!U319</f>
        <v>0</v>
      </c>
      <c r="AA320" s="18">
        <f>'RW predict'!W319</f>
        <v>0</v>
      </c>
      <c r="AB320" s="17"/>
      <c r="AG320" s="23"/>
      <c r="AI320" s="17"/>
      <c r="AO320" s="23"/>
    </row>
    <row r="321" spans="1:41" x14ac:dyDescent="0.3">
      <c r="A321" s="18">
        <v>318</v>
      </c>
      <c r="B321" s="18" t="str">
        <f>'RW predict'!A320</f>
        <v>Alexandre Carrier</v>
      </c>
      <c r="C321" s="18" t="str">
        <f>'RW predict'!B320</f>
        <v>NSH</v>
      </c>
      <c r="D321" s="22" t="str" cm="1">
        <f t="array" ref="D321">_xlfn.SWITCH('RW predict'!C320, "C", "F", "LW","F", "RW", "F", "D", "D", "G", "G", "other")</f>
        <v>D</v>
      </c>
      <c r="E321" s="32">
        <f t="shared" si="8"/>
        <v>1650</v>
      </c>
      <c r="F321" s="35">
        <f>E321/assumptions!$B$2</f>
        <v>20.121951219512194</v>
      </c>
      <c r="G321" s="36">
        <f t="shared" si="9"/>
        <v>245</v>
      </c>
      <c r="H321" s="18">
        <f>IF(NOT(D321="G"),'RW predict'!E320,0)</f>
        <v>3</v>
      </c>
      <c r="I321" s="18">
        <f>'RW predict'!Q320</f>
        <v>129</v>
      </c>
      <c r="J321" s="18">
        <f>'RW predict'!F320</f>
        <v>25</v>
      </c>
      <c r="K321" s="18"/>
      <c r="L321" s="18"/>
      <c r="M321" s="18">
        <f>'RW predict'!P320</f>
        <v>98</v>
      </c>
      <c r="N321" s="18"/>
      <c r="O321" s="18">
        <f>'RW predict'!H320</f>
        <v>23</v>
      </c>
      <c r="P321" s="18">
        <f>'RW predict'!I320</f>
        <v>48</v>
      </c>
      <c r="Q321" s="18">
        <f>'RW predict'!L320</f>
        <v>2</v>
      </c>
      <c r="R321" s="18">
        <f>'RW predict'!N320</f>
        <v>0</v>
      </c>
      <c r="S321" s="76">
        <f>'RW predict'!O320</f>
        <v>1</v>
      </c>
      <c r="T321" s="76">
        <f>'RW predict'!K320</f>
        <v>0</v>
      </c>
      <c r="U321" s="22">
        <f>'RW predict'!J320</f>
        <v>95</v>
      </c>
      <c r="V321" s="32">
        <f>IF(D321="G",'RW predict'!E320,0)</f>
        <v>0</v>
      </c>
      <c r="W321" s="18">
        <f>'RW predict'!R320</f>
        <v>0</v>
      </c>
      <c r="X321" s="18">
        <f>'RW predict'!T320</f>
        <v>0</v>
      </c>
      <c r="Y321" s="18">
        <f>'RW predict'!Y320</f>
        <v>0</v>
      </c>
      <c r="Z321" s="18">
        <f>'RW predict'!U320</f>
        <v>0</v>
      </c>
      <c r="AA321" s="18">
        <f>'RW predict'!W320</f>
        <v>0</v>
      </c>
      <c r="AB321" s="17"/>
      <c r="AG321" s="23"/>
      <c r="AI321" s="17"/>
      <c r="AO321" s="23"/>
    </row>
    <row r="322" spans="1:41" x14ac:dyDescent="0.3">
      <c r="A322" s="18">
        <v>319</v>
      </c>
      <c r="B322" s="18" t="str">
        <f>'RW predict'!A321</f>
        <v>Oskar Lindblom</v>
      </c>
      <c r="C322" s="18" t="str">
        <f>'RW predict'!B321</f>
        <v>SJ</v>
      </c>
      <c r="D322" s="22" t="str" cm="1">
        <f t="array" ref="D322">_xlfn.SWITCH('RW predict'!C321, "C", "F", "LW","F", "RW", "F", "D", "D", "G", "G", "other")</f>
        <v>F</v>
      </c>
      <c r="E322" s="32">
        <f t="shared" si="8"/>
        <v>1095</v>
      </c>
      <c r="F322" s="35">
        <f>E322/assumptions!$B$2</f>
        <v>13.353658536585366</v>
      </c>
      <c r="G322" s="36">
        <f t="shared" si="9"/>
        <v>454</v>
      </c>
      <c r="H322" s="18">
        <f>IF(NOT(D322="G"),'RW predict'!E321,0)</f>
        <v>14</v>
      </c>
      <c r="I322" s="18">
        <f>'RW predict'!Q321</f>
        <v>45</v>
      </c>
      <c r="J322" s="18">
        <f>'RW predict'!F321</f>
        <v>14</v>
      </c>
      <c r="K322" s="18"/>
      <c r="L322" s="18"/>
      <c r="M322" s="18">
        <f>'RW predict'!P321</f>
        <v>79</v>
      </c>
      <c r="N322" s="18"/>
      <c r="O322" s="18">
        <f>'RW predict'!H321</f>
        <v>-11</v>
      </c>
      <c r="P322" s="18">
        <f>'RW predict'!I321</f>
        <v>20</v>
      </c>
      <c r="Q322" s="18">
        <f>'RW predict'!L321</f>
        <v>1</v>
      </c>
      <c r="R322" s="18">
        <f>'RW predict'!N321</f>
        <v>0</v>
      </c>
      <c r="S322" s="76">
        <f>'RW predict'!O321</f>
        <v>0</v>
      </c>
      <c r="T322" s="76">
        <f>'RW predict'!K321</f>
        <v>1</v>
      </c>
      <c r="U322" s="22">
        <f>'RW predict'!J321</f>
        <v>123</v>
      </c>
      <c r="V322" s="32">
        <f>IF(D322="G",'RW predict'!E321,0)</f>
        <v>0</v>
      </c>
      <c r="W322" s="18">
        <f>'RW predict'!R321</f>
        <v>0</v>
      </c>
      <c r="X322" s="18">
        <f>'RW predict'!T321</f>
        <v>0</v>
      </c>
      <c r="Y322" s="18">
        <f>'RW predict'!Y321</f>
        <v>0</v>
      </c>
      <c r="Z322" s="18">
        <f>'RW predict'!U321</f>
        <v>0</v>
      </c>
      <c r="AA322" s="18">
        <f>'RW predict'!W321</f>
        <v>0</v>
      </c>
      <c r="AB322" s="17"/>
      <c r="AG322" s="23"/>
      <c r="AI322" s="17"/>
      <c r="AO322" s="23"/>
    </row>
    <row r="323" spans="1:41" x14ac:dyDescent="0.3">
      <c r="A323" s="18">
        <v>320</v>
      </c>
      <c r="B323" s="18" t="str">
        <f>'RW predict'!A322</f>
        <v>Timothy Liljegren</v>
      </c>
      <c r="C323" s="18" t="str">
        <f>'RW predict'!B322</f>
        <v>TOR</v>
      </c>
      <c r="D323" s="22" t="str" cm="1">
        <f t="array" ref="D323">_xlfn.SWITCH('RW predict'!C322, "C", "F", "LW","F", "RW", "F", "D", "D", "G", "G", "other")</f>
        <v>D</v>
      </c>
      <c r="E323" s="32">
        <f t="shared" si="8"/>
        <v>1323</v>
      </c>
      <c r="F323" s="35">
        <f>E323/assumptions!$B$2</f>
        <v>16.134146341463413</v>
      </c>
      <c r="G323" s="36">
        <f t="shared" si="9"/>
        <v>356</v>
      </c>
      <c r="H323" s="18">
        <f>IF(NOT(D323="G"),'RW predict'!E322,0)</f>
        <v>6</v>
      </c>
      <c r="I323" s="18">
        <f>'RW predict'!Q322</f>
        <v>67</v>
      </c>
      <c r="J323" s="18">
        <f>'RW predict'!F322</f>
        <v>22</v>
      </c>
      <c r="K323" s="18"/>
      <c r="L323" s="18"/>
      <c r="M323" s="18">
        <f>'RW predict'!P322</f>
        <v>97</v>
      </c>
      <c r="N323" s="18"/>
      <c r="O323" s="18">
        <f>'RW predict'!H322</f>
        <v>14</v>
      </c>
      <c r="P323" s="18">
        <f>'RW predict'!I322</f>
        <v>16</v>
      </c>
      <c r="Q323" s="18">
        <f>'RW predict'!L322</f>
        <v>1</v>
      </c>
      <c r="R323" s="18">
        <f>'RW predict'!N322</f>
        <v>0</v>
      </c>
      <c r="S323" s="76">
        <f>'RW predict'!O322</f>
        <v>0</v>
      </c>
      <c r="T323" s="76">
        <f>'RW predict'!K322</f>
        <v>1</v>
      </c>
      <c r="U323" s="22">
        <f>'RW predict'!J322</f>
        <v>87</v>
      </c>
      <c r="V323" s="32">
        <f>IF(D323="G",'RW predict'!E322,0)</f>
        <v>0</v>
      </c>
      <c r="W323" s="18">
        <f>'RW predict'!R322</f>
        <v>0</v>
      </c>
      <c r="X323" s="18">
        <f>'RW predict'!T322</f>
        <v>0</v>
      </c>
      <c r="Y323" s="18">
        <f>'RW predict'!Y322</f>
        <v>0</v>
      </c>
      <c r="Z323" s="18">
        <f>'RW predict'!U322</f>
        <v>0</v>
      </c>
      <c r="AA323" s="18">
        <f>'RW predict'!W322</f>
        <v>0</v>
      </c>
      <c r="AB323" s="17"/>
      <c r="AG323" s="23"/>
      <c r="AI323" s="17"/>
      <c r="AO323" s="23"/>
    </row>
    <row r="324" spans="1:41" x14ac:dyDescent="0.3">
      <c r="A324" s="18">
        <v>321</v>
      </c>
      <c r="B324" s="18" t="str">
        <f>'RW predict'!A323</f>
        <v>Jack Drury</v>
      </c>
      <c r="C324" s="18" t="str">
        <f>'RW predict'!B323</f>
        <v>CAR</v>
      </c>
      <c r="D324" s="22" t="str" cm="1">
        <f t="array" ref="D324">_xlfn.SWITCH('RW predict'!C323, "C", "F", "LW","F", "RW", "F", "D", "D", "G", "G", "other")</f>
        <v>F</v>
      </c>
      <c r="E324" s="32">
        <f t="shared" si="8"/>
        <v>1543</v>
      </c>
      <c r="F324" s="35">
        <f>E324/assumptions!$B$2</f>
        <v>18.817073170731707</v>
      </c>
      <c r="G324" s="36">
        <f t="shared" si="9"/>
        <v>277</v>
      </c>
      <c r="H324" s="18">
        <f>IF(NOT(D324="G"),'RW predict'!E323,0)</f>
        <v>18</v>
      </c>
      <c r="I324" s="18">
        <f>'RW predict'!Q323</f>
        <v>28</v>
      </c>
      <c r="J324" s="18">
        <f>'RW predict'!F323</f>
        <v>10</v>
      </c>
      <c r="K324" s="18"/>
      <c r="L324" s="18"/>
      <c r="M324" s="18">
        <f>'RW predict'!P323</f>
        <v>82</v>
      </c>
      <c r="N324" s="18"/>
      <c r="O324" s="18">
        <f>'RW predict'!H323</f>
        <v>16</v>
      </c>
      <c r="P324" s="18">
        <f>'RW predict'!I323</f>
        <v>33</v>
      </c>
      <c r="Q324" s="18">
        <f>'RW predict'!L323</f>
        <v>0</v>
      </c>
      <c r="R324" s="18">
        <f>'RW predict'!N323</f>
        <v>0</v>
      </c>
      <c r="S324" s="76">
        <f>'RW predict'!O323</f>
        <v>0</v>
      </c>
      <c r="T324" s="76">
        <f>'RW predict'!K323</f>
        <v>3</v>
      </c>
      <c r="U324" s="22">
        <f>'RW predict'!J323</f>
        <v>193</v>
      </c>
      <c r="V324" s="32">
        <f>IF(D324="G",'RW predict'!E323,0)</f>
        <v>0</v>
      </c>
      <c r="W324" s="18">
        <f>'RW predict'!R323</f>
        <v>0</v>
      </c>
      <c r="X324" s="18">
        <f>'RW predict'!T323</f>
        <v>0</v>
      </c>
      <c r="Y324" s="18">
        <f>'RW predict'!Y323</f>
        <v>0</v>
      </c>
      <c r="Z324" s="18">
        <f>'RW predict'!U323</f>
        <v>0</v>
      </c>
      <c r="AA324" s="18">
        <f>'RW predict'!W323</f>
        <v>0</v>
      </c>
      <c r="AB324" s="17"/>
      <c r="AG324" s="23"/>
      <c r="AI324" s="17"/>
      <c r="AO324" s="23"/>
    </row>
    <row r="325" spans="1:41" x14ac:dyDescent="0.3">
      <c r="A325" s="18">
        <v>322</v>
      </c>
      <c r="B325" s="18" t="str">
        <f>'RW predict'!A324</f>
        <v>Philipp Kurashev</v>
      </c>
      <c r="C325" s="18" t="str">
        <f>'RW predict'!B324</f>
        <v>CHI</v>
      </c>
      <c r="D325" s="22" t="str" cm="1">
        <f t="array" ref="D325">_xlfn.SWITCH('RW predict'!C324, "C", "F", "LW","F", "RW", "F", "D", "D", "G", "G", "other")</f>
        <v>F</v>
      </c>
      <c r="E325" s="32">
        <f t="shared" ref="E325:E388" si="10">H325*$H$3+I325*I$3+K325*K$3+L325*L$3+M325*M$3+N325*N$3+V325*V$3+J325*J$3+O325*$O$3+P325*$P$3+Q325*$Q$3+R325*$R$3+S325*$S$3+T325*$T$3+U325*$U$3+W325*$W$3+X325*$X$3+Y325*$Y$3+Z325*$Z$3+AA325*$AA$3</f>
        <v>975</v>
      </c>
      <c r="F325" s="35">
        <f>E325/assumptions!$B$2</f>
        <v>11.890243902439025</v>
      </c>
      <c r="G325" s="36">
        <f t="shared" ref="G325:G388" si="11">RANK(E325,$E$4:$E$1100)</f>
        <v>497</v>
      </c>
      <c r="H325" s="18">
        <f>IF(NOT(D325="G"),'RW predict'!E324,0)</f>
        <v>9</v>
      </c>
      <c r="I325" s="18">
        <f>'RW predict'!Q324</f>
        <v>33</v>
      </c>
      <c r="J325" s="18">
        <f>'RW predict'!F324</f>
        <v>19</v>
      </c>
      <c r="K325" s="18"/>
      <c r="L325" s="18"/>
      <c r="M325" s="18">
        <f>'RW predict'!P324</f>
        <v>37</v>
      </c>
      <c r="N325" s="18"/>
      <c r="O325" s="18">
        <f>'RW predict'!H324</f>
        <v>-14</v>
      </c>
      <c r="P325" s="18">
        <f>'RW predict'!I324</f>
        <v>16</v>
      </c>
      <c r="Q325" s="18">
        <f>'RW predict'!L324</f>
        <v>3</v>
      </c>
      <c r="R325" s="18">
        <f>'RW predict'!N324</f>
        <v>0</v>
      </c>
      <c r="S325" s="76">
        <f>'RW predict'!O324</f>
        <v>0</v>
      </c>
      <c r="T325" s="76">
        <f>'RW predict'!K324</f>
        <v>2</v>
      </c>
      <c r="U325" s="22">
        <f>'RW predict'!J324</f>
        <v>97</v>
      </c>
      <c r="V325" s="32">
        <f>IF(D325="G",'RW predict'!E324,0)</f>
        <v>0</v>
      </c>
      <c r="W325" s="18">
        <f>'RW predict'!R324</f>
        <v>0</v>
      </c>
      <c r="X325" s="18">
        <f>'RW predict'!T324</f>
        <v>0</v>
      </c>
      <c r="Y325" s="18">
        <f>'RW predict'!Y324</f>
        <v>0</v>
      </c>
      <c r="Z325" s="18">
        <f>'RW predict'!U324</f>
        <v>0</v>
      </c>
      <c r="AA325" s="18">
        <f>'RW predict'!W324</f>
        <v>0</v>
      </c>
      <c r="AB325" s="17"/>
      <c r="AG325" s="23"/>
      <c r="AI325" s="17"/>
      <c r="AO325" s="23"/>
    </row>
    <row r="326" spans="1:41" x14ac:dyDescent="0.3">
      <c r="A326" s="18">
        <v>323</v>
      </c>
      <c r="B326" s="18" t="str">
        <f>'RW predict'!A325</f>
        <v>Arthur Kaliyev</v>
      </c>
      <c r="C326" s="18" t="str">
        <f>'RW predict'!B325</f>
        <v>LA</v>
      </c>
      <c r="D326" s="22" t="str" cm="1">
        <f t="array" ref="D326">_xlfn.SWITCH('RW predict'!C325, "C", "F", "LW","F", "RW", "F", "D", "D", "G", "G", "other")</f>
        <v>F</v>
      </c>
      <c r="E326" s="32">
        <f t="shared" si="10"/>
        <v>1315</v>
      </c>
      <c r="F326" s="35">
        <f>E326/assumptions!$B$2</f>
        <v>16.036585365853657</v>
      </c>
      <c r="G326" s="36">
        <f t="shared" si="11"/>
        <v>360</v>
      </c>
      <c r="H326" s="18">
        <f>IF(NOT(D326="G"),'RW predict'!E325,0)</f>
        <v>15</v>
      </c>
      <c r="I326" s="18">
        <f>'RW predict'!Q325</f>
        <v>11</v>
      </c>
      <c r="J326" s="18">
        <f>'RW predict'!F325</f>
        <v>13</v>
      </c>
      <c r="K326" s="18"/>
      <c r="L326" s="18"/>
      <c r="M326" s="18">
        <f>'RW predict'!P325</f>
        <v>29</v>
      </c>
      <c r="N326" s="18"/>
      <c r="O326" s="18">
        <f>'RW predict'!H325</f>
        <v>-1</v>
      </c>
      <c r="P326" s="18">
        <f>'RW predict'!I325</f>
        <v>34</v>
      </c>
      <c r="Q326" s="18">
        <f>'RW predict'!L325</f>
        <v>5</v>
      </c>
      <c r="R326" s="18">
        <f>'RW predict'!N325</f>
        <v>0</v>
      </c>
      <c r="S326" s="76">
        <f>'RW predict'!O325</f>
        <v>0</v>
      </c>
      <c r="T326" s="76">
        <f>'RW predict'!K325</f>
        <v>2</v>
      </c>
      <c r="U326" s="22">
        <f>'RW predict'!J325</f>
        <v>191</v>
      </c>
      <c r="V326" s="32">
        <f>IF(D326="G",'RW predict'!E325,0)</f>
        <v>0</v>
      </c>
      <c r="W326" s="18">
        <f>'RW predict'!R325</f>
        <v>0</v>
      </c>
      <c r="X326" s="18">
        <f>'RW predict'!T325</f>
        <v>0</v>
      </c>
      <c r="Y326" s="18">
        <f>'RW predict'!Y325</f>
        <v>0</v>
      </c>
      <c r="Z326" s="18">
        <f>'RW predict'!U325</f>
        <v>0</v>
      </c>
      <c r="AA326" s="18">
        <f>'RW predict'!W325</f>
        <v>0</v>
      </c>
      <c r="AB326" s="17"/>
      <c r="AG326" s="23"/>
      <c r="AI326" s="17"/>
      <c r="AO326" s="23"/>
    </row>
    <row r="327" spans="1:41" x14ac:dyDescent="0.3">
      <c r="A327" s="18">
        <v>324</v>
      </c>
      <c r="B327" s="18" t="str">
        <f>'RW predict'!A326</f>
        <v>Mike Matheson</v>
      </c>
      <c r="C327" s="18" t="str">
        <f>'RW predict'!B326</f>
        <v>MON</v>
      </c>
      <c r="D327" s="22" t="str" cm="1">
        <f t="array" ref="D327">_xlfn.SWITCH('RW predict'!C326, "C", "F", "LW","F", "RW", "F", "D", "D", "G", "G", "other")</f>
        <v>D</v>
      </c>
      <c r="E327" s="32">
        <f t="shared" si="10"/>
        <v>1336</v>
      </c>
      <c r="F327" s="35">
        <f>E327/assumptions!$B$2</f>
        <v>16.292682926829269</v>
      </c>
      <c r="G327" s="36">
        <f t="shared" si="11"/>
        <v>350</v>
      </c>
      <c r="H327" s="18">
        <f>IF(NOT(D327="G"),'RW predict'!E326,0)</f>
        <v>10</v>
      </c>
      <c r="I327" s="18">
        <f>'RW predict'!Q326</f>
        <v>83</v>
      </c>
      <c r="J327" s="18">
        <f>'RW predict'!F326</f>
        <v>18</v>
      </c>
      <c r="K327" s="18"/>
      <c r="L327" s="18"/>
      <c r="M327" s="18">
        <f>'RW predict'!P326</f>
        <v>86</v>
      </c>
      <c r="N327" s="18"/>
      <c r="O327" s="18">
        <f>'RW predict'!H326</f>
        <v>-6</v>
      </c>
      <c r="P327" s="18">
        <f>'RW predict'!I326</f>
        <v>32</v>
      </c>
      <c r="Q327" s="18">
        <f>'RW predict'!L326</f>
        <v>1</v>
      </c>
      <c r="R327" s="18">
        <f>'RW predict'!N326</f>
        <v>0</v>
      </c>
      <c r="S327" s="76">
        <f>'RW predict'!O326</f>
        <v>1</v>
      </c>
      <c r="T327" s="76">
        <f>'RW predict'!K326</f>
        <v>2</v>
      </c>
      <c r="U327" s="22">
        <f>'RW predict'!J326</f>
        <v>144</v>
      </c>
      <c r="V327" s="32">
        <f>IF(D327="G",'RW predict'!E326,0)</f>
        <v>0</v>
      </c>
      <c r="W327" s="18">
        <f>'RW predict'!R326</f>
        <v>0</v>
      </c>
      <c r="X327" s="18">
        <f>'RW predict'!T326</f>
        <v>0</v>
      </c>
      <c r="Y327" s="18">
        <f>'RW predict'!Y326</f>
        <v>0</v>
      </c>
      <c r="Z327" s="18">
        <f>'RW predict'!U326</f>
        <v>0</v>
      </c>
      <c r="AA327" s="18">
        <f>'RW predict'!W326</f>
        <v>0</v>
      </c>
      <c r="AB327" s="17"/>
      <c r="AG327" s="23"/>
      <c r="AI327" s="17"/>
      <c r="AO327" s="23"/>
    </row>
    <row r="328" spans="1:41" x14ac:dyDescent="0.3">
      <c r="A328" s="18">
        <v>325</v>
      </c>
      <c r="B328" s="18" t="str">
        <f>'RW predict'!A327</f>
        <v>Adam Pelech</v>
      </c>
      <c r="C328" s="18" t="str">
        <f>'RW predict'!B327</f>
        <v>NYI</v>
      </c>
      <c r="D328" s="22" t="str" cm="1">
        <f t="array" ref="D328">_xlfn.SWITCH('RW predict'!C327, "C", "F", "LW","F", "RW", "F", "D", "D", "G", "G", "other")</f>
        <v>D</v>
      </c>
      <c r="E328" s="32">
        <f t="shared" si="10"/>
        <v>1550</v>
      </c>
      <c r="F328" s="35">
        <f>E328/assumptions!$B$2</f>
        <v>18.902439024390244</v>
      </c>
      <c r="G328" s="36">
        <f t="shared" si="11"/>
        <v>276</v>
      </c>
      <c r="H328" s="18">
        <f>IF(NOT(D328="G"),'RW predict'!E327,0)</f>
        <v>4</v>
      </c>
      <c r="I328" s="18">
        <f>'RW predict'!Q327</f>
        <v>124</v>
      </c>
      <c r="J328" s="18">
        <f>'RW predict'!F327</f>
        <v>24</v>
      </c>
      <c r="K328" s="18"/>
      <c r="L328" s="18"/>
      <c r="M328" s="18">
        <f>'RW predict'!P327</f>
        <v>96</v>
      </c>
      <c r="N328" s="18"/>
      <c r="O328" s="18">
        <f>'RW predict'!H327</f>
        <v>18</v>
      </c>
      <c r="P328" s="18">
        <f>'RW predict'!I327</f>
        <v>32</v>
      </c>
      <c r="Q328" s="18">
        <f>'RW predict'!L327</f>
        <v>0</v>
      </c>
      <c r="R328" s="18">
        <f>'RW predict'!N327</f>
        <v>0</v>
      </c>
      <c r="S328" s="76">
        <f>'RW predict'!O327</f>
        <v>2</v>
      </c>
      <c r="T328" s="76">
        <f>'RW predict'!K327</f>
        <v>0</v>
      </c>
      <c r="U328" s="22">
        <f>'RW predict'!J327</f>
        <v>105</v>
      </c>
      <c r="V328" s="32">
        <f>IF(D328="G",'RW predict'!E327,0)</f>
        <v>0</v>
      </c>
      <c r="W328" s="18">
        <f>'RW predict'!R327</f>
        <v>0</v>
      </c>
      <c r="X328" s="18">
        <f>'RW predict'!T327</f>
        <v>0</v>
      </c>
      <c r="Y328" s="18">
        <f>'RW predict'!Y327</f>
        <v>0</v>
      </c>
      <c r="Z328" s="18">
        <f>'RW predict'!U327</f>
        <v>0</v>
      </c>
      <c r="AA328" s="18">
        <f>'RW predict'!W327</f>
        <v>0</v>
      </c>
      <c r="AB328" s="17"/>
      <c r="AG328" s="23"/>
      <c r="AI328" s="17"/>
      <c r="AO328" s="23"/>
    </row>
    <row r="329" spans="1:41" x14ac:dyDescent="0.3">
      <c r="A329" s="18">
        <v>326</v>
      </c>
      <c r="B329" s="18" t="str">
        <f>'RW predict'!A328</f>
        <v>Sean Monahan</v>
      </c>
      <c r="C329" s="18" t="str">
        <f>'RW predict'!B328</f>
        <v>MON</v>
      </c>
      <c r="D329" s="22" t="str" cm="1">
        <f t="array" ref="D329">_xlfn.SWITCH('RW predict'!C328, "C", "F", "LW","F", "RW", "F", "D", "D", "G", "G", "other")</f>
        <v>F</v>
      </c>
      <c r="E329" s="32">
        <f t="shared" si="10"/>
        <v>1109</v>
      </c>
      <c r="F329" s="35">
        <f>E329/assumptions!$B$2</f>
        <v>13.524390243902438</v>
      </c>
      <c r="G329" s="36">
        <f t="shared" si="11"/>
        <v>448</v>
      </c>
      <c r="H329" s="18">
        <f>IF(NOT(D329="G"),'RW predict'!E328,0)</f>
        <v>11</v>
      </c>
      <c r="I329" s="18">
        <f>'RW predict'!Q328</f>
        <v>22</v>
      </c>
      <c r="J329" s="18">
        <f>'RW predict'!F328</f>
        <v>17</v>
      </c>
      <c r="K329" s="18"/>
      <c r="L329" s="18"/>
      <c r="M329" s="18">
        <f>'RW predict'!P328</f>
        <v>69</v>
      </c>
      <c r="N329" s="18"/>
      <c r="O329" s="18">
        <f>'RW predict'!H328</f>
        <v>-12</v>
      </c>
      <c r="P329" s="18">
        <f>'RW predict'!I328</f>
        <v>24</v>
      </c>
      <c r="Q329" s="18">
        <f>'RW predict'!L328</f>
        <v>3</v>
      </c>
      <c r="R329" s="18">
        <f>'RW predict'!N328</f>
        <v>0</v>
      </c>
      <c r="S329" s="76">
        <f>'RW predict'!O328</f>
        <v>0</v>
      </c>
      <c r="T329" s="76">
        <f>'RW predict'!K328</f>
        <v>2</v>
      </c>
      <c r="U329" s="22">
        <f>'RW predict'!J328</f>
        <v>137</v>
      </c>
      <c r="V329" s="32">
        <f>IF(D329="G",'RW predict'!E328,0)</f>
        <v>0</v>
      </c>
      <c r="W329" s="18">
        <f>'RW predict'!R328</f>
        <v>0</v>
      </c>
      <c r="X329" s="18">
        <f>'RW predict'!T328</f>
        <v>0</v>
      </c>
      <c r="Y329" s="18">
        <f>'RW predict'!Y328</f>
        <v>0</v>
      </c>
      <c r="Z329" s="18">
        <f>'RW predict'!U328</f>
        <v>0</v>
      </c>
      <c r="AA329" s="18">
        <f>'RW predict'!W328</f>
        <v>0</v>
      </c>
      <c r="AB329" s="17"/>
      <c r="AG329" s="23"/>
      <c r="AI329" s="17"/>
      <c r="AO329" s="23"/>
    </row>
    <row r="330" spans="1:41" x14ac:dyDescent="0.3">
      <c r="A330" s="18">
        <v>327</v>
      </c>
      <c r="B330" s="18" t="str">
        <f>'RW predict'!A329</f>
        <v>Ryan Donato</v>
      </c>
      <c r="C330" s="18" t="str">
        <f>'RW predict'!B329</f>
        <v>SEA</v>
      </c>
      <c r="D330" s="22" t="str" cm="1">
        <f t="array" ref="D330">_xlfn.SWITCH('RW predict'!C329, "C", "F", "LW","F", "RW", "F", "D", "D", "G", "G", "other")</f>
        <v>F</v>
      </c>
      <c r="E330" s="32">
        <f t="shared" si="10"/>
        <v>1105</v>
      </c>
      <c r="F330" s="35">
        <f>E330/assumptions!$B$2</f>
        <v>13.475609756097562</v>
      </c>
      <c r="G330" s="36">
        <f t="shared" si="11"/>
        <v>449</v>
      </c>
      <c r="H330" s="18">
        <f>IF(NOT(D330="G"),'RW predict'!E329,0)</f>
        <v>13</v>
      </c>
      <c r="I330" s="18">
        <f>'RW predict'!Q329</f>
        <v>17</v>
      </c>
      <c r="J330" s="18">
        <f>'RW predict'!F329</f>
        <v>15</v>
      </c>
      <c r="K330" s="18"/>
      <c r="L330" s="18"/>
      <c r="M330" s="18">
        <f>'RW predict'!P329</f>
        <v>64</v>
      </c>
      <c r="N330" s="18"/>
      <c r="O330" s="18">
        <f>'RW predict'!H329</f>
        <v>-11</v>
      </c>
      <c r="P330" s="18">
        <f>'RW predict'!I329</f>
        <v>29</v>
      </c>
      <c r="Q330" s="18">
        <f>'RW predict'!L329</f>
        <v>1</v>
      </c>
      <c r="R330" s="18">
        <f>'RW predict'!N329</f>
        <v>0</v>
      </c>
      <c r="S330" s="76">
        <f>'RW predict'!O329</f>
        <v>0</v>
      </c>
      <c r="T330" s="76">
        <f>'RW predict'!K329</f>
        <v>2</v>
      </c>
      <c r="U330" s="22">
        <f>'RW predict'!J329</f>
        <v>140</v>
      </c>
      <c r="V330" s="32">
        <f>IF(D330="G",'RW predict'!E329,0)</f>
        <v>0</v>
      </c>
      <c r="W330" s="18">
        <f>'RW predict'!R329</f>
        <v>0</v>
      </c>
      <c r="X330" s="18">
        <f>'RW predict'!T329</f>
        <v>0</v>
      </c>
      <c r="Y330" s="18">
        <f>'RW predict'!Y329</f>
        <v>0</v>
      </c>
      <c r="Z330" s="18">
        <f>'RW predict'!U329</f>
        <v>0</v>
      </c>
      <c r="AA330" s="18">
        <f>'RW predict'!W329</f>
        <v>0</v>
      </c>
      <c r="AB330" s="17"/>
      <c r="AG330" s="23"/>
      <c r="AI330" s="17"/>
      <c r="AO330" s="23"/>
    </row>
    <row r="331" spans="1:41" x14ac:dyDescent="0.3">
      <c r="A331" s="18">
        <v>328</v>
      </c>
      <c r="B331" s="18" t="str">
        <f>'RW predict'!A330</f>
        <v>Vladislav Namestnikov</v>
      </c>
      <c r="C331" s="18" t="str">
        <f>'RW predict'!B330</f>
        <v>TB</v>
      </c>
      <c r="D331" s="22" t="str" cm="1">
        <f t="array" ref="D331">_xlfn.SWITCH('RW predict'!C330, "C", "F", "LW","F", "RW", "F", "D", "D", "G", "G", "other")</f>
        <v>F</v>
      </c>
      <c r="E331" s="32">
        <f t="shared" si="10"/>
        <v>1264</v>
      </c>
      <c r="F331" s="35">
        <f>E331/assumptions!$B$2</f>
        <v>15.414634146341463</v>
      </c>
      <c r="G331" s="36">
        <f t="shared" si="11"/>
        <v>381</v>
      </c>
      <c r="H331" s="18">
        <f>IF(NOT(D331="G"),'RW predict'!E330,0)</f>
        <v>15</v>
      </c>
      <c r="I331" s="18">
        <f>'RW predict'!Q330</f>
        <v>42</v>
      </c>
      <c r="J331" s="18">
        <f>'RW predict'!F330</f>
        <v>13</v>
      </c>
      <c r="K331" s="18"/>
      <c r="L331" s="18"/>
      <c r="M331" s="18">
        <f>'RW predict'!P330</f>
        <v>78</v>
      </c>
      <c r="N331" s="18"/>
      <c r="O331" s="18">
        <f>'RW predict'!H330</f>
        <v>2</v>
      </c>
      <c r="P331" s="18">
        <f>'RW predict'!I330</f>
        <v>44</v>
      </c>
      <c r="Q331" s="18">
        <f>'RW predict'!L330</f>
        <v>0</v>
      </c>
      <c r="R331" s="18">
        <f>'RW predict'!N330</f>
        <v>1</v>
      </c>
      <c r="S331" s="76">
        <f>'RW predict'!O330</f>
        <v>1</v>
      </c>
      <c r="T331" s="76">
        <f>'RW predict'!K330</f>
        <v>2</v>
      </c>
      <c r="U331" s="22">
        <f>'RW predict'!J330</f>
        <v>90</v>
      </c>
      <c r="V331" s="32">
        <f>IF(D331="G",'RW predict'!E330,0)</f>
        <v>0</v>
      </c>
      <c r="W331" s="18">
        <f>'RW predict'!R330</f>
        <v>0</v>
      </c>
      <c r="X331" s="18">
        <f>'RW predict'!T330</f>
        <v>0</v>
      </c>
      <c r="Y331" s="18">
        <f>'RW predict'!Y330</f>
        <v>0</v>
      </c>
      <c r="Z331" s="18">
        <f>'RW predict'!U330</f>
        <v>0</v>
      </c>
      <c r="AA331" s="18">
        <f>'RW predict'!W330</f>
        <v>0</v>
      </c>
      <c r="AB331" s="17"/>
      <c r="AG331" s="23"/>
      <c r="AI331" s="17"/>
      <c r="AO331" s="23"/>
    </row>
    <row r="332" spans="1:41" x14ac:dyDescent="0.3">
      <c r="A332" s="18">
        <v>329</v>
      </c>
      <c r="B332" s="18" t="str">
        <f>'RW predict'!A331</f>
        <v>Ryan Ellis</v>
      </c>
      <c r="C332" s="18" t="str">
        <f>'RW predict'!B331</f>
        <v>PHI</v>
      </c>
      <c r="D332" s="22" t="str" cm="1">
        <f t="array" ref="D332">_xlfn.SWITCH('RW predict'!C331, "C", "F", "LW","F", "RW", "F", "D", "D", "G", "G", "other")</f>
        <v>D</v>
      </c>
      <c r="E332" s="32">
        <f t="shared" si="10"/>
        <v>1232</v>
      </c>
      <c r="F332" s="35">
        <f>E332/assumptions!$B$2</f>
        <v>15.024390243902438</v>
      </c>
      <c r="G332" s="36">
        <f t="shared" si="11"/>
        <v>388</v>
      </c>
      <c r="H332" s="18">
        <f>IF(NOT(D332="G"),'RW predict'!E331,0)</f>
        <v>6</v>
      </c>
      <c r="I332" s="18">
        <f>'RW predict'!Q331</f>
        <v>91</v>
      </c>
      <c r="J332" s="18">
        <f>'RW predict'!F331</f>
        <v>22</v>
      </c>
      <c r="K332" s="18"/>
      <c r="L332" s="18"/>
      <c r="M332" s="18">
        <f>'RW predict'!P331</f>
        <v>38</v>
      </c>
      <c r="N332" s="18"/>
      <c r="O332" s="18">
        <f>'RW predict'!H331</f>
        <v>5</v>
      </c>
      <c r="P332" s="18">
        <f>'RW predict'!I331</f>
        <v>14</v>
      </c>
      <c r="Q332" s="18">
        <f>'RW predict'!L331</f>
        <v>0</v>
      </c>
      <c r="R332" s="18">
        <f>'RW predict'!N331</f>
        <v>0</v>
      </c>
      <c r="S332" s="76">
        <f>'RW predict'!O331</f>
        <v>1</v>
      </c>
      <c r="T332" s="76">
        <f>'RW predict'!K331</f>
        <v>1</v>
      </c>
      <c r="U332" s="22">
        <f>'RW predict'!J331</f>
        <v>95</v>
      </c>
      <c r="V332" s="32">
        <f>IF(D332="G",'RW predict'!E331,0)</f>
        <v>0</v>
      </c>
      <c r="W332" s="18">
        <f>'RW predict'!R331</f>
        <v>0</v>
      </c>
      <c r="X332" s="18">
        <f>'RW predict'!T331</f>
        <v>0</v>
      </c>
      <c r="Y332" s="18">
        <f>'RW predict'!Y331</f>
        <v>0</v>
      </c>
      <c r="Z332" s="18">
        <f>'RW predict'!U331</f>
        <v>0</v>
      </c>
      <c r="AA332" s="18">
        <f>'RW predict'!W331</f>
        <v>0</v>
      </c>
      <c r="AB332" s="17"/>
      <c r="AG332" s="23"/>
      <c r="AI332" s="17"/>
      <c r="AO332" s="23"/>
    </row>
    <row r="333" spans="1:41" x14ac:dyDescent="0.3">
      <c r="A333" s="18">
        <v>330</v>
      </c>
      <c r="B333" s="18" t="str">
        <f>'RW predict'!A332</f>
        <v>Alex Goligoski</v>
      </c>
      <c r="C333" s="18" t="str">
        <f>'RW predict'!B332</f>
        <v>MIN</v>
      </c>
      <c r="D333" s="22" t="str" cm="1">
        <f t="array" ref="D333">_xlfn.SWITCH('RW predict'!C332, "C", "F", "LW","F", "RW", "F", "D", "D", "G", "G", "other")</f>
        <v>D</v>
      </c>
      <c r="E333" s="32">
        <f t="shared" si="10"/>
        <v>1486</v>
      </c>
      <c r="F333" s="35">
        <f>E333/assumptions!$B$2</f>
        <v>18.121951219512194</v>
      </c>
      <c r="G333" s="36">
        <f t="shared" si="11"/>
        <v>296</v>
      </c>
      <c r="H333" s="18">
        <f>IF(NOT(D333="G"),'RW predict'!E332,0)</f>
        <v>3</v>
      </c>
      <c r="I333" s="18">
        <f>'RW predict'!Q332</f>
        <v>94</v>
      </c>
      <c r="J333" s="18">
        <f>'RW predict'!F332</f>
        <v>25</v>
      </c>
      <c r="K333" s="18"/>
      <c r="L333" s="18"/>
      <c r="M333" s="18">
        <f>'RW predict'!P332</f>
        <v>60</v>
      </c>
      <c r="N333" s="18"/>
      <c r="O333" s="18">
        <f>'RW predict'!H332</f>
        <v>28</v>
      </c>
      <c r="P333" s="18">
        <f>'RW predict'!I332</f>
        <v>30</v>
      </c>
      <c r="Q333" s="18">
        <f>'RW predict'!L332</f>
        <v>0</v>
      </c>
      <c r="R333" s="18">
        <f>'RW predict'!N332</f>
        <v>0</v>
      </c>
      <c r="S333" s="76">
        <f>'RW predict'!O332</f>
        <v>0</v>
      </c>
      <c r="T333" s="76">
        <f>'RW predict'!K332</f>
        <v>0</v>
      </c>
      <c r="U333" s="22">
        <f>'RW predict'!J332</f>
        <v>84</v>
      </c>
      <c r="V333" s="32">
        <f>IF(D333="G",'RW predict'!E332,0)</f>
        <v>0</v>
      </c>
      <c r="W333" s="18">
        <f>'RW predict'!R332</f>
        <v>0</v>
      </c>
      <c r="X333" s="18">
        <f>'RW predict'!T332</f>
        <v>0</v>
      </c>
      <c r="Y333" s="18">
        <f>'RW predict'!Y332</f>
        <v>0</v>
      </c>
      <c r="Z333" s="18">
        <f>'RW predict'!U332</f>
        <v>0</v>
      </c>
      <c r="AA333" s="18">
        <f>'RW predict'!W332</f>
        <v>0</v>
      </c>
      <c r="AB333" s="17"/>
      <c r="AG333" s="23"/>
      <c r="AI333" s="17"/>
      <c r="AO333" s="23"/>
    </row>
    <row r="334" spans="1:41" x14ac:dyDescent="0.3">
      <c r="A334" s="18">
        <v>331</v>
      </c>
      <c r="B334" s="18" t="str">
        <f>'RW predict'!A333</f>
        <v>Patric Hornqvist</v>
      </c>
      <c r="C334" s="18" t="str">
        <f>'RW predict'!B333</f>
        <v>FLA</v>
      </c>
      <c r="D334" s="22" t="str" cm="1">
        <f t="array" ref="D334">_xlfn.SWITCH('RW predict'!C333, "C", "F", "LW","F", "RW", "F", "D", "D", "G", "G", "other")</f>
        <v>F</v>
      </c>
      <c r="E334" s="32">
        <f t="shared" si="10"/>
        <v>1235</v>
      </c>
      <c r="F334" s="35">
        <f>E334/assumptions!$B$2</f>
        <v>15.060975609756097</v>
      </c>
      <c r="G334" s="36">
        <f t="shared" si="11"/>
        <v>387</v>
      </c>
      <c r="H334" s="18">
        <f>IF(NOT(D334="G"),'RW predict'!E333,0)</f>
        <v>10</v>
      </c>
      <c r="I334" s="18">
        <f>'RW predict'!Q333</f>
        <v>22</v>
      </c>
      <c r="J334" s="18">
        <f>'RW predict'!F333</f>
        <v>17</v>
      </c>
      <c r="K334" s="18"/>
      <c r="L334" s="18"/>
      <c r="M334" s="18">
        <f>'RW predict'!P333</f>
        <v>106</v>
      </c>
      <c r="N334" s="18"/>
      <c r="O334" s="18">
        <f>'RW predict'!H333</f>
        <v>-4</v>
      </c>
      <c r="P334" s="18">
        <f>'RW predict'!I333</f>
        <v>28</v>
      </c>
      <c r="Q334" s="18">
        <f>'RW predict'!L333</f>
        <v>3</v>
      </c>
      <c r="R334" s="18">
        <f>'RW predict'!N333</f>
        <v>0</v>
      </c>
      <c r="S334" s="76">
        <f>'RW predict'!O333</f>
        <v>0</v>
      </c>
      <c r="T334" s="76">
        <f>'RW predict'!K333</f>
        <v>1</v>
      </c>
      <c r="U334" s="22">
        <f>'RW predict'!J333</f>
        <v>158</v>
      </c>
      <c r="V334" s="32">
        <f>IF(D334="G",'RW predict'!E333,0)</f>
        <v>0</v>
      </c>
      <c r="W334" s="18">
        <f>'RW predict'!R333</f>
        <v>0</v>
      </c>
      <c r="X334" s="18">
        <f>'RW predict'!T333</f>
        <v>0</v>
      </c>
      <c r="Y334" s="18">
        <f>'RW predict'!Y333</f>
        <v>0</v>
      </c>
      <c r="Z334" s="18">
        <f>'RW predict'!U333</f>
        <v>0</v>
      </c>
      <c r="AA334" s="18">
        <f>'RW predict'!W333</f>
        <v>0</v>
      </c>
      <c r="AB334" s="17"/>
      <c r="AG334" s="23"/>
      <c r="AI334" s="17"/>
      <c r="AO334" s="23"/>
    </row>
    <row r="335" spans="1:41" x14ac:dyDescent="0.3">
      <c r="A335" s="18">
        <v>332</v>
      </c>
      <c r="B335" s="18" t="str">
        <f>'RW predict'!A334</f>
        <v>Nick Leddy</v>
      </c>
      <c r="C335" s="18" t="str">
        <f>'RW predict'!B334</f>
        <v>STL</v>
      </c>
      <c r="D335" s="22" t="str" cm="1">
        <f t="array" ref="D335">_xlfn.SWITCH('RW predict'!C334, "C", "F", "LW","F", "RW", "F", "D", "D", "G", "G", "other")</f>
        <v>D</v>
      </c>
      <c r="E335" s="32">
        <f t="shared" si="10"/>
        <v>1172</v>
      </c>
      <c r="F335" s="35">
        <f>E335/assumptions!$B$2</f>
        <v>14.292682926829269</v>
      </c>
      <c r="G335" s="36">
        <f t="shared" si="11"/>
        <v>413</v>
      </c>
      <c r="H335" s="18">
        <f>IF(NOT(D335="G"),'RW predict'!E334,0)</f>
        <v>3</v>
      </c>
      <c r="I335" s="18">
        <f>'RW predict'!Q334</f>
        <v>73</v>
      </c>
      <c r="J335" s="18">
        <f>'RW predict'!F334</f>
        <v>24</v>
      </c>
      <c r="K335" s="18"/>
      <c r="L335" s="18"/>
      <c r="M335" s="18">
        <f>'RW predict'!P334</f>
        <v>53</v>
      </c>
      <c r="N335" s="18"/>
      <c r="O335" s="18">
        <f>'RW predict'!H334</f>
        <v>7</v>
      </c>
      <c r="P335" s="18">
        <f>'RW predict'!I334</f>
        <v>22</v>
      </c>
      <c r="Q335" s="18">
        <f>'RW predict'!L334</f>
        <v>1</v>
      </c>
      <c r="R335" s="18">
        <f>'RW predict'!N334</f>
        <v>0</v>
      </c>
      <c r="S335" s="76">
        <f>'RW predict'!O334</f>
        <v>0</v>
      </c>
      <c r="T335" s="76">
        <f>'RW predict'!K334</f>
        <v>0</v>
      </c>
      <c r="U335" s="22">
        <f>'RW predict'!J334</f>
        <v>76</v>
      </c>
      <c r="V335" s="32">
        <f>IF(D335="G",'RW predict'!E334,0)</f>
        <v>0</v>
      </c>
      <c r="W335" s="18">
        <f>'RW predict'!R334</f>
        <v>0</v>
      </c>
      <c r="X335" s="18">
        <f>'RW predict'!T334</f>
        <v>0</v>
      </c>
      <c r="Y335" s="18">
        <f>'RW predict'!Y334</f>
        <v>0</v>
      </c>
      <c r="Z335" s="18">
        <f>'RW predict'!U334</f>
        <v>0</v>
      </c>
      <c r="AA335" s="18">
        <f>'RW predict'!W334</f>
        <v>0</v>
      </c>
      <c r="AB335" s="17"/>
      <c r="AG335" s="23"/>
      <c r="AI335" s="17"/>
      <c r="AO335" s="23"/>
    </row>
    <row r="336" spans="1:41" x14ac:dyDescent="0.3">
      <c r="A336" s="18">
        <v>333</v>
      </c>
      <c r="B336" s="18" t="str">
        <f>'RW predict'!A335</f>
        <v>T.J. Brodie</v>
      </c>
      <c r="C336" s="18" t="str">
        <f>'RW predict'!B335</f>
        <v>TOR</v>
      </c>
      <c r="D336" s="22" t="str" cm="1">
        <f t="array" ref="D336">_xlfn.SWITCH('RW predict'!C335, "C", "F", "LW","F", "RW", "F", "D", "D", "G", "G", "other")</f>
        <v>D</v>
      </c>
      <c r="E336" s="32">
        <f t="shared" si="10"/>
        <v>1380</v>
      </c>
      <c r="F336" s="35">
        <f>E336/assumptions!$B$2</f>
        <v>16.829268292682926</v>
      </c>
      <c r="G336" s="36">
        <f t="shared" si="11"/>
        <v>334</v>
      </c>
      <c r="H336" s="18">
        <f>IF(NOT(D336="G"),'RW predict'!E335,0)</f>
        <v>2</v>
      </c>
      <c r="I336" s="18">
        <f>'RW predict'!Q335</f>
        <v>104</v>
      </c>
      <c r="J336" s="18">
        <f>'RW predict'!F335</f>
        <v>25</v>
      </c>
      <c r="K336" s="18"/>
      <c r="L336" s="18"/>
      <c r="M336" s="18">
        <f>'RW predict'!P335</f>
        <v>49</v>
      </c>
      <c r="N336" s="18"/>
      <c r="O336" s="18">
        <f>'RW predict'!H335</f>
        <v>21</v>
      </c>
      <c r="P336" s="18">
        <f>'RW predict'!I335</f>
        <v>32</v>
      </c>
      <c r="Q336" s="18">
        <f>'RW predict'!L335</f>
        <v>0</v>
      </c>
      <c r="R336" s="18">
        <f>'RW predict'!N335</f>
        <v>0</v>
      </c>
      <c r="S336" s="76">
        <f>'RW predict'!O335</f>
        <v>1</v>
      </c>
      <c r="T336" s="76">
        <f>'RW predict'!K335</f>
        <v>0</v>
      </c>
      <c r="U336" s="22">
        <f>'RW predict'!J335</f>
        <v>66</v>
      </c>
      <c r="V336" s="32">
        <f>IF(D336="G",'RW predict'!E335,0)</f>
        <v>0</v>
      </c>
      <c r="W336" s="18">
        <f>'RW predict'!R335</f>
        <v>0</v>
      </c>
      <c r="X336" s="18">
        <f>'RW predict'!T335</f>
        <v>0</v>
      </c>
      <c r="Y336" s="18">
        <f>'RW predict'!Y335</f>
        <v>0</v>
      </c>
      <c r="Z336" s="18">
        <f>'RW predict'!U335</f>
        <v>0</v>
      </c>
      <c r="AA336" s="18">
        <f>'RW predict'!W335</f>
        <v>0</v>
      </c>
      <c r="AB336" s="17"/>
      <c r="AG336" s="23"/>
      <c r="AI336" s="17"/>
      <c r="AO336" s="23"/>
    </row>
    <row r="337" spans="1:41" x14ac:dyDescent="0.3">
      <c r="A337" s="18">
        <v>334</v>
      </c>
      <c r="B337" s="18" t="str">
        <f>'RW predict'!A336</f>
        <v>Danton Heinen</v>
      </c>
      <c r="C337" s="18" t="str">
        <f>'RW predict'!B336</f>
        <v>PIT</v>
      </c>
      <c r="D337" s="22" t="str" cm="1">
        <f t="array" ref="D337">_xlfn.SWITCH('RW predict'!C336, "C", "F", "LW","F", "RW", "F", "D", "D", "G", "G", "other")</f>
        <v>F</v>
      </c>
      <c r="E337" s="32">
        <f t="shared" si="10"/>
        <v>1179</v>
      </c>
      <c r="F337" s="35">
        <f>E337/assumptions!$B$2</f>
        <v>14.378048780487806</v>
      </c>
      <c r="G337" s="36">
        <f t="shared" si="11"/>
        <v>412</v>
      </c>
      <c r="H337" s="18">
        <f>IF(NOT(D337="G"),'RW predict'!E336,0)</f>
        <v>12</v>
      </c>
      <c r="I337" s="18">
        <f>'RW predict'!Q336</f>
        <v>35</v>
      </c>
      <c r="J337" s="18">
        <f>'RW predict'!F336</f>
        <v>15</v>
      </c>
      <c r="K337" s="18"/>
      <c r="L337" s="18"/>
      <c r="M337" s="18">
        <f>'RW predict'!P336</f>
        <v>61</v>
      </c>
      <c r="N337" s="18"/>
      <c r="O337" s="18">
        <f>'RW predict'!H336</f>
        <v>3</v>
      </c>
      <c r="P337" s="18">
        <f>'RW predict'!I336</f>
        <v>13</v>
      </c>
      <c r="Q337" s="18">
        <f>'RW predict'!L336</f>
        <v>2</v>
      </c>
      <c r="R337" s="18">
        <f>'RW predict'!N336</f>
        <v>0</v>
      </c>
      <c r="S337" s="76">
        <f>'RW predict'!O336</f>
        <v>0</v>
      </c>
      <c r="T337" s="76">
        <f>'RW predict'!K336</f>
        <v>1</v>
      </c>
      <c r="U337" s="22">
        <f>'RW predict'!J336</f>
        <v>132</v>
      </c>
      <c r="V337" s="32">
        <f>IF(D337="G",'RW predict'!E336,0)</f>
        <v>0</v>
      </c>
      <c r="W337" s="18">
        <f>'RW predict'!R336</f>
        <v>0</v>
      </c>
      <c r="X337" s="18">
        <f>'RW predict'!T336</f>
        <v>0</v>
      </c>
      <c r="Y337" s="18">
        <f>'RW predict'!Y336</f>
        <v>0</v>
      </c>
      <c r="Z337" s="18">
        <f>'RW predict'!U336</f>
        <v>0</v>
      </c>
      <c r="AA337" s="18">
        <f>'RW predict'!W336</f>
        <v>0</v>
      </c>
      <c r="AB337" s="17"/>
      <c r="AG337" s="23"/>
      <c r="AI337" s="17"/>
      <c r="AO337" s="23"/>
    </row>
    <row r="338" spans="1:41" x14ac:dyDescent="0.3">
      <c r="A338" s="18">
        <v>335</v>
      </c>
      <c r="B338" s="18" t="str">
        <f>'RW predict'!A337</f>
        <v>Oliver Kylington</v>
      </c>
      <c r="C338" s="18" t="str">
        <f>'RW predict'!B337</f>
        <v>CGY</v>
      </c>
      <c r="D338" s="22" t="str" cm="1">
        <f t="array" ref="D338">_xlfn.SWITCH('RW predict'!C337, "C", "F", "LW","F", "RW", "F", "D", "D", "G", "G", "other")</f>
        <v>D</v>
      </c>
      <c r="E338" s="32">
        <f t="shared" si="10"/>
        <v>1435</v>
      </c>
      <c r="F338" s="35">
        <f>E338/assumptions!$B$2</f>
        <v>17.5</v>
      </c>
      <c r="G338" s="36">
        <f t="shared" si="11"/>
        <v>316</v>
      </c>
      <c r="H338" s="18">
        <f>IF(NOT(D338="G"),'RW predict'!E337,0)</f>
        <v>7</v>
      </c>
      <c r="I338" s="18">
        <f>'RW predict'!Q337</f>
        <v>76</v>
      </c>
      <c r="J338" s="18">
        <f>'RW predict'!F337</f>
        <v>20</v>
      </c>
      <c r="K338" s="18"/>
      <c r="L338" s="18"/>
      <c r="M338" s="18">
        <f>'RW predict'!P337</f>
        <v>38</v>
      </c>
      <c r="N338" s="18"/>
      <c r="O338" s="18">
        <f>'RW predict'!H337</f>
        <v>23</v>
      </c>
      <c r="P338" s="18">
        <f>'RW predict'!I337</f>
        <v>14</v>
      </c>
      <c r="Q338" s="18">
        <f>'RW predict'!L337</f>
        <v>1</v>
      </c>
      <c r="R338" s="18">
        <f>'RW predict'!N337</f>
        <v>0</v>
      </c>
      <c r="S338" s="76">
        <f>'RW predict'!O337</f>
        <v>0</v>
      </c>
      <c r="T338" s="76">
        <f>'RW predict'!K337</f>
        <v>1</v>
      </c>
      <c r="U338" s="22">
        <f>'RW predict'!J337</f>
        <v>134</v>
      </c>
      <c r="V338" s="32">
        <f>IF(D338="G",'RW predict'!E337,0)</f>
        <v>0</v>
      </c>
      <c r="W338" s="18">
        <f>'RW predict'!R337</f>
        <v>0</v>
      </c>
      <c r="X338" s="18">
        <f>'RW predict'!T337</f>
        <v>0</v>
      </c>
      <c r="Y338" s="18">
        <f>'RW predict'!Y337</f>
        <v>0</v>
      </c>
      <c r="Z338" s="18">
        <f>'RW predict'!U337</f>
        <v>0</v>
      </c>
      <c r="AA338" s="18">
        <f>'RW predict'!W337</f>
        <v>0</v>
      </c>
      <c r="AB338" s="17"/>
      <c r="AG338" s="23"/>
      <c r="AI338" s="17"/>
      <c r="AO338" s="23"/>
    </row>
    <row r="339" spans="1:41" x14ac:dyDescent="0.3">
      <c r="A339" s="18">
        <v>336</v>
      </c>
      <c r="B339" s="18" t="str">
        <f>'RW predict'!A338</f>
        <v>Scott Laughton</v>
      </c>
      <c r="C339" s="18" t="str">
        <f>'RW predict'!B338</f>
        <v>PHI</v>
      </c>
      <c r="D339" s="22" t="str" cm="1">
        <f t="array" ref="D339">_xlfn.SWITCH('RW predict'!C338, "C", "F", "LW","F", "RW", "F", "D", "D", "G", "G", "other")</f>
        <v>F</v>
      </c>
      <c r="E339" s="32">
        <f t="shared" si="10"/>
        <v>1212</v>
      </c>
      <c r="F339" s="35">
        <f>E339/assumptions!$B$2</f>
        <v>14.780487804878049</v>
      </c>
      <c r="G339" s="36">
        <f t="shared" si="11"/>
        <v>395</v>
      </c>
      <c r="H339" s="18">
        <f>IF(NOT(D339="G"),'RW predict'!E338,0)</f>
        <v>10</v>
      </c>
      <c r="I339" s="18">
        <f>'RW predict'!Q338</f>
        <v>45</v>
      </c>
      <c r="J339" s="18">
        <f>'RW predict'!F338</f>
        <v>17</v>
      </c>
      <c r="K339" s="18"/>
      <c r="L339" s="18"/>
      <c r="M339" s="18">
        <f>'RW predict'!P338</f>
        <v>137</v>
      </c>
      <c r="N339" s="18"/>
      <c r="O339" s="18">
        <f>'RW predict'!H338</f>
        <v>-6</v>
      </c>
      <c r="P339" s="18">
        <f>'RW predict'!I338</f>
        <v>38</v>
      </c>
      <c r="Q339" s="18">
        <f>'RW predict'!L338</f>
        <v>0</v>
      </c>
      <c r="R339" s="18">
        <f>'RW predict'!N338</f>
        <v>1</v>
      </c>
      <c r="S339" s="76">
        <f>'RW predict'!O338</f>
        <v>1</v>
      </c>
      <c r="T339" s="76">
        <f>'RW predict'!K338</f>
        <v>1</v>
      </c>
      <c r="U339" s="22">
        <f>'RW predict'!J338</f>
        <v>103</v>
      </c>
      <c r="V339" s="32">
        <f>IF(D339="G",'RW predict'!E338,0)</f>
        <v>0</v>
      </c>
      <c r="W339" s="18">
        <f>'RW predict'!R338</f>
        <v>0</v>
      </c>
      <c r="X339" s="18">
        <f>'RW predict'!T338</f>
        <v>0</v>
      </c>
      <c r="Y339" s="18">
        <f>'RW predict'!Y338</f>
        <v>0</v>
      </c>
      <c r="Z339" s="18">
        <f>'RW predict'!U338</f>
        <v>0</v>
      </c>
      <c r="AA339" s="18">
        <f>'RW predict'!W338</f>
        <v>0</v>
      </c>
      <c r="AB339" s="17"/>
      <c r="AG339" s="23"/>
      <c r="AI339" s="17"/>
      <c r="AO339" s="23"/>
    </row>
    <row r="340" spans="1:41" x14ac:dyDescent="0.3">
      <c r="A340" s="18">
        <v>337</v>
      </c>
      <c r="B340" s="18" t="str">
        <f>'RW predict'!A339</f>
        <v>Isac Lundestrom</v>
      </c>
      <c r="C340" s="18" t="str">
        <f>'RW predict'!B339</f>
        <v>ANH</v>
      </c>
      <c r="D340" s="22" t="str" cm="1">
        <f t="array" ref="D340">_xlfn.SWITCH('RW predict'!C339, "C", "F", "LW","F", "RW", "F", "D", "D", "G", "G", "other")</f>
        <v>F</v>
      </c>
      <c r="E340" s="32">
        <f t="shared" si="10"/>
        <v>1050</v>
      </c>
      <c r="F340" s="35">
        <f>E340/assumptions!$B$2</f>
        <v>12.804878048780488</v>
      </c>
      <c r="G340" s="36">
        <f t="shared" si="11"/>
        <v>465</v>
      </c>
      <c r="H340" s="18">
        <f>IF(NOT(D340="G"),'RW predict'!E339,0)</f>
        <v>12</v>
      </c>
      <c r="I340" s="18">
        <f>'RW predict'!Q339</f>
        <v>51</v>
      </c>
      <c r="J340" s="18">
        <f>'RW predict'!F339</f>
        <v>15</v>
      </c>
      <c r="K340" s="18"/>
      <c r="L340" s="18"/>
      <c r="M340" s="18">
        <f>'RW predict'!P339</f>
        <v>37</v>
      </c>
      <c r="N340" s="18"/>
      <c r="O340" s="18">
        <f>'RW predict'!H339</f>
        <v>-4</v>
      </c>
      <c r="P340" s="18">
        <f>'RW predict'!I339</f>
        <v>8</v>
      </c>
      <c r="Q340" s="18">
        <f>'RW predict'!L339</f>
        <v>0</v>
      </c>
      <c r="R340" s="18">
        <f>'RW predict'!N339</f>
        <v>2</v>
      </c>
      <c r="S340" s="76">
        <f>'RW predict'!O339</f>
        <v>1</v>
      </c>
      <c r="T340" s="76">
        <f>'RW predict'!K339</f>
        <v>2</v>
      </c>
      <c r="U340" s="22">
        <f>'RW predict'!J339</f>
        <v>81</v>
      </c>
      <c r="V340" s="32">
        <f>IF(D340="G",'RW predict'!E339,0)</f>
        <v>0</v>
      </c>
      <c r="W340" s="18">
        <f>'RW predict'!R339</f>
        <v>0</v>
      </c>
      <c r="X340" s="18">
        <f>'RW predict'!T339</f>
        <v>0</v>
      </c>
      <c r="Y340" s="18">
        <f>'RW predict'!Y339</f>
        <v>0</v>
      </c>
      <c r="Z340" s="18">
        <f>'RW predict'!U339</f>
        <v>0</v>
      </c>
      <c r="AA340" s="18">
        <f>'RW predict'!W339</f>
        <v>0</v>
      </c>
      <c r="AB340" s="17"/>
      <c r="AG340" s="23"/>
      <c r="AI340" s="17"/>
      <c r="AO340" s="23"/>
    </row>
    <row r="341" spans="1:41" x14ac:dyDescent="0.3">
      <c r="A341" s="18">
        <v>338</v>
      </c>
      <c r="B341" s="18" t="str">
        <f>'RW predict'!A340</f>
        <v>Logan O'Connor</v>
      </c>
      <c r="C341" s="18" t="str">
        <f>'RW predict'!B340</f>
        <v>COL</v>
      </c>
      <c r="D341" s="22" t="str" cm="1">
        <f t="array" ref="D341">_xlfn.SWITCH('RW predict'!C340, "C", "F", "LW","F", "RW", "F", "D", "D", "G", "G", "other")</f>
        <v>F</v>
      </c>
      <c r="E341" s="32">
        <f t="shared" si="10"/>
        <v>1412</v>
      </c>
      <c r="F341" s="35">
        <f>E341/assumptions!$B$2</f>
        <v>17.219512195121951</v>
      </c>
      <c r="G341" s="36">
        <f t="shared" si="11"/>
        <v>326</v>
      </c>
      <c r="H341" s="18">
        <f>IF(NOT(D341="G"),'RW predict'!E340,0)</f>
        <v>11</v>
      </c>
      <c r="I341" s="18">
        <f>'RW predict'!Q340</f>
        <v>52</v>
      </c>
      <c r="J341" s="18">
        <f>'RW predict'!F340</f>
        <v>16</v>
      </c>
      <c r="K341" s="18"/>
      <c r="L341" s="18"/>
      <c r="M341" s="18">
        <f>'RW predict'!P340</f>
        <v>95</v>
      </c>
      <c r="N341" s="18"/>
      <c r="O341" s="18">
        <f>'RW predict'!H340</f>
        <v>10</v>
      </c>
      <c r="P341" s="18">
        <f>'RW predict'!I340</f>
        <v>34</v>
      </c>
      <c r="Q341" s="18">
        <f>'RW predict'!L340</f>
        <v>0</v>
      </c>
      <c r="R341" s="18">
        <f>'RW predict'!N340</f>
        <v>1</v>
      </c>
      <c r="S341" s="76">
        <f>'RW predict'!O340</f>
        <v>2</v>
      </c>
      <c r="T341" s="76">
        <f>'RW predict'!K340</f>
        <v>2</v>
      </c>
      <c r="U341" s="22">
        <f>'RW predict'!J340</f>
        <v>128</v>
      </c>
      <c r="V341" s="32">
        <f>IF(D341="G",'RW predict'!E340,0)</f>
        <v>0</v>
      </c>
      <c r="W341" s="18">
        <f>'RW predict'!R340</f>
        <v>0</v>
      </c>
      <c r="X341" s="18">
        <f>'RW predict'!T340</f>
        <v>0</v>
      </c>
      <c r="Y341" s="18">
        <f>'RW predict'!Y340</f>
        <v>0</v>
      </c>
      <c r="Z341" s="18">
        <f>'RW predict'!U340</f>
        <v>0</v>
      </c>
      <c r="AA341" s="18">
        <f>'RW predict'!W340</f>
        <v>0</v>
      </c>
      <c r="AB341" s="17"/>
      <c r="AG341" s="23"/>
      <c r="AI341" s="17"/>
      <c r="AO341" s="23"/>
    </row>
    <row r="342" spans="1:41" x14ac:dyDescent="0.3">
      <c r="A342" s="18">
        <v>339</v>
      </c>
      <c r="B342" s="18" t="str">
        <f>'RW predict'!A341</f>
        <v>John Marino</v>
      </c>
      <c r="C342" s="18" t="str">
        <f>'RW predict'!B341</f>
        <v>NJ</v>
      </c>
      <c r="D342" s="22" t="str" cm="1">
        <f t="array" ref="D342">_xlfn.SWITCH('RW predict'!C341, "C", "F", "LW","F", "RW", "F", "D", "D", "G", "G", "other")</f>
        <v>D</v>
      </c>
      <c r="E342" s="32">
        <f t="shared" si="10"/>
        <v>1119</v>
      </c>
      <c r="F342" s="35">
        <f>E342/assumptions!$B$2</f>
        <v>13.646341463414634</v>
      </c>
      <c r="G342" s="36">
        <f t="shared" si="11"/>
        <v>443</v>
      </c>
      <c r="H342" s="18">
        <f>IF(NOT(D342="G"),'RW predict'!E341,0)</f>
        <v>4</v>
      </c>
      <c r="I342" s="18">
        <f>'RW predict'!Q341</f>
        <v>86</v>
      </c>
      <c r="J342" s="18">
        <f>'RW predict'!F341</f>
        <v>23</v>
      </c>
      <c r="K342" s="18"/>
      <c r="L342" s="18"/>
      <c r="M342" s="18">
        <f>'RW predict'!P341</f>
        <v>74</v>
      </c>
      <c r="N342" s="18"/>
      <c r="O342" s="18">
        <f>'RW predict'!H341</f>
        <v>-6</v>
      </c>
      <c r="P342" s="18">
        <f>'RW predict'!I341</f>
        <v>20</v>
      </c>
      <c r="Q342" s="18">
        <f>'RW predict'!L341</f>
        <v>1</v>
      </c>
      <c r="R342" s="18">
        <f>'RW predict'!N341</f>
        <v>0</v>
      </c>
      <c r="S342" s="76">
        <f>'RW predict'!O341</f>
        <v>1</v>
      </c>
      <c r="T342" s="76">
        <f>'RW predict'!K341</f>
        <v>0</v>
      </c>
      <c r="U342" s="22">
        <f>'RW predict'!J341</f>
        <v>89</v>
      </c>
      <c r="V342" s="32">
        <f>IF(D342="G",'RW predict'!E341,0)</f>
        <v>0</v>
      </c>
      <c r="W342" s="18">
        <f>'RW predict'!R341</f>
        <v>0</v>
      </c>
      <c r="X342" s="18">
        <f>'RW predict'!T341</f>
        <v>0</v>
      </c>
      <c r="Y342" s="18">
        <f>'RW predict'!Y341</f>
        <v>0</v>
      </c>
      <c r="Z342" s="18">
        <f>'RW predict'!U341</f>
        <v>0</v>
      </c>
      <c r="AA342" s="18">
        <f>'RW predict'!W341</f>
        <v>0</v>
      </c>
      <c r="AB342" s="17"/>
      <c r="AG342" s="23"/>
      <c r="AI342" s="17"/>
      <c r="AO342" s="23"/>
    </row>
    <row r="343" spans="1:41" x14ac:dyDescent="0.3">
      <c r="A343" s="18">
        <v>340</v>
      </c>
      <c r="B343" s="18" t="str">
        <f>'RW predict'!A342</f>
        <v>Mason McTavish</v>
      </c>
      <c r="C343" s="18" t="str">
        <f>'RW predict'!B342</f>
        <v>ANH</v>
      </c>
      <c r="D343" s="22" t="str" cm="1">
        <f t="array" ref="D343">_xlfn.SWITCH('RW predict'!C342, "C", "F", "LW","F", "RW", "F", "D", "D", "G", "G", "other")</f>
        <v>F</v>
      </c>
      <c r="E343" s="32">
        <f t="shared" si="10"/>
        <v>1129</v>
      </c>
      <c r="F343" s="35">
        <f>E343/assumptions!$B$2</f>
        <v>13.768292682926829</v>
      </c>
      <c r="G343" s="36">
        <f t="shared" si="11"/>
        <v>432</v>
      </c>
      <c r="H343" s="18">
        <f>IF(NOT(D343="G"),'RW predict'!E342,0)</f>
        <v>11</v>
      </c>
      <c r="I343" s="18">
        <f>'RW predict'!Q342</f>
        <v>35</v>
      </c>
      <c r="J343" s="18">
        <f>'RW predict'!F342</f>
        <v>16</v>
      </c>
      <c r="K343" s="18"/>
      <c r="L343" s="18"/>
      <c r="M343" s="18">
        <f>'RW predict'!P342</f>
        <v>54</v>
      </c>
      <c r="N343" s="18"/>
      <c r="O343" s="18">
        <f>'RW predict'!H342</f>
        <v>5</v>
      </c>
      <c r="P343" s="18">
        <f>'RW predict'!I342</f>
        <v>18</v>
      </c>
      <c r="Q343" s="18">
        <f>'RW predict'!L342</f>
        <v>2</v>
      </c>
      <c r="R343" s="18">
        <f>'RW predict'!N342</f>
        <v>0</v>
      </c>
      <c r="S343" s="76">
        <f>'RW predict'!O342</f>
        <v>1</v>
      </c>
      <c r="T343" s="76">
        <f>'RW predict'!K342</f>
        <v>1</v>
      </c>
      <c r="U343" s="22">
        <f>'RW predict'!J342</f>
        <v>88</v>
      </c>
      <c r="V343" s="32">
        <f>IF(D343="G",'RW predict'!E342,0)</f>
        <v>0</v>
      </c>
      <c r="W343" s="18">
        <f>'RW predict'!R342</f>
        <v>0</v>
      </c>
      <c r="X343" s="18">
        <f>'RW predict'!T342</f>
        <v>0</v>
      </c>
      <c r="Y343" s="18">
        <f>'RW predict'!Y342</f>
        <v>0</v>
      </c>
      <c r="Z343" s="18">
        <f>'RW predict'!U342</f>
        <v>0</v>
      </c>
      <c r="AA343" s="18">
        <f>'RW predict'!W342</f>
        <v>0</v>
      </c>
      <c r="AB343" s="17"/>
      <c r="AG343" s="23"/>
      <c r="AI343" s="17"/>
      <c r="AO343" s="23"/>
    </row>
    <row r="344" spans="1:41" x14ac:dyDescent="0.3">
      <c r="A344" s="18">
        <v>341</v>
      </c>
      <c r="B344" s="18" t="str">
        <f>'RW predict'!A343</f>
        <v>Noah Cates</v>
      </c>
      <c r="C344" s="18" t="str">
        <f>'RW predict'!B343</f>
        <v>PHI</v>
      </c>
      <c r="D344" s="22" t="str" cm="1">
        <f t="array" ref="D344">_xlfn.SWITCH('RW predict'!C343, "C", "F", "LW","F", "RW", "F", "D", "D", "G", "G", "other")</f>
        <v>F</v>
      </c>
      <c r="E344" s="32">
        <f t="shared" si="10"/>
        <v>1123</v>
      </c>
      <c r="F344" s="35">
        <f>E344/assumptions!$B$2</f>
        <v>13.695121951219512</v>
      </c>
      <c r="G344" s="36">
        <f t="shared" si="11"/>
        <v>437</v>
      </c>
      <c r="H344" s="18">
        <f>IF(NOT(D344="G"),'RW predict'!E343,0)</f>
        <v>14</v>
      </c>
      <c r="I344" s="18">
        <f>'RW predict'!Q343</f>
        <v>21</v>
      </c>
      <c r="J344" s="18">
        <f>'RW predict'!F343</f>
        <v>13</v>
      </c>
      <c r="K344" s="18"/>
      <c r="L344" s="18"/>
      <c r="M344" s="18">
        <f>'RW predict'!P343</f>
        <v>72</v>
      </c>
      <c r="N344" s="18"/>
      <c r="O344" s="18">
        <f>'RW predict'!H343</f>
        <v>5</v>
      </c>
      <c r="P344" s="18">
        <f>'RW predict'!I343</f>
        <v>16</v>
      </c>
      <c r="Q344" s="18">
        <f>'RW predict'!L343</f>
        <v>1</v>
      </c>
      <c r="R344" s="18">
        <f>'RW predict'!N343</f>
        <v>0</v>
      </c>
      <c r="S344" s="76">
        <f>'RW predict'!O343</f>
        <v>0</v>
      </c>
      <c r="T344" s="76">
        <f>'RW predict'!K343</f>
        <v>2</v>
      </c>
      <c r="U344" s="22">
        <f>'RW predict'!J343</f>
        <v>93</v>
      </c>
      <c r="V344" s="32">
        <f>IF(D344="G",'RW predict'!E343,0)</f>
        <v>0</v>
      </c>
      <c r="W344" s="18">
        <f>'RW predict'!R343</f>
        <v>0</v>
      </c>
      <c r="X344" s="18">
        <f>'RW predict'!T343</f>
        <v>0</v>
      </c>
      <c r="Y344" s="18">
        <f>'RW predict'!Y343</f>
        <v>0</v>
      </c>
      <c r="Z344" s="18">
        <f>'RW predict'!U343</f>
        <v>0</v>
      </c>
      <c r="AA344" s="18">
        <f>'RW predict'!W343</f>
        <v>0</v>
      </c>
      <c r="AB344" s="17"/>
      <c r="AG344" s="23"/>
      <c r="AI344" s="17"/>
      <c r="AO344" s="23"/>
    </row>
    <row r="345" spans="1:41" x14ac:dyDescent="0.3">
      <c r="A345" s="18">
        <v>342</v>
      </c>
      <c r="B345" s="18" t="str">
        <f>'RW predict'!A344</f>
        <v>Eeli Tolvanen</v>
      </c>
      <c r="C345" s="18" t="str">
        <f>'RW predict'!B344</f>
        <v>NSH</v>
      </c>
      <c r="D345" s="22" t="str" cm="1">
        <f t="array" ref="D345">_xlfn.SWITCH('RW predict'!C344, "C", "F", "LW","F", "RW", "F", "D", "D", "G", "G", "other")</f>
        <v>F</v>
      </c>
      <c r="E345" s="32">
        <f t="shared" si="10"/>
        <v>1320</v>
      </c>
      <c r="F345" s="35">
        <f>E345/assumptions!$B$2</f>
        <v>16.097560975609756</v>
      </c>
      <c r="G345" s="36">
        <f t="shared" si="11"/>
        <v>358</v>
      </c>
      <c r="H345" s="18">
        <f>IF(NOT(D345="G"),'RW predict'!E344,0)</f>
        <v>13</v>
      </c>
      <c r="I345" s="18">
        <f>'RW predict'!Q344</f>
        <v>43</v>
      </c>
      <c r="J345" s="18">
        <f>'RW predict'!F344</f>
        <v>14</v>
      </c>
      <c r="K345" s="18"/>
      <c r="L345" s="18"/>
      <c r="M345" s="18">
        <f>'RW predict'!P344</f>
        <v>181</v>
      </c>
      <c r="N345" s="18"/>
      <c r="O345" s="18">
        <f>'RW predict'!H344</f>
        <v>-6</v>
      </c>
      <c r="P345" s="18">
        <f>'RW predict'!I344</f>
        <v>14</v>
      </c>
      <c r="Q345" s="18">
        <f>'RW predict'!L344</f>
        <v>3</v>
      </c>
      <c r="R345" s="18">
        <f>'RW predict'!N344</f>
        <v>0</v>
      </c>
      <c r="S345" s="76">
        <f>'RW predict'!O344</f>
        <v>0</v>
      </c>
      <c r="T345" s="76">
        <f>'RW predict'!K344</f>
        <v>3</v>
      </c>
      <c r="U345" s="22">
        <f>'RW predict'!J344</f>
        <v>153</v>
      </c>
      <c r="V345" s="32">
        <f>IF(D345="G",'RW predict'!E344,0)</f>
        <v>0</v>
      </c>
      <c r="W345" s="18">
        <f>'RW predict'!R344</f>
        <v>0</v>
      </c>
      <c r="X345" s="18">
        <f>'RW predict'!T344</f>
        <v>0</v>
      </c>
      <c r="Y345" s="18">
        <f>'RW predict'!Y344</f>
        <v>0</v>
      </c>
      <c r="Z345" s="18">
        <f>'RW predict'!U344</f>
        <v>0</v>
      </c>
      <c r="AA345" s="18">
        <f>'RW predict'!W344</f>
        <v>0</v>
      </c>
      <c r="AB345" s="17"/>
      <c r="AG345" s="23"/>
      <c r="AI345" s="17"/>
      <c r="AO345" s="23"/>
    </row>
    <row r="346" spans="1:41" x14ac:dyDescent="0.3">
      <c r="A346" s="18">
        <v>343</v>
      </c>
      <c r="B346" s="18" t="str">
        <f>'RW predict'!A345</f>
        <v>Filip Zadina</v>
      </c>
      <c r="C346" s="18" t="str">
        <f>'RW predict'!B345</f>
        <v>DET</v>
      </c>
      <c r="D346" s="22" t="str" cm="1">
        <f t="array" ref="D346">_xlfn.SWITCH('RW predict'!C345, "C", "F", "LW","F", "RW", "F", "D", "D", "G", "G", "other")</f>
        <v>F</v>
      </c>
      <c r="E346" s="32">
        <f t="shared" si="10"/>
        <v>993</v>
      </c>
      <c r="F346" s="35">
        <f>E346/assumptions!$B$2</f>
        <v>12.109756097560975</v>
      </c>
      <c r="G346" s="36">
        <f t="shared" si="11"/>
        <v>490</v>
      </c>
      <c r="H346" s="18">
        <f>IF(NOT(D346="G"),'RW predict'!E345,0)</f>
        <v>11</v>
      </c>
      <c r="I346" s="18">
        <f>'RW predict'!Q345</f>
        <v>33</v>
      </c>
      <c r="J346" s="18">
        <f>'RW predict'!F345</f>
        <v>16</v>
      </c>
      <c r="K346" s="18"/>
      <c r="L346" s="18"/>
      <c r="M346" s="18">
        <f>'RW predict'!P345</f>
        <v>52</v>
      </c>
      <c r="N346" s="18"/>
      <c r="O346" s="18">
        <f>'RW predict'!H345</f>
        <v>-18</v>
      </c>
      <c r="P346" s="18">
        <f>'RW predict'!I345</f>
        <v>8</v>
      </c>
      <c r="Q346" s="18">
        <f>'RW predict'!L345</f>
        <v>3</v>
      </c>
      <c r="R346" s="18">
        <f>'RW predict'!N345</f>
        <v>0</v>
      </c>
      <c r="S346" s="76">
        <f>'RW predict'!O345</f>
        <v>0</v>
      </c>
      <c r="T346" s="76">
        <f>'RW predict'!K345</f>
        <v>1</v>
      </c>
      <c r="U346" s="22">
        <f>'RW predict'!J345</f>
        <v>153</v>
      </c>
      <c r="V346" s="32">
        <f>IF(D346="G",'RW predict'!E345,0)</f>
        <v>0</v>
      </c>
      <c r="W346" s="18">
        <f>'RW predict'!R345</f>
        <v>0</v>
      </c>
      <c r="X346" s="18">
        <f>'RW predict'!T345</f>
        <v>0</v>
      </c>
      <c r="Y346" s="18">
        <f>'RW predict'!Y345</f>
        <v>0</v>
      </c>
      <c r="Z346" s="18">
        <f>'RW predict'!U345</f>
        <v>0</v>
      </c>
      <c r="AA346" s="18">
        <f>'RW predict'!W345</f>
        <v>0</v>
      </c>
      <c r="AB346" s="17"/>
      <c r="AG346" s="23"/>
      <c r="AI346" s="17"/>
      <c r="AO346" s="23"/>
    </row>
    <row r="347" spans="1:41" x14ac:dyDescent="0.3">
      <c r="A347" s="18">
        <v>344</v>
      </c>
      <c r="B347" s="18" t="str">
        <f>'RW predict'!A346</f>
        <v>Rasmus Asplund</v>
      </c>
      <c r="C347" s="18" t="str">
        <f>'RW predict'!B346</f>
        <v>BUF</v>
      </c>
      <c r="D347" s="22" t="str" cm="1">
        <f t="array" ref="D347">_xlfn.SWITCH('RW predict'!C346, "C", "F", "LW","F", "RW", "F", "D", "D", "G", "G", "other")</f>
        <v>F</v>
      </c>
      <c r="E347" s="32">
        <f t="shared" si="10"/>
        <v>1008</v>
      </c>
      <c r="F347" s="35">
        <f>E347/assumptions!$B$2</f>
        <v>12.292682926829269</v>
      </c>
      <c r="G347" s="36">
        <f t="shared" si="11"/>
        <v>482</v>
      </c>
      <c r="H347" s="18">
        <f>IF(NOT(D347="G"),'RW predict'!E346,0)</f>
        <v>9</v>
      </c>
      <c r="I347" s="18">
        <f>'RW predict'!Q346</f>
        <v>13</v>
      </c>
      <c r="J347" s="18">
        <f>'RW predict'!F346</f>
        <v>18</v>
      </c>
      <c r="K347" s="18"/>
      <c r="L347" s="18"/>
      <c r="M347" s="18">
        <f>'RW predict'!P346</f>
        <v>28</v>
      </c>
      <c r="N347" s="18"/>
      <c r="O347" s="18">
        <f>'RW predict'!H346</f>
        <v>-7</v>
      </c>
      <c r="P347" s="18">
        <f>'RW predict'!I346</f>
        <v>9</v>
      </c>
      <c r="Q347" s="18">
        <f>'RW predict'!L346</f>
        <v>1</v>
      </c>
      <c r="R347" s="18">
        <f>'RW predict'!N346</f>
        <v>2</v>
      </c>
      <c r="S347" s="76">
        <f>'RW predict'!O346</f>
        <v>0</v>
      </c>
      <c r="T347" s="76">
        <f>'RW predict'!K346</f>
        <v>1</v>
      </c>
      <c r="U347" s="22">
        <f>'RW predict'!J346</f>
        <v>126</v>
      </c>
      <c r="V347" s="32">
        <f>IF(D347="G",'RW predict'!E346,0)</f>
        <v>0</v>
      </c>
      <c r="W347" s="18">
        <f>'RW predict'!R346</f>
        <v>0</v>
      </c>
      <c r="X347" s="18">
        <f>'RW predict'!T346</f>
        <v>0</v>
      </c>
      <c r="Y347" s="18">
        <f>'RW predict'!Y346</f>
        <v>0</v>
      </c>
      <c r="Z347" s="18">
        <f>'RW predict'!U346</f>
        <v>0</v>
      </c>
      <c r="AA347" s="18">
        <f>'RW predict'!W346</f>
        <v>0</v>
      </c>
      <c r="AB347" s="17"/>
      <c r="AG347" s="23"/>
      <c r="AI347" s="17"/>
      <c r="AO347" s="23"/>
    </row>
    <row r="348" spans="1:41" x14ac:dyDescent="0.3">
      <c r="A348" s="18">
        <v>345</v>
      </c>
      <c r="B348" s="18" t="str">
        <f>'RW predict'!A347</f>
        <v>Jake Bean</v>
      </c>
      <c r="C348" s="18" t="str">
        <f>'RW predict'!B347</f>
        <v>CLS</v>
      </c>
      <c r="D348" s="22" t="str" cm="1">
        <f t="array" ref="D348">_xlfn.SWITCH('RW predict'!C347, "C", "F", "LW","F", "RW", "F", "D", "D", "G", "G", "other")</f>
        <v>D</v>
      </c>
      <c r="E348" s="32">
        <f t="shared" si="10"/>
        <v>1123</v>
      </c>
      <c r="F348" s="35">
        <f>E348/assumptions!$B$2</f>
        <v>13.695121951219512</v>
      </c>
      <c r="G348" s="36">
        <f t="shared" si="11"/>
        <v>437</v>
      </c>
      <c r="H348" s="18">
        <f>IF(NOT(D348="G"),'RW predict'!E347,0)</f>
        <v>6</v>
      </c>
      <c r="I348" s="18">
        <f>'RW predict'!Q347</f>
        <v>74</v>
      </c>
      <c r="J348" s="18">
        <f>'RW predict'!F347</f>
        <v>20</v>
      </c>
      <c r="K348" s="18"/>
      <c r="L348" s="18"/>
      <c r="M348" s="18">
        <f>'RW predict'!P347</f>
        <v>43</v>
      </c>
      <c r="N348" s="18"/>
      <c r="O348" s="18">
        <f>'RW predict'!H347</f>
        <v>-1</v>
      </c>
      <c r="P348" s="18">
        <f>'RW predict'!I347</f>
        <v>24</v>
      </c>
      <c r="Q348" s="18">
        <f>'RW predict'!L347</f>
        <v>0</v>
      </c>
      <c r="R348" s="18">
        <f>'RW predict'!N347</f>
        <v>0</v>
      </c>
      <c r="S348" s="76">
        <f>'RW predict'!O347</f>
        <v>1</v>
      </c>
      <c r="T348" s="76">
        <f>'RW predict'!K347</f>
        <v>1</v>
      </c>
      <c r="U348" s="22">
        <f>'RW predict'!J347</f>
        <v>95</v>
      </c>
      <c r="V348" s="32">
        <f>IF(D348="G",'RW predict'!E347,0)</f>
        <v>0</v>
      </c>
      <c r="W348" s="18">
        <f>'RW predict'!R347</f>
        <v>0</v>
      </c>
      <c r="X348" s="18">
        <f>'RW predict'!T347</f>
        <v>0</v>
      </c>
      <c r="Y348" s="18">
        <f>'RW predict'!Y347</f>
        <v>0</v>
      </c>
      <c r="Z348" s="18">
        <f>'RW predict'!U347</f>
        <v>0</v>
      </c>
      <c r="AA348" s="18">
        <f>'RW predict'!W347</f>
        <v>0</v>
      </c>
      <c r="AB348" s="17"/>
      <c r="AG348" s="23"/>
      <c r="AI348" s="17"/>
      <c r="AO348" s="23"/>
    </row>
    <row r="349" spans="1:41" x14ac:dyDescent="0.3">
      <c r="A349" s="18">
        <v>346</v>
      </c>
      <c r="B349" s="18" t="str">
        <f>'RW predict'!A348</f>
        <v>Filip Chytil</v>
      </c>
      <c r="C349" s="18" t="str">
        <f>'RW predict'!B348</f>
        <v>NYR</v>
      </c>
      <c r="D349" s="22" t="str" cm="1">
        <f t="array" ref="D349">_xlfn.SWITCH('RW predict'!C348, "C", "F", "LW","F", "RW", "F", "D", "D", "G", "G", "other")</f>
        <v>F</v>
      </c>
      <c r="E349" s="32">
        <f t="shared" si="10"/>
        <v>1121</v>
      </c>
      <c r="F349" s="35">
        <f>E349/assumptions!$B$2</f>
        <v>13.670731707317072</v>
      </c>
      <c r="G349" s="36">
        <f t="shared" si="11"/>
        <v>440</v>
      </c>
      <c r="H349" s="18">
        <f>IF(NOT(D349="G"),'RW predict'!E348,0)</f>
        <v>10</v>
      </c>
      <c r="I349" s="18">
        <f>'RW predict'!Q348</f>
        <v>29</v>
      </c>
      <c r="J349" s="18">
        <f>'RW predict'!F348</f>
        <v>16</v>
      </c>
      <c r="K349" s="18"/>
      <c r="L349" s="18"/>
      <c r="M349" s="18">
        <f>'RW predict'!P348</f>
        <v>23</v>
      </c>
      <c r="N349" s="18"/>
      <c r="O349" s="18">
        <f>'RW predict'!H348</f>
        <v>2</v>
      </c>
      <c r="P349" s="18">
        <f>'RW predict'!I348</f>
        <v>14</v>
      </c>
      <c r="Q349" s="18">
        <f>'RW predict'!L348</f>
        <v>1</v>
      </c>
      <c r="R349" s="18">
        <f>'RW predict'!N348</f>
        <v>0</v>
      </c>
      <c r="S349" s="76">
        <f>'RW predict'!O348</f>
        <v>0</v>
      </c>
      <c r="T349" s="76">
        <f>'RW predict'!K348</f>
        <v>2</v>
      </c>
      <c r="U349" s="22">
        <f>'RW predict'!J348</f>
        <v>139</v>
      </c>
      <c r="V349" s="32">
        <f>IF(D349="G",'RW predict'!E348,0)</f>
        <v>0</v>
      </c>
      <c r="W349" s="18">
        <f>'RW predict'!R348</f>
        <v>0</v>
      </c>
      <c r="X349" s="18">
        <f>'RW predict'!T348</f>
        <v>0</v>
      </c>
      <c r="Y349" s="18">
        <f>'RW predict'!Y348</f>
        <v>0</v>
      </c>
      <c r="Z349" s="18">
        <f>'RW predict'!U348</f>
        <v>0</v>
      </c>
      <c r="AA349" s="18">
        <f>'RW predict'!W348</f>
        <v>0</v>
      </c>
      <c r="AB349" s="17"/>
      <c r="AG349" s="23"/>
      <c r="AI349" s="17"/>
      <c r="AO349" s="23"/>
    </row>
    <row r="350" spans="1:41" x14ac:dyDescent="0.3">
      <c r="A350" s="18">
        <v>347</v>
      </c>
      <c r="B350" s="18" t="str">
        <f>'RW predict'!A349</f>
        <v>Owen Tippett</v>
      </c>
      <c r="C350" s="18" t="str">
        <f>'RW predict'!B349</f>
        <v>PHI</v>
      </c>
      <c r="D350" s="22" t="str" cm="1">
        <f t="array" ref="D350">_xlfn.SWITCH('RW predict'!C349, "C", "F", "LW","F", "RW", "F", "D", "D", "G", "G", "other")</f>
        <v>F</v>
      </c>
      <c r="E350" s="32">
        <f t="shared" si="10"/>
        <v>1129</v>
      </c>
      <c r="F350" s="35">
        <f>E350/assumptions!$B$2</f>
        <v>13.768292682926829</v>
      </c>
      <c r="G350" s="36">
        <f t="shared" si="11"/>
        <v>432</v>
      </c>
      <c r="H350" s="18">
        <f>IF(NOT(D350="G"),'RW predict'!E349,0)</f>
        <v>13</v>
      </c>
      <c r="I350" s="18">
        <f>'RW predict'!Q349</f>
        <v>17</v>
      </c>
      <c r="J350" s="18">
        <f>'RW predict'!F349</f>
        <v>13</v>
      </c>
      <c r="K350" s="18"/>
      <c r="L350" s="18"/>
      <c r="M350" s="18">
        <f>'RW predict'!P349</f>
        <v>111</v>
      </c>
      <c r="N350" s="18"/>
      <c r="O350" s="18">
        <f>'RW predict'!H349</f>
        <v>-3</v>
      </c>
      <c r="P350" s="18">
        <f>'RW predict'!I349</f>
        <v>12</v>
      </c>
      <c r="Q350" s="18">
        <f>'RW predict'!L349</f>
        <v>2</v>
      </c>
      <c r="R350" s="18">
        <f>'RW predict'!N349</f>
        <v>0</v>
      </c>
      <c r="S350" s="76">
        <f>'RW predict'!O349</f>
        <v>0</v>
      </c>
      <c r="T350" s="76">
        <f>'RW predict'!K349</f>
        <v>1</v>
      </c>
      <c r="U350" s="22">
        <f>'RW predict'!J349</f>
        <v>144</v>
      </c>
      <c r="V350" s="32">
        <f>IF(D350="G",'RW predict'!E349,0)</f>
        <v>0</v>
      </c>
      <c r="W350" s="18">
        <f>'RW predict'!R349</f>
        <v>0</v>
      </c>
      <c r="X350" s="18">
        <f>'RW predict'!T349</f>
        <v>0</v>
      </c>
      <c r="Y350" s="18">
        <f>'RW predict'!Y349</f>
        <v>0</v>
      </c>
      <c r="Z350" s="18">
        <f>'RW predict'!U349</f>
        <v>0</v>
      </c>
      <c r="AA350" s="18">
        <f>'RW predict'!W349</f>
        <v>0</v>
      </c>
      <c r="AB350" s="17"/>
      <c r="AG350" s="23"/>
      <c r="AI350" s="17"/>
      <c r="AO350" s="23"/>
    </row>
    <row r="351" spans="1:41" x14ac:dyDescent="0.3">
      <c r="A351" s="18">
        <v>348</v>
      </c>
      <c r="B351" s="18" t="str">
        <f>'RW predict'!A350</f>
        <v>Max Comtois</v>
      </c>
      <c r="C351" s="18" t="str">
        <f>'RW predict'!B350</f>
        <v>ANH</v>
      </c>
      <c r="D351" s="22" t="str" cm="1">
        <f t="array" ref="D351">_xlfn.SWITCH('RW predict'!C350, "C", "F", "LW","F", "RW", "F", "D", "D", "G", "G", "other")</f>
        <v>F</v>
      </c>
      <c r="E351" s="32">
        <f t="shared" si="10"/>
        <v>1018</v>
      </c>
      <c r="F351" s="35">
        <f>E351/assumptions!$B$2</f>
        <v>12.414634146341463</v>
      </c>
      <c r="G351" s="36">
        <f t="shared" si="11"/>
        <v>480</v>
      </c>
      <c r="H351" s="18">
        <f>IF(NOT(D351="G"),'RW predict'!E350,0)</f>
        <v>11</v>
      </c>
      <c r="I351" s="18">
        <f>'RW predict'!Q350</f>
        <v>26</v>
      </c>
      <c r="J351" s="18">
        <f>'RW predict'!F350</f>
        <v>15</v>
      </c>
      <c r="K351" s="18"/>
      <c r="L351" s="18"/>
      <c r="M351" s="18">
        <f>'RW predict'!P350</f>
        <v>134</v>
      </c>
      <c r="N351" s="18"/>
      <c r="O351" s="18">
        <f>'RW predict'!H350</f>
        <v>-15</v>
      </c>
      <c r="P351" s="18">
        <f>'RW predict'!I350</f>
        <v>50</v>
      </c>
      <c r="Q351" s="18">
        <f>'RW predict'!L350</f>
        <v>0</v>
      </c>
      <c r="R351" s="18">
        <f>'RW predict'!N350</f>
        <v>0</v>
      </c>
      <c r="S351" s="76">
        <f>'RW predict'!O350</f>
        <v>0</v>
      </c>
      <c r="T351" s="76">
        <f>'RW predict'!K350</f>
        <v>1</v>
      </c>
      <c r="U351" s="22">
        <f>'RW predict'!J350</f>
        <v>81</v>
      </c>
      <c r="V351" s="32">
        <f>IF(D351="G",'RW predict'!E350,0)</f>
        <v>0</v>
      </c>
      <c r="W351" s="18">
        <f>'RW predict'!R350</f>
        <v>0</v>
      </c>
      <c r="X351" s="18">
        <f>'RW predict'!T350</f>
        <v>0</v>
      </c>
      <c r="Y351" s="18">
        <f>'RW predict'!Y350</f>
        <v>0</v>
      </c>
      <c r="Z351" s="18">
        <f>'RW predict'!U350</f>
        <v>0</v>
      </c>
      <c r="AA351" s="18">
        <f>'RW predict'!W350</f>
        <v>0</v>
      </c>
      <c r="AB351" s="17"/>
      <c r="AG351" s="23"/>
      <c r="AI351" s="17"/>
      <c r="AO351" s="23"/>
    </row>
    <row r="352" spans="1:41" x14ac:dyDescent="0.3">
      <c r="A352" s="18">
        <v>349</v>
      </c>
      <c r="B352" s="18" t="str">
        <f>'RW predict'!A351</f>
        <v>Oliver Wahlstrom</v>
      </c>
      <c r="C352" s="18" t="str">
        <f>'RW predict'!B351</f>
        <v>NYI</v>
      </c>
      <c r="D352" s="22" t="str" cm="1">
        <f t="array" ref="D352">_xlfn.SWITCH('RW predict'!C351, "C", "F", "LW","F", "RW", "F", "D", "D", "G", "G", "other")</f>
        <v>F</v>
      </c>
      <c r="E352" s="32">
        <f t="shared" si="10"/>
        <v>1331</v>
      </c>
      <c r="F352" s="35">
        <f>E352/assumptions!$B$2</f>
        <v>16.23170731707317</v>
      </c>
      <c r="G352" s="36">
        <f t="shared" si="11"/>
        <v>352</v>
      </c>
      <c r="H352" s="18">
        <f>IF(NOT(D352="G"),'RW predict'!E351,0)</f>
        <v>14</v>
      </c>
      <c r="I352" s="18">
        <f>'RW predict'!Q351</f>
        <v>19</v>
      </c>
      <c r="J352" s="18">
        <f>'RW predict'!F351</f>
        <v>12</v>
      </c>
      <c r="K352" s="18"/>
      <c r="L352" s="18"/>
      <c r="M352" s="18">
        <f>'RW predict'!P351</f>
        <v>107</v>
      </c>
      <c r="N352" s="18"/>
      <c r="O352" s="18">
        <f>'RW predict'!H351</f>
        <v>-8</v>
      </c>
      <c r="P352" s="18">
        <f>'RW predict'!I351</f>
        <v>66</v>
      </c>
      <c r="Q352" s="18">
        <f>'RW predict'!L351</f>
        <v>6</v>
      </c>
      <c r="R352" s="18">
        <f>'RW predict'!N351</f>
        <v>0</v>
      </c>
      <c r="S352" s="76">
        <f>'RW predict'!O351</f>
        <v>0</v>
      </c>
      <c r="T352" s="76">
        <f>'RW predict'!K351</f>
        <v>2</v>
      </c>
      <c r="U352" s="22">
        <f>'RW predict'!J351</f>
        <v>159</v>
      </c>
      <c r="V352" s="32">
        <f>IF(D352="G",'RW predict'!E351,0)</f>
        <v>0</v>
      </c>
      <c r="W352" s="18">
        <f>'RW predict'!R351</f>
        <v>0</v>
      </c>
      <c r="X352" s="18">
        <f>'RW predict'!T351</f>
        <v>0</v>
      </c>
      <c r="Y352" s="18">
        <f>'RW predict'!Y351</f>
        <v>0</v>
      </c>
      <c r="Z352" s="18">
        <f>'RW predict'!U351</f>
        <v>0</v>
      </c>
      <c r="AA352" s="18">
        <f>'RW predict'!W351</f>
        <v>0</v>
      </c>
      <c r="AB352" s="17"/>
      <c r="AG352" s="23"/>
      <c r="AI352" s="17"/>
      <c r="AO352" s="23"/>
    </row>
    <row r="353" spans="1:41" x14ac:dyDescent="0.3">
      <c r="A353" s="18">
        <v>350</v>
      </c>
      <c r="B353" s="18" t="str">
        <f>'RW predict'!A352</f>
        <v>Kaapo Kakko</v>
      </c>
      <c r="C353" s="18" t="str">
        <f>'RW predict'!B352</f>
        <v>NYR</v>
      </c>
      <c r="D353" s="22" t="str" cm="1">
        <f t="array" ref="D353">_xlfn.SWITCH('RW predict'!C352, "C", "F", "LW","F", "RW", "F", "D", "D", "G", "G", "other")</f>
        <v>F</v>
      </c>
      <c r="E353" s="32">
        <f t="shared" si="10"/>
        <v>1089</v>
      </c>
      <c r="F353" s="35">
        <f>E353/assumptions!$B$2</f>
        <v>13.280487804878049</v>
      </c>
      <c r="G353" s="36">
        <f t="shared" si="11"/>
        <v>456</v>
      </c>
      <c r="H353" s="18">
        <f>IF(NOT(D353="G"),'RW predict'!E352,0)</f>
        <v>11</v>
      </c>
      <c r="I353" s="18">
        <f>'RW predict'!Q352</f>
        <v>17</v>
      </c>
      <c r="J353" s="18">
        <f>'RW predict'!F352</f>
        <v>15</v>
      </c>
      <c r="K353" s="18"/>
      <c r="L353" s="18"/>
      <c r="M353" s="18">
        <f>'RW predict'!P352</f>
        <v>15</v>
      </c>
      <c r="N353" s="18"/>
      <c r="O353" s="18">
        <f>'RW predict'!H352</f>
        <v>7</v>
      </c>
      <c r="P353" s="18">
        <f>'RW predict'!I352</f>
        <v>14</v>
      </c>
      <c r="Q353" s="18">
        <f>'RW predict'!L352</f>
        <v>1</v>
      </c>
      <c r="R353" s="18">
        <f>'RW predict'!N352</f>
        <v>0</v>
      </c>
      <c r="S353" s="76">
        <f>'RW predict'!O352</f>
        <v>0</v>
      </c>
      <c r="T353" s="76">
        <f>'RW predict'!K352</f>
        <v>3</v>
      </c>
      <c r="U353" s="22">
        <f>'RW predict'!J352</f>
        <v>104</v>
      </c>
      <c r="V353" s="32">
        <f>IF(D353="G",'RW predict'!E352,0)</f>
        <v>0</v>
      </c>
      <c r="W353" s="18">
        <f>'RW predict'!R352</f>
        <v>0</v>
      </c>
      <c r="X353" s="18">
        <f>'RW predict'!T352</f>
        <v>0</v>
      </c>
      <c r="Y353" s="18">
        <f>'RW predict'!Y352</f>
        <v>0</v>
      </c>
      <c r="Z353" s="18">
        <f>'RW predict'!U352</f>
        <v>0</v>
      </c>
      <c r="AA353" s="18">
        <f>'RW predict'!W352</f>
        <v>0</v>
      </c>
      <c r="AB353" s="17"/>
      <c r="AG353" s="23"/>
      <c r="AI353" s="17"/>
      <c r="AO353" s="23"/>
    </row>
    <row r="354" spans="1:41" x14ac:dyDescent="0.3">
      <c r="A354" s="18">
        <v>351</v>
      </c>
      <c r="B354" s="18" t="str">
        <f>'RW predict'!A353</f>
        <v>Colton Sissons</v>
      </c>
      <c r="C354" s="18" t="str">
        <f>'RW predict'!B353</f>
        <v>NSH</v>
      </c>
      <c r="D354" s="22" t="str" cm="1">
        <f t="array" ref="D354">_xlfn.SWITCH('RW predict'!C353, "C", "F", "LW","F", "RW", "F", "D", "D", "G", "G", "other")</f>
        <v>F</v>
      </c>
      <c r="E354" s="32">
        <f t="shared" si="10"/>
        <v>1270</v>
      </c>
      <c r="F354" s="35">
        <f>E354/assumptions!$B$2</f>
        <v>15.487804878048781</v>
      </c>
      <c r="G354" s="36">
        <f t="shared" si="11"/>
        <v>377</v>
      </c>
      <c r="H354" s="18">
        <f>IF(NOT(D354="G"),'RW predict'!E353,0)</f>
        <v>8</v>
      </c>
      <c r="I354" s="18">
        <f>'RW predict'!Q353</f>
        <v>47</v>
      </c>
      <c r="J354" s="18">
        <f>'RW predict'!F353</f>
        <v>18</v>
      </c>
      <c r="K354" s="18"/>
      <c r="L354" s="18"/>
      <c r="M354" s="18">
        <f>'RW predict'!P353</f>
        <v>172</v>
      </c>
      <c r="N354" s="18"/>
      <c r="O354" s="18">
        <f>'RW predict'!H353</f>
        <v>2</v>
      </c>
      <c r="P354" s="18">
        <f>'RW predict'!I353</f>
        <v>30</v>
      </c>
      <c r="Q354" s="18">
        <f>'RW predict'!L353</f>
        <v>1</v>
      </c>
      <c r="R354" s="18">
        <f>'RW predict'!N353</f>
        <v>1</v>
      </c>
      <c r="S354" s="76">
        <f>'RW predict'!O353</f>
        <v>1</v>
      </c>
      <c r="T354" s="76">
        <f>'RW predict'!K353</f>
        <v>1</v>
      </c>
      <c r="U354" s="22">
        <f>'RW predict'!J353</f>
        <v>92</v>
      </c>
      <c r="V354" s="32">
        <f>IF(D354="G",'RW predict'!E353,0)</f>
        <v>0</v>
      </c>
      <c r="W354" s="18">
        <f>'RW predict'!R353</f>
        <v>0</v>
      </c>
      <c r="X354" s="18">
        <f>'RW predict'!T353</f>
        <v>0</v>
      </c>
      <c r="Y354" s="18">
        <f>'RW predict'!Y353</f>
        <v>0</v>
      </c>
      <c r="Z354" s="18">
        <f>'RW predict'!U353</f>
        <v>0</v>
      </c>
      <c r="AA354" s="18">
        <f>'RW predict'!W353</f>
        <v>0</v>
      </c>
      <c r="AB354" s="17"/>
      <c r="AG354" s="23"/>
      <c r="AI354" s="17"/>
      <c r="AO354" s="23"/>
    </row>
    <row r="355" spans="1:41" x14ac:dyDescent="0.3">
      <c r="A355" s="18">
        <v>352</v>
      </c>
      <c r="B355" s="18" t="str">
        <f>'RW predict'!A354</f>
        <v>Esa Lindell</v>
      </c>
      <c r="C355" s="18" t="str">
        <f>'RW predict'!B354</f>
        <v>DAL</v>
      </c>
      <c r="D355" s="22" t="str" cm="1">
        <f t="array" ref="D355">_xlfn.SWITCH('RW predict'!C354, "C", "F", "LW","F", "RW", "F", "D", "D", "G", "G", "other")</f>
        <v>D</v>
      </c>
      <c r="E355" s="32">
        <f t="shared" si="10"/>
        <v>1513</v>
      </c>
      <c r="F355" s="35">
        <f>E355/assumptions!$B$2</f>
        <v>18.451219512195124</v>
      </c>
      <c r="G355" s="36">
        <f t="shared" si="11"/>
        <v>287</v>
      </c>
      <c r="H355" s="18">
        <f>IF(NOT(D355="G"),'RW predict'!E354,0)</f>
        <v>5</v>
      </c>
      <c r="I355" s="18">
        <f>'RW predict'!Q354</f>
        <v>156</v>
      </c>
      <c r="J355" s="18">
        <f>'RW predict'!F354</f>
        <v>21</v>
      </c>
      <c r="K355" s="18"/>
      <c r="L355" s="18"/>
      <c r="M355" s="18">
        <f>'RW predict'!P354</f>
        <v>125</v>
      </c>
      <c r="N355" s="18"/>
      <c r="O355" s="18">
        <f>'RW predict'!H354</f>
        <v>6</v>
      </c>
      <c r="P355" s="18">
        <f>'RW predict'!I354</f>
        <v>14</v>
      </c>
      <c r="Q355" s="18">
        <f>'RW predict'!L354</f>
        <v>0</v>
      </c>
      <c r="R355" s="18">
        <f>'RW predict'!N354</f>
        <v>1</v>
      </c>
      <c r="S355" s="76">
        <f>'RW predict'!O354</f>
        <v>2</v>
      </c>
      <c r="T355" s="76">
        <f>'RW predict'!K354</f>
        <v>1</v>
      </c>
      <c r="U355" s="22">
        <f>'RW predict'!J354</f>
        <v>132</v>
      </c>
      <c r="V355" s="32">
        <f>IF(D355="G",'RW predict'!E354,0)</f>
        <v>0</v>
      </c>
      <c r="W355" s="18">
        <f>'RW predict'!R354</f>
        <v>0</v>
      </c>
      <c r="X355" s="18">
        <f>'RW predict'!T354</f>
        <v>0</v>
      </c>
      <c r="Y355" s="18">
        <f>'RW predict'!Y354</f>
        <v>0</v>
      </c>
      <c r="Z355" s="18">
        <f>'RW predict'!U354</f>
        <v>0</v>
      </c>
      <c r="AA355" s="18">
        <f>'RW predict'!W354</f>
        <v>0</v>
      </c>
      <c r="AB355" s="17"/>
      <c r="AG355" s="23"/>
      <c r="AI355" s="17"/>
      <c r="AO355" s="23"/>
    </row>
    <row r="356" spans="1:41" x14ac:dyDescent="0.3">
      <c r="A356" s="18">
        <v>353</v>
      </c>
      <c r="B356" s="18" t="str">
        <f>'RW predict'!A355</f>
        <v>Brett Pesce</v>
      </c>
      <c r="C356" s="18" t="str">
        <f>'RW predict'!B355</f>
        <v>CAR</v>
      </c>
      <c r="D356" s="22" t="str" cm="1">
        <f t="array" ref="D356">_xlfn.SWITCH('RW predict'!C355, "C", "F", "LW","F", "RW", "F", "D", "D", "G", "G", "other")</f>
        <v>D</v>
      </c>
      <c r="E356" s="32">
        <f t="shared" si="10"/>
        <v>1418</v>
      </c>
      <c r="F356" s="35">
        <f>E356/assumptions!$B$2</f>
        <v>17.292682926829269</v>
      </c>
      <c r="G356" s="36">
        <f t="shared" si="11"/>
        <v>325</v>
      </c>
      <c r="H356" s="18">
        <f>IF(NOT(D356="G"),'RW predict'!E355,0)</f>
        <v>6</v>
      </c>
      <c r="I356" s="18">
        <f>'RW predict'!Q355</f>
        <v>107</v>
      </c>
      <c r="J356" s="18">
        <f>'RW predict'!F355</f>
        <v>20</v>
      </c>
      <c r="K356" s="18"/>
      <c r="L356" s="18"/>
      <c r="M356" s="18">
        <f>'RW predict'!P355</f>
        <v>42</v>
      </c>
      <c r="N356" s="18"/>
      <c r="O356" s="18">
        <f>'RW predict'!H355</f>
        <v>11</v>
      </c>
      <c r="P356" s="18">
        <f>'RW predict'!I355</f>
        <v>32</v>
      </c>
      <c r="Q356" s="18">
        <f>'RW predict'!L355</f>
        <v>1</v>
      </c>
      <c r="R356" s="18">
        <f>'RW predict'!N355</f>
        <v>0</v>
      </c>
      <c r="S356" s="76">
        <f>'RW predict'!O355</f>
        <v>1</v>
      </c>
      <c r="T356" s="76">
        <f>'RW predict'!K355</f>
        <v>1</v>
      </c>
      <c r="U356" s="22">
        <f>'RW predict'!J355</f>
        <v>133</v>
      </c>
      <c r="V356" s="32">
        <f>IF(D356="G",'RW predict'!E355,0)</f>
        <v>0</v>
      </c>
      <c r="W356" s="18">
        <f>'RW predict'!R355</f>
        <v>0</v>
      </c>
      <c r="X356" s="18">
        <f>'RW predict'!T355</f>
        <v>0</v>
      </c>
      <c r="Y356" s="18">
        <f>'RW predict'!Y355</f>
        <v>0</v>
      </c>
      <c r="Z356" s="18">
        <f>'RW predict'!U355</f>
        <v>0</v>
      </c>
      <c r="AA356" s="18">
        <f>'RW predict'!W355</f>
        <v>0</v>
      </c>
      <c r="AB356" s="17"/>
      <c r="AG356" s="23"/>
      <c r="AI356" s="17"/>
      <c r="AO356" s="23"/>
    </row>
    <row r="357" spans="1:41" x14ac:dyDescent="0.3">
      <c r="A357" s="18">
        <v>354</v>
      </c>
      <c r="B357" s="18" t="str">
        <f>'RW predict'!A356</f>
        <v>Warren Foegele</v>
      </c>
      <c r="C357" s="18" t="str">
        <f>'RW predict'!B356</f>
        <v>EDM</v>
      </c>
      <c r="D357" s="22" t="str" cm="1">
        <f t="array" ref="D357">_xlfn.SWITCH('RW predict'!C356, "C", "F", "LW","F", "RW", "F", "D", "D", "G", "G", "other")</f>
        <v>F</v>
      </c>
      <c r="E357" s="32">
        <f t="shared" si="10"/>
        <v>1159</v>
      </c>
      <c r="F357" s="35">
        <f>E357/assumptions!$B$2</f>
        <v>14.134146341463415</v>
      </c>
      <c r="G357" s="36">
        <f t="shared" si="11"/>
        <v>423</v>
      </c>
      <c r="H357" s="18">
        <f>IF(NOT(D357="G"),'RW predict'!E356,0)</f>
        <v>11</v>
      </c>
      <c r="I357" s="18">
        <f>'RW predict'!Q356</f>
        <v>16</v>
      </c>
      <c r="J357" s="18">
        <f>'RW predict'!F356</f>
        <v>15</v>
      </c>
      <c r="K357" s="18"/>
      <c r="L357" s="18"/>
      <c r="M357" s="18">
        <f>'RW predict'!P356</f>
        <v>123</v>
      </c>
      <c r="N357" s="18"/>
      <c r="O357" s="18">
        <f>'RW predict'!H356</f>
        <v>-4</v>
      </c>
      <c r="P357" s="18">
        <f>'RW predict'!I356</f>
        <v>26</v>
      </c>
      <c r="Q357" s="18">
        <f>'RW predict'!L356</f>
        <v>1</v>
      </c>
      <c r="R357" s="18">
        <f>'RW predict'!N356</f>
        <v>0</v>
      </c>
      <c r="S357" s="76">
        <f>'RW predict'!O356</f>
        <v>0</v>
      </c>
      <c r="T357" s="76">
        <f>'RW predict'!K356</f>
        <v>2</v>
      </c>
      <c r="U357" s="22">
        <f>'RW predict'!J356</f>
        <v>133</v>
      </c>
      <c r="V357" s="32">
        <f>IF(D357="G",'RW predict'!E356,0)</f>
        <v>0</v>
      </c>
      <c r="W357" s="18">
        <f>'RW predict'!R356</f>
        <v>0</v>
      </c>
      <c r="X357" s="18">
        <f>'RW predict'!T356</f>
        <v>0</v>
      </c>
      <c r="Y357" s="18">
        <f>'RW predict'!Y356</f>
        <v>0</v>
      </c>
      <c r="Z357" s="18">
        <f>'RW predict'!U356</f>
        <v>0</v>
      </c>
      <c r="AA357" s="18">
        <f>'RW predict'!W356</f>
        <v>0</v>
      </c>
      <c r="AB357" s="17"/>
      <c r="AG357" s="23"/>
      <c r="AI357" s="17"/>
      <c r="AO357" s="23"/>
    </row>
    <row r="358" spans="1:41" x14ac:dyDescent="0.3">
      <c r="A358" s="18">
        <v>355</v>
      </c>
      <c r="B358" s="18" t="str">
        <f>'RW predict'!A357</f>
        <v>Barclay Goodrow</v>
      </c>
      <c r="C358" s="18" t="str">
        <f>'RW predict'!B357</f>
        <v>NYR</v>
      </c>
      <c r="D358" s="22" t="str" cm="1">
        <f t="array" ref="D358">_xlfn.SWITCH('RW predict'!C357, "C", "F", "LW","F", "RW", "F", "D", "D", "G", "G", "other")</f>
        <v>F</v>
      </c>
      <c r="E358" s="32">
        <f t="shared" si="10"/>
        <v>1528</v>
      </c>
      <c r="F358" s="35">
        <f>E358/assumptions!$B$2</f>
        <v>18.634146341463413</v>
      </c>
      <c r="G358" s="36">
        <f t="shared" si="11"/>
        <v>284</v>
      </c>
      <c r="H358" s="18">
        <f>IF(NOT(D358="G"),'RW predict'!E357,0)</f>
        <v>11</v>
      </c>
      <c r="I358" s="18">
        <f>'RW predict'!Q357</f>
        <v>49</v>
      </c>
      <c r="J358" s="18">
        <f>'RW predict'!F357</f>
        <v>15</v>
      </c>
      <c r="K358" s="18"/>
      <c r="L358" s="18"/>
      <c r="M358" s="18">
        <f>'RW predict'!P357</f>
        <v>121</v>
      </c>
      <c r="N358" s="18"/>
      <c r="O358" s="18">
        <f>'RW predict'!H357</f>
        <v>11</v>
      </c>
      <c r="P358" s="18">
        <f>'RW predict'!I357</f>
        <v>75</v>
      </c>
      <c r="Q358" s="18">
        <f>'RW predict'!L357</f>
        <v>0</v>
      </c>
      <c r="R358" s="18">
        <f>'RW predict'!N357</f>
        <v>1</v>
      </c>
      <c r="S358" s="76">
        <f>'RW predict'!O357</f>
        <v>2</v>
      </c>
      <c r="T358" s="76">
        <f>'RW predict'!K357</f>
        <v>3</v>
      </c>
      <c r="U358" s="22">
        <f>'RW predict'!J357</f>
        <v>112</v>
      </c>
      <c r="V358" s="32">
        <f>IF(D358="G",'RW predict'!E357,0)</f>
        <v>0</v>
      </c>
      <c r="W358" s="18">
        <f>'RW predict'!R357</f>
        <v>0</v>
      </c>
      <c r="X358" s="18">
        <f>'RW predict'!T357</f>
        <v>0</v>
      </c>
      <c r="Y358" s="18">
        <f>'RW predict'!Y357</f>
        <v>0</v>
      </c>
      <c r="Z358" s="18">
        <f>'RW predict'!U357</f>
        <v>0</v>
      </c>
      <c r="AA358" s="18">
        <f>'RW predict'!W357</f>
        <v>0</v>
      </c>
      <c r="AB358" s="17"/>
      <c r="AG358" s="23"/>
      <c r="AI358" s="17"/>
      <c r="AO358" s="23"/>
    </row>
    <row r="359" spans="1:41" x14ac:dyDescent="0.3">
      <c r="A359" s="18">
        <v>356</v>
      </c>
      <c r="B359" s="18" t="str">
        <f>'RW predict'!A358</f>
        <v>Robby Fabbri</v>
      </c>
      <c r="C359" s="18" t="str">
        <f>'RW predict'!B358</f>
        <v>DET</v>
      </c>
      <c r="D359" s="22" t="str" cm="1">
        <f t="array" ref="D359">_xlfn.SWITCH('RW predict'!C358, "C", "F", "LW","F", "RW", "F", "D", "D", "G", "G", "other")</f>
        <v>F</v>
      </c>
      <c r="E359" s="32">
        <f t="shared" si="10"/>
        <v>950</v>
      </c>
      <c r="F359" s="35">
        <f>E359/assumptions!$B$2</f>
        <v>11.585365853658537</v>
      </c>
      <c r="G359" s="36">
        <f t="shared" si="11"/>
        <v>510</v>
      </c>
      <c r="H359" s="18">
        <f>IF(NOT(D359="G"),'RW predict'!E358,0)</f>
        <v>14</v>
      </c>
      <c r="I359" s="18">
        <f>'RW predict'!Q358</f>
        <v>15</v>
      </c>
      <c r="J359" s="18">
        <f>'RW predict'!F358</f>
        <v>12</v>
      </c>
      <c r="K359" s="18"/>
      <c r="L359" s="18"/>
      <c r="M359" s="18">
        <f>'RW predict'!P358</f>
        <v>69</v>
      </c>
      <c r="N359" s="18"/>
      <c r="O359" s="18">
        <f>'RW predict'!H358</f>
        <v>-17</v>
      </c>
      <c r="P359" s="18">
        <f>'RW predict'!I358</f>
        <v>29</v>
      </c>
      <c r="Q359" s="18">
        <f>'RW predict'!L358</f>
        <v>4</v>
      </c>
      <c r="R359" s="18">
        <f>'RW predict'!N358</f>
        <v>0</v>
      </c>
      <c r="S359" s="76">
        <f>'RW predict'!O358</f>
        <v>0</v>
      </c>
      <c r="T359" s="76">
        <f>'RW predict'!K358</f>
        <v>2</v>
      </c>
      <c r="U359" s="22">
        <f>'RW predict'!J358</f>
        <v>102</v>
      </c>
      <c r="V359" s="32">
        <f>IF(D359="G",'RW predict'!E358,0)</f>
        <v>0</v>
      </c>
      <c r="W359" s="18">
        <f>'RW predict'!R358</f>
        <v>0</v>
      </c>
      <c r="X359" s="18">
        <f>'RW predict'!T358</f>
        <v>0</v>
      </c>
      <c r="Y359" s="18">
        <f>'RW predict'!Y358</f>
        <v>0</v>
      </c>
      <c r="Z359" s="18">
        <f>'RW predict'!U358</f>
        <v>0</v>
      </c>
      <c r="AA359" s="18">
        <f>'RW predict'!W358</f>
        <v>0</v>
      </c>
      <c r="AB359" s="17"/>
      <c r="AG359" s="23"/>
      <c r="AI359" s="17"/>
      <c r="AO359" s="23"/>
    </row>
    <row r="360" spans="1:41" x14ac:dyDescent="0.3">
      <c r="A360" s="18">
        <v>357</v>
      </c>
      <c r="B360" s="18" t="str">
        <f>'RW predict'!A359</f>
        <v>Marcus Johansson</v>
      </c>
      <c r="C360" s="18" t="str">
        <f>'RW predict'!B359</f>
        <v>WAS</v>
      </c>
      <c r="D360" s="22" t="str" cm="1">
        <f t="array" ref="D360">_xlfn.SWITCH('RW predict'!C359, "C", "F", "LW","F", "RW", "F", "D", "D", "G", "G", "other")</f>
        <v>F</v>
      </c>
      <c r="E360" s="32">
        <f t="shared" si="10"/>
        <v>934</v>
      </c>
      <c r="F360" s="35">
        <f>E360/assumptions!$B$2</f>
        <v>11.390243902439025</v>
      </c>
      <c r="G360" s="36">
        <f t="shared" si="11"/>
        <v>520</v>
      </c>
      <c r="H360" s="18">
        <f>IF(NOT(D360="G"),'RW predict'!E359,0)</f>
        <v>9</v>
      </c>
      <c r="I360" s="18">
        <f>'RW predict'!Q359</f>
        <v>23</v>
      </c>
      <c r="J360" s="18">
        <f>'RW predict'!F359</f>
        <v>17</v>
      </c>
      <c r="K360" s="18"/>
      <c r="L360" s="18"/>
      <c r="M360" s="18">
        <f>'RW predict'!P359</f>
        <v>30</v>
      </c>
      <c r="N360" s="18"/>
      <c r="O360" s="18">
        <f>'RW predict'!H359</f>
        <v>-7</v>
      </c>
      <c r="P360" s="18">
        <f>'RW predict'!I359</f>
        <v>6</v>
      </c>
      <c r="Q360" s="18">
        <f>'RW predict'!L359</f>
        <v>1</v>
      </c>
      <c r="R360" s="18">
        <f>'RW predict'!N359</f>
        <v>0</v>
      </c>
      <c r="S360" s="76">
        <f>'RW predict'!O359</f>
        <v>0</v>
      </c>
      <c r="T360" s="76">
        <f>'RW predict'!K359</f>
        <v>2</v>
      </c>
      <c r="U360" s="22">
        <f>'RW predict'!J359</f>
        <v>105</v>
      </c>
      <c r="V360" s="32">
        <f>IF(D360="G",'RW predict'!E359,0)</f>
        <v>0</v>
      </c>
      <c r="W360" s="18">
        <f>'RW predict'!R359</f>
        <v>0</v>
      </c>
      <c r="X360" s="18">
        <f>'RW predict'!T359</f>
        <v>0</v>
      </c>
      <c r="Y360" s="18">
        <f>'RW predict'!Y359</f>
        <v>0</v>
      </c>
      <c r="Z360" s="18">
        <f>'RW predict'!U359</f>
        <v>0</v>
      </c>
      <c r="AA360" s="18">
        <f>'RW predict'!W359</f>
        <v>0</v>
      </c>
      <c r="AB360" s="17"/>
      <c r="AG360" s="23"/>
      <c r="AI360" s="17"/>
      <c r="AO360" s="23"/>
    </row>
    <row r="361" spans="1:41" x14ac:dyDescent="0.3">
      <c r="A361" s="18">
        <v>358</v>
      </c>
      <c r="B361" s="18" t="str">
        <f>'RW predict'!A360</f>
        <v>Keith Yandle</v>
      </c>
      <c r="C361" s="18" t="str">
        <f>'RW predict'!B360</f>
        <v>FA</v>
      </c>
      <c r="D361" s="22" t="str" cm="1">
        <f t="array" ref="D361">_xlfn.SWITCH('RW predict'!C360, "C", "F", "LW","F", "RW", "F", "D", "D", "G", "G", "other")</f>
        <v>D</v>
      </c>
      <c r="E361" s="32">
        <f t="shared" si="10"/>
        <v>697</v>
      </c>
      <c r="F361" s="35">
        <f>E361/assumptions!$B$2</f>
        <v>8.5</v>
      </c>
      <c r="G361" s="36">
        <f t="shared" si="11"/>
        <v>606</v>
      </c>
      <c r="H361" s="18">
        <f>IF(NOT(D361="G"),'RW predict'!E360,0)</f>
        <v>3</v>
      </c>
      <c r="I361" s="18">
        <f>'RW predict'!Q360</f>
        <v>41</v>
      </c>
      <c r="J361" s="18">
        <f>'RW predict'!F360</f>
        <v>23</v>
      </c>
      <c r="K361" s="18"/>
      <c r="L361" s="18"/>
      <c r="M361" s="18">
        <f>'RW predict'!P360</f>
        <v>28</v>
      </c>
      <c r="N361" s="18"/>
      <c r="O361" s="18">
        <f>'RW predict'!H360</f>
        <v>-37</v>
      </c>
      <c r="P361" s="18">
        <f>'RW predict'!I360</f>
        <v>21</v>
      </c>
      <c r="Q361" s="18">
        <f>'RW predict'!L360</f>
        <v>1</v>
      </c>
      <c r="R361" s="18">
        <f>'RW predict'!N360</f>
        <v>0</v>
      </c>
      <c r="S361" s="76">
        <f>'RW predict'!O360</f>
        <v>0</v>
      </c>
      <c r="T361" s="76">
        <f>'RW predict'!K360</f>
        <v>0</v>
      </c>
      <c r="U361" s="22">
        <f>'RW predict'!J360</f>
        <v>117</v>
      </c>
      <c r="V361" s="32">
        <f>IF(D361="G",'RW predict'!E360,0)</f>
        <v>0</v>
      </c>
      <c r="W361" s="18">
        <f>'RW predict'!R360</f>
        <v>0</v>
      </c>
      <c r="X361" s="18">
        <f>'RW predict'!T360</f>
        <v>0</v>
      </c>
      <c r="Y361" s="18">
        <f>'RW predict'!Y360</f>
        <v>0</v>
      </c>
      <c r="Z361" s="18">
        <f>'RW predict'!U360</f>
        <v>0</v>
      </c>
      <c r="AA361" s="18">
        <f>'RW predict'!W360</f>
        <v>0</v>
      </c>
      <c r="AB361" s="17"/>
      <c r="AG361" s="23"/>
      <c r="AI361" s="17"/>
      <c r="AO361" s="23"/>
    </row>
    <row r="362" spans="1:41" x14ac:dyDescent="0.3">
      <c r="A362" s="18">
        <v>359</v>
      </c>
      <c r="B362" s="18" t="str">
        <f>'RW predict'!A361</f>
        <v>Alexander Edler</v>
      </c>
      <c r="C362" s="18" t="str">
        <f>'RW predict'!B361</f>
        <v>LA</v>
      </c>
      <c r="D362" s="22" t="str" cm="1">
        <f t="array" ref="D362">_xlfn.SWITCH('RW predict'!C361, "C", "F", "LW","F", "RW", "F", "D", "D", "G", "G", "other")</f>
        <v>D</v>
      </c>
      <c r="E362" s="32">
        <f t="shared" si="10"/>
        <v>1457</v>
      </c>
      <c r="F362" s="35">
        <f>E362/assumptions!$B$2</f>
        <v>17.76829268292683</v>
      </c>
      <c r="G362" s="36">
        <f t="shared" si="11"/>
        <v>307</v>
      </c>
      <c r="H362" s="18">
        <f>IF(NOT(D362="G"),'RW predict'!E361,0)</f>
        <v>3</v>
      </c>
      <c r="I362" s="18">
        <f>'RW predict'!Q361</f>
        <v>113</v>
      </c>
      <c r="J362" s="18">
        <f>'RW predict'!F361</f>
        <v>23</v>
      </c>
      <c r="K362" s="18"/>
      <c r="L362" s="18"/>
      <c r="M362" s="18">
        <f>'RW predict'!P361</f>
        <v>85</v>
      </c>
      <c r="N362" s="18"/>
      <c r="O362" s="18">
        <f>'RW predict'!H361</f>
        <v>15</v>
      </c>
      <c r="P362" s="18">
        <f>'RW predict'!I361</f>
        <v>60</v>
      </c>
      <c r="Q362" s="18">
        <f>'RW predict'!L361</f>
        <v>0</v>
      </c>
      <c r="R362" s="18">
        <f>'RW predict'!N361</f>
        <v>0</v>
      </c>
      <c r="S362" s="76">
        <f>'RW predict'!O361</f>
        <v>0</v>
      </c>
      <c r="T362" s="76">
        <f>'RW predict'!K361</f>
        <v>0</v>
      </c>
      <c r="U362" s="22">
        <f>'RW predict'!J361</f>
        <v>83</v>
      </c>
      <c r="V362" s="32">
        <f>IF(D362="G",'RW predict'!E361,0)</f>
        <v>0</v>
      </c>
      <c r="W362" s="18">
        <f>'RW predict'!R361</f>
        <v>0</v>
      </c>
      <c r="X362" s="18">
        <f>'RW predict'!T361</f>
        <v>0</v>
      </c>
      <c r="Y362" s="18">
        <f>'RW predict'!Y361</f>
        <v>0</v>
      </c>
      <c r="Z362" s="18">
        <f>'RW predict'!U361</f>
        <v>0</v>
      </c>
      <c r="AA362" s="18">
        <f>'RW predict'!W361</f>
        <v>0</v>
      </c>
      <c r="AB362" s="17"/>
      <c r="AG362" s="23"/>
      <c r="AI362" s="17"/>
      <c r="AO362" s="23"/>
    </row>
    <row r="363" spans="1:41" x14ac:dyDescent="0.3">
      <c r="A363" s="18">
        <v>360</v>
      </c>
      <c r="B363" s="18" t="str">
        <f>'RW predict'!A362</f>
        <v>Sam Gagner</v>
      </c>
      <c r="C363" s="18" t="str">
        <f>'RW predict'!B362</f>
        <v>WPG</v>
      </c>
      <c r="D363" s="22" t="str" cm="1">
        <f t="array" ref="D363">_xlfn.SWITCH('RW predict'!C362, "C", "F", "LW","F", "RW", "F", "D", "D", "G", "G", "other")</f>
        <v>F</v>
      </c>
      <c r="E363" s="32">
        <f t="shared" si="10"/>
        <v>985</v>
      </c>
      <c r="F363" s="35">
        <f>E363/assumptions!$B$2</f>
        <v>12.012195121951219</v>
      </c>
      <c r="G363" s="36">
        <f t="shared" si="11"/>
        <v>496</v>
      </c>
      <c r="H363" s="18">
        <f>IF(NOT(D363="G"),'RW predict'!E362,0)</f>
        <v>11</v>
      </c>
      <c r="I363" s="18">
        <f>'RW predict'!Q362</f>
        <v>19</v>
      </c>
      <c r="J363" s="18">
        <f>'RW predict'!F362</f>
        <v>14</v>
      </c>
      <c r="K363" s="18"/>
      <c r="L363" s="18"/>
      <c r="M363" s="18">
        <f>'RW predict'!P362</f>
        <v>16</v>
      </c>
      <c r="N363" s="18"/>
      <c r="O363" s="18">
        <f>'RW predict'!H362</f>
        <v>-5</v>
      </c>
      <c r="P363" s="18">
        <f>'RW predict'!I362</f>
        <v>28</v>
      </c>
      <c r="Q363" s="18">
        <f>'RW predict'!L362</f>
        <v>0</v>
      </c>
      <c r="R363" s="18">
        <f>'RW predict'!N362</f>
        <v>1</v>
      </c>
      <c r="S363" s="76">
        <f>'RW predict'!O362</f>
        <v>0</v>
      </c>
      <c r="T363" s="76">
        <f>'RW predict'!K362</f>
        <v>0</v>
      </c>
      <c r="U363" s="22">
        <f>'RW predict'!J362</f>
        <v>126</v>
      </c>
      <c r="V363" s="32">
        <f>IF(D363="G",'RW predict'!E362,0)</f>
        <v>0</v>
      </c>
      <c r="W363" s="18">
        <f>'RW predict'!R362</f>
        <v>0</v>
      </c>
      <c r="X363" s="18">
        <f>'RW predict'!T362</f>
        <v>0</v>
      </c>
      <c r="Y363" s="18">
        <f>'RW predict'!Y362</f>
        <v>0</v>
      </c>
      <c r="Z363" s="18">
        <f>'RW predict'!U362</f>
        <v>0</v>
      </c>
      <c r="AA363" s="18">
        <f>'RW predict'!W362</f>
        <v>0</v>
      </c>
      <c r="AB363" s="17"/>
      <c r="AG363" s="23"/>
      <c r="AI363" s="17"/>
      <c r="AO363" s="23"/>
    </row>
    <row r="364" spans="1:41" x14ac:dyDescent="0.3">
      <c r="A364" s="18">
        <v>361</v>
      </c>
      <c r="B364" s="18" t="str">
        <f>'RW predict'!A363</f>
        <v>Patrick Maroon</v>
      </c>
      <c r="C364" s="18" t="str">
        <f>'RW predict'!B363</f>
        <v>TB</v>
      </c>
      <c r="D364" s="22" t="str" cm="1">
        <f t="array" ref="D364">_xlfn.SWITCH('RW predict'!C363, "C", "F", "LW","F", "RW", "F", "D", "D", "G", "G", "other")</f>
        <v>F</v>
      </c>
      <c r="E364" s="32">
        <f t="shared" si="10"/>
        <v>1490</v>
      </c>
      <c r="F364" s="35">
        <f>E364/assumptions!$B$2</f>
        <v>18.170731707317074</v>
      </c>
      <c r="G364" s="36">
        <f t="shared" si="11"/>
        <v>295</v>
      </c>
      <c r="H364" s="18">
        <f>IF(NOT(D364="G"),'RW predict'!E363,0)</f>
        <v>10</v>
      </c>
      <c r="I364" s="18">
        <f>'RW predict'!Q363</f>
        <v>10</v>
      </c>
      <c r="J364" s="18">
        <f>'RW predict'!F363</f>
        <v>15</v>
      </c>
      <c r="K364" s="18"/>
      <c r="L364" s="18"/>
      <c r="M364" s="18">
        <f>'RW predict'!P363</f>
        <v>148</v>
      </c>
      <c r="N364" s="18"/>
      <c r="O364" s="18">
        <f>'RW predict'!H363</f>
        <v>12</v>
      </c>
      <c r="P364" s="18">
        <f>'RW predict'!I363</f>
        <v>111</v>
      </c>
      <c r="Q364" s="18">
        <f>'RW predict'!L363</f>
        <v>1</v>
      </c>
      <c r="R364" s="18">
        <f>'RW predict'!N363</f>
        <v>0</v>
      </c>
      <c r="S364" s="76">
        <f>'RW predict'!O363</f>
        <v>0</v>
      </c>
      <c r="T364" s="76">
        <f>'RW predict'!K363</f>
        <v>2</v>
      </c>
      <c r="U364" s="22">
        <f>'RW predict'!J363</f>
        <v>97</v>
      </c>
      <c r="V364" s="32">
        <f>IF(D364="G",'RW predict'!E363,0)</f>
        <v>0</v>
      </c>
      <c r="W364" s="18">
        <f>'RW predict'!R363</f>
        <v>0</v>
      </c>
      <c r="X364" s="18">
        <f>'RW predict'!T363</f>
        <v>0</v>
      </c>
      <c r="Y364" s="18">
        <f>'RW predict'!Y363</f>
        <v>0</v>
      </c>
      <c r="Z364" s="18">
        <f>'RW predict'!U363</f>
        <v>0</v>
      </c>
      <c r="AA364" s="18">
        <f>'RW predict'!W363</f>
        <v>0</v>
      </c>
      <c r="AB364" s="17"/>
      <c r="AG364" s="23"/>
      <c r="AI364" s="17"/>
      <c r="AO364" s="23"/>
    </row>
    <row r="365" spans="1:41" x14ac:dyDescent="0.3">
      <c r="A365" s="18">
        <v>362</v>
      </c>
      <c r="B365" s="18" t="str">
        <f>'RW predict'!A364</f>
        <v>Jakob Silfverberg</v>
      </c>
      <c r="C365" s="18" t="str">
        <f>'RW predict'!B364</f>
        <v>ANH</v>
      </c>
      <c r="D365" s="22" t="str" cm="1">
        <f t="array" ref="D365">_xlfn.SWITCH('RW predict'!C364, "C", "F", "LW","F", "RW", "F", "D", "D", "G", "G", "other")</f>
        <v>F</v>
      </c>
      <c r="E365" s="32">
        <f t="shared" si="10"/>
        <v>1066</v>
      </c>
      <c r="F365" s="35">
        <f>E365/assumptions!$B$2</f>
        <v>13</v>
      </c>
      <c r="G365" s="36">
        <f t="shared" si="11"/>
        <v>460</v>
      </c>
      <c r="H365" s="18">
        <f>IF(NOT(D365="G"),'RW predict'!E364,0)</f>
        <v>8</v>
      </c>
      <c r="I365" s="18">
        <f>'RW predict'!Q364</f>
        <v>36</v>
      </c>
      <c r="J365" s="18">
        <f>'RW predict'!F364</f>
        <v>17</v>
      </c>
      <c r="K365" s="18"/>
      <c r="L365" s="18"/>
      <c r="M365" s="18">
        <f>'RW predict'!P364</f>
        <v>19</v>
      </c>
      <c r="N365" s="18"/>
      <c r="O365" s="18">
        <f>'RW predict'!H364</f>
        <v>-6</v>
      </c>
      <c r="P365" s="18">
        <f>'RW predict'!I364</f>
        <v>28</v>
      </c>
      <c r="Q365" s="18">
        <f>'RW predict'!L364</f>
        <v>1</v>
      </c>
      <c r="R365" s="18">
        <f>'RW predict'!N364</f>
        <v>1</v>
      </c>
      <c r="S365" s="76">
        <f>'RW predict'!O364</f>
        <v>1</v>
      </c>
      <c r="T365" s="76">
        <f>'RW predict'!K364</f>
        <v>1</v>
      </c>
      <c r="U365" s="22">
        <f>'RW predict'!J364</f>
        <v>133</v>
      </c>
      <c r="V365" s="32">
        <f>IF(D365="G",'RW predict'!E364,0)</f>
        <v>0</v>
      </c>
      <c r="W365" s="18">
        <f>'RW predict'!R364</f>
        <v>0</v>
      </c>
      <c r="X365" s="18">
        <f>'RW predict'!T364</f>
        <v>0</v>
      </c>
      <c r="Y365" s="18">
        <f>'RW predict'!Y364</f>
        <v>0</v>
      </c>
      <c r="Z365" s="18">
        <f>'RW predict'!U364</f>
        <v>0</v>
      </c>
      <c r="AA365" s="18">
        <f>'RW predict'!W364</f>
        <v>0</v>
      </c>
      <c r="AB365" s="17"/>
      <c r="AG365" s="23"/>
      <c r="AI365" s="17"/>
      <c r="AO365" s="23"/>
    </row>
    <row r="366" spans="1:41" x14ac:dyDescent="0.3">
      <c r="A366" s="18">
        <v>363</v>
      </c>
      <c r="B366" s="18" t="str">
        <f>'RW predict'!A365</f>
        <v>Nick Ritchie</v>
      </c>
      <c r="C366" s="18" t="str">
        <f>'RW predict'!B365</f>
        <v>ARI</v>
      </c>
      <c r="D366" s="22" t="str" cm="1">
        <f t="array" ref="D366">_xlfn.SWITCH('RW predict'!C365, "C", "F", "LW","F", "RW", "F", "D", "D", "G", "G", "other")</f>
        <v>F</v>
      </c>
      <c r="E366" s="32">
        <f t="shared" si="10"/>
        <v>1160</v>
      </c>
      <c r="F366" s="35">
        <f>E366/assumptions!$B$2</f>
        <v>14.146341463414634</v>
      </c>
      <c r="G366" s="36">
        <f t="shared" si="11"/>
        <v>421</v>
      </c>
      <c r="H366" s="18">
        <f>IF(NOT(D366="G"),'RW predict'!E365,0)</f>
        <v>14</v>
      </c>
      <c r="I366" s="18">
        <f>'RW predict'!Q365</f>
        <v>23</v>
      </c>
      <c r="J366" s="18">
        <f>'RW predict'!F365</f>
        <v>11</v>
      </c>
      <c r="K366" s="18"/>
      <c r="L366" s="18"/>
      <c r="M366" s="18">
        <f>'RW predict'!P365</f>
        <v>182</v>
      </c>
      <c r="N366" s="18"/>
      <c r="O366" s="18">
        <f>'RW predict'!H365</f>
        <v>-15</v>
      </c>
      <c r="P366" s="18">
        <f>'RW predict'!I365</f>
        <v>57</v>
      </c>
      <c r="Q366" s="18">
        <f>'RW predict'!L365</f>
        <v>3</v>
      </c>
      <c r="R366" s="18">
        <f>'RW predict'!N365</f>
        <v>0</v>
      </c>
      <c r="S366" s="76">
        <f>'RW predict'!O365</f>
        <v>0</v>
      </c>
      <c r="T366" s="76">
        <f>'RW predict'!K365</f>
        <v>1</v>
      </c>
      <c r="U366" s="22">
        <f>'RW predict'!J365</f>
        <v>118</v>
      </c>
      <c r="V366" s="32">
        <f>IF(D366="G",'RW predict'!E365,0)</f>
        <v>0</v>
      </c>
      <c r="W366" s="18">
        <f>'RW predict'!R365</f>
        <v>0</v>
      </c>
      <c r="X366" s="18">
        <f>'RW predict'!T365</f>
        <v>0</v>
      </c>
      <c r="Y366" s="18">
        <f>'RW predict'!Y365</f>
        <v>0</v>
      </c>
      <c r="Z366" s="18">
        <f>'RW predict'!U365</f>
        <v>0</v>
      </c>
      <c r="AA366" s="18">
        <f>'RW predict'!W365</f>
        <v>0</v>
      </c>
      <c r="AB366" s="17"/>
      <c r="AG366" s="23"/>
      <c r="AI366" s="17"/>
      <c r="AO366" s="23"/>
    </row>
    <row r="367" spans="1:41" x14ac:dyDescent="0.3">
      <c r="A367" s="18">
        <v>364</v>
      </c>
      <c r="B367" s="18" t="str">
        <f>'RW predict'!A366</f>
        <v>Kevin Labanc</v>
      </c>
      <c r="C367" s="18" t="str">
        <f>'RW predict'!B366</f>
        <v>SJ</v>
      </c>
      <c r="D367" s="22" t="str" cm="1">
        <f t="array" ref="D367">_xlfn.SWITCH('RW predict'!C366, "C", "F", "LW","F", "RW", "F", "D", "D", "G", "G", "other")</f>
        <v>F</v>
      </c>
      <c r="E367" s="32">
        <f t="shared" si="10"/>
        <v>961</v>
      </c>
      <c r="F367" s="35">
        <f>E367/assumptions!$B$2</f>
        <v>11.719512195121951</v>
      </c>
      <c r="G367" s="36">
        <f t="shared" si="11"/>
        <v>506</v>
      </c>
      <c r="H367" s="18">
        <f>IF(NOT(D367="G"),'RW predict'!E366,0)</f>
        <v>11</v>
      </c>
      <c r="I367" s="18">
        <f>'RW predict'!Q366</f>
        <v>20</v>
      </c>
      <c r="J367" s="18">
        <f>'RW predict'!F366</f>
        <v>14</v>
      </c>
      <c r="K367" s="18"/>
      <c r="L367" s="18"/>
      <c r="M367" s="18">
        <f>'RW predict'!P366</f>
        <v>64</v>
      </c>
      <c r="N367" s="18"/>
      <c r="O367" s="18">
        <f>'RW predict'!H366</f>
        <v>-13</v>
      </c>
      <c r="P367" s="18">
        <f>'RW predict'!I366</f>
        <v>26</v>
      </c>
      <c r="Q367" s="18">
        <f>'RW predict'!L366</f>
        <v>2</v>
      </c>
      <c r="R367" s="18">
        <f>'RW predict'!N366</f>
        <v>0</v>
      </c>
      <c r="S367" s="76">
        <f>'RW predict'!O366</f>
        <v>0</v>
      </c>
      <c r="T367" s="76">
        <f>'RW predict'!K366</f>
        <v>1</v>
      </c>
      <c r="U367" s="22">
        <f>'RW predict'!J366</f>
        <v>122</v>
      </c>
      <c r="V367" s="32">
        <f>IF(D367="G",'RW predict'!E366,0)</f>
        <v>0</v>
      </c>
      <c r="W367" s="18">
        <f>'RW predict'!R366</f>
        <v>0</v>
      </c>
      <c r="X367" s="18">
        <f>'RW predict'!T366</f>
        <v>0</v>
      </c>
      <c r="Y367" s="18">
        <f>'RW predict'!Y366</f>
        <v>0</v>
      </c>
      <c r="Z367" s="18">
        <f>'RW predict'!U366</f>
        <v>0</v>
      </c>
      <c r="AA367" s="18">
        <f>'RW predict'!W366</f>
        <v>0</v>
      </c>
      <c r="AB367" s="17"/>
      <c r="AG367" s="23"/>
      <c r="AI367" s="17"/>
      <c r="AO367" s="23"/>
    </row>
    <row r="368" spans="1:41" x14ac:dyDescent="0.3">
      <c r="A368" s="18">
        <v>365</v>
      </c>
      <c r="B368" s="18" t="str">
        <f>'RW predict'!A367</f>
        <v>Cody Ceci</v>
      </c>
      <c r="C368" s="18" t="str">
        <f>'RW predict'!B367</f>
        <v>EDM</v>
      </c>
      <c r="D368" s="22" t="str" cm="1">
        <f t="array" ref="D368">_xlfn.SWITCH('RW predict'!C367, "C", "F", "LW","F", "RW", "F", "D", "D", "G", "G", "other")</f>
        <v>D</v>
      </c>
      <c r="E368" s="32">
        <f t="shared" si="10"/>
        <v>1358</v>
      </c>
      <c r="F368" s="35">
        <f>E368/assumptions!$B$2</f>
        <v>16.560975609756099</v>
      </c>
      <c r="G368" s="36">
        <f t="shared" si="11"/>
        <v>340</v>
      </c>
      <c r="H368" s="18">
        <f>IF(NOT(D368="G"),'RW predict'!E367,0)</f>
        <v>4</v>
      </c>
      <c r="I368" s="18">
        <f>'RW predict'!Q367</f>
        <v>121</v>
      </c>
      <c r="J368" s="18">
        <f>'RW predict'!F367</f>
        <v>21</v>
      </c>
      <c r="K368" s="18"/>
      <c r="L368" s="18"/>
      <c r="M368" s="18">
        <f>'RW predict'!P367</f>
        <v>115</v>
      </c>
      <c r="N368" s="18"/>
      <c r="O368" s="18">
        <f>'RW predict'!H367</f>
        <v>11</v>
      </c>
      <c r="P368" s="18">
        <f>'RW predict'!I367</f>
        <v>16</v>
      </c>
      <c r="Q368" s="18">
        <f>'RW predict'!L367</f>
        <v>0</v>
      </c>
      <c r="R368" s="18">
        <f>'RW predict'!N367</f>
        <v>0</v>
      </c>
      <c r="S368" s="76">
        <f>'RW predict'!O367</f>
        <v>2</v>
      </c>
      <c r="T368" s="76">
        <f>'RW predict'!K367</f>
        <v>0</v>
      </c>
      <c r="U368" s="22">
        <f>'RW predict'!J367</f>
        <v>99</v>
      </c>
      <c r="V368" s="32">
        <f>IF(D368="G",'RW predict'!E367,0)</f>
        <v>0</v>
      </c>
      <c r="W368" s="18">
        <f>'RW predict'!R367</f>
        <v>0</v>
      </c>
      <c r="X368" s="18">
        <f>'RW predict'!T367</f>
        <v>0</v>
      </c>
      <c r="Y368" s="18">
        <f>'RW predict'!Y367</f>
        <v>0</v>
      </c>
      <c r="Z368" s="18">
        <f>'RW predict'!U367</f>
        <v>0</v>
      </c>
      <c r="AA368" s="18">
        <f>'RW predict'!W367</f>
        <v>0</v>
      </c>
      <c r="AB368" s="17"/>
      <c r="AG368" s="23"/>
      <c r="AI368" s="17"/>
      <c r="AO368" s="23"/>
    </row>
    <row r="369" spans="1:61" x14ac:dyDescent="0.3">
      <c r="A369" s="18">
        <v>366</v>
      </c>
      <c r="B369" s="18" t="str">
        <f>'RW predict'!A368</f>
        <v>Sean Walker</v>
      </c>
      <c r="C369" s="18" t="str">
        <f>'RW predict'!B368</f>
        <v>LA</v>
      </c>
      <c r="D369" s="22" t="str" cm="1">
        <f t="array" ref="D369">_xlfn.SWITCH('RW predict'!C368, "C", "F", "LW","F", "RW", "F", "D", "D", "G", "G", "other")</f>
        <v>D</v>
      </c>
      <c r="E369" s="32">
        <f t="shared" si="10"/>
        <v>1212</v>
      </c>
      <c r="F369" s="35">
        <f>E369/assumptions!$B$2</f>
        <v>14.780487804878049</v>
      </c>
      <c r="G369" s="36">
        <f t="shared" si="11"/>
        <v>395</v>
      </c>
      <c r="H369" s="18">
        <f>IF(NOT(D369="G"),'RW predict'!E368,0)</f>
        <v>5</v>
      </c>
      <c r="I369" s="18">
        <f>'RW predict'!Q368</f>
        <v>92</v>
      </c>
      <c r="J369" s="18">
        <f>'RW predict'!F368</f>
        <v>20</v>
      </c>
      <c r="K369" s="18"/>
      <c r="L369" s="18"/>
      <c r="M369" s="18">
        <f>'RW predict'!P368</f>
        <v>73</v>
      </c>
      <c r="N369" s="18"/>
      <c r="O369" s="18">
        <f>'RW predict'!H368</f>
        <v>-5</v>
      </c>
      <c r="P369" s="18">
        <f>'RW predict'!I368</f>
        <v>28</v>
      </c>
      <c r="Q369" s="18">
        <f>'RW predict'!L368</f>
        <v>0</v>
      </c>
      <c r="R369" s="18">
        <f>'RW predict'!N368</f>
        <v>0</v>
      </c>
      <c r="S369" s="76">
        <f>'RW predict'!O368</f>
        <v>0</v>
      </c>
      <c r="T369" s="76">
        <f>'RW predict'!K368</f>
        <v>1</v>
      </c>
      <c r="U369" s="22">
        <f>'RW predict'!J368</f>
        <v>138</v>
      </c>
      <c r="V369" s="32">
        <f>IF(D369="G",'RW predict'!E368,0)</f>
        <v>0</v>
      </c>
      <c r="W369" s="18">
        <f>'RW predict'!R368</f>
        <v>0</v>
      </c>
      <c r="X369" s="18">
        <f>'RW predict'!T368</f>
        <v>0</v>
      </c>
      <c r="Y369" s="18">
        <f>'RW predict'!Y368</f>
        <v>0</v>
      </c>
      <c r="Z369" s="18">
        <f>'RW predict'!U368</f>
        <v>0</v>
      </c>
      <c r="AA369" s="18">
        <f>'RW predict'!W368</f>
        <v>0</v>
      </c>
      <c r="AB369" s="17"/>
      <c r="AG369" s="23"/>
      <c r="AI369" s="17"/>
      <c r="AO369" s="23"/>
    </row>
    <row r="370" spans="1:61" x14ac:dyDescent="0.3">
      <c r="A370" s="18">
        <v>367</v>
      </c>
      <c r="B370" s="18" t="str">
        <f>'RW predict'!A369</f>
        <v>Colin Blackwell</v>
      </c>
      <c r="C370" s="18" t="str">
        <f>'RW predict'!B369</f>
        <v>CHI</v>
      </c>
      <c r="D370" s="22" t="str" cm="1">
        <f t="array" ref="D370">_xlfn.SWITCH('RW predict'!C369, "C", "F", "LW","F", "RW", "F", "D", "D", "G", "G", "other")</f>
        <v>F</v>
      </c>
      <c r="E370" s="32">
        <f t="shared" si="10"/>
        <v>1008</v>
      </c>
      <c r="F370" s="35">
        <f>E370/assumptions!$B$2</f>
        <v>12.292682926829269</v>
      </c>
      <c r="G370" s="36">
        <f t="shared" si="11"/>
        <v>482</v>
      </c>
      <c r="H370" s="18">
        <f>IF(NOT(D370="G"),'RW predict'!E369,0)</f>
        <v>13</v>
      </c>
      <c r="I370" s="18">
        <f>'RW predict'!Q369</f>
        <v>29</v>
      </c>
      <c r="J370" s="18">
        <f>'RW predict'!F369</f>
        <v>12</v>
      </c>
      <c r="K370" s="18"/>
      <c r="L370" s="18"/>
      <c r="M370" s="18">
        <f>'RW predict'!P369</f>
        <v>99</v>
      </c>
      <c r="N370" s="18"/>
      <c r="O370" s="18">
        <f>'RW predict'!H369</f>
        <v>-8</v>
      </c>
      <c r="P370" s="18">
        <f>'RW predict'!I369</f>
        <v>18</v>
      </c>
      <c r="Q370" s="18">
        <f>'RW predict'!L369</f>
        <v>1</v>
      </c>
      <c r="R370" s="18">
        <f>'RW predict'!N369</f>
        <v>2</v>
      </c>
      <c r="S370" s="76">
        <f>'RW predict'!O369</f>
        <v>0</v>
      </c>
      <c r="T370" s="76">
        <f>'RW predict'!K369</f>
        <v>1</v>
      </c>
      <c r="U370" s="22">
        <f>'RW predict'!J369</f>
        <v>91</v>
      </c>
      <c r="V370" s="32">
        <f>IF(D370="G",'RW predict'!E369,0)</f>
        <v>0</v>
      </c>
      <c r="W370" s="18">
        <f>'RW predict'!R369</f>
        <v>0</v>
      </c>
      <c r="X370" s="18">
        <f>'RW predict'!T369</f>
        <v>0</v>
      </c>
      <c r="Y370" s="18">
        <f>'RW predict'!Y369</f>
        <v>0</v>
      </c>
      <c r="Z370" s="18">
        <f>'RW predict'!U369</f>
        <v>0</v>
      </c>
      <c r="AA370" s="18">
        <f>'RW predict'!W369</f>
        <v>0</v>
      </c>
      <c r="AB370" s="17"/>
      <c r="AG370" s="23"/>
      <c r="AI370" s="17"/>
      <c r="AO370" s="23"/>
    </row>
    <row r="371" spans="1:61" x14ac:dyDescent="0.3">
      <c r="A371" s="18">
        <v>368</v>
      </c>
      <c r="B371" s="18" t="str">
        <f>'RW predict'!A370</f>
        <v>Owen Power</v>
      </c>
      <c r="C371" s="18" t="str">
        <f>'RW predict'!B370</f>
        <v>BUF</v>
      </c>
      <c r="D371" s="22" t="str" cm="1">
        <f t="array" ref="D371">_xlfn.SWITCH('RW predict'!C370, "C", "F", "LW","F", "RW", "F", "D", "D", "G", "G", "other")</f>
        <v>D</v>
      </c>
      <c r="E371" s="32">
        <f t="shared" si="10"/>
        <v>1153</v>
      </c>
      <c r="F371" s="35">
        <f>E371/assumptions!$B$2</f>
        <v>14.060975609756097</v>
      </c>
      <c r="G371" s="36">
        <f t="shared" si="11"/>
        <v>427</v>
      </c>
      <c r="H371" s="18">
        <f>IF(NOT(D371="G"),'RW predict'!E370,0)</f>
        <v>6</v>
      </c>
      <c r="I371" s="18">
        <f>'RW predict'!Q370</f>
        <v>96</v>
      </c>
      <c r="J371" s="18">
        <f>'RW predict'!F370</f>
        <v>19</v>
      </c>
      <c r="K371" s="18"/>
      <c r="L371" s="18"/>
      <c r="M371" s="18">
        <f>'RW predict'!P370</f>
        <v>34</v>
      </c>
      <c r="N371" s="18"/>
      <c r="O371" s="18">
        <f>'RW predict'!H370</f>
        <v>-5</v>
      </c>
      <c r="P371" s="18">
        <f>'RW predict'!I370</f>
        <v>20</v>
      </c>
      <c r="Q371" s="18">
        <f>'RW predict'!L370</f>
        <v>2</v>
      </c>
      <c r="R371" s="18">
        <f>'RW predict'!N370</f>
        <v>0</v>
      </c>
      <c r="S371" s="76">
        <f>'RW predict'!O370</f>
        <v>2</v>
      </c>
      <c r="T371" s="76">
        <f>'RW predict'!K370</f>
        <v>1</v>
      </c>
      <c r="U371" s="22">
        <f>'RW predict'!J370</f>
        <v>116</v>
      </c>
      <c r="V371" s="32">
        <f>IF(D371="G",'RW predict'!E370,0)</f>
        <v>0</v>
      </c>
      <c r="W371" s="18">
        <f>'RW predict'!R370</f>
        <v>0</v>
      </c>
      <c r="X371" s="18">
        <f>'RW predict'!T370</f>
        <v>0</v>
      </c>
      <c r="Y371" s="18">
        <f>'RW predict'!Y370</f>
        <v>0</v>
      </c>
      <c r="Z371" s="18">
        <f>'RW predict'!U370</f>
        <v>0</v>
      </c>
      <c r="AA371" s="18">
        <f>'RW predict'!W370</f>
        <v>0</v>
      </c>
    </row>
    <row r="372" spans="1:61" x14ac:dyDescent="0.3">
      <c r="A372" s="18">
        <v>369</v>
      </c>
      <c r="B372" s="18" t="str">
        <f>'RW predict'!A371</f>
        <v>Marco Rossi</v>
      </c>
      <c r="C372" s="18" t="str">
        <f>'RW predict'!B371</f>
        <v>MIN</v>
      </c>
      <c r="D372" s="22" t="str" cm="1">
        <f t="array" ref="D372">_xlfn.SWITCH('RW predict'!C371, "C", "F", "LW","F", "RW", "F", "D", "D", "G", "G", "other")</f>
        <v>F</v>
      </c>
      <c r="E372" s="32">
        <f t="shared" si="10"/>
        <v>1097</v>
      </c>
      <c r="F372" s="35">
        <f>E372/assumptions!$B$2</f>
        <v>13.378048780487806</v>
      </c>
      <c r="G372" s="36">
        <f t="shared" si="11"/>
        <v>453</v>
      </c>
      <c r="H372" s="18">
        <f>IF(NOT(D372="G"),'RW predict'!E371,0)</f>
        <v>7</v>
      </c>
      <c r="I372" s="18">
        <f>'RW predict'!Q371</f>
        <v>23</v>
      </c>
      <c r="J372" s="18">
        <f>'RW predict'!F371</f>
        <v>18</v>
      </c>
      <c r="K372" s="18"/>
      <c r="L372" s="18"/>
      <c r="M372" s="18">
        <f>'RW predict'!P371</f>
        <v>38</v>
      </c>
      <c r="N372" s="18"/>
      <c r="O372" s="18">
        <f>'RW predict'!H371</f>
        <v>-5</v>
      </c>
      <c r="P372" s="18">
        <f>'RW predict'!I371</f>
        <v>52</v>
      </c>
      <c r="Q372" s="18">
        <f>'RW predict'!L371</f>
        <v>1</v>
      </c>
      <c r="R372" s="18">
        <f>'RW predict'!N371</f>
        <v>0</v>
      </c>
      <c r="S372" s="76">
        <f>'RW predict'!O371</f>
        <v>0</v>
      </c>
      <c r="T372" s="76">
        <f>'RW predict'!K371</f>
        <v>2</v>
      </c>
      <c r="U372" s="22">
        <f>'RW predict'!J371</f>
        <v>116</v>
      </c>
      <c r="V372" s="32">
        <f>IF(D372="G",'RW predict'!E371,0)</f>
        <v>0</v>
      </c>
      <c r="W372" s="18">
        <f>'RW predict'!R371</f>
        <v>0</v>
      </c>
      <c r="X372" s="18">
        <f>'RW predict'!T371</f>
        <v>0</v>
      </c>
      <c r="Y372" s="18">
        <f>'RW predict'!Y371</f>
        <v>0</v>
      </c>
      <c r="Z372" s="18">
        <f>'RW predict'!U371</f>
        <v>0</v>
      </c>
      <c r="AA372" s="18">
        <f>'RW predict'!W371</f>
        <v>0</v>
      </c>
      <c r="AB372" s="17"/>
      <c r="AG372" s="23"/>
      <c r="AI372" s="17"/>
      <c r="AO372" s="23"/>
    </row>
    <row r="373" spans="1:61" x14ac:dyDescent="0.3">
      <c r="A373" s="18">
        <v>370</v>
      </c>
      <c r="B373" s="18" t="str">
        <f>'RW predict'!A372</f>
        <v>Keegan Kolesar</v>
      </c>
      <c r="C373" s="18" t="str">
        <f>'RW predict'!B372</f>
        <v>VGK</v>
      </c>
      <c r="D373" s="22" t="str" cm="1">
        <f t="array" ref="D373">_xlfn.SWITCH('RW predict'!C372, "C", "F", "LW","F", "RW", "F", "D", "D", "G", "G", "other")</f>
        <v>F</v>
      </c>
      <c r="E373" s="32">
        <f t="shared" si="10"/>
        <v>1346</v>
      </c>
      <c r="F373" s="35">
        <f>E373/assumptions!$B$2</f>
        <v>16.414634146341463</v>
      </c>
      <c r="G373" s="36">
        <f t="shared" si="11"/>
        <v>346</v>
      </c>
      <c r="H373" s="18">
        <f>IF(NOT(D373="G"),'RW predict'!E372,0)</f>
        <v>8</v>
      </c>
      <c r="I373" s="18">
        <f>'RW predict'!Q372</f>
        <v>44</v>
      </c>
      <c r="J373" s="18">
        <f>'RW predict'!F372</f>
        <v>17</v>
      </c>
      <c r="K373" s="18"/>
      <c r="L373" s="18"/>
      <c r="M373" s="18">
        <f>'RW predict'!P372</f>
        <v>235</v>
      </c>
      <c r="N373" s="18"/>
      <c r="O373" s="18">
        <f>'RW predict'!H372</f>
        <v>-3</v>
      </c>
      <c r="P373" s="18">
        <f>'RW predict'!I372</f>
        <v>64</v>
      </c>
      <c r="Q373" s="18">
        <f>'RW predict'!L372</f>
        <v>1</v>
      </c>
      <c r="R373" s="18">
        <f>'RW predict'!N372</f>
        <v>1</v>
      </c>
      <c r="S373" s="76">
        <f>'RW predict'!O372</f>
        <v>0</v>
      </c>
      <c r="T373" s="76">
        <f>'RW predict'!K372</f>
        <v>1</v>
      </c>
      <c r="U373" s="22">
        <f>'RW predict'!J372</f>
        <v>93</v>
      </c>
      <c r="V373" s="32">
        <f>IF(D373="G",'RW predict'!E372,0)</f>
        <v>0</v>
      </c>
      <c r="W373" s="18">
        <f>'RW predict'!R372</f>
        <v>0</v>
      </c>
      <c r="X373" s="18">
        <f>'RW predict'!T372</f>
        <v>0</v>
      </c>
      <c r="Y373" s="18">
        <f>'RW predict'!Y372</f>
        <v>0</v>
      </c>
      <c r="Z373" s="18">
        <f>'RW predict'!U372</f>
        <v>0</v>
      </c>
      <c r="AA373" s="18">
        <f>'RW predict'!W372</f>
        <v>0</v>
      </c>
      <c r="AB373" s="17"/>
      <c r="AG373" s="23"/>
      <c r="AI373" s="17"/>
      <c r="AO373" s="23"/>
    </row>
    <row r="374" spans="1:61" x14ac:dyDescent="0.3">
      <c r="A374" s="18">
        <v>371</v>
      </c>
      <c r="B374" s="18" t="str">
        <f>'RW predict'!A373</f>
        <v>Miles Wood</v>
      </c>
      <c r="C374" s="18" t="str">
        <f>'RW predict'!B373</f>
        <v>NJ</v>
      </c>
      <c r="D374" s="22" t="str" cm="1">
        <f t="array" ref="D374">_xlfn.SWITCH('RW predict'!C373, "C", "F", "LW","F", "RW", "F", "D", "D", "G", "G", "other")</f>
        <v>F</v>
      </c>
      <c r="E374" s="32">
        <f t="shared" si="10"/>
        <v>1155</v>
      </c>
      <c r="F374" s="35">
        <f>E374/assumptions!$B$2</f>
        <v>14.085365853658537</v>
      </c>
      <c r="G374" s="36">
        <f t="shared" si="11"/>
        <v>426</v>
      </c>
      <c r="H374" s="18">
        <f>IF(NOT(D374="G"),'RW predict'!E373,0)</f>
        <v>14</v>
      </c>
      <c r="I374" s="18">
        <f>'RW predict'!Q373</f>
        <v>26</v>
      </c>
      <c r="J374" s="18">
        <f>'RW predict'!F373</f>
        <v>11</v>
      </c>
      <c r="K374" s="18"/>
      <c r="L374" s="18"/>
      <c r="M374" s="18">
        <f>'RW predict'!P373</f>
        <v>93</v>
      </c>
      <c r="N374" s="18"/>
      <c r="O374" s="18">
        <f>'RW predict'!H373</f>
        <v>-12</v>
      </c>
      <c r="P374" s="18">
        <f>'RW predict'!I373</f>
        <v>67</v>
      </c>
      <c r="Q374" s="18">
        <f>'RW predict'!L373</f>
        <v>2</v>
      </c>
      <c r="R374" s="18">
        <f>'RW predict'!N373</f>
        <v>0</v>
      </c>
      <c r="S374" s="76">
        <f>'RW predict'!O373</f>
        <v>0</v>
      </c>
      <c r="T374" s="76">
        <f>'RW predict'!K373</f>
        <v>1</v>
      </c>
      <c r="U374" s="22">
        <f>'RW predict'!J373</f>
        <v>132</v>
      </c>
      <c r="V374" s="32">
        <f>IF(D374="G",'RW predict'!E373,0)</f>
        <v>0</v>
      </c>
      <c r="W374" s="18">
        <f>'RW predict'!R373</f>
        <v>0</v>
      </c>
      <c r="X374" s="18">
        <f>'RW predict'!T373</f>
        <v>0</v>
      </c>
      <c r="Y374" s="18">
        <f>'RW predict'!Y373</f>
        <v>0</v>
      </c>
      <c r="Z374" s="18">
        <f>'RW predict'!U373</f>
        <v>0</v>
      </c>
      <c r="AA374" s="18">
        <f>'RW predict'!W373</f>
        <v>0</v>
      </c>
      <c r="AB374" s="17"/>
      <c r="AG374" s="23"/>
      <c r="AI374" s="17"/>
      <c r="AO374" s="23"/>
    </row>
    <row r="375" spans="1:61" x14ac:dyDescent="0.3">
      <c r="A375" s="18">
        <v>372</v>
      </c>
      <c r="B375" s="18" t="str">
        <f>'RW predict'!A374</f>
        <v>Luke Kunin</v>
      </c>
      <c r="C375" s="18" t="str">
        <f>'RW predict'!B374</f>
        <v>SJ</v>
      </c>
      <c r="D375" s="22" t="str" cm="1">
        <f t="array" ref="D375">_xlfn.SWITCH('RW predict'!C374, "C", "F", "LW","F", "RW", "F", "D", "D", "G", "G", "other")</f>
        <v>F</v>
      </c>
      <c r="E375" s="32">
        <f t="shared" si="10"/>
        <v>1369</v>
      </c>
      <c r="F375" s="35">
        <f>E375/assumptions!$B$2</f>
        <v>16.695121951219512</v>
      </c>
      <c r="G375" s="36">
        <f t="shared" si="11"/>
        <v>335</v>
      </c>
      <c r="H375" s="18">
        <f>IF(NOT(D375="G"),'RW predict'!E374,0)</f>
        <v>12</v>
      </c>
      <c r="I375" s="18">
        <f>'RW predict'!Q374</f>
        <v>47</v>
      </c>
      <c r="J375" s="18">
        <f>'RW predict'!F374</f>
        <v>12</v>
      </c>
      <c r="K375" s="18"/>
      <c r="L375" s="18"/>
      <c r="M375" s="18">
        <f>'RW predict'!P374</f>
        <v>202</v>
      </c>
      <c r="N375" s="18"/>
      <c r="O375" s="18">
        <f>'RW predict'!H374</f>
        <v>-8</v>
      </c>
      <c r="P375" s="18">
        <f>'RW predict'!I374</f>
        <v>87</v>
      </c>
      <c r="Q375" s="18">
        <f>'RW predict'!L374</f>
        <v>0</v>
      </c>
      <c r="R375" s="18">
        <f>'RW predict'!N374</f>
        <v>0</v>
      </c>
      <c r="S375" s="76">
        <f>'RW predict'!O374</f>
        <v>1</v>
      </c>
      <c r="T375" s="76">
        <f>'RW predict'!K374</f>
        <v>2</v>
      </c>
      <c r="U375" s="22">
        <f>'RW predict'!J374</f>
        <v>121</v>
      </c>
      <c r="V375" s="32">
        <f>IF(D375="G",'RW predict'!E374,0)</f>
        <v>0</v>
      </c>
      <c r="W375" s="18">
        <f>'RW predict'!R374</f>
        <v>0</v>
      </c>
      <c r="X375" s="18">
        <f>'RW predict'!T374</f>
        <v>0</v>
      </c>
      <c r="Y375" s="18">
        <f>'RW predict'!Y374</f>
        <v>0</v>
      </c>
      <c r="Z375" s="18">
        <f>'RW predict'!U374</f>
        <v>0</v>
      </c>
      <c r="AA375" s="18">
        <f>'RW predict'!W374</f>
        <v>0</v>
      </c>
      <c r="AB375" s="17"/>
      <c r="AG375" s="23"/>
      <c r="AI375" s="17"/>
      <c r="AO375" s="23"/>
    </row>
    <row r="376" spans="1:61" x14ac:dyDescent="0.3">
      <c r="A376" s="18">
        <v>373</v>
      </c>
      <c r="B376" s="18" t="str">
        <f>'RW predict'!A375</f>
        <v>Michael Rasmussen</v>
      </c>
      <c r="C376" s="18" t="str">
        <f>'RW predict'!B375</f>
        <v>DET</v>
      </c>
      <c r="D376" s="22" t="str" cm="1">
        <f t="array" ref="D376">_xlfn.SWITCH('RW predict'!C375, "C", "F", "LW","F", "RW", "F", "D", "D", "G", "G", "other")</f>
        <v>F</v>
      </c>
      <c r="E376" s="32">
        <f t="shared" si="10"/>
        <v>1113</v>
      </c>
      <c r="F376" s="35">
        <f>E376/assumptions!$B$2</f>
        <v>13.573170731707316</v>
      </c>
      <c r="G376" s="36">
        <f t="shared" si="11"/>
        <v>446</v>
      </c>
      <c r="H376" s="18">
        <f>IF(NOT(D376="G"),'RW predict'!E375,0)</f>
        <v>13</v>
      </c>
      <c r="I376" s="18">
        <f>'RW predict'!Q375</f>
        <v>59</v>
      </c>
      <c r="J376" s="18">
        <f>'RW predict'!F375</f>
        <v>11</v>
      </c>
      <c r="K376" s="18"/>
      <c r="L376" s="18"/>
      <c r="M376" s="18">
        <f>'RW predict'!P375</f>
        <v>137</v>
      </c>
      <c r="N376" s="18"/>
      <c r="O376" s="18">
        <f>'RW predict'!H375</f>
        <v>-19</v>
      </c>
      <c r="P376" s="18">
        <f>'RW predict'!I375</f>
        <v>62</v>
      </c>
      <c r="Q376" s="18">
        <f>'RW predict'!L375</f>
        <v>0</v>
      </c>
      <c r="R376" s="18">
        <f>'RW predict'!N375</f>
        <v>0</v>
      </c>
      <c r="S376" s="76">
        <f>'RW predict'!O375</f>
        <v>0</v>
      </c>
      <c r="T376" s="76">
        <f>'RW predict'!K375</f>
        <v>1</v>
      </c>
      <c r="U376" s="22">
        <f>'RW predict'!J375</f>
        <v>121</v>
      </c>
      <c r="V376" s="32">
        <f>IF(D376="G",'RW predict'!E375,0)</f>
        <v>0</v>
      </c>
      <c r="W376" s="18">
        <f>'RW predict'!R375</f>
        <v>0</v>
      </c>
      <c r="X376" s="18">
        <f>'RW predict'!T375</f>
        <v>0</v>
      </c>
      <c r="Y376" s="18">
        <f>'RW predict'!Y375</f>
        <v>0</v>
      </c>
      <c r="Z376" s="18">
        <f>'RW predict'!U375</f>
        <v>0</v>
      </c>
      <c r="AA376" s="18">
        <f>'RW predict'!W375</f>
        <v>0</v>
      </c>
    </row>
    <row r="377" spans="1:61" x14ac:dyDescent="0.3">
      <c r="A377" s="18">
        <v>374</v>
      </c>
      <c r="B377" s="18" t="str">
        <f>'RW predict'!A376</f>
        <v>David Kampf</v>
      </c>
      <c r="C377" s="18" t="str">
        <f>'RW predict'!B376</f>
        <v>TOR</v>
      </c>
      <c r="D377" s="22" t="str" cm="1">
        <f t="array" ref="D377">_xlfn.SWITCH('RW predict'!C376, "C", "F", "LW","F", "RW", "F", "D", "D", "G", "G", "other")</f>
        <v>F</v>
      </c>
      <c r="E377" s="32">
        <f t="shared" si="10"/>
        <v>1160</v>
      </c>
      <c r="F377" s="35">
        <f>E377/assumptions!$B$2</f>
        <v>14.146341463414634</v>
      </c>
      <c r="G377" s="36">
        <f t="shared" si="11"/>
        <v>421</v>
      </c>
      <c r="H377" s="18">
        <f>IF(NOT(D377="G"),'RW predict'!E376,0)</f>
        <v>9</v>
      </c>
      <c r="I377" s="18">
        <f>'RW predict'!Q376</f>
        <v>26</v>
      </c>
      <c r="J377" s="18">
        <f>'RW predict'!F376</f>
        <v>15</v>
      </c>
      <c r="K377" s="18"/>
      <c r="L377" s="18"/>
      <c r="M377" s="18">
        <f>'RW predict'!P376</f>
        <v>78</v>
      </c>
      <c r="N377" s="18"/>
      <c r="O377" s="18">
        <f>'RW predict'!H376</f>
        <v>7</v>
      </c>
      <c r="P377" s="18">
        <f>'RW predict'!I376</f>
        <v>20</v>
      </c>
      <c r="Q377" s="18">
        <f>'RW predict'!L376</f>
        <v>0</v>
      </c>
      <c r="R377" s="18">
        <f>'RW predict'!N376</f>
        <v>2</v>
      </c>
      <c r="S377" s="76">
        <f>'RW predict'!O376</f>
        <v>1</v>
      </c>
      <c r="T377" s="76">
        <f>'RW predict'!K376</f>
        <v>2</v>
      </c>
      <c r="U377" s="22">
        <f>'RW predict'!J376</f>
        <v>105</v>
      </c>
      <c r="V377" s="32">
        <f>IF(D377="G",'RW predict'!E376,0)</f>
        <v>0</v>
      </c>
      <c r="W377" s="18">
        <f>'RW predict'!R376</f>
        <v>0</v>
      </c>
      <c r="X377" s="18">
        <f>'RW predict'!T376</f>
        <v>0</v>
      </c>
      <c r="Y377" s="18">
        <f>'RW predict'!Y376</f>
        <v>0</v>
      </c>
      <c r="Z377" s="18">
        <f>'RW predict'!U376</f>
        <v>0</v>
      </c>
      <c r="AA377" s="18">
        <f>'RW predict'!W376</f>
        <v>0</v>
      </c>
      <c r="AB377" s="17"/>
      <c r="AG377" s="23"/>
      <c r="AI377" s="17"/>
      <c r="AO377" s="23"/>
    </row>
    <row r="378" spans="1:61" x14ac:dyDescent="0.3">
      <c r="A378" s="18">
        <v>375</v>
      </c>
      <c r="B378" s="18" t="str">
        <f>'RW predict'!A377</f>
        <v>Rudolfs Balcers</v>
      </c>
      <c r="C378" s="18" t="str">
        <f>'RW predict'!B377</f>
        <v>FLA</v>
      </c>
      <c r="D378" s="22" t="str" cm="1">
        <f t="array" ref="D378">_xlfn.SWITCH('RW predict'!C377, "C", "F", "LW","F", "RW", "F", "D", "D", "G", "G", "other")</f>
        <v>F</v>
      </c>
      <c r="E378" s="32">
        <f t="shared" si="10"/>
        <v>1187</v>
      </c>
      <c r="F378" s="35">
        <f>E378/assumptions!$B$2</f>
        <v>14.475609756097562</v>
      </c>
      <c r="G378" s="36">
        <f t="shared" si="11"/>
        <v>409</v>
      </c>
      <c r="H378" s="18">
        <f>IF(NOT(D378="G"),'RW predict'!E377,0)</f>
        <v>11</v>
      </c>
      <c r="I378" s="18">
        <f>'RW predict'!Q377</f>
        <v>44</v>
      </c>
      <c r="J378" s="18">
        <f>'RW predict'!F377</f>
        <v>13</v>
      </c>
      <c r="K378" s="18"/>
      <c r="L378" s="18"/>
      <c r="M378" s="18">
        <f>'RW predict'!P377</f>
        <v>121</v>
      </c>
      <c r="N378" s="18"/>
      <c r="O378" s="18">
        <f>'RW predict'!H377</f>
        <v>7</v>
      </c>
      <c r="P378" s="18">
        <f>'RW predict'!I377</f>
        <v>22</v>
      </c>
      <c r="Q378" s="18">
        <f>'RW predict'!L377</f>
        <v>0</v>
      </c>
      <c r="R378" s="18">
        <f>'RW predict'!N377</f>
        <v>0</v>
      </c>
      <c r="S378" s="76">
        <f>'RW predict'!O377</f>
        <v>1</v>
      </c>
      <c r="T378" s="76">
        <f>'RW predict'!K377</f>
        <v>1</v>
      </c>
      <c r="U378" s="22">
        <f>'RW predict'!J377</f>
        <v>106</v>
      </c>
      <c r="V378" s="32">
        <f>IF(D378="G",'RW predict'!E377,0)</f>
        <v>0</v>
      </c>
      <c r="W378" s="18">
        <f>'RW predict'!R377</f>
        <v>0</v>
      </c>
      <c r="X378" s="18">
        <f>'RW predict'!T377</f>
        <v>0</v>
      </c>
      <c r="Y378" s="18">
        <f>'RW predict'!Y377</f>
        <v>0</v>
      </c>
      <c r="Z378" s="18">
        <f>'RW predict'!U377</f>
        <v>0</v>
      </c>
      <c r="AA378" s="18">
        <f>'RW predict'!W377</f>
        <v>0</v>
      </c>
    </row>
    <row r="379" spans="1:61" x14ac:dyDescent="0.3">
      <c r="A379" s="18">
        <v>376</v>
      </c>
      <c r="B379" s="18" t="str">
        <f>'RW predict'!A378</f>
        <v>Carson Soucy</v>
      </c>
      <c r="C379" s="18" t="str">
        <f>'RW predict'!B378</f>
        <v>SEA</v>
      </c>
      <c r="D379" s="22" t="str" cm="1">
        <f t="array" ref="D379">_xlfn.SWITCH('RW predict'!C378, "C", "F", "LW","F", "RW", "F", "D", "D", "G", "G", "other")</f>
        <v>D</v>
      </c>
      <c r="E379" s="32">
        <f t="shared" si="10"/>
        <v>1403</v>
      </c>
      <c r="F379" s="35">
        <f>E379/assumptions!$B$2</f>
        <v>17.109756097560975</v>
      </c>
      <c r="G379" s="36">
        <f t="shared" si="11"/>
        <v>329</v>
      </c>
      <c r="H379" s="18">
        <f>IF(NOT(D379="G"),'RW predict'!E378,0)</f>
        <v>7</v>
      </c>
      <c r="I379" s="18">
        <f>'RW predict'!Q378</f>
        <v>80</v>
      </c>
      <c r="J379" s="18">
        <f>'RW predict'!F378</f>
        <v>17</v>
      </c>
      <c r="K379" s="18"/>
      <c r="L379" s="18"/>
      <c r="M379" s="18">
        <f>'RW predict'!P378</f>
        <v>127</v>
      </c>
      <c r="N379" s="18"/>
      <c r="O379" s="18">
        <f>'RW predict'!H378</f>
        <v>9</v>
      </c>
      <c r="P379" s="18">
        <f>'RW predict'!I378</f>
        <v>54</v>
      </c>
      <c r="Q379" s="18">
        <f>'RW predict'!L378</f>
        <v>0</v>
      </c>
      <c r="R379" s="18">
        <f>'RW predict'!N378</f>
        <v>1</v>
      </c>
      <c r="S379" s="76">
        <f>'RW predict'!O378</f>
        <v>1</v>
      </c>
      <c r="T379" s="76">
        <f>'RW predict'!K378</f>
        <v>1</v>
      </c>
      <c r="U379" s="22">
        <f>'RW predict'!J378</f>
        <v>107</v>
      </c>
      <c r="V379" s="32">
        <f>IF(D379="G",'RW predict'!E378,0)</f>
        <v>0</v>
      </c>
      <c r="W379" s="18">
        <f>'RW predict'!R378</f>
        <v>0</v>
      </c>
      <c r="X379" s="18">
        <f>'RW predict'!T378</f>
        <v>0</v>
      </c>
      <c r="Y379" s="18">
        <f>'RW predict'!Y378</f>
        <v>0</v>
      </c>
      <c r="Z379" s="18">
        <f>'RW predict'!U378</f>
        <v>0</v>
      </c>
      <c r="AA379" s="18">
        <f>'RW predict'!W378</f>
        <v>0</v>
      </c>
    </row>
    <row r="380" spans="1:61" x14ac:dyDescent="0.3">
      <c r="A380" s="18">
        <v>377</v>
      </c>
      <c r="B380" s="18" t="str">
        <f>'RW predict'!A379</f>
        <v>Adam Boqvist</v>
      </c>
      <c r="C380" s="18" t="str">
        <f>'RW predict'!B379</f>
        <v>CLS</v>
      </c>
      <c r="D380" s="22" t="str" cm="1">
        <f t="array" ref="D380">_xlfn.SWITCH('RW predict'!C379, "C", "F", "LW","F", "RW", "F", "D", "D", "G", "G", "other")</f>
        <v>D</v>
      </c>
      <c r="E380" s="32">
        <f t="shared" si="10"/>
        <v>922</v>
      </c>
      <c r="F380" s="35">
        <f>E380/assumptions!$B$2</f>
        <v>11.24390243902439</v>
      </c>
      <c r="G380" s="36">
        <f t="shared" si="11"/>
        <v>524</v>
      </c>
      <c r="H380" s="18">
        <f>IF(NOT(D380="G"),'RW predict'!E379,0)</f>
        <v>7</v>
      </c>
      <c r="I380" s="18">
        <f>'RW predict'!Q379</f>
        <v>58</v>
      </c>
      <c r="J380" s="18">
        <f>'RW predict'!F379</f>
        <v>17</v>
      </c>
      <c r="K380" s="18"/>
      <c r="L380" s="18"/>
      <c r="M380" s="18">
        <f>'RW predict'!P379</f>
        <v>32</v>
      </c>
      <c r="N380" s="18"/>
      <c r="O380" s="18">
        <f>'RW predict'!H379</f>
        <v>-6</v>
      </c>
      <c r="P380" s="18">
        <f>'RW predict'!I379</f>
        <v>12</v>
      </c>
      <c r="Q380" s="18">
        <f>'RW predict'!L379</f>
        <v>2</v>
      </c>
      <c r="R380" s="18">
        <f>'RW predict'!N379</f>
        <v>0</v>
      </c>
      <c r="S380" s="76">
        <f>'RW predict'!O379</f>
        <v>0</v>
      </c>
      <c r="T380" s="76">
        <f>'RW predict'!K379</f>
        <v>1</v>
      </c>
      <c r="U380" s="22">
        <f>'RW predict'!J379</f>
        <v>79</v>
      </c>
      <c r="V380" s="32">
        <f>IF(D380="G",'RW predict'!E379,0)</f>
        <v>0</v>
      </c>
      <c r="W380" s="18">
        <f>'RW predict'!R379</f>
        <v>0</v>
      </c>
      <c r="X380" s="18">
        <f>'RW predict'!T379</f>
        <v>0</v>
      </c>
      <c r="Y380" s="18">
        <f>'RW predict'!Y379</f>
        <v>0</v>
      </c>
      <c r="Z380" s="18">
        <f>'RW predict'!U379</f>
        <v>0</v>
      </c>
      <c r="AA380" s="18">
        <f>'RW predict'!W379</f>
        <v>0</v>
      </c>
    </row>
    <row r="381" spans="1:61" x14ac:dyDescent="0.3">
      <c r="A381" s="18">
        <v>378</v>
      </c>
      <c r="B381" s="18" t="str">
        <f>'RW predict'!A380</f>
        <v>Calen Addison</v>
      </c>
      <c r="C381" s="18" t="str">
        <f>'RW predict'!B380</f>
        <v>MIN</v>
      </c>
      <c r="D381" s="22" t="str" cm="1">
        <f t="array" ref="D381">_xlfn.SWITCH('RW predict'!C380, "C", "F", "LW","F", "RW", "F", "D", "D", "G", "G", "other")</f>
        <v>D</v>
      </c>
      <c r="E381" s="32">
        <f t="shared" si="10"/>
        <v>770</v>
      </c>
      <c r="F381" s="35">
        <f>E381/assumptions!$B$2</f>
        <v>9.3902439024390247</v>
      </c>
      <c r="G381" s="36">
        <f t="shared" si="11"/>
        <v>582</v>
      </c>
      <c r="H381" s="18">
        <f>IF(NOT(D381="G"),'RW predict'!E380,0)</f>
        <v>8</v>
      </c>
      <c r="I381" s="18">
        <f>'RW predict'!Q380</f>
        <v>36</v>
      </c>
      <c r="J381" s="18">
        <f>'RW predict'!F380</f>
        <v>16</v>
      </c>
      <c r="K381" s="18"/>
      <c r="L381" s="18"/>
      <c r="M381" s="18">
        <f>'RW predict'!P380</f>
        <v>56</v>
      </c>
      <c r="N381" s="18"/>
      <c r="O381" s="18">
        <f>'RW predict'!H380</f>
        <v>-1</v>
      </c>
      <c r="P381" s="18">
        <f>'RW predict'!I380</f>
        <v>4</v>
      </c>
      <c r="Q381" s="18">
        <f>'RW predict'!L380</f>
        <v>0</v>
      </c>
      <c r="R381" s="18">
        <f>'RW predict'!N380</f>
        <v>0</v>
      </c>
      <c r="S381" s="76">
        <f>'RW predict'!O380</f>
        <v>0</v>
      </c>
      <c r="T381" s="76">
        <f>'RW predict'!K380</f>
        <v>0</v>
      </c>
      <c r="U381" s="22">
        <f>'RW predict'!J380</f>
        <v>20</v>
      </c>
      <c r="V381" s="32">
        <f>IF(D381="G",'RW predict'!E380,0)</f>
        <v>0</v>
      </c>
      <c r="W381" s="18">
        <f>'RW predict'!R380</f>
        <v>0</v>
      </c>
      <c r="X381" s="18">
        <f>'RW predict'!T380</f>
        <v>0</v>
      </c>
      <c r="Y381" s="18">
        <f>'RW predict'!Y380</f>
        <v>0</v>
      </c>
      <c r="Z381" s="18">
        <f>'RW predict'!U380</f>
        <v>0</v>
      </c>
      <c r="AA381" s="18">
        <f>'RW predict'!W380</f>
        <v>0</v>
      </c>
    </row>
    <row r="382" spans="1:61" x14ac:dyDescent="0.3">
      <c r="A382" s="18">
        <v>379</v>
      </c>
      <c r="B382" s="18" t="str">
        <f>'RW predict'!A381</f>
        <v>Ryan McLeod</v>
      </c>
      <c r="C382" s="18" t="str">
        <f>'RW predict'!B381</f>
        <v>EDM</v>
      </c>
      <c r="D382" s="22" t="str" cm="1">
        <f t="array" ref="D382">_xlfn.SWITCH('RW predict'!C381, "C", "F", "LW","F", "RW", "F", "D", "D", "G", "G", "other")</f>
        <v>F</v>
      </c>
      <c r="E382" s="32">
        <f t="shared" si="10"/>
        <v>945</v>
      </c>
      <c r="F382" s="35">
        <f>E382/assumptions!$B$2</f>
        <v>11.524390243902438</v>
      </c>
      <c r="G382" s="36">
        <f t="shared" si="11"/>
        <v>514</v>
      </c>
      <c r="H382" s="18">
        <f>IF(NOT(D382="G"),'RW predict'!E381,0)</f>
        <v>10</v>
      </c>
      <c r="I382" s="18">
        <f>'RW predict'!Q381</f>
        <v>25</v>
      </c>
      <c r="J382" s="18">
        <f>'RW predict'!F381</f>
        <v>14</v>
      </c>
      <c r="K382" s="18"/>
      <c r="L382" s="18"/>
      <c r="M382" s="18">
        <f>'RW predict'!P381</f>
        <v>31</v>
      </c>
      <c r="N382" s="18"/>
      <c r="O382" s="18">
        <f>'RW predict'!H381</f>
        <v>1</v>
      </c>
      <c r="P382" s="18">
        <f>'RW predict'!I381</f>
        <v>12</v>
      </c>
      <c r="Q382" s="18">
        <f>'RW predict'!L381</f>
        <v>2</v>
      </c>
      <c r="R382" s="18">
        <f>'RW predict'!N381</f>
        <v>0</v>
      </c>
      <c r="S382" s="76">
        <f>'RW predict'!O381</f>
        <v>0</v>
      </c>
      <c r="T382" s="76">
        <f>'RW predict'!K381</f>
        <v>1</v>
      </c>
      <c r="U382" s="22">
        <f>'RW predict'!J381</f>
        <v>89</v>
      </c>
      <c r="V382" s="32">
        <f>IF(D382="G",'RW predict'!E381,0)</f>
        <v>0</v>
      </c>
      <c r="W382" s="18">
        <f>'RW predict'!R381</f>
        <v>0</v>
      </c>
      <c r="X382" s="18">
        <f>'RW predict'!T381</f>
        <v>0</v>
      </c>
      <c r="Y382" s="18">
        <f>'RW predict'!Y381</f>
        <v>0</v>
      </c>
      <c r="Z382" s="18">
        <f>'RW predict'!U381</f>
        <v>0</v>
      </c>
      <c r="AA382" s="18">
        <f>'RW predict'!W381</f>
        <v>0</v>
      </c>
    </row>
    <row r="383" spans="1:61" x14ac:dyDescent="0.3">
      <c r="A383" s="18">
        <v>380</v>
      </c>
      <c r="B383" s="18" t="str">
        <f>'RW predict'!A382</f>
        <v>Garnet Hathaway</v>
      </c>
      <c r="C383" s="18" t="str">
        <f>'RW predict'!B382</f>
        <v>WAS</v>
      </c>
      <c r="D383" s="22" t="str" cm="1">
        <f t="array" ref="D383">_xlfn.SWITCH('RW predict'!C382, "C", "F", "LW","F", "RW", "F", "D", "D", "G", "G", "other")</f>
        <v>F</v>
      </c>
      <c r="E383" s="32">
        <f t="shared" si="10"/>
        <v>1638</v>
      </c>
      <c r="F383" s="35">
        <f>E383/assumptions!$B$2</f>
        <v>19.975609756097562</v>
      </c>
      <c r="G383" s="36">
        <f t="shared" si="11"/>
        <v>248</v>
      </c>
      <c r="H383" s="18">
        <f>IF(NOT(D383="G"),'RW predict'!E382,0)</f>
        <v>12</v>
      </c>
      <c r="I383" s="18">
        <f>'RW predict'!Q382</f>
        <v>59</v>
      </c>
      <c r="J383" s="18">
        <f>'RW predict'!F382</f>
        <v>12</v>
      </c>
      <c r="K383" s="18"/>
      <c r="L383" s="18"/>
      <c r="M383" s="18">
        <f>'RW predict'!P382</f>
        <v>257</v>
      </c>
      <c r="N383" s="18"/>
      <c r="O383" s="18">
        <f>'RW predict'!H382</f>
        <v>15</v>
      </c>
      <c r="P383" s="18">
        <f>'RW predict'!I382</f>
        <v>65</v>
      </c>
      <c r="Q383" s="18">
        <f>'RW predict'!L382</f>
        <v>0</v>
      </c>
      <c r="R383" s="18">
        <f>'RW predict'!N382</f>
        <v>0</v>
      </c>
      <c r="S383" s="76">
        <f>'RW predict'!O382</f>
        <v>1</v>
      </c>
      <c r="T383" s="76">
        <f>'RW predict'!K382</f>
        <v>3</v>
      </c>
      <c r="U383" s="22">
        <f>'RW predict'!J382</f>
        <v>124</v>
      </c>
      <c r="V383" s="32">
        <f>IF(D383="G",'RW predict'!E382,0)</f>
        <v>0</v>
      </c>
      <c r="W383" s="18">
        <f>'RW predict'!R382</f>
        <v>0</v>
      </c>
      <c r="X383" s="18">
        <f>'RW predict'!T382</f>
        <v>0</v>
      </c>
      <c r="Y383" s="18">
        <f>'RW predict'!Y382</f>
        <v>0</v>
      </c>
      <c r="Z383" s="18">
        <f>'RW predict'!U382</f>
        <v>0</v>
      </c>
      <c r="AA383" s="18">
        <f>'RW predict'!W382</f>
        <v>0</v>
      </c>
    </row>
    <row r="384" spans="1:61" s="24" customFormat="1" x14ac:dyDescent="0.3">
      <c r="A384" s="18">
        <v>381</v>
      </c>
      <c r="B384" s="18" t="str">
        <f>'RW predict'!A383</f>
        <v>Tyler Ennis</v>
      </c>
      <c r="C384" s="18" t="str">
        <f>'RW predict'!B383</f>
        <v>FA</v>
      </c>
      <c r="D384" s="22" t="str" cm="1">
        <f t="array" ref="D384">_xlfn.SWITCH('RW predict'!C383, "C", "F", "LW","F", "RW", "F", "D", "D", "G", "G", "other")</f>
        <v>F</v>
      </c>
      <c r="E384" s="32">
        <f t="shared" si="10"/>
        <v>923</v>
      </c>
      <c r="F384" s="35">
        <f>E384/assumptions!$B$2</f>
        <v>11.25609756097561</v>
      </c>
      <c r="G384" s="36">
        <f t="shared" si="11"/>
        <v>523</v>
      </c>
      <c r="H384" s="18">
        <f>IF(NOT(D384="G"),'RW predict'!E383,0)</f>
        <v>9</v>
      </c>
      <c r="I384" s="18">
        <f>'RW predict'!Q383</f>
        <v>22</v>
      </c>
      <c r="J384" s="18">
        <f>'RW predict'!F383</f>
        <v>15</v>
      </c>
      <c r="K384" s="18"/>
      <c r="L384" s="18"/>
      <c r="M384" s="18">
        <f>'RW predict'!P383</f>
        <v>72</v>
      </c>
      <c r="N384" s="18"/>
      <c r="O384" s="18">
        <f>'RW predict'!H383</f>
        <v>-6</v>
      </c>
      <c r="P384" s="18">
        <f>'RW predict'!I383</f>
        <v>15</v>
      </c>
      <c r="Q384" s="18">
        <f>'RW predict'!L383</f>
        <v>2</v>
      </c>
      <c r="R384" s="18">
        <f>'RW predict'!N383</f>
        <v>0</v>
      </c>
      <c r="S384" s="76">
        <f>'RW predict'!O383</f>
        <v>0</v>
      </c>
      <c r="T384" s="76">
        <f>'RW predict'!K383</f>
        <v>1</v>
      </c>
      <c r="U384" s="22">
        <f>'RW predict'!J383</f>
        <v>91</v>
      </c>
      <c r="V384" s="32">
        <f>IF(D384="G",'RW predict'!E383,0)</f>
        <v>0</v>
      </c>
      <c r="W384" s="18">
        <f>'RW predict'!R383</f>
        <v>0</v>
      </c>
      <c r="X384" s="18">
        <f>'RW predict'!T383</f>
        <v>0</v>
      </c>
      <c r="Y384" s="18">
        <f>'RW predict'!Y383</f>
        <v>0</v>
      </c>
      <c r="Z384" s="18">
        <f>'RW predict'!U383</f>
        <v>0</v>
      </c>
      <c r="AA384" s="18">
        <f>'RW predict'!W383</f>
        <v>0</v>
      </c>
      <c r="AB384" s="18"/>
      <c r="AC384" s="18"/>
      <c r="AD384" s="18"/>
      <c r="AE384" s="18"/>
      <c r="AF384" s="19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  <c r="BA384" s="18"/>
      <c r="BB384" s="18"/>
      <c r="BC384" s="18"/>
      <c r="BD384" s="18"/>
      <c r="BE384" s="18"/>
      <c r="BF384" s="18"/>
      <c r="BG384" s="18"/>
      <c r="BH384" s="18"/>
      <c r="BI384" s="18"/>
    </row>
    <row r="385" spans="1:61" s="24" customFormat="1" x14ac:dyDescent="0.3">
      <c r="A385" s="18">
        <v>382</v>
      </c>
      <c r="B385" s="18" t="str">
        <f>'RW predict'!A384</f>
        <v>P.K. Subban</v>
      </c>
      <c r="C385" s="18" t="str">
        <f>'RW predict'!B384</f>
        <v>FA</v>
      </c>
      <c r="D385" s="22" t="str" cm="1">
        <f t="array" ref="D385">_xlfn.SWITCH('RW predict'!C384, "C", "F", "LW","F", "RW", "F", "D", "D", "G", "G", "other")</f>
        <v>D</v>
      </c>
      <c r="E385" s="32">
        <f t="shared" si="10"/>
        <v>1203</v>
      </c>
      <c r="F385" s="35">
        <f>E385/assumptions!$B$2</f>
        <v>14.670731707317072</v>
      </c>
      <c r="G385" s="36">
        <f t="shared" si="11"/>
        <v>400</v>
      </c>
      <c r="H385" s="18">
        <f>IF(NOT(D385="G"),'RW predict'!E384,0)</f>
        <v>6</v>
      </c>
      <c r="I385" s="18">
        <f>'RW predict'!Q384</f>
        <v>87</v>
      </c>
      <c r="J385" s="18">
        <f>'RW predict'!F384</f>
        <v>17</v>
      </c>
      <c r="K385" s="18"/>
      <c r="L385" s="18"/>
      <c r="M385" s="18">
        <f>'RW predict'!P384</f>
        <v>70</v>
      </c>
      <c r="N385" s="18"/>
      <c r="O385" s="18">
        <f>'RW predict'!H384</f>
        <v>-12</v>
      </c>
      <c r="P385" s="18">
        <f>'RW predict'!I384</f>
        <v>76</v>
      </c>
      <c r="Q385" s="18">
        <f>'RW predict'!L384</f>
        <v>0</v>
      </c>
      <c r="R385" s="18">
        <f>'RW predict'!N384</f>
        <v>0</v>
      </c>
      <c r="S385" s="76">
        <f>'RW predict'!O384</f>
        <v>1</v>
      </c>
      <c r="T385" s="76">
        <f>'RW predict'!K384</f>
        <v>1</v>
      </c>
      <c r="U385" s="22">
        <f>'RW predict'!J384</f>
        <v>123</v>
      </c>
      <c r="V385" s="32">
        <f>IF(D385="G",'RW predict'!E384,0)</f>
        <v>0</v>
      </c>
      <c r="W385" s="18">
        <f>'RW predict'!R384</f>
        <v>0</v>
      </c>
      <c r="X385" s="18">
        <f>'RW predict'!T384</f>
        <v>0</v>
      </c>
      <c r="Y385" s="18">
        <f>'RW predict'!Y384</f>
        <v>0</v>
      </c>
      <c r="Z385" s="18">
        <f>'RW predict'!U384</f>
        <v>0</v>
      </c>
      <c r="AA385" s="18">
        <f>'RW predict'!W384</f>
        <v>0</v>
      </c>
      <c r="AB385" s="18"/>
      <c r="AC385" s="18"/>
      <c r="AD385" s="18"/>
      <c r="AE385" s="18"/>
      <c r="AF385" s="19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  <c r="BA385" s="18"/>
      <c r="BB385" s="18"/>
      <c r="BC385" s="18"/>
      <c r="BD385" s="18"/>
      <c r="BE385" s="18"/>
      <c r="BF385" s="18"/>
      <c r="BG385" s="18"/>
      <c r="BH385" s="18"/>
      <c r="BI385" s="18"/>
    </row>
    <row r="386" spans="1:61" s="24" customFormat="1" x14ac:dyDescent="0.3">
      <c r="A386" s="18">
        <v>383</v>
      </c>
      <c r="B386" s="18" t="str">
        <f>'RW predict'!A385</f>
        <v>Alex Chiasson</v>
      </c>
      <c r="C386" s="18" t="str">
        <f>'RW predict'!B385</f>
        <v>ARI</v>
      </c>
      <c r="D386" s="22" t="str" cm="1">
        <f t="array" ref="D386">_xlfn.SWITCH('RW predict'!C385, "C", "F", "LW","F", "RW", "F", "D", "D", "G", "G", "other")</f>
        <v>F</v>
      </c>
      <c r="E386" s="32">
        <f t="shared" si="10"/>
        <v>1080</v>
      </c>
      <c r="F386" s="35">
        <f>E386/assumptions!$B$2</f>
        <v>13.170731707317072</v>
      </c>
      <c r="G386" s="36">
        <f t="shared" si="11"/>
        <v>458</v>
      </c>
      <c r="H386" s="18">
        <f>IF(NOT(D386="G"),'RW predict'!E385,0)</f>
        <v>13</v>
      </c>
      <c r="I386" s="18">
        <f>'RW predict'!Q385</f>
        <v>18</v>
      </c>
      <c r="J386" s="18">
        <f>'RW predict'!F385</f>
        <v>10</v>
      </c>
      <c r="K386" s="18"/>
      <c r="L386" s="18"/>
      <c r="M386" s="18">
        <f>'RW predict'!P385</f>
        <v>66</v>
      </c>
      <c r="N386" s="18"/>
      <c r="O386" s="18">
        <f>'RW predict'!H385</f>
        <v>1</v>
      </c>
      <c r="P386" s="18">
        <f>'RW predict'!I385</f>
        <v>29</v>
      </c>
      <c r="Q386" s="18">
        <f>'RW predict'!L385</f>
        <v>7</v>
      </c>
      <c r="R386" s="18">
        <f>'RW predict'!N385</f>
        <v>0</v>
      </c>
      <c r="S386" s="76">
        <f>'RW predict'!O385</f>
        <v>0</v>
      </c>
      <c r="T386" s="76">
        <f>'RW predict'!K385</f>
        <v>2</v>
      </c>
      <c r="U386" s="22">
        <f>'RW predict'!J385</f>
        <v>98</v>
      </c>
      <c r="V386" s="32">
        <f>IF(D386="G",'RW predict'!E385,0)</f>
        <v>0</v>
      </c>
      <c r="W386" s="18">
        <f>'RW predict'!R385</f>
        <v>0</v>
      </c>
      <c r="X386" s="18">
        <f>'RW predict'!T385</f>
        <v>0</v>
      </c>
      <c r="Y386" s="18">
        <f>'RW predict'!Y385</f>
        <v>0</v>
      </c>
      <c r="Z386" s="18">
        <f>'RW predict'!U385</f>
        <v>0</v>
      </c>
      <c r="AA386" s="18">
        <f>'RW predict'!W385</f>
        <v>0</v>
      </c>
      <c r="AB386" s="18"/>
      <c r="AC386" s="18"/>
      <c r="AD386" s="18"/>
      <c r="AE386" s="18"/>
      <c r="AF386" s="19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  <c r="BB386" s="18"/>
      <c r="BC386" s="18"/>
      <c r="BD386" s="18"/>
      <c r="BE386" s="18"/>
      <c r="BF386" s="18"/>
      <c r="BG386" s="18"/>
      <c r="BH386" s="18"/>
      <c r="BI386" s="18"/>
    </row>
    <row r="387" spans="1:61" s="24" customFormat="1" x14ac:dyDescent="0.3">
      <c r="A387" s="18">
        <v>384</v>
      </c>
      <c r="B387" s="18" t="str">
        <f>'RW predict'!A386</f>
        <v>Calle Jarnkrok</v>
      </c>
      <c r="C387" s="18" t="str">
        <f>'RW predict'!B386</f>
        <v>TOR</v>
      </c>
      <c r="D387" s="22" t="str" cm="1">
        <f t="array" ref="D387">_xlfn.SWITCH('RW predict'!C386, "C", "F", "LW","F", "RW", "F", "D", "D", "G", "G", "other")</f>
        <v>F</v>
      </c>
      <c r="E387" s="32">
        <f t="shared" si="10"/>
        <v>937</v>
      </c>
      <c r="F387" s="35">
        <f>E387/assumptions!$B$2</f>
        <v>11.426829268292684</v>
      </c>
      <c r="G387" s="36">
        <f t="shared" si="11"/>
        <v>518</v>
      </c>
      <c r="H387" s="18">
        <f>IF(NOT(D387="G"),'RW predict'!E386,0)</f>
        <v>10</v>
      </c>
      <c r="I387" s="18">
        <f>'RW predict'!Q386</f>
        <v>15</v>
      </c>
      <c r="J387" s="18">
        <f>'RW predict'!F386</f>
        <v>13</v>
      </c>
      <c r="K387" s="18"/>
      <c r="L387" s="18"/>
      <c r="M387" s="18">
        <f>'RW predict'!P386</f>
        <v>30</v>
      </c>
      <c r="N387" s="18"/>
      <c r="O387" s="18">
        <f>'RW predict'!H386</f>
        <v>-2</v>
      </c>
      <c r="P387" s="18">
        <f>'RW predict'!I386</f>
        <v>10</v>
      </c>
      <c r="Q387" s="18">
        <f>'RW predict'!L386</f>
        <v>1</v>
      </c>
      <c r="R387" s="18">
        <f>'RW predict'!N386</f>
        <v>0</v>
      </c>
      <c r="S387" s="76">
        <f>'RW predict'!O386</f>
        <v>1</v>
      </c>
      <c r="T387" s="76">
        <f>'RW predict'!K386</f>
        <v>2</v>
      </c>
      <c r="U387" s="22">
        <f>'RW predict'!J386</f>
        <v>116</v>
      </c>
      <c r="V387" s="32">
        <f>IF(D387="G",'RW predict'!E386,0)</f>
        <v>0</v>
      </c>
      <c r="W387" s="18">
        <f>'RW predict'!R386</f>
        <v>0</v>
      </c>
      <c r="X387" s="18">
        <f>'RW predict'!T386</f>
        <v>0</v>
      </c>
      <c r="Y387" s="18">
        <f>'RW predict'!Y386</f>
        <v>0</v>
      </c>
      <c r="Z387" s="18">
        <f>'RW predict'!U386</f>
        <v>0</v>
      </c>
      <c r="AA387" s="18">
        <f>'RW predict'!W386</f>
        <v>0</v>
      </c>
      <c r="AB387" s="18"/>
      <c r="AC387" s="18"/>
      <c r="AD387" s="18"/>
      <c r="AE387" s="18"/>
      <c r="AF387" s="19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  <c r="BA387" s="18"/>
      <c r="BB387" s="18"/>
      <c r="BC387" s="18"/>
      <c r="BD387" s="18"/>
      <c r="BE387" s="18"/>
      <c r="BF387" s="18"/>
      <c r="BG387" s="18"/>
      <c r="BH387" s="18"/>
      <c r="BI387" s="18"/>
    </row>
    <row r="388" spans="1:61" s="24" customFormat="1" x14ac:dyDescent="0.3">
      <c r="A388" s="18">
        <v>385</v>
      </c>
      <c r="B388" s="18" t="str">
        <f>'RW predict'!A387</f>
        <v>Derek Grant</v>
      </c>
      <c r="C388" s="18" t="str">
        <f>'RW predict'!B387</f>
        <v>ANH</v>
      </c>
      <c r="D388" s="22" t="str" cm="1">
        <f t="array" ref="D388">_xlfn.SWITCH('RW predict'!C387, "C", "F", "LW","F", "RW", "F", "D", "D", "G", "G", "other")</f>
        <v>F</v>
      </c>
      <c r="E388" s="32">
        <f t="shared" si="10"/>
        <v>995</v>
      </c>
      <c r="F388" s="35">
        <f>E388/assumptions!$B$2</f>
        <v>12.134146341463415</v>
      </c>
      <c r="G388" s="36">
        <f t="shared" si="11"/>
        <v>489</v>
      </c>
      <c r="H388" s="18">
        <f>IF(NOT(D388="G"),'RW predict'!E387,0)</f>
        <v>10</v>
      </c>
      <c r="I388" s="18">
        <f>'RW predict'!Q387</f>
        <v>49</v>
      </c>
      <c r="J388" s="18">
        <f>'RW predict'!F387</f>
        <v>13</v>
      </c>
      <c r="K388" s="18"/>
      <c r="L388" s="18"/>
      <c r="M388" s="18">
        <f>'RW predict'!P387</f>
        <v>74</v>
      </c>
      <c r="N388" s="18"/>
      <c r="O388" s="18">
        <f>'RW predict'!H387</f>
        <v>-11</v>
      </c>
      <c r="P388" s="18">
        <f>'RW predict'!I387</f>
        <v>28</v>
      </c>
      <c r="Q388" s="18">
        <f>'RW predict'!L387</f>
        <v>1</v>
      </c>
      <c r="R388" s="18">
        <f>'RW predict'!N387</f>
        <v>1</v>
      </c>
      <c r="S388" s="76">
        <f>'RW predict'!O387</f>
        <v>1</v>
      </c>
      <c r="T388" s="76">
        <f>'RW predict'!K387</f>
        <v>1</v>
      </c>
      <c r="U388" s="22">
        <f>'RW predict'!J387</f>
        <v>107</v>
      </c>
      <c r="V388" s="32">
        <f>IF(D388="G",'RW predict'!E387,0)</f>
        <v>0</v>
      </c>
      <c r="W388" s="18">
        <f>'RW predict'!R387</f>
        <v>0</v>
      </c>
      <c r="X388" s="18">
        <f>'RW predict'!T387</f>
        <v>0</v>
      </c>
      <c r="Y388" s="18">
        <f>'RW predict'!Y387</f>
        <v>0</v>
      </c>
      <c r="Z388" s="18">
        <f>'RW predict'!U387</f>
        <v>0</v>
      </c>
      <c r="AA388" s="18">
        <f>'RW predict'!W387</f>
        <v>0</v>
      </c>
      <c r="AB388" s="18"/>
      <c r="AC388" s="18"/>
      <c r="AD388" s="18"/>
      <c r="AE388" s="18"/>
      <c r="AF388" s="19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8"/>
      <c r="BC388" s="18"/>
      <c r="BD388" s="18"/>
      <c r="BE388" s="18"/>
      <c r="BF388" s="18"/>
      <c r="BG388" s="18"/>
      <c r="BH388" s="18"/>
      <c r="BI388" s="18"/>
    </row>
    <row r="389" spans="1:61" s="24" customFormat="1" x14ac:dyDescent="0.3">
      <c r="A389" s="18">
        <v>386</v>
      </c>
      <c r="B389" s="18" t="str">
        <f>'RW predict'!A388</f>
        <v>Adam Lowry</v>
      </c>
      <c r="C389" s="18" t="str">
        <f>'RW predict'!B388</f>
        <v>WPG</v>
      </c>
      <c r="D389" s="22" t="str" cm="1">
        <f t="array" ref="D389">_xlfn.SWITCH('RW predict'!C388, "C", "F", "LW","F", "RW", "F", "D", "D", "G", "G", "other")</f>
        <v>F</v>
      </c>
      <c r="E389" s="32">
        <f t="shared" ref="E389:E452" si="12">H389*$H$3+I389*I$3+K389*K$3+L389*L$3+M389*M$3+N389*N$3+V389*V$3+J389*J$3+O389*$O$3+P389*$P$3+Q389*$Q$3+R389*$R$3+S389*$S$3+T389*$T$3+U389*$U$3+W389*$W$3+X389*$X$3+Y389*$Y$3+Z389*$Z$3+AA389*$AA$3</f>
        <v>1393</v>
      </c>
      <c r="F389" s="35">
        <f>E389/assumptions!$B$2</f>
        <v>16.987804878048781</v>
      </c>
      <c r="G389" s="36">
        <f t="shared" ref="G389:G452" si="13">RANK(E389,$E$4:$E$1100)</f>
        <v>330</v>
      </c>
      <c r="H389" s="18">
        <f>IF(NOT(D389="G"),'RW predict'!E388,0)</f>
        <v>13</v>
      </c>
      <c r="I389" s="18">
        <f>'RW predict'!Q388</f>
        <v>43</v>
      </c>
      <c r="J389" s="18">
        <f>'RW predict'!F388</f>
        <v>10</v>
      </c>
      <c r="K389" s="18"/>
      <c r="L389" s="18"/>
      <c r="M389" s="18">
        <f>'RW predict'!P388</f>
        <v>231</v>
      </c>
      <c r="N389" s="18"/>
      <c r="O389" s="18">
        <f>'RW predict'!H388</f>
        <v>4</v>
      </c>
      <c r="P389" s="18">
        <f>'RW predict'!I388</f>
        <v>51</v>
      </c>
      <c r="Q389" s="18">
        <f>'RW predict'!L388</f>
        <v>0</v>
      </c>
      <c r="R389" s="18">
        <f>'RW predict'!N388</f>
        <v>2</v>
      </c>
      <c r="S389" s="76">
        <f>'RW predict'!O388</f>
        <v>2</v>
      </c>
      <c r="T389" s="76">
        <f>'RW predict'!K388</f>
        <v>1</v>
      </c>
      <c r="U389" s="22">
        <f>'RW predict'!J388</f>
        <v>114</v>
      </c>
      <c r="V389" s="32">
        <f>IF(D389="G",'RW predict'!E388,0)</f>
        <v>0</v>
      </c>
      <c r="W389" s="18">
        <f>'RW predict'!R388</f>
        <v>0</v>
      </c>
      <c r="X389" s="18">
        <f>'RW predict'!T388</f>
        <v>0</v>
      </c>
      <c r="Y389" s="18">
        <f>'RW predict'!Y388</f>
        <v>0</v>
      </c>
      <c r="Z389" s="18">
        <f>'RW predict'!U388</f>
        <v>0</v>
      </c>
      <c r="AA389" s="18">
        <f>'RW predict'!W388</f>
        <v>0</v>
      </c>
      <c r="AB389" s="18"/>
      <c r="AC389" s="18"/>
      <c r="AD389" s="18"/>
      <c r="AE389" s="18"/>
      <c r="AF389" s="19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  <c r="BA389" s="18"/>
      <c r="BB389" s="18"/>
      <c r="BC389" s="18"/>
      <c r="BD389" s="18"/>
      <c r="BE389" s="18"/>
      <c r="BF389" s="18"/>
      <c r="BG389" s="18"/>
      <c r="BH389" s="18"/>
      <c r="BI389" s="18"/>
    </row>
    <row r="390" spans="1:61" s="24" customFormat="1" x14ac:dyDescent="0.3">
      <c r="A390" s="18">
        <v>387</v>
      </c>
      <c r="B390" s="18" t="str">
        <f>'RW predict'!A389</f>
        <v>Victor Rask</v>
      </c>
      <c r="C390" s="18" t="str">
        <f>'RW predict'!B389</f>
        <v>CLS</v>
      </c>
      <c r="D390" s="22" t="str" cm="1">
        <f t="array" ref="D390">_xlfn.SWITCH('RW predict'!C389, "C", "F", "LW","F", "RW", "F", "D", "D", "G", "G", "other")</f>
        <v>F</v>
      </c>
      <c r="E390" s="32">
        <f t="shared" si="12"/>
        <v>797</v>
      </c>
      <c r="F390" s="35">
        <f>E390/assumptions!$B$2</f>
        <v>9.7195121951219505</v>
      </c>
      <c r="G390" s="36">
        <f t="shared" si="13"/>
        <v>575</v>
      </c>
      <c r="H390" s="18">
        <f>IF(NOT(D390="G"),'RW predict'!E389,0)</f>
        <v>10</v>
      </c>
      <c r="I390" s="18">
        <f>'RW predict'!Q389</f>
        <v>7</v>
      </c>
      <c r="J390" s="18">
        <f>'RW predict'!F389</f>
        <v>13</v>
      </c>
      <c r="K390" s="18"/>
      <c r="L390" s="18"/>
      <c r="M390" s="18">
        <f>'RW predict'!P389</f>
        <v>19</v>
      </c>
      <c r="N390" s="18"/>
      <c r="O390" s="18">
        <f>'RW predict'!H389</f>
        <v>4</v>
      </c>
      <c r="P390" s="18">
        <f>'RW predict'!I389</f>
        <v>3</v>
      </c>
      <c r="Q390" s="18">
        <f>'RW predict'!L389</f>
        <v>0</v>
      </c>
      <c r="R390" s="18">
        <f>'RW predict'!N389</f>
        <v>0</v>
      </c>
      <c r="S390" s="76">
        <f>'RW predict'!O389</f>
        <v>0</v>
      </c>
      <c r="T390" s="76">
        <f>'RW predict'!K389</f>
        <v>1</v>
      </c>
      <c r="U390" s="22">
        <f>'RW predict'!J389</f>
        <v>60</v>
      </c>
      <c r="V390" s="32">
        <f>IF(D390="G",'RW predict'!E389,0)</f>
        <v>0</v>
      </c>
      <c r="W390" s="18">
        <f>'RW predict'!R389</f>
        <v>0</v>
      </c>
      <c r="X390" s="18">
        <f>'RW predict'!T389</f>
        <v>0</v>
      </c>
      <c r="Y390" s="18">
        <f>'RW predict'!Y389</f>
        <v>0</v>
      </c>
      <c r="Z390" s="18">
        <f>'RW predict'!U389</f>
        <v>0</v>
      </c>
      <c r="AA390" s="18">
        <f>'RW predict'!W389</f>
        <v>0</v>
      </c>
      <c r="AB390" s="18"/>
      <c r="AC390" s="18"/>
      <c r="AD390" s="18"/>
      <c r="AE390" s="18"/>
      <c r="AF390" s="19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  <c r="BB390" s="18"/>
      <c r="BC390" s="18"/>
      <c r="BD390" s="18"/>
      <c r="BE390" s="18"/>
      <c r="BF390" s="18"/>
      <c r="BG390" s="18"/>
      <c r="BH390" s="18"/>
      <c r="BI390" s="18"/>
    </row>
    <row r="391" spans="1:61" s="24" customFormat="1" x14ac:dyDescent="0.3">
      <c r="A391" s="18">
        <v>388</v>
      </c>
      <c r="B391" s="18" t="str">
        <f>'RW predict'!A390</f>
        <v>Adam Larsson</v>
      </c>
      <c r="C391" s="18" t="str">
        <f>'RW predict'!B390</f>
        <v>SEA</v>
      </c>
      <c r="D391" s="22" t="str" cm="1">
        <f t="array" ref="D391">_xlfn.SWITCH('RW predict'!C390, "C", "F", "LW","F", "RW", "F", "D", "D", "G", "G", "other")</f>
        <v>D</v>
      </c>
      <c r="E391" s="32">
        <f t="shared" si="12"/>
        <v>1314</v>
      </c>
      <c r="F391" s="35">
        <f>E391/assumptions!$B$2</f>
        <v>16.024390243902438</v>
      </c>
      <c r="G391" s="36">
        <f t="shared" si="13"/>
        <v>362</v>
      </c>
      <c r="H391" s="18">
        <f>IF(NOT(D391="G"),'RW predict'!E390,0)</f>
        <v>7</v>
      </c>
      <c r="I391" s="18">
        <f>'RW predict'!Q390</f>
        <v>146</v>
      </c>
      <c r="J391" s="18">
        <f>'RW predict'!F390</f>
        <v>16</v>
      </c>
      <c r="K391" s="18"/>
      <c r="L391" s="18"/>
      <c r="M391" s="18">
        <f>'RW predict'!P390</f>
        <v>191</v>
      </c>
      <c r="N391" s="18"/>
      <c r="O391" s="18">
        <f>'RW predict'!H390</f>
        <v>-16</v>
      </c>
      <c r="P391" s="18">
        <f>'RW predict'!I390</f>
        <v>52</v>
      </c>
      <c r="Q391" s="18">
        <f>'RW predict'!L390</f>
        <v>0</v>
      </c>
      <c r="R391" s="18">
        <f>'RW predict'!N390</f>
        <v>0</v>
      </c>
      <c r="S391" s="76">
        <f>'RW predict'!O390</f>
        <v>1</v>
      </c>
      <c r="T391" s="76">
        <f>'RW predict'!K390</f>
        <v>1</v>
      </c>
      <c r="U391" s="22">
        <f>'RW predict'!J390</f>
        <v>115</v>
      </c>
      <c r="V391" s="32">
        <f>IF(D391="G",'RW predict'!E390,0)</f>
        <v>0</v>
      </c>
      <c r="W391" s="18">
        <f>'RW predict'!R390</f>
        <v>0</v>
      </c>
      <c r="X391" s="18">
        <f>'RW predict'!T390</f>
        <v>0</v>
      </c>
      <c r="Y391" s="18">
        <f>'RW predict'!Y390</f>
        <v>0</v>
      </c>
      <c r="Z391" s="18">
        <f>'RW predict'!U390</f>
        <v>0</v>
      </c>
      <c r="AA391" s="18">
        <f>'RW predict'!W390</f>
        <v>0</v>
      </c>
      <c r="AB391" s="18"/>
      <c r="AC391" s="18"/>
      <c r="AD391" s="18"/>
      <c r="AE391" s="18"/>
      <c r="AF391" s="19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  <c r="BA391" s="18"/>
      <c r="BB391" s="18"/>
      <c r="BC391" s="18"/>
      <c r="BD391" s="18"/>
      <c r="BE391" s="18"/>
      <c r="BF391" s="18"/>
      <c r="BG391" s="18"/>
      <c r="BH391" s="18"/>
      <c r="BI391" s="18"/>
    </row>
    <row r="392" spans="1:61" s="24" customFormat="1" x14ac:dyDescent="0.3">
      <c r="A392" s="18">
        <v>389</v>
      </c>
      <c r="B392" s="18" t="str">
        <f>'RW predict'!A391</f>
        <v>Nic Dowd</v>
      </c>
      <c r="C392" s="18" t="str">
        <f>'RW predict'!B391</f>
        <v>WAS</v>
      </c>
      <c r="D392" s="22" t="str" cm="1">
        <f t="array" ref="D392">_xlfn.SWITCH('RW predict'!C391, "C", "F", "LW","F", "RW", "F", "D", "D", "G", "G", "other")</f>
        <v>F</v>
      </c>
      <c r="E392" s="32">
        <f t="shared" si="12"/>
        <v>1251</v>
      </c>
      <c r="F392" s="35">
        <f>E392/assumptions!$B$2</f>
        <v>15.25609756097561</v>
      </c>
      <c r="G392" s="36">
        <f t="shared" si="13"/>
        <v>384</v>
      </c>
      <c r="H392" s="18">
        <f>IF(NOT(D392="G"),'RW predict'!E391,0)</f>
        <v>11</v>
      </c>
      <c r="I392" s="18">
        <f>'RW predict'!Q391</f>
        <v>52</v>
      </c>
      <c r="J392" s="18">
        <f>'RW predict'!F391</f>
        <v>12</v>
      </c>
      <c r="K392" s="18"/>
      <c r="L392" s="18"/>
      <c r="M392" s="18">
        <f>'RW predict'!P391</f>
        <v>140</v>
      </c>
      <c r="N392" s="18"/>
      <c r="O392" s="18">
        <f>'RW predict'!H391</f>
        <v>8</v>
      </c>
      <c r="P392" s="18">
        <f>'RW predict'!I391</f>
        <v>42</v>
      </c>
      <c r="Q392" s="18">
        <f>'RW predict'!L391</f>
        <v>0</v>
      </c>
      <c r="R392" s="18">
        <f>'RW predict'!N391</f>
        <v>1</v>
      </c>
      <c r="S392" s="76">
        <f>'RW predict'!O391</f>
        <v>0</v>
      </c>
      <c r="T392" s="76">
        <f>'RW predict'!K391</f>
        <v>1</v>
      </c>
      <c r="U392" s="22">
        <f>'RW predict'!J391</f>
        <v>93</v>
      </c>
      <c r="V392" s="32">
        <f>IF(D392="G",'RW predict'!E391,0)</f>
        <v>0</v>
      </c>
      <c r="W392" s="18">
        <f>'RW predict'!R391</f>
        <v>0</v>
      </c>
      <c r="X392" s="18">
        <f>'RW predict'!T391</f>
        <v>0</v>
      </c>
      <c r="Y392" s="18">
        <f>'RW predict'!Y391</f>
        <v>0</v>
      </c>
      <c r="Z392" s="18">
        <f>'RW predict'!U391</f>
        <v>0</v>
      </c>
      <c r="AA392" s="18">
        <f>'RW predict'!W391</f>
        <v>0</v>
      </c>
      <c r="AB392" s="18"/>
      <c r="AC392" s="18"/>
      <c r="AD392" s="18"/>
      <c r="AE392" s="18"/>
      <c r="AF392" s="19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  <c r="BB392" s="18"/>
      <c r="BC392" s="18"/>
      <c r="BD392" s="18"/>
      <c r="BE392" s="18"/>
      <c r="BF392" s="18"/>
      <c r="BG392" s="18"/>
      <c r="BH392" s="18"/>
      <c r="BI392" s="18"/>
    </row>
    <row r="393" spans="1:61" s="24" customFormat="1" x14ac:dyDescent="0.3">
      <c r="A393" s="18">
        <v>390</v>
      </c>
      <c r="B393" s="18" t="str">
        <f>'RW predict'!A392</f>
        <v>Radek Faksa</v>
      </c>
      <c r="C393" s="18" t="str">
        <f>'RW predict'!B392</f>
        <v>DAL</v>
      </c>
      <c r="D393" s="22" t="str" cm="1">
        <f t="array" ref="D393">_xlfn.SWITCH('RW predict'!C392, "C", "F", "LW","F", "RW", "F", "D", "D", "G", "G", "other")</f>
        <v>F</v>
      </c>
      <c r="E393" s="32">
        <f t="shared" si="12"/>
        <v>1159</v>
      </c>
      <c r="F393" s="35">
        <f>E393/assumptions!$B$2</f>
        <v>14.134146341463415</v>
      </c>
      <c r="G393" s="36">
        <f t="shared" si="13"/>
        <v>423</v>
      </c>
      <c r="H393" s="18">
        <f>IF(NOT(D393="G"),'RW predict'!E392,0)</f>
        <v>8</v>
      </c>
      <c r="I393" s="18">
        <f>'RW predict'!Q392</f>
        <v>67</v>
      </c>
      <c r="J393" s="18">
        <f>'RW predict'!F392</f>
        <v>15</v>
      </c>
      <c r="K393" s="18"/>
      <c r="L393" s="18"/>
      <c r="M393" s="18">
        <f>'RW predict'!P392</f>
        <v>130</v>
      </c>
      <c r="N393" s="18"/>
      <c r="O393" s="18">
        <f>'RW predict'!H392</f>
        <v>-14</v>
      </c>
      <c r="P393" s="18">
        <f>'RW predict'!I392</f>
        <v>48</v>
      </c>
      <c r="Q393" s="18">
        <f>'RW predict'!L392</f>
        <v>1</v>
      </c>
      <c r="R393" s="18">
        <f>'RW predict'!N392</f>
        <v>2</v>
      </c>
      <c r="S393" s="76">
        <f>'RW predict'!O392</f>
        <v>1</v>
      </c>
      <c r="T393" s="76">
        <f>'RW predict'!K392</f>
        <v>2</v>
      </c>
      <c r="U393" s="22">
        <f>'RW predict'!J392</f>
        <v>108</v>
      </c>
      <c r="V393" s="32">
        <f>IF(D393="G",'RW predict'!E392,0)</f>
        <v>0</v>
      </c>
      <c r="W393" s="18">
        <f>'RW predict'!R392</f>
        <v>0</v>
      </c>
      <c r="X393" s="18">
        <f>'RW predict'!T392</f>
        <v>0</v>
      </c>
      <c r="Y393" s="18">
        <f>'RW predict'!Y392</f>
        <v>0</v>
      </c>
      <c r="Z393" s="18">
        <f>'RW predict'!U392</f>
        <v>0</v>
      </c>
      <c r="AA393" s="18">
        <f>'RW predict'!W392</f>
        <v>0</v>
      </c>
      <c r="AB393" s="18"/>
      <c r="AC393" s="18"/>
      <c r="AD393" s="18"/>
      <c r="AE393" s="18"/>
      <c r="AF393" s="19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8"/>
      <c r="BC393" s="18"/>
      <c r="BD393" s="18"/>
      <c r="BE393" s="18"/>
      <c r="BF393" s="18"/>
      <c r="BG393" s="18"/>
      <c r="BH393" s="18"/>
      <c r="BI393" s="18"/>
    </row>
    <row r="394" spans="1:61" s="24" customFormat="1" x14ac:dyDescent="0.3">
      <c r="A394" s="18">
        <v>391</v>
      </c>
      <c r="B394" s="18" t="str">
        <f>'RW predict'!A393</f>
        <v>Zach Sanford</v>
      </c>
      <c r="C394" s="18" t="str">
        <f>'RW predict'!B393</f>
        <v>NSH</v>
      </c>
      <c r="D394" s="22" t="str" cm="1">
        <f t="array" ref="D394">_xlfn.SWITCH('RW predict'!C393, "C", "F", "LW","F", "RW", "F", "D", "D", "G", "G", "other")</f>
        <v>F</v>
      </c>
      <c r="E394" s="32">
        <f t="shared" si="12"/>
        <v>1188</v>
      </c>
      <c r="F394" s="35">
        <f>E394/assumptions!$B$2</f>
        <v>14.487804878048781</v>
      </c>
      <c r="G394" s="36">
        <f t="shared" si="13"/>
        <v>408</v>
      </c>
      <c r="H394" s="18">
        <f>IF(NOT(D394="G"),'RW predict'!E393,0)</f>
        <v>11</v>
      </c>
      <c r="I394" s="18">
        <f>'RW predict'!Q393</f>
        <v>58</v>
      </c>
      <c r="J394" s="18">
        <f>'RW predict'!F393</f>
        <v>12</v>
      </c>
      <c r="K394" s="18"/>
      <c r="L394" s="18"/>
      <c r="M394" s="18">
        <f>'RW predict'!P393</f>
        <v>151</v>
      </c>
      <c r="N394" s="18"/>
      <c r="O394" s="18">
        <f>'RW predict'!H393</f>
        <v>-3</v>
      </c>
      <c r="P394" s="18">
        <f>'RW predict'!I393</f>
        <v>46</v>
      </c>
      <c r="Q394" s="18">
        <f>'RW predict'!L393</f>
        <v>1</v>
      </c>
      <c r="R394" s="18">
        <f>'RW predict'!N393</f>
        <v>0</v>
      </c>
      <c r="S394" s="76">
        <f>'RW predict'!O393</f>
        <v>0</v>
      </c>
      <c r="T394" s="76">
        <f>'RW predict'!K393</f>
        <v>1</v>
      </c>
      <c r="U394" s="22">
        <f>'RW predict'!J393</f>
        <v>104</v>
      </c>
      <c r="V394" s="32">
        <f>IF(D394="G",'RW predict'!E393,0)</f>
        <v>0</v>
      </c>
      <c r="W394" s="18">
        <f>'RW predict'!R393</f>
        <v>0</v>
      </c>
      <c r="X394" s="18">
        <f>'RW predict'!T393</f>
        <v>0</v>
      </c>
      <c r="Y394" s="18">
        <f>'RW predict'!Y393</f>
        <v>0</v>
      </c>
      <c r="Z394" s="18">
        <f>'RW predict'!U393</f>
        <v>0</v>
      </c>
      <c r="AA394" s="18">
        <f>'RW predict'!W393</f>
        <v>0</v>
      </c>
      <c r="AB394" s="18"/>
      <c r="AC394" s="18"/>
      <c r="AD394" s="18"/>
      <c r="AE394" s="18"/>
      <c r="AF394" s="19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8"/>
      <c r="BC394" s="18"/>
      <c r="BD394" s="18"/>
      <c r="BE394" s="18"/>
      <c r="BF394" s="18"/>
      <c r="BG394" s="18"/>
      <c r="BH394" s="18"/>
      <c r="BI394" s="18"/>
    </row>
    <row r="395" spans="1:61" s="24" customFormat="1" x14ac:dyDescent="0.3">
      <c r="A395" s="18">
        <v>392</v>
      </c>
      <c r="B395" s="18" t="str">
        <f>'RW predict'!A394</f>
        <v>Artem Zub</v>
      </c>
      <c r="C395" s="18" t="str">
        <f>'RW predict'!B394</f>
        <v>OTT</v>
      </c>
      <c r="D395" s="22" t="str" cm="1">
        <f t="array" ref="D395">_xlfn.SWITCH('RW predict'!C394, "C", "F", "LW","F", "RW", "F", "D", "D", "G", "G", "other")</f>
        <v>D</v>
      </c>
      <c r="E395" s="32">
        <f t="shared" si="12"/>
        <v>1360</v>
      </c>
      <c r="F395" s="35">
        <f>E395/assumptions!$B$2</f>
        <v>16.585365853658537</v>
      </c>
      <c r="G395" s="36">
        <f t="shared" si="13"/>
        <v>339</v>
      </c>
      <c r="H395" s="18">
        <f>IF(NOT(D395="G"),'RW predict'!E394,0)</f>
        <v>6</v>
      </c>
      <c r="I395" s="18">
        <f>'RW predict'!Q394</f>
        <v>120</v>
      </c>
      <c r="J395" s="18">
        <f>'RW predict'!F394</f>
        <v>17</v>
      </c>
      <c r="K395" s="18"/>
      <c r="L395" s="18"/>
      <c r="M395" s="18">
        <f>'RW predict'!P394</f>
        <v>151</v>
      </c>
      <c r="N395" s="18"/>
      <c r="O395" s="18">
        <f>'RW predict'!H394</f>
        <v>2</v>
      </c>
      <c r="P395" s="18">
        <f>'RW predict'!I394</f>
        <v>58</v>
      </c>
      <c r="Q395" s="18">
        <f>'RW predict'!L394</f>
        <v>0</v>
      </c>
      <c r="R395" s="18">
        <f>'RW predict'!N394</f>
        <v>0</v>
      </c>
      <c r="S395" s="76">
        <f>'RW predict'!O394</f>
        <v>0</v>
      </c>
      <c r="T395" s="76">
        <f>'RW predict'!K394</f>
        <v>1</v>
      </c>
      <c r="U395" s="22">
        <f>'RW predict'!J394</f>
        <v>90</v>
      </c>
      <c r="V395" s="32">
        <f>IF(D395="G",'RW predict'!E394,0)</f>
        <v>0</v>
      </c>
      <c r="W395" s="18">
        <f>'RW predict'!R394</f>
        <v>0</v>
      </c>
      <c r="X395" s="18">
        <f>'RW predict'!T394</f>
        <v>0</v>
      </c>
      <c r="Y395" s="18">
        <f>'RW predict'!Y394</f>
        <v>0</v>
      </c>
      <c r="Z395" s="18">
        <f>'RW predict'!U394</f>
        <v>0</v>
      </c>
      <c r="AA395" s="18">
        <f>'RW predict'!W394</f>
        <v>0</v>
      </c>
      <c r="AB395" s="18"/>
      <c r="AC395" s="18"/>
      <c r="AD395" s="18"/>
      <c r="AE395" s="18"/>
      <c r="AF395" s="19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8"/>
      <c r="BC395" s="18"/>
      <c r="BD395" s="18"/>
      <c r="BE395" s="18"/>
      <c r="BF395" s="18"/>
      <c r="BG395" s="18"/>
      <c r="BH395" s="18"/>
      <c r="BI395" s="18"/>
    </row>
    <row r="396" spans="1:61" s="24" customFormat="1" x14ac:dyDescent="0.3">
      <c r="A396" s="18">
        <v>393</v>
      </c>
      <c r="B396" s="18" t="str">
        <f>'RW predict'!A395</f>
        <v>Eric Robinson</v>
      </c>
      <c r="C396" s="18" t="str">
        <f>'RW predict'!B395</f>
        <v>CLS</v>
      </c>
      <c r="D396" s="22" t="str" cm="1">
        <f t="array" ref="D396">_xlfn.SWITCH('RW predict'!C395, "C", "F", "LW","F", "RW", "F", "D", "D", "G", "G", "other")</f>
        <v>F</v>
      </c>
      <c r="E396" s="32">
        <f t="shared" si="12"/>
        <v>975</v>
      </c>
      <c r="F396" s="35">
        <f>E396/assumptions!$B$2</f>
        <v>11.890243902439025</v>
      </c>
      <c r="G396" s="36">
        <f t="shared" si="13"/>
        <v>497</v>
      </c>
      <c r="H396" s="18">
        <f>IF(NOT(D396="G"),'RW predict'!E395,0)</f>
        <v>9</v>
      </c>
      <c r="I396" s="18">
        <f>'RW predict'!Q395</f>
        <v>18</v>
      </c>
      <c r="J396" s="18">
        <f>'RW predict'!F395</f>
        <v>14</v>
      </c>
      <c r="K396" s="18"/>
      <c r="L396" s="18"/>
      <c r="M396" s="18">
        <f>'RW predict'!P395</f>
        <v>104</v>
      </c>
      <c r="N396" s="18"/>
      <c r="O396" s="18">
        <f>'RW predict'!H395</f>
        <v>-3</v>
      </c>
      <c r="P396" s="18">
        <f>'RW predict'!I395</f>
        <v>16</v>
      </c>
      <c r="Q396" s="18">
        <f>'RW predict'!L395</f>
        <v>0</v>
      </c>
      <c r="R396" s="18">
        <f>'RW predict'!N395</f>
        <v>1</v>
      </c>
      <c r="S396" s="76">
        <f>'RW predict'!O395</f>
        <v>0</v>
      </c>
      <c r="T396" s="76">
        <f>'RW predict'!K395</f>
        <v>1</v>
      </c>
      <c r="U396" s="22">
        <f>'RW predict'!J395</f>
        <v>101</v>
      </c>
      <c r="V396" s="32">
        <f>IF(D396="G",'RW predict'!E395,0)</f>
        <v>0</v>
      </c>
      <c r="W396" s="18">
        <f>'RW predict'!R395</f>
        <v>0</v>
      </c>
      <c r="X396" s="18">
        <f>'RW predict'!T395</f>
        <v>0</v>
      </c>
      <c r="Y396" s="18">
        <f>'RW predict'!Y395</f>
        <v>0</v>
      </c>
      <c r="Z396" s="18">
        <f>'RW predict'!U395</f>
        <v>0</v>
      </c>
      <c r="AA396" s="18">
        <f>'RW predict'!W395</f>
        <v>0</v>
      </c>
      <c r="AB396" s="18"/>
      <c r="AC396" s="18"/>
      <c r="AD396" s="18"/>
      <c r="AE396" s="18"/>
      <c r="AF396" s="19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8"/>
      <c r="BC396" s="18"/>
      <c r="BD396" s="18"/>
      <c r="BE396" s="18"/>
      <c r="BF396" s="18"/>
      <c r="BG396" s="18"/>
      <c r="BH396" s="18"/>
      <c r="BI396" s="18"/>
    </row>
    <row r="397" spans="1:61" s="24" customFormat="1" x14ac:dyDescent="0.3">
      <c r="A397" s="18">
        <v>394</v>
      </c>
      <c r="B397" s="18" t="str">
        <f>'RW predict'!A396</f>
        <v>Mason Appleton</v>
      </c>
      <c r="C397" s="18" t="str">
        <f>'RW predict'!B396</f>
        <v>WPG</v>
      </c>
      <c r="D397" s="22" t="str" cm="1">
        <f t="array" ref="D397">_xlfn.SWITCH('RW predict'!C396, "C", "F", "LW","F", "RW", "F", "D", "D", "G", "G", "other")</f>
        <v>F</v>
      </c>
      <c r="E397" s="32">
        <f t="shared" si="12"/>
        <v>1022</v>
      </c>
      <c r="F397" s="35">
        <f>E397/assumptions!$B$2</f>
        <v>12.463414634146341</v>
      </c>
      <c r="G397" s="36">
        <f t="shared" si="13"/>
        <v>479</v>
      </c>
      <c r="H397" s="18">
        <f>IF(NOT(D397="G"),'RW predict'!E396,0)</f>
        <v>10</v>
      </c>
      <c r="I397" s="18">
        <f>'RW predict'!Q396</f>
        <v>20</v>
      </c>
      <c r="J397" s="18">
        <f>'RW predict'!F396</f>
        <v>13</v>
      </c>
      <c r="K397" s="18"/>
      <c r="L397" s="18"/>
      <c r="M397" s="18">
        <f>'RW predict'!P396</f>
        <v>61</v>
      </c>
      <c r="N397" s="18"/>
      <c r="O397" s="18">
        <f>'RW predict'!H396</f>
        <v>3</v>
      </c>
      <c r="P397" s="18">
        <f>'RW predict'!I396</f>
        <v>28</v>
      </c>
      <c r="Q397" s="18">
        <f>'RW predict'!L396</f>
        <v>0</v>
      </c>
      <c r="R397" s="18">
        <f>'RW predict'!N396</f>
        <v>0</v>
      </c>
      <c r="S397" s="76">
        <f>'RW predict'!O396</f>
        <v>0</v>
      </c>
      <c r="T397" s="76">
        <f>'RW predict'!K396</f>
        <v>2</v>
      </c>
      <c r="U397" s="22">
        <f>'RW predict'!J396</f>
        <v>96</v>
      </c>
      <c r="V397" s="32">
        <f>IF(D397="G",'RW predict'!E396,0)</f>
        <v>0</v>
      </c>
      <c r="W397" s="18">
        <f>'RW predict'!R396</f>
        <v>0</v>
      </c>
      <c r="X397" s="18">
        <f>'RW predict'!T396</f>
        <v>0</v>
      </c>
      <c r="Y397" s="18">
        <f>'RW predict'!Y396</f>
        <v>0</v>
      </c>
      <c r="Z397" s="18">
        <f>'RW predict'!U396</f>
        <v>0</v>
      </c>
      <c r="AA397" s="18">
        <f>'RW predict'!W396</f>
        <v>0</v>
      </c>
      <c r="AB397" s="18"/>
      <c r="AC397" s="18"/>
      <c r="AD397" s="18"/>
      <c r="AE397" s="18"/>
      <c r="AF397" s="19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8"/>
      <c r="BC397" s="18"/>
      <c r="BD397" s="18"/>
      <c r="BE397" s="18"/>
      <c r="BF397" s="18"/>
      <c r="BG397" s="18"/>
      <c r="BH397" s="18"/>
      <c r="BI397" s="18"/>
    </row>
    <row r="398" spans="1:61" s="24" customFormat="1" x14ac:dyDescent="0.3">
      <c r="A398" s="18">
        <v>395</v>
      </c>
      <c r="B398" s="18" t="str">
        <f>'RW predict'!A397</f>
        <v>Eetu Luostarinen</v>
      </c>
      <c r="C398" s="18" t="str">
        <f>'RW predict'!B397</f>
        <v>FLA</v>
      </c>
      <c r="D398" s="22" t="str" cm="1">
        <f t="array" ref="D398">_xlfn.SWITCH('RW predict'!C397, "C", "F", "LW","F", "RW", "F", "D", "D", "G", "G", "other")</f>
        <v>F</v>
      </c>
      <c r="E398" s="32">
        <f t="shared" si="12"/>
        <v>993</v>
      </c>
      <c r="F398" s="35">
        <f>E398/assumptions!$B$2</f>
        <v>12.109756097560975</v>
      </c>
      <c r="G398" s="36">
        <f t="shared" si="13"/>
        <v>490</v>
      </c>
      <c r="H398" s="18">
        <f>IF(NOT(D398="G"),'RW predict'!E397,0)</f>
        <v>8</v>
      </c>
      <c r="I398" s="18">
        <f>'RW predict'!Q397</f>
        <v>42</v>
      </c>
      <c r="J398" s="18">
        <f>'RW predict'!F397</f>
        <v>14</v>
      </c>
      <c r="K398" s="18"/>
      <c r="L398" s="18"/>
      <c r="M398" s="18">
        <f>'RW predict'!P397</f>
        <v>97</v>
      </c>
      <c r="N398" s="18"/>
      <c r="O398" s="18">
        <f>'RW predict'!H397</f>
        <v>0</v>
      </c>
      <c r="P398" s="18">
        <f>'RW predict'!I397</f>
        <v>12</v>
      </c>
      <c r="Q398" s="18">
        <f>'RW predict'!L397</f>
        <v>0</v>
      </c>
      <c r="R398" s="18">
        <f>'RW predict'!N397</f>
        <v>1</v>
      </c>
      <c r="S398" s="76">
        <f>'RW predict'!O397</f>
        <v>1</v>
      </c>
      <c r="T398" s="76">
        <f>'RW predict'!K397</f>
        <v>2</v>
      </c>
      <c r="U398" s="22">
        <f>'RW predict'!J397</f>
        <v>78</v>
      </c>
      <c r="V398" s="32">
        <f>IF(D398="G",'RW predict'!E397,0)</f>
        <v>0</v>
      </c>
      <c r="W398" s="18">
        <f>'RW predict'!R397</f>
        <v>0</v>
      </c>
      <c r="X398" s="18">
        <f>'RW predict'!T397</f>
        <v>0</v>
      </c>
      <c r="Y398" s="18">
        <f>'RW predict'!Y397</f>
        <v>0</v>
      </c>
      <c r="Z398" s="18">
        <f>'RW predict'!U397</f>
        <v>0</v>
      </c>
      <c r="AA398" s="18">
        <f>'RW predict'!W397</f>
        <v>0</v>
      </c>
      <c r="AB398" s="18"/>
      <c r="AC398" s="18"/>
      <c r="AD398" s="18"/>
      <c r="AE398" s="18"/>
      <c r="AF398" s="19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8"/>
      <c r="BC398" s="18"/>
      <c r="BD398" s="18"/>
      <c r="BE398" s="18"/>
      <c r="BF398" s="18"/>
      <c r="BG398" s="18"/>
      <c r="BH398" s="18"/>
      <c r="BI398" s="18"/>
    </row>
    <row r="399" spans="1:61" s="24" customFormat="1" x14ac:dyDescent="0.3">
      <c r="A399" s="18">
        <v>396</v>
      </c>
      <c r="B399" s="18" t="str">
        <f>'RW predict'!A398</f>
        <v>Jake Evans</v>
      </c>
      <c r="C399" s="18" t="str">
        <f>'RW predict'!B398</f>
        <v>MON</v>
      </c>
      <c r="D399" s="22" t="str" cm="1">
        <f t="array" ref="D399">_xlfn.SWITCH('RW predict'!C398, "C", "F", "LW","F", "RW", "F", "D", "D", "G", "G", "other")</f>
        <v>F</v>
      </c>
      <c r="E399" s="32">
        <f t="shared" si="12"/>
        <v>945</v>
      </c>
      <c r="F399" s="35">
        <f>E399/assumptions!$B$2</f>
        <v>11.524390243902438</v>
      </c>
      <c r="G399" s="36">
        <f t="shared" si="13"/>
        <v>514</v>
      </c>
      <c r="H399" s="18">
        <f>IF(NOT(D399="G"),'RW predict'!E398,0)</f>
        <v>9</v>
      </c>
      <c r="I399" s="18">
        <f>'RW predict'!Q398</f>
        <v>29</v>
      </c>
      <c r="J399" s="18">
        <f>'RW predict'!F398</f>
        <v>13</v>
      </c>
      <c r="K399" s="18"/>
      <c r="L399" s="18"/>
      <c r="M399" s="18">
        <f>'RW predict'!P398</f>
        <v>73</v>
      </c>
      <c r="N399" s="18"/>
      <c r="O399" s="18">
        <f>'RW predict'!H398</f>
        <v>-7</v>
      </c>
      <c r="P399" s="18">
        <f>'RW predict'!I398</f>
        <v>22</v>
      </c>
      <c r="Q399" s="18">
        <f>'RW predict'!L398</f>
        <v>0</v>
      </c>
      <c r="R399" s="18">
        <f>'RW predict'!N398</f>
        <v>0</v>
      </c>
      <c r="S399" s="76">
        <f>'RW predict'!O398</f>
        <v>1</v>
      </c>
      <c r="T399" s="76">
        <f>'RW predict'!K398</f>
        <v>1</v>
      </c>
      <c r="U399" s="22">
        <f>'RW predict'!J398</f>
        <v>119</v>
      </c>
      <c r="V399" s="32">
        <f>IF(D399="G",'RW predict'!E398,0)</f>
        <v>0</v>
      </c>
      <c r="W399" s="18">
        <f>'RW predict'!R398</f>
        <v>0</v>
      </c>
      <c r="X399" s="18">
        <f>'RW predict'!T398</f>
        <v>0</v>
      </c>
      <c r="Y399" s="18">
        <f>'RW predict'!Y398</f>
        <v>0</v>
      </c>
      <c r="Z399" s="18">
        <f>'RW predict'!U398</f>
        <v>0</v>
      </c>
      <c r="AA399" s="18">
        <f>'RW predict'!W398</f>
        <v>0</v>
      </c>
      <c r="AB399" s="18"/>
      <c r="AC399" s="18"/>
      <c r="AD399" s="18"/>
      <c r="AE399" s="18"/>
      <c r="AF399" s="19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8"/>
      <c r="BC399" s="18"/>
      <c r="BD399" s="18"/>
      <c r="BE399" s="18"/>
      <c r="BF399" s="18"/>
      <c r="BG399" s="18"/>
      <c r="BH399" s="18"/>
      <c r="BI399" s="18"/>
    </row>
    <row r="400" spans="1:61" s="24" customFormat="1" x14ac:dyDescent="0.3">
      <c r="A400" s="18">
        <v>397</v>
      </c>
      <c r="B400" s="18" t="str">
        <f>'RW predict'!A399</f>
        <v>Jesper Boqvist</v>
      </c>
      <c r="C400" s="18" t="str">
        <f>'RW predict'!B399</f>
        <v>NJ</v>
      </c>
      <c r="D400" s="22" t="str" cm="1">
        <f t="array" ref="D400">_xlfn.SWITCH('RW predict'!C399, "C", "F", "LW","F", "RW", "F", "D", "D", "G", "G", "other")</f>
        <v>F</v>
      </c>
      <c r="E400" s="32">
        <f t="shared" si="12"/>
        <v>731</v>
      </c>
      <c r="F400" s="35">
        <f>E400/assumptions!$B$2</f>
        <v>8.9146341463414629</v>
      </c>
      <c r="G400" s="36">
        <f t="shared" si="13"/>
        <v>593</v>
      </c>
      <c r="H400" s="18">
        <f>IF(NOT(D400="G"),'RW predict'!E399,0)</f>
        <v>10</v>
      </c>
      <c r="I400" s="18">
        <f>'RW predict'!Q399</f>
        <v>16</v>
      </c>
      <c r="J400" s="18">
        <f>'RW predict'!F399</f>
        <v>12</v>
      </c>
      <c r="K400" s="18"/>
      <c r="L400" s="18"/>
      <c r="M400" s="18">
        <f>'RW predict'!P399</f>
        <v>33</v>
      </c>
      <c r="N400" s="18"/>
      <c r="O400" s="18">
        <f>'RW predict'!H399</f>
        <v>-11</v>
      </c>
      <c r="P400" s="18">
        <f>'RW predict'!I399</f>
        <v>10</v>
      </c>
      <c r="Q400" s="18">
        <f>'RW predict'!L399</f>
        <v>0</v>
      </c>
      <c r="R400" s="18">
        <f>'RW predict'!N399</f>
        <v>0</v>
      </c>
      <c r="S400" s="76">
        <f>'RW predict'!O399</f>
        <v>0</v>
      </c>
      <c r="T400" s="76">
        <f>'RW predict'!K399</f>
        <v>1</v>
      </c>
      <c r="U400" s="22">
        <f>'RW predict'!J399</f>
        <v>88</v>
      </c>
      <c r="V400" s="32">
        <f>IF(D400="G",'RW predict'!E399,0)</f>
        <v>0</v>
      </c>
      <c r="W400" s="18">
        <f>'RW predict'!R399</f>
        <v>0</v>
      </c>
      <c r="X400" s="18">
        <f>'RW predict'!T399</f>
        <v>0</v>
      </c>
      <c r="Y400" s="18">
        <f>'RW predict'!Y399</f>
        <v>0</v>
      </c>
      <c r="Z400" s="18">
        <f>'RW predict'!U399</f>
        <v>0</v>
      </c>
      <c r="AA400" s="18">
        <f>'RW predict'!W399</f>
        <v>0</v>
      </c>
      <c r="AB400" s="18"/>
      <c r="AC400" s="18"/>
      <c r="AD400" s="18"/>
      <c r="AE400" s="18"/>
      <c r="AF400" s="19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8"/>
      <c r="BC400" s="18"/>
      <c r="BD400" s="18"/>
      <c r="BE400" s="18"/>
      <c r="BF400" s="18"/>
      <c r="BG400" s="18"/>
      <c r="BH400" s="18"/>
      <c r="BI400" s="18"/>
    </row>
    <row r="401" spans="1:61" s="24" customFormat="1" x14ac:dyDescent="0.3">
      <c r="A401" s="18">
        <v>398</v>
      </c>
      <c r="B401" s="18" t="str">
        <f>'RW predict'!A400</f>
        <v>Dante Fabbro</v>
      </c>
      <c r="C401" s="18" t="str">
        <f>'RW predict'!B400</f>
        <v>NSH</v>
      </c>
      <c r="D401" s="22" t="str" cm="1">
        <f t="array" ref="D401">_xlfn.SWITCH('RW predict'!C400, "C", "F", "LW","F", "RW", "F", "D", "D", "G", "G", "other")</f>
        <v>D</v>
      </c>
      <c r="E401" s="32">
        <f t="shared" si="12"/>
        <v>1216</v>
      </c>
      <c r="F401" s="35">
        <f>E401/assumptions!$B$2</f>
        <v>14.829268292682928</v>
      </c>
      <c r="G401" s="36">
        <f t="shared" si="13"/>
        <v>393</v>
      </c>
      <c r="H401" s="18">
        <f>IF(NOT(D401="G"),'RW predict'!E400,0)</f>
        <v>3</v>
      </c>
      <c r="I401" s="18">
        <f>'RW predict'!Q400</f>
        <v>112</v>
      </c>
      <c r="J401" s="18">
        <f>'RW predict'!F400</f>
        <v>19</v>
      </c>
      <c r="K401" s="18"/>
      <c r="L401" s="18"/>
      <c r="M401" s="18">
        <f>'RW predict'!P400</f>
        <v>68</v>
      </c>
      <c r="N401" s="18"/>
      <c r="O401" s="18">
        <f>'RW predict'!H400</f>
        <v>10</v>
      </c>
      <c r="P401" s="18">
        <f>'RW predict'!I400</f>
        <v>28</v>
      </c>
      <c r="Q401" s="18">
        <f>'RW predict'!L400</f>
        <v>0</v>
      </c>
      <c r="R401" s="18">
        <f>'RW predict'!N400</f>
        <v>0</v>
      </c>
      <c r="S401" s="76">
        <f>'RW predict'!O400</f>
        <v>0</v>
      </c>
      <c r="T401" s="76">
        <f>'RW predict'!K400</f>
        <v>0</v>
      </c>
      <c r="U401" s="22">
        <f>'RW predict'!J400</f>
        <v>95</v>
      </c>
      <c r="V401" s="32">
        <f>IF(D401="G",'RW predict'!E400,0)</f>
        <v>0</v>
      </c>
      <c r="W401" s="18">
        <f>'RW predict'!R400</f>
        <v>0</v>
      </c>
      <c r="X401" s="18">
        <f>'RW predict'!T400</f>
        <v>0</v>
      </c>
      <c r="Y401" s="18">
        <f>'RW predict'!Y400</f>
        <v>0</v>
      </c>
      <c r="Z401" s="18">
        <f>'RW predict'!U400</f>
        <v>0</v>
      </c>
      <c r="AA401" s="18">
        <f>'RW predict'!W400</f>
        <v>0</v>
      </c>
      <c r="AB401" s="18"/>
      <c r="AC401" s="18"/>
      <c r="AD401" s="18"/>
      <c r="AE401" s="18"/>
      <c r="AF401" s="19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8"/>
      <c r="BC401" s="18"/>
      <c r="BD401" s="18"/>
      <c r="BE401" s="18"/>
      <c r="BF401" s="18"/>
      <c r="BG401" s="18"/>
      <c r="BH401" s="18"/>
      <c r="BI401" s="18"/>
    </row>
    <row r="402" spans="1:61" s="24" customFormat="1" x14ac:dyDescent="0.3">
      <c r="A402" s="18">
        <v>399</v>
      </c>
      <c r="B402" s="18" t="str">
        <f>'RW predict'!A401</f>
        <v>Michael McLeod</v>
      </c>
      <c r="C402" s="18" t="str">
        <f>'RW predict'!B401</f>
        <v>NJ</v>
      </c>
      <c r="D402" s="22" t="str" cm="1">
        <f t="array" ref="D402">_xlfn.SWITCH('RW predict'!C401, "C", "F", "LW","F", "RW", "F", "D", "D", "G", "G", "other")</f>
        <v>F</v>
      </c>
      <c r="E402" s="32">
        <f t="shared" si="12"/>
        <v>989</v>
      </c>
      <c r="F402" s="35">
        <f>E402/assumptions!$B$2</f>
        <v>12.060975609756097</v>
      </c>
      <c r="G402" s="36">
        <f t="shared" si="13"/>
        <v>493</v>
      </c>
      <c r="H402" s="18">
        <f>IF(NOT(D402="G"),'RW predict'!E401,0)</f>
        <v>8</v>
      </c>
      <c r="I402" s="18">
        <f>'RW predict'!Q401</f>
        <v>34</v>
      </c>
      <c r="J402" s="18">
        <f>'RW predict'!F401</f>
        <v>14</v>
      </c>
      <c r="K402" s="18"/>
      <c r="L402" s="18"/>
      <c r="M402" s="18">
        <f>'RW predict'!P401</f>
        <v>145</v>
      </c>
      <c r="N402" s="18"/>
      <c r="O402" s="18">
        <f>'RW predict'!H401</f>
        <v>-10</v>
      </c>
      <c r="P402" s="18">
        <f>'RW predict'!I401</f>
        <v>50</v>
      </c>
      <c r="Q402" s="18">
        <f>'RW predict'!L401</f>
        <v>0</v>
      </c>
      <c r="R402" s="18">
        <f>'RW predict'!N401</f>
        <v>0</v>
      </c>
      <c r="S402" s="76">
        <f>'RW predict'!O401</f>
        <v>1</v>
      </c>
      <c r="T402" s="76">
        <f>'RW predict'!K401</f>
        <v>0</v>
      </c>
      <c r="U402" s="22">
        <f>'RW predict'!J401</f>
        <v>83</v>
      </c>
      <c r="V402" s="32">
        <f>IF(D402="G",'RW predict'!E401,0)</f>
        <v>0</v>
      </c>
      <c r="W402" s="18">
        <f>'RW predict'!R401</f>
        <v>0</v>
      </c>
      <c r="X402" s="18">
        <f>'RW predict'!T401</f>
        <v>0</v>
      </c>
      <c r="Y402" s="18">
        <f>'RW predict'!Y401</f>
        <v>0</v>
      </c>
      <c r="Z402" s="18">
        <f>'RW predict'!U401</f>
        <v>0</v>
      </c>
      <c r="AA402" s="18">
        <f>'RW predict'!W401</f>
        <v>0</v>
      </c>
      <c r="AB402" s="18"/>
      <c r="AC402" s="18"/>
      <c r="AD402" s="18"/>
      <c r="AE402" s="18"/>
      <c r="AF402" s="19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8"/>
      <c r="BC402" s="18"/>
      <c r="BD402" s="18"/>
      <c r="BE402" s="18"/>
      <c r="BF402" s="18"/>
      <c r="BG402" s="18"/>
      <c r="BH402" s="18"/>
      <c r="BI402" s="18"/>
    </row>
    <row r="403" spans="1:61" s="24" customFormat="1" x14ac:dyDescent="0.3">
      <c r="A403" s="18">
        <v>400</v>
      </c>
      <c r="B403" s="18" t="str">
        <f>'RW predict'!A402</f>
        <v>Jonathan Dahlen</v>
      </c>
      <c r="C403" s="18" t="str">
        <f>'RW predict'!B402</f>
        <v>FA</v>
      </c>
      <c r="D403" s="22" t="str" cm="1">
        <f t="array" ref="D403">_xlfn.SWITCH('RW predict'!C402, "C", "F", "LW","F", "RW", "F", "D", "D", "G", "G", "other")</f>
        <v>F</v>
      </c>
      <c r="E403" s="32">
        <f t="shared" si="12"/>
        <v>700</v>
      </c>
      <c r="F403" s="35">
        <f>E403/assumptions!$B$2</f>
        <v>8.536585365853659</v>
      </c>
      <c r="G403" s="36">
        <f t="shared" si="13"/>
        <v>602</v>
      </c>
      <c r="H403" s="18">
        <f>IF(NOT(D403="G"),'RW predict'!E402,0)</f>
        <v>12</v>
      </c>
      <c r="I403" s="18">
        <f>'RW predict'!Q402</f>
        <v>34</v>
      </c>
      <c r="J403" s="18">
        <f>'RW predict'!F402</f>
        <v>10</v>
      </c>
      <c r="K403" s="18"/>
      <c r="L403" s="18"/>
      <c r="M403" s="18">
        <f>'RW predict'!P402</f>
        <v>16</v>
      </c>
      <c r="N403" s="18"/>
      <c r="O403" s="18">
        <f>'RW predict'!H402</f>
        <v>-25</v>
      </c>
      <c r="P403" s="18">
        <f>'RW predict'!I402</f>
        <v>12</v>
      </c>
      <c r="Q403" s="18">
        <f>'RW predict'!L402</f>
        <v>3</v>
      </c>
      <c r="R403" s="18">
        <f>'RW predict'!N402</f>
        <v>0</v>
      </c>
      <c r="S403" s="76">
        <f>'RW predict'!O402</f>
        <v>0</v>
      </c>
      <c r="T403" s="76">
        <f>'RW predict'!K402</f>
        <v>2</v>
      </c>
      <c r="U403" s="22">
        <f>'RW predict'!J402</f>
        <v>105</v>
      </c>
      <c r="V403" s="32">
        <f>IF(D403="G",'RW predict'!E402,0)</f>
        <v>0</v>
      </c>
      <c r="W403" s="18">
        <f>'RW predict'!R402</f>
        <v>0</v>
      </c>
      <c r="X403" s="18">
        <f>'RW predict'!T402</f>
        <v>0</v>
      </c>
      <c r="Y403" s="18">
        <f>'RW predict'!Y402</f>
        <v>0</v>
      </c>
      <c r="Z403" s="18">
        <f>'RW predict'!U402</f>
        <v>0</v>
      </c>
      <c r="AA403" s="18">
        <f>'RW predict'!W402</f>
        <v>0</v>
      </c>
      <c r="AB403" s="18"/>
      <c r="AC403" s="18"/>
      <c r="AD403" s="18"/>
      <c r="AE403" s="18"/>
      <c r="AF403" s="19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8"/>
      <c r="BC403" s="18"/>
      <c r="BD403" s="18"/>
      <c r="BE403" s="18"/>
      <c r="BF403" s="18"/>
      <c r="BG403" s="18"/>
      <c r="BH403" s="18"/>
      <c r="BI403" s="18"/>
    </row>
    <row r="404" spans="1:61" s="24" customFormat="1" x14ac:dyDescent="0.3">
      <c r="A404" s="18">
        <v>401</v>
      </c>
      <c r="B404" s="18" t="str">
        <f>'RW predict'!A403</f>
        <v>Trent Frederic</v>
      </c>
      <c r="C404" s="18" t="str">
        <f>'RW predict'!B403</f>
        <v>BOS</v>
      </c>
      <c r="D404" s="22" t="str" cm="1">
        <f t="array" ref="D404">_xlfn.SWITCH('RW predict'!C403, "C", "F", "LW","F", "RW", "F", "D", "D", "G", "G", "other")</f>
        <v>F</v>
      </c>
      <c r="E404" s="32">
        <f t="shared" si="12"/>
        <v>1304</v>
      </c>
      <c r="F404" s="35">
        <f>E404/assumptions!$B$2</f>
        <v>15.902439024390244</v>
      </c>
      <c r="G404" s="36">
        <f t="shared" si="13"/>
        <v>366</v>
      </c>
      <c r="H404" s="18">
        <f>IF(NOT(D404="G"),'RW predict'!E403,0)</f>
        <v>10</v>
      </c>
      <c r="I404" s="18">
        <f>'RW predict'!Q403</f>
        <v>24</v>
      </c>
      <c r="J404" s="18">
        <f>'RW predict'!F403</f>
        <v>12</v>
      </c>
      <c r="K404" s="18"/>
      <c r="L404" s="18"/>
      <c r="M404" s="18">
        <f>'RW predict'!P403</f>
        <v>141</v>
      </c>
      <c r="N404" s="18"/>
      <c r="O404" s="18">
        <f>'RW predict'!H403</f>
        <v>7</v>
      </c>
      <c r="P404" s="18">
        <f>'RW predict'!I403</f>
        <v>77</v>
      </c>
      <c r="Q404" s="18">
        <f>'RW predict'!L403</f>
        <v>0</v>
      </c>
      <c r="R404" s="18">
        <f>'RW predict'!N403</f>
        <v>1</v>
      </c>
      <c r="S404" s="76">
        <f>'RW predict'!O403</f>
        <v>0</v>
      </c>
      <c r="T404" s="76">
        <f>'RW predict'!K403</f>
        <v>1</v>
      </c>
      <c r="U404" s="22">
        <f>'RW predict'!J403</f>
        <v>112</v>
      </c>
      <c r="V404" s="32">
        <f>IF(D404="G",'RW predict'!E403,0)</f>
        <v>0</v>
      </c>
      <c r="W404" s="18">
        <f>'RW predict'!R403</f>
        <v>0</v>
      </c>
      <c r="X404" s="18">
        <f>'RW predict'!T403</f>
        <v>0</v>
      </c>
      <c r="Y404" s="18">
        <f>'RW predict'!Y403</f>
        <v>0</v>
      </c>
      <c r="Z404" s="18">
        <f>'RW predict'!U403</f>
        <v>0</v>
      </c>
      <c r="AA404" s="18">
        <f>'RW predict'!W403</f>
        <v>0</v>
      </c>
      <c r="AB404" s="18"/>
      <c r="AC404" s="18"/>
      <c r="AD404" s="18"/>
      <c r="AE404" s="18"/>
      <c r="AF404" s="19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8"/>
      <c r="BC404" s="18"/>
      <c r="BD404" s="18"/>
      <c r="BE404" s="18"/>
      <c r="BF404" s="18"/>
      <c r="BG404" s="18"/>
      <c r="BH404" s="18"/>
      <c r="BI404" s="18"/>
    </row>
    <row r="405" spans="1:61" s="24" customFormat="1" x14ac:dyDescent="0.3">
      <c r="A405" s="18">
        <v>402</v>
      </c>
      <c r="B405" s="18" t="str">
        <f>'RW predict'!A404</f>
        <v>Sean Kuraly</v>
      </c>
      <c r="C405" s="18" t="str">
        <f>'RW predict'!B404</f>
        <v>CLS</v>
      </c>
      <c r="D405" s="22" t="str" cm="1">
        <f t="array" ref="D405">_xlfn.SWITCH('RW predict'!C404, "C", "F", "LW","F", "RW", "F", "D", "D", "G", "G", "other")</f>
        <v>F</v>
      </c>
      <c r="E405" s="32">
        <f t="shared" si="12"/>
        <v>1283</v>
      </c>
      <c r="F405" s="35">
        <f>E405/assumptions!$B$2</f>
        <v>15.646341463414634</v>
      </c>
      <c r="G405" s="36">
        <f t="shared" si="13"/>
        <v>373</v>
      </c>
      <c r="H405" s="18">
        <f>IF(NOT(D405="G"),'RW predict'!E404,0)</f>
        <v>9</v>
      </c>
      <c r="I405" s="18">
        <f>'RW predict'!Q404</f>
        <v>41</v>
      </c>
      <c r="J405" s="18">
        <f>'RW predict'!F404</f>
        <v>13</v>
      </c>
      <c r="K405" s="18"/>
      <c r="L405" s="18"/>
      <c r="M405" s="18">
        <f>'RW predict'!P404</f>
        <v>197</v>
      </c>
      <c r="N405" s="18"/>
      <c r="O405" s="18">
        <f>'RW predict'!H404</f>
        <v>2</v>
      </c>
      <c r="P405" s="18">
        <f>'RW predict'!I404</f>
        <v>56</v>
      </c>
      <c r="Q405" s="18">
        <f>'RW predict'!L404</f>
        <v>0</v>
      </c>
      <c r="R405" s="18">
        <f>'RW predict'!N404</f>
        <v>0</v>
      </c>
      <c r="S405" s="76">
        <f>'RW predict'!O404</f>
        <v>1</v>
      </c>
      <c r="T405" s="76">
        <f>'RW predict'!K404</f>
        <v>1</v>
      </c>
      <c r="U405" s="22">
        <f>'RW predict'!J404</f>
        <v>118</v>
      </c>
      <c r="V405" s="32">
        <f>IF(D405="G",'RW predict'!E404,0)</f>
        <v>0</v>
      </c>
      <c r="W405" s="18">
        <f>'RW predict'!R404</f>
        <v>0</v>
      </c>
      <c r="X405" s="18">
        <f>'RW predict'!T404</f>
        <v>0</v>
      </c>
      <c r="Y405" s="18">
        <f>'RW predict'!Y404</f>
        <v>0</v>
      </c>
      <c r="Z405" s="18">
        <f>'RW predict'!U404</f>
        <v>0</v>
      </c>
      <c r="AA405" s="18">
        <f>'RW predict'!W404</f>
        <v>0</v>
      </c>
      <c r="AB405" s="18"/>
      <c r="AC405" s="18"/>
      <c r="AD405" s="18"/>
      <c r="AE405" s="18"/>
      <c r="AF405" s="19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8"/>
      <c r="BC405" s="18"/>
      <c r="BD405" s="18"/>
      <c r="BE405" s="18"/>
      <c r="BF405" s="18"/>
      <c r="BG405" s="18"/>
      <c r="BH405" s="18"/>
      <c r="BI405" s="18"/>
    </row>
    <row r="406" spans="1:61" s="24" customFormat="1" x14ac:dyDescent="0.3">
      <c r="A406" s="18">
        <v>403</v>
      </c>
      <c r="B406" s="18" t="str">
        <f>'RW predict'!A405</f>
        <v>Jacob Peterson</v>
      </c>
      <c r="C406" s="18" t="str">
        <f>'RW predict'!B405</f>
        <v>DAL</v>
      </c>
      <c r="D406" s="22" t="str" cm="1">
        <f t="array" ref="D406">_xlfn.SWITCH('RW predict'!C405, "C", "F", "LW","F", "RW", "F", "D", "D", "G", "G", "other")</f>
        <v>F</v>
      </c>
      <c r="E406" s="32">
        <f t="shared" si="12"/>
        <v>866</v>
      </c>
      <c r="F406" s="35">
        <f>E406/assumptions!$B$2</f>
        <v>10.560975609756097</v>
      </c>
      <c r="G406" s="36">
        <f t="shared" si="13"/>
        <v>543</v>
      </c>
      <c r="H406" s="18">
        <f>IF(NOT(D406="G"),'RW predict'!E405,0)</f>
        <v>10</v>
      </c>
      <c r="I406" s="18">
        <f>'RW predict'!Q405</f>
        <v>23</v>
      </c>
      <c r="J406" s="18">
        <f>'RW predict'!F405</f>
        <v>12</v>
      </c>
      <c r="K406" s="18"/>
      <c r="L406" s="18"/>
      <c r="M406" s="18">
        <f>'RW predict'!P405</f>
        <v>26</v>
      </c>
      <c r="N406" s="18"/>
      <c r="O406" s="18">
        <f>'RW predict'!H405</f>
        <v>-5</v>
      </c>
      <c r="P406" s="18">
        <f>'RW predict'!I405</f>
        <v>12</v>
      </c>
      <c r="Q406" s="18">
        <f>'RW predict'!L405</f>
        <v>1</v>
      </c>
      <c r="R406" s="18">
        <f>'RW predict'!N405</f>
        <v>0</v>
      </c>
      <c r="S406" s="76">
        <f>'RW predict'!O405</f>
        <v>0</v>
      </c>
      <c r="T406" s="76">
        <f>'RW predict'!K405</f>
        <v>2</v>
      </c>
      <c r="U406" s="22">
        <f>'RW predict'!J405</f>
        <v>104</v>
      </c>
      <c r="V406" s="32">
        <f>IF(D406="G",'RW predict'!E405,0)</f>
        <v>0</v>
      </c>
      <c r="W406" s="18">
        <f>'RW predict'!R405</f>
        <v>0</v>
      </c>
      <c r="X406" s="18">
        <f>'RW predict'!T405</f>
        <v>0</v>
      </c>
      <c r="Y406" s="18">
        <f>'RW predict'!Y405</f>
        <v>0</v>
      </c>
      <c r="Z406" s="18">
        <f>'RW predict'!U405</f>
        <v>0</v>
      </c>
      <c r="AA406" s="18">
        <f>'RW predict'!W405</f>
        <v>0</v>
      </c>
      <c r="AB406" s="18"/>
      <c r="AC406" s="18"/>
      <c r="AD406" s="18"/>
      <c r="AE406" s="18"/>
      <c r="AF406" s="19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8"/>
      <c r="BC406" s="18"/>
      <c r="BD406" s="18"/>
      <c r="BE406" s="18"/>
      <c r="BF406" s="18"/>
      <c r="BG406" s="18"/>
      <c r="BH406" s="18"/>
      <c r="BI406" s="18"/>
    </row>
    <row r="407" spans="1:61" s="24" customFormat="1" x14ac:dyDescent="0.3">
      <c r="A407" s="18">
        <v>404</v>
      </c>
      <c r="B407" s="18" t="str">
        <f>'RW predict'!A406</f>
        <v>Jordan Harris</v>
      </c>
      <c r="C407" s="18" t="str">
        <f>'RW predict'!B406</f>
        <v>MON</v>
      </c>
      <c r="D407" s="22" t="str" cm="1">
        <f t="array" ref="D407">_xlfn.SWITCH('RW predict'!C406, "C", "F", "LW","F", "RW", "F", "D", "D", "G", "G", "other")</f>
        <v>D</v>
      </c>
      <c r="E407" s="32">
        <f t="shared" si="12"/>
        <v>1039</v>
      </c>
      <c r="F407" s="35">
        <f>E407/assumptions!$B$2</f>
        <v>12.670731707317072</v>
      </c>
      <c r="G407" s="36">
        <f t="shared" si="13"/>
        <v>470</v>
      </c>
      <c r="H407" s="18">
        <f>IF(NOT(D407="G"),'RW predict'!E406,0)</f>
        <v>4</v>
      </c>
      <c r="I407" s="18">
        <f>'RW predict'!Q406</f>
        <v>83</v>
      </c>
      <c r="J407" s="18">
        <f>'RW predict'!F406</f>
        <v>18</v>
      </c>
      <c r="K407" s="18"/>
      <c r="L407" s="18"/>
      <c r="M407" s="18">
        <f>'RW predict'!P406</f>
        <v>65</v>
      </c>
      <c r="N407" s="18"/>
      <c r="O407" s="18">
        <f>'RW predict'!H406</f>
        <v>-5</v>
      </c>
      <c r="P407" s="18">
        <f>'RW predict'!I406</f>
        <v>44</v>
      </c>
      <c r="Q407" s="18">
        <f>'RW predict'!L406</f>
        <v>0</v>
      </c>
      <c r="R407" s="18">
        <f>'RW predict'!N406</f>
        <v>0</v>
      </c>
      <c r="S407" s="76">
        <f>'RW predict'!O406</f>
        <v>0</v>
      </c>
      <c r="T407" s="76">
        <f>'RW predict'!K406</f>
        <v>1</v>
      </c>
      <c r="U407" s="22">
        <f>'RW predict'!J406</f>
        <v>78</v>
      </c>
      <c r="V407" s="32">
        <f>IF(D407="G",'RW predict'!E406,0)</f>
        <v>0</v>
      </c>
      <c r="W407" s="18">
        <f>'RW predict'!R406</f>
        <v>0</v>
      </c>
      <c r="X407" s="18">
        <f>'RW predict'!T406</f>
        <v>0</v>
      </c>
      <c r="Y407" s="18">
        <f>'RW predict'!Y406</f>
        <v>0</v>
      </c>
      <c r="Z407" s="18">
        <f>'RW predict'!U406</f>
        <v>0</v>
      </c>
      <c r="AA407" s="18">
        <f>'RW predict'!W406</f>
        <v>0</v>
      </c>
      <c r="AB407" s="18"/>
      <c r="AC407" s="18"/>
      <c r="AD407" s="18"/>
      <c r="AE407" s="18"/>
      <c r="AF407" s="19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8"/>
      <c r="BC407" s="18"/>
      <c r="BD407" s="18"/>
      <c r="BE407" s="18"/>
      <c r="BF407" s="18"/>
      <c r="BG407" s="18"/>
      <c r="BH407" s="18"/>
      <c r="BI407" s="18"/>
    </row>
    <row r="408" spans="1:61" s="24" customFormat="1" x14ac:dyDescent="0.3">
      <c r="A408" s="18">
        <v>405</v>
      </c>
      <c r="B408" s="18" t="str">
        <f>'RW predict'!A407</f>
        <v>Mattias Janmark</v>
      </c>
      <c r="C408" s="18" t="str">
        <f>'RW predict'!B407</f>
        <v>EDM</v>
      </c>
      <c r="D408" s="22" t="str" cm="1">
        <f t="array" ref="D408">_xlfn.SWITCH('RW predict'!C407, "C", "F", "LW","F", "RW", "F", "D", "D", "G", "G", "other")</f>
        <v>F</v>
      </c>
      <c r="E408" s="32">
        <f t="shared" si="12"/>
        <v>892</v>
      </c>
      <c r="F408" s="35">
        <f>E408/assumptions!$B$2</f>
        <v>10.878048780487806</v>
      </c>
      <c r="G408" s="36">
        <f t="shared" si="13"/>
        <v>533</v>
      </c>
      <c r="H408" s="18">
        <f>IF(NOT(D408="G"),'RW predict'!E407,0)</f>
        <v>7</v>
      </c>
      <c r="I408" s="18">
        <f>'RW predict'!Q407</f>
        <v>28</v>
      </c>
      <c r="J408" s="18">
        <f>'RW predict'!F407</f>
        <v>15</v>
      </c>
      <c r="K408" s="18"/>
      <c r="L408" s="18"/>
      <c r="M408" s="18">
        <f>'RW predict'!P407</f>
        <v>22</v>
      </c>
      <c r="N408" s="18"/>
      <c r="O408" s="18">
        <f>'RW predict'!H407</f>
        <v>-2</v>
      </c>
      <c r="P408" s="18">
        <f>'RW predict'!I407</f>
        <v>18</v>
      </c>
      <c r="Q408" s="18">
        <f>'RW predict'!L407</f>
        <v>0</v>
      </c>
      <c r="R408" s="18">
        <f>'RW predict'!N407</f>
        <v>1</v>
      </c>
      <c r="S408" s="76">
        <f>'RW predict'!O407</f>
        <v>0</v>
      </c>
      <c r="T408" s="76">
        <f>'RW predict'!K407</f>
        <v>1</v>
      </c>
      <c r="U408" s="22">
        <f>'RW predict'!J407</f>
        <v>95</v>
      </c>
      <c r="V408" s="32">
        <f>IF(D408="G",'RW predict'!E407,0)</f>
        <v>0</v>
      </c>
      <c r="W408" s="18">
        <f>'RW predict'!R407</f>
        <v>0</v>
      </c>
      <c r="X408" s="18">
        <f>'RW predict'!T407</f>
        <v>0</v>
      </c>
      <c r="Y408" s="18">
        <f>'RW predict'!Y407</f>
        <v>0</v>
      </c>
      <c r="Z408" s="18">
        <f>'RW predict'!U407</f>
        <v>0</v>
      </c>
      <c r="AA408" s="18">
        <f>'RW predict'!W407</f>
        <v>0</v>
      </c>
      <c r="AB408" s="18"/>
      <c r="AC408" s="18"/>
      <c r="AD408" s="18"/>
      <c r="AE408" s="18"/>
      <c r="AF408" s="19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8"/>
      <c r="BC408" s="18"/>
      <c r="BD408" s="18"/>
      <c r="BE408" s="18"/>
      <c r="BF408" s="18"/>
      <c r="BG408" s="18"/>
      <c r="BH408" s="18"/>
      <c r="BI408" s="18"/>
    </row>
    <row r="409" spans="1:61" s="24" customFormat="1" x14ac:dyDescent="0.3">
      <c r="A409" s="18">
        <v>406</v>
      </c>
      <c r="B409" s="18" t="str">
        <f>'RW predict'!A408</f>
        <v>Nate Schmidt</v>
      </c>
      <c r="C409" s="18" t="str">
        <f>'RW predict'!B408</f>
        <v>WPG</v>
      </c>
      <c r="D409" s="22" t="str" cm="1">
        <f t="array" ref="D409">_xlfn.SWITCH('RW predict'!C408, "C", "F", "LW","F", "RW", "F", "D", "D", "G", "G", "other")</f>
        <v>D</v>
      </c>
      <c r="E409" s="32">
        <f t="shared" si="12"/>
        <v>918</v>
      </c>
      <c r="F409" s="35">
        <f>E409/assumptions!$B$2</f>
        <v>11.195121951219512</v>
      </c>
      <c r="G409" s="36">
        <f t="shared" si="13"/>
        <v>525</v>
      </c>
      <c r="H409" s="18">
        <f>IF(NOT(D409="G"),'RW predict'!E408,0)</f>
        <v>4</v>
      </c>
      <c r="I409" s="18">
        <f>'RW predict'!Q408</f>
        <v>76</v>
      </c>
      <c r="J409" s="18">
        <f>'RW predict'!F408</f>
        <v>18</v>
      </c>
      <c r="K409" s="18"/>
      <c r="L409" s="18"/>
      <c r="M409" s="18">
        <f>'RW predict'!P408</f>
        <v>25</v>
      </c>
      <c r="N409" s="18"/>
      <c r="O409" s="18">
        <f>'RW predict'!H408</f>
        <v>-4</v>
      </c>
      <c r="P409" s="18">
        <f>'RW predict'!I408</f>
        <v>7</v>
      </c>
      <c r="Q409" s="18">
        <f>'RW predict'!L408</f>
        <v>1</v>
      </c>
      <c r="R409" s="18">
        <f>'RW predict'!N408</f>
        <v>0</v>
      </c>
      <c r="S409" s="76">
        <f>'RW predict'!O408</f>
        <v>1</v>
      </c>
      <c r="T409" s="76">
        <f>'RW predict'!K408</f>
        <v>1</v>
      </c>
      <c r="U409" s="22">
        <f>'RW predict'!J408</f>
        <v>85</v>
      </c>
      <c r="V409" s="32">
        <f>IF(D409="G",'RW predict'!E408,0)</f>
        <v>0</v>
      </c>
      <c r="W409" s="18">
        <f>'RW predict'!R408</f>
        <v>0</v>
      </c>
      <c r="X409" s="18">
        <f>'RW predict'!T408</f>
        <v>0</v>
      </c>
      <c r="Y409" s="18">
        <f>'RW predict'!Y408</f>
        <v>0</v>
      </c>
      <c r="Z409" s="18">
        <f>'RW predict'!U408</f>
        <v>0</v>
      </c>
      <c r="AA409" s="18">
        <f>'RW predict'!W408</f>
        <v>0</v>
      </c>
      <c r="AB409" s="18"/>
      <c r="AC409" s="18"/>
      <c r="AD409" s="18"/>
      <c r="AE409" s="18"/>
      <c r="AF409" s="19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8"/>
      <c r="BC409" s="18"/>
      <c r="BD409" s="18"/>
      <c r="BE409" s="18"/>
      <c r="BF409" s="18"/>
      <c r="BG409" s="18"/>
      <c r="BH409" s="18"/>
      <c r="BI409" s="18"/>
    </row>
    <row r="410" spans="1:61" s="24" customFormat="1" x14ac:dyDescent="0.3">
      <c r="A410" s="18">
        <v>407</v>
      </c>
      <c r="B410" s="18" t="str">
        <f>'RW predict'!A409</f>
        <v>Brock McGinn</v>
      </c>
      <c r="C410" s="18" t="str">
        <f>'RW predict'!B409</f>
        <v>PIT</v>
      </c>
      <c r="D410" s="22" t="str" cm="1">
        <f t="array" ref="D410">_xlfn.SWITCH('RW predict'!C409, "C", "F", "LW","F", "RW", "F", "D", "D", "G", "G", "other")</f>
        <v>F</v>
      </c>
      <c r="E410" s="32">
        <f t="shared" si="12"/>
        <v>1001</v>
      </c>
      <c r="F410" s="35">
        <f>E410/assumptions!$B$2</f>
        <v>12.207317073170731</v>
      </c>
      <c r="G410" s="36">
        <f t="shared" si="13"/>
        <v>488</v>
      </c>
      <c r="H410" s="18">
        <f>IF(NOT(D410="G"),'RW predict'!E409,0)</f>
        <v>12</v>
      </c>
      <c r="I410" s="18">
        <f>'RW predict'!Q409</f>
        <v>44</v>
      </c>
      <c r="J410" s="18">
        <f>'RW predict'!F409</f>
        <v>10</v>
      </c>
      <c r="K410" s="18"/>
      <c r="L410" s="18"/>
      <c r="M410" s="18">
        <f>'RW predict'!P409</f>
        <v>89</v>
      </c>
      <c r="N410" s="18"/>
      <c r="O410" s="18">
        <f>'RW predict'!H409</f>
        <v>0</v>
      </c>
      <c r="P410" s="18">
        <f>'RW predict'!I409</f>
        <v>14</v>
      </c>
      <c r="Q410" s="18">
        <f>'RW predict'!L409</f>
        <v>0</v>
      </c>
      <c r="R410" s="18">
        <f>'RW predict'!N409</f>
        <v>0</v>
      </c>
      <c r="S410" s="76">
        <f>'RW predict'!O409</f>
        <v>0</v>
      </c>
      <c r="T410" s="76">
        <f>'RW predict'!K409</f>
        <v>2</v>
      </c>
      <c r="U410" s="22">
        <f>'RW predict'!J409</f>
        <v>96</v>
      </c>
      <c r="V410" s="32">
        <f>IF(D410="G",'RW predict'!E409,0)</f>
        <v>0</v>
      </c>
      <c r="W410" s="18">
        <f>'RW predict'!R409</f>
        <v>0</v>
      </c>
      <c r="X410" s="18">
        <f>'RW predict'!T409</f>
        <v>0</v>
      </c>
      <c r="Y410" s="18">
        <f>'RW predict'!Y409</f>
        <v>0</v>
      </c>
      <c r="Z410" s="18">
        <f>'RW predict'!U409</f>
        <v>0</v>
      </c>
      <c r="AA410" s="18">
        <f>'RW predict'!W409</f>
        <v>0</v>
      </c>
      <c r="AB410" s="18"/>
      <c r="AC410" s="18"/>
      <c r="AD410" s="18"/>
      <c r="AE410" s="18"/>
      <c r="AF410" s="19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8"/>
      <c r="BC410" s="18"/>
      <c r="BD410" s="18"/>
      <c r="BE410" s="18"/>
      <c r="BF410" s="18"/>
      <c r="BG410" s="18"/>
      <c r="BH410" s="18"/>
      <c r="BI410" s="18"/>
    </row>
    <row r="411" spans="1:61" s="24" customFormat="1" x14ac:dyDescent="0.3">
      <c r="A411" s="18">
        <v>408</v>
      </c>
      <c r="B411" s="18" t="str">
        <f>'RW predict'!A410</f>
        <v>Chris Tierney</v>
      </c>
      <c r="C411" s="18" t="str">
        <f>'RW predict'!B410</f>
        <v>FLA</v>
      </c>
      <c r="D411" s="22" t="str" cm="1">
        <f t="array" ref="D411">_xlfn.SWITCH('RW predict'!C410, "C", "F", "LW","F", "RW", "F", "D", "D", "G", "G", "other")</f>
        <v>F</v>
      </c>
      <c r="E411" s="32">
        <f t="shared" si="12"/>
        <v>852</v>
      </c>
      <c r="F411" s="35">
        <f>E411/assumptions!$B$2</f>
        <v>10.390243902439025</v>
      </c>
      <c r="G411" s="36">
        <f t="shared" si="13"/>
        <v>551</v>
      </c>
      <c r="H411" s="18">
        <f>IF(NOT(D411="G"),'RW predict'!E410,0)</f>
        <v>7</v>
      </c>
      <c r="I411" s="18">
        <f>'RW predict'!Q410</f>
        <v>28</v>
      </c>
      <c r="J411" s="18">
        <f>'RW predict'!F410</f>
        <v>15</v>
      </c>
      <c r="K411" s="18"/>
      <c r="L411" s="18"/>
      <c r="M411" s="18">
        <f>'RW predict'!P410</f>
        <v>36</v>
      </c>
      <c r="N411" s="18"/>
      <c r="O411" s="18">
        <f>'RW predict'!H410</f>
        <v>-3</v>
      </c>
      <c r="P411" s="18">
        <f>'RW predict'!I410</f>
        <v>16</v>
      </c>
      <c r="Q411" s="18">
        <f>'RW predict'!L410</f>
        <v>0</v>
      </c>
      <c r="R411" s="18">
        <f>'RW predict'!N410</f>
        <v>1</v>
      </c>
      <c r="S411" s="76">
        <f>'RW predict'!O410</f>
        <v>1</v>
      </c>
      <c r="T411" s="76">
        <f>'RW predict'!K410</f>
        <v>2</v>
      </c>
      <c r="U411" s="22">
        <f>'RW predict'!J410</f>
        <v>61</v>
      </c>
      <c r="V411" s="32">
        <f>IF(D411="G",'RW predict'!E410,0)</f>
        <v>0</v>
      </c>
      <c r="W411" s="18">
        <f>'RW predict'!R410</f>
        <v>0</v>
      </c>
      <c r="X411" s="18">
        <f>'RW predict'!T410</f>
        <v>0</v>
      </c>
      <c r="Y411" s="18">
        <f>'RW predict'!Y410</f>
        <v>0</v>
      </c>
      <c r="Z411" s="18">
        <f>'RW predict'!U410</f>
        <v>0</v>
      </c>
      <c r="AA411" s="18">
        <f>'RW predict'!W410</f>
        <v>0</v>
      </c>
      <c r="AB411" s="18"/>
      <c r="AC411" s="18"/>
      <c r="AD411" s="18"/>
      <c r="AE411" s="18"/>
      <c r="AF411" s="19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  <c r="BA411" s="18"/>
      <c r="BB411" s="18"/>
      <c r="BC411" s="18"/>
      <c r="BD411" s="18"/>
      <c r="BE411" s="18"/>
      <c r="BF411" s="18"/>
      <c r="BG411" s="18"/>
      <c r="BH411" s="18"/>
      <c r="BI411" s="18"/>
    </row>
    <row r="412" spans="1:61" s="24" customFormat="1" x14ac:dyDescent="0.3">
      <c r="A412" s="18">
        <v>409</v>
      </c>
      <c r="B412" s="18" t="str">
        <f>'RW predict'!A411</f>
        <v>Yakov Trenin</v>
      </c>
      <c r="C412" s="18" t="str">
        <f>'RW predict'!B411</f>
        <v>NSH</v>
      </c>
      <c r="D412" s="22" t="str" cm="1">
        <f t="array" ref="D412">_xlfn.SWITCH('RW predict'!C411, "C", "F", "LW","F", "RW", "F", "D", "D", "G", "G", "other")</f>
        <v>F</v>
      </c>
      <c r="E412" s="32">
        <f t="shared" si="12"/>
        <v>1300</v>
      </c>
      <c r="F412" s="35">
        <f>E412/assumptions!$B$2</f>
        <v>15.853658536585366</v>
      </c>
      <c r="G412" s="36">
        <f t="shared" si="13"/>
        <v>369</v>
      </c>
      <c r="H412" s="18">
        <f>IF(NOT(D412="G"),'RW predict'!E411,0)</f>
        <v>13</v>
      </c>
      <c r="I412" s="18">
        <f>'RW predict'!Q411</f>
        <v>33</v>
      </c>
      <c r="J412" s="18">
        <f>'RW predict'!F411</f>
        <v>9</v>
      </c>
      <c r="K412" s="18"/>
      <c r="L412" s="18"/>
      <c r="M412" s="18">
        <f>'RW predict'!P411</f>
        <v>180</v>
      </c>
      <c r="N412" s="18"/>
      <c r="O412" s="18">
        <f>'RW predict'!H411</f>
        <v>6</v>
      </c>
      <c r="P412" s="18">
        <f>'RW predict'!I411</f>
        <v>42</v>
      </c>
      <c r="Q412" s="18">
        <f>'RW predict'!L411</f>
        <v>0</v>
      </c>
      <c r="R412" s="18">
        <f>'RW predict'!N411</f>
        <v>0</v>
      </c>
      <c r="S412" s="76">
        <f>'RW predict'!O411</f>
        <v>1</v>
      </c>
      <c r="T412" s="76">
        <f>'RW predict'!K411</f>
        <v>2</v>
      </c>
      <c r="U412" s="22">
        <f>'RW predict'!J411</f>
        <v>134</v>
      </c>
      <c r="V412" s="32">
        <f>IF(D412="G",'RW predict'!E411,0)</f>
        <v>0</v>
      </c>
      <c r="W412" s="18">
        <f>'RW predict'!R411</f>
        <v>0</v>
      </c>
      <c r="X412" s="18">
        <f>'RW predict'!T411</f>
        <v>0</v>
      </c>
      <c r="Y412" s="18">
        <f>'RW predict'!Y411</f>
        <v>0</v>
      </c>
      <c r="Z412" s="18">
        <f>'RW predict'!U411</f>
        <v>0</v>
      </c>
      <c r="AA412" s="18">
        <f>'RW predict'!W411</f>
        <v>0</v>
      </c>
      <c r="AB412" s="18"/>
      <c r="AC412" s="18"/>
      <c r="AD412" s="18"/>
      <c r="AE412" s="18"/>
      <c r="AF412" s="19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  <c r="BA412" s="18"/>
      <c r="BB412" s="18"/>
      <c r="BC412" s="18"/>
      <c r="BD412" s="18"/>
      <c r="BE412" s="18"/>
      <c r="BF412" s="18"/>
      <c r="BG412" s="18"/>
      <c r="BH412" s="18"/>
      <c r="BI412" s="18"/>
    </row>
    <row r="413" spans="1:61" s="24" customFormat="1" x14ac:dyDescent="0.3">
      <c r="A413" s="18">
        <v>410</v>
      </c>
      <c r="B413" s="18" t="str">
        <f>'RW predict'!A412</f>
        <v>Alex Galchenyuk</v>
      </c>
      <c r="C413" s="18" t="str">
        <f>'RW predict'!B412</f>
        <v>FA</v>
      </c>
      <c r="D413" s="22" t="str" cm="1">
        <f t="array" ref="D413">_xlfn.SWITCH('RW predict'!C412, "C", "F", "LW","F", "RW", "F", "D", "D", "G", "G", "other")</f>
        <v>F</v>
      </c>
      <c r="E413" s="32">
        <f t="shared" si="12"/>
        <v>819</v>
      </c>
      <c r="F413" s="35">
        <f>E413/assumptions!$B$2</f>
        <v>9.9878048780487809</v>
      </c>
      <c r="G413" s="36">
        <f t="shared" si="13"/>
        <v>563</v>
      </c>
      <c r="H413" s="18">
        <f>IF(NOT(D413="G"),'RW predict'!E412,0)</f>
        <v>7</v>
      </c>
      <c r="I413" s="18">
        <f>'RW predict'!Q412</f>
        <v>22</v>
      </c>
      <c r="J413" s="18">
        <f>'RW predict'!F412</f>
        <v>15</v>
      </c>
      <c r="K413" s="18"/>
      <c r="L413" s="18"/>
      <c r="M413" s="18">
        <f>'RW predict'!P412</f>
        <v>65</v>
      </c>
      <c r="N413" s="18"/>
      <c r="O413" s="18">
        <f>'RW predict'!H412</f>
        <v>-11</v>
      </c>
      <c r="P413" s="18">
        <f>'RW predict'!I412</f>
        <v>30</v>
      </c>
      <c r="Q413" s="18">
        <f>'RW predict'!L412</f>
        <v>0</v>
      </c>
      <c r="R413" s="18">
        <f>'RW predict'!N412</f>
        <v>0</v>
      </c>
      <c r="S413" s="76">
        <f>'RW predict'!O412</f>
        <v>0</v>
      </c>
      <c r="T413" s="76">
        <f>'RW predict'!K412</f>
        <v>0</v>
      </c>
      <c r="U413" s="22">
        <f>'RW predict'!J412</f>
        <v>90</v>
      </c>
      <c r="V413" s="32">
        <f>IF(D413="G",'RW predict'!E412,0)</f>
        <v>0</v>
      </c>
      <c r="W413" s="18">
        <f>'RW predict'!R412</f>
        <v>0</v>
      </c>
      <c r="X413" s="18">
        <f>'RW predict'!T412</f>
        <v>0</v>
      </c>
      <c r="Y413" s="18">
        <f>'RW predict'!Y412</f>
        <v>0</v>
      </c>
      <c r="Z413" s="18">
        <f>'RW predict'!U412</f>
        <v>0</v>
      </c>
      <c r="AA413" s="18">
        <f>'RW predict'!W412</f>
        <v>0</v>
      </c>
      <c r="AB413" s="18"/>
      <c r="AC413" s="18"/>
      <c r="AD413" s="18"/>
      <c r="AE413" s="18"/>
      <c r="AF413" s="19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  <c r="BA413" s="18"/>
      <c r="BB413" s="18"/>
      <c r="BC413" s="18"/>
      <c r="BD413" s="18"/>
      <c r="BE413" s="18"/>
      <c r="BF413" s="18"/>
      <c r="BG413" s="18"/>
      <c r="BH413" s="18"/>
      <c r="BI413" s="18"/>
    </row>
    <row r="414" spans="1:61" s="24" customFormat="1" x14ac:dyDescent="0.3">
      <c r="A414" s="18">
        <v>411</v>
      </c>
      <c r="B414" s="18" t="str">
        <f>'RW predict'!A413</f>
        <v>Justin Schultz</v>
      </c>
      <c r="C414" s="18" t="str">
        <f>'RW predict'!B413</f>
        <v>SEA</v>
      </c>
      <c r="D414" s="22" t="str" cm="1">
        <f t="array" ref="D414">_xlfn.SWITCH('RW predict'!C413, "C", "F", "LW","F", "RW", "F", "D", "D", "G", "G", "other")</f>
        <v>D</v>
      </c>
      <c r="E414" s="32">
        <f t="shared" si="12"/>
        <v>952</v>
      </c>
      <c r="F414" s="35">
        <f>E414/assumptions!$B$2</f>
        <v>11.609756097560975</v>
      </c>
      <c r="G414" s="36">
        <f t="shared" si="13"/>
        <v>509</v>
      </c>
      <c r="H414" s="18">
        <f>IF(NOT(D414="G"),'RW predict'!E413,0)</f>
        <v>4</v>
      </c>
      <c r="I414" s="18">
        <f>'RW predict'!Q413</f>
        <v>89</v>
      </c>
      <c r="J414" s="18">
        <f>'RW predict'!F413</f>
        <v>18</v>
      </c>
      <c r="K414" s="18"/>
      <c r="L414" s="18"/>
      <c r="M414" s="18">
        <f>'RW predict'!P413</f>
        <v>42</v>
      </c>
      <c r="N414" s="18"/>
      <c r="O414" s="18">
        <f>'RW predict'!H413</f>
        <v>-9</v>
      </c>
      <c r="P414" s="18">
        <f>'RW predict'!I413</f>
        <v>16</v>
      </c>
      <c r="Q414" s="18">
        <f>'RW predict'!L413</f>
        <v>2</v>
      </c>
      <c r="R414" s="18">
        <f>'RW predict'!N413</f>
        <v>0</v>
      </c>
      <c r="S414" s="76">
        <f>'RW predict'!O413</f>
        <v>0</v>
      </c>
      <c r="T414" s="76">
        <f>'RW predict'!K413</f>
        <v>0</v>
      </c>
      <c r="U414" s="22">
        <f>'RW predict'!J413</f>
        <v>102</v>
      </c>
      <c r="V414" s="32">
        <f>IF(D414="G",'RW predict'!E413,0)</f>
        <v>0</v>
      </c>
      <c r="W414" s="18">
        <f>'RW predict'!R413</f>
        <v>0</v>
      </c>
      <c r="X414" s="18">
        <f>'RW predict'!T413</f>
        <v>0</v>
      </c>
      <c r="Y414" s="18">
        <f>'RW predict'!Y413</f>
        <v>0</v>
      </c>
      <c r="Z414" s="18">
        <f>'RW predict'!U413</f>
        <v>0</v>
      </c>
      <c r="AA414" s="18">
        <f>'RW predict'!W413</f>
        <v>0</v>
      </c>
      <c r="AB414" s="18"/>
      <c r="AC414" s="18"/>
      <c r="AD414" s="18"/>
      <c r="AE414" s="18"/>
      <c r="AF414" s="19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  <c r="BA414" s="18"/>
      <c r="BB414" s="18"/>
      <c r="BC414" s="18"/>
      <c r="BD414" s="18"/>
      <c r="BE414" s="18"/>
      <c r="BF414" s="18"/>
      <c r="BG414" s="18"/>
      <c r="BH414" s="18"/>
      <c r="BI414" s="18"/>
    </row>
    <row r="415" spans="1:61" s="24" customFormat="1" x14ac:dyDescent="0.3">
      <c r="A415" s="18">
        <v>412</v>
      </c>
      <c r="B415" s="18" t="str">
        <f>'RW predict'!A414</f>
        <v>Ryan McDonagh</v>
      </c>
      <c r="C415" s="18" t="str">
        <f>'RW predict'!B414</f>
        <v>NSH</v>
      </c>
      <c r="D415" s="22" t="str" cm="1">
        <f t="array" ref="D415">_xlfn.SWITCH('RW predict'!C414, "C", "F", "LW","F", "RW", "F", "D", "D", "G", "G", "other")</f>
        <v>D</v>
      </c>
      <c r="E415" s="32">
        <f t="shared" si="12"/>
        <v>1301</v>
      </c>
      <c r="F415" s="35">
        <f>E415/assumptions!$B$2</f>
        <v>15.865853658536585</v>
      </c>
      <c r="G415" s="36">
        <f t="shared" si="13"/>
        <v>368</v>
      </c>
      <c r="H415" s="18">
        <f>IF(NOT(D415="G"),'RW predict'!E414,0)</f>
        <v>4</v>
      </c>
      <c r="I415" s="18">
        <f>'RW predict'!Q414</f>
        <v>134</v>
      </c>
      <c r="J415" s="18">
        <f>'RW predict'!F414</f>
        <v>18</v>
      </c>
      <c r="K415" s="18"/>
      <c r="L415" s="18"/>
      <c r="M415" s="18">
        <f>'RW predict'!P414</f>
        <v>91</v>
      </c>
      <c r="N415" s="18"/>
      <c r="O415" s="18">
        <f>'RW predict'!H414</f>
        <v>15</v>
      </c>
      <c r="P415" s="18">
        <f>'RW predict'!I414</f>
        <v>16</v>
      </c>
      <c r="Q415" s="18">
        <f>'RW predict'!L414</f>
        <v>0</v>
      </c>
      <c r="R415" s="18">
        <f>'RW predict'!N414</f>
        <v>0</v>
      </c>
      <c r="S415" s="76">
        <f>'RW predict'!O414</f>
        <v>1</v>
      </c>
      <c r="T415" s="76">
        <f>'RW predict'!K414</f>
        <v>0</v>
      </c>
      <c r="U415" s="22">
        <f>'RW predict'!J414</f>
        <v>92</v>
      </c>
      <c r="V415" s="32">
        <f>IF(D415="G",'RW predict'!E414,0)</f>
        <v>0</v>
      </c>
      <c r="W415" s="18">
        <f>'RW predict'!R414</f>
        <v>0</v>
      </c>
      <c r="X415" s="18">
        <f>'RW predict'!T414</f>
        <v>0</v>
      </c>
      <c r="Y415" s="18">
        <f>'RW predict'!Y414</f>
        <v>0</v>
      </c>
      <c r="Z415" s="18">
        <f>'RW predict'!U414</f>
        <v>0</v>
      </c>
      <c r="AA415" s="18">
        <f>'RW predict'!W414</f>
        <v>0</v>
      </c>
      <c r="AB415" s="18"/>
      <c r="AC415" s="18"/>
      <c r="AD415" s="18"/>
      <c r="AE415" s="18"/>
      <c r="AF415" s="19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  <c r="BA415" s="18"/>
      <c r="BB415" s="18"/>
      <c r="BC415" s="18"/>
      <c r="BD415" s="18"/>
      <c r="BE415" s="18"/>
      <c r="BF415" s="18"/>
      <c r="BG415" s="18"/>
      <c r="BH415" s="18"/>
      <c r="BI415" s="18"/>
    </row>
    <row r="416" spans="1:61" s="24" customFormat="1" x14ac:dyDescent="0.3">
      <c r="A416" s="18">
        <v>413</v>
      </c>
      <c r="B416" s="18" t="str">
        <f>'RW predict'!A415</f>
        <v>Milan Lucic</v>
      </c>
      <c r="C416" s="18" t="str">
        <f>'RW predict'!B415</f>
        <v>CGY</v>
      </c>
      <c r="D416" s="22" t="str" cm="1">
        <f t="array" ref="D416">_xlfn.SWITCH('RW predict'!C415, "C", "F", "LW","F", "RW", "F", "D", "D", "G", "G", "other")</f>
        <v>F</v>
      </c>
      <c r="E416" s="32">
        <f t="shared" si="12"/>
        <v>1199</v>
      </c>
      <c r="F416" s="35">
        <f>E416/assumptions!$B$2</f>
        <v>14.621951219512194</v>
      </c>
      <c r="G416" s="36">
        <f t="shared" si="13"/>
        <v>402</v>
      </c>
      <c r="H416" s="18">
        <f>IF(NOT(D416="G"),'RW predict'!E415,0)</f>
        <v>10</v>
      </c>
      <c r="I416" s="18">
        <f>'RW predict'!Q415</f>
        <v>22</v>
      </c>
      <c r="J416" s="18">
        <f>'RW predict'!F415</f>
        <v>12</v>
      </c>
      <c r="K416" s="18"/>
      <c r="L416" s="18"/>
      <c r="M416" s="18">
        <f>'RW predict'!P415</f>
        <v>196</v>
      </c>
      <c r="N416" s="18"/>
      <c r="O416" s="18">
        <f>'RW predict'!H415</f>
        <v>-10</v>
      </c>
      <c r="P416" s="18">
        <f>'RW predict'!I415</f>
        <v>87</v>
      </c>
      <c r="Q416" s="18">
        <f>'RW predict'!L415</f>
        <v>2</v>
      </c>
      <c r="R416" s="18">
        <f>'RW predict'!N415</f>
        <v>0</v>
      </c>
      <c r="S416" s="76">
        <f>'RW predict'!O415</f>
        <v>0</v>
      </c>
      <c r="T416" s="76">
        <f>'RW predict'!K415</f>
        <v>1</v>
      </c>
      <c r="U416" s="22">
        <f>'RW predict'!J415</f>
        <v>104</v>
      </c>
      <c r="V416" s="32">
        <f>IF(D416="G",'RW predict'!E415,0)</f>
        <v>0</v>
      </c>
      <c r="W416" s="18">
        <f>'RW predict'!R415</f>
        <v>0</v>
      </c>
      <c r="X416" s="18">
        <f>'RW predict'!T415</f>
        <v>0</v>
      </c>
      <c r="Y416" s="18">
        <f>'RW predict'!Y415</f>
        <v>0</v>
      </c>
      <c r="Z416" s="18">
        <f>'RW predict'!U415</f>
        <v>0</v>
      </c>
      <c r="AA416" s="18">
        <f>'RW predict'!W415</f>
        <v>0</v>
      </c>
      <c r="AB416" s="18"/>
      <c r="AC416" s="18"/>
      <c r="AD416" s="18"/>
      <c r="AE416" s="18"/>
      <c r="AF416" s="19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  <c r="BB416" s="18"/>
      <c r="BC416" s="18"/>
      <c r="BD416" s="18"/>
      <c r="BE416" s="18"/>
      <c r="BF416" s="18"/>
      <c r="BG416" s="18"/>
      <c r="BH416" s="18"/>
      <c r="BI416" s="18"/>
    </row>
    <row r="417" spans="1:61" s="24" customFormat="1" x14ac:dyDescent="0.3">
      <c r="A417" s="18">
        <v>414</v>
      </c>
      <c r="B417" s="18" t="str">
        <f>'RW predict'!A416</f>
        <v>Derick Brassard</v>
      </c>
      <c r="C417" s="18" t="str">
        <f>'RW predict'!B416</f>
        <v>OTT</v>
      </c>
      <c r="D417" s="22" t="str" cm="1">
        <f t="array" ref="D417">_xlfn.SWITCH('RW predict'!C416, "C", "F", "LW","F", "RW", "F", "D", "D", "G", "G", "other")</f>
        <v>F</v>
      </c>
      <c r="E417" s="32">
        <f t="shared" si="12"/>
        <v>905</v>
      </c>
      <c r="F417" s="35">
        <f>E417/assumptions!$B$2</f>
        <v>11.036585365853659</v>
      </c>
      <c r="G417" s="36">
        <f t="shared" si="13"/>
        <v>528</v>
      </c>
      <c r="H417" s="18">
        <f>IF(NOT(D417="G"),'RW predict'!E416,0)</f>
        <v>9</v>
      </c>
      <c r="I417" s="18">
        <f>'RW predict'!Q416</f>
        <v>8</v>
      </c>
      <c r="J417" s="18">
        <f>'RW predict'!F416</f>
        <v>13</v>
      </c>
      <c r="K417" s="18"/>
      <c r="L417" s="18"/>
      <c r="M417" s="18">
        <f>'RW predict'!P416</f>
        <v>92</v>
      </c>
      <c r="N417" s="18"/>
      <c r="O417" s="18">
        <f>'RW predict'!H416</f>
        <v>1</v>
      </c>
      <c r="P417" s="18">
        <f>'RW predict'!I416</f>
        <v>17</v>
      </c>
      <c r="Q417" s="18">
        <f>'RW predict'!L416</f>
        <v>2</v>
      </c>
      <c r="R417" s="18">
        <f>'RW predict'!N416</f>
        <v>0</v>
      </c>
      <c r="S417" s="76">
        <f>'RW predict'!O416</f>
        <v>0</v>
      </c>
      <c r="T417" s="76">
        <f>'RW predict'!K416</f>
        <v>1</v>
      </c>
      <c r="U417" s="22">
        <f>'RW predict'!J416</f>
        <v>73</v>
      </c>
      <c r="V417" s="32">
        <f>IF(D417="G",'RW predict'!E416,0)</f>
        <v>0</v>
      </c>
      <c r="W417" s="18">
        <f>'RW predict'!R416</f>
        <v>0</v>
      </c>
      <c r="X417" s="18">
        <f>'RW predict'!T416</f>
        <v>0</v>
      </c>
      <c r="Y417" s="18">
        <f>'RW predict'!Y416</f>
        <v>0</v>
      </c>
      <c r="Z417" s="18">
        <f>'RW predict'!U416</f>
        <v>0</v>
      </c>
      <c r="AA417" s="18">
        <f>'RW predict'!W416</f>
        <v>0</v>
      </c>
      <c r="AB417" s="18"/>
      <c r="AC417" s="18"/>
      <c r="AD417" s="18"/>
      <c r="AE417" s="18"/>
      <c r="AF417" s="19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  <c r="BA417" s="18"/>
      <c r="BB417" s="18"/>
      <c r="BC417" s="18"/>
      <c r="BD417" s="18"/>
      <c r="BE417" s="18"/>
      <c r="BF417" s="18"/>
      <c r="BG417" s="18"/>
      <c r="BH417" s="18"/>
      <c r="BI417" s="18"/>
    </row>
    <row r="418" spans="1:61" s="24" customFormat="1" x14ac:dyDescent="0.3">
      <c r="A418" s="18">
        <v>415</v>
      </c>
      <c r="B418" s="18" t="str">
        <f>'RW predict'!A417</f>
        <v>Erik Johnson</v>
      </c>
      <c r="C418" s="18" t="str">
        <f>'RW predict'!B417</f>
        <v>COL</v>
      </c>
      <c r="D418" s="22" t="str" cm="1">
        <f t="array" ref="D418">_xlfn.SWITCH('RW predict'!C417, "C", "F", "LW","F", "RW", "F", "D", "D", "G", "G", "other")</f>
        <v>D</v>
      </c>
      <c r="E418" s="32">
        <f t="shared" si="12"/>
        <v>1473</v>
      </c>
      <c r="F418" s="35">
        <f>E418/assumptions!$B$2</f>
        <v>17.963414634146343</v>
      </c>
      <c r="G418" s="36">
        <f t="shared" si="13"/>
        <v>303</v>
      </c>
      <c r="H418" s="18">
        <f>IF(NOT(D418="G"),'RW predict'!E417,0)</f>
        <v>6</v>
      </c>
      <c r="I418" s="18">
        <f>'RW predict'!Q417</f>
        <v>121</v>
      </c>
      <c r="J418" s="18">
        <f>'RW predict'!F417</f>
        <v>16</v>
      </c>
      <c r="K418" s="18"/>
      <c r="L418" s="18"/>
      <c r="M418" s="18">
        <f>'RW predict'!P417</f>
        <v>149</v>
      </c>
      <c r="N418" s="18"/>
      <c r="O418" s="18">
        <f>'RW predict'!H417</f>
        <v>18</v>
      </c>
      <c r="P418" s="18">
        <f>'RW predict'!I417</f>
        <v>26</v>
      </c>
      <c r="Q418" s="18">
        <f>'RW predict'!L417</f>
        <v>0</v>
      </c>
      <c r="R418" s="18">
        <f>'RW predict'!N417</f>
        <v>0</v>
      </c>
      <c r="S418" s="76">
        <f>'RW predict'!O417</f>
        <v>1</v>
      </c>
      <c r="T418" s="76">
        <f>'RW predict'!K417</f>
        <v>1</v>
      </c>
      <c r="U418" s="22">
        <f>'RW predict'!J417</f>
        <v>122</v>
      </c>
      <c r="V418" s="32">
        <f>IF(D418="G",'RW predict'!E417,0)</f>
        <v>0</v>
      </c>
      <c r="W418" s="18">
        <f>'RW predict'!R417</f>
        <v>0</v>
      </c>
      <c r="X418" s="18">
        <f>'RW predict'!T417</f>
        <v>0</v>
      </c>
      <c r="Y418" s="18">
        <f>'RW predict'!Y417</f>
        <v>0</v>
      </c>
      <c r="Z418" s="18">
        <f>'RW predict'!U417</f>
        <v>0</v>
      </c>
      <c r="AA418" s="18">
        <f>'RW predict'!W417</f>
        <v>0</v>
      </c>
      <c r="AB418" s="18"/>
      <c r="AC418" s="18"/>
      <c r="AD418" s="18"/>
      <c r="AE418" s="18"/>
      <c r="AF418" s="19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  <c r="BA418" s="18"/>
      <c r="BB418" s="18"/>
      <c r="BC418" s="18"/>
      <c r="BD418" s="18"/>
      <c r="BE418" s="18"/>
      <c r="BF418" s="18"/>
      <c r="BG418" s="18"/>
      <c r="BH418" s="18"/>
      <c r="BI418" s="18"/>
    </row>
    <row r="419" spans="1:61" s="24" customFormat="1" x14ac:dyDescent="0.3">
      <c r="A419" s="18">
        <v>416</v>
      </c>
      <c r="B419" s="18" t="str">
        <f>'RW predict'!A418</f>
        <v>Anton Stralman</v>
      </c>
      <c r="C419" s="18" t="str">
        <f>'RW predict'!B418</f>
        <v>FA</v>
      </c>
      <c r="D419" s="22" t="str" cm="1">
        <f t="array" ref="D419">_xlfn.SWITCH('RW predict'!C418, "C", "F", "LW","F", "RW", "F", "D", "D", "G", "G", "other")</f>
        <v>D</v>
      </c>
      <c r="E419" s="32">
        <f t="shared" si="12"/>
        <v>900</v>
      </c>
      <c r="F419" s="35">
        <f>E419/assumptions!$B$2</f>
        <v>10.975609756097562</v>
      </c>
      <c r="G419" s="36">
        <f t="shared" si="13"/>
        <v>531</v>
      </c>
      <c r="H419" s="18">
        <f>IF(NOT(D419="G"),'RW predict'!E418,0)</f>
        <v>8</v>
      </c>
      <c r="I419" s="18">
        <f>'RW predict'!Q418</f>
        <v>92</v>
      </c>
      <c r="J419" s="18">
        <f>'RW predict'!F418</f>
        <v>13</v>
      </c>
      <c r="K419" s="18"/>
      <c r="L419" s="18"/>
      <c r="M419" s="18">
        <f>'RW predict'!P418</f>
        <v>89</v>
      </c>
      <c r="N419" s="18"/>
      <c r="O419" s="18">
        <f>'RW predict'!H418</f>
        <v>-13</v>
      </c>
      <c r="P419" s="18">
        <f>'RW predict'!I418</f>
        <v>12</v>
      </c>
      <c r="Q419" s="18">
        <f>'RW predict'!L418</f>
        <v>0</v>
      </c>
      <c r="R419" s="18">
        <f>'RW predict'!N418</f>
        <v>0</v>
      </c>
      <c r="S419" s="76">
        <f>'RW predict'!O418</f>
        <v>0</v>
      </c>
      <c r="T419" s="76">
        <f>'RW predict'!K418</f>
        <v>1</v>
      </c>
      <c r="U419" s="22">
        <f>'RW predict'!J418</f>
        <v>88</v>
      </c>
      <c r="V419" s="32">
        <f>IF(D419="G",'RW predict'!E418,0)</f>
        <v>0</v>
      </c>
      <c r="W419" s="18">
        <f>'RW predict'!R418</f>
        <v>0</v>
      </c>
      <c r="X419" s="18">
        <f>'RW predict'!T418</f>
        <v>0</v>
      </c>
      <c r="Y419" s="18">
        <f>'RW predict'!Y418</f>
        <v>0</v>
      </c>
      <c r="Z419" s="18">
        <f>'RW predict'!U418</f>
        <v>0</v>
      </c>
      <c r="AA419" s="18">
        <f>'RW predict'!W418</f>
        <v>0</v>
      </c>
      <c r="AB419" s="18"/>
      <c r="AC419" s="18"/>
      <c r="AD419" s="18"/>
      <c r="AE419" s="18"/>
      <c r="AF419" s="19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  <c r="BA419" s="18"/>
      <c r="BB419" s="18"/>
      <c r="BC419" s="18"/>
      <c r="BD419" s="18"/>
      <c r="BE419" s="18"/>
      <c r="BF419" s="18"/>
      <c r="BG419" s="18"/>
      <c r="BH419" s="18"/>
      <c r="BI419" s="18"/>
    </row>
    <row r="420" spans="1:61" s="24" customFormat="1" x14ac:dyDescent="0.3">
      <c r="A420" s="18">
        <v>417</v>
      </c>
      <c r="B420" s="18" t="str">
        <f>'RW predict'!A419</f>
        <v>Nick Foligno</v>
      </c>
      <c r="C420" s="18" t="str">
        <f>'RW predict'!B419</f>
        <v>BOS</v>
      </c>
      <c r="D420" s="22" t="str" cm="1">
        <f t="array" ref="D420">_xlfn.SWITCH('RW predict'!C419, "C", "F", "LW","F", "RW", "F", "D", "D", "G", "G", "other")</f>
        <v>F</v>
      </c>
      <c r="E420" s="32">
        <f t="shared" si="12"/>
        <v>1114</v>
      </c>
      <c r="F420" s="35">
        <f>E420/assumptions!$B$2</f>
        <v>13.585365853658537</v>
      </c>
      <c r="G420" s="36">
        <f t="shared" si="13"/>
        <v>444</v>
      </c>
      <c r="H420" s="18">
        <f>IF(NOT(D420="G"),'RW predict'!E419,0)</f>
        <v>6</v>
      </c>
      <c r="I420" s="18">
        <f>'RW predict'!Q419</f>
        <v>38</v>
      </c>
      <c r="J420" s="18">
        <f>'RW predict'!F419</f>
        <v>15</v>
      </c>
      <c r="K420" s="18"/>
      <c r="L420" s="18"/>
      <c r="M420" s="18">
        <f>'RW predict'!P419</f>
        <v>176</v>
      </c>
      <c r="N420" s="18"/>
      <c r="O420" s="18">
        <f>'RW predict'!H419</f>
        <v>-10</v>
      </c>
      <c r="P420" s="18">
        <f>'RW predict'!I419</f>
        <v>65</v>
      </c>
      <c r="Q420" s="18">
        <f>'RW predict'!L419</f>
        <v>0</v>
      </c>
      <c r="R420" s="18">
        <f>'RW predict'!N419</f>
        <v>0</v>
      </c>
      <c r="S420" s="76">
        <f>'RW predict'!O419</f>
        <v>1</v>
      </c>
      <c r="T420" s="76">
        <f>'RW predict'!K419</f>
        <v>1</v>
      </c>
      <c r="U420" s="22">
        <f>'RW predict'!J419</f>
        <v>106</v>
      </c>
      <c r="V420" s="32">
        <f>IF(D420="G",'RW predict'!E419,0)</f>
        <v>0</v>
      </c>
      <c r="W420" s="18">
        <f>'RW predict'!R419</f>
        <v>0</v>
      </c>
      <c r="X420" s="18">
        <f>'RW predict'!T419</f>
        <v>0</v>
      </c>
      <c r="Y420" s="18">
        <f>'RW predict'!Y419</f>
        <v>0</v>
      </c>
      <c r="Z420" s="18">
        <f>'RW predict'!U419</f>
        <v>0</v>
      </c>
      <c r="AA420" s="18">
        <f>'RW predict'!W419</f>
        <v>0</v>
      </c>
      <c r="AB420" s="18"/>
      <c r="AC420" s="18"/>
      <c r="AD420" s="18"/>
      <c r="AE420" s="18"/>
      <c r="AF420" s="19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  <c r="BA420" s="18"/>
      <c r="BB420" s="18"/>
      <c r="BC420" s="18"/>
      <c r="BD420" s="18"/>
      <c r="BE420" s="18"/>
      <c r="BF420" s="18"/>
      <c r="BG420" s="18"/>
      <c r="BH420" s="18"/>
      <c r="BI420" s="18"/>
    </row>
    <row r="421" spans="1:61" s="24" customFormat="1" x14ac:dyDescent="0.3">
      <c r="A421" s="18">
        <v>418</v>
      </c>
      <c r="B421" s="18" t="str">
        <f>'RW predict'!A420</f>
        <v>Brenden Dillon</v>
      </c>
      <c r="C421" s="18" t="str">
        <f>'RW predict'!B420</f>
        <v>WPG</v>
      </c>
      <c r="D421" s="22" t="str" cm="1">
        <f t="array" ref="D421">_xlfn.SWITCH('RW predict'!C420, "C", "F", "LW","F", "RW", "F", "D", "D", "G", "G", "other")</f>
        <v>D</v>
      </c>
      <c r="E421" s="32">
        <f t="shared" si="12"/>
        <v>1502</v>
      </c>
      <c r="F421" s="35">
        <f>E421/assumptions!$B$2</f>
        <v>18.317073170731707</v>
      </c>
      <c r="G421" s="36">
        <f t="shared" si="13"/>
        <v>289</v>
      </c>
      <c r="H421" s="18">
        <f>IF(NOT(D421="G"),'RW predict'!E420,0)</f>
        <v>2</v>
      </c>
      <c r="I421" s="18">
        <f>'RW predict'!Q420</f>
        <v>105</v>
      </c>
      <c r="J421" s="18">
        <f>'RW predict'!F420</f>
        <v>19</v>
      </c>
      <c r="K421" s="18"/>
      <c r="L421" s="18"/>
      <c r="M421" s="18">
        <f>'RW predict'!P420</f>
        <v>217</v>
      </c>
      <c r="N421" s="18"/>
      <c r="O421" s="18">
        <f>'RW predict'!H420</f>
        <v>16</v>
      </c>
      <c r="P421" s="18">
        <f>'RW predict'!I420</f>
        <v>74</v>
      </c>
      <c r="Q421" s="18">
        <f>'RW predict'!L420</f>
        <v>0</v>
      </c>
      <c r="R421" s="18">
        <f>'RW predict'!N420</f>
        <v>0</v>
      </c>
      <c r="S421" s="76">
        <f>'RW predict'!O420</f>
        <v>0</v>
      </c>
      <c r="T421" s="76">
        <f>'RW predict'!K420</f>
        <v>0</v>
      </c>
      <c r="U421" s="22">
        <f>'RW predict'!J420</f>
        <v>84</v>
      </c>
      <c r="V421" s="32">
        <f>IF(D421="G",'RW predict'!E420,0)</f>
        <v>0</v>
      </c>
      <c r="W421" s="18">
        <f>'RW predict'!R420</f>
        <v>0</v>
      </c>
      <c r="X421" s="18">
        <f>'RW predict'!T420</f>
        <v>0</v>
      </c>
      <c r="Y421" s="18">
        <f>'RW predict'!Y420</f>
        <v>0</v>
      </c>
      <c r="Z421" s="18">
        <f>'RW predict'!U420</f>
        <v>0</v>
      </c>
      <c r="AA421" s="18">
        <f>'RW predict'!W420</f>
        <v>0</v>
      </c>
      <c r="AB421" s="18"/>
      <c r="AC421" s="18"/>
      <c r="AD421" s="18"/>
      <c r="AE421" s="18"/>
      <c r="AF421" s="19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  <c r="BI421" s="18"/>
    </row>
    <row r="422" spans="1:61" s="24" customFormat="1" x14ac:dyDescent="0.3">
      <c r="A422" s="18">
        <v>419</v>
      </c>
      <c r="B422" s="18" t="str">
        <f>'RW predict'!A421</f>
        <v>Joel Armia</v>
      </c>
      <c r="C422" s="18" t="str">
        <f>'RW predict'!B421</f>
        <v>MON</v>
      </c>
      <c r="D422" s="22" t="str" cm="1">
        <f t="array" ref="D422">_xlfn.SWITCH('RW predict'!C421, "C", "F", "LW","F", "RW", "F", "D", "D", "G", "G", "other")</f>
        <v>F</v>
      </c>
      <c r="E422" s="32">
        <f t="shared" si="12"/>
        <v>958</v>
      </c>
      <c r="F422" s="35">
        <f>E422/assumptions!$B$2</f>
        <v>11.682926829268293</v>
      </c>
      <c r="G422" s="36">
        <f t="shared" si="13"/>
        <v>508</v>
      </c>
      <c r="H422" s="18">
        <f>IF(NOT(D422="G"),'RW predict'!E421,0)</f>
        <v>10</v>
      </c>
      <c r="I422" s="18">
        <f>'RW predict'!Q421</f>
        <v>28</v>
      </c>
      <c r="J422" s="18">
        <f>'RW predict'!F421</f>
        <v>11</v>
      </c>
      <c r="K422" s="18"/>
      <c r="L422" s="18"/>
      <c r="M422" s="18">
        <f>'RW predict'!P421</f>
        <v>121</v>
      </c>
      <c r="N422" s="18"/>
      <c r="O422" s="18">
        <f>'RW predict'!H421</f>
        <v>-10</v>
      </c>
      <c r="P422" s="18">
        <f>'RW predict'!I421</f>
        <v>16</v>
      </c>
      <c r="Q422" s="18">
        <f>'RW predict'!L421</f>
        <v>1</v>
      </c>
      <c r="R422" s="18">
        <f>'RW predict'!N421</f>
        <v>1</v>
      </c>
      <c r="S422" s="76">
        <f>'RW predict'!O421</f>
        <v>1</v>
      </c>
      <c r="T422" s="76">
        <f>'RW predict'!K421</f>
        <v>1</v>
      </c>
      <c r="U422" s="22">
        <f>'RW predict'!J421</f>
        <v>124</v>
      </c>
      <c r="V422" s="32">
        <f>IF(D422="G",'RW predict'!E421,0)</f>
        <v>0</v>
      </c>
      <c r="W422" s="18">
        <f>'RW predict'!R421</f>
        <v>0</v>
      </c>
      <c r="X422" s="18">
        <f>'RW predict'!T421</f>
        <v>0</v>
      </c>
      <c r="Y422" s="18">
        <f>'RW predict'!Y421</f>
        <v>0</v>
      </c>
      <c r="Z422" s="18">
        <f>'RW predict'!U421</f>
        <v>0</v>
      </c>
      <c r="AA422" s="18">
        <f>'RW predict'!W421</f>
        <v>0</v>
      </c>
      <c r="AB422" s="18"/>
      <c r="AC422" s="18"/>
      <c r="AD422" s="18"/>
      <c r="AE422" s="18"/>
      <c r="AF422" s="19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  <c r="BI422" s="18"/>
    </row>
    <row r="423" spans="1:61" s="24" customFormat="1" x14ac:dyDescent="0.3">
      <c r="A423" s="18">
        <v>420</v>
      </c>
      <c r="B423" s="18" t="str">
        <f>'RW predict'!A422</f>
        <v>Jake Muzzin</v>
      </c>
      <c r="C423" s="18" t="str">
        <f>'RW predict'!B422</f>
        <v>TOR</v>
      </c>
      <c r="D423" s="22" t="str" cm="1">
        <f t="array" ref="D423">_xlfn.SWITCH('RW predict'!C422, "C", "F", "LW","F", "RW", "F", "D", "D", "G", "G", "other")</f>
        <v>D</v>
      </c>
      <c r="E423" s="32">
        <f t="shared" si="12"/>
        <v>1142</v>
      </c>
      <c r="F423" s="35">
        <f>E423/assumptions!$B$2</f>
        <v>13.926829268292684</v>
      </c>
      <c r="G423" s="36">
        <f t="shared" si="13"/>
        <v>428</v>
      </c>
      <c r="H423" s="18">
        <f>IF(NOT(D423="G"),'RW predict'!E422,0)</f>
        <v>4</v>
      </c>
      <c r="I423" s="18">
        <f>'RW predict'!Q422</f>
        <v>89</v>
      </c>
      <c r="J423" s="18">
        <f>'RW predict'!F422</f>
        <v>17</v>
      </c>
      <c r="K423" s="18"/>
      <c r="L423" s="18"/>
      <c r="M423" s="18">
        <f>'RW predict'!P422</f>
        <v>123</v>
      </c>
      <c r="N423" s="18"/>
      <c r="O423" s="18">
        <f>'RW predict'!H422</f>
        <v>1</v>
      </c>
      <c r="P423" s="18">
        <f>'RW predict'!I422</f>
        <v>26</v>
      </c>
      <c r="Q423" s="18">
        <f>'RW predict'!L422</f>
        <v>0</v>
      </c>
      <c r="R423" s="18">
        <f>'RW predict'!N422</f>
        <v>0</v>
      </c>
      <c r="S423" s="76">
        <f>'RW predict'!O422</f>
        <v>1</v>
      </c>
      <c r="T423" s="76">
        <f>'RW predict'!K422</f>
        <v>1</v>
      </c>
      <c r="U423" s="22">
        <f>'RW predict'!J422</f>
        <v>99</v>
      </c>
      <c r="V423" s="32">
        <f>IF(D423="G",'RW predict'!E422,0)</f>
        <v>0</v>
      </c>
      <c r="W423" s="18">
        <f>'RW predict'!R422</f>
        <v>0</v>
      </c>
      <c r="X423" s="18">
        <f>'RW predict'!T422</f>
        <v>0</v>
      </c>
      <c r="Y423" s="18">
        <f>'RW predict'!Y422</f>
        <v>0</v>
      </c>
      <c r="Z423" s="18">
        <f>'RW predict'!U422</f>
        <v>0</v>
      </c>
      <c r="AA423" s="18">
        <f>'RW predict'!W422</f>
        <v>0</v>
      </c>
      <c r="AB423" s="18"/>
      <c r="AC423" s="18"/>
      <c r="AD423" s="18"/>
      <c r="AE423" s="18"/>
      <c r="AF423" s="19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  <c r="BA423" s="18"/>
      <c r="BB423" s="18"/>
      <c r="BC423" s="18"/>
      <c r="BD423" s="18"/>
      <c r="BE423" s="18"/>
      <c r="BF423" s="18"/>
      <c r="BG423" s="18"/>
      <c r="BH423" s="18"/>
      <c r="BI423" s="18"/>
    </row>
    <row r="424" spans="1:61" s="24" customFormat="1" x14ac:dyDescent="0.3">
      <c r="A424" s="18">
        <v>421</v>
      </c>
      <c r="B424" s="18" t="str">
        <f>'RW predict'!A423</f>
        <v>Johan Larsson</v>
      </c>
      <c r="C424" s="18" t="str">
        <f>'RW predict'!B423</f>
        <v>FA</v>
      </c>
      <c r="D424" s="22" t="str" cm="1">
        <f t="array" ref="D424">_xlfn.SWITCH('RW predict'!C423, "C", "F", "LW","F", "RW", "F", "D", "D", "G", "G", "other")</f>
        <v>F</v>
      </c>
      <c r="E424" s="32">
        <f t="shared" si="12"/>
        <v>852</v>
      </c>
      <c r="F424" s="35">
        <f>E424/assumptions!$B$2</f>
        <v>10.390243902439025</v>
      </c>
      <c r="G424" s="36">
        <f t="shared" si="13"/>
        <v>551</v>
      </c>
      <c r="H424" s="18">
        <f>IF(NOT(D424="G"),'RW predict'!E423,0)</f>
        <v>8</v>
      </c>
      <c r="I424" s="18">
        <f>'RW predict'!Q423</f>
        <v>29</v>
      </c>
      <c r="J424" s="18">
        <f>'RW predict'!F423</f>
        <v>13</v>
      </c>
      <c r="K424" s="18"/>
      <c r="L424" s="18"/>
      <c r="M424" s="18">
        <f>'RW predict'!P423</f>
        <v>79</v>
      </c>
      <c r="N424" s="18"/>
      <c r="O424" s="18">
        <f>'RW predict'!H423</f>
        <v>-5</v>
      </c>
      <c r="P424" s="18">
        <f>'RW predict'!I423</f>
        <v>32</v>
      </c>
      <c r="Q424" s="18">
        <f>'RW predict'!L423</f>
        <v>2</v>
      </c>
      <c r="R424" s="18">
        <f>'RW predict'!N423</f>
        <v>0</v>
      </c>
      <c r="S424" s="76">
        <f>'RW predict'!O423</f>
        <v>0</v>
      </c>
      <c r="T424" s="76">
        <f>'RW predict'!K423</f>
        <v>1</v>
      </c>
      <c r="U424" s="22">
        <f>'RW predict'!J423</f>
        <v>52</v>
      </c>
      <c r="V424" s="32">
        <f>IF(D424="G",'RW predict'!E423,0)</f>
        <v>0</v>
      </c>
      <c r="W424" s="18">
        <f>'RW predict'!R423</f>
        <v>0</v>
      </c>
      <c r="X424" s="18">
        <f>'RW predict'!T423</f>
        <v>0</v>
      </c>
      <c r="Y424" s="18">
        <f>'RW predict'!Y423</f>
        <v>0</v>
      </c>
      <c r="Z424" s="18">
        <f>'RW predict'!U423</f>
        <v>0</v>
      </c>
      <c r="AA424" s="18">
        <f>'RW predict'!W423</f>
        <v>0</v>
      </c>
      <c r="AB424" s="18"/>
      <c r="AC424" s="18"/>
      <c r="AD424" s="18"/>
      <c r="AE424" s="18"/>
      <c r="AF424" s="19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  <c r="BB424" s="18"/>
      <c r="BC424" s="18"/>
      <c r="BD424" s="18"/>
      <c r="BE424" s="18"/>
      <c r="BF424" s="18"/>
      <c r="BG424" s="18"/>
      <c r="BH424" s="18"/>
      <c r="BI424" s="18"/>
    </row>
    <row r="425" spans="1:61" s="24" customFormat="1" x14ac:dyDescent="0.3">
      <c r="A425" s="18">
        <v>422</v>
      </c>
      <c r="B425" s="18" t="str">
        <f>'RW predict'!A424</f>
        <v>Colin White</v>
      </c>
      <c r="C425" s="18" t="str">
        <f>'RW predict'!B424</f>
        <v>FLA</v>
      </c>
      <c r="D425" s="22" t="str" cm="1">
        <f t="array" ref="D425">_xlfn.SWITCH('RW predict'!C424, "C", "F", "LW","F", "RW", "F", "D", "D", "G", "G", "other")</f>
        <v>F</v>
      </c>
      <c r="E425" s="32">
        <f t="shared" si="12"/>
        <v>771</v>
      </c>
      <c r="F425" s="35">
        <f>E425/assumptions!$B$2</f>
        <v>9.4024390243902438</v>
      </c>
      <c r="G425" s="36">
        <f t="shared" si="13"/>
        <v>581</v>
      </c>
      <c r="H425" s="18">
        <f>IF(NOT(D425="G"),'RW predict'!E424,0)</f>
        <v>7</v>
      </c>
      <c r="I425" s="18">
        <f>'RW predict'!Q424</f>
        <v>13</v>
      </c>
      <c r="J425" s="18">
        <f>'RW predict'!F424</f>
        <v>14</v>
      </c>
      <c r="K425" s="18"/>
      <c r="L425" s="18"/>
      <c r="M425" s="18">
        <f>'RW predict'!P424</f>
        <v>52</v>
      </c>
      <c r="N425" s="18"/>
      <c r="O425" s="18">
        <f>'RW predict'!H424</f>
        <v>-7</v>
      </c>
      <c r="P425" s="18">
        <f>'RW predict'!I424</f>
        <v>14</v>
      </c>
      <c r="Q425" s="18">
        <f>'RW predict'!L424</f>
        <v>1</v>
      </c>
      <c r="R425" s="18">
        <f>'RW predict'!N424</f>
        <v>0</v>
      </c>
      <c r="S425" s="76">
        <f>'RW predict'!O424</f>
        <v>0</v>
      </c>
      <c r="T425" s="76">
        <f>'RW predict'!K424</f>
        <v>1</v>
      </c>
      <c r="U425" s="22">
        <f>'RW predict'!J424</f>
        <v>83</v>
      </c>
      <c r="V425" s="32">
        <f>IF(D425="G",'RW predict'!E424,0)</f>
        <v>0</v>
      </c>
      <c r="W425" s="18">
        <f>'RW predict'!R424</f>
        <v>0</v>
      </c>
      <c r="X425" s="18">
        <f>'RW predict'!T424</f>
        <v>0</v>
      </c>
      <c r="Y425" s="18">
        <f>'RW predict'!Y424</f>
        <v>0</v>
      </c>
      <c r="Z425" s="18">
        <f>'RW predict'!U424</f>
        <v>0</v>
      </c>
      <c r="AA425" s="18">
        <f>'RW predict'!W424</f>
        <v>0</v>
      </c>
      <c r="AB425" s="18"/>
      <c r="AC425" s="18"/>
      <c r="AD425" s="18"/>
      <c r="AE425" s="18"/>
      <c r="AF425" s="19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  <c r="BA425" s="18"/>
      <c r="BB425" s="18"/>
      <c r="BC425" s="18"/>
      <c r="BD425" s="18"/>
      <c r="BE425" s="18"/>
      <c r="BF425" s="18"/>
      <c r="BG425" s="18"/>
      <c r="BH425" s="18"/>
      <c r="BI425" s="18"/>
    </row>
    <row r="426" spans="1:61" s="24" customFormat="1" x14ac:dyDescent="0.3">
      <c r="A426" s="18">
        <v>423</v>
      </c>
      <c r="B426" s="18" t="str">
        <f>'RW predict'!A425</f>
        <v>Daniel Sprong</v>
      </c>
      <c r="C426" s="18" t="str">
        <f>'RW predict'!B425</f>
        <v>SEA</v>
      </c>
      <c r="D426" s="22" t="str" cm="1">
        <f t="array" ref="D426">_xlfn.SWITCH('RW predict'!C425, "C", "F", "LW","F", "RW", "F", "D", "D", "G", "G", "other")</f>
        <v>F</v>
      </c>
      <c r="E426" s="32">
        <f t="shared" si="12"/>
        <v>934</v>
      </c>
      <c r="F426" s="35">
        <f>E426/assumptions!$B$2</f>
        <v>11.390243902439025</v>
      </c>
      <c r="G426" s="36">
        <f t="shared" si="13"/>
        <v>520</v>
      </c>
      <c r="H426" s="18">
        <f>IF(NOT(D426="G"),'RW predict'!E425,0)</f>
        <v>14</v>
      </c>
      <c r="I426" s="18">
        <f>'RW predict'!Q425</f>
        <v>9</v>
      </c>
      <c r="J426" s="18">
        <f>'RW predict'!F425</f>
        <v>7</v>
      </c>
      <c r="K426" s="18"/>
      <c r="L426" s="18"/>
      <c r="M426" s="18">
        <f>'RW predict'!P425</f>
        <v>38</v>
      </c>
      <c r="N426" s="18"/>
      <c r="O426" s="18">
        <f>'RW predict'!H425</f>
        <v>2</v>
      </c>
      <c r="P426" s="18">
        <f>'RW predict'!I425</f>
        <v>9</v>
      </c>
      <c r="Q426" s="18">
        <f>'RW predict'!L425</f>
        <v>2</v>
      </c>
      <c r="R426" s="18">
        <f>'RW predict'!N425</f>
        <v>0</v>
      </c>
      <c r="S426" s="76">
        <f>'RW predict'!O425</f>
        <v>0</v>
      </c>
      <c r="T426" s="76">
        <f>'RW predict'!K425</f>
        <v>1</v>
      </c>
      <c r="U426" s="22">
        <f>'RW predict'!J425</f>
        <v>133</v>
      </c>
      <c r="V426" s="32">
        <f>IF(D426="G",'RW predict'!E425,0)</f>
        <v>0</v>
      </c>
      <c r="W426" s="18">
        <f>'RW predict'!R425</f>
        <v>0</v>
      </c>
      <c r="X426" s="18">
        <f>'RW predict'!T425</f>
        <v>0</v>
      </c>
      <c r="Y426" s="18">
        <f>'RW predict'!Y425</f>
        <v>0</v>
      </c>
      <c r="Z426" s="18">
        <f>'RW predict'!U425</f>
        <v>0</v>
      </c>
      <c r="AA426" s="18">
        <f>'RW predict'!W425</f>
        <v>0</v>
      </c>
      <c r="AB426" s="18"/>
      <c r="AC426" s="18"/>
      <c r="AD426" s="18"/>
      <c r="AE426" s="18"/>
      <c r="AF426" s="19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  <c r="BA426" s="18"/>
      <c r="BB426" s="18"/>
      <c r="BC426" s="18"/>
      <c r="BD426" s="18"/>
      <c r="BE426" s="18"/>
      <c r="BF426" s="18"/>
      <c r="BG426" s="18"/>
      <c r="BH426" s="18"/>
      <c r="BI426" s="18"/>
    </row>
    <row r="427" spans="1:61" s="24" customFormat="1" x14ac:dyDescent="0.3">
      <c r="A427" s="18">
        <v>424</v>
      </c>
      <c r="B427" s="18" t="str">
        <f>'RW predict'!A426</f>
        <v>Nicolas Aube-Kubel</v>
      </c>
      <c r="C427" s="18" t="str">
        <f>'RW predict'!B426</f>
        <v>TOR</v>
      </c>
      <c r="D427" s="22" t="str" cm="1">
        <f t="array" ref="D427">_xlfn.SWITCH('RW predict'!C426, "C", "F", "LW","F", "RW", "F", "D", "D", "G", "G", "other")</f>
        <v>F</v>
      </c>
      <c r="E427" s="32">
        <f t="shared" si="12"/>
        <v>1104</v>
      </c>
      <c r="F427" s="35">
        <f>E427/assumptions!$B$2</f>
        <v>13.463414634146341</v>
      </c>
      <c r="G427" s="36">
        <f t="shared" si="13"/>
        <v>450</v>
      </c>
      <c r="H427" s="18">
        <f>IF(NOT(D427="G"),'RW predict'!E426,0)</f>
        <v>10</v>
      </c>
      <c r="I427" s="18">
        <f>'RW predict'!Q426</f>
        <v>16</v>
      </c>
      <c r="J427" s="18">
        <f>'RW predict'!F426</f>
        <v>11</v>
      </c>
      <c r="K427" s="18"/>
      <c r="L427" s="18"/>
      <c r="M427" s="18">
        <f>'RW predict'!P426</f>
        <v>127</v>
      </c>
      <c r="N427" s="18"/>
      <c r="O427" s="18">
        <f>'RW predict'!H426</f>
        <v>7</v>
      </c>
      <c r="P427" s="18">
        <f>'RW predict'!I426</f>
        <v>50</v>
      </c>
      <c r="Q427" s="18">
        <f>'RW predict'!L426</f>
        <v>0</v>
      </c>
      <c r="R427" s="18">
        <f>'RW predict'!N426</f>
        <v>0</v>
      </c>
      <c r="S427" s="76">
        <f>'RW predict'!O426</f>
        <v>0</v>
      </c>
      <c r="T427" s="76">
        <f>'RW predict'!K426</f>
        <v>1</v>
      </c>
      <c r="U427" s="22">
        <f>'RW predict'!J426</f>
        <v>90</v>
      </c>
      <c r="V427" s="32">
        <f>IF(D427="G",'RW predict'!E426,0)</f>
        <v>0</v>
      </c>
      <c r="W427" s="18">
        <f>'RW predict'!R426</f>
        <v>0</v>
      </c>
      <c r="X427" s="18">
        <f>'RW predict'!T426</f>
        <v>0</v>
      </c>
      <c r="Y427" s="18">
        <f>'RW predict'!Y426</f>
        <v>0</v>
      </c>
      <c r="Z427" s="18">
        <f>'RW predict'!U426</f>
        <v>0</v>
      </c>
      <c r="AA427" s="18">
        <f>'RW predict'!W426</f>
        <v>0</v>
      </c>
      <c r="AB427" s="18"/>
      <c r="AC427" s="18"/>
      <c r="AD427" s="18"/>
      <c r="AE427" s="18"/>
      <c r="AF427" s="19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  <c r="BA427" s="18"/>
      <c r="BB427" s="18"/>
      <c r="BC427" s="18"/>
      <c r="BD427" s="18"/>
      <c r="BE427" s="18"/>
      <c r="BF427" s="18"/>
      <c r="BG427" s="18"/>
      <c r="BH427" s="18"/>
      <c r="BI427" s="18"/>
    </row>
    <row r="428" spans="1:61" s="24" customFormat="1" x14ac:dyDescent="0.3">
      <c r="A428" s="18">
        <v>425</v>
      </c>
      <c r="B428" s="18" t="str">
        <f>'RW predict'!A427</f>
        <v>Mike Reilly</v>
      </c>
      <c r="C428" s="18" t="str">
        <f>'RW predict'!B427</f>
        <v>BOS</v>
      </c>
      <c r="D428" s="22" t="str" cm="1">
        <f t="array" ref="D428">_xlfn.SWITCH('RW predict'!C427, "C", "F", "LW","F", "RW", "F", "D", "D", "G", "G", "other")</f>
        <v>D</v>
      </c>
      <c r="E428" s="32">
        <f t="shared" si="12"/>
        <v>1092</v>
      </c>
      <c r="F428" s="35">
        <f>E428/assumptions!$B$2</f>
        <v>13.317073170731707</v>
      </c>
      <c r="G428" s="36">
        <f t="shared" si="13"/>
        <v>455</v>
      </c>
      <c r="H428" s="18">
        <f>IF(NOT(D428="G"),'RW predict'!E427,0)</f>
        <v>4</v>
      </c>
      <c r="I428" s="18">
        <f>'RW predict'!Q427</f>
        <v>56</v>
      </c>
      <c r="J428" s="18">
        <f>'RW predict'!F427</f>
        <v>17</v>
      </c>
      <c r="K428" s="18"/>
      <c r="L428" s="18"/>
      <c r="M428" s="18">
        <f>'RW predict'!P427</f>
        <v>97</v>
      </c>
      <c r="N428" s="18"/>
      <c r="O428" s="18">
        <f>'RW predict'!H427</f>
        <v>0</v>
      </c>
      <c r="P428" s="18">
        <f>'RW predict'!I427</f>
        <v>28</v>
      </c>
      <c r="Q428" s="18">
        <f>'RW predict'!L427</f>
        <v>0</v>
      </c>
      <c r="R428" s="18">
        <f>'RW predict'!N427</f>
        <v>0</v>
      </c>
      <c r="S428" s="76">
        <f>'RW predict'!O427</f>
        <v>0</v>
      </c>
      <c r="T428" s="76">
        <f>'RW predict'!K427</f>
        <v>0</v>
      </c>
      <c r="U428" s="22">
        <f>'RW predict'!J427</f>
        <v>137</v>
      </c>
      <c r="V428" s="32">
        <f>IF(D428="G",'RW predict'!E427,0)</f>
        <v>0</v>
      </c>
      <c r="W428" s="18">
        <f>'RW predict'!R427</f>
        <v>0</v>
      </c>
      <c r="X428" s="18">
        <f>'RW predict'!T427</f>
        <v>0</v>
      </c>
      <c r="Y428" s="18">
        <f>'RW predict'!Y427</f>
        <v>0</v>
      </c>
      <c r="Z428" s="18">
        <f>'RW predict'!U427</f>
        <v>0</v>
      </c>
      <c r="AA428" s="18">
        <f>'RW predict'!W427</f>
        <v>0</v>
      </c>
      <c r="AB428" s="18"/>
      <c r="AC428" s="18"/>
      <c r="AD428" s="18"/>
      <c r="AE428" s="18"/>
      <c r="AF428" s="19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  <c r="BA428" s="18"/>
      <c r="BB428" s="18"/>
      <c r="BC428" s="18"/>
      <c r="BD428" s="18"/>
      <c r="BE428" s="18"/>
      <c r="BF428" s="18"/>
      <c r="BG428" s="18"/>
      <c r="BH428" s="18"/>
      <c r="BI428" s="18"/>
    </row>
    <row r="429" spans="1:61" s="24" customFormat="1" x14ac:dyDescent="0.3">
      <c r="A429" s="18">
        <v>426</v>
      </c>
      <c r="B429" s="18" t="str">
        <f>'RW predict'!A428</f>
        <v>Matt Grzelcyk</v>
      </c>
      <c r="C429" s="18" t="str">
        <f>'RW predict'!B428</f>
        <v>BOS</v>
      </c>
      <c r="D429" s="22" t="str" cm="1">
        <f t="array" ref="D429">_xlfn.SWITCH('RW predict'!C428, "C", "F", "LW","F", "RW", "F", "D", "D", "G", "G", "other")</f>
        <v>D</v>
      </c>
      <c r="E429" s="32">
        <f t="shared" si="12"/>
        <v>1180</v>
      </c>
      <c r="F429" s="35">
        <f>E429/assumptions!$B$2</f>
        <v>14.390243902439025</v>
      </c>
      <c r="G429" s="36">
        <f t="shared" si="13"/>
        <v>411</v>
      </c>
      <c r="H429" s="18">
        <f>IF(NOT(D429="G"),'RW predict'!E428,0)</f>
        <v>4</v>
      </c>
      <c r="I429" s="18">
        <f>'RW predict'!Q428</f>
        <v>74</v>
      </c>
      <c r="J429" s="18">
        <f>'RW predict'!F428</f>
        <v>17</v>
      </c>
      <c r="K429" s="18"/>
      <c r="L429" s="18"/>
      <c r="M429" s="18">
        <f>'RW predict'!P428</f>
        <v>39</v>
      </c>
      <c r="N429" s="18"/>
      <c r="O429" s="18">
        <f>'RW predict'!H428</f>
        <v>16</v>
      </c>
      <c r="P429" s="18">
        <f>'RW predict'!I428</f>
        <v>24</v>
      </c>
      <c r="Q429" s="18">
        <f>'RW predict'!L428</f>
        <v>0</v>
      </c>
      <c r="R429" s="18">
        <f>'RW predict'!N428</f>
        <v>0</v>
      </c>
      <c r="S429" s="76">
        <f>'RW predict'!O428</f>
        <v>0</v>
      </c>
      <c r="T429" s="76">
        <f>'RW predict'!K428</f>
        <v>1</v>
      </c>
      <c r="U429" s="22">
        <f>'RW predict'!J428</f>
        <v>108</v>
      </c>
      <c r="V429" s="32">
        <f>IF(D429="G",'RW predict'!E428,0)</f>
        <v>0</v>
      </c>
      <c r="W429" s="18">
        <f>'RW predict'!R428</f>
        <v>0</v>
      </c>
      <c r="X429" s="18">
        <f>'RW predict'!T428</f>
        <v>0</v>
      </c>
      <c r="Y429" s="18">
        <f>'RW predict'!Y428</f>
        <v>0</v>
      </c>
      <c r="Z429" s="18">
        <f>'RW predict'!U428</f>
        <v>0</v>
      </c>
      <c r="AA429" s="18">
        <f>'RW predict'!W428</f>
        <v>0</v>
      </c>
      <c r="AB429" s="18"/>
      <c r="AC429" s="18"/>
      <c r="AD429" s="18"/>
      <c r="AE429" s="18"/>
      <c r="AF429" s="19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  <c r="BA429" s="18"/>
      <c r="BB429" s="18"/>
      <c r="BC429" s="18"/>
      <c r="BD429" s="18"/>
      <c r="BE429" s="18"/>
      <c r="BF429" s="18"/>
      <c r="BG429" s="18"/>
      <c r="BH429" s="18"/>
      <c r="BI429" s="18"/>
    </row>
    <row r="430" spans="1:61" s="24" customFormat="1" x14ac:dyDescent="0.3">
      <c r="A430" s="18">
        <v>427</v>
      </c>
      <c r="B430" s="18" t="str">
        <f>'RW predict'!A429</f>
        <v>K'Andre Miller</v>
      </c>
      <c r="C430" s="18" t="str">
        <f>'RW predict'!B429</f>
        <v>NYR</v>
      </c>
      <c r="D430" s="22" t="str" cm="1">
        <f t="array" ref="D430">_xlfn.SWITCH('RW predict'!C429, "C", "F", "LW","F", "RW", "F", "D", "D", "G", "G", "other")</f>
        <v>D</v>
      </c>
      <c r="E430" s="32">
        <f t="shared" si="12"/>
        <v>1423</v>
      </c>
      <c r="F430" s="35">
        <f>E430/assumptions!$B$2</f>
        <v>17.353658536585368</v>
      </c>
      <c r="G430" s="36">
        <f t="shared" si="13"/>
        <v>321</v>
      </c>
      <c r="H430" s="18">
        <f>IF(NOT(D430="G"),'RW predict'!E429,0)</f>
        <v>7</v>
      </c>
      <c r="I430" s="18">
        <f>'RW predict'!Q429</f>
        <v>101</v>
      </c>
      <c r="J430" s="18">
        <f>'RW predict'!F429</f>
        <v>14</v>
      </c>
      <c r="K430" s="18"/>
      <c r="L430" s="18"/>
      <c r="M430" s="18">
        <f>'RW predict'!P429</f>
        <v>154</v>
      </c>
      <c r="N430" s="18"/>
      <c r="O430" s="18">
        <f>'RW predict'!H429</f>
        <v>22</v>
      </c>
      <c r="P430" s="18">
        <f>'RW predict'!I429</f>
        <v>24</v>
      </c>
      <c r="Q430" s="18">
        <f>'RW predict'!L429</f>
        <v>1</v>
      </c>
      <c r="R430" s="18">
        <f>'RW predict'!N429</f>
        <v>0</v>
      </c>
      <c r="S430" s="76">
        <f>'RW predict'!O429</f>
        <v>1</v>
      </c>
      <c r="T430" s="76">
        <f>'RW predict'!K429</f>
        <v>1</v>
      </c>
      <c r="U430" s="22">
        <f>'RW predict'!J429</f>
        <v>105</v>
      </c>
      <c r="V430" s="32">
        <f>IF(D430="G",'RW predict'!E429,0)</f>
        <v>0</v>
      </c>
      <c r="W430" s="18">
        <f>'RW predict'!R429</f>
        <v>0</v>
      </c>
      <c r="X430" s="18">
        <f>'RW predict'!T429</f>
        <v>0</v>
      </c>
      <c r="Y430" s="18">
        <f>'RW predict'!Y429</f>
        <v>0</v>
      </c>
      <c r="Z430" s="18">
        <f>'RW predict'!U429</f>
        <v>0</v>
      </c>
      <c r="AA430" s="18">
        <f>'RW predict'!W429</f>
        <v>0</v>
      </c>
      <c r="AB430" s="18"/>
      <c r="AC430" s="18"/>
      <c r="AD430" s="18"/>
      <c r="AE430" s="18"/>
      <c r="AF430" s="19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  <c r="BA430" s="18"/>
      <c r="BB430" s="18"/>
      <c r="BC430" s="18"/>
      <c r="BD430" s="18"/>
      <c r="BE430" s="18"/>
      <c r="BF430" s="18"/>
      <c r="BG430" s="18"/>
      <c r="BH430" s="18"/>
      <c r="BI430" s="18"/>
    </row>
    <row r="431" spans="1:61" s="24" customFormat="1" x14ac:dyDescent="0.3">
      <c r="A431" s="18">
        <v>428</v>
      </c>
      <c r="B431" s="18" t="str">
        <f>'RW predict'!A430</f>
        <v>Blake Lizotte</v>
      </c>
      <c r="C431" s="18" t="str">
        <f>'RW predict'!B430</f>
        <v>LA</v>
      </c>
      <c r="D431" s="22" t="str" cm="1">
        <f t="array" ref="D431">_xlfn.SWITCH('RW predict'!C430, "C", "F", "LW","F", "RW", "F", "D", "D", "G", "G", "other")</f>
        <v>F</v>
      </c>
      <c r="E431" s="32">
        <f t="shared" si="12"/>
        <v>1029</v>
      </c>
      <c r="F431" s="35">
        <f>E431/assumptions!$B$2</f>
        <v>12.548780487804878</v>
      </c>
      <c r="G431" s="36">
        <f t="shared" si="13"/>
        <v>474</v>
      </c>
      <c r="H431" s="18">
        <f>IF(NOT(D431="G"),'RW predict'!E430,0)</f>
        <v>8</v>
      </c>
      <c r="I431" s="18">
        <f>'RW predict'!Q430</f>
        <v>16</v>
      </c>
      <c r="J431" s="18">
        <f>'RW predict'!F430</f>
        <v>13</v>
      </c>
      <c r="K431" s="18"/>
      <c r="L431" s="18"/>
      <c r="M431" s="18">
        <f>'RW predict'!P430</f>
        <v>68</v>
      </c>
      <c r="N431" s="18"/>
      <c r="O431" s="18">
        <f>'RW predict'!H430</f>
        <v>8</v>
      </c>
      <c r="P431" s="18">
        <f>'RW predict'!I430</f>
        <v>26</v>
      </c>
      <c r="Q431" s="18">
        <f>'RW predict'!L430</f>
        <v>0</v>
      </c>
      <c r="R431" s="18">
        <f>'RW predict'!N430</f>
        <v>1</v>
      </c>
      <c r="S431" s="76">
        <f>'RW predict'!O430</f>
        <v>1</v>
      </c>
      <c r="T431" s="76">
        <f>'RW predict'!K430</f>
        <v>2</v>
      </c>
      <c r="U431" s="22">
        <f>'RW predict'!J430</f>
        <v>88</v>
      </c>
      <c r="V431" s="32">
        <f>IF(D431="G",'RW predict'!E430,0)</f>
        <v>0</v>
      </c>
      <c r="W431" s="18">
        <f>'RW predict'!R430</f>
        <v>0</v>
      </c>
      <c r="X431" s="18">
        <f>'RW predict'!T430</f>
        <v>0</v>
      </c>
      <c r="Y431" s="18">
        <f>'RW predict'!Y430</f>
        <v>0</v>
      </c>
      <c r="Z431" s="18">
        <f>'RW predict'!U430</f>
        <v>0</v>
      </c>
      <c r="AA431" s="18">
        <f>'RW predict'!W430</f>
        <v>0</v>
      </c>
      <c r="AB431" s="18"/>
      <c r="AC431" s="18"/>
      <c r="AD431" s="18"/>
      <c r="AE431" s="18"/>
      <c r="AF431" s="19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8"/>
      <c r="BC431" s="18"/>
      <c r="BD431" s="18"/>
      <c r="BE431" s="18"/>
      <c r="BF431" s="18"/>
      <c r="BG431" s="18"/>
      <c r="BH431" s="18"/>
      <c r="BI431" s="18"/>
    </row>
    <row r="432" spans="1:61" s="24" customFormat="1" x14ac:dyDescent="0.3">
      <c r="A432" s="18">
        <v>429</v>
      </c>
      <c r="B432" s="18" t="str">
        <f>'RW predict'!A431</f>
        <v>Cam York</v>
      </c>
      <c r="C432" s="18" t="str">
        <f>'RW predict'!B431</f>
        <v>PHI</v>
      </c>
      <c r="D432" s="22" t="str" cm="1">
        <f t="array" ref="D432">_xlfn.SWITCH('RW predict'!C431, "C", "F", "LW","F", "RW", "F", "D", "D", "G", "G", "other")</f>
        <v>D</v>
      </c>
      <c r="E432" s="32">
        <f t="shared" si="12"/>
        <v>737</v>
      </c>
      <c r="F432" s="35">
        <f>E432/assumptions!$B$2</f>
        <v>8.9878048780487809</v>
      </c>
      <c r="G432" s="36">
        <f t="shared" si="13"/>
        <v>590</v>
      </c>
      <c r="H432" s="18">
        <f>IF(NOT(D432="G"),'RW predict'!E431,0)</f>
        <v>6</v>
      </c>
      <c r="I432" s="18">
        <f>'RW predict'!Q431</f>
        <v>81</v>
      </c>
      <c r="J432" s="18">
        <f>'RW predict'!F431</f>
        <v>15</v>
      </c>
      <c r="K432" s="18"/>
      <c r="L432" s="18"/>
      <c r="M432" s="18">
        <f>'RW predict'!P431</f>
        <v>39</v>
      </c>
      <c r="N432" s="18"/>
      <c r="O432" s="18">
        <f>'RW predict'!H431</f>
        <v>-19</v>
      </c>
      <c r="P432" s="18">
        <f>'RW predict'!I431</f>
        <v>15</v>
      </c>
      <c r="Q432" s="18">
        <f>'RW predict'!L431</f>
        <v>2</v>
      </c>
      <c r="R432" s="18">
        <f>'RW predict'!N431</f>
        <v>0</v>
      </c>
      <c r="S432" s="76">
        <f>'RW predict'!O431</f>
        <v>0</v>
      </c>
      <c r="T432" s="76">
        <f>'RW predict'!K431</f>
        <v>0</v>
      </c>
      <c r="U432" s="22">
        <f>'RW predict'!J431</f>
        <v>68</v>
      </c>
      <c r="V432" s="32">
        <f>IF(D432="G",'RW predict'!E431,0)</f>
        <v>0</v>
      </c>
      <c r="W432" s="18">
        <f>'RW predict'!R431</f>
        <v>0</v>
      </c>
      <c r="X432" s="18">
        <f>'RW predict'!T431</f>
        <v>0</v>
      </c>
      <c r="Y432" s="18">
        <f>'RW predict'!Y431</f>
        <v>0</v>
      </c>
      <c r="Z432" s="18">
        <f>'RW predict'!U431</f>
        <v>0</v>
      </c>
      <c r="AA432" s="18">
        <f>'RW predict'!W431</f>
        <v>0</v>
      </c>
      <c r="AB432" s="18"/>
      <c r="AC432" s="18"/>
      <c r="AD432" s="18"/>
      <c r="AE432" s="18"/>
      <c r="AF432" s="19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8"/>
      <c r="BC432" s="18"/>
      <c r="BD432" s="18"/>
      <c r="BE432" s="18"/>
      <c r="BF432" s="18"/>
      <c r="BG432" s="18"/>
      <c r="BH432" s="18"/>
      <c r="BI432" s="18"/>
    </row>
    <row r="433" spans="1:61" s="24" customFormat="1" x14ac:dyDescent="0.3">
      <c r="A433" s="18">
        <v>430</v>
      </c>
      <c r="B433" s="18" t="str">
        <f>'RW predict'!A432</f>
        <v>Brandon Tanev</v>
      </c>
      <c r="C433" s="18" t="str">
        <f>'RW predict'!B432</f>
        <v>SEA</v>
      </c>
      <c r="D433" s="22" t="str" cm="1">
        <f t="array" ref="D433">_xlfn.SWITCH('RW predict'!C432, "C", "F", "LW","F", "RW", "F", "D", "D", "G", "G", "other")</f>
        <v>F</v>
      </c>
      <c r="E433" s="32">
        <f t="shared" si="12"/>
        <v>1208</v>
      </c>
      <c r="F433" s="35">
        <f>E433/assumptions!$B$2</f>
        <v>14.731707317073171</v>
      </c>
      <c r="G433" s="36">
        <f t="shared" si="13"/>
        <v>399</v>
      </c>
      <c r="H433" s="18">
        <f>IF(NOT(D433="G"),'RW predict'!E432,0)</f>
        <v>11</v>
      </c>
      <c r="I433" s="18">
        <f>'RW predict'!Q432</f>
        <v>49</v>
      </c>
      <c r="J433" s="18">
        <f>'RW predict'!F432</f>
        <v>10</v>
      </c>
      <c r="K433" s="18"/>
      <c r="L433" s="18"/>
      <c r="M433" s="18">
        <f>'RW predict'!P432</f>
        <v>206</v>
      </c>
      <c r="N433" s="18"/>
      <c r="O433" s="18">
        <f>'RW predict'!H432</f>
        <v>5</v>
      </c>
      <c r="P433" s="18">
        <f>'RW predict'!I432</f>
        <v>27</v>
      </c>
      <c r="Q433" s="18">
        <f>'RW predict'!L432</f>
        <v>1</v>
      </c>
      <c r="R433" s="18">
        <f>'RW predict'!N432</f>
        <v>1</v>
      </c>
      <c r="S433" s="76">
        <f>'RW predict'!O432</f>
        <v>0</v>
      </c>
      <c r="T433" s="76">
        <f>'RW predict'!K432</f>
        <v>2</v>
      </c>
      <c r="U433" s="22">
        <f>'RW predict'!J432</f>
        <v>89</v>
      </c>
      <c r="V433" s="32">
        <f>IF(D433="G",'RW predict'!E432,0)</f>
        <v>0</v>
      </c>
      <c r="W433" s="18">
        <f>'RW predict'!R432</f>
        <v>0</v>
      </c>
      <c r="X433" s="18">
        <f>'RW predict'!T432</f>
        <v>0</v>
      </c>
      <c r="Y433" s="18">
        <f>'RW predict'!Y432</f>
        <v>0</v>
      </c>
      <c r="Z433" s="18">
        <f>'RW predict'!U432</f>
        <v>0</v>
      </c>
      <c r="AA433" s="18">
        <f>'RW predict'!W432</f>
        <v>0</v>
      </c>
      <c r="AB433" s="18"/>
      <c r="AC433" s="18"/>
      <c r="AD433" s="18"/>
      <c r="AE433" s="18"/>
      <c r="AF433" s="19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  <c r="BA433" s="18"/>
      <c r="BB433" s="18"/>
      <c r="BC433" s="18"/>
      <c r="BD433" s="18"/>
      <c r="BE433" s="18"/>
      <c r="BF433" s="18"/>
      <c r="BG433" s="18"/>
      <c r="BH433" s="18"/>
      <c r="BI433" s="18"/>
    </row>
    <row r="434" spans="1:61" s="24" customFormat="1" x14ac:dyDescent="0.3">
      <c r="A434" s="18">
        <v>431</v>
      </c>
      <c r="B434" s="18" t="str">
        <f>'RW predict'!A433</f>
        <v>Caleb Jones</v>
      </c>
      <c r="C434" s="18" t="str">
        <f>'RW predict'!B433</f>
        <v>CHI</v>
      </c>
      <c r="D434" s="22" t="str" cm="1">
        <f t="array" ref="D434">_xlfn.SWITCH('RW predict'!C433, "C", "F", "LW","F", "RW", "F", "D", "D", "G", "G", "other")</f>
        <v>D</v>
      </c>
      <c r="E434" s="32">
        <f t="shared" si="12"/>
        <v>975</v>
      </c>
      <c r="F434" s="35">
        <f>E434/assumptions!$B$2</f>
        <v>11.890243902439025</v>
      </c>
      <c r="G434" s="36">
        <f t="shared" si="13"/>
        <v>497</v>
      </c>
      <c r="H434" s="18">
        <f>IF(NOT(D434="G"),'RW predict'!E433,0)</f>
        <v>6</v>
      </c>
      <c r="I434" s="18">
        <f>'RW predict'!Q433</f>
        <v>84</v>
      </c>
      <c r="J434" s="18">
        <f>'RW predict'!F433</f>
        <v>15</v>
      </c>
      <c r="K434" s="18"/>
      <c r="L434" s="18"/>
      <c r="M434" s="18">
        <f>'RW predict'!P433</f>
        <v>98</v>
      </c>
      <c r="N434" s="18"/>
      <c r="O434" s="18">
        <f>'RW predict'!H433</f>
        <v>-6</v>
      </c>
      <c r="P434" s="18">
        <f>'RW predict'!I433</f>
        <v>24</v>
      </c>
      <c r="Q434" s="18">
        <f>'RW predict'!L433</f>
        <v>0</v>
      </c>
      <c r="R434" s="18">
        <f>'RW predict'!N433</f>
        <v>0</v>
      </c>
      <c r="S434" s="76">
        <f>'RW predict'!O433</f>
        <v>0</v>
      </c>
      <c r="T434" s="76">
        <f>'RW predict'!K433</f>
        <v>1</v>
      </c>
      <c r="U434" s="22">
        <f>'RW predict'!J433</f>
        <v>76</v>
      </c>
      <c r="V434" s="32">
        <f>IF(D434="G",'RW predict'!E433,0)</f>
        <v>0</v>
      </c>
      <c r="W434" s="18">
        <f>'RW predict'!R433</f>
        <v>0</v>
      </c>
      <c r="X434" s="18">
        <f>'RW predict'!T433</f>
        <v>0</v>
      </c>
      <c r="Y434" s="18">
        <f>'RW predict'!Y433</f>
        <v>0</v>
      </c>
      <c r="Z434" s="18">
        <f>'RW predict'!U433</f>
        <v>0</v>
      </c>
      <c r="AA434" s="18">
        <f>'RW predict'!W433</f>
        <v>0</v>
      </c>
      <c r="AB434" s="18"/>
      <c r="AC434" s="18"/>
      <c r="AD434" s="18"/>
      <c r="AE434" s="18"/>
      <c r="AF434" s="19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  <c r="BA434" s="18"/>
      <c r="BB434" s="18"/>
      <c r="BC434" s="18"/>
      <c r="BD434" s="18"/>
      <c r="BE434" s="18"/>
      <c r="BF434" s="18"/>
      <c r="BG434" s="18"/>
      <c r="BH434" s="18"/>
      <c r="BI434" s="18"/>
    </row>
    <row r="435" spans="1:61" s="24" customFormat="1" x14ac:dyDescent="0.3">
      <c r="A435" s="18">
        <v>432</v>
      </c>
      <c r="B435" s="18" t="str">
        <f>'RW predict'!A434</f>
        <v>Kieffer Bellows</v>
      </c>
      <c r="C435" s="18" t="str">
        <f>'RW predict'!B434</f>
        <v>NYI</v>
      </c>
      <c r="D435" s="22" t="str" cm="1">
        <f t="array" ref="D435">_xlfn.SWITCH('RW predict'!C434, "C", "F", "LW","F", "RW", "F", "D", "D", "G", "G", "other")</f>
        <v>F</v>
      </c>
      <c r="E435" s="32">
        <f t="shared" si="12"/>
        <v>832</v>
      </c>
      <c r="F435" s="35">
        <f>E435/assumptions!$B$2</f>
        <v>10.146341463414634</v>
      </c>
      <c r="G435" s="36">
        <f t="shared" si="13"/>
        <v>558</v>
      </c>
      <c r="H435" s="18">
        <f>IF(NOT(D435="G"),'RW predict'!E434,0)</f>
        <v>8</v>
      </c>
      <c r="I435" s="18">
        <f>'RW predict'!Q434</f>
        <v>13</v>
      </c>
      <c r="J435" s="18">
        <f>'RW predict'!F434</f>
        <v>13</v>
      </c>
      <c r="K435" s="18"/>
      <c r="L435" s="18"/>
      <c r="M435" s="18">
        <f>'RW predict'!P434</f>
        <v>90</v>
      </c>
      <c r="N435" s="18"/>
      <c r="O435" s="18">
        <f>'RW predict'!H434</f>
        <v>-7</v>
      </c>
      <c r="P435" s="18">
        <f>'RW predict'!I434</f>
        <v>15</v>
      </c>
      <c r="Q435" s="18">
        <f>'RW predict'!L434</f>
        <v>0</v>
      </c>
      <c r="R435" s="18">
        <f>'RW predict'!N434</f>
        <v>0</v>
      </c>
      <c r="S435" s="76">
        <f>'RW predict'!O434</f>
        <v>0</v>
      </c>
      <c r="T435" s="76">
        <f>'RW predict'!K434</f>
        <v>3</v>
      </c>
      <c r="U435" s="22">
        <f>'RW predict'!J434</f>
        <v>78</v>
      </c>
      <c r="V435" s="32">
        <f>IF(D435="G",'RW predict'!E434,0)</f>
        <v>0</v>
      </c>
      <c r="W435" s="18">
        <f>'RW predict'!R434</f>
        <v>0</v>
      </c>
      <c r="X435" s="18">
        <f>'RW predict'!T434</f>
        <v>0</v>
      </c>
      <c r="Y435" s="18">
        <f>'RW predict'!Y434</f>
        <v>0</v>
      </c>
      <c r="Z435" s="18">
        <f>'RW predict'!U434</f>
        <v>0</v>
      </c>
      <c r="AA435" s="18">
        <f>'RW predict'!W434</f>
        <v>0</v>
      </c>
      <c r="AB435" s="18"/>
      <c r="AC435" s="18"/>
      <c r="AD435" s="18"/>
      <c r="AE435" s="18"/>
      <c r="AF435" s="19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  <c r="BA435" s="18"/>
      <c r="BB435" s="18"/>
      <c r="BC435" s="18"/>
      <c r="BD435" s="18"/>
      <c r="BE435" s="18"/>
      <c r="BF435" s="18"/>
      <c r="BG435" s="18"/>
      <c r="BH435" s="18"/>
      <c r="BI435" s="18"/>
    </row>
    <row r="436" spans="1:61" s="24" customFormat="1" x14ac:dyDescent="0.3">
      <c r="A436" s="18">
        <v>433</v>
      </c>
      <c r="B436" s="18" t="str">
        <f>'RW predict'!A435</f>
        <v>Rem Pitlick</v>
      </c>
      <c r="C436" s="18" t="str">
        <f>'RW predict'!B435</f>
        <v>MON</v>
      </c>
      <c r="D436" s="22" t="str" cm="1">
        <f t="array" ref="D436">_xlfn.SWITCH('RW predict'!C435, "C", "F", "LW","F", "RW", "F", "D", "D", "G", "G", "other")</f>
        <v>F</v>
      </c>
      <c r="E436" s="32">
        <f t="shared" si="12"/>
        <v>692</v>
      </c>
      <c r="F436" s="35">
        <f>E436/assumptions!$B$2</f>
        <v>8.4390243902439028</v>
      </c>
      <c r="G436" s="36">
        <f t="shared" si="13"/>
        <v>610</v>
      </c>
      <c r="H436" s="18">
        <f>IF(NOT(D436="G"),'RW predict'!E435,0)</f>
        <v>8</v>
      </c>
      <c r="I436" s="18">
        <f>'RW predict'!Q435</f>
        <v>18</v>
      </c>
      <c r="J436" s="18">
        <f>'RW predict'!F435</f>
        <v>13</v>
      </c>
      <c r="K436" s="18"/>
      <c r="L436" s="18"/>
      <c r="M436" s="18">
        <f>'RW predict'!P435</f>
        <v>16</v>
      </c>
      <c r="N436" s="18"/>
      <c r="O436" s="18">
        <f>'RW predict'!H435</f>
        <v>-5</v>
      </c>
      <c r="P436" s="18">
        <f>'RW predict'!I435</f>
        <v>11</v>
      </c>
      <c r="Q436" s="18">
        <f>'RW predict'!L435</f>
        <v>0</v>
      </c>
      <c r="R436" s="18">
        <f>'RW predict'!N435</f>
        <v>1</v>
      </c>
      <c r="S436" s="76">
        <f>'RW predict'!O435</f>
        <v>0</v>
      </c>
      <c r="T436" s="76">
        <f>'RW predict'!K435</f>
        <v>0</v>
      </c>
      <c r="U436" s="22">
        <f>'RW predict'!J435</f>
        <v>56</v>
      </c>
      <c r="V436" s="32">
        <f>IF(D436="G",'RW predict'!E435,0)</f>
        <v>0</v>
      </c>
      <c r="W436" s="18">
        <f>'RW predict'!R435</f>
        <v>0</v>
      </c>
      <c r="X436" s="18">
        <f>'RW predict'!T435</f>
        <v>0</v>
      </c>
      <c r="Y436" s="18">
        <f>'RW predict'!Y435</f>
        <v>0</v>
      </c>
      <c r="Z436" s="18">
        <f>'RW predict'!U435</f>
        <v>0</v>
      </c>
      <c r="AA436" s="18">
        <f>'RW predict'!W435</f>
        <v>0</v>
      </c>
      <c r="AB436" s="18"/>
      <c r="AC436" s="18"/>
      <c r="AD436" s="18"/>
      <c r="AE436" s="18"/>
      <c r="AF436" s="19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  <c r="BA436" s="18"/>
      <c r="BB436" s="18"/>
      <c r="BC436" s="18"/>
      <c r="BD436" s="18"/>
      <c r="BE436" s="18"/>
      <c r="BF436" s="18"/>
      <c r="BG436" s="18"/>
      <c r="BH436" s="18"/>
      <c r="BI436" s="18"/>
    </row>
    <row r="437" spans="1:61" s="24" customFormat="1" x14ac:dyDescent="0.3">
      <c r="A437" s="18">
        <v>434</v>
      </c>
      <c r="B437" s="18" t="str">
        <f>'RW predict'!A436</f>
        <v>Matt Roy</v>
      </c>
      <c r="C437" s="18" t="str">
        <f>'RW predict'!B436</f>
        <v>LA</v>
      </c>
      <c r="D437" s="22" t="str" cm="1">
        <f t="array" ref="D437">_xlfn.SWITCH('RW predict'!C436, "C", "F", "LW","F", "RW", "F", "D", "D", "G", "G", "other")</f>
        <v>D</v>
      </c>
      <c r="E437" s="32">
        <f t="shared" si="12"/>
        <v>1423</v>
      </c>
      <c r="F437" s="35">
        <f>E437/assumptions!$B$2</f>
        <v>17.353658536585368</v>
      </c>
      <c r="G437" s="36">
        <f t="shared" si="13"/>
        <v>321</v>
      </c>
      <c r="H437" s="18">
        <f>IF(NOT(D437="G"),'RW predict'!E436,0)</f>
        <v>3</v>
      </c>
      <c r="I437" s="18">
        <f>'RW predict'!Q436</f>
        <v>107</v>
      </c>
      <c r="J437" s="18">
        <f>'RW predict'!F436</f>
        <v>18</v>
      </c>
      <c r="K437" s="18"/>
      <c r="L437" s="18"/>
      <c r="M437" s="18">
        <f>'RW predict'!P436</f>
        <v>126</v>
      </c>
      <c r="N437" s="18"/>
      <c r="O437" s="18">
        <f>'RW predict'!H436</f>
        <v>18</v>
      </c>
      <c r="P437" s="18">
        <f>'RW predict'!I436</f>
        <v>24</v>
      </c>
      <c r="Q437" s="18">
        <f>'RW predict'!L436</f>
        <v>0</v>
      </c>
      <c r="R437" s="18">
        <f>'RW predict'!N436</f>
        <v>0</v>
      </c>
      <c r="S437" s="76">
        <f>'RW predict'!O436</f>
        <v>1</v>
      </c>
      <c r="T437" s="76">
        <f>'RW predict'!K436</f>
        <v>0</v>
      </c>
      <c r="U437" s="22">
        <f>'RW predict'!J436</f>
        <v>148</v>
      </c>
      <c r="V437" s="32">
        <f>IF(D437="G",'RW predict'!E436,0)</f>
        <v>0</v>
      </c>
      <c r="W437" s="18">
        <f>'RW predict'!R436</f>
        <v>0</v>
      </c>
      <c r="X437" s="18">
        <f>'RW predict'!T436</f>
        <v>0</v>
      </c>
      <c r="Y437" s="18">
        <f>'RW predict'!Y436</f>
        <v>0</v>
      </c>
      <c r="Z437" s="18">
        <f>'RW predict'!U436</f>
        <v>0</v>
      </c>
      <c r="AA437" s="18">
        <f>'RW predict'!W436</f>
        <v>0</v>
      </c>
      <c r="AB437" s="18"/>
      <c r="AC437" s="18"/>
      <c r="AD437" s="18"/>
      <c r="AE437" s="18"/>
      <c r="AF437" s="19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  <c r="BA437" s="18"/>
      <c r="BB437" s="18"/>
      <c r="BC437" s="18"/>
      <c r="BD437" s="18"/>
      <c r="BE437" s="18"/>
      <c r="BF437" s="18"/>
      <c r="BG437" s="18"/>
      <c r="BH437" s="18"/>
      <c r="BI437" s="18"/>
    </row>
    <row r="438" spans="1:61" s="24" customFormat="1" x14ac:dyDescent="0.3">
      <c r="A438" s="18">
        <v>435</v>
      </c>
      <c r="B438" s="18" t="str">
        <f>'RW predict'!A437</f>
        <v>Nicolas Hague</v>
      </c>
      <c r="C438" s="18" t="str">
        <f>'RW predict'!B437</f>
        <v>VGK</v>
      </c>
      <c r="D438" s="22" t="str" cm="1">
        <f t="array" ref="D438">_xlfn.SWITCH('RW predict'!C437, "C", "F", "LW","F", "RW", "F", "D", "D", "G", "G", "other")</f>
        <v>D</v>
      </c>
      <c r="E438" s="32">
        <f t="shared" si="12"/>
        <v>1311</v>
      </c>
      <c r="F438" s="35">
        <f>E438/assumptions!$B$2</f>
        <v>15.987804878048781</v>
      </c>
      <c r="G438" s="36">
        <f t="shared" si="13"/>
        <v>363</v>
      </c>
      <c r="H438" s="18">
        <f>IF(NOT(D438="G"),'RW predict'!E437,0)</f>
        <v>5</v>
      </c>
      <c r="I438" s="18">
        <f>'RW predict'!Q437</f>
        <v>93</v>
      </c>
      <c r="J438" s="18">
        <f>'RW predict'!F437</f>
        <v>15</v>
      </c>
      <c r="K438" s="18"/>
      <c r="L438" s="18"/>
      <c r="M438" s="18">
        <f>'RW predict'!P437</f>
        <v>85</v>
      </c>
      <c r="N438" s="18"/>
      <c r="O438" s="18">
        <f>'RW predict'!H437</f>
        <v>10</v>
      </c>
      <c r="P438" s="18">
        <f>'RW predict'!I437</f>
        <v>48</v>
      </c>
      <c r="Q438" s="18">
        <f>'RW predict'!L437</f>
        <v>0</v>
      </c>
      <c r="R438" s="18">
        <f>'RW predict'!N437</f>
        <v>0</v>
      </c>
      <c r="S438" s="76">
        <f>'RW predict'!O437</f>
        <v>0</v>
      </c>
      <c r="T438" s="76">
        <f>'RW predict'!K437</f>
        <v>1</v>
      </c>
      <c r="U438" s="22">
        <f>'RW predict'!J437</f>
        <v>138</v>
      </c>
      <c r="V438" s="32">
        <f>IF(D438="G",'RW predict'!E437,0)</f>
        <v>0</v>
      </c>
      <c r="W438" s="18">
        <f>'RW predict'!R437</f>
        <v>0</v>
      </c>
      <c r="X438" s="18">
        <f>'RW predict'!T437</f>
        <v>0</v>
      </c>
      <c r="Y438" s="18">
        <f>'RW predict'!Y437</f>
        <v>0</v>
      </c>
      <c r="Z438" s="18">
        <f>'RW predict'!U437</f>
        <v>0</v>
      </c>
      <c r="AA438" s="18">
        <f>'RW predict'!W437</f>
        <v>0</v>
      </c>
      <c r="AB438" s="18"/>
      <c r="AC438" s="18"/>
      <c r="AD438" s="18"/>
      <c r="AE438" s="18"/>
      <c r="AF438" s="19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  <c r="BA438" s="18"/>
      <c r="BB438" s="18"/>
      <c r="BC438" s="18"/>
      <c r="BD438" s="18"/>
      <c r="BE438" s="18"/>
      <c r="BF438" s="18"/>
      <c r="BG438" s="18"/>
      <c r="BH438" s="18"/>
      <c r="BI438" s="18"/>
    </row>
    <row r="439" spans="1:61" s="24" customFormat="1" x14ac:dyDescent="0.3">
      <c r="A439" s="18">
        <v>436</v>
      </c>
      <c r="B439" s="18" t="str">
        <f>'RW predict'!A438</f>
        <v>Zach Whitecloud</v>
      </c>
      <c r="C439" s="18" t="str">
        <f>'RW predict'!B438</f>
        <v>VGK</v>
      </c>
      <c r="D439" s="22" t="str" cm="1">
        <f t="array" ref="D439">_xlfn.SWITCH('RW predict'!C438, "C", "F", "LW","F", "RW", "F", "D", "D", "G", "G", "other")</f>
        <v>D</v>
      </c>
      <c r="E439" s="32">
        <f t="shared" si="12"/>
        <v>1358</v>
      </c>
      <c r="F439" s="35">
        <f>E439/assumptions!$B$2</f>
        <v>16.560975609756099</v>
      </c>
      <c r="G439" s="36">
        <f t="shared" si="13"/>
        <v>340</v>
      </c>
      <c r="H439" s="18">
        <f>IF(NOT(D439="G"),'RW predict'!E438,0)</f>
        <v>7</v>
      </c>
      <c r="I439" s="18">
        <f>'RW predict'!Q438</f>
        <v>126</v>
      </c>
      <c r="J439" s="18">
        <f>'RW predict'!F438</f>
        <v>13</v>
      </c>
      <c r="K439" s="18"/>
      <c r="L439" s="18"/>
      <c r="M439" s="18">
        <f>'RW predict'!P438</f>
        <v>114</v>
      </c>
      <c r="N439" s="18"/>
      <c r="O439" s="18">
        <f>'RW predict'!H438</f>
        <v>18</v>
      </c>
      <c r="P439" s="18">
        <f>'RW predict'!I438</f>
        <v>24</v>
      </c>
      <c r="Q439" s="18">
        <f>'RW predict'!L438</f>
        <v>0</v>
      </c>
      <c r="R439" s="18">
        <f>'RW predict'!N438</f>
        <v>0</v>
      </c>
      <c r="S439" s="76">
        <f>'RW predict'!O438</f>
        <v>1</v>
      </c>
      <c r="T439" s="76">
        <f>'RW predict'!K438</f>
        <v>1</v>
      </c>
      <c r="U439" s="22">
        <f>'RW predict'!J438</f>
        <v>105</v>
      </c>
      <c r="V439" s="32">
        <f>IF(D439="G",'RW predict'!E438,0)</f>
        <v>0</v>
      </c>
      <c r="W439" s="18">
        <f>'RW predict'!R438</f>
        <v>0</v>
      </c>
      <c r="X439" s="18">
        <f>'RW predict'!T438</f>
        <v>0</v>
      </c>
      <c r="Y439" s="18">
        <f>'RW predict'!Y438</f>
        <v>0</v>
      </c>
      <c r="Z439" s="18">
        <f>'RW predict'!U438</f>
        <v>0</v>
      </c>
      <c r="AA439" s="18">
        <f>'RW predict'!W438</f>
        <v>0</v>
      </c>
      <c r="AB439" s="18"/>
      <c r="AC439" s="18"/>
      <c r="AD439" s="18"/>
      <c r="AE439" s="18"/>
      <c r="AF439" s="19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  <c r="BA439" s="18"/>
      <c r="BB439" s="18"/>
      <c r="BC439" s="18"/>
      <c r="BD439" s="18"/>
      <c r="BE439" s="18"/>
      <c r="BF439" s="18"/>
      <c r="BG439" s="18"/>
      <c r="BH439" s="18"/>
      <c r="BI439" s="18"/>
    </row>
    <row r="440" spans="1:61" s="24" customFormat="1" x14ac:dyDescent="0.3">
      <c r="A440" s="18">
        <v>437</v>
      </c>
      <c r="B440" s="18" t="str">
        <f>'RW predict'!A439</f>
        <v>Mario Ferraro</v>
      </c>
      <c r="C440" s="18" t="str">
        <f>'RW predict'!B439</f>
        <v>SJ</v>
      </c>
      <c r="D440" s="22" t="str" cm="1">
        <f t="array" ref="D440">_xlfn.SWITCH('RW predict'!C439, "C", "F", "LW","F", "RW", "F", "D", "D", "G", "G", "other")</f>
        <v>D</v>
      </c>
      <c r="E440" s="32">
        <f t="shared" si="12"/>
        <v>1127</v>
      </c>
      <c r="F440" s="35">
        <f>E440/assumptions!$B$2</f>
        <v>13.74390243902439</v>
      </c>
      <c r="G440" s="36">
        <f t="shared" si="13"/>
        <v>435</v>
      </c>
      <c r="H440" s="18">
        <f>IF(NOT(D440="G"),'RW predict'!E439,0)</f>
        <v>2</v>
      </c>
      <c r="I440" s="18">
        <f>'RW predict'!Q439</f>
        <v>162</v>
      </c>
      <c r="J440" s="18">
        <f>'RW predict'!F439</f>
        <v>18</v>
      </c>
      <c r="K440" s="18"/>
      <c r="L440" s="18"/>
      <c r="M440" s="18">
        <f>'RW predict'!P439</f>
        <v>167</v>
      </c>
      <c r="N440" s="18"/>
      <c r="O440" s="18">
        <f>'RW predict'!H439</f>
        <v>-8</v>
      </c>
      <c r="P440" s="18">
        <f>'RW predict'!I439</f>
        <v>22</v>
      </c>
      <c r="Q440" s="18">
        <f>'RW predict'!L439</f>
        <v>0</v>
      </c>
      <c r="R440" s="18">
        <f>'RW predict'!N439</f>
        <v>0</v>
      </c>
      <c r="S440" s="76">
        <f>'RW predict'!O439</f>
        <v>0</v>
      </c>
      <c r="T440" s="76">
        <f>'RW predict'!K439</f>
        <v>0</v>
      </c>
      <c r="U440" s="22">
        <f>'RW predict'!J439</f>
        <v>75</v>
      </c>
      <c r="V440" s="32">
        <f>IF(D440="G",'RW predict'!E439,0)</f>
        <v>0</v>
      </c>
      <c r="W440" s="18">
        <f>'RW predict'!R439</f>
        <v>0</v>
      </c>
      <c r="X440" s="18">
        <f>'RW predict'!T439</f>
        <v>0</v>
      </c>
      <c r="Y440" s="18">
        <f>'RW predict'!Y439</f>
        <v>0</v>
      </c>
      <c r="Z440" s="18">
        <f>'RW predict'!U439</f>
        <v>0</v>
      </c>
      <c r="AA440" s="18">
        <f>'RW predict'!W439</f>
        <v>0</v>
      </c>
      <c r="AB440" s="18"/>
      <c r="AC440" s="18"/>
      <c r="AD440" s="18"/>
      <c r="AE440" s="18"/>
      <c r="AF440" s="19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  <c r="BA440" s="18"/>
      <c r="BB440" s="18"/>
      <c r="BC440" s="18"/>
      <c r="BD440" s="18"/>
      <c r="BE440" s="18"/>
      <c r="BF440" s="18"/>
      <c r="BG440" s="18"/>
      <c r="BH440" s="18"/>
      <c r="BI440" s="18"/>
    </row>
    <row r="441" spans="1:61" s="24" customFormat="1" x14ac:dyDescent="0.3">
      <c r="A441" s="18">
        <v>438</v>
      </c>
      <c r="B441" s="18" t="str">
        <f>'RW predict'!A440</f>
        <v>Morgan Frost</v>
      </c>
      <c r="C441" s="18" t="str">
        <f>'RW predict'!B440</f>
        <v>PHI</v>
      </c>
      <c r="D441" s="22" t="str" cm="1">
        <f t="array" ref="D441">_xlfn.SWITCH('RW predict'!C440, "C", "F", "LW","F", "RW", "F", "D", "D", "G", "G", "other")</f>
        <v>F</v>
      </c>
      <c r="E441" s="32">
        <f t="shared" si="12"/>
        <v>764</v>
      </c>
      <c r="F441" s="35">
        <f>E441/assumptions!$B$2</f>
        <v>9.3170731707317067</v>
      </c>
      <c r="G441" s="36">
        <f t="shared" si="13"/>
        <v>583</v>
      </c>
      <c r="H441" s="18">
        <f>IF(NOT(D441="G"),'RW predict'!E440,0)</f>
        <v>6</v>
      </c>
      <c r="I441" s="18">
        <f>'RW predict'!Q440</f>
        <v>35</v>
      </c>
      <c r="J441" s="18">
        <f>'RW predict'!F440</f>
        <v>14</v>
      </c>
      <c r="K441" s="18"/>
      <c r="L441" s="18"/>
      <c r="M441" s="18">
        <f>'RW predict'!P440</f>
        <v>54</v>
      </c>
      <c r="N441" s="18"/>
      <c r="O441" s="18">
        <f>'RW predict'!H440</f>
        <v>-13</v>
      </c>
      <c r="P441" s="18">
        <f>'RW predict'!I440</f>
        <v>18</v>
      </c>
      <c r="Q441" s="18">
        <f>'RW predict'!L440</f>
        <v>1</v>
      </c>
      <c r="R441" s="18">
        <f>'RW predict'!N440</f>
        <v>0</v>
      </c>
      <c r="S441" s="76">
        <f>'RW predict'!O440</f>
        <v>0</v>
      </c>
      <c r="T441" s="76">
        <f>'RW predict'!K440</f>
        <v>0</v>
      </c>
      <c r="U441" s="22">
        <f>'RW predict'!J440</f>
        <v>103</v>
      </c>
      <c r="V441" s="32">
        <f>IF(D441="G",'RW predict'!E440,0)</f>
        <v>0</v>
      </c>
      <c r="W441" s="18">
        <f>'RW predict'!R440</f>
        <v>0</v>
      </c>
      <c r="X441" s="18">
        <f>'RW predict'!T440</f>
        <v>0</v>
      </c>
      <c r="Y441" s="18">
        <f>'RW predict'!Y440</f>
        <v>0</v>
      </c>
      <c r="Z441" s="18">
        <f>'RW predict'!U440</f>
        <v>0</v>
      </c>
      <c r="AA441" s="18">
        <f>'RW predict'!W440</f>
        <v>0</v>
      </c>
      <c r="AB441" s="18"/>
      <c r="AC441" s="18"/>
      <c r="AD441" s="18"/>
      <c r="AE441" s="18"/>
      <c r="AF441" s="19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  <c r="BA441" s="18"/>
      <c r="BB441" s="18"/>
      <c r="BC441" s="18"/>
      <c r="BD441" s="18"/>
      <c r="BE441" s="18"/>
      <c r="BF441" s="18"/>
      <c r="BG441" s="18"/>
      <c r="BH441" s="18"/>
      <c r="BI441" s="18"/>
    </row>
    <row r="442" spans="1:61" s="24" customFormat="1" x14ac:dyDescent="0.3">
      <c r="A442" s="18">
        <v>439</v>
      </c>
      <c r="B442" s="18" t="str">
        <f>'RW predict'!A441</f>
        <v>Tyson Jost</v>
      </c>
      <c r="C442" s="18" t="str">
        <f>'RW predict'!B441</f>
        <v>MIN</v>
      </c>
      <c r="D442" s="22" t="str" cm="1">
        <f t="array" ref="D442">_xlfn.SWITCH('RW predict'!C441, "C", "F", "LW","F", "RW", "F", "D", "D", "G", "G", "other")</f>
        <v>F</v>
      </c>
      <c r="E442" s="32">
        <f t="shared" si="12"/>
        <v>1024</v>
      </c>
      <c r="F442" s="35">
        <f>E442/assumptions!$B$2</f>
        <v>12.487804878048781</v>
      </c>
      <c r="G442" s="36">
        <f t="shared" si="13"/>
        <v>476</v>
      </c>
      <c r="H442" s="18">
        <f>IF(NOT(D442="G"),'RW predict'!E441,0)</f>
        <v>8</v>
      </c>
      <c r="I442" s="18">
        <f>'RW predict'!Q441</f>
        <v>29</v>
      </c>
      <c r="J442" s="18">
        <f>'RW predict'!F441</f>
        <v>12</v>
      </c>
      <c r="K442" s="18"/>
      <c r="L442" s="18"/>
      <c r="M442" s="18">
        <f>'RW predict'!P441</f>
        <v>48</v>
      </c>
      <c r="N442" s="18"/>
      <c r="O442" s="18">
        <f>'RW predict'!H441</f>
        <v>6</v>
      </c>
      <c r="P442" s="18">
        <f>'RW predict'!I441</f>
        <v>32</v>
      </c>
      <c r="Q442" s="18">
        <f>'RW predict'!L441</f>
        <v>0</v>
      </c>
      <c r="R442" s="18">
        <f>'RW predict'!N441</f>
        <v>0</v>
      </c>
      <c r="S442" s="76">
        <f>'RW predict'!O441</f>
        <v>1</v>
      </c>
      <c r="T442" s="76">
        <f>'RW predict'!K441</f>
        <v>2</v>
      </c>
      <c r="U442" s="22">
        <f>'RW predict'!J441</f>
        <v>106</v>
      </c>
      <c r="V442" s="32">
        <f>IF(D442="G",'RW predict'!E441,0)</f>
        <v>0</v>
      </c>
      <c r="W442" s="18">
        <f>'RW predict'!R441</f>
        <v>0</v>
      </c>
      <c r="X442" s="18">
        <f>'RW predict'!T441</f>
        <v>0</v>
      </c>
      <c r="Y442" s="18">
        <f>'RW predict'!Y441</f>
        <v>0</v>
      </c>
      <c r="Z442" s="18">
        <f>'RW predict'!U441</f>
        <v>0</v>
      </c>
      <c r="AA442" s="18">
        <f>'RW predict'!W441</f>
        <v>0</v>
      </c>
      <c r="AB442" s="18"/>
      <c r="AC442" s="18"/>
      <c r="AD442" s="18"/>
      <c r="AE442" s="18"/>
      <c r="AF442" s="19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  <c r="BA442" s="18"/>
      <c r="BB442" s="18"/>
      <c r="BC442" s="18"/>
      <c r="BD442" s="18"/>
      <c r="BE442" s="18"/>
      <c r="BF442" s="18"/>
      <c r="BG442" s="18"/>
      <c r="BH442" s="18"/>
      <c r="BI442" s="18"/>
    </row>
    <row r="443" spans="1:61" s="24" customFormat="1" x14ac:dyDescent="0.3">
      <c r="A443" s="18">
        <v>440</v>
      </c>
      <c r="B443" s="18" t="str">
        <f>'RW predict'!A442</f>
        <v>Brett Howden</v>
      </c>
      <c r="C443" s="18" t="str">
        <f>'RW predict'!B442</f>
        <v>VGK</v>
      </c>
      <c r="D443" s="22" t="str" cm="1">
        <f t="array" ref="D443">_xlfn.SWITCH('RW predict'!C442, "C", "F", "LW","F", "RW", "F", "D", "D", "G", "G", "other")</f>
        <v>F</v>
      </c>
      <c r="E443" s="32">
        <f t="shared" si="12"/>
        <v>939</v>
      </c>
      <c r="F443" s="35">
        <f>E443/assumptions!$B$2</f>
        <v>11.451219512195122</v>
      </c>
      <c r="G443" s="36">
        <f t="shared" si="13"/>
        <v>517</v>
      </c>
      <c r="H443" s="18">
        <f>IF(NOT(D443="G"),'RW predict'!E442,0)</f>
        <v>8</v>
      </c>
      <c r="I443" s="18">
        <f>'RW predict'!Q442</f>
        <v>46</v>
      </c>
      <c r="J443" s="18">
        <f>'RW predict'!F442</f>
        <v>12</v>
      </c>
      <c r="K443" s="18"/>
      <c r="L443" s="18"/>
      <c r="M443" s="18">
        <f>'RW predict'!P442</f>
        <v>79</v>
      </c>
      <c r="N443" s="18"/>
      <c r="O443" s="18">
        <f>'RW predict'!H442</f>
        <v>7</v>
      </c>
      <c r="P443" s="18">
        <f>'RW predict'!I442</f>
        <v>18</v>
      </c>
      <c r="Q443" s="18">
        <f>'RW predict'!L442</f>
        <v>0</v>
      </c>
      <c r="R443" s="18">
        <f>'RW predict'!N442</f>
        <v>0</v>
      </c>
      <c r="S443" s="76">
        <f>'RW predict'!O442</f>
        <v>1</v>
      </c>
      <c r="T443" s="76">
        <f>'RW predict'!K442</f>
        <v>1</v>
      </c>
      <c r="U443" s="22">
        <f>'RW predict'!J442</f>
        <v>57</v>
      </c>
      <c r="V443" s="32">
        <f>IF(D443="G",'RW predict'!E442,0)</f>
        <v>0</v>
      </c>
      <c r="W443" s="18">
        <f>'RW predict'!R442</f>
        <v>0</v>
      </c>
      <c r="X443" s="18">
        <f>'RW predict'!T442</f>
        <v>0</v>
      </c>
      <c r="Y443" s="18">
        <f>'RW predict'!Y442</f>
        <v>0</v>
      </c>
      <c r="Z443" s="18">
        <f>'RW predict'!U442</f>
        <v>0</v>
      </c>
      <c r="AA443" s="18">
        <f>'RW predict'!W442</f>
        <v>0</v>
      </c>
      <c r="AB443" s="18"/>
      <c r="AC443" s="18"/>
      <c r="AD443" s="18"/>
      <c r="AE443" s="18"/>
      <c r="AF443" s="19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  <c r="BA443" s="18"/>
      <c r="BB443" s="18"/>
      <c r="BC443" s="18"/>
      <c r="BD443" s="18"/>
      <c r="BE443" s="18"/>
      <c r="BF443" s="18"/>
      <c r="BG443" s="18"/>
      <c r="BH443" s="18"/>
      <c r="BI443" s="18"/>
    </row>
    <row r="444" spans="1:61" s="24" customFormat="1" x14ac:dyDescent="0.3">
      <c r="A444" s="18">
        <v>441</v>
      </c>
      <c r="B444" s="18" t="str">
        <f>'RW predict'!A443</f>
        <v>Noel Acciari</v>
      </c>
      <c r="C444" s="18" t="str">
        <f>'RW predict'!B443</f>
        <v>STL</v>
      </c>
      <c r="D444" s="22" t="str" cm="1">
        <f t="array" ref="D444">_xlfn.SWITCH('RW predict'!C443, "C", "F", "LW","F", "RW", "F", "D", "D", "G", "G", "other")</f>
        <v>F</v>
      </c>
      <c r="E444" s="32">
        <f t="shared" si="12"/>
        <v>1125</v>
      </c>
      <c r="F444" s="35">
        <f>E444/assumptions!$B$2</f>
        <v>13.719512195121951</v>
      </c>
      <c r="G444" s="36">
        <f t="shared" si="13"/>
        <v>436</v>
      </c>
      <c r="H444" s="18">
        <f>IF(NOT(D444="G"),'RW predict'!E443,0)</f>
        <v>8</v>
      </c>
      <c r="I444" s="18">
        <f>'RW predict'!Q443</f>
        <v>63</v>
      </c>
      <c r="J444" s="18">
        <f>'RW predict'!F443</f>
        <v>12</v>
      </c>
      <c r="K444" s="18"/>
      <c r="L444" s="18"/>
      <c r="M444" s="18">
        <f>'RW predict'!P443</f>
        <v>125</v>
      </c>
      <c r="N444" s="18"/>
      <c r="O444" s="18">
        <f>'RW predict'!H443</f>
        <v>4</v>
      </c>
      <c r="P444" s="18">
        <f>'RW predict'!I443</f>
        <v>26</v>
      </c>
      <c r="Q444" s="18">
        <f>'RW predict'!L443</f>
        <v>0</v>
      </c>
      <c r="R444" s="18">
        <f>'RW predict'!N443</f>
        <v>1</v>
      </c>
      <c r="S444" s="76">
        <f>'RW predict'!O443</f>
        <v>0</v>
      </c>
      <c r="T444" s="76">
        <f>'RW predict'!K443</f>
        <v>2</v>
      </c>
      <c r="U444" s="22">
        <f>'RW predict'!J443</f>
        <v>98</v>
      </c>
      <c r="V444" s="32">
        <f>IF(D444="G",'RW predict'!E443,0)</f>
        <v>0</v>
      </c>
      <c r="W444" s="18">
        <f>'RW predict'!R443</f>
        <v>0</v>
      </c>
      <c r="X444" s="18">
        <f>'RW predict'!T443</f>
        <v>0</v>
      </c>
      <c r="Y444" s="18">
        <f>'RW predict'!Y443</f>
        <v>0</v>
      </c>
      <c r="Z444" s="18">
        <f>'RW predict'!U443</f>
        <v>0</v>
      </c>
      <c r="AA444" s="18">
        <f>'RW predict'!W443</f>
        <v>0</v>
      </c>
      <c r="AB444" s="18"/>
      <c r="AC444" s="18"/>
      <c r="AD444" s="18"/>
      <c r="AE444" s="18"/>
      <c r="AF444" s="19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  <c r="BA444" s="18"/>
      <c r="BB444" s="18"/>
      <c r="BC444" s="18"/>
      <c r="BD444" s="18"/>
      <c r="BE444" s="18"/>
      <c r="BF444" s="18"/>
      <c r="BG444" s="18"/>
      <c r="BH444" s="18"/>
      <c r="BI444" s="18"/>
    </row>
    <row r="445" spans="1:61" s="24" customFormat="1" x14ac:dyDescent="0.3">
      <c r="A445" s="18">
        <v>442</v>
      </c>
      <c r="B445" s="18" t="str">
        <f>'RW predict'!A444</f>
        <v>Ben Chiarot</v>
      </c>
      <c r="C445" s="18" t="str">
        <f>'RW predict'!B444</f>
        <v>DET</v>
      </c>
      <c r="D445" s="22" t="str" cm="1">
        <f t="array" ref="D445">_xlfn.SWITCH('RW predict'!C444, "C", "F", "LW","F", "RW", "F", "D", "D", "G", "G", "other")</f>
        <v>D</v>
      </c>
      <c r="E445" s="32">
        <f t="shared" si="12"/>
        <v>1192</v>
      </c>
      <c r="F445" s="35">
        <f>E445/assumptions!$B$2</f>
        <v>14.536585365853659</v>
      </c>
      <c r="G445" s="36">
        <f t="shared" si="13"/>
        <v>404</v>
      </c>
      <c r="H445" s="18">
        <f>IF(NOT(D445="G"),'RW predict'!E444,0)</f>
        <v>7</v>
      </c>
      <c r="I445" s="18">
        <f>'RW predict'!Q444</f>
        <v>125</v>
      </c>
      <c r="J445" s="18">
        <f>'RW predict'!F444</f>
        <v>13</v>
      </c>
      <c r="K445" s="18"/>
      <c r="L445" s="18"/>
      <c r="M445" s="18">
        <f>'RW predict'!P444</f>
        <v>134</v>
      </c>
      <c r="N445" s="18"/>
      <c r="O445" s="18">
        <f>'RW predict'!H444</f>
        <v>-13</v>
      </c>
      <c r="P445" s="18">
        <f>'RW predict'!I444</f>
        <v>52</v>
      </c>
      <c r="Q445" s="18">
        <f>'RW predict'!L444</f>
        <v>1</v>
      </c>
      <c r="R445" s="18">
        <f>'RW predict'!N444</f>
        <v>0</v>
      </c>
      <c r="S445" s="76">
        <f>'RW predict'!O444</f>
        <v>1</v>
      </c>
      <c r="T445" s="76">
        <f>'RW predict'!K444</f>
        <v>1</v>
      </c>
      <c r="U445" s="22">
        <f>'RW predict'!J444</f>
        <v>121</v>
      </c>
      <c r="V445" s="32">
        <f>IF(D445="G",'RW predict'!E444,0)</f>
        <v>0</v>
      </c>
      <c r="W445" s="18">
        <f>'RW predict'!R444</f>
        <v>0</v>
      </c>
      <c r="X445" s="18">
        <f>'RW predict'!T444</f>
        <v>0</v>
      </c>
      <c r="Y445" s="18">
        <f>'RW predict'!Y444</f>
        <v>0</v>
      </c>
      <c r="Z445" s="18">
        <f>'RW predict'!U444</f>
        <v>0</v>
      </c>
      <c r="AA445" s="18">
        <f>'RW predict'!W444</f>
        <v>0</v>
      </c>
      <c r="AB445" s="18"/>
      <c r="AC445" s="18"/>
      <c r="AD445" s="18"/>
      <c r="AE445" s="18"/>
      <c r="AF445" s="19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  <c r="BA445" s="18"/>
      <c r="BB445" s="18"/>
      <c r="BC445" s="18"/>
      <c r="BD445" s="18"/>
      <c r="BE445" s="18"/>
      <c r="BF445" s="18"/>
      <c r="BG445" s="18"/>
      <c r="BH445" s="18"/>
      <c r="BI445" s="18"/>
    </row>
    <row r="446" spans="1:61" s="24" customFormat="1" x14ac:dyDescent="0.3">
      <c r="A446" s="18">
        <v>443</v>
      </c>
      <c r="B446" s="18" t="str">
        <f>'RW predict'!A445</f>
        <v>Rasmus Ristolainen</v>
      </c>
      <c r="C446" s="18" t="str">
        <f>'RW predict'!B445</f>
        <v>PHI</v>
      </c>
      <c r="D446" s="22" t="str" cm="1">
        <f t="array" ref="D446">_xlfn.SWITCH('RW predict'!C445, "C", "F", "LW","F", "RW", "F", "D", "D", "G", "G", "other")</f>
        <v>D</v>
      </c>
      <c r="E446" s="32">
        <f t="shared" si="12"/>
        <v>1202</v>
      </c>
      <c r="F446" s="35">
        <f>E446/assumptions!$B$2</f>
        <v>14.658536585365853</v>
      </c>
      <c r="G446" s="36">
        <f t="shared" si="13"/>
        <v>401</v>
      </c>
      <c r="H446" s="18">
        <f>IF(NOT(D446="G"),'RW predict'!E445,0)</f>
        <v>3</v>
      </c>
      <c r="I446" s="18">
        <f>'RW predict'!Q445</f>
        <v>130</v>
      </c>
      <c r="J446" s="18">
        <f>'RW predict'!F445</f>
        <v>17</v>
      </c>
      <c r="K446" s="18"/>
      <c r="L446" s="18"/>
      <c r="M446" s="18">
        <f>'RW predict'!P445</f>
        <v>236</v>
      </c>
      <c r="N446" s="18"/>
      <c r="O446" s="18">
        <f>'RW predict'!H445</f>
        <v>-14</v>
      </c>
      <c r="P446" s="18">
        <f>'RW predict'!I445</f>
        <v>44</v>
      </c>
      <c r="Q446" s="18">
        <f>'RW predict'!L445</f>
        <v>0</v>
      </c>
      <c r="R446" s="18">
        <f>'RW predict'!N445</f>
        <v>0</v>
      </c>
      <c r="S446" s="76">
        <f>'RW predict'!O445</f>
        <v>0</v>
      </c>
      <c r="T446" s="76">
        <f>'RW predict'!K445</f>
        <v>0</v>
      </c>
      <c r="U446" s="22">
        <f>'RW predict'!J445</f>
        <v>107</v>
      </c>
      <c r="V446" s="32">
        <f>IF(D446="G",'RW predict'!E445,0)</f>
        <v>0</v>
      </c>
      <c r="W446" s="18">
        <f>'RW predict'!R445</f>
        <v>0</v>
      </c>
      <c r="X446" s="18">
        <f>'RW predict'!T445</f>
        <v>0</v>
      </c>
      <c r="Y446" s="18">
        <f>'RW predict'!Y445</f>
        <v>0</v>
      </c>
      <c r="Z446" s="18">
        <f>'RW predict'!U445</f>
        <v>0</v>
      </c>
      <c r="AA446" s="18">
        <f>'RW predict'!W445</f>
        <v>0</v>
      </c>
      <c r="AB446" s="18"/>
      <c r="AC446" s="18"/>
      <c r="AD446" s="18"/>
      <c r="AE446" s="18"/>
      <c r="AF446" s="19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  <c r="BA446" s="18"/>
      <c r="BB446" s="18"/>
      <c r="BC446" s="18"/>
      <c r="BD446" s="18"/>
      <c r="BE446" s="18"/>
      <c r="BF446" s="18"/>
      <c r="BG446" s="18"/>
      <c r="BH446" s="18"/>
      <c r="BI446" s="18"/>
    </row>
    <row r="447" spans="1:61" s="24" customFormat="1" x14ac:dyDescent="0.3">
      <c r="A447" s="18">
        <v>444</v>
      </c>
      <c r="B447" s="18" t="str">
        <f>'RW predict'!A446</f>
        <v>Sammy Blais</v>
      </c>
      <c r="C447" s="18" t="str">
        <f>'RW predict'!B446</f>
        <v>NYR</v>
      </c>
      <c r="D447" s="22" t="str" cm="1">
        <f t="array" ref="D447">_xlfn.SWITCH('RW predict'!C446, "C", "F", "LW","F", "RW", "F", "D", "D", "G", "G", "other")</f>
        <v>F</v>
      </c>
      <c r="E447" s="32">
        <f t="shared" si="12"/>
        <v>1062</v>
      </c>
      <c r="F447" s="35">
        <f>E447/assumptions!$B$2</f>
        <v>12.951219512195122</v>
      </c>
      <c r="G447" s="36">
        <f t="shared" si="13"/>
        <v>461</v>
      </c>
      <c r="H447" s="18">
        <f>IF(NOT(D447="G"),'RW predict'!E446,0)</f>
        <v>7</v>
      </c>
      <c r="I447" s="18">
        <f>'RW predict'!Q446</f>
        <v>23</v>
      </c>
      <c r="J447" s="18">
        <f>'RW predict'!F446</f>
        <v>13</v>
      </c>
      <c r="K447" s="18"/>
      <c r="L447" s="18"/>
      <c r="M447" s="18">
        <f>'RW predict'!P446</f>
        <v>174</v>
      </c>
      <c r="N447" s="18"/>
      <c r="O447" s="18">
        <f>'RW predict'!H446</f>
        <v>3</v>
      </c>
      <c r="P447" s="18">
        <f>'RW predict'!I446</f>
        <v>44</v>
      </c>
      <c r="Q447" s="18">
        <f>'RW predict'!L446</f>
        <v>1</v>
      </c>
      <c r="R447" s="18">
        <f>'RW predict'!N446</f>
        <v>0</v>
      </c>
      <c r="S447" s="76">
        <f>'RW predict'!O446</f>
        <v>0</v>
      </c>
      <c r="T447" s="76">
        <f>'RW predict'!K446</f>
        <v>1</v>
      </c>
      <c r="U447" s="22">
        <f>'RW predict'!J446</f>
        <v>75</v>
      </c>
      <c r="V447" s="32">
        <f>IF(D447="G",'RW predict'!E446,0)</f>
        <v>0</v>
      </c>
      <c r="W447" s="18">
        <f>'RW predict'!R446</f>
        <v>0</v>
      </c>
      <c r="X447" s="18">
        <f>'RW predict'!T446</f>
        <v>0</v>
      </c>
      <c r="Y447" s="18">
        <f>'RW predict'!Y446</f>
        <v>0</v>
      </c>
      <c r="Z447" s="18">
        <f>'RW predict'!U446</f>
        <v>0</v>
      </c>
      <c r="AA447" s="18">
        <f>'RW predict'!W446</f>
        <v>0</v>
      </c>
      <c r="AB447" s="18"/>
      <c r="AC447" s="18"/>
      <c r="AD447" s="18"/>
      <c r="AE447" s="18"/>
      <c r="AF447" s="19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  <c r="BA447" s="18"/>
      <c r="BB447" s="18"/>
      <c r="BC447" s="18"/>
      <c r="BD447" s="18"/>
      <c r="BE447" s="18"/>
      <c r="BF447" s="18"/>
      <c r="BG447" s="18"/>
      <c r="BH447" s="18"/>
      <c r="BI447" s="18"/>
    </row>
    <row r="448" spans="1:61" s="24" customFormat="1" x14ac:dyDescent="0.3">
      <c r="A448" s="18">
        <v>445</v>
      </c>
      <c r="B448" s="18" t="str">
        <f>'RW predict'!A447</f>
        <v>Erik Gustafsson</v>
      </c>
      <c r="C448" s="18" t="str">
        <f>'RW predict'!B447</f>
        <v>WAS</v>
      </c>
      <c r="D448" s="22" t="str" cm="1">
        <f t="array" ref="D448">_xlfn.SWITCH('RW predict'!C447, "C", "F", "LW","F", "RW", "F", "D", "D", "G", "G", "other")</f>
        <v>D</v>
      </c>
      <c r="E448" s="32">
        <f t="shared" si="12"/>
        <v>824</v>
      </c>
      <c r="F448" s="35">
        <f>E448/assumptions!$B$2</f>
        <v>10.048780487804878</v>
      </c>
      <c r="G448" s="36">
        <f t="shared" si="13"/>
        <v>561</v>
      </c>
      <c r="H448" s="18">
        <f>IF(NOT(D448="G"),'RW predict'!E447,0)</f>
        <v>3</v>
      </c>
      <c r="I448" s="18">
        <f>'RW predict'!Q447</f>
        <v>58</v>
      </c>
      <c r="J448" s="18">
        <f>'RW predict'!F447</f>
        <v>17</v>
      </c>
      <c r="K448" s="18"/>
      <c r="L448" s="18"/>
      <c r="M448" s="18">
        <f>'RW predict'!P447</f>
        <v>54</v>
      </c>
      <c r="N448" s="18"/>
      <c r="O448" s="18">
        <f>'RW predict'!H447</f>
        <v>-7</v>
      </c>
      <c r="P448" s="18">
        <f>'RW predict'!I447</f>
        <v>16</v>
      </c>
      <c r="Q448" s="18">
        <f>'RW predict'!L447</f>
        <v>0</v>
      </c>
      <c r="R448" s="18">
        <f>'RW predict'!N447</f>
        <v>0</v>
      </c>
      <c r="S448" s="76">
        <f>'RW predict'!O447</f>
        <v>0</v>
      </c>
      <c r="T448" s="76">
        <f>'RW predict'!K447</f>
        <v>0</v>
      </c>
      <c r="U448" s="22">
        <f>'RW predict'!J447</f>
        <v>88</v>
      </c>
      <c r="V448" s="32">
        <f>IF(D448="G",'RW predict'!E447,0)</f>
        <v>0</v>
      </c>
      <c r="W448" s="18">
        <f>'RW predict'!R447</f>
        <v>0</v>
      </c>
      <c r="X448" s="18">
        <f>'RW predict'!T447</f>
        <v>0</v>
      </c>
      <c r="Y448" s="18">
        <f>'RW predict'!Y447</f>
        <v>0</v>
      </c>
      <c r="Z448" s="18">
        <f>'RW predict'!U447</f>
        <v>0</v>
      </c>
      <c r="AA448" s="18">
        <f>'RW predict'!W447</f>
        <v>0</v>
      </c>
      <c r="AB448" s="18"/>
      <c r="AC448" s="18"/>
      <c r="AD448" s="18"/>
      <c r="AE448" s="18"/>
      <c r="AF448" s="19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  <c r="BB448" s="18"/>
      <c r="BC448" s="18"/>
      <c r="BD448" s="18"/>
      <c r="BE448" s="18"/>
      <c r="BF448" s="18"/>
      <c r="BG448" s="18"/>
      <c r="BH448" s="18"/>
      <c r="BI448" s="18"/>
    </row>
    <row r="449" spans="1:61" s="24" customFormat="1" x14ac:dyDescent="0.3">
      <c r="A449" s="18">
        <v>446</v>
      </c>
      <c r="B449" s="18" t="str">
        <f>'RW predict'!A448</f>
        <v>Justin Holl</v>
      </c>
      <c r="C449" s="18" t="str">
        <f>'RW predict'!B448</f>
        <v>TOR</v>
      </c>
      <c r="D449" s="22" t="str" cm="1">
        <f t="array" ref="D449">_xlfn.SWITCH('RW predict'!C448, "C", "F", "LW","F", "RW", "F", "D", "D", "G", "G", "other")</f>
        <v>D</v>
      </c>
      <c r="E449" s="32">
        <f t="shared" si="12"/>
        <v>1315</v>
      </c>
      <c r="F449" s="35">
        <f>E449/assumptions!$B$2</f>
        <v>16.036585365853657</v>
      </c>
      <c r="G449" s="36">
        <f t="shared" si="13"/>
        <v>360</v>
      </c>
      <c r="H449" s="18">
        <f>IF(NOT(D449="G"),'RW predict'!E448,0)</f>
        <v>2</v>
      </c>
      <c r="I449" s="18">
        <f>'RW predict'!Q448</f>
        <v>111</v>
      </c>
      <c r="J449" s="18">
        <f>'RW predict'!F448</f>
        <v>18</v>
      </c>
      <c r="K449" s="18"/>
      <c r="L449" s="18"/>
      <c r="M449" s="18">
        <f>'RW predict'!P448</f>
        <v>138</v>
      </c>
      <c r="N449" s="18"/>
      <c r="O449" s="18">
        <f>'RW predict'!H448</f>
        <v>14</v>
      </c>
      <c r="P449" s="18">
        <f>'RW predict'!I448</f>
        <v>43</v>
      </c>
      <c r="Q449" s="18">
        <f>'RW predict'!L448</f>
        <v>0</v>
      </c>
      <c r="R449" s="18">
        <f>'RW predict'!N448</f>
        <v>1</v>
      </c>
      <c r="S449" s="76">
        <f>'RW predict'!O448</f>
        <v>1</v>
      </c>
      <c r="T449" s="76">
        <f>'RW predict'!K448</f>
        <v>0</v>
      </c>
      <c r="U449" s="22">
        <f>'RW predict'!J448</f>
        <v>78</v>
      </c>
      <c r="V449" s="32">
        <f>IF(D449="G",'RW predict'!E448,0)</f>
        <v>0</v>
      </c>
      <c r="W449" s="18">
        <f>'RW predict'!R448</f>
        <v>0</v>
      </c>
      <c r="X449" s="18">
        <f>'RW predict'!T448</f>
        <v>0</v>
      </c>
      <c r="Y449" s="18">
        <f>'RW predict'!Y448</f>
        <v>0</v>
      </c>
      <c r="Z449" s="18">
        <f>'RW predict'!U448</f>
        <v>0</v>
      </c>
      <c r="AA449" s="18">
        <f>'RW predict'!W448</f>
        <v>0</v>
      </c>
      <c r="AB449" s="18"/>
      <c r="AC449" s="18"/>
      <c r="AD449" s="18"/>
      <c r="AE449" s="18"/>
      <c r="AF449" s="19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8"/>
      <c r="BC449" s="18"/>
      <c r="BD449" s="18"/>
      <c r="BE449" s="18"/>
      <c r="BF449" s="18"/>
      <c r="BG449" s="18"/>
      <c r="BH449" s="18"/>
      <c r="BI449" s="18"/>
    </row>
    <row r="450" spans="1:61" s="24" customFormat="1" x14ac:dyDescent="0.3">
      <c r="A450" s="18">
        <v>447</v>
      </c>
      <c r="B450" s="18" t="str">
        <f>'RW predict'!A449</f>
        <v>Brian Boyle</v>
      </c>
      <c r="C450" s="18" t="str">
        <f>'RW predict'!B449</f>
        <v>FA</v>
      </c>
      <c r="D450" s="22" t="str" cm="1">
        <f t="array" ref="D450">_xlfn.SWITCH('RW predict'!C449, "C", "F", "LW","F", "RW", "F", "D", "D", "G", "G", "other")</f>
        <v>F</v>
      </c>
      <c r="E450" s="32">
        <f t="shared" si="12"/>
        <v>989</v>
      </c>
      <c r="F450" s="35">
        <f>E450/assumptions!$B$2</f>
        <v>12.060975609756097</v>
      </c>
      <c r="G450" s="36">
        <f t="shared" si="13"/>
        <v>493</v>
      </c>
      <c r="H450" s="18">
        <f>IF(NOT(D450="G"),'RW predict'!E449,0)</f>
        <v>10</v>
      </c>
      <c r="I450" s="18">
        <f>'RW predict'!Q449</f>
        <v>38</v>
      </c>
      <c r="J450" s="18">
        <f>'RW predict'!F449</f>
        <v>10</v>
      </c>
      <c r="K450" s="18"/>
      <c r="L450" s="18"/>
      <c r="M450" s="18">
        <f>'RW predict'!P449</f>
        <v>91</v>
      </c>
      <c r="N450" s="18"/>
      <c r="O450" s="18">
        <f>'RW predict'!H449</f>
        <v>4</v>
      </c>
      <c r="P450" s="18">
        <f>'RW predict'!I449</f>
        <v>26</v>
      </c>
      <c r="Q450" s="18">
        <f>'RW predict'!L449</f>
        <v>0</v>
      </c>
      <c r="R450" s="18">
        <f>'RW predict'!N449</f>
        <v>1</v>
      </c>
      <c r="S450" s="76">
        <f>'RW predict'!O449</f>
        <v>0</v>
      </c>
      <c r="T450" s="76">
        <f>'RW predict'!K449</f>
        <v>1</v>
      </c>
      <c r="U450" s="22">
        <f>'RW predict'!J449</f>
        <v>82</v>
      </c>
      <c r="V450" s="32">
        <f>IF(D450="G",'RW predict'!E449,0)</f>
        <v>0</v>
      </c>
      <c r="W450" s="18">
        <f>'RW predict'!R449</f>
        <v>0</v>
      </c>
      <c r="X450" s="18">
        <f>'RW predict'!T449</f>
        <v>0</v>
      </c>
      <c r="Y450" s="18">
        <f>'RW predict'!Y449</f>
        <v>0</v>
      </c>
      <c r="Z450" s="18">
        <f>'RW predict'!U449</f>
        <v>0</v>
      </c>
      <c r="AA450" s="18">
        <f>'RW predict'!W449</f>
        <v>0</v>
      </c>
      <c r="AB450" s="18"/>
      <c r="AC450" s="18"/>
      <c r="AD450" s="18"/>
      <c r="AE450" s="18"/>
      <c r="AF450" s="19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  <c r="BB450" s="18"/>
      <c r="BC450" s="18"/>
      <c r="BD450" s="18"/>
      <c r="BE450" s="18"/>
      <c r="BF450" s="18"/>
      <c r="BG450" s="18"/>
      <c r="BH450" s="18"/>
      <c r="BI450" s="18"/>
    </row>
    <row r="451" spans="1:61" s="24" customFormat="1" x14ac:dyDescent="0.3">
      <c r="A451" s="18">
        <v>448</v>
      </c>
      <c r="B451" s="18" t="str">
        <f>'RW predict'!A450</f>
        <v>Zack Kassian</v>
      </c>
      <c r="C451" s="18" t="str">
        <f>'RW predict'!B450</f>
        <v>ARI</v>
      </c>
      <c r="D451" s="22" t="str" cm="1">
        <f t="array" ref="D451">_xlfn.SWITCH('RW predict'!C450, "C", "F", "LW","F", "RW", "F", "D", "D", "G", "G", "other")</f>
        <v>F</v>
      </c>
      <c r="E451" s="32">
        <f t="shared" si="12"/>
        <v>1008</v>
      </c>
      <c r="F451" s="35">
        <f>E451/assumptions!$B$2</f>
        <v>12.292682926829269</v>
      </c>
      <c r="G451" s="36">
        <f t="shared" si="13"/>
        <v>482</v>
      </c>
      <c r="H451" s="18">
        <f>IF(NOT(D451="G"),'RW predict'!E450,0)</f>
        <v>7</v>
      </c>
      <c r="I451" s="18">
        <f>'RW predict'!Q450</f>
        <v>8</v>
      </c>
      <c r="J451" s="18">
        <f>'RW predict'!F450</f>
        <v>13</v>
      </c>
      <c r="K451" s="18"/>
      <c r="L451" s="18"/>
      <c r="M451" s="18">
        <f>'RW predict'!P450</f>
        <v>173</v>
      </c>
      <c r="N451" s="18"/>
      <c r="O451" s="18">
        <f>'RW predict'!H450</f>
        <v>-8</v>
      </c>
      <c r="P451" s="18">
        <f>'RW predict'!I450</f>
        <v>75</v>
      </c>
      <c r="Q451" s="18">
        <f>'RW predict'!L450</f>
        <v>1</v>
      </c>
      <c r="R451" s="18">
        <f>'RW predict'!N450</f>
        <v>0</v>
      </c>
      <c r="S451" s="76">
        <f>'RW predict'!O450</f>
        <v>1</v>
      </c>
      <c r="T451" s="76">
        <f>'RW predict'!K450</f>
        <v>1</v>
      </c>
      <c r="U451" s="22">
        <f>'RW predict'!J450</f>
        <v>67</v>
      </c>
      <c r="V451" s="32">
        <f>IF(D451="G",'RW predict'!E450,0)</f>
        <v>0</v>
      </c>
      <c r="W451" s="18">
        <f>'RW predict'!R450</f>
        <v>0</v>
      </c>
      <c r="X451" s="18">
        <f>'RW predict'!T450</f>
        <v>0</v>
      </c>
      <c r="Y451" s="18">
        <f>'RW predict'!Y450</f>
        <v>0</v>
      </c>
      <c r="Z451" s="18">
        <f>'RW predict'!U450</f>
        <v>0</v>
      </c>
      <c r="AA451" s="18">
        <f>'RW predict'!W450</f>
        <v>0</v>
      </c>
      <c r="AB451" s="18"/>
      <c r="AC451" s="18"/>
      <c r="AD451" s="18"/>
      <c r="AE451" s="18"/>
      <c r="AF451" s="19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  <c r="BA451" s="18"/>
      <c r="BB451" s="18"/>
      <c r="BC451" s="18"/>
      <c r="BD451" s="18"/>
      <c r="BE451" s="18"/>
      <c r="BF451" s="18"/>
      <c r="BG451" s="18"/>
      <c r="BH451" s="18"/>
      <c r="BI451" s="18"/>
    </row>
    <row r="452" spans="1:61" s="24" customFormat="1" x14ac:dyDescent="0.3">
      <c r="A452" s="18">
        <v>449</v>
      </c>
      <c r="B452" s="18" t="str">
        <f>'RW predict'!A451</f>
        <v>Max Pacioretty</v>
      </c>
      <c r="C452" s="18" t="str">
        <f>'RW predict'!B451</f>
        <v>CAR</v>
      </c>
      <c r="D452" s="22" t="str" cm="1">
        <f t="array" ref="D452">_xlfn.SWITCH('RW predict'!C451, "C", "F", "LW","F", "RW", "F", "D", "D", "G", "G", "other")</f>
        <v>F</v>
      </c>
      <c r="E452" s="32">
        <f t="shared" si="12"/>
        <v>869</v>
      </c>
      <c r="F452" s="35">
        <f>E452/assumptions!$B$2</f>
        <v>10.597560975609756</v>
      </c>
      <c r="G452" s="36">
        <f t="shared" si="13"/>
        <v>541</v>
      </c>
      <c r="H452" s="18">
        <f>IF(NOT(D452="G"),'RW predict'!E451,0)</f>
        <v>9</v>
      </c>
      <c r="I452" s="18">
        <f>'RW predict'!Q451</f>
        <v>11</v>
      </c>
      <c r="J452" s="18">
        <f>'RW predict'!F451</f>
        <v>11</v>
      </c>
      <c r="K452" s="18"/>
      <c r="L452" s="18"/>
      <c r="M452" s="18">
        <f>'RW predict'!P451</f>
        <v>20</v>
      </c>
      <c r="N452" s="18"/>
      <c r="O452" s="18">
        <f>'RW predict'!H451</f>
        <v>5</v>
      </c>
      <c r="P452" s="18">
        <f>'RW predict'!I451</f>
        <v>15</v>
      </c>
      <c r="Q452" s="18">
        <f>'RW predict'!L451</f>
        <v>2</v>
      </c>
      <c r="R452" s="18">
        <f>'RW predict'!N451</f>
        <v>0</v>
      </c>
      <c r="S452" s="76">
        <f>'RW predict'!O451</f>
        <v>0</v>
      </c>
      <c r="T452" s="76">
        <f>'RW predict'!K451</f>
        <v>2</v>
      </c>
      <c r="U452" s="22">
        <f>'RW predict'!J451</f>
        <v>86</v>
      </c>
      <c r="V452" s="32">
        <f>IF(D452="G",'RW predict'!E451,0)</f>
        <v>0</v>
      </c>
      <c r="W452" s="18">
        <f>'RW predict'!R451</f>
        <v>0</v>
      </c>
      <c r="X452" s="18">
        <f>'RW predict'!T451</f>
        <v>0</v>
      </c>
      <c r="Y452" s="18">
        <f>'RW predict'!Y451</f>
        <v>0</v>
      </c>
      <c r="Z452" s="18">
        <f>'RW predict'!U451</f>
        <v>0</v>
      </c>
      <c r="AA452" s="18">
        <f>'RW predict'!W451</f>
        <v>0</v>
      </c>
      <c r="AB452" s="18"/>
      <c r="AC452" s="18"/>
      <c r="AD452" s="18"/>
      <c r="AE452" s="18"/>
      <c r="AF452" s="19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  <c r="BB452" s="18"/>
      <c r="BC452" s="18"/>
      <c r="BD452" s="18"/>
      <c r="BE452" s="18"/>
      <c r="BF452" s="18"/>
      <c r="BG452" s="18"/>
      <c r="BH452" s="18"/>
      <c r="BI452" s="18"/>
    </row>
    <row r="453" spans="1:61" s="24" customFormat="1" x14ac:dyDescent="0.3">
      <c r="A453" s="18">
        <v>450</v>
      </c>
      <c r="B453" s="18" t="str">
        <f>'RW predict'!A452</f>
        <v>Tyler Myers</v>
      </c>
      <c r="C453" s="18" t="str">
        <f>'RW predict'!B452</f>
        <v>VAN</v>
      </c>
      <c r="D453" s="22" t="str" cm="1">
        <f t="array" ref="D453">_xlfn.SWITCH('RW predict'!C452, "C", "F", "LW","F", "RW", "F", "D", "D", "G", "G", "other")</f>
        <v>D</v>
      </c>
      <c r="E453" s="32">
        <f t="shared" ref="E453:E516" si="14">H453*$H$3+I453*I$3+K453*K$3+L453*L$3+M453*M$3+N453*N$3+V453*V$3+J453*J$3+O453*$O$3+P453*$P$3+Q453*$Q$3+R453*$R$3+S453*$S$3+T453*$T$3+U453*$U$3+W453*$W$3+X453*$X$3+Y453*$Y$3+Z453*$Z$3+AA453*$AA$3</f>
        <v>1495</v>
      </c>
      <c r="F453" s="35">
        <f>E453/assumptions!$B$2</f>
        <v>18.23170731707317</v>
      </c>
      <c r="G453" s="36">
        <f t="shared" ref="G453:G516" si="15">RANK(E453,$E$4:$E$1100)</f>
        <v>292</v>
      </c>
      <c r="H453" s="18">
        <f>IF(NOT(D453="G"),'RW predict'!E452,0)</f>
        <v>3</v>
      </c>
      <c r="I453" s="18">
        <f>'RW predict'!Q452</f>
        <v>142</v>
      </c>
      <c r="J453" s="18">
        <f>'RW predict'!F452</f>
        <v>17</v>
      </c>
      <c r="K453" s="18"/>
      <c r="L453" s="18"/>
      <c r="M453" s="18">
        <f>'RW predict'!P452</f>
        <v>137</v>
      </c>
      <c r="N453" s="18"/>
      <c r="O453" s="18">
        <f>'RW predict'!H452</f>
        <v>8</v>
      </c>
      <c r="P453" s="18">
        <f>'RW predict'!I452</f>
        <v>66</v>
      </c>
      <c r="Q453" s="18">
        <f>'RW predict'!L452</f>
        <v>0</v>
      </c>
      <c r="R453" s="18">
        <f>'RW predict'!N452</f>
        <v>0</v>
      </c>
      <c r="S453" s="76">
        <f>'RW predict'!O452</f>
        <v>1</v>
      </c>
      <c r="T453" s="76">
        <f>'RW predict'!K452</f>
        <v>1</v>
      </c>
      <c r="U453" s="22">
        <f>'RW predict'!J452</f>
        <v>133</v>
      </c>
      <c r="V453" s="32">
        <f>IF(D453="G",'RW predict'!E452,0)</f>
        <v>0</v>
      </c>
      <c r="W453" s="18">
        <f>'RW predict'!R452</f>
        <v>0</v>
      </c>
      <c r="X453" s="18">
        <f>'RW predict'!T452</f>
        <v>0</v>
      </c>
      <c r="Y453" s="18">
        <f>'RW predict'!Y452</f>
        <v>0</v>
      </c>
      <c r="Z453" s="18">
        <f>'RW predict'!U452</f>
        <v>0</v>
      </c>
      <c r="AA453" s="18">
        <f>'RW predict'!W452</f>
        <v>0</v>
      </c>
      <c r="AB453" s="18"/>
      <c r="AC453" s="18"/>
      <c r="AD453" s="18"/>
      <c r="AE453" s="18"/>
      <c r="AF453" s="19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  <c r="BA453" s="18"/>
      <c r="BB453" s="18"/>
      <c r="BC453" s="18"/>
      <c r="BD453" s="18"/>
      <c r="BE453" s="18"/>
      <c r="BF453" s="18"/>
      <c r="BG453" s="18"/>
      <c r="BH453" s="18"/>
      <c r="BI453" s="18"/>
    </row>
    <row r="454" spans="1:61" s="24" customFormat="1" x14ac:dyDescent="0.3">
      <c r="A454" s="18">
        <v>451</v>
      </c>
      <c r="B454" s="18" t="str">
        <f>'RW predict'!A453</f>
        <v>Marcus Pettersson</v>
      </c>
      <c r="C454" s="18" t="str">
        <f>'RW predict'!B453</f>
        <v>PIT</v>
      </c>
      <c r="D454" s="22" t="str" cm="1">
        <f t="array" ref="D454">_xlfn.SWITCH('RW predict'!C453, "C", "F", "LW","F", "RW", "F", "D", "D", "G", "G", "other")</f>
        <v>D</v>
      </c>
      <c r="E454" s="32">
        <f t="shared" si="14"/>
        <v>1099</v>
      </c>
      <c r="F454" s="35">
        <f>E454/assumptions!$B$2</f>
        <v>13.402439024390244</v>
      </c>
      <c r="G454" s="36">
        <f t="shared" si="15"/>
        <v>452</v>
      </c>
      <c r="H454" s="18">
        <f>IF(NOT(D454="G"),'RW predict'!E453,0)</f>
        <v>2</v>
      </c>
      <c r="I454" s="18">
        <f>'RW predict'!Q453</f>
        <v>73</v>
      </c>
      <c r="J454" s="18">
        <f>'RW predict'!F453</f>
        <v>17</v>
      </c>
      <c r="K454" s="18"/>
      <c r="L454" s="18"/>
      <c r="M454" s="18">
        <f>'RW predict'!P453</f>
        <v>114</v>
      </c>
      <c r="N454" s="18"/>
      <c r="O454" s="18">
        <f>'RW predict'!H453</f>
        <v>9</v>
      </c>
      <c r="P454" s="18">
        <f>'RW predict'!I453</f>
        <v>38</v>
      </c>
      <c r="Q454" s="18">
        <f>'RW predict'!L453</f>
        <v>0</v>
      </c>
      <c r="R454" s="18">
        <f>'RW predict'!N453</f>
        <v>0</v>
      </c>
      <c r="S454" s="76">
        <f>'RW predict'!O453</f>
        <v>0</v>
      </c>
      <c r="T454" s="76">
        <f>'RW predict'!K453</f>
        <v>0</v>
      </c>
      <c r="U454" s="22">
        <f>'RW predict'!J453</f>
        <v>80</v>
      </c>
      <c r="V454" s="32">
        <f>IF(D454="G",'RW predict'!E453,0)</f>
        <v>0</v>
      </c>
      <c r="W454" s="18">
        <f>'RW predict'!R453</f>
        <v>0</v>
      </c>
      <c r="X454" s="18">
        <f>'RW predict'!T453</f>
        <v>0</v>
      </c>
      <c r="Y454" s="18">
        <f>'RW predict'!Y453</f>
        <v>0</v>
      </c>
      <c r="Z454" s="18">
        <f>'RW predict'!U453</f>
        <v>0</v>
      </c>
      <c r="AA454" s="18">
        <f>'RW predict'!W453</f>
        <v>0</v>
      </c>
      <c r="AB454" s="18"/>
      <c r="AC454" s="18"/>
      <c r="AD454" s="18"/>
      <c r="AE454" s="18"/>
      <c r="AF454" s="19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  <c r="BA454" s="18"/>
      <c r="BB454" s="18"/>
      <c r="BC454" s="18"/>
      <c r="BD454" s="18"/>
      <c r="BE454" s="18"/>
      <c r="BF454" s="18"/>
      <c r="BG454" s="18"/>
      <c r="BH454" s="18"/>
      <c r="BI454" s="18"/>
    </row>
    <row r="455" spans="1:61" s="24" customFormat="1" x14ac:dyDescent="0.3">
      <c r="A455" s="18">
        <v>452</v>
      </c>
      <c r="B455" s="18" t="str">
        <f>'RW predict'!A454</f>
        <v>Zemgus Girgensons</v>
      </c>
      <c r="C455" s="18" t="str">
        <f>'RW predict'!B454</f>
        <v>BUF</v>
      </c>
      <c r="D455" s="22" t="str" cm="1">
        <f t="array" ref="D455">_xlfn.SWITCH('RW predict'!C454, "C", "F", "LW","F", "RW", "F", "D", "D", "G", "G", "other")</f>
        <v>F</v>
      </c>
      <c r="E455" s="32">
        <f t="shared" si="14"/>
        <v>913</v>
      </c>
      <c r="F455" s="35">
        <f>E455/assumptions!$B$2</f>
        <v>11.134146341463415</v>
      </c>
      <c r="G455" s="36">
        <f t="shared" si="15"/>
        <v>526</v>
      </c>
      <c r="H455" s="18">
        <f>IF(NOT(D455="G"),'RW predict'!E454,0)</f>
        <v>11</v>
      </c>
      <c r="I455" s="18">
        <f>'RW predict'!Q454</f>
        <v>27</v>
      </c>
      <c r="J455" s="18">
        <f>'RW predict'!F454</f>
        <v>8</v>
      </c>
      <c r="K455" s="18"/>
      <c r="L455" s="18"/>
      <c r="M455" s="18">
        <f>'RW predict'!P454</f>
        <v>106</v>
      </c>
      <c r="N455" s="18"/>
      <c r="O455" s="18">
        <f>'RW predict'!H454</f>
        <v>-9</v>
      </c>
      <c r="P455" s="18">
        <f>'RW predict'!I454</f>
        <v>28</v>
      </c>
      <c r="Q455" s="18">
        <f>'RW predict'!L454</f>
        <v>1</v>
      </c>
      <c r="R455" s="18">
        <f>'RW predict'!N454</f>
        <v>1</v>
      </c>
      <c r="S455" s="76">
        <f>'RW predict'!O454</f>
        <v>0</v>
      </c>
      <c r="T455" s="76">
        <f>'RW predict'!K454</f>
        <v>2</v>
      </c>
      <c r="U455" s="22">
        <f>'RW predict'!J454</f>
        <v>107</v>
      </c>
      <c r="V455" s="32">
        <f>IF(D455="G",'RW predict'!E454,0)</f>
        <v>0</v>
      </c>
      <c r="W455" s="18">
        <f>'RW predict'!R454</f>
        <v>0</v>
      </c>
      <c r="X455" s="18">
        <f>'RW predict'!T454</f>
        <v>0</v>
      </c>
      <c r="Y455" s="18">
        <f>'RW predict'!Y454</f>
        <v>0</v>
      </c>
      <c r="Z455" s="18">
        <f>'RW predict'!U454</f>
        <v>0</v>
      </c>
      <c r="AA455" s="18">
        <f>'RW predict'!W454</f>
        <v>0</v>
      </c>
      <c r="AB455" s="18"/>
      <c r="AC455" s="18"/>
      <c r="AD455" s="18"/>
      <c r="AE455" s="18"/>
      <c r="AF455" s="19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  <c r="BA455" s="18"/>
      <c r="BB455" s="18"/>
      <c r="BC455" s="18"/>
      <c r="BD455" s="18"/>
      <c r="BE455" s="18"/>
      <c r="BF455" s="18"/>
      <c r="BG455" s="18"/>
      <c r="BH455" s="18"/>
      <c r="BI455" s="18"/>
    </row>
    <row r="456" spans="1:61" s="24" customFormat="1" x14ac:dyDescent="0.3">
      <c r="A456" s="18">
        <v>453</v>
      </c>
      <c r="B456" s="18" t="str">
        <f>'RW predict'!A455</f>
        <v>Josh Manson</v>
      </c>
      <c r="C456" s="18" t="str">
        <f>'RW predict'!B455</f>
        <v>COL</v>
      </c>
      <c r="D456" s="22" t="str" cm="1">
        <f t="array" ref="D456">_xlfn.SWITCH('RW predict'!C455, "C", "F", "LW","F", "RW", "F", "D", "D", "G", "G", "other")</f>
        <v>D</v>
      </c>
      <c r="E456" s="32">
        <f t="shared" si="14"/>
        <v>1329</v>
      </c>
      <c r="F456" s="35">
        <f>E456/assumptions!$B$2</f>
        <v>16.207317073170731</v>
      </c>
      <c r="G456" s="36">
        <f t="shared" si="15"/>
        <v>353</v>
      </c>
      <c r="H456" s="18">
        <f>IF(NOT(D456="G"),'RW predict'!E455,0)</f>
        <v>4</v>
      </c>
      <c r="I456" s="18">
        <f>'RW predict'!Q455</f>
        <v>81</v>
      </c>
      <c r="J456" s="18">
        <f>'RW predict'!F455</f>
        <v>15</v>
      </c>
      <c r="K456" s="18"/>
      <c r="L456" s="18"/>
      <c r="M456" s="18">
        <f>'RW predict'!P455</f>
        <v>174</v>
      </c>
      <c r="N456" s="18"/>
      <c r="O456" s="18">
        <f>'RW predict'!H455</f>
        <v>11</v>
      </c>
      <c r="P456" s="18">
        <f>'RW predict'!I455</f>
        <v>66</v>
      </c>
      <c r="Q456" s="18">
        <f>'RW predict'!L455</f>
        <v>0</v>
      </c>
      <c r="R456" s="18">
        <f>'RW predict'!N455</f>
        <v>0</v>
      </c>
      <c r="S456" s="76">
        <f>'RW predict'!O455</f>
        <v>0</v>
      </c>
      <c r="T456" s="76">
        <f>'RW predict'!K455</f>
        <v>1</v>
      </c>
      <c r="U456" s="22">
        <f>'RW predict'!J455</f>
        <v>95</v>
      </c>
      <c r="V456" s="32">
        <f>IF(D456="G",'RW predict'!E455,0)</f>
        <v>0</v>
      </c>
      <c r="W456" s="18">
        <f>'RW predict'!R455</f>
        <v>0</v>
      </c>
      <c r="X456" s="18">
        <f>'RW predict'!T455</f>
        <v>0</v>
      </c>
      <c r="Y456" s="18">
        <f>'RW predict'!Y455</f>
        <v>0</v>
      </c>
      <c r="Z456" s="18">
        <f>'RW predict'!U455</f>
        <v>0</v>
      </c>
      <c r="AA456" s="18">
        <f>'RW predict'!W455</f>
        <v>0</v>
      </c>
      <c r="AB456" s="18"/>
      <c r="AC456" s="18"/>
      <c r="AD456" s="18"/>
      <c r="AE456" s="18"/>
      <c r="AF456" s="19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  <c r="BA456" s="18"/>
      <c r="BB456" s="18"/>
      <c r="BC456" s="18"/>
      <c r="BD456" s="18"/>
      <c r="BE456" s="18"/>
      <c r="BF456" s="18"/>
      <c r="BG456" s="18"/>
      <c r="BH456" s="18"/>
      <c r="BI456" s="18"/>
    </row>
    <row r="457" spans="1:61" s="24" customFormat="1" x14ac:dyDescent="0.3">
      <c r="A457" s="18">
        <v>454</v>
      </c>
      <c r="B457" s="18" t="str">
        <f>'RW predict'!A456</f>
        <v>Nick Jensen</v>
      </c>
      <c r="C457" s="18" t="str">
        <f>'RW predict'!B456</f>
        <v>WAS</v>
      </c>
      <c r="D457" s="22" t="str" cm="1">
        <f t="array" ref="D457">_xlfn.SWITCH('RW predict'!C456, "C", "F", "LW","F", "RW", "F", "D", "D", "G", "G", "other")</f>
        <v>D</v>
      </c>
      <c r="E457" s="32">
        <f t="shared" si="14"/>
        <v>1273</v>
      </c>
      <c r="F457" s="35">
        <f>E457/assumptions!$B$2</f>
        <v>15.524390243902438</v>
      </c>
      <c r="G457" s="36">
        <f t="shared" si="15"/>
        <v>375</v>
      </c>
      <c r="H457" s="18">
        <f>IF(NOT(D457="G"),'RW predict'!E456,0)</f>
        <v>4</v>
      </c>
      <c r="I457" s="18">
        <f>'RW predict'!Q456</f>
        <v>95</v>
      </c>
      <c r="J457" s="18">
        <f>'RW predict'!F456</f>
        <v>15</v>
      </c>
      <c r="K457" s="18"/>
      <c r="L457" s="18"/>
      <c r="M457" s="18">
        <f>'RW predict'!P456</f>
        <v>108</v>
      </c>
      <c r="N457" s="18"/>
      <c r="O457" s="18">
        <f>'RW predict'!H456</f>
        <v>24</v>
      </c>
      <c r="P457" s="18">
        <f>'RW predict'!I456</f>
        <v>20</v>
      </c>
      <c r="Q457" s="18">
        <f>'RW predict'!L456</f>
        <v>0</v>
      </c>
      <c r="R457" s="18">
        <f>'RW predict'!N456</f>
        <v>0</v>
      </c>
      <c r="S457" s="76">
        <f>'RW predict'!O456</f>
        <v>0</v>
      </c>
      <c r="T457" s="76">
        <f>'RW predict'!K456</f>
        <v>1</v>
      </c>
      <c r="U457" s="22">
        <f>'RW predict'!J456</f>
        <v>90</v>
      </c>
      <c r="V457" s="32">
        <f>IF(D457="G",'RW predict'!E456,0)</f>
        <v>0</v>
      </c>
      <c r="W457" s="18">
        <f>'RW predict'!R456</f>
        <v>0</v>
      </c>
      <c r="X457" s="18">
        <f>'RW predict'!T456</f>
        <v>0</v>
      </c>
      <c r="Y457" s="18">
        <f>'RW predict'!Y456</f>
        <v>0</v>
      </c>
      <c r="Z457" s="18">
        <f>'RW predict'!U456</f>
        <v>0</v>
      </c>
      <c r="AA457" s="18">
        <f>'RW predict'!W456</f>
        <v>0</v>
      </c>
      <c r="AB457" s="18"/>
      <c r="AC457" s="18"/>
      <c r="AD457" s="18"/>
      <c r="AE457" s="18"/>
      <c r="AF457" s="19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  <c r="BA457" s="18"/>
      <c r="BB457" s="18"/>
      <c r="BC457" s="18"/>
      <c r="BD457" s="18"/>
      <c r="BE457" s="18"/>
      <c r="BF457" s="18"/>
      <c r="BG457" s="18"/>
      <c r="BH457" s="18"/>
      <c r="BI457" s="18"/>
    </row>
    <row r="458" spans="1:61" s="24" customFormat="1" x14ac:dyDescent="0.3">
      <c r="A458" s="18">
        <v>455</v>
      </c>
      <c r="B458" s="18" t="str">
        <f>'RW predict'!A457</f>
        <v>Parker Kelly</v>
      </c>
      <c r="C458" s="18" t="str">
        <f>'RW predict'!B457</f>
        <v>OTT</v>
      </c>
      <c r="D458" s="22" t="str" cm="1">
        <f t="array" ref="D458">_xlfn.SWITCH('RW predict'!C457, "C", "F", "LW","F", "RW", "F", "D", "D", "G", "G", "other")</f>
        <v>F</v>
      </c>
      <c r="E458" s="32">
        <f t="shared" si="14"/>
        <v>1308</v>
      </c>
      <c r="F458" s="35">
        <f>E458/assumptions!$B$2</f>
        <v>15.951219512195122</v>
      </c>
      <c r="G458" s="36">
        <f t="shared" si="15"/>
        <v>365</v>
      </c>
      <c r="H458" s="18">
        <f>IF(NOT(D458="G"),'RW predict'!E457,0)</f>
        <v>11</v>
      </c>
      <c r="I458" s="18">
        <f>'RW predict'!Q457</f>
        <v>51</v>
      </c>
      <c r="J458" s="18">
        <f>'RW predict'!F457</f>
        <v>8</v>
      </c>
      <c r="K458" s="18"/>
      <c r="L458" s="18"/>
      <c r="M458" s="18">
        <f>'RW predict'!P457</f>
        <v>230</v>
      </c>
      <c r="N458" s="18"/>
      <c r="O458" s="18">
        <f>'RW predict'!H457</f>
        <v>-7</v>
      </c>
      <c r="P458" s="18">
        <f>'RW predict'!I457</f>
        <v>125</v>
      </c>
      <c r="Q458" s="18">
        <f>'RW predict'!L457</f>
        <v>0</v>
      </c>
      <c r="R458" s="18">
        <f>'RW predict'!N457</f>
        <v>0</v>
      </c>
      <c r="S458" s="76">
        <f>'RW predict'!O457</f>
        <v>1</v>
      </c>
      <c r="T458" s="76">
        <f>'RW predict'!K457</f>
        <v>0</v>
      </c>
      <c r="U458" s="22">
        <f>'RW predict'!J457</f>
        <v>93</v>
      </c>
      <c r="V458" s="32">
        <f>IF(D458="G",'RW predict'!E457,0)</f>
        <v>0</v>
      </c>
      <c r="W458" s="18">
        <f>'RW predict'!R457</f>
        <v>0</v>
      </c>
      <c r="X458" s="18">
        <f>'RW predict'!T457</f>
        <v>0</v>
      </c>
      <c r="Y458" s="18">
        <f>'RW predict'!Y457</f>
        <v>0</v>
      </c>
      <c r="Z458" s="18">
        <f>'RW predict'!U457</f>
        <v>0</v>
      </c>
      <c r="AA458" s="18">
        <f>'RW predict'!W457</f>
        <v>0</v>
      </c>
      <c r="AB458" s="18"/>
      <c r="AC458" s="18"/>
      <c r="AD458" s="18"/>
      <c r="AE458" s="18"/>
      <c r="AF458" s="19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  <c r="BA458" s="18"/>
      <c r="BB458" s="18"/>
      <c r="BC458" s="18"/>
      <c r="BD458" s="18"/>
      <c r="BE458" s="18"/>
      <c r="BF458" s="18"/>
      <c r="BG458" s="18"/>
      <c r="BH458" s="18"/>
      <c r="BI458" s="18"/>
    </row>
    <row r="459" spans="1:61" s="24" customFormat="1" x14ac:dyDescent="0.3">
      <c r="A459" s="18">
        <v>456</v>
      </c>
      <c r="B459" s="18" t="str">
        <f>'RW predict'!A458</f>
        <v>Shane Pinto</v>
      </c>
      <c r="C459" s="18" t="str">
        <f>'RW predict'!B458</f>
        <v>OTT</v>
      </c>
      <c r="D459" s="22" t="str" cm="1">
        <f t="array" ref="D459">_xlfn.SWITCH('RW predict'!C458, "C", "F", "LW","F", "RW", "F", "D", "D", "G", "G", "other")</f>
        <v>F</v>
      </c>
      <c r="E459" s="32">
        <f t="shared" si="14"/>
        <v>876</v>
      </c>
      <c r="F459" s="35">
        <f>E459/assumptions!$B$2</f>
        <v>10.682926829268293</v>
      </c>
      <c r="G459" s="36">
        <f t="shared" si="15"/>
        <v>538</v>
      </c>
      <c r="H459" s="18">
        <f>IF(NOT(D459="G"),'RW predict'!E458,0)</f>
        <v>5</v>
      </c>
      <c r="I459" s="18">
        <f>'RW predict'!Q458</f>
        <v>21</v>
      </c>
      <c r="J459" s="18">
        <f>'RW predict'!F458</f>
        <v>14</v>
      </c>
      <c r="K459" s="18"/>
      <c r="L459" s="18"/>
      <c r="M459" s="18">
        <f>'RW predict'!P458</f>
        <v>53</v>
      </c>
      <c r="N459" s="18"/>
      <c r="O459" s="18">
        <f>'RW predict'!H458</f>
        <v>5</v>
      </c>
      <c r="P459" s="18">
        <f>'RW predict'!I458</f>
        <v>34</v>
      </c>
      <c r="Q459" s="18">
        <f>'RW predict'!L458</f>
        <v>1</v>
      </c>
      <c r="R459" s="18">
        <f>'RW predict'!N458</f>
        <v>0</v>
      </c>
      <c r="S459" s="76">
        <f>'RW predict'!O458</f>
        <v>0</v>
      </c>
      <c r="T459" s="76">
        <f>'RW predict'!K458</f>
        <v>0</v>
      </c>
      <c r="U459" s="22">
        <f>'RW predict'!J458</f>
        <v>72</v>
      </c>
      <c r="V459" s="32">
        <f>IF(D459="G",'RW predict'!E458,0)</f>
        <v>0</v>
      </c>
      <c r="W459" s="18">
        <f>'RW predict'!R458</f>
        <v>0</v>
      </c>
      <c r="X459" s="18">
        <f>'RW predict'!T458</f>
        <v>0</v>
      </c>
      <c r="Y459" s="18">
        <f>'RW predict'!Y458</f>
        <v>0</v>
      </c>
      <c r="Z459" s="18">
        <f>'RW predict'!U458</f>
        <v>0</v>
      </c>
      <c r="AA459" s="18">
        <f>'RW predict'!W458</f>
        <v>0</v>
      </c>
      <c r="AB459" s="18"/>
      <c r="AC459" s="18"/>
      <c r="AD459" s="18"/>
      <c r="AE459" s="18"/>
      <c r="AF459" s="19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  <c r="BA459" s="18"/>
      <c r="BB459" s="18"/>
      <c r="BC459" s="18"/>
      <c r="BD459" s="18"/>
      <c r="BE459" s="18"/>
      <c r="BF459" s="18"/>
      <c r="BG459" s="18"/>
      <c r="BH459" s="18"/>
      <c r="BI459" s="18"/>
    </row>
    <row r="460" spans="1:61" s="24" customFormat="1" x14ac:dyDescent="0.3">
      <c r="A460" s="18">
        <v>457</v>
      </c>
      <c r="B460" s="18" t="str">
        <f>'RW predict'!A459</f>
        <v>Jack McBain</v>
      </c>
      <c r="C460" s="18" t="str">
        <f>'RW predict'!B459</f>
        <v>ARI</v>
      </c>
      <c r="D460" s="22" t="str" cm="1">
        <f t="array" ref="D460">_xlfn.SWITCH('RW predict'!C459, "C", "F", "LW","F", "RW", "F", "D", "D", "G", "G", "other")</f>
        <v>F</v>
      </c>
      <c r="E460" s="32">
        <f t="shared" si="14"/>
        <v>871</v>
      </c>
      <c r="F460" s="35">
        <f>E460/assumptions!$B$2</f>
        <v>10.621951219512194</v>
      </c>
      <c r="G460" s="36">
        <f t="shared" si="15"/>
        <v>539</v>
      </c>
      <c r="H460" s="18">
        <f>IF(NOT(D460="G"),'RW predict'!E459,0)</f>
        <v>9</v>
      </c>
      <c r="I460" s="18">
        <f>'RW predict'!Q459</f>
        <v>41</v>
      </c>
      <c r="J460" s="18">
        <f>'RW predict'!F459</f>
        <v>10</v>
      </c>
      <c r="K460" s="18"/>
      <c r="L460" s="18"/>
      <c r="M460" s="18">
        <f>'RW predict'!P459</f>
        <v>172</v>
      </c>
      <c r="N460" s="18"/>
      <c r="O460" s="18">
        <f>'RW predict'!H459</f>
        <v>-18</v>
      </c>
      <c r="P460" s="18">
        <f>'RW predict'!I459</f>
        <v>42</v>
      </c>
      <c r="Q460" s="18">
        <f>'RW predict'!L459</f>
        <v>1</v>
      </c>
      <c r="R460" s="18">
        <f>'RW predict'!N459</f>
        <v>0</v>
      </c>
      <c r="S460" s="76">
        <f>'RW predict'!O459</f>
        <v>0</v>
      </c>
      <c r="T460" s="76">
        <f>'RW predict'!K459</f>
        <v>0</v>
      </c>
      <c r="U460" s="22">
        <f>'RW predict'!J459</f>
        <v>93</v>
      </c>
      <c r="V460" s="32">
        <f>IF(D460="G",'RW predict'!E459,0)</f>
        <v>0</v>
      </c>
      <c r="W460" s="18">
        <f>'RW predict'!R459</f>
        <v>0</v>
      </c>
      <c r="X460" s="18">
        <f>'RW predict'!T459</f>
        <v>0</v>
      </c>
      <c r="Y460" s="18">
        <f>'RW predict'!Y459</f>
        <v>0</v>
      </c>
      <c r="Z460" s="18">
        <f>'RW predict'!U459</f>
        <v>0</v>
      </c>
      <c r="AA460" s="18">
        <f>'RW predict'!W459</f>
        <v>0</v>
      </c>
      <c r="AB460" s="18"/>
      <c r="AC460" s="18"/>
      <c r="AD460" s="18"/>
      <c r="AE460" s="18"/>
      <c r="AF460" s="19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  <c r="BA460" s="18"/>
      <c r="BB460" s="18"/>
      <c r="BC460" s="18"/>
      <c r="BD460" s="18"/>
      <c r="BE460" s="18"/>
      <c r="BF460" s="18"/>
      <c r="BG460" s="18"/>
      <c r="BH460" s="18"/>
      <c r="BI460" s="18"/>
    </row>
    <row r="461" spans="1:61" s="24" customFormat="1" x14ac:dyDescent="0.3">
      <c r="A461" s="18">
        <v>458</v>
      </c>
      <c r="B461" s="18" t="str">
        <f>'RW predict'!A460</f>
        <v>Martin Fehervary</v>
      </c>
      <c r="C461" s="18" t="str">
        <f>'RW predict'!B460</f>
        <v>WAS</v>
      </c>
      <c r="D461" s="22" t="str" cm="1">
        <f t="array" ref="D461">_xlfn.SWITCH('RW predict'!C460, "C", "F", "LW","F", "RW", "F", "D", "D", "G", "G", "other")</f>
        <v>D</v>
      </c>
      <c r="E461" s="32">
        <f t="shared" si="14"/>
        <v>1425</v>
      </c>
      <c r="F461" s="35">
        <f>E461/assumptions!$B$2</f>
        <v>17.378048780487806</v>
      </c>
      <c r="G461" s="36">
        <f t="shared" si="15"/>
        <v>319</v>
      </c>
      <c r="H461" s="18">
        <f>IF(NOT(D461="G"),'RW predict'!E460,0)</f>
        <v>8</v>
      </c>
      <c r="I461" s="18">
        <f>'RW predict'!Q460</f>
        <v>122</v>
      </c>
      <c r="J461" s="18">
        <f>'RW predict'!F460</f>
        <v>11</v>
      </c>
      <c r="K461" s="18"/>
      <c r="L461" s="18"/>
      <c r="M461" s="18">
        <f>'RW predict'!P460</f>
        <v>256</v>
      </c>
      <c r="N461" s="18"/>
      <c r="O461" s="18">
        <f>'RW predict'!H460</f>
        <v>14</v>
      </c>
      <c r="P461" s="18">
        <f>'RW predict'!I460</f>
        <v>26</v>
      </c>
      <c r="Q461" s="18">
        <f>'RW predict'!L460</f>
        <v>0</v>
      </c>
      <c r="R461" s="18">
        <f>'RW predict'!N460</f>
        <v>0</v>
      </c>
      <c r="S461" s="76">
        <f>'RW predict'!O460</f>
        <v>1</v>
      </c>
      <c r="T461" s="76">
        <f>'RW predict'!K460</f>
        <v>1</v>
      </c>
      <c r="U461" s="22">
        <f>'RW predict'!J460</f>
        <v>101</v>
      </c>
      <c r="V461" s="32">
        <f>IF(D461="G",'RW predict'!E460,0)</f>
        <v>0</v>
      </c>
      <c r="W461" s="18">
        <f>'RW predict'!R460</f>
        <v>0</v>
      </c>
      <c r="X461" s="18">
        <f>'RW predict'!T460</f>
        <v>0</v>
      </c>
      <c r="Y461" s="18">
        <f>'RW predict'!Y460</f>
        <v>0</v>
      </c>
      <c r="Z461" s="18">
        <f>'RW predict'!U460</f>
        <v>0</v>
      </c>
      <c r="AA461" s="18">
        <f>'RW predict'!W460</f>
        <v>0</v>
      </c>
      <c r="AB461" s="18"/>
      <c r="AC461" s="18"/>
      <c r="AD461" s="18"/>
      <c r="AE461" s="18"/>
      <c r="AF461" s="19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  <c r="BA461" s="18"/>
      <c r="BB461" s="18"/>
      <c r="BC461" s="18"/>
      <c r="BD461" s="18"/>
      <c r="BE461" s="18"/>
      <c r="BF461" s="18"/>
      <c r="BG461" s="18"/>
      <c r="BH461" s="18"/>
      <c r="BI461" s="18"/>
    </row>
    <row r="462" spans="1:61" s="24" customFormat="1" x14ac:dyDescent="0.3">
      <c r="A462" s="18">
        <v>459</v>
      </c>
      <c r="B462" s="18" t="str">
        <f>'RW predict'!A461</f>
        <v>Dylan Holloway</v>
      </c>
      <c r="C462" s="18" t="str">
        <f>'RW predict'!B461</f>
        <v>EDM</v>
      </c>
      <c r="D462" s="22" t="str" cm="1">
        <f t="array" ref="D462">_xlfn.SWITCH('RW predict'!C461, "C", "F", "LW","F", "RW", "F", "D", "D", "G", "G", "other")</f>
        <v>F</v>
      </c>
      <c r="E462" s="32">
        <f t="shared" si="14"/>
        <v>833</v>
      </c>
      <c r="F462" s="35">
        <f>E462/assumptions!$B$2</f>
        <v>10.158536585365853</v>
      </c>
      <c r="G462" s="36">
        <f t="shared" si="15"/>
        <v>557</v>
      </c>
      <c r="H462" s="18">
        <f>IF(NOT(D462="G"),'RW predict'!E461,0)</f>
        <v>7</v>
      </c>
      <c r="I462" s="18">
        <f>'RW predict'!Q461</f>
        <v>11</v>
      </c>
      <c r="J462" s="18">
        <f>'RW predict'!F461</f>
        <v>12</v>
      </c>
      <c r="K462" s="18"/>
      <c r="L462" s="18"/>
      <c r="M462" s="18">
        <f>'RW predict'!P461</f>
        <v>34</v>
      </c>
      <c r="N462" s="18"/>
      <c r="O462" s="18">
        <f>'RW predict'!H461</f>
        <v>3</v>
      </c>
      <c r="P462" s="18">
        <f>'RW predict'!I461</f>
        <v>30</v>
      </c>
      <c r="Q462" s="18">
        <f>'RW predict'!L461</f>
        <v>1</v>
      </c>
      <c r="R462" s="18">
        <f>'RW predict'!N461</f>
        <v>0</v>
      </c>
      <c r="S462" s="76">
        <f>'RW predict'!O461</f>
        <v>0</v>
      </c>
      <c r="T462" s="76">
        <f>'RW predict'!K461</f>
        <v>1</v>
      </c>
      <c r="U462" s="22">
        <f>'RW predict'!J461</f>
        <v>76</v>
      </c>
      <c r="V462" s="32">
        <f>IF(D462="G",'RW predict'!E461,0)</f>
        <v>0</v>
      </c>
      <c r="W462" s="18">
        <f>'RW predict'!R461</f>
        <v>0</v>
      </c>
      <c r="X462" s="18">
        <f>'RW predict'!T461</f>
        <v>0</v>
      </c>
      <c r="Y462" s="18">
        <f>'RW predict'!Y461</f>
        <v>0</v>
      </c>
      <c r="Z462" s="18">
        <f>'RW predict'!U461</f>
        <v>0</v>
      </c>
      <c r="AA462" s="18">
        <f>'RW predict'!W461</f>
        <v>0</v>
      </c>
      <c r="AB462" s="18"/>
      <c r="AC462" s="18"/>
      <c r="AD462" s="18"/>
      <c r="AE462" s="18"/>
      <c r="AF462" s="19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  <c r="BB462" s="18"/>
      <c r="BC462" s="18"/>
      <c r="BD462" s="18"/>
      <c r="BE462" s="18"/>
      <c r="BF462" s="18"/>
      <c r="BG462" s="18"/>
      <c r="BH462" s="18"/>
      <c r="BI462" s="18"/>
    </row>
    <row r="463" spans="1:61" s="24" customFormat="1" x14ac:dyDescent="0.3">
      <c r="A463" s="18">
        <v>460</v>
      </c>
      <c r="B463" s="18" t="str">
        <f>'RW predict'!A462</f>
        <v>Braden Schneider</v>
      </c>
      <c r="C463" s="18" t="str">
        <f>'RW predict'!B462</f>
        <v>NYR</v>
      </c>
      <c r="D463" s="22" t="str" cm="1">
        <f t="array" ref="D463">_xlfn.SWITCH('RW predict'!C462, "C", "F", "LW","F", "RW", "F", "D", "D", "G", "G", "other")</f>
        <v>D</v>
      </c>
      <c r="E463" s="32">
        <f t="shared" si="14"/>
        <v>965</v>
      </c>
      <c r="F463" s="35">
        <f>E463/assumptions!$B$2</f>
        <v>11.768292682926829</v>
      </c>
      <c r="G463" s="36">
        <f t="shared" si="15"/>
        <v>504</v>
      </c>
      <c r="H463" s="18">
        <f>IF(NOT(D463="G"),'RW predict'!E462,0)</f>
        <v>3</v>
      </c>
      <c r="I463" s="18">
        <f>'RW predict'!Q462</f>
        <v>92</v>
      </c>
      <c r="J463" s="18">
        <f>'RW predict'!F462</f>
        <v>15</v>
      </c>
      <c r="K463" s="18"/>
      <c r="L463" s="18"/>
      <c r="M463" s="18">
        <f>'RW predict'!P462</f>
        <v>108</v>
      </c>
      <c r="N463" s="18"/>
      <c r="O463" s="18">
        <f>'RW predict'!H462</f>
        <v>8</v>
      </c>
      <c r="P463" s="18">
        <f>'RW predict'!I462</f>
        <v>15</v>
      </c>
      <c r="Q463" s="18">
        <f>'RW predict'!L462</f>
        <v>0</v>
      </c>
      <c r="R463" s="18">
        <f>'RW predict'!N462</f>
        <v>0</v>
      </c>
      <c r="S463" s="76">
        <f>'RW predict'!O462</f>
        <v>0</v>
      </c>
      <c r="T463" s="76">
        <f>'RW predict'!K462</f>
        <v>0</v>
      </c>
      <c r="U463" s="22">
        <f>'RW predict'!J462</f>
        <v>49</v>
      </c>
      <c r="V463" s="32">
        <f>IF(D463="G",'RW predict'!E462,0)</f>
        <v>0</v>
      </c>
      <c r="W463" s="18">
        <f>'RW predict'!R462</f>
        <v>0</v>
      </c>
      <c r="X463" s="18">
        <f>'RW predict'!T462</f>
        <v>0</v>
      </c>
      <c r="Y463" s="18">
        <f>'RW predict'!Y462</f>
        <v>0</v>
      </c>
      <c r="Z463" s="18">
        <f>'RW predict'!U462</f>
        <v>0</v>
      </c>
      <c r="AA463" s="18">
        <f>'RW predict'!W462</f>
        <v>0</v>
      </c>
      <c r="AB463" s="18"/>
      <c r="AC463" s="18"/>
      <c r="AD463" s="18"/>
      <c r="AE463" s="18"/>
      <c r="AF463" s="19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  <c r="BA463" s="18"/>
      <c r="BB463" s="18"/>
      <c r="BC463" s="18"/>
      <c r="BD463" s="18"/>
      <c r="BE463" s="18"/>
      <c r="BF463" s="18"/>
      <c r="BG463" s="18"/>
      <c r="BH463" s="18"/>
      <c r="BI463" s="18"/>
    </row>
    <row r="464" spans="1:61" s="24" customFormat="1" x14ac:dyDescent="0.3">
      <c r="A464" s="18">
        <v>461</v>
      </c>
      <c r="B464" s="18" t="str">
        <f>'RW predict'!A463</f>
        <v>Ben Meyers</v>
      </c>
      <c r="C464" s="18" t="str">
        <f>'RW predict'!B463</f>
        <v>COL</v>
      </c>
      <c r="D464" s="22" t="str" cm="1">
        <f t="array" ref="D464">_xlfn.SWITCH('RW predict'!C463, "C", "F", "LW","F", "RW", "F", "D", "D", "G", "G", "other")</f>
        <v>F</v>
      </c>
      <c r="E464" s="32">
        <f t="shared" si="14"/>
        <v>715</v>
      </c>
      <c r="F464" s="35">
        <f>E464/assumptions!$B$2</f>
        <v>8.7195121951219505</v>
      </c>
      <c r="G464" s="36">
        <f t="shared" si="15"/>
        <v>601</v>
      </c>
      <c r="H464" s="18">
        <f>IF(NOT(D464="G"),'RW predict'!E463,0)</f>
        <v>8</v>
      </c>
      <c r="I464" s="18">
        <f>'RW predict'!Q463</f>
        <v>9</v>
      </c>
      <c r="J464" s="18">
        <f>'RW predict'!F463</f>
        <v>10</v>
      </c>
      <c r="K464" s="18"/>
      <c r="L464" s="18"/>
      <c r="M464" s="18">
        <f>'RW predict'!P463</f>
        <v>15</v>
      </c>
      <c r="N464" s="18"/>
      <c r="O464" s="18">
        <f>'RW predict'!H463</f>
        <v>-6</v>
      </c>
      <c r="P464" s="18">
        <f>'RW predict'!I463</f>
        <v>26</v>
      </c>
      <c r="Q464" s="18">
        <f>'RW predict'!L463</f>
        <v>0</v>
      </c>
      <c r="R464" s="18">
        <f>'RW predict'!N463</f>
        <v>0</v>
      </c>
      <c r="S464" s="76">
        <f>'RW predict'!O463</f>
        <v>0</v>
      </c>
      <c r="T464" s="76">
        <f>'RW predict'!K463</f>
        <v>1</v>
      </c>
      <c r="U464" s="22">
        <f>'RW predict'!J463</f>
        <v>97</v>
      </c>
      <c r="V464" s="32">
        <f>IF(D464="G",'RW predict'!E463,0)</f>
        <v>0</v>
      </c>
      <c r="W464" s="18">
        <f>'RW predict'!R463</f>
        <v>0</v>
      </c>
      <c r="X464" s="18">
        <f>'RW predict'!T463</f>
        <v>0</v>
      </c>
      <c r="Y464" s="18">
        <f>'RW predict'!Y463</f>
        <v>0</v>
      </c>
      <c r="Z464" s="18">
        <f>'RW predict'!U463</f>
        <v>0</v>
      </c>
      <c r="AA464" s="18">
        <f>'RW predict'!W463</f>
        <v>0</v>
      </c>
      <c r="AB464" s="18"/>
      <c r="AC464" s="18"/>
      <c r="AD464" s="18"/>
      <c r="AE464" s="18"/>
      <c r="AF464" s="19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  <c r="BA464" s="18"/>
      <c r="BB464" s="18"/>
      <c r="BC464" s="18"/>
      <c r="BD464" s="18"/>
      <c r="BE464" s="18"/>
      <c r="BF464" s="18"/>
      <c r="BG464" s="18"/>
      <c r="BH464" s="18"/>
      <c r="BI464" s="18"/>
    </row>
    <row r="465" spans="1:61" s="24" customFormat="1" x14ac:dyDescent="0.3">
      <c r="A465" s="18">
        <v>462</v>
      </c>
      <c r="B465" s="18" t="str">
        <f>'RW predict'!A464</f>
        <v>Nico Sturm</v>
      </c>
      <c r="C465" s="18" t="str">
        <f>'RW predict'!B464</f>
        <v>SJ</v>
      </c>
      <c r="D465" s="22" t="str" cm="1">
        <f t="array" ref="D465">_xlfn.SWITCH('RW predict'!C464, "C", "F", "LW","F", "RW", "F", "D", "D", "G", "G", "other")</f>
        <v>F</v>
      </c>
      <c r="E465" s="32">
        <f t="shared" si="14"/>
        <v>863</v>
      </c>
      <c r="F465" s="35">
        <f>E465/assumptions!$B$2</f>
        <v>10.524390243902438</v>
      </c>
      <c r="G465" s="36">
        <f t="shared" si="15"/>
        <v>546</v>
      </c>
      <c r="H465" s="18">
        <f>IF(NOT(D465="G"),'RW predict'!E464,0)</f>
        <v>9</v>
      </c>
      <c r="I465" s="18">
        <f>'RW predict'!Q464</f>
        <v>30</v>
      </c>
      <c r="J465" s="18">
        <f>'RW predict'!F464</f>
        <v>9</v>
      </c>
      <c r="K465" s="18"/>
      <c r="L465" s="18"/>
      <c r="M465" s="18">
        <f>'RW predict'!P464</f>
        <v>95</v>
      </c>
      <c r="N465" s="18"/>
      <c r="O465" s="18">
        <f>'RW predict'!H464</f>
        <v>-6</v>
      </c>
      <c r="P465" s="18">
        <f>'RW predict'!I464</f>
        <v>18</v>
      </c>
      <c r="Q465" s="18">
        <f>'RW predict'!L464</f>
        <v>0</v>
      </c>
      <c r="R465" s="18">
        <f>'RW predict'!N464</f>
        <v>1</v>
      </c>
      <c r="S465" s="76">
        <f>'RW predict'!O464</f>
        <v>1</v>
      </c>
      <c r="T465" s="76">
        <f>'RW predict'!K464</f>
        <v>1</v>
      </c>
      <c r="U465" s="22">
        <f>'RW predict'!J464</f>
        <v>107</v>
      </c>
      <c r="V465" s="32">
        <f>IF(D465="G",'RW predict'!E464,0)</f>
        <v>0</v>
      </c>
      <c r="W465" s="18">
        <f>'RW predict'!R464</f>
        <v>0</v>
      </c>
      <c r="X465" s="18">
        <f>'RW predict'!T464</f>
        <v>0</v>
      </c>
      <c r="Y465" s="18">
        <f>'RW predict'!Y464</f>
        <v>0</v>
      </c>
      <c r="Z465" s="18">
        <f>'RW predict'!U464</f>
        <v>0</v>
      </c>
      <c r="AA465" s="18">
        <f>'RW predict'!W464</f>
        <v>0</v>
      </c>
      <c r="AB465" s="18"/>
      <c r="AC465" s="18"/>
      <c r="AD465" s="18"/>
      <c r="AE465" s="18"/>
      <c r="AF465" s="19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  <c r="BA465" s="18"/>
      <c r="BB465" s="18"/>
      <c r="BC465" s="18"/>
      <c r="BD465" s="18"/>
      <c r="BE465" s="18"/>
      <c r="BF465" s="18"/>
      <c r="BG465" s="18"/>
      <c r="BH465" s="18"/>
      <c r="BI465" s="18"/>
    </row>
    <row r="466" spans="1:61" s="24" customFormat="1" x14ac:dyDescent="0.3">
      <c r="A466" s="18">
        <v>463</v>
      </c>
      <c r="B466" s="18" t="str">
        <f>'RW predict'!A465</f>
        <v>Erik Brannstrom</v>
      </c>
      <c r="C466" s="18" t="str">
        <f>'RW predict'!B465</f>
        <v>OTT</v>
      </c>
      <c r="D466" s="22" t="str" cm="1">
        <f t="array" ref="D466">_xlfn.SWITCH('RW predict'!C465, "C", "F", "LW","F", "RW", "F", "D", "D", "G", "G", "other")</f>
        <v>D</v>
      </c>
      <c r="E466" s="32">
        <f t="shared" si="14"/>
        <v>831</v>
      </c>
      <c r="F466" s="35">
        <f>E466/assumptions!$B$2</f>
        <v>10.134146341463415</v>
      </c>
      <c r="G466" s="36">
        <f t="shared" si="15"/>
        <v>560</v>
      </c>
      <c r="H466" s="18">
        <f>IF(NOT(D466="G"),'RW predict'!E465,0)</f>
        <v>1</v>
      </c>
      <c r="I466" s="18">
        <f>'RW predict'!Q465</f>
        <v>66</v>
      </c>
      <c r="J466" s="18">
        <f>'RW predict'!F465</f>
        <v>17</v>
      </c>
      <c r="K466" s="18"/>
      <c r="L466" s="18"/>
      <c r="M466" s="18">
        <f>'RW predict'!P465</f>
        <v>47</v>
      </c>
      <c r="N466" s="18"/>
      <c r="O466" s="18">
        <f>'RW predict'!H465</f>
        <v>-13</v>
      </c>
      <c r="P466" s="18">
        <f>'RW predict'!I465</f>
        <v>38</v>
      </c>
      <c r="Q466" s="18">
        <f>'RW predict'!L465</f>
        <v>1</v>
      </c>
      <c r="R466" s="18">
        <f>'RW predict'!N465</f>
        <v>0</v>
      </c>
      <c r="S466" s="76">
        <f>'RW predict'!O465</f>
        <v>0</v>
      </c>
      <c r="T466" s="76">
        <f>'RW predict'!K465</f>
        <v>0</v>
      </c>
      <c r="U466" s="22">
        <f>'RW predict'!J465</f>
        <v>104</v>
      </c>
      <c r="V466" s="32">
        <f>IF(D466="G",'RW predict'!E465,0)</f>
        <v>0</v>
      </c>
      <c r="W466" s="18">
        <f>'RW predict'!R465</f>
        <v>0</v>
      </c>
      <c r="X466" s="18">
        <f>'RW predict'!T465</f>
        <v>0</v>
      </c>
      <c r="Y466" s="18">
        <f>'RW predict'!Y465</f>
        <v>0</v>
      </c>
      <c r="Z466" s="18">
        <f>'RW predict'!U465</f>
        <v>0</v>
      </c>
      <c r="AA466" s="18">
        <f>'RW predict'!W465</f>
        <v>0</v>
      </c>
      <c r="AB466" s="18"/>
      <c r="AC466" s="18"/>
      <c r="AD466" s="18"/>
      <c r="AE466" s="18"/>
      <c r="AF466" s="19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  <c r="BA466" s="18"/>
      <c r="BB466" s="18"/>
      <c r="BC466" s="18"/>
      <c r="BD466" s="18"/>
      <c r="BE466" s="18"/>
      <c r="BF466" s="18"/>
      <c r="BG466" s="18"/>
      <c r="BH466" s="18"/>
      <c r="BI466" s="18"/>
    </row>
    <row r="467" spans="1:61" s="24" customFormat="1" x14ac:dyDescent="0.3">
      <c r="A467" s="18">
        <v>464</v>
      </c>
      <c r="B467" s="18" t="str">
        <f>'RW predict'!A466</f>
        <v>Henri Jokiharju</v>
      </c>
      <c r="C467" s="18" t="str">
        <f>'RW predict'!B466</f>
        <v>BUF</v>
      </c>
      <c r="D467" s="22" t="str" cm="1">
        <f t="array" ref="D467">_xlfn.SWITCH('RW predict'!C466, "C", "F", "LW","F", "RW", "F", "D", "D", "G", "G", "other")</f>
        <v>D</v>
      </c>
      <c r="E467" s="32">
        <f t="shared" si="14"/>
        <v>809</v>
      </c>
      <c r="F467" s="35">
        <f>E467/assumptions!$B$2</f>
        <v>9.8658536585365848</v>
      </c>
      <c r="G467" s="36">
        <f t="shared" si="15"/>
        <v>570</v>
      </c>
      <c r="H467" s="18">
        <f>IF(NOT(D467="G"),'RW predict'!E466,0)</f>
        <v>3</v>
      </c>
      <c r="I467" s="18">
        <f>'RW predict'!Q466</f>
        <v>67</v>
      </c>
      <c r="J467" s="18">
        <f>'RW predict'!F466</f>
        <v>15</v>
      </c>
      <c r="K467" s="18"/>
      <c r="L467" s="18"/>
      <c r="M467" s="18">
        <f>'RW predict'!P466</f>
        <v>77</v>
      </c>
      <c r="N467" s="18"/>
      <c r="O467" s="18">
        <f>'RW predict'!H466</f>
        <v>-9</v>
      </c>
      <c r="P467" s="18">
        <f>'RW predict'!I466</f>
        <v>22</v>
      </c>
      <c r="Q467" s="18">
        <f>'RW predict'!L466</f>
        <v>0</v>
      </c>
      <c r="R467" s="18">
        <f>'RW predict'!N466</f>
        <v>0</v>
      </c>
      <c r="S467" s="76">
        <f>'RW predict'!O466</f>
        <v>0</v>
      </c>
      <c r="T467" s="76">
        <f>'RW predict'!K466</f>
        <v>0</v>
      </c>
      <c r="U467" s="22">
        <f>'RW predict'!J466</f>
        <v>86</v>
      </c>
      <c r="V467" s="32">
        <f>IF(D467="G",'RW predict'!E466,0)</f>
        <v>0</v>
      </c>
      <c r="W467" s="18">
        <f>'RW predict'!R466</f>
        <v>0</v>
      </c>
      <c r="X467" s="18">
        <f>'RW predict'!T466</f>
        <v>0</v>
      </c>
      <c r="Y467" s="18">
        <f>'RW predict'!Y466</f>
        <v>0</v>
      </c>
      <c r="Z467" s="18">
        <f>'RW predict'!U466</f>
        <v>0</v>
      </c>
      <c r="AA467" s="18">
        <f>'RW predict'!W466</f>
        <v>0</v>
      </c>
      <c r="AB467" s="18"/>
      <c r="AC467" s="18"/>
      <c r="AD467" s="18"/>
      <c r="AE467" s="18"/>
      <c r="AF467" s="19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  <c r="BA467" s="18"/>
      <c r="BB467" s="18"/>
      <c r="BC467" s="18"/>
      <c r="BD467" s="18"/>
      <c r="BE467" s="18"/>
      <c r="BF467" s="18"/>
      <c r="BG467" s="18"/>
      <c r="BH467" s="18"/>
      <c r="BI467" s="18"/>
    </row>
    <row r="468" spans="1:61" s="24" customFormat="1" x14ac:dyDescent="0.3">
      <c r="A468" s="18">
        <v>465</v>
      </c>
      <c r="B468" s="18" t="str">
        <f>'RW predict'!A467</f>
        <v>Sam Steel</v>
      </c>
      <c r="C468" s="18" t="str">
        <f>'RW predict'!B467</f>
        <v>MIN</v>
      </c>
      <c r="D468" s="22" t="str" cm="1">
        <f t="array" ref="D468">_xlfn.SWITCH('RW predict'!C467, "C", "F", "LW","F", "RW", "F", "D", "D", "G", "G", "other")</f>
        <v>F</v>
      </c>
      <c r="E468" s="32">
        <f t="shared" si="14"/>
        <v>573</v>
      </c>
      <c r="F468" s="35">
        <f>E468/assumptions!$B$2</f>
        <v>6.9878048780487809</v>
      </c>
      <c r="G468" s="36">
        <f t="shared" si="15"/>
        <v>646</v>
      </c>
      <c r="H468" s="18">
        <f>IF(NOT(D468="G"),'RW predict'!E467,0)</f>
        <v>6</v>
      </c>
      <c r="I468" s="18">
        <f>'RW predict'!Q467</f>
        <v>23</v>
      </c>
      <c r="J468" s="18">
        <f>'RW predict'!F467</f>
        <v>12</v>
      </c>
      <c r="K468" s="18"/>
      <c r="L468" s="18"/>
      <c r="M468" s="18">
        <f>'RW predict'!P467</f>
        <v>33</v>
      </c>
      <c r="N468" s="18"/>
      <c r="O468" s="18">
        <f>'RW predict'!H467</f>
        <v>-16</v>
      </c>
      <c r="P468" s="18">
        <f>'RW predict'!I467</f>
        <v>16</v>
      </c>
      <c r="Q468" s="18">
        <f>'RW predict'!L467</f>
        <v>0</v>
      </c>
      <c r="R468" s="18">
        <f>'RW predict'!N467</f>
        <v>0</v>
      </c>
      <c r="S468" s="76">
        <f>'RW predict'!O467</f>
        <v>0</v>
      </c>
      <c r="T468" s="76">
        <f>'RW predict'!K467</f>
        <v>1</v>
      </c>
      <c r="U468" s="22">
        <f>'RW predict'!J467</f>
        <v>68</v>
      </c>
      <c r="V468" s="32">
        <f>IF(D468="G",'RW predict'!E467,0)</f>
        <v>0</v>
      </c>
      <c r="W468" s="18">
        <f>'RW predict'!R467</f>
        <v>0</v>
      </c>
      <c r="X468" s="18">
        <f>'RW predict'!T467</f>
        <v>0</v>
      </c>
      <c r="Y468" s="18">
        <f>'RW predict'!Y467</f>
        <v>0</v>
      </c>
      <c r="Z468" s="18">
        <f>'RW predict'!U467</f>
        <v>0</v>
      </c>
      <c r="AA468" s="18">
        <f>'RW predict'!W467</f>
        <v>0</v>
      </c>
      <c r="AB468" s="18"/>
      <c r="AC468" s="18"/>
      <c r="AD468" s="18"/>
      <c r="AE468" s="18"/>
      <c r="AF468" s="19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  <c r="BA468" s="18"/>
      <c r="BB468" s="18"/>
      <c r="BC468" s="18"/>
      <c r="BD468" s="18"/>
      <c r="BE468" s="18"/>
      <c r="BF468" s="18"/>
      <c r="BG468" s="18"/>
      <c r="BH468" s="18"/>
      <c r="BI468" s="18"/>
    </row>
    <row r="469" spans="1:61" s="24" customFormat="1" x14ac:dyDescent="0.3">
      <c r="A469" s="18">
        <v>466</v>
      </c>
      <c r="B469" s="18" t="str">
        <f>'RW predict'!A468</f>
        <v>David Savard</v>
      </c>
      <c r="C469" s="18" t="str">
        <f>'RW predict'!B468</f>
        <v>MON</v>
      </c>
      <c r="D469" s="22" t="str" cm="1">
        <f t="array" ref="D469">_xlfn.SWITCH('RW predict'!C468, "C", "F", "LW","F", "RW", "F", "D", "D", "G", "G", "other")</f>
        <v>D</v>
      </c>
      <c r="E469" s="32">
        <f t="shared" si="14"/>
        <v>942</v>
      </c>
      <c r="F469" s="35">
        <f>E469/assumptions!$B$2</f>
        <v>11.487804878048781</v>
      </c>
      <c r="G469" s="36">
        <f t="shared" si="15"/>
        <v>516</v>
      </c>
      <c r="H469" s="18">
        <f>IF(NOT(D469="G"),'RW predict'!E468,0)</f>
        <v>3</v>
      </c>
      <c r="I469" s="18">
        <f>'RW predict'!Q468</f>
        <v>139</v>
      </c>
      <c r="J469" s="18">
        <f>'RW predict'!F468</f>
        <v>15</v>
      </c>
      <c r="K469" s="18"/>
      <c r="L469" s="18"/>
      <c r="M469" s="18">
        <f>'RW predict'!P468</f>
        <v>142</v>
      </c>
      <c r="N469" s="18"/>
      <c r="O469" s="18">
        <f>'RW predict'!H468</f>
        <v>-23</v>
      </c>
      <c r="P469" s="18">
        <f>'RW predict'!I468</f>
        <v>40</v>
      </c>
      <c r="Q469" s="18">
        <f>'RW predict'!L468</f>
        <v>0</v>
      </c>
      <c r="R469" s="18">
        <f>'RW predict'!N468</f>
        <v>0</v>
      </c>
      <c r="S469" s="76">
        <f>'RW predict'!O468</f>
        <v>1</v>
      </c>
      <c r="T469" s="76">
        <f>'RW predict'!K468</f>
        <v>0</v>
      </c>
      <c r="U469" s="22">
        <f>'RW predict'!J468</f>
        <v>86</v>
      </c>
      <c r="V469" s="32">
        <f>IF(D469="G",'RW predict'!E468,0)</f>
        <v>0</v>
      </c>
      <c r="W469" s="18">
        <f>'RW predict'!R468</f>
        <v>0</v>
      </c>
      <c r="X469" s="18">
        <f>'RW predict'!T468</f>
        <v>0</v>
      </c>
      <c r="Y469" s="18">
        <f>'RW predict'!Y468</f>
        <v>0</v>
      </c>
      <c r="Z469" s="18">
        <f>'RW predict'!U468</f>
        <v>0</v>
      </c>
      <c r="AA469" s="18">
        <f>'RW predict'!W468</f>
        <v>0</v>
      </c>
      <c r="AB469" s="18"/>
      <c r="AC469" s="18"/>
      <c r="AD469" s="18"/>
      <c r="AE469" s="18"/>
      <c r="AF469" s="19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  <c r="BA469" s="18"/>
      <c r="BB469" s="18"/>
      <c r="BC469" s="18"/>
      <c r="BD469" s="18"/>
      <c r="BE469" s="18"/>
      <c r="BF469" s="18"/>
      <c r="BG469" s="18"/>
      <c r="BH469" s="18"/>
      <c r="BI469" s="18"/>
    </row>
    <row r="470" spans="1:61" s="24" customFormat="1" x14ac:dyDescent="0.3">
      <c r="A470" s="18">
        <v>467</v>
      </c>
      <c r="B470" s="18" t="str">
        <f>'RW predict'!A469</f>
        <v>Nick Cousins</v>
      </c>
      <c r="C470" s="18" t="str">
        <f>'RW predict'!B469</f>
        <v>FLA</v>
      </c>
      <c r="D470" s="22" t="str" cm="1">
        <f t="array" ref="D470">_xlfn.SWITCH('RW predict'!C469, "C", "F", "LW","F", "RW", "F", "D", "D", "G", "G", "other")</f>
        <v>F</v>
      </c>
      <c r="E470" s="32">
        <f t="shared" si="14"/>
        <v>795</v>
      </c>
      <c r="F470" s="35">
        <f>E470/assumptions!$B$2</f>
        <v>9.6951219512195124</v>
      </c>
      <c r="G470" s="36">
        <f t="shared" si="15"/>
        <v>576</v>
      </c>
      <c r="H470" s="18">
        <f>IF(NOT(D470="G"),'RW predict'!E469,0)</f>
        <v>7</v>
      </c>
      <c r="I470" s="18">
        <f>'RW predict'!Q469</f>
        <v>23</v>
      </c>
      <c r="J470" s="18">
        <f>'RW predict'!F469</f>
        <v>11</v>
      </c>
      <c r="K470" s="18"/>
      <c r="L470" s="18"/>
      <c r="M470" s="18">
        <f>'RW predict'!P469</f>
        <v>57</v>
      </c>
      <c r="N470" s="18"/>
      <c r="O470" s="18">
        <f>'RW predict'!H469</f>
        <v>-4</v>
      </c>
      <c r="P470" s="18">
        <f>'RW predict'!I469</f>
        <v>30</v>
      </c>
      <c r="Q470" s="18">
        <f>'RW predict'!L469</f>
        <v>1</v>
      </c>
      <c r="R470" s="18">
        <f>'RW predict'!N469</f>
        <v>0</v>
      </c>
      <c r="S470" s="76">
        <f>'RW predict'!O469</f>
        <v>0</v>
      </c>
      <c r="T470" s="76">
        <f>'RW predict'!K469</f>
        <v>1</v>
      </c>
      <c r="U470" s="22">
        <f>'RW predict'!J469</f>
        <v>81</v>
      </c>
      <c r="V470" s="32">
        <f>IF(D470="G",'RW predict'!E469,0)</f>
        <v>0</v>
      </c>
      <c r="W470" s="18">
        <f>'RW predict'!R469</f>
        <v>0</v>
      </c>
      <c r="X470" s="18">
        <f>'RW predict'!T469</f>
        <v>0</v>
      </c>
      <c r="Y470" s="18">
        <f>'RW predict'!Y469</f>
        <v>0</v>
      </c>
      <c r="Z470" s="18">
        <f>'RW predict'!U469</f>
        <v>0</v>
      </c>
      <c r="AA470" s="18">
        <f>'RW predict'!W469</f>
        <v>0</v>
      </c>
      <c r="AB470" s="18"/>
      <c r="AC470" s="18"/>
      <c r="AD470" s="18"/>
      <c r="AE470" s="18"/>
      <c r="AF470" s="19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  <c r="BA470" s="18"/>
      <c r="BB470" s="18"/>
      <c r="BC470" s="18"/>
      <c r="BD470" s="18"/>
      <c r="BE470" s="18"/>
      <c r="BF470" s="18"/>
      <c r="BG470" s="18"/>
      <c r="BH470" s="18"/>
      <c r="BI470" s="18"/>
    </row>
    <row r="471" spans="1:61" s="24" customFormat="1" x14ac:dyDescent="0.3">
      <c r="A471" s="18">
        <v>468</v>
      </c>
      <c r="B471" s="18" t="str">
        <f>'RW predict'!A470</f>
        <v>Alec Martinez</v>
      </c>
      <c r="C471" s="18" t="str">
        <f>'RW predict'!B470</f>
        <v>VGK</v>
      </c>
      <c r="D471" s="22" t="str" cm="1">
        <f t="array" ref="D471">_xlfn.SWITCH('RW predict'!C470, "C", "F", "LW","F", "RW", "F", "D", "D", "G", "G", "other")</f>
        <v>D</v>
      </c>
      <c r="E471" s="32">
        <f t="shared" si="14"/>
        <v>1167</v>
      </c>
      <c r="F471" s="35">
        <f>E471/assumptions!$B$2</f>
        <v>14.231707317073171</v>
      </c>
      <c r="G471" s="36">
        <f t="shared" si="15"/>
        <v>418</v>
      </c>
      <c r="H471" s="18">
        <f>IF(NOT(D471="G"),'RW predict'!E470,0)</f>
        <v>4</v>
      </c>
      <c r="I471" s="18">
        <f>'RW predict'!Q470</f>
        <v>163</v>
      </c>
      <c r="J471" s="18">
        <f>'RW predict'!F470</f>
        <v>13</v>
      </c>
      <c r="K471" s="18"/>
      <c r="L471" s="18"/>
      <c r="M471" s="18">
        <f>'RW predict'!P470</f>
        <v>54</v>
      </c>
      <c r="N471" s="18"/>
      <c r="O471" s="18">
        <f>'RW predict'!H470</f>
        <v>13</v>
      </c>
      <c r="P471" s="18">
        <f>'RW predict'!I470</f>
        <v>12</v>
      </c>
      <c r="Q471" s="18">
        <f>'RW predict'!L470</f>
        <v>1</v>
      </c>
      <c r="R471" s="18">
        <f>'RW predict'!N470</f>
        <v>0</v>
      </c>
      <c r="S471" s="76">
        <f>'RW predict'!O470</f>
        <v>0</v>
      </c>
      <c r="T471" s="76">
        <f>'RW predict'!K470</f>
        <v>1</v>
      </c>
      <c r="U471" s="22">
        <f>'RW predict'!J470</f>
        <v>83</v>
      </c>
      <c r="V471" s="32">
        <f>IF(D471="G",'RW predict'!E470,0)</f>
        <v>0</v>
      </c>
      <c r="W471" s="18">
        <f>'RW predict'!R470</f>
        <v>0</v>
      </c>
      <c r="X471" s="18">
        <f>'RW predict'!T470</f>
        <v>0</v>
      </c>
      <c r="Y471" s="18">
        <f>'RW predict'!Y470</f>
        <v>0</v>
      </c>
      <c r="Z471" s="18">
        <f>'RW predict'!U470</f>
        <v>0</v>
      </c>
      <c r="AA471" s="18">
        <f>'RW predict'!W470</f>
        <v>0</v>
      </c>
      <c r="AB471" s="18"/>
      <c r="AC471" s="18"/>
      <c r="AD471" s="18"/>
      <c r="AE471" s="18"/>
      <c r="AF471" s="19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  <c r="BA471" s="18"/>
      <c r="BB471" s="18"/>
      <c r="BC471" s="18"/>
      <c r="BD471" s="18"/>
      <c r="BE471" s="18"/>
      <c r="BF471" s="18"/>
      <c r="BG471" s="18"/>
      <c r="BH471" s="18"/>
      <c r="BI471" s="18"/>
    </row>
    <row r="472" spans="1:61" s="24" customFormat="1" x14ac:dyDescent="0.3">
      <c r="A472" s="18">
        <v>469</v>
      </c>
      <c r="B472" s="18" t="str">
        <f>'RW predict'!A471</f>
        <v>Ian Cole</v>
      </c>
      <c r="C472" s="18" t="str">
        <f>'RW predict'!B471</f>
        <v>TB</v>
      </c>
      <c r="D472" s="22" t="str" cm="1">
        <f t="array" ref="D472">_xlfn.SWITCH('RW predict'!C471, "C", "F", "LW","F", "RW", "F", "D", "D", "G", "G", "other")</f>
        <v>D</v>
      </c>
      <c r="E472" s="32">
        <f t="shared" si="14"/>
        <v>1272</v>
      </c>
      <c r="F472" s="35">
        <f>E472/assumptions!$B$2</f>
        <v>15.512195121951219</v>
      </c>
      <c r="G472" s="36">
        <f t="shared" si="15"/>
        <v>376</v>
      </c>
      <c r="H472" s="18">
        <f>IF(NOT(D472="G"),'RW predict'!E471,0)</f>
        <v>2</v>
      </c>
      <c r="I472" s="18">
        <f>'RW predict'!Q471</f>
        <v>109</v>
      </c>
      <c r="J472" s="18">
        <f>'RW predict'!F471</f>
        <v>15</v>
      </c>
      <c r="K472" s="18"/>
      <c r="L472" s="18"/>
      <c r="M472" s="18">
        <f>'RW predict'!P471</f>
        <v>106</v>
      </c>
      <c r="N472" s="18"/>
      <c r="O472" s="18">
        <f>'RW predict'!H471</f>
        <v>14</v>
      </c>
      <c r="P472" s="18">
        <f>'RW predict'!I471</f>
        <v>75</v>
      </c>
      <c r="Q472" s="18">
        <f>'RW predict'!L471</f>
        <v>0</v>
      </c>
      <c r="R472" s="18">
        <f>'RW predict'!N471</f>
        <v>0</v>
      </c>
      <c r="S472" s="76">
        <f>'RW predict'!O471</f>
        <v>0</v>
      </c>
      <c r="T472" s="76">
        <f>'RW predict'!K471</f>
        <v>0</v>
      </c>
      <c r="U472" s="22">
        <f>'RW predict'!J471</f>
        <v>79</v>
      </c>
      <c r="V472" s="32">
        <f>IF(D472="G",'RW predict'!E471,0)</f>
        <v>0</v>
      </c>
      <c r="W472" s="18">
        <f>'RW predict'!R471</f>
        <v>0</v>
      </c>
      <c r="X472" s="18">
        <f>'RW predict'!T471</f>
        <v>0</v>
      </c>
      <c r="Y472" s="18">
        <f>'RW predict'!Y471</f>
        <v>0</v>
      </c>
      <c r="Z472" s="18">
        <f>'RW predict'!U471</f>
        <v>0</v>
      </c>
      <c r="AA472" s="18">
        <f>'RW predict'!W471</f>
        <v>0</v>
      </c>
      <c r="AB472" s="18"/>
      <c r="AC472" s="18"/>
      <c r="AD472" s="18"/>
      <c r="AE472" s="18"/>
      <c r="AF472" s="19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  <c r="BA472" s="18"/>
      <c r="BB472" s="18"/>
      <c r="BC472" s="18"/>
      <c r="BD472" s="18"/>
      <c r="BE472" s="18"/>
      <c r="BF472" s="18"/>
      <c r="BG472" s="18"/>
      <c r="BH472" s="18"/>
      <c r="BI472" s="18"/>
    </row>
    <row r="473" spans="1:61" s="24" customFormat="1" x14ac:dyDescent="0.3">
      <c r="A473" s="18">
        <v>470</v>
      </c>
      <c r="B473" s="18" t="str">
        <f>'RW predict'!A472</f>
        <v>Nick Holden</v>
      </c>
      <c r="C473" s="18" t="str">
        <f>'RW predict'!B472</f>
        <v>OTT</v>
      </c>
      <c r="D473" s="22" t="str" cm="1">
        <f t="array" ref="D473">_xlfn.SWITCH('RW predict'!C472, "C", "F", "LW","F", "RW", "F", "D", "D", "G", "G", "other")</f>
        <v>D</v>
      </c>
      <c r="E473" s="32">
        <f t="shared" si="14"/>
        <v>975</v>
      </c>
      <c r="F473" s="35">
        <f>E473/assumptions!$B$2</f>
        <v>11.890243902439025</v>
      </c>
      <c r="G473" s="36">
        <f t="shared" si="15"/>
        <v>497</v>
      </c>
      <c r="H473" s="18">
        <f>IF(NOT(D473="G"),'RW predict'!E472,0)</f>
        <v>4</v>
      </c>
      <c r="I473" s="18">
        <f>'RW predict'!Q472</f>
        <v>108</v>
      </c>
      <c r="J473" s="18">
        <f>'RW predict'!F472</f>
        <v>13</v>
      </c>
      <c r="K473" s="18"/>
      <c r="L473" s="18"/>
      <c r="M473" s="18">
        <f>'RW predict'!P472</f>
        <v>112</v>
      </c>
      <c r="N473" s="18"/>
      <c r="O473" s="18">
        <f>'RW predict'!H472</f>
        <v>1</v>
      </c>
      <c r="P473" s="18">
        <f>'RW predict'!I472</f>
        <v>12</v>
      </c>
      <c r="Q473" s="18">
        <f>'RW predict'!L472</f>
        <v>0</v>
      </c>
      <c r="R473" s="18">
        <f>'RW predict'!N472</f>
        <v>0</v>
      </c>
      <c r="S473" s="76">
        <f>'RW predict'!O472</f>
        <v>0</v>
      </c>
      <c r="T473" s="76">
        <f>'RW predict'!K472</f>
        <v>1</v>
      </c>
      <c r="U473" s="22">
        <f>'RW predict'!J472</f>
        <v>78</v>
      </c>
      <c r="V473" s="32">
        <f>IF(D473="G",'RW predict'!E472,0)</f>
        <v>0</v>
      </c>
      <c r="W473" s="18">
        <f>'RW predict'!R472</f>
        <v>0</v>
      </c>
      <c r="X473" s="18">
        <f>'RW predict'!T472</f>
        <v>0</v>
      </c>
      <c r="Y473" s="18">
        <f>'RW predict'!Y472</f>
        <v>0</v>
      </c>
      <c r="Z473" s="18">
        <f>'RW predict'!U472</f>
        <v>0</v>
      </c>
      <c r="AA473" s="18">
        <f>'RW predict'!W472</f>
        <v>0</v>
      </c>
      <c r="AB473" s="18"/>
      <c r="AC473" s="18"/>
      <c r="AD473" s="18"/>
      <c r="AE473" s="18"/>
      <c r="AF473" s="19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  <c r="BA473" s="18"/>
      <c r="BB473" s="18"/>
      <c r="BC473" s="18"/>
      <c r="BD473" s="18"/>
      <c r="BE473" s="18"/>
      <c r="BF473" s="18"/>
      <c r="BG473" s="18"/>
      <c r="BH473" s="18"/>
      <c r="BI473" s="18"/>
    </row>
    <row r="474" spans="1:61" s="24" customFormat="1" x14ac:dyDescent="0.3">
      <c r="A474" s="18">
        <v>471</v>
      </c>
      <c r="B474" s="18" t="str">
        <f>'RW predict'!A473</f>
        <v>Brian Dumoulin</v>
      </c>
      <c r="C474" s="18" t="str">
        <f>'RW predict'!B473</f>
        <v>PIT</v>
      </c>
      <c r="D474" s="22" t="str" cm="1">
        <f t="array" ref="D474">_xlfn.SWITCH('RW predict'!C473, "C", "F", "LW","F", "RW", "F", "D", "D", "G", "G", "other")</f>
        <v>D</v>
      </c>
      <c r="E474" s="32">
        <f t="shared" si="14"/>
        <v>1221</v>
      </c>
      <c r="F474" s="35">
        <f>E474/assumptions!$B$2</f>
        <v>14.890243902439025</v>
      </c>
      <c r="G474" s="36">
        <f t="shared" si="15"/>
        <v>392</v>
      </c>
      <c r="H474" s="18">
        <f>IF(NOT(D474="G"),'RW predict'!E473,0)</f>
        <v>3</v>
      </c>
      <c r="I474" s="18">
        <f>'RW predict'!Q473</f>
        <v>120</v>
      </c>
      <c r="J474" s="18">
        <f>'RW predict'!F473</f>
        <v>14</v>
      </c>
      <c r="K474" s="18"/>
      <c r="L474" s="18"/>
      <c r="M474" s="18">
        <f>'RW predict'!P473</f>
        <v>84</v>
      </c>
      <c r="N474" s="18"/>
      <c r="O474" s="18">
        <f>'RW predict'!H473</f>
        <v>24</v>
      </c>
      <c r="P474" s="18">
        <f>'RW predict'!I473</f>
        <v>22</v>
      </c>
      <c r="Q474" s="18">
        <f>'RW predict'!L473</f>
        <v>0</v>
      </c>
      <c r="R474" s="18">
        <f>'RW predict'!N473</f>
        <v>0</v>
      </c>
      <c r="S474" s="76">
        <f>'RW predict'!O473</f>
        <v>0</v>
      </c>
      <c r="T474" s="76">
        <f>'RW predict'!K473</f>
        <v>0</v>
      </c>
      <c r="U474" s="22">
        <f>'RW predict'!J473</f>
        <v>83</v>
      </c>
      <c r="V474" s="32">
        <f>IF(D474="G",'RW predict'!E473,0)</f>
        <v>0</v>
      </c>
      <c r="W474" s="18">
        <f>'RW predict'!R473</f>
        <v>0</v>
      </c>
      <c r="X474" s="18">
        <f>'RW predict'!T473</f>
        <v>0</v>
      </c>
      <c r="Y474" s="18">
        <f>'RW predict'!Y473</f>
        <v>0</v>
      </c>
      <c r="Z474" s="18">
        <f>'RW predict'!U473</f>
        <v>0</v>
      </c>
      <c r="AA474" s="18">
        <f>'RW predict'!W473</f>
        <v>0</v>
      </c>
      <c r="AB474" s="18"/>
      <c r="AC474" s="18"/>
      <c r="AD474" s="18"/>
      <c r="AE474" s="18"/>
      <c r="AF474" s="19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  <c r="BA474" s="18"/>
      <c r="BB474" s="18"/>
      <c r="BC474" s="18"/>
      <c r="BD474" s="18"/>
      <c r="BE474" s="18"/>
      <c r="BF474" s="18"/>
      <c r="BG474" s="18"/>
      <c r="BH474" s="18"/>
      <c r="BI474" s="18"/>
    </row>
    <row r="475" spans="1:61" s="24" customFormat="1" x14ac:dyDescent="0.3">
      <c r="A475" s="18">
        <v>472</v>
      </c>
      <c r="B475" s="18" t="str">
        <f>'RW predict'!A474</f>
        <v>Brett Kulak</v>
      </c>
      <c r="C475" s="18" t="str">
        <f>'RW predict'!B474</f>
        <v>EDM</v>
      </c>
      <c r="D475" s="22" t="str" cm="1">
        <f t="array" ref="D475">_xlfn.SWITCH('RW predict'!C474, "C", "F", "LW","F", "RW", "F", "D", "D", "G", "G", "other")</f>
        <v>D</v>
      </c>
      <c r="E475" s="32">
        <f t="shared" si="14"/>
        <v>1024</v>
      </c>
      <c r="F475" s="35">
        <f>E475/assumptions!$B$2</f>
        <v>12.487804878048781</v>
      </c>
      <c r="G475" s="36">
        <f t="shared" si="15"/>
        <v>476</v>
      </c>
      <c r="H475" s="18">
        <f>IF(NOT(D475="G"),'RW predict'!E474,0)</f>
        <v>4</v>
      </c>
      <c r="I475" s="18">
        <f>'RW predict'!Q474</f>
        <v>64</v>
      </c>
      <c r="J475" s="18">
        <f>'RW predict'!F474</f>
        <v>13</v>
      </c>
      <c r="K475" s="18"/>
      <c r="L475" s="18"/>
      <c r="M475" s="18">
        <f>'RW predict'!P474</f>
        <v>101</v>
      </c>
      <c r="N475" s="18"/>
      <c r="O475" s="18">
        <f>'RW predict'!H474</f>
        <v>6</v>
      </c>
      <c r="P475" s="18">
        <f>'RW predict'!I474</f>
        <v>36</v>
      </c>
      <c r="Q475" s="18">
        <f>'RW predict'!L474</f>
        <v>0</v>
      </c>
      <c r="R475" s="18">
        <f>'RW predict'!N474</f>
        <v>0</v>
      </c>
      <c r="S475" s="76">
        <f>'RW predict'!O474</f>
        <v>1</v>
      </c>
      <c r="T475" s="76">
        <f>'RW predict'!K474</f>
        <v>0</v>
      </c>
      <c r="U475" s="22">
        <f>'RW predict'!J474</f>
        <v>96</v>
      </c>
      <c r="V475" s="32">
        <f>IF(D475="G",'RW predict'!E474,0)</f>
        <v>0</v>
      </c>
      <c r="W475" s="18">
        <f>'RW predict'!R474</f>
        <v>0</v>
      </c>
      <c r="X475" s="18">
        <f>'RW predict'!T474</f>
        <v>0</v>
      </c>
      <c r="Y475" s="18">
        <f>'RW predict'!Y474</f>
        <v>0</v>
      </c>
      <c r="Z475" s="18">
        <f>'RW predict'!U474</f>
        <v>0</v>
      </c>
      <c r="AA475" s="18">
        <f>'RW predict'!W474</f>
        <v>0</v>
      </c>
      <c r="AB475" s="18"/>
      <c r="AC475" s="18"/>
      <c r="AD475" s="18"/>
      <c r="AE475" s="18"/>
      <c r="AF475" s="19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  <c r="BB475" s="18"/>
      <c r="BC475" s="18"/>
      <c r="BD475" s="18"/>
      <c r="BE475" s="18"/>
      <c r="BF475" s="18"/>
      <c r="BG475" s="18"/>
      <c r="BH475" s="18"/>
      <c r="BI475" s="18"/>
    </row>
    <row r="476" spans="1:61" s="24" customFormat="1" x14ac:dyDescent="0.3">
      <c r="A476" s="18">
        <v>473</v>
      </c>
      <c r="B476" s="18" t="str">
        <f>'RW predict'!A475</f>
        <v>William Carrier</v>
      </c>
      <c r="C476" s="18" t="str">
        <f>'RW predict'!B475</f>
        <v>VGK</v>
      </c>
      <c r="D476" s="22" t="str" cm="1">
        <f t="array" ref="D476">_xlfn.SWITCH('RW predict'!C475, "C", "F", "LW","F", "RW", "F", "D", "D", "G", "G", "other")</f>
        <v>F</v>
      </c>
      <c r="E476" s="32">
        <f t="shared" si="14"/>
        <v>1041</v>
      </c>
      <c r="F476" s="35">
        <f>E476/assumptions!$B$2</f>
        <v>12.695121951219512</v>
      </c>
      <c r="G476" s="36">
        <f t="shared" si="15"/>
        <v>468</v>
      </c>
      <c r="H476" s="18">
        <f>IF(NOT(D476="G"),'RW predict'!E475,0)</f>
        <v>7</v>
      </c>
      <c r="I476" s="18">
        <f>'RW predict'!Q475</f>
        <v>22</v>
      </c>
      <c r="J476" s="18">
        <f>'RW predict'!F475</f>
        <v>10</v>
      </c>
      <c r="K476" s="18"/>
      <c r="L476" s="18"/>
      <c r="M476" s="18">
        <f>'RW predict'!P475</f>
        <v>182</v>
      </c>
      <c r="N476" s="18"/>
      <c r="O476" s="18">
        <f>'RW predict'!H475</f>
        <v>5</v>
      </c>
      <c r="P476" s="18">
        <f>'RW predict'!I475</f>
        <v>34</v>
      </c>
      <c r="Q476" s="18">
        <f>'RW predict'!L475</f>
        <v>0</v>
      </c>
      <c r="R476" s="18">
        <f>'RW predict'!N475</f>
        <v>0</v>
      </c>
      <c r="S476" s="76">
        <f>'RW predict'!O475</f>
        <v>0</v>
      </c>
      <c r="T476" s="76">
        <f>'RW predict'!K475</f>
        <v>0</v>
      </c>
      <c r="U476" s="22">
        <f>'RW predict'!J475</f>
        <v>119</v>
      </c>
      <c r="V476" s="32">
        <f>IF(D476="G",'RW predict'!E475,0)</f>
        <v>0</v>
      </c>
      <c r="W476" s="18">
        <f>'RW predict'!R475</f>
        <v>0</v>
      </c>
      <c r="X476" s="18">
        <f>'RW predict'!T475</f>
        <v>0</v>
      </c>
      <c r="Y476" s="18">
        <f>'RW predict'!Y475</f>
        <v>0</v>
      </c>
      <c r="Z476" s="18">
        <f>'RW predict'!U475</f>
        <v>0</v>
      </c>
      <c r="AA476" s="18">
        <f>'RW predict'!W475</f>
        <v>0</v>
      </c>
      <c r="AB476" s="18"/>
      <c r="AC476" s="18"/>
      <c r="AD476" s="18"/>
      <c r="AE476" s="18"/>
      <c r="AF476" s="19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  <c r="BA476" s="18"/>
      <c r="BB476" s="18"/>
      <c r="BC476" s="18"/>
      <c r="BD476" s="18"/>
      <c r="BE476" s="18"/>
      <c r="BF476" s="18"/>
      <c r="BG476" s="18"/>
      <c r="BH476" s="18"/>
      <c r="BI476" s="18"/>
    </row>
    <row r="477" spans="1:61" s="24" customFormat="1" x14ac:dyDescent="0.3">
      <c r="A477" s="18">
        <v>474</v>
      </c>
      <c r="B477" s="18" t="str">
        <f>'RW predict'!A476</f>
        <v>Michael Raffl</v>
      </c>
      <c r="C477" s="18" t="str">
        <f>'RW predict'!B476</f>
        <v>FA</v>
      </c>
      <c r="D477" s="22" t="str" cm="1">
        <f t="array" ref="D477">_xlfn.SWITCH('RW predict'!C476, "C", "F", "LW","F", "RW", "F", "D", "D", "G", "G", "other")</f>
        <v>F</v>
      </c>
      <c r="E477" s="32">
        <f t="shared" si="14"/>
        <v>812</v>
      </c>
      <c r="F477" s="35">
        <f>E477/assumptions!$B$2</f>
        <v>9.9024390243902438</v>
      </c>
      <c r="G477" s="36">
        <f t="shared" si="15"/>
        <v>567</v>
      </c>
      <c r="H477" s="18">
        <f>IF(NOT(D477="G"),'RW predict'!E476,0)</f>
        <v>7</v>
      </c>
      <c r="I477" s="18">
        <f>'RW predict'!Q476</f>
        <v>35</v>
      </c>
      <c r="J477" s="18">
        <f>'RW predict'!F476</f>
        <v>10</v>
      </c>
      <c r="K477" s="18"/>
      <c r="L477" s="18"/>
      <c r="M477" s="18">
        <f>'RW predict'!P476</f>
        <v>129</v>
      </c>
      <c r="N477" s="18"/>
      <c r="O477" s="18">
        <f>'RW predict'!H476</f>
        <v>-15</v>
      </c>
      <c r="P477" s="18">
        <f>'RW predict'!I476</f>
        <v>20</v>
      </c>
      <c r="Q477" s="18">
        <f>'RW predict'!L476</f>
        <v>0</v>
      </c>
      <c r="R477" s="18">
        <f>'RW predict'!N476</f>
        <v>1</v>
      </c>
      <c r="S477" s="76">
        <f>'RW predict'!O476</f>
        <v>2</v>
      </c>
      <c r="T477" s="76">
        <f>'RW predict'!K476</f>
        <v>3</v>
      </c>
      <c r="U477" s="22">
        <f>'RW predict'!J476</f>
        <v>89</v>
      </c>
      <c r="V477" s="32">
        <f>IF(D477="G",'RW predict'!E476,0)</f>
        <v>0</v>
      </c>
      <c r="W477" s="18">
        <f>'RW predict'!R476</f>
        <v>0</v>
      </c>
      <c r="X477" s="18">
        <f>'RW predict'!T476</f>
        <v>0</v>
      </c>
      <c r="Y477" s="18">
        <f>'RW predict'!Y476</f>
        <v>0</v>
      </c>
      <c r="Z477" s="18">
        <f>'RW predict'!U476</f>
        <v>0</v>
      </c>
      <c r="AA477" s="18">
        <f>'RW predict'!W476</f>
        <v>0</v>
      </c>
      <c r="AB477" s="18"/>
      <c r="AC477" s="18"/>
      <c r="AD477" s="18"/>
      <c r="AE477" s="18"/>
      <c r="AF477" s="19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  <c r="BA477" s="18"/>
      <c r="BB477" s="18"/>
      <c r="BC477" s="18"/>
      <c r="BD477" s="18"/>
      <c r="BE477" s="18"/>
      <c r="BF477" s="18"/>
      <c r="BG477" s="18"/>
      <c r="BH477" s="18"/>
      <c r="BI477" s="18"/>
    </row>
    <row r="478" spans="1:61" s="24" customFormat="1" x14ac:dyDescent="0.3">
      <c r="A478" s="18">
        <v>475</v>
      </c>
      <c r="B478" s="18" t="str">
        <f>'RW predict'!A477</f>
        <v>Radko Gudas</v>
      </c>
      <c r="C478" s="18" t="str">
        <f>'RW predict'!B477</f>
        <v>FLA</v>
      </c>
      <c r="D478" s="22" t="str" cm="1">
        <f t="array" ref="D478">_xlfn.SWITCH('RW predict'!C477, "C", "F", "LW","F", "RW", "F", "D", "D", "G", "G", "other")</f>
        <v>D</v>
      </c>
      <c r="E478" s="32">
        <f t="shared" si="14"/>
        <v>1693</v>
      </c>
      <c r="F478" s="35">
        <f>E478/assumptions!$B$2</f>
        <v>20.646341463414632</v>
      </c>
      <c r="G478" s="36">
        <f t="shared" si="15"/>
        <v>231</v>
      </c>
      <c r="H478" s="18">
        <f>IF(NOT(D478="G"),'RW predict'!E477,0)</f>
        <v>3</v>
      </c>
      <c r="I478" s="18">
        <f>'RW predict'!Q477</f>
        <v>114</v>
      </c>
      <c r="J478" s="18">
        <f>'RW predict'!F477</f>
        <v>14</v>
      </c>
      <c r="K478" s="18"/>
      <c r="L478" s="18"/>
      <c r="M478" s="18">
        <f>'RW predict'!P477</f>
        <v>341</v>
      </c>
      <c r="N478" s="18"/>
      <c r="O478" s="18">
        <f>'RW predict'!H477</f>
        <v>21</v>
      </c>
      <c r="P478" s="18">
        <f>'RW predict'!I477</f>
        <v>93</v>
      </c>
      <c r="Q478" s="18">
        <f>'RW predict'!L477</f>
        <v>0</v>
      </c>
      <c r="R478" s="18">
        <f>'RW predict'!N477</f>
        <v>0</v>
      </c>
      <c r="S478" s="76">
        <f>'RW predict'!O477</f>
        <v>0</v>
      </c>
      <c r="T478" s="76">
        <f>'RW predict'!K477</f>
        <v>0</v>
      </c>
      <c r="U478" s="22">
        <f>'RW predict'!J477</f>
        <v>105</v>
      </c>
      <c r="V478" s="32">
        <f>IF(D478="G",'RW predict'!E477,0)</f>
        <v>0</v>
      </c>
      <c r="W478" s="18">
        <f>'RW predict'!R477</f>
        <v>0</v>
      </c>
      <c r="X478" s="18">
        <f>'RW predict'!T477</f>
        <v>0</v>
      </c>
      <c r="Y478" s="18">
        <f>'RW predict'!Y477</f>
        <v>0</v>
      </c>
      <c r="Z478" s="18">
        <f>'RW predict'!U477</f>
        <v>0</v>
      </c>
      <c r="AA478" s="18">
        <f>'RW predict'!W477</f>
        <v>0</v>
      </c>
      <c r="AB478" s="18"/>
      <c r="AC478" s="18"/>
      <c r="AD478" s="18"/>
      <c r="AE478" s="18"/>
      <c r="AF478" s="19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  <c r="BA478" s="18"/>
      <c r="BB478" s="18"/>
      <c r="BC478" s="18"/>
      <c r="BD478" s="18"/>
      <c r="BE478" s="18"/>
      <c r="BF478" s="18"/>
      <c r="BG478" s="18"/>
      <c r="BH478" s="18"/>
      <c r="BI478" s="18"/>
    </row>
    <row r="479" spans="1:61" s="24" customFormat="1" x14ac:dyDescent="0.3">
      <c r="A479" s="18">
        <v>476</v>
      </c>
      <c r="B479" s="18" t="str">
        <f>'RW predict'!A478</f>
        <v>Pierre-Edouard Bellemare</v>
      </c>
      <c r="C479" s="18" t="str">
        <f>'RW predict'!B478</f>
        <v>TB</v>
      </c>
      <c r="D479" s="22" t="str" cm="1">
        <f t="array" ref="D479">_xlfn.SWITCH('RW predict'!C478, "C", "F", "LW","F", "RW", "F", "D", "D", "G", "G", "other")</f>
        <v>F</v>
      </c>
      <c r="E479" s="32">
        <f t="shared" si="14"/>
        <v>1009</v>
      </c>
      <c r="F479" s="35">
        <f>E479/assumptions!$B$2</f>
        <v>12.304878048780488</v>
      </c>
      <c r="G479" s="36">
        <f t="shared" si="15"/>
        <v>481</v>
      </c>
      <c r="H479" s="18">
        <f>IF(NOT(D479="G"),'RW predict'!E478,0)</f>
        <v>7</v>
      </c>
      <c r="I479" s="18">
        <f>'RW predict'!Q478</f>
        <v>46</v>
      </c>
      <c r="J479" s="18">
        <f>'RW predict'!F478</f>
        <v>10</v>
      </c>
      <c r="K479" s="18"/>
      <c r="L479" s="18"/>
      <c r="M479" s="18">
        <f>'RW predict'!P478</f>
        <v>81</v>
      </c>
      <c r="N479" s="18"/>
      <c r="O479" s="18">
        <f>'RW predict'!H478</f>
        <v>16</v>
      </c>
      <c r="P479" s="18">
        <f>'RW predict'!I478</f>
        <v>21</v>
      </c>
      <c r="Q479" s="18">
        <f>'RW predict'!L478</f>
        <v>0</v>
      </c>
      <c r="R479" s="18">
        <f>'RW predict'!N478</f>
        <v>1</v>
      </c>
      <c r="S479" s="76">
        <f>'RW predict'!O478</f>
        <v>0</v>
      </c>
      <c r="T479" s="76">
        <f>'RW predict'!K478</f>
        <v>1</v>
      </c>
      <c r="U479" s="22">
        <f>'RW predict'!J478</f>
        <v>74</v>
      </c>
      <c r="V479" s="32">
        <f>IF(D479="G",'RW predict'!E478,0)</f>
        <v>0</v>
      </c>
      <c r="W479" s="18">
        <f>'RW predict'!R478</f>
        <v>0</v>
      </c>
      <c r="X479" s="18">
        <f>'RW predict'!T478</f>
        <v>0</v>
      </c>
      <c r="Y479" s="18">
        <f>'RW predict'!Y478</f>
        <v>0</v>
      </c>
      <c r="Z479" s="18">
        <f>'RW predict'!U478</f>
        <v>0</v>
      </c>
      <c r="AA479" s="18">
        <f>'RW predict'!W478</f>
        <v>0</v>
      </c>
      <c r="AB479" s="18"/>
      <c r="AC479" s="18"/>
      <c r="AD479" s="18"/>
      <c r="AE479" s="18"/>
      <c r="AF479" s="19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  <c r="BA479" s="18"/>
      <c r="BB479" s="18"/>
      <c r="BC479" s="18"/>
      <c r="BD479" s="18"/>
      <c r="BE479" s="18"/>
      <c r="BF479" s="18"/>
      <c r="BG479" s="18"/>
      <c r="BH479" s="18"/>
      <c r="BI479" s="18"/>
    </row>
    <row r="480" spans="1:61" s="24" customFormat="1" x14ac:dyDescent="0.3">
      <c r="A480" s="18">
        <v>477</v>
      </c>
      <c r="B480" s="18" t="str">
        <f>'RW predict'!A479</f>
        <v>Noah Gregor</v>
      </c>
      <c r="C480" s="18" t="str">
        <f>'RW predict'!B479</f>
        <v>SJ</v>
      </c>
      <c r="D480" s="22" t="str" cm="1">
        <f t="array" ref="D480">_xlfn.SWITCH('RW predict'!C479, "C", "F", "LW","F", "RW", "F", "D", "D", "G", "G", "other")</f>
        <v>F</v>
      </c>
      <c r="E480" s="32">
        <f t="shared" si="14"/>
        <v>721</v>
      </c>
      <c r="F480" s="35">
        <f>E480/assumptions!$B$2</f>
        <v>8.7926829268292686</v>
      </c>
      <c r="G480" s="36">
        <f t="shared" si="15"/>
        <v>597</v>
      </c>
      <c r="H480" s="18">
        <f>IF(NOT(D480="G"),'RW predict'!E479,0)</f>
        <v>6</v>
      </c>
      <c r="I480" s="18">
        <f>'RW predict'!Q479</f>
        <v>33</v>
      </c>
      <c r="J480" s="18">
        <f>'RW predict'!F479</f>
        <v>11</v>
      </c>
      <c r="K480" s="18"/>
      <c r="L480" s="18"/>
      <c r="M480" s="18">
        <f>'RW predict'!P479</f>
        <v>85</v>
      </c>
      <c r="N480" s="18"/>
      <c r="O480" s="18">
        <f>'RW predict'!H479</f>
        <v>-15</v>
      </c>
      <c r="P480" s="18">
        <f>'RW predict'!I479</f>
        <v>17</v>
      </c>
      <c r="Q480" s="18">
        <f>'RW predict'!L479</f>
        <v>0</v>
      </c>
      <c r="R480" s="18">
        <f>'RW predict'!N479</f>
        <v>0</v>
      </c>
      <c r="S480" s="76">
        <f>'RW predict'!O479</f>
        <v>0</v>
      </c>
      <c r="T480" s="76">
        <f>'RW predict'!K479</f>
        <v>1</v>
      </c>
      <c r="U480" s="22">
        <f>'RW predict'!J479</f>
        <v>112</v>
      </c>
      <c r="V480" s="32">
        <f>IF(D480="G",'RW predict'!E479,0)</f>
        <v>0</v>
      </c>
      <c r="W480" s="18">
        <f>'RW predict'!R479</f>
        <v>0</v>
      </c>
      <c r="X480" s="18">
        <f>'RW predict'!T479</f>
        <v>0</v>
      </c>
      <c r="Y480" s="18">
        <f>'RW predict'!Y479</f>
        <v>0</v>
      </c>
      <c r="Z480" s="18">
        <f>'RW predict'!U479</f>
        <v>0</v>
      </c>
      <c r="AA480" s="18">
        <f>'RW predict'!W479</f>
        <v>0</v>
      </c>
      <c r="AB480" s="18"/>
      <c r="AC480" s="18"/>
      <c r="AD480" s="18"/>
      <c r="AE480" s="18"/>
      <c r="AF480" s="19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  <c r="BA480" s="18"/>
      <c r="BB480" s="18"/>
      <c r="BC480" s="18"/>
      <c r="BD480" s="18"/>
      <c r="BE480" s="18"/>
      <c r="BF480" s="18"/>
      <c r="BG480" s="18"/>
      <c r="BH480" s="18"/>
      <c r="BI480" s="18"/>
    </row>
    <row r="481" spans="1:61" s="24" customFormat="1" x14ac:dyDescent="0.3">
      <c r="A481" s="18">
        <v>478</v>
      </c>
      <c r="B481" s="18" t="str">
        <f>'RW predict'!A480</f>
        <v>Derek Ryan</v>
      </c>
      <c r="C481" s="18" t="str">
        <f>'RW predict'!B480</f>
        <v>EDM</v>
      </c>
      <c r="D481" s="22" t="str" cm="1">
        <f t="array" ref="D481">_xlfn.SWITCH('RW predict'!C480, "C", "F", "LW","F", "RW", "F", "D", "D", "G", "G", "other")</f>
        <v>F</v>
      </c>
      <c r="E481" s="32">
        <f t="shared" si="14"/>
        <v>672</v>
      </c>
      <c r="F481" s="35">
        <f>E481/assumptions!$B$2</f>
        <v>8.1951219512195124</v>
      </c>
      <c r="G481" s="36">
        <f t="shared" si="15"/>
        <v>615</v>
      </c>
      <c r="H481" s="18">
        <f>IF(NOT(D481="G"),'RW predict'!E480,0)</f>
        <v>7</v>
      </c>
      <c r="I481" s="18">
        <f>'RW predict'!Q480</f>
        <v>31</v>
      </c>
      <c r="J481" s="18">
        <f>'RW predict'!F480</f>
        <v>10</v>
      </c>
      <c r="K481" s="18"/>
      <c r="L481" s="18"/>
      <c r="M481" s="18">
        <f>'RW predict'!P480</f>
        <v>27</v>
      </c>
      <c r="N481" s="18"/>
      <c r="O481" s="18">
        <f>'RW predict'!H480</f>
        <v>-3</v>
      </c>
      <c r="P481" s="18">
        <f>'RW predict'!I480</f>
        <v>10</v>
      </c>
      <c r="Q481" s="18">
        <f>'RW predict'!L480</f>
        <v>0</v>
      </c>
      <c r="R481" s="18">
        <f>'RW predict'!N480</f>
        <v>0</v>
      </c>
      <c r="S481" s="76">
        <f>'RW predict'!O480</f>
        <v>1</v>
      </c>
      <c r="T481" s="76">
        <f>'RW predict'!K480</f>
        <v>1</v>
      </c>
      <c r="U481" s="22">
        <f>'RW predict'!J480</f>
        <v>64</v>
      </c>
      <c r="V481" s="32">
        <f>IF(D481="G",'RW predict'!E480,0)</f>
        <v>0</v>
      </c>
      <c r="W481" s="18">
        <f>'RW predict'!R480</f>
        <v>0</v>
      </c>
      <c r="X481" s="18">
        <f>'RW predict'!T480</f>
        <v>0</v>
      </c>
      <c r="Y481" s="18">
        <f>'RW predict'!Y480</f>
        <v>0</v>
      </c>
      <c r="Z481" s="18">
        <f>'RW predict'!U480</f>
        <v>0</v>
      </c>
      <c r="AA481" s="18">
        <f>'RW predict'!W480</f>
        <v>0</v>
      </c>
      <c r="AB481" s="18"/>
      <c r="AC481" s="18"/>
      <c r="AD481" s="18"/>
      <c r="AE481" s="18"/>
      <c r="AF481" s="19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  <c r="BA481" s="18"/>
      <c r="BB481" s="18"/>
      <c r="BC481" s="18"/>
      <c r="BD481" s="18"/>
      <c r="BE481" s="18"/>
      <c r="BF481" s="18"/>
      <c r="BG481" s="18"/>
      <c r="BH481" s="18"/>
      <c r="BI481" s="18"/>
    </row>
    <row r="482" spans="1:61" s="24" customFormat="1" x14ac:dyDescent="0.3">
      <c r="A482" s="18">
        <v>479</v>
      </c>
      <c r="B482" s="18" t="str">
        <f>'RW predict'!A481</f>
        <v>Riley Stillman</v>
      </c>
      <c r="C482" s="18" t="str">
        <f>'RW predict'!B481</f>
        <v>CHI</v>
      </c>
      <c r="D482" s="22" t="str" cm="1">
        <f t="array" ref="D482">_xlfn.SWITCH('RW predict'!C481, "C", "F", "LW","F", "RW", "F", "D", "D", "G", "G", "other")</f>
        <v>D</v>
      </c>
      <c r="E482" s="32">
        <f t="shared" si="14"/>
        <v>1024</v>
      </c>
      <c r="F482" s="35">
        <f>E482/assumptions!$B$2</f>
        <v>12.487804878048781</v>
      </c>
      <c r="G482" s="36">
        <f t="shared" si="15"/>
        <v>476</v>
      </c>
      <c r="H482" s="18">
        <f>IF(NOT(D482="G"),'RW predict'!E481,0)</f>
        <v>3</v>
      </c>
      <c r="I482" s="18">
        <f>'RW predict'!Q481</f>
        <v>94</v>
      </c>
      <c r="J482" s="18">
        <f>'RW predict'!F481</f>
        <v>14</v>
      </c>
      <c r="K482" s="18"/>
      <c r="L482" s="18"/>
      <c r="M482" s="18">
        <f>'RW predict'!P481</f>
        <v>165</v>
      </c>
      <c r="N482" s="18"/>
      <c r="O482" s="18">
        <f>'RW predict'!H481</f>
        <v>-8</v>
      </c>
      <c r="P482" s="18">
        <f>'RW predict'!I481</f>
        <v>48</v>
      </c>
      <c r="Q482" s="18">
        <f>'RW predict'!L481</f>
        <v>0</v>
      </c>
      <c r="R482" s="18">
        <f>'RW predict'!N481</f>
        <v>0</v>
      </c>
      <c r="S482" s="76">
        <f>'RW predict'!O481</f>
        <v>0</v>
      </c>
      <c r="T482" s="76">
        <f>'RW predict'!K481</f>
        <v>2</v>
      </c>
      <c r="U482" s="22">
        <f>'RW predict'!J481</f>
        <v>71</v>
      </c>
      <c r="V482" s="32">
        <f>IF(D482="G",'RW predict'!E481,0)</f>
        <v>0</v>
      </c>
      <c r="W482" s="18">
        <f>'RW predict'!R481</f>
        <v>0</v>
      </c>
      <c r="X482" s="18">
        <f>'RW predict'!T481</f>
        <v>0</v>
      </c>
      <c r="Y482" s="18">
        <f>'RW predict'!Y481</f>
        <v>0</v>
      </c>
      <c r="Z482" s="18">
        <f>'RW predict'!U481</f>
        <v>0</v>
      </c>
      <c r="AA482" s="18">
        <f>'RW predict'!W481</f>
        <v>0</v>
      </c>
      <c r="AB482" s="18"/>
      <c r="AC482" s="18"/>
      <c r="AD482" s="18"/>
      <c r="AE482" s="18"/>
      <c r="AF482" s="19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  <c r="BA482" s="18"/>
      <c r="BB482" s="18"/>
      <c r="BC482" s="18"/>
      <c r="BD482" s="18"/>
      <c r="BE482" s="18"/>
      <c r="BF482" s="18"/>
      <c r="BG482" s="18"/>
      <c r="BH482" s="18"/>
      <c r="BI482" s="18"/>
    </row>
    <row r="483" spans="1:61" s="24" customFormat="1" x14ac:dyDescent="0.3">
      <c r="A483" s="18">
        <v>480</v>
      </c>
      <c r="B483" s="18" t="str">
        <f>'RW predict'!A482</f>
        <v>Sam Lafferty</v>
      </c>
      <c r="C483" s="18" t="str">
        <f>'RW predict'!B482</f>
        <v>CHI</v>
      </c>
      <c r="D483" s="22" t="str" cm="1">
        <f t="array" ref="D483">_xlfn.SWITCH('RW predict'!C482, "C", "F", "LW","F", "RW", "F", "D", "D", "G", "G", "other")</f>
        <v>F</v>
      </c>
      <c r="E483" s="32">
        <f t="shared" si="14"/>
        <v>898</v>
      </c>
      <c r="F483" s="35">
        <f>E483/assumptions!$B$2</f>
        <v>10.951219512195122</v>
      </c>
      <c r="G483" s="36">
        <f t="shared" si="15"/>
        <v>532</v>
      </c>
      <c r="H483" s="18">
        <f>IF(NOT(D483="G"),'RW predict'!E482,0)</f>
        <v>7</v>
      </c>
      <c r="I483" s="18">
        <f>'RW predict'!Q482</f>
        <v>33</v>
      </c>
      <c r="J483" s="18">
        <f>'RW predict'!F482</f>
        <v>10</v>
      </c>
      <c r="K483" s="18"/>
      <c r="L483" s="18"/>
      <c r="M483" s="18">
        <f>'RW predict'!P482</f>
        <v>183</v>
      </c>
      <c r="N483" s="18"/>
      <c r="O483" s="18">
        <f>'RW predict'!H482</f>
        <v>-13</v>
      </c>
      <c r="P483" s="18">
        <f>'RW predict'!I482</f>
        <v>44</v>
      </c>
      <c r="Q483" s="18">
        <f>'RW predict'!L482</f>
        <v>0</v>
      </c>
      <c r="R483" s="18">
        <f>'RW predict'!N482</f>
        <v>0</v>
      </c>
      <c r="S483" s="76">
        <f>'RW predict'!O482</f>
        <v>0</v>
      </c>
      <c r="T483" s="76">
        <f>'RW predict'!K482</f>
        <v>1</v>
      </c>
      <c r="U483" s="22">
        <f>'RW predict'!J482</f>
        <v>101</v>
      </c>
      <c r="V483" s="32">
        <f>IF(D483="G",'RW predict'!E482,0)</f>
        <v>0</v>
      </c>
      <c r="W483" s="18">
        <f>'RW predict'!R482</f>
        <v>0</v>
      </c>
      <c r="X483" s="18">
        <f>'RW predict'!T482</f>
        <v>0</v>
      </c>
      <c r="Y483" s="18">
        <f>'RW predict'!Y482</f>
        <v>0</v>
      </c>
      <c r="Z483" s="18">
        <f>'RW predict'!U482</f>
        <v>0</v>
      </c>
      <c r="AA483" s="18">
        <f>'RW predict'!W482</f>
        <v>0</v>
      </c>
      <c r="AB483" s="18"/>
      <c r="AC483" s="18"/>
      <c r="AD483" s="18"/>
      <c r="AE483" s="18"/>
      <c r="AF483" s="19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  <c r="BA483" s="18"/>
      <c r="BB483" s="18"/>
      <c r="BC483" s="18"/>
      <c r="BD483" s="18"/>
      <c r="BE483" s="18"/>
      <c r="BF483" s="18"/>
      <c r="BG483" s="18"/>
      <c r="BH483" s="18"/>
      <c r="BI483" s="18"/>
    </row>
    <row r="484" spans="1:61" s="24" customFormat="1" x14ac:dyDescent="0.3">
      <c r="A484" s="18">
        <v>481</v>
      </c>
      <c r="B484" s="18" t="str">
        <f>'RW predict'!A483</f>
        <v>Morgan Barron</v>
      </c>
      <c r="C484" s="18" t="str">
        <f>'RW predict'!B483</f>
        <v>WPG</v>
      </c>
      <c r="D484" s="22" t="str" cm="1">
        <f t="array" ref="D484">_xlfn.SWITCH('RW predict'!C483, "C", "F", "LW","F", "RW", "F", "D", "D", "G", "G", "other")</f>
        <v>F</v>
      </c>
      <c r="E484" s="32">
        <f t="shared" si="14"/>
        <v>723</v>
      </c>
      <c r="F484" s="35">
        <f>E484/assumptions!$B$2</f>
        <v>8.8170731707317067</v>
      </c>
      <c r="G484" s="36">
        <f t="shared" si="15"/>
        <v>596</v>
      </c>
      <c r="H484" s="18">
        <f>IF(NOT(D484="G"),'RW predict'!E483,0)</f>
        <v>5</v>
      </c>
      <c r="I484" s="18">
        <f>'RW predict'!Q483</f>
        <v>22</v>
      </c>
      <c r="J484" s="18">
        <f>'RW predict'!F483</f>
        <v>12</v>
      </c>
      <c r="K484" s="18"/>
      <c r="L484" s="18"/>
      <c r="M484" s="18">
        <f>'RW predict'!P483</f>
        <v>138</v>
      </c>
      <c r="N484" s="18"/>
      <c r="O484" s="18">
        <f>'RW predict'!H483</f>
        <v>-7</v>
      </c>
      <c r="P484" s="18">
        <f>'RW predict'!I483</f>
        <v>18</v>
      </c>
      <c r="Q484" s="18">
        <f>'RW predict'!L483</f>
        <v>0</v>
      </c>
      <c r="R484" s="18">
        <f>'RW predict'!N483</f>
        <v>0</v>
      </c>
      <c r="S484" s="76">
        <f>'RW predict'!O483</f>
        <v>0</v>
      </c>
      <c r="T484" s="76">
        <f>'RW predict'!K483</f>
        <v>0</v>
      </c>
      <c r="U484" s="22">
        <f>'RW predict'!J483</f>
        <v>66</v>
      </c>
      <c r="V484" s="32">
        <f>IF(D484="G",'RW predict'!E483,0)</f>
        <v>0</v>
      </c>
      <c r="W484" s="18">
        <f>'RW predict'!R483</f>
        <v>0</v>
      </c>
      <c r="X484" s="18">
        <f>'RW predict'!T483</f>
        <v>0</v>
      </c>
      <c r="Y484" s="18">
        <f>'RW predict'!Y483</f>
        <v>0</v>
      </c>
      <c r="Z484" s="18">
        <f>'RW predict'!U483</f>
        <v>0</v>
      </c>
      <c r="AA484" s="18">
        <f>'RW predict'!W483</f>
        <v>0</v>
      </c>
      <c r="AB484" s="18"/>
      <c r="AC484" s="18"/>
      <c r="AD484" s="18"/>
      <c r="AE484" s="18"/>
      <c r="AF484" s="19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  <c r="BA484" s="18"/>
      <c r="BB484" s="18"/>
      <c r="BC484" s="18"/>
      <c r="BD484" s="18"/>
      <c r="BE484" s="18"/>
      <c r="BF484" s="18"/>
      <c r="BG484" s="18"/>
      <c r="BH484" s="18"/>
      <c r="BI484" s="18"/>
    </row>
    <row r="485" spans="1:61" s="24" customFormat="1" x14ac:dyDescent="0.3">
      <c r="A485" s="18">
        <v>482</v>
      </c>
      <c r="B485" s="18" t="str">
        <f>'RW predict'!A484</f>
        <v>Brandon Duhaime</v>
      </c>
      <c r="C485" s="18" t="str">
        <f>'RW predict'!B484</f>
        <v>MIN</v>
      </c>
      <c r="D485" s="22" t="str" cm="1">
        <f t="array" ref="D485">_xlfn.SWITCH('RW predict'!C484, "C", "F", "LW","F", "RW", "F", "D", "D", "G", "G", "other")</f>
        <v>F</v>
      </c>
      <c r="E485" s="32">
        <f t="shared" si="14"/>
        <v>1209</v>
      </c>
      <c r="F485" s="35">
        <f>E485/assumptions!$B$2</f>
        <v>14.74390243902439</v>
      </c>
      <c r="G485" s="36">
        <f t="shared" si="15"/>
        <v>398</v>
      </c>
      <c r="H485" s="18">
        <f>IF(NOT(D485="G"),'RW predict'!E484,0)</f>
        <v>6</v>
      </c>
      <c r="I485" s="18">
        <f>'RW predict'!Q484</f>
        <v>15</v>
      </c>
      <c r="J485" s="18">
        <f>'RW predict'!F484</f>
        <v>11</v>
      </c>
      <c r="K485" s="18"/>
      <c r="L485" s="18"/>
      <c r="M485" s="18">
        <f>'RW predict'!P484</f>
        <v>192</v>
      </c>
      <c r="N485" s="18"/>
      <c r="O485" s="18">
        <f>'RW predict'!H484</f>
        <v>-2</v>
      </c>
      <c r="P485" s="18">
        <f>'RW predict'!I484</f>
        <v>110</v>
      </c>
      <c r="Q485" s="18">
        <f>'RW predict'!L484</f>
        <v>0</v>
      </c>
      <c r="R485" s="18">
        <f>'RW predict'!N484</f>
        <v>0</v>
      </c>
      <c r="S485" s="76">
        <f>'RW predict'!O484</f>
        <v>1</v>
      </c>
      <c r="T485" s="76">
        <f>'RW predict'!K484</f>
        <v>2</v>
      </c>
      <c r="U485" s="22">
        <f>'RW predict'!J484</f>
        <v>101</v>
      </c>
      <c r="V485" s="32">
        <f>IF(D485="G",'RW predict'!E484,0)</f>
        <v>0</v>
      </c>
      <c r="W485" s="18">
        <f>'RW predict'!R484</f>
        <v>0</v>
      </c>
      <c r="X485" s="18">
        <f>'RW predict'!T484</f>
        <v>0</v>
      </c>
      <c r="Y485" s="18">
        <f>'RW predict'!Y484</f>
        <v>0</v>
      </c>
      <c r="Z485" s="18">
        <f>'RW predict'!U484</f>
        <v>0</v>
      </c>
      <c r="AA485" s="18">
        <f>'RW predict'!W484</f>
        <v>0</v>
      </c>
      <c r="AB485" s="18"/>
      <c r="AC485" s="18"/>
      <c r="AD485" s="18"/>
      <c r="AE485" s="18"/>
      <c r="AF485" s="19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  <c r="BA485" s="18"/>
      <c r="BB485" s="18"/>
      <c r="BC485" s="18"/>
      <c r="BD485" s="18"/>
      <c r="BE485" s="18"/>
      <c r="BF485" s="18"/>
      <c r="BG485" s="18"/>
      <c r="BH485" s="18"/>
      <c r="BI485" s="18"/>
    </row>
    <row r="486" spans="1:61" s="24" customFormat="1" x14ac:dyDescent="0.3">
      <c r="A486" s="18">
        <v>483</v>
      </c>
      <c r="B486" s="18" t="str">
        <f>'RW predict'!A485</f>
        <v>Ryan Merkley</v>
      </c>
      <c r="C486" s="18" t="str">
        <f>'RW predict'!B485</f>
        <v>SJ</v>
      </c>
      <c r="D486" s="22" t="str" cm="1">
        <f t="array" ref="D486">_xlfn.SWITCH('RW predict'!C485, "C", "F", "LW","F", "RW", "F", "D", "D", "G", "G", "other")</f>
        <v>D</v>
      </c>
      <c r="E486" s="32">
        <f t="shared" si="14"/>
        <v>562</v>
      </c>
      <c r="F486" s="35">
        <f>E486/assumptions!$B$2</f>
        <v>6.8536585365853657</v>
      </c>
      <c r="G486" s="36">
        <f t="shared" si="15"/>
        <v>651</v>
      </c>
      <c r="H486" s="18">
        <f>IF(NOT(D486="G"),'RW predict'!E485,0)</f>
        <v>3</v>
      </c>
      <c r="I486" s="18">
        <f>'RW predict'!Q485</f>
        <v>42</v>
      </c>
      <c r="J486" s="18">
        <f>'RW predict'!F485</f>
        <v>13</v>
      </c>
      <c r="K486" s="18"/>
      <c r="L486" s="18"/>
      <c r="M486" s="18">
        <f>'RW predict'!P485</f>
        <v>24</v>
      </c>
      <c r="N486" s="18"/>
      <c r="O486" s="18">
        <f>'RW predict'!H485</f>
        <v>-14</v>
      </c>
      <c r="P486" s="18">
        <f>'RW predict'!I485</f>
        <v>14</v>
      </c>
      <c r="Q486" s="18">
        <f>'RW predict'!L485</f>
        <v>0</v>
      </c>
      <c r="R486" s="18">
        <f>'RW predict'!N485</f>
        <v>0</v>
      </c>
      <c r="S486" s="76">
        <f>'RW predict'!O485</f>
        <v>0</v>
      </c>
      <c r="T486" s="76">
        <f>'RW predict'!K485</f>
        <v>0</v>
      </c>
      <c r="U486" s="22">
        <f>'RW predict'!J485</f>
        <v>76</v>
      </c>
      <c r="V486" s="32">
        <f>IF(D486="G",'RW predict'!E485,0)</f>
        <v>0</v>
      </c>
      <c r="W486" s="18">
        <f>'RW predict'!R485</f>
        <v>0</v>
      </c>
      <c r="X486" s="18">
        <f>'RW predict'!T485</f>
        <v>0</v>
      </c>
      <c r="Y486" s="18">
        <f>'RW predict'!Y485</f>
        <v>0</v>
      </c>
      <c r="Z486" s="18">
        <f>'RW predict'!U485</f>
        <v>0</v>
      </c>
      <c r="AA486" s="18">
        <f>'RW predict'!W485</f>
        <v>0</v>
      </c>
      <c r="AB486" s="18"/>
      <c r="AC486" s="18"/>
      <c r="AD486" s="18"/>
      <c r="AE486" s="18"/>
      <c r="AF486" s="19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  <c r="BA486" s="18"/>
      <c r="BB486" s="18"/>
      <c r="BC486" s="18"/>
      <c r="BD486" s="18"/>
      <c r="BE486" s="18"/>
      <c r="BF486" s="18"/>
      <c r="BG486" s="18"/>
      <c r="BH486" s="18"/>
      <c r="BI486" s="18"/>
    </row>
    <row r="487" spans="1:61" s="24" customFormat="1" x14ac:dyDescent="0.3">
      <c r="A487" s="18">
        <v>484</v>
      </c>
      <c r="B487" s="18" t="str">
        <f>'RW predict'!A486</f>
        <v>Jan Rutta</v>
      </c>
      <c r="C487" s="18" t="str">
        <f>'RW predict'!B486</f>
        <v>PIT</v>
      </c>
      <c r="D487" s="22" t="str" cm="1">
        <f t="array" ref="D487">_xlfn.SWITCH('RW predict'!C486, "C", "F", "LW","F", "RW", "F", "D", "D", "G", "G", "other")</f>
        <v>D</v>
      </c>
      <c r="E487" s="32">
        <f t="shared" si="14"/>
        <v>1114</v>
      </c>
      <c r="F487" s="35">
        <f>E487/assumptions!$B$2</f>
        <v>13.585365853658537</v>
      </c>
      <c r="G487" s="36">
        <f t="shared" si="15"/>
        <v>444</v>
      </c>
      <c r="H487" s="18">
        <f>IF(NOT(D487="G"),'RW predict'!E486,0)</f>
        <v>2</v>
      </c>
      <c r="I487" s="18">
        <f>'RW predict'!Q486</f>
        <v>62</v>
      </c>
      <c r="J487" s="18">
        <f>'RW predict'!F486</f>
        <v>14</v>
      </c>
      <c r="K487" s="18"/>
      <c r="L487" s="18"/>
      <c r="M487" s="18">
        <f>'RW predict'!P486</f>
        <v>79</v>
      </c>
      <c r="N487" s="18"/>
      <c r="O487" s="18">
        <f>'RW predict'!H486</f>
        <v>23</v>
      </c>
      <c r="P487" s="18">
        <f>'RW predict'!I486</f>
        <v>41</v>
      </c>
      <c r="Q487" s="18">
        <f>'RW predict'!L486</f>
        <v>0</v>
      </c>
      <c r="R487" s="18">
        <f>'RW predict'!N486</f>
        <v>0</v>
      </c>
      <c r="S487" s="76">
        <f>'RW predict'!O486</f>
        <v>0</v>
      </c>
      <c r="T487" s="76">
        <f>'RW predict'!K486</f>
        <v>0</v>
      </c>
      <c r="U487" s="22">
        <f>'RW predict'!J486</f>
        <v>79</v>
      </c>
      <c r="V487" s="32">
        <f>IF(D487="G",'RW predict'!E486,0)</f>
        <v>0</v>
      </c>
      <c r="W487" s="18">
        <f>'RW predict'!R486</f>
        <v>0</v>
      </c>
      <c r="X487" s="18">
        <f>'RW predict'!T486</f>
        <v>0</v>
      </c>
      <c r="Y487" s="18">
        <f>'RW predict'!Y486</f>
        <v>0</v>
      </c>
      <c r="Z487" s="18">
        <f>'RW predict'!U486</f>
        <v>0</v>
      </c>
      <c r="AA487" s="18">
        <f>'RW predict'!W486</f>
        <v>0</v>
      </c>
      <c r="AB487" s="18"/>
      <c r="AC487" s="18"/>
      <c r="AD487" s="18"/>
      <c r="AE487" s="18"/>
      <c r="AF487" s="19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  <c r="BA487" s="18"/>
      <c r="BB487" s="18"/>
      <c r="BC487" s="18"/>
      <c r="BD487" s="18"/>
      <c r="BE487" s="18"/>
      <c r="BF487" s="18"/>
      <c r="BG487" s="18"/>
      <c r="BH487" s="18"/>
      <c r="BI487" s="18"/>
    </row>
    <row r="488" spans="1:61" s="24" customFormat="1" x14ac:dyDescent="0.3">
      <c r="A488" s="18">
        <v>485</v>
      </c>
      <c r="B488" s="18" t="str">
        <f>'RW predict'!A487</f>
        <v>Ryan Lomberg</v>
      </c>
      <c r="C488" s="18" t="str">
        <f>'RW predict'!B487</f>
        <v>FLA</v>
      </c>
      <c r="D488" s="22" t="str" cm="1">
        <f t="array" ref="D488">_xlfn.SWITCH('RW predict'!C487, "C", "F", "LW","F", "RW", "F", "D", "D", "G", "G", "other")</f>
        <v>F</v>
      </c>
      <c r="E488" s="32">
        <f t="shared" si="14"/>
        <v>1121</v>
      </c>
      <c r="F488" s="35">
        <f>E488/assumptions!$B$2</f>
        <v>13.670731707317072</v>
      </c>
      <c r="G488" s="36">
        <f t="shared" si="15"/>
        <v>440</v>
      </c>
      <c r="H488" s="18">
        <f>IF(NOT(D488="G"),'RW predict'!E487,0)</f>
        <v>8</v>
      </c>
      <c r="I488" s="18">
        <f>'RW predict'!Q487</f>
        <v>9</v>
      </c>
      <c r="J488" s="18">
        <f>'RW predict'!F487</f>
        <v>8</v>
      </c>
      <c r="K488" s="18"/>
      <c r="L488" s="18"/>
      <c r="M488" s="18">
        <f>'RW predict'!P487</f>
        <v>134</v>
      </c>
      <c r="N488" s="18"/>
      <c r="O488" s="18">
        <f>'RW predict'!H487</f>
        <v>5</v>
      </c>
      <c r="P488" s="18">
        <f>'RW predict'!I487</f>
        <v>101</v>
      </c>
      <c r="Q488" s="18">
        <f>'RW predict'!L487</f>
        <v>0</v>
      </c>
      <c r="R488" s="18">
        <f>'RW predict'!N487</f>
        <v>0</v>
      </c>
      <c r="S488" s="76">
        <f>'RW predict'!O487</f>
        <v>0</v>
      </c>
      <c r="T488" s="76">
        <f>'RW predict'!K487</f>
        <v>1</v>
      </c>
      <c r="U488" s="22">
        <f>'RW predict'!J487</f>
        <v>98</v>
      </c>
      <c r="V488" s="32">
        <f>IF(D488="G",'RW predict'!E487,0)</f>
        <v>0</v>
      </c>
      <c r="W488" s="18">
        <f>'RW predict'!R487</f>
        <v>0</v>
      </c>
      <c r="X488" s="18">
        <f>'RW predict'!T487</f>
        <v>0</v>
      </c>
      <c r="Y488" s="18">
        <f>'RW predict'!Y487</f>
        <v>0</v>
      </c>
      <c r="Z488" s="18">
        <f>'RW predict'!U487</f>
        <v>0</v>
      </c>
      <c r="AA488" s="18">
        <f>'RW predict'!W487</f>
        <v>0</v>
      </c>
      <c r="AB488" s="18"/>
      <c r="AC488" s="18"/>
      <c r="AD488" s="18"/>
      <c r="AE488" s="18"/>
      <c r="AF488" s="19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8"/>
      <c r="BC488" s="18"/>
      <c r="BD488" s="18"/>
      <c r="BE488" s="18"/>
      <c r="BF488" s="18"/>
      <c r="BG488" s="18"/>
      <c r="BH488" s="18"/>
      <c r="BI488" s="18"/>
    </row>
    <row r="489" spans="1:61" s="24" customFormat="1" x14ac:dyDescent="0.3">
      <c r="A489" s="18">
        <v>486</v>
      </c>
      <c r="B489" s="18" t="str">
        <f>'RW predict'!A488</f>
        <v>Andrew Peeke</v>
      </c>
      <c r="C489" s="18" t="str">
        <f>'RW predict'!B488</f>
        <v>CLS</v>
      </c>
      <c r="D489" s="22" t="str" cm="1">
        <f t="array" ref="D489">_xlfn.SWITCH('RW predict'!C488, "C", "F", "LW","F", "RW", "F", "D", "D", "G", "G", "other")</f>
        <v>D</v>
      </c>
      <c r="E489" s="32">
        <f t="shared" si="14"/>
        <v>1111</v>
      </c>
      <c r="F489" s="35">
        <f>E489/assumptions!$B$2</f>
        <v>13.548780487804878</v>
      </c>
      <c r="G489" s="36">
        <f t="shared" si="15"/>
        <v>447</v>
      </c>
      <c r="H489" s="18">
        <f>IF(NOT(D489="G"),'RW predict'!E488,0)</f>
        <v>2</v>
      </c>
      <c r="I489" s="18">
        <f>'RW predict'!Q488</f>
        <v>157</v>
      </c>
      <c r="J489" s="18">
        <f>'RW predict'!F488</f>
        <v>14</v>
      </c>
      <c r="K489" s="18"/>
      <c r="L489" s="18"/>
      <c r="M489" s="18">
        <f>'RW predict'!P488</f>
        <v>181</v>
      </c>
      <c r="N489" s="18"/>
      <c r="O489" s="18">
        <f>'RW predict'!H488</f>
        <v>-8</v>
      </c>
      <c r="P489" s="18">
        <f>'RW predict'!I488</f>
        <v>52</v>
      </c>
      <c r="Q489" s="18">
        <f>'RW predict'!L488</f>
        <v>0</v>
      </c>
      <c r="R489" s="18">
        <f>'RW predict'!N488</f>
        <v>0</v>
      </c>
      <c r="S489" s="76">
        <f>'RW predict'!O488</f>
        <v>0</v>
      </c>
      <c r="T489" s="76">
        <f>'RW predict'!K488</f>
        <v>0</v>
      </c>
      <c r="U489" s="22">
        <f>'RW predict'!J488</f>
        <v>70</v>
      </c>
      <c r="V489" s="32">
        <f>IF(D489="G",'RW predict'!E488,0)</f>
        <v>0</v>
      </c>
      <c r="W489" s="18">
        <f>'RW predict'!R488</f>
        <v>0</v>
      </c>
      <c r="X489" s="18">
        <f>'RW predict'!T488</f>
        <v>0</v>
      </c>
      <c r="Y489" s="18">
        <f>'RW predict'!Y488</f>
        <v>0</v>
      </c>
      <c r="Z489" s="18">
        <f>'RW predict'!U488</f>
        <v>0</v>
      </c>
      <c r="AA489" s="18">
        <f>'RW predict'!W488</f>
        <v>0</v>
      </c>
      <c r="AB489" s="18"/>
      <c r="AC489" s="18"/>
      <c r="AD489" s="18"/>
      <c r="AE489" s="18"/>
      <c r="AF489" s="19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  <c r="BB489" s="18"/>
      <c r="BC489" s="18"/>
      <c r="BD489" s="18"/>
      <c r="BE489" s="18"/>
      <c r="BF489" s="18"/>
      <c r="BG489" s="18"/>
      <c r="BH489" s="18"/>
      <c r="BI489" s="18"/>
    </row>
    <row r="490" spans="1:61" s="24" customFormat="1" x14ac:dyDescent="0.3">
      <c r="A490" s="18">
        <v>487</v>
      </c>
      <c r="B490" s="18" t="str">
        <f>'RW predict'!A489</f>
        <v>Drake Caggiula</v>
      </c>
      <c r="C490" s="18" t="str">
        <f>'RW predict'!B489</f>
        <v>PIT</v>
      </c>
      <c r="D490" s="22" t="str" cm="1">
        <f t="array" ref="D490">_xlfn.SWITCH('RW predict'!C489, "C", "F", "LW","F", "RW", "F", "D", "D", "G", "G", "other")</f>
        <v>F</v>
      </c>
      <c r="E490" s="32">
        <f t="shared" si="14"/>
        <v>639</v>
      </c>
      <c r="F490" s="35">
        <f>E490/assumptions!$B$2</f>
        <v>7.7926829268292686</v>
      </c>
      <c r="G490" s="36">
        <f t="shared" si="15"/>
        <v>621</v>
      </c>
      <c r="H490" s="18">
        <f>IF(NOT(D490="G"),'RW predict'!E489,0)</f>
        <v>7</v>
      </c>
      <c r="I490" s="18">
        <f>'RW predict'!Q489</f>
        <v>16</v>
      </c>
      <c r="J490" s="18">
        <f>'RW predict'!F489</f>
        <v>9</v>
      </c>
      <c r="K490" s="18"/>
      <c r="L490" s="18"/>
      <c r="M490" s="18">
        <f>'RW predict'!P489</f>
        <v>63</v>
      </c>
      <c r="N490" s="18"/>
      <c r="O490" s="18">
        <f>'RW predict'!H489</f>
        <v>-7</v>
      </c>
      <c r="P490" s="18">
        <f>'RW predict'!I489</f>
        <v>18</v>
      </c>
      <c r="Q490" s="18">
        <f>'RW predict'!L489</f>
        <v>0</v>
      </c>
      <c r="R490" s="18">
        <f>'RW predict'!N489</f>
        <v>0</v>
      </c>
      <c r="S490" s="76">
        <f>'RW predict'!O489</f>
        <v>0</v>
      </c>
      <c r="T490" s="76">
        <f>'RW predict'!K489</f>
        <v>2</v>
      </c>
      <c r="U490" s="22">
        <f>'RW predict'!J489</f>
        <v>60</v>
      </c>
      <c r="V490" s="32">
        <f>IF(D490="G",'RW predict'!E489,0)</f>
        <v>0</v>
      </c>
      <c r="W490" s="18">
        <f>'RW predict'!R489</f>
        <v>0</v>
      </c>
      <c r="X490" s="18">
        <f>'RW predict'!T489</f>
        <v>0</v>
      </c>
      <c r="Y490" s="18">
        <f>'RW predict'!Y489</f>
        <v>0</v>
      </c>
      <c r="Z490" s="18">
        <f>'RW predict'!U489</f>
        <v>0</v>
      </c>
      <c r="AA490" s="18">
        <f>'RW predict'!W489</f>
        <v>0</v>
      </c>
      <c r="AB490" s="18"/>
      <c r="AC490" s="18"/>
      <c r="AD490" s="18"/>
      <c r="AE490" s="18"/>
      <c r="AF490" s="19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  <c r="BA490" s="18"/>
      <c r="BB490" s="18"/>
      <c r="BC490" s="18"/>
      <c r="BD490" s="18"/>
      <c r="BE490" s="18"/>
      <c r="BF490" s="18"/>
      <c r="BG490" s="18"/>
      <c r="BH490" s="18"/>
      <c r="BI490" s="18"/>
    </row>
    <row r="491" spans="1:61" s="24" customFormat="1" x14ac:dyDescent="0.3">
      <c r="A491" s="18">
        <v>488</v>
      </c>
      <c r="B491" s="18" t="str">
        <f>'RW predict'!A490</f>
        <v>Jonas Siegenthaler</v>
      </c>
      <c r="C491" s="18" t="str">
        <f>'RW predict'!B490</f>
        <v>NJ</v>
      </c>
      <c r="D491" s="22" t="str" cm="1">
        <f t="array" ref="D491">_xlfn.SWITCH('RW predict'!C490, "C", "F", "LW","F", "RW", "F", "D", "D", "G", "G", "other")</f>
        <v>D</v>
      </c>
      <c r="E491" s="32">
        <f t="shared" si="14"/>
        <v>1002</v>
      </c>
      <c r="F491" s="35">
        <f>E491/assumptions!$B$2</f>
        <v>12.219512195121951</v>
      </c>
      <c r="G491" s="36">
        <f t="shared" si="15"/>
        <v>487</v>
      </c>
      <c r="H491" s="18">
        <f>IF(NOT(D491="G"),'RW predict'!E490,0)</f>
        <v>1</v>
      </c>
      <c r="I491" s="18">
        <f>'RW predict'!Q490</f>
        <v>115</v>
      </c>
      <c r="J491" s="18">
        <f>'RW predict'!F490</f>
        <v>15</v>
      </c>
      <c r="K491" s="18"/>
      <c r="L491" s="18"/>
      <c r="M491" s="18">
        <f>'RW predict'!P490</f>
        <v>100</v>
      </c>
      <c r="N491" s="18"/>
      <c r="O491" s="18">
        <f>'RW predict'!H490</f>
        <v>-6</v>
      </c>
      <c r="P491" s="18">
        <f>'RW predict'!I490</f>
        <v>44</v>
      </c>
      <c r="Q491" s="18">
        <f>'RW predict'!L490</f>
        <v>0</v>
      </c>
      <c r="R491" s="18">
        <f>'RW predict'!N490</f>
        <v>0</v>
      </c>
      <c r="S491" s="76">
        <f>'RW predict'!O490</f>
        <v>1</v>
      </c>
      <c r="T491" s="76">
        <f>'RW predict'!K490</f>
        <v>0</v>
      </c>
      <c r="U491" s="22">
        <f>'RW predict'!J490</f>
        <v>95</v>
      </c>
      <c r="V491" s="32">
        <f>IF(D491="G",'RW predict'!E490,0)</f>
        <v>0</v>
      </c>
      <c r="W491" s="18">
        <f>'RW predict'!R490</f>
        <v>0</v>
      </c>
      <c r="X491" s="18">
        <f>'RW predict'!T490</f>
        <v>0</v>
      </c>
      <c r="Y491" s="18">
        <f>'RW predict'!Y490</f>
        <v>0</v>
      </c>
      <c r="Z491" s="18">
        <f>'RW predict'!U490</f>
        <v>0</v>
      </c>
      <c r="AA491" s="18">
        <f>'RW predict'!W490</f>
        <v>0</v>
      </c>
      <c r="AB491" s="18"/>
      <c r="AC491" s="18"/>
      <c r="AD491" s="18"/>
      <c r="AE491" s="18"/>
      <c r="AF491" s="19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  <c r="BA491" s="18"/>
      <c r="BB491" s="18"/>
      <c r="BC491" s="18"/>
      <c r="BD491" s="18"/>
      <c r="BE491" s="18"/>
      <c r="BF491" s="18"/>
      <c r="BG491" s="18"/>
      <c r="BH491" s="18"/>
      <c r="BI491" s="18"/>
    </row>
    <row r="492" spans="1:61" s="24" customFormat="1" x14ac:dyDescent="0.3">
      <c r="A492" s="18">
        <v>489</v>
      </c>
      <c r="B492" s="18" t="str">
        <f>'RW predict'!A491</f>
        <v>Nathan Bastian</v>
      </c>
      <c r="C492" s="18" t="str">
        <f>'RW predict'!B491</f>
        <v>NJ</v>
      </c>
      <c r="D492" s="22" t="str" cm="1">
        <f t="array" ref="D492">_xlfn.SWITCH('RW predict'!C491, "C", "F", "LW","F", "RW", "F", "D", "D", "G", "G", "other")</f>
        <v>F</v>
      </c>
      <c r="E492" s="32">
        <f t="shared" si="14"/>
        <v>975</v>
      </c>
      <c r="F492" s="35">
        <f>E492/assumptions!$B$2</f>
        <v>11.890243902439025</v>
      </c>
      <c r="G492" s="36">
        <f t="shared" si="15"/>
        <v>497</v>
      </c>
      <c r="H492" s="18">
        <f>IF(NOT(D492="G"),'RW predict'!E491,0)</f>
        <v>9</v>
      </c>
      <c r="I492" s="18">
        <f>'RW predict'!Q491</f>
        <v>37</v>
      </c>
      <c r="J492" s="18">
        <f>'RW predict'!F491</f>
        <v>7</v>
      </c>
      <c r="K492" s="18"/>
      <c r="L492" s="18"/>
      <c r="M492" s="18">
        <f>'RW predict'!P491</f>
        <v>209</v>
      </c>
      <c r="N492" s="18"/>
      <c r="O492" s="18">
        <f>'RW predict'!H491</f>
        <v>-10</v>
      </c>
      <c r="P492" s="18">
        <f>'RW predict'!I491</f>
        <v>60</v>
      </c>
      <c r="Q492" s="18">
        <f>'RW predict'!L491</f>
        <v>2</v>
      </c>
      <c r="R492" s="18">
        <f>'RW predict'!N491</f>
        <v>0</v>
      </c>
      <c r="S492" s="76">
        <f>'RW predict'!O491</f>
        <v>0</v>
      </c>
      <c r="T492" s="76">
        <f>'RW predict'!K491</f>
        <v>0</v>
      </c>
      <c r="U492" s="22">
        <f>'RW predict'!J491</f>
        <v>96</v>
      </c>
      <c r="V492" s="32">
        <f>IF(D492="G",'RW predict'!E491,0)</f>
        <v>0</v>
      </c>
      <c r="W492" s="18">
        <f>'RW predict'!R491</f>
        <v>0</v>
      </c>
      <c r="X492" s="18">
        <f>'RW predict'!T491</f>
        <v>0</v>
      </c>
      <c r="Y492" s="18">
        <f>'RW predict'!Y491</f>
        <v>0</v>
      </c>
      <c r="Z492" s="18">
        <f>'RW predict'!U491</f>
        <v>0</v>
      </c>
      <c r="AA492" s="18">
        <f>'RW predict'!W491</f>
        <v>0</v>
      </c>
      <c r="AB492" s="18"/>
      <c r="AC492" s="18"/>
      <c r="AD492" s="18"/>
      <c r="AE492" s="18"/>
      <c r="AF492" s="19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  <c r="BA492" s="18"/>
      <c r="BB492" s="18"/>
      <c r="BC492" s="18"/>
      <c r="BD492" s="18"/>
      <c r="BE492" s="18"/>
      <c r="BF492" s="18"/>
      <c r="BG492" s="18"/>
      <c r="BH492" s="18"/>
      <c r="BI492" s="18"/>
    </row>
    <row r="493" spans="1:61" s="24" customFormat="1" x14ac:dyDescent="0.3">
      <c r="A493" s="18">
        <v>490</v>
      </c>
      <c r="B493" s="18" t="str">
        <f>'RW predict'!A492</f>
        <v>Tomas Nosek</v>
      </c>
      <c r="C493" s="18" t="str">
        <f>'RW predict'!B492</f>
        <v>BOS</v>
      </c>
      <c r="D493" s="22" t="str" cm="1">
        <f t="array" ref="D493">_xlfn.SWITCH('RW predict'!C492, "C", "F", "LW","F", "RW", "F", "D", "D", "G", "G", "other")</f>
        <v>F</v>
      </c>
      <c r="E493" s="32">
        <f t="shared" si="14"/>
        <v>778</v>
      </c>
      <c r="F493" s="35">
        <f>E493/assumptions!$B$2</f>
        <v>9.4878048780487809</v>
      </c>
      <c r="G493" s="36">
        <f t="shared" si="15"/>
        <v>579</v>
      </c>
      <c r="H493" s="18">
        <f>IF(NOT(D493="G"),'RW predict'!E492,0)</f>
        <v>4</v>
      </c>
      <c r="I493" s="18">
        <f>'RW predict'!Q492</f>
        <v>33</v>
      </c>
      <c r="J493" s="18">
        <f>'RW predict'!F492</f>
        <v>12</v>
      </c>
      <c r="K493" s="18"/>
      <c r="L493" s="18"/>
      <c r="M493" s="18">
        <f>'RW predict'!P492</f>
        <v>86</v>
      </c>
      <c r="N493" s="18"/>
      <c r="O493" s="18">
        <f>'RW predict'!H492</f>
        <v>-7</v>
      </c>
      <c r="P493" s="18">
        <f>'RW predict'!I492</f>
        <v>30</v>
      </c>
      <c r="Q493" s="18">
        <f>'RW predict'!L492</f>
        <v>0</v>
      </c>
      <c r="R493" s="18">
        <f>'RW predict'!N492</f>
        <v>0</v>
      </c>
      <c r="S493" s="76">
        <f>'RW predict'!O492</f>
        <v>1</v>
      </c>
      <c r="T493" s="76">
        <f>'RW predict'!K492</f>
        <v>1</v>
      </c>
      <c r="U493" s="22">
        <f>'RW predict'!J492</f>
        <v>88</v>
      </c>
      <c r="V493" s="32">
        <f>IF(D493="G",'RW predict'!E492,0)</f>
        <v>0</v>
      </c>
      <c r="W493" s="18">
        <f>'RW predict'!R492</f>
        <v>0</v>
      </c>
      <c r="X493" s="18">
        <f>'RW predict'!T492</f>
        <v>0</v>
      </c>
      <c r="Y493" s="18">
        <f>'RW predict'!Y492</f>
        <v>0</v>
      </c>
      <c r="Z493" s="18">
        <f>'RW predict'!U492</f>
        <v>0</v>
      </c>
      <c r="AA493" s="18">
        <f>'RW predict'!W492</f>
        <v>0</v>
      </c>
      <c r="AB493" s="18"/>
      <c r="AC493" s="18"/>
      <c r="AD493" s="18"/>
      <c r="AE493" s="18"/>
      <c r="AF493" s="19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  <c r="BA493" s="18"/>
      <c r="BB493" s="18"/>
      <c r="BC493" s="18"/>
      <c r="BD493" s="18"/>
      <c r="BE493" s="18"/>
      <c r="BF493" s="18"/>
      <c r="BG493" s="18"/>
      <c r="BH493" s="18"/>
      <c r="BI493" s="18"/>
    </row>
    <row r="494" spans="1:61" s="24" customFormat="1" x14ac:dyDescent="0.3">
      <c r="A494" s="18">
        <v>491</v>
      </c>
      <c r="B494" s="18" t="str">
        <f>'RW predict'!A493</f>
        <v>Brandon Carlo</v>
      </c>
      <c r="C494" s="18" t="str">
        <f>'RW predict'!B493</f>
        <v>BOS</v>
      </c>
      <c r="D494" s="22" t="str" cm="1">
        <f t="array" ref="D494">_xlfn.SWITCH('RW predict'!C493, "C", "F", "LW","F", "RW", "F", "D", "D", "G", "G", "other")</f>
        <v>D</v>
      </c>
      <c r="E494" s="32">
        <f t="shared" si="14"/>
        <v>1158</v>
      </c>
      <c r="F494" s="35">
        <f>E494/assumptions!$B$2</f>
        <v>14.121951219512194</v>
      </c>
      <c r="G494" s="36">
        <f t="shared" si="15"/>
        <v>425</v>
      </c>
      <c r="H494" s="18">
        <f>IF(NOT(D494="G"),'RW predict'!E493,0)</f>
        <v>4</v>
      </c>
      <c r="I494" s="18">
        <f>'RW predict'!Q493</f>
        <v>102</v>
      </c>
      <c r="J494" s="18">
        <f>'RW predict'!F493</f>
        <v>12</v>
      </c>
      <c r="K494" s="18"/>
      <c r="L494" s="18"/>
      <c r="M494" s="18">
        <f>'RW predict'!P493</f>
        <v>139</v>
      </c>
      <c r="N494" s="18"/>
      <c r="O494" s="18">
        <f>'RW predict'!H493</f>
        <v>4</v>
      </c>
      <c r="P494" s="18">
        <f>'RW predict'!I493</f>
        <v>31</v>
      </c>
      <c r="Q494" s="18">
        <f>'RW predict'!L493</f>
        <v>0</v>
      </c>
      <c r="R494" s="18">
        <f>'RW predict'!N493</f>
        <v>0</v>
      </c>
      <c r="S494" s="76">
        <f>'RW predict'!O493</f>
        <v>1</v>
      </c>
      <c r="T494" s="76">
        <f>'RW predict'!K493</f>
        <v>1</v>
      </c>
      <c r="U494" s="22">
        <f>'RW predict'!J493</f>
        <v>126</v>
      </c>
      <c r="V494" s="32">
        <f>IF(D494="G",'RW predict'!E493,0)</f>
        <v>0</v>
      </c>
      <c r="W494" s="18">
        <f>'RW predict'!R493</f>
        <v>0</v>
      </c>
      <c r="X494" s="18">
        <f>'RW predict'!T493</f>
        <v>0</v>
      </c>
      <c r="Y494" s="18">
        <f>'RW predict'!Y493</f>
        <v>0</v>
      </c>
      <c r="Z494" s="18">
        <f>'RW predict'!U493</f>
        <v>0</v>
      </c>
      <c r="AA494" s="18">
        <f>'RW predict'!W493</f>
        <v>0</v>
      </c>
      <c r="AB494" s="18"/>
      <c r="AC494" s="18"/>
      <c r="AD494" s="18"/>
      <c r="AE494" s="18"/>
      <c r="AF494" s="19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  <c r="BA494" s="18"/>
      <c r="BB494" s="18"/>
      <c r="BC494" s="18"/>
      <c r="BD494" s="18"/>
      <c r="BE494" s="18"/>
      <c r="BF494" s="18"/>
      <c r="BG494" s="18"/>
      <c r="BH494" s="18"/>
      <c r="BI494" s="18"/>
    </row>
    <row r="495" spans="1:61" s="24" customFormat="1" x14ac:dyDescent="0.3">
      <c r="A495" s="18">
        <v>492</v>
      </c>
      <c r="B495" s="18" t="str">
        <f>'RW predict'!A494</f>
        <v>Nikita Zadorov</v>
      </c>
      <c r="C495" s="18" t="str">
        <f>'RW predict'!B494</f>
        <v>CGY</v>
      </c>
      <c r="D495" s="22" t="str" cm="1">
        <f t="array" ref="D495">_xlfn.SWITCH('RW predict'!C494, "C", "F", "LW","F", "RW", "F", "D", "D", "G", "G", "other")</f>
        <v>D</v>
      </c>
      <c r="E495" s="32">
        <f t="shared" si="14"/>
        <v>1062</v>
      </c>
      <c r="F495" s="35">
        <f>E495/assumptions!$B$2</f>
        <v>12.951219512195122</v>
      </c>
      <c r="G495" s="36">
        <f t="shared" si="15"/>
        <v>461</v>
      </c>
      <c r="H495" s="18">
        <f>IF(NOT(D495="G"),'RW predict'!E494,0)</f>
        <v>2</v>
      </c>
      <c r="I495" s="18">
        <f>'RW predict'!Q494</f>
        <v>55</v>
      </c>
      <c r="J495" s="18">
        <f>'RW predict'!F494</f>
        <v>14</v>
      </c>
      <c r="K495" s="18"/>
      <c r="L495" s="18"/>
      <c r="M495" s="18">
        <f>'RW predict'!P494</f>
        <v>166</v>
      </c>
      <c r="N495" s="18"/>
      <c r="O495" s="18">
        <f>'RW predict'!H494</f>
        <v>7</v>
      </c>
      <c r="P495" s="18">
        <f>'RW predict'!I494</f>
        <v>58</v>
      </c>
      <c r="Q495" s="18">
        <f>'RW predict'!L494</f>
        <v>0</v>
      </c>
      <c r="R495" s="18">
        <f>'RW predict'!N494</f>
        <v>0</v>
      </c>
      <c r="S495" s="76">
        <f>'RW predict'!O494</f>
        <v>0</v>
      </c>
      <c r="T495" s="76">
        <f>'RW predict'!K494</f>
        <v>0</v>
      </c>
      <c r="U495" s="22">
        <f>'RW predict'!J494</f>
        <v>71</v>
      </c>
      <c r="V495" s="32">
        <f>IF(D495="G",'RW predict'!E494,0)</f>
        <v>0</v>
      </c>
      <c r="W495" s="18">
        <f>'RW predict'!R494</f>
        <v>0</v>
      </c>
      <c r="X495" s="18">
        <f>'RW predict'!T494</f>
        <v>0</v>
      </c>
      <c r="Y495" s="18">
        <f>'RW predict'!Y494</f>
        <v>0</v>
      </c>
      <c r="Z495" s="18">
        <f>'RW predict'!U494</f>
        <v>0</v>
      </c>
      <c r="AA495" s="18">
        <f>'RW predict'!W494</f>
        <v>0</v>
      </c>
      <c r="AB495" s="18"/>
      <c r="AC495" s="18"/>
      <c r="AD495" s="18"/>
      <c r="AE495" s="18"/>
      <c r="AF495" s="19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  <c r="BA495" s="18"/>
      <c r="BB495" s="18"/>
      <c r="BC495" s="18"/>
      <c r="BD495" s="18"/>
      <c r="BE495" s="18"/>
      <c r="BF495" s="18"/>
      <c r="BG495" s="18"/>
      <c r="BH495" s="18"/>
      <c r="BI495" s="18"/>
    </row>
    <row r="496" spans="1:61" s="24" customFormat="1" x14ac:dyDescent="0.3">
      <c r="A496" s="18">
        <v>493</v>
      </c>
      <c r="B496" s="18" t="str">
        <f>'RW predict'!A495</f>
        <v>Jake McCabe</v>
      </c>
      <c r="C496" s="18" t="str">
        <f>'RW predict'!B495</f>
        <v>CHI</v>
      </c>
      <c r="D496" s="22" t="str" cm="1">
        <f t="array" ref="D496">_xlfn.SWITCH('RW predict'!C495, "C", "F", "LW","F", "RW", "F", "D", "D", "G", "G", "other")</f>
        <v>D</v>
      </c>
      <c r="E496" s="32">
        <f t="shared" si="14"/>
        <v>818</v>
      </c>
      <c r="F496" s="35">
        <f>E496/assumptions!$B$2</f>
        <v>9.9756097560975618</v>
      </c>
      <c r="G496" s="36">
        <f t="shared" si="15"/>
        <v>564</v>
      </c>
      <c r="H496" s="18">
        <f>IF(NOT(D496="G"),'RW predict'!E495,0)</f>
        <v>2</v>
      </c>
      <c r="I496" s="18">
        <f>'RW predict'!Q495</f>
        <v>121</v>
      </c>
      <c r="J496" s="18">
        <f>'RW predict'!F495</f>
        <v>14</v>
      </c>
      <c r="K496" s="18"/>
      <c r="L496" s="18"/>
      <c r="M496" s="18">
        <f>'RW predict'!P495</f>
        <v>122</v>
      </c>
      <c r="N496" s="18"/>
      <c r="O496" s="18">
        <f>'RW predict'!H495</f>
        <v>-22</v>
      </c>
      <c r="P496" s="18">
        <f>'RW predict'!I495</f>
        <v>38</v>
      </c>
      <c r="Q496" s="18">
        <f>'RW predict'!L495</f>
        <v>0</v>
      </c>
      <c r="R496" s="18">
        <f>'RW predict'!N495</f>
        <v>0</v>
      </c>
      <c r="S496" s="76">
        <f>'RW predict'!O495</f>
        <v>0</v>
      </c>
      <c r="T496" s="76">
        <f>'RW predict'!K495</f>
        <v>0</v>
      </c>
      <c r="U496" s="22">
        <f>'RW predict'!J495</f>
        <v>80</v>
      </c>
      <c r="V496" s="32">
        <f>IF(D496="G",'RW predict'!E495,0)</f>
        <v>0</v>
      </c>
      <c r="W496" s="18">
        <f>'RW predict'!R495</f>
        <v>0</v>
      </c>
      <c r="X496" s="18">
        <f>'RW predict'!T495</f>
        <v>0</v>
      </c>
      <c r="Y496" s="18">
        <f>'RW predict'!Y495</f>
        <v>0</v>
      </c>
      <c r="Z496" s="18">
        <f>'RW predict'!U495</f>
        <v>0</v>
      </c>
      <c r="AA496" s="18">
        <f>'RW predict'!W495</f>
        <v>0</v>
      </c>
      <c r="AB496" s="18"/>
      <c r="AC496" s="18"/>
      <c r="AD496" s="18"/>
      <c r="AE496" s="18"/>
      <c r="AF496" s="19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  <c r="BA496" s="18"/>
      <c r="BB496" s="18"/>
      <c r="BC496" s="18"/>
      <c r="BD496" s="18"/>
      <c r="BE496" s="18"/>
      <c r="BF496" s="18"/>
      <c r="BG496" s="18"/>
      <c r="BH496" s="18"/>
      <c r="BI496" s="18"/>
    </row>
    <row r="497" spans="1:61" s="24" customFormat="1" x14ac:dyDescent="0.3">
      <c r="A497" s="18">
        <v>494</v>
      </c>
      <c r="B497" s="18" t="str">
        <f>'RW predict'!A496</f>
        <v>Jason Dickinson</v>
      </c>
      <c r="C497" s="18" t="str">
        <f>'RW predict'!B496</f>
        <v>VAN</v>
      </c>
      <c r="D497" s="22" t="str" cm="1">
        <f t="array" ref="D497">_xlfn.SWITCH('RW predict'!C496, "C", "F", "LW","F", "RW", "F", "D", "D", "G", "G", "other")</f>
        <v>F</v>
      </c>
      <c r="E497" s="32">
        <f t="shared" si="14"/>
        <v>803</v>
      </c>
      <c r="F497" s="35">
        <f>E497/assumptions!$B$2</f>
        <v>9.7926829268292686</v>
      </c>
      <c r="G497" s="36">
        <f t="shared" si="15"/>
        <v>573</v>
      </c>
      <c r="H497" s="18">
        <f>IF(NOT(D497="G"),'RW predict'!E496,0)</f>
        <v>7</v>
      </c>
      <c r="I497" s="18">
        <f>'RW predict'!Q496</f>
        <v>49</v>
      </c>
      <c r="J497" s="18">
        <f>'RW predict'!F496</f>
        <v>9</v>
      </c>
      <c r="K497" s="18"/>
      <c r="L497" s="18"/>
      <c r="M497" s="18">
        <f>'RW predict'!P496</f>
        <v>103</v>
      </c>
      <c r="N497" s="18"/>
      <c r="O497" s="18">
        <f>'RW predict'!H496</f>
        <v>-1</v>
      </c>
      <c r="P497" s="18">
        <f>'RW predict'!I496</f>
        <v>20</v>
      </c>
      <c r="Q497" s="18">
        <f>'RW predict'!L496</f>
        <v>0</v>
      </c>
      <c r="R497" s="18">
        <f>'RW predict'!N496</f>
        <v>0</v>
      </c>
      <c r="S497" s="76">
        <f>'RW predict'!O496</f>
        <v>0</v>
      </c>
      <c r="T497" s="76">
        <f>'RW predict'!K496</f>
        <v>0</v>
      </c>
      <c r="U497" s="22">
        <f>'RW predict'!J496</f>
        <v>76</v>
      </c>
      <c r="V497" s="32">
        <f>IF(D497="G",'RW predict'!E496,0)</f>
        <v>0</v>
      </c>
      <c r="W497" s="18">
        <f>'RW predict'!R496</f>
        <v>0</v>
      </c>
      <c r="X497" s="18">
        <f>'RW predict'!T496</f>
        <v>0</v>
      </c>
      <c r="Y497" s="18">
        <f>'RW predict'!Y496</f>
        <v>0</v>
      </c>
      <c r="Z497" s="18">
        <f>'RW predict'!U496</f>
        <v>0</v>
      </c>
      <c r="AA497" s="18">
        <f>'RW predict'!W496</f>
        <v>0</v>
      </c>
      <c r="AB497" s="18"/>
      <c r="AC497" s="18"/>
      <c r="AD497" s="18"/>
      <c r="AE497" s="18"/>
      <c r="AF497" s="19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  <c r="BA497" s="18"/>
      <c r="BB497" s="18"/>
      <c r="BC497" s="18"/>
      <c r="BD497" s="18"/>
      <c r="BE497" s="18"/>
      <c r="BF497" s="18"/>
      <c r="BG497" s="18"/>
      <c r="BH497" s="18"/>
      <c r="BI497" s="18"/>
    </row>
    <row r="498" spans="1:61" s="24" customFormat="1" x14ac:dyDescent="0.3">
      <c r="A498" s="18">
        <v>495</v>
      </c>
      <c r="B498" s="18" t="str">
        <f>'RW predict'!A497</f>
        <v>Luke Glendening</v>
      </c>
      <c r="C498" s="18" t="str">
        <f>'RW predict'!B497</f>
        <v>DAL</v>
      </c>
      <c r="D498" s="22" t="str" cm="1">
        <f t="array" ref="D498">_xlfn.SWITCH('RW predict'!C497, "C", "F", "LW","F", "RW", "F", "D", "D", "G", "G", "other")</f>
        <v>F</v>
      </c>
      <c r="E498" s="32">
        <f t="shared" si="14"/>
        <v>891</v>
      </c>
      <c r="F498" s="35">
        <f>E498/assumptions!$B$2</f>
        <v>10.865853658536585</v>
      </c>
      <c r="G498" s="36">
        <f t="shared" si="15"/>
        <v>534</v>
      </c>
      <c r="H498" s="18">
        <f>IF(NOT(D498="G"),'RW predict'!E497,0)</f>
        <v>8</v>
      </c>
      <c r="I498" s="18">
        <f>'RW predict'!Q497</f>
        <v>63</v>
      </c>
      <c r="J498" s="18">
        <f>'RW predict'!F497</f>
        <v>8</v>
      </c>
      <c r="K498" s="18"/>
      <c r="L498" s="18"/>
      <c r="M498" s="18">
        <f>'RW predict'!P497</f>
        <v>167</v>
      </c>
      <c r="N498" s="18"/>
      <c r="O498" s="18">
        <f>'RW predict'!H497</f>
        <v>-13</v>
      </c>
      <c r="P498" s="18">
        <f>'RW predict'!I497</f>
        <v>18</v>
      </c>
      <c r="Q498" s="18">
        <f>'RW predict'!L497</f>
        <v>0</v>
      </c>
      <c r="R498" s="18">
        <f>'RW predict'!N497</f>
        <v>0</v>
      </c>
      <c r="S498" s="76">
        <f>'RW predict'!O497</f>
        <v>2</v>
      </c>
      <c r="T498" s="76">
        <f>'RW predict'!K497</f>
        <v>2</v>
      </c>
      <c r="U498" s="22">
        <f>'RW predict'!J497</f>
        <v>107</v>
      </c>
      <c r="V498" s="32">
        <f>IF(D498="G",'RW predict'!E497,0)</f>
        <v>0</v>
      </c>
      <c r="W498" s="18">
        <f>'RW predict'!R497</f>
        <v>0</v>
      </c>
      <c r="X498" s="18">
        <f>'RW predict'!T497</f>
        <v>0</v>
      </c>
      <c r="Y498" s="18">
        <f>'RW predict'!Y497</f>
        <v>0</v>
      </c>
      <c r="Z498" s="18">
        <f>'RW predict'!U497</f>
        <v>0</v>
      </c>
      <c r="AA498" s="18">
        <f>'RW predict'!W497</f>
        <v>0</v>
      </c>
      <c r="AB498" s="18"/>
      <c r="AC498" s="18"/>
      <c r="AD498" s="18"/>
      <c r="AE498" s="18"/>
      <c r="AF498" s="19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8"/>
      <c r="BC498" s="18"/>
      <c r="BD498" s="18"/>
      <c r="BE498" s="18"/>
      <c r="BF498" s="18"/>
      <c r="BG498" s="18"/>
      <c r="BH498" s="18"/>
      <c r="BI498" s="18"/>
    </row>
    <row r="499" spans="1:61" x14ac:dyDescent="0.3">
      <c r="A499" s="18">
        <v>496</v>
      </c>
      <c r="B499" s="18" t="str">
        <f>'RW predict'!A498</f>
        <v>Colin Miller</v>
      </c>
      <c r="C499" s="18" t="str">
        <f>'RW predict'!B498</f>
        <v>DAL</v>
      </c>
      <c r="D499" s="22" t="str" cm="1">
        <f t="array" ref="D499">_xlfn.SWITCH('RW predict'!C498, "C", "F", "LW","F", "RW", "F", "D", "D", "G", "G", "other")</f>
        <v>D</v>
      </c>
      <c r="E499" s="32">
        <f t="shared" si="14"/>
        <v>695</v>
      </c>
      <c r="F499" s="35">
        <f>E499/assumptions!$B$2</f>
        <v>8.4756097560975618</v>
      </c>
      <c r="G499" s="36">
        <f t="shared" si="15"/>
        <v>609</v>
      </c>
      <c r="H499" s="18">
        <f>IF(NOT(D499="G"),'RW predict'!E498,0)</f>
        <v>3</v>
      </c>
      <c r="I499" s="18">
        <f>'RW predict'!Q498</f>
        <v>47</v>
      </c>
      <c r="J499" s="18">
        <f>'RW predict'!F498</f>
        <v>13</v>
      </c>
      <c r="K499" s="18"/>
      <c r="L499" s="18"/>
      <c r="M499" s="18">
        <f>'RW predict'!P498</f>
        <v>63</v>
      </c>
      <c r="N499" s="18"/>
      <c r="O499" s="18">
        <f>'RW predict'!H498</f>
        <v>-5</v>
      </c>
      <c r="P499" s="18">
        <f>'RW predict'!I498</f>
        <v>24</v>
      </c>
      <c r="Q499" s="18">
        <f>'RW predict'!L498</f>
        <v>0</v>
      </c>
      <c r="R499" s="18">
        <f>'RW predict'!N498</f>
        <v>0</v>
      </c>
      <c r="S499" s="76">
        <f>'RW predict'!O498</f>
        <v>0</v>
      </c>
      <c r="T499" s="76">
        <f>'RW predict'!K498</f>
        <v>0</v>
      </c>
      <c r="U499" s="22">
        <f>'RW predict'!J498</f>
        <v>58</v>
      </c>
      <c r="V499" s="32">
        <f>IF(D499="G",'RW predict'!E498,0)</f>
        <v>0</v>
      </c>
      <c r="W499" s="18">
        <f>'RW predict'!R498</f>
        <v>0</v>
      </c>
      <c r="X499" s="18">
        <f>'RW predict'!T498</f>
        <v>0</v>
      </c>
      <c r="Y499" s="18">
        <f>'RW predict'!Y498</f>
        <v>0</v>
      </c>
      <c r="Z499" s="18">
        <f>'RW predict'!U498</f>
        <v>0</v>
      </c>
      <c r="AA499" s="18">
        <f>'RW predict'!W498</f>
        <v>0</v>
      </c>
    </row>
    <row r="500" spans="1:61" x14ac:dyDescent="0.3">
      <c r="A500" s="18">
        <v>497</v>
      </c>
      <c r="B500" s="18" t="str">
        <f>'RW predict'!A499</f>
        <v>Tyler Bozak</v>
      </c>
      <c r="C500" s="18" t="str">
        <f>'RW predict'!B499</f>
        <v>FA</v>
      </c>
      <c r="D500" s="22" t="str" cm="1">
        <f t="array" ref="D500">_xlfn.SWITCH('RW predict'!C499, "C", "F", "LW","F", "RW", "F", "D", "D", "G", "G", "other")</f>
        <v>F</v>
      </c>
      <c r="E500" s="32">
        <f t="shared" si="14"/>
        <v>578</v>
      </c>
      <c r="F500" s="35">
        <f>E500/assumptions!$B$2</f>
        <v>7.0487804878048781</v>
      </c>
      <c r="G500" s="36">
        <f t="shared" si="15"/>
        <v>642</v>
      </c>
      <c r="H500" s="18">
        <f>IF(NOT(D500="G"),'RW predict'!E499,0)</f>
        <v>4</v>
      </c>
      <c r="I500" s="18">
        <f>'RW predict'!Q499</f>
        <v>23</v>
      </c>
      <c r="J500" s="18">
        <f>'RW predict'!F499</f>
        <v>12</v>
      </c>
      <c r="K500" s="18"/>
      <c r="L500" s="18"/>
      <c r="M500" s="18">
        <f>'RW predict'!P499</f>
        <v>22</v>
      </c>
      <c r="N500" s="18"/>
      <c r="O500" s="18">
        <f>'RW predict'!H499</f>
        <v>-9</v>
      </c>
      <c r="P500" s="18">
        <f>'RW predict'!I499</f>
        <v>14</v>
      </c>
      <c r="Q500" s="18">
        <f>'RW predict'!L499</f>
        <v>0</v>
      </c>
      <c r="R500" s="18">
        <f>'RW predict'!N499</f>
        <v>1</v>
      </c>
      <c r="S500" s="76">
        <f>'RW predict'!O499</f>
        <v>1</v>
      </c>
      <c r="T500" s="76">
        <f>'RW predict'!K499</f>
        <v>1</v>
      </c>
      <c r="U500" s="22">
        <f>'RW predict'!J499</f>
        <v>54</v>
      </c>
      <c r="V500" s="32">
        <f>IF(D500="G",'RW predict'!E499,0)</f>
        <v>0</v>
      </c>
      <c r="W500" s="18">
        <f>'RW predict'!R499</f>
        <v>0</v>
      </c>
      <c r="X500" s="18">
        <f>'RW predict'!T499</f>
        <v>0</v>
      </c>
      <c r="Y500" s="18">
        <f>'RW predict'!Y499</f>
        <v>0</v>
      </c>
      <c r="Z500" s="18">
        <f>'RW predict'!U499</f>
        <v>0</v>
      </c>
      <c r="AA500" s="18">
        <f>'RW predict'!W499</f>
        <v>0</v>
      </c>
    </row>
    <row r="501" spans="1:61" x14ac:dyDescent="0.3">
      <c r="A501" s="18">
        <v>498</v>
      </c>
      <c r="B501" s="18" t="str">
        <f>'RW predict'!A500</f>
        <v>Michael Del Zotto</v>
      </c>
      <c r="C501" s="18" t="str">
        <f>'RW predict'!B500</f>
        <v>FLA</v>
      </c>
      <c r="D501" s="22" t="str" cm="1">
        <f t="array" ref="D501">_xlfn.SWITCH('RW predict'!C500, "C", "F", "LW","F", "RW", "F", "D", "D", "G", "G", "other")</f>
        <v>D</v>
      </c>
      <c r="E501" s="32">
        <f t="shared" si="14"/>
        <v>750</v>
      </c>
      <c r="F501" s="35">
        <f>E501/assumptions!$B$2</f>
        <v>9.1463414634146343</v>
      </c>
      <c r="G501" s="36">
        <f t="shared" si="15"/>
        <v>586</v>
      </c>
      <c r="H501" s="18">
        <f>IF(NOT(D501="G"),'RW predict'!E500,0)</f>
        <v>3</v>
      </c>
      <c r="I501" s="18">
        <f>'RW predict'!Q500</f>
        <v>62</v>
      </c>
      <c r="J501" s="18">
        <f>'RW predict'!F500</f>
        <v>13</v>
      </c>
      <c r="K501" s="18"/>
      <c r="L501" s="18"/>
      <c r="M501" s="18">
        <f>'RW predict'!P500</f>
        <v>106</v>
      </c>
      <c r="N501" s="18"/>
      <c r="O501" s="18">
        <f>'RW predict'!H500</f>
        <v>-3</v>
      </c>
      <c r="P501" s="18">
        <f>'RW predict'!I500</f>
        <v>8</v>
      </c>
      <c r="Q501" s="18">
        <f>'RW predict'!L500</f>
        <v>0</v>
      </c>
      <c r="R501" s="18">
        <f>'RW predict'!N500</f>
        <v>0</v>
      </c>
      <c r="S501" s="76">
        <f>'RW predict'!O500</f>
        <v>0</v>
      </c>
      <c r="T501" s="76">
        <f>'RW predict'!K500</f>
        <v>0</v>
      </c>
      <c r="U501" s="22">
        <f>'RW predict'!J500</f>
        <v>63</v>
      </c>
      <c r="V501" s="32">
        <f>IF(D501="G",'RW predict'!E500,0)</f>
        <v>0</v>
      </c>
      <c r="W501" s="18">
        <f>'RW predict'!R500</f>
        <v>0</v>
      </c>
      <c r="X501" s="18">
        <f>'RW predict'!T500</f>
        <v>0</v>
      </c>
      <c r="Y501" s="18">
        <f>'RW predict'!Y500</f>
        <v>0</v>
      </c>
      <c r="Z501" s="18">
        <f>'RW predict'!U500</f>
        <v>0</v>
      </c>
      <c r="AA501" s="18">
        <f>'RW predict'!W500</f>
        <v>0</v>
      </c>
    </row>
    <row r="502" spans="1:61" x14ac:dyDescent="0.3">
      <c r="A502" s="18">
        <v>499</v>
      </c>
      <c r="B502" s="18" t="str">
        <f>'RW predict'!A501</f>
        <v>Luke Schenn</v>
      </c>
      <c r="C502" s="18" t="str">
        <f>'RW predict'!B501</f>
        <v>VAN</v>
      </c>
      <c r="D502" s="22" t="str" cm="1">
        <f t="array" ref="D502">_xlfn.SWITCH('RW predict'!C501, "C", "F", "LW","F", "RW", "F", "D", "D", "G", "G", "other")</f>
        <v>D</v>
      </c>
      <c r="E502" s="32">
        <f t="shared" si="14"/>
        <v>1332</v>
      </c>
      <c r="F502" s="35">
        <f>E502/assumptions!$B$2</f>
        <v>16.243902439024389</v>
      </c>
      <c r="G502" s="36">
        <f t="shared" si="15"/>
        <v>351</v>
      </c>
      <c r="H502" s="18">
        <f>IF(NOT(D502="G"),'RW predict'!E501,0)</f>
        <v>5</v>
      </c>
      <c r="I502" s="18">
        <f>'RW predict'!Q501</f>
        <v>99</v>
      </c>
      <c r="J502" s="18">
        <f>'RW predict'!F501</f>
        <v>11</v>
      </c>
      <c r="K502" s="18"/>
      <c r="L502" s="18"/>
      <c r="M502" s="18">
        <f>'RW predict'!P501</f>
        <v>270</v>
      </c>
      <c r="N502" s="18"/>
      <c r="O502" s="18">
        <f>'RW predict'!H501</f>
        <v>8</v>
      </c>
      <c r="P502" s="18">
        <f>'RW predict'!I501</f>
        <v>66</v>
      </c>
      <c r="Q502" s="18">
        <f>'RW predict'!L501</f>
        <v>0</v>
      </c>
      <c r="R502" s="18">
        <f>'RW predict'!N501</f>
        <v>0</v>
      </c>
      <c r="S502" s="76">
        <f>'RW predict'!O501</f>
        <v>0</v>
      </c>
      <c r="T502" s="76">
        <f>'RW predict'!K501</f>
        <v>1</v>
      </c>
      <c r="U502" s="22">
        <f>'RW predict'!J501</f>
        <v>83</v>
      </c>
      <c r="V502" s="32">
        <f>IF(D502="G",'RW predict'!E501,0)</f>
        <v>0</v>
      </c>
      <c r="W502" s="18">
        <f>'RW predict'!R501</f>
        <v>0</v>
      </c>
      <c r="X502" s="18">
        <f>'RW predict'!T501</f>
        <v>0</v>
      </c>
      <c r="Y502" s="18">
        <f>'RW predict'!Y501</f>
        <v>0</v>
      </c>
      <c r="Z502" s="18">
        <f>'RW predict'!U501</f>
        <v>0</v>
      </c>
      <c r="AA502" s="18">
        <f>'RW predict'!W501</f>
        <v>0</v>
      </c>
    </row>
    <row r="503" spans="1:61" x14ac:dyDescent="0.3">
      <c r="A503" s="18">
        <v>500</v>
      </c>
      <c r="B503" s="18" t="str">
        <f>'RW predict'!A502</f>
        <v>Loui Eriksson</v>
      </c>
      <c r="C503" s="18" t="str">
        <f>'RW predict'!B502</f>
        <v>FA</v>
      </c>
      <c r="D503" s="22" t="str" cm="1">
        <f t="array" ref="D503">_xlfn.SWITCH('RW predict'!C502, "C", "F", "LW","F", "RW", "F", "D", "D", "G", "G", "other")</f>
        <v>F</v>
      </c>
      <c r="E503" s="32">
        <f t="shared" si="14"/>
        <v>476</v>
      </c>
      <c r="F503" s="35">
        <f>E503/assumptions!$B$2</f>
        <v>5.8048780487804876</v>
      </c>
      <c r="G503" s="36">
        <f t="shared" si="15"/>
        <v>694</v>
      </c>
      <c r="H503" s="18">
        <f>IF(NOT(D503="G"),'RW predict'!E502,0)</f>
        <v>3</v>
      </c>
      <c r="I503" s="18">
        <f>'RW predict'!Q502</f>
        <v>19</v>
      </c>
      <c r="J503" s="18">
        <f>'RW predict'!F502</f>
        <v>13</v>
      </c>
      <c r="K503" s="18"/>
      <c r="L503" s="18"/>
      <c r="M503" s="18">
        <f>'RW predict'!P502</f>
        <v>14</v>
      </c>
      <c r="N503" s="18"/>
      <c r="O503" s="18">
        <f>'RW predict'!H502</f>
        <v>-15</v>
      </c>
      <c r="P503" s="18">
        <f>'RW predict'!I502</f>
        <v>6</v>
      </c>
      <c r="Q503" s="18">
        <f>'RW predict'!L502</f>
        <v>0</v>
      </c>
      <c r="R503" s="18">
        <f>'RW predict'!N502</f>
        <v>1</v>
      </c>
      <c r="S503" s="76">
        <f>'RW predict'!O502</f>
        <v>0</v>
      </c>
      <c r="T503" s="76">
        <f>'RW predict'!K502</f>
        <v>0</v>
      </c>
      <c r="U503" s="22">
        <f>'RW predict'!J502</f>
        <v>68</v>
      </c>
      <c r="V503" s="32">
        <f>IF(D503="G",'RW predict'!E502,0)</f>
        <v>0</v>
      </c>
      <c r="W503" s="18">
        <f>'RW predict'!R502</f>
        <v>0</v>
      </c>
      <c r="X503" s="18">
        <f>'RW predict'!T502</f>
        <v>0</v>
      </c>
      <c r="Y503" s="18">
        <f>'RW predict'!Y502</f>
        <v>0</v>
      </c>
      <c r="Z503" s="18">
        <f>'RW predict'!U502</f>
        <v>0</v>
      </c>
      <c r="AA503" s="18">
        <f>'RW predict'!W502</f>
        <v>0</v>
      </c>
    </row>
    <row r="504" spans="1:61" x14ac:dyDescent="0.3">
      <c r="A504" s="18">
        <v>501</v>
      </c>
      <c r="B504" s="18" t="str">
        <f>'RW predict'!A503</f>
        <v>Andrew Cogliano</v>
      </c>
      <c r="C504" s="18" t="str">
        <f>'RW predict'!B503</f>
        <v>COL</v>
      </c>
      <c r="D504" s="22" t="str" cm="1">
        <f t="array" ref="D504">_xlfn.SWITCH('RW predict'!C503, "C", "F", "LW","F", "RW", "F", "D", "D", "G", "G", "other")</f>
        <v>F</v>
      </c>
      <c r="E504" s="32">
        <f t="shared" si="14"/>
        <v>800</v>
      </c>
      <c r="F504" s="35">
        <f>E504/assumptions!$B$2</f>
        <v>9.7560975609756095</v>
      </c>
      <c r="G504" s="36">
        <f t="shared" si="15"/>
        <v>574</v>
      </c>
      <c r="H504" s="18">
        <f>IF(NOT(D504="G"),'RW predict'!E503,0)</f>
        <v>4</v>
      </c>
      <c r="I504" s="18">
        <f>'RW predict'!Q503</f>
        <v>32</v>
      </c>
      <c r="J504" s="18">
        <f>'RW predict'!F503</f>
        <v>12</v>
      </c>
      <c r="K504" s="18"/>
      <c r="L504" s="18"/>
      <c r="M504" s="18">
        <f>'RW predict'!P503</f>
        <v>96</v>
      </c>
      <c r="N504" s="18"/>
      <c r="O504" s="18">
        <f>'RW predict'!H503</f>
        <v>-4</v>
      </c>
      <c r="P504" s="18">
        <f>'RW predict'!I503</f>
        <v>24</v>
      </c>
      <c r="Q504" s="18">
        <f>'RW predict'!L503</f>
        <v>0</v>
      </c>
      <c r="R504" s="18">
        <f>'RW predict'!N503</f>
        <v>1</v>
      </c>
      <c r="S504" s="76">
        <f>'RW predict'!O503</f>
        <v>1</v>
      </c>
      <c r="T504" s="76">
        <f>'RW predict'!K503</f>
        <v>1</v>
      </c>
      <c r="U504" s="22">
        <f>'RW predict'!J503</f>
        <v>79</v>
      </c>
      <c r="V504" s="32">
        <f>IF(D504="G",'RW predict'!E503,0)</f>
        <v>0</v>
      </c>
      <c r="W504" s="18">
        <f>'RW predict'!R503</f>
        <v>0</v>
      </c>
      <c r="X504" s="18">
        <f>'RW predict'!T503</f>
        <v>0</v>
      </c>
      <c r="Y504" s="18">
        <f>'RW predict'!Y503</f>
        <v>0</v>
      </c>
      <c r="Z504" s="18">
        <f>'RW predict'!U503</f>
        <v>0</v>
      </c>
      <c r="AA504" s="18">
        <f>'RW predict'!W503</f>
        <v>0</v>
      </c>
    </row>
    <row r="505" spans="1:61" x14ac:dyDescent="0.3">
      <c r="A505" s="18">
        <v>502</v>
      </c>
      <c r="B505" s="18" t="str">
        <f>'RW predict'!A504</f>
        <v>Casey Cizikas</v>
      </c>
      <c r="C505" s="18" t="str">
        <f>'RW predict'!B504</f>
        <v>NYI</v>
      </c>
      <c r="D505" s="22" t="str" cm="1">
        <f t="array" ref="D505">_xlfn.SWITCH('RW predict'!C504, "C", "F", "LW","F", "RW", "F", "D", "D", "G", "G", "other")</f>
        <v>F</v>
      </c>
      <c r="E505" s="32">
        <f t="shared" si="14"/>
        <v>949</v>
      </c>
      <c r="F505" s="35">
        <f>E505/assumptions!$B$2</f>
        <v>11.573170731707316</v>
      </c>
      <c r="G505" s="36">
        <f t="shared" si="15"/>
        <v>511</v>
      </c>
      <c r="H505" s="18">
        <f>IF(NOT(D505="G"),'RW predict'!E504,0)</f>
        <v>8</v>
      </c>
      <c r="I505" s="18">
        <f>'RW predict'!Q504</f>
        <v>44</v>
      </c>
      <c r="J505" s="18">
        <f>'RW predict'!F504</f>
        <v>8</v>
      </c>
      <c r="K505" s="18"/>
      <c r="L505" s="18"/>
      <c r="M505" s="18">
        <f>'RW predict'!P504</f>
        <v>145</v>
      </c>
      <c r="N505" s="18"/>
      <c r="O505" s="18">
        <f>'RW predict'!H504</f>
        <v>-4</v>
      </c>
      <c r="P505" s="18">
        <f>'RW predict'!I504</f>
        <v>48</v>
      </c>
      <c r="Q505" s="18">
        <f>'RW predict'!L504</f>
        <v>0</v>
      </c>
      <c r="R505" s="18">
        <f>'RW predict'!N504</f>
        <v>1</v>
      </c>
      <c r="S505" s="76">
        <f>'RW predict'!O504</f>
        <v>0</v>
      </c>
      <c r="T505" s="76">
        <f>'RW predict'!K504</f>
        <v>1</v>
      </c>
      <c r="U505" s="22">
        <f>'RW predict'!J504</f>
        <v>86</v>
      </c>
      <c r="V505" s="32">
        <f>IF(D505="G",'RW predict'!E504,0)</f>
        <v>0</v>
      </c>
      <c r="W505" s="18">
        <f>'RW predict'!R504</f>
        <v>0</v>
      </c>
      <c r="X505" s="18">
        <f>'RW predict'!T504</f>
        <v>0</v>
      </c>
      <c r="Y505" s="18">
        <f>'RW predict'!Y504</f>
        <v>0</v>
      </c>
      <c r="Z505" s="18">
        <f>'RW predict'!U504</f>
        <v>0</v>
      </c>
      <c r="AA505" s="18">
        <f>'RW predict'!W504</f>
        <v>0</v>
      </c>
    </row>
    <row r="506" spans="1:61" x14ac:dyDescent="0.3">
      <c r="A506" s="18">
        <v>503</v>
      </c>
      <c r="B506" s="18" t="str">
        <f>'RW predict'!A505</f>
        <v>Chris Tanev</v>
      </c>
      <c r="C506" s="18" t="str">
        <f>'RW predict'!B505</f>
        <v>CGY</v>
      </c>
      <c r="D506" s="22" t="str" cm="1">
        <f t="array" ref="D506">_xlfn.SWITCH('RW predict'!C505, "C", "F", "LW","F", "RW", "F", "D", "D", "G", "G", "other")</f>
        <v>D</v>
      </c>
      <c r="E506" s="32">
        <f t="shared" si="14"/>
        <v>1128</v>
      </c>
      <c r="F506" s="35">
        <f>E506/assumptions!$B$2</f>
        <v>13.75609756097561</v>
      </c>
      <c r="G506" s="36">
        <f t="shared" si="15"/>
        <v>434</v>
      </c>
      <c r="H506" s="18">
        <f>IF(NOT(D506="G"),'RW predict'!E505,0)</f>
        <v>3</v>
      </c>
      <c r="I506" s="18">
        <f>'RW predict'!Q505</f>
        <v>126</v>
      </c>
      <c r="J506" s="18">
        <f>'RW predict'!F505</f>
        <v>13</v>
      </c>
      <c r="K506" s="18"/>
      <c r="L506" s="18"/>
      <c r="M506" s="18">
        <f>'RW predict'!P505</f>
        <v>40</v>
      </c>
      <c r="N506" s="18"/>
      <c r="O506" s="18">
        <f>'RW predict'!H505</f>
        <v>20</v>
      </c>
      <c r="P506" s="18">
        <f>'RW predict'!I505</f>
        <v>20</v>
      </c>
      <c r="Q506" s="18">
        <f>'RW predict'!L505</f>
        <v>0</v>
      </c>
      <c r="R506" s="18">
        <f>'RW predict'!N505</f>
        <v>0</v>
      </c>
      <c r="S506" s="76">
        <f>'RW predict'!O505</f>
        <v>0</v>
      </c>
      <c r="T506" s="76">
        <f>'RW predict'!K505</f>
        <v>1</v>
      </c>
      <c r="U506" s="22">
        <f>'RW predict'!J505</f>
        <v>78</v>
      </c>
      <c r="V506" s="32">
        <f>IF(D506="G",'RW predict'!E505,0)</f>
        <v>0</v>
      </c>
      <c r="W506" s="18">
        <f>'RW predict'!R505</f>
        <v>0</v>
      </c>
      <c r="X506" s="18">
        <f>'RW predict'!T505</f>
        <v>0</v>
      </c>
      <c r="Y506" s="18">
        <f>'RW predict'!Y505</f>
        <v>0</v>
      </c>
      <c r="Z506" s="18">
        <f>'RW predict'!U505</f>
        <v>0</v>
      </c>
      <c r="AA506" s="18">
        <f>'RW predict'!W505</f>
        <v>0</v>
      </c>
    </row>
    <row r="507" spans="1:61" x14ac:dyDescent="0.3">
      <c r="A507" s="18">
        <v>504</v>
      </c>
      <c r="B507" s="18" t="str">
        <f>'RW predict'!A506</f>
        <v>Carl Hagelin</v>
      </c>
      <c r="C507" s="18" t="str">
        <f>'RW predict'!B506</f>
        <v>WAS</v>
      </c>
      <c r="D507" s="22" t="str" cm="1">
        <f t="array" ref="D507">_xlfn.SWITCH('RW predict'!C506, "C", "F", "LW","F", "RW", "F", "D", "D", "G", "G", "other")</f>
        <v>F</v>
      </c>
      <c r="E507" s="32">
        <f t="shared" si="14"/>
        <v>773</v>
      </c>
      <c r="F507" s="35">
        <f>E507/assumptions!$B$2</f>
        <v>9.4268292682926838</v>
      </c>
      <c r="G507" s="36">
        <f t="shared" si="15"/>
        <v>580</v>
      </c>
      <c r="H507" s="18">
        <f>IF(NOT(D507="G"),'RW predict'!E506,0)</f>
        <v>4</v>
      </c>
      <c r="I507" s="18">
        <f>'RW predict'!Q506</f>
        <v>15</v>
      </c>
      <c r="J507" s="18">
        <f>'RW predict'!F506</f>
        <v>12</v>
      </c>
      <c r="K507" s="18"/>
      <c r="L507" s="18"/>
      <c r="M507" s="18">
        <f>'RW predict'!P506</f>
        <v>31</v>
      </c>
      <c r="N507" s="18"/>
      <c r="O507" s="18">
        <f>'RW predict'!H506</f>
        <v>7</v>
      </c>
      <c r="P507" s="18">
        <f>'RW predict'!I506</f>
        <v>20</v>
      </c>
      <c r="Q507" s="18">
        <f>'RW predict'!L506</f>
        <v>0</v>
      </c>
      <c r="R507" s="18">
        <f>'RW predict'!N506</f>
        <v>0</v>
      </c>
      <c r="S507" s="76">
        <f>'RW predict'!O506</f>
        <v>1</v>
      </c>
      <c r="T507" s="76">
        <f>'RW predict'!K506</f>
        <v>0</v>
      </c>
      <c r="U507" s="22">
        <f>'RW predict'!J506</f>
        <v>86</v>
      </c>
      <c r="V507" s="32">
        <f>IF(D507="G",'RW predict'!E506,0)</f>
        <v>0</v>
      </c>
      <c r="W507" s="18">
        <f>'RW predict'!R506</f>
        <v>0</v>
      </c>
      <c r="X507" s="18">
        <f>'RW predict'!T506</f>
        <v>0</v>
      </c>
      <c r="Y507" s="18">
        <f>'RW predict'!Y506</f>
        <v>0</v>
      </c>
      <c r="Z507" s="18">
        <f>'RW predict'!U506</f>
        <v>0</v>
      </c>
      <c r="AA507" s="18">
        <f>'RW predict'!W506</f>
        <v>0</v>
      </c>
    </row>
    <row r="508" spans="1:61" x14ac:dyDescent="0.3">
      <c r="A508" s="18">
        <v>505</v>
      </c>
      <c r="B508" s="18" t="str">
        <f>'RW predict'!A507</f>
        <v>Austin Watson</v>
      </c>
      <c r="C508" s="18" t="str">
        <f>'RW predict'!B507</f>
        <v>OTT</v>
      </c>
      <c r="D508" s="22" t="str" cm="1">
        <f t="array" ref="D508">_xlfn.SWITCH('RW predict'!C507, "C", "F", "LW","F", "RW", "F", "D", "D", "G", "G", "other")</f>
        <v>F</v>
      </c>
      <c r="E508" s="32">
        <f t="shared" si="14"/>
        <v>1123</v>
      </c>
      <c r="F508" s="35">
        <f>E508/assumptions!$B$2</f>
        <v>13.695121951219512</v>
      </c>
      <c r="G508" s="36">
        <f t="shared" si="15"/>
        <v>437</v>
      </c>
      <c r="H508" s="18">
        <f>IF(NOT(D508="G"),'RW predict'!E507,0)</f>
        <v>9</v>
      </c>
      <c r="I508" s="18">
        <f>'RW predict'!Q507</f>
        <v>65</v>
      </c>
      <c r="J508" s="18">
        <f>'RW predict'!F507</f>
        <v>7</v>
      </c>
      <c r="K508" s="18"/>
      <c r="L508" s="18"/>
      <c r="M508" s="18">
        <f>'RW predict'!P507</f>
        <v>200</v>
      </c>
      <c r="N508" s="18"/>
      <c r="O508" s="18">
        <f>'RW predict'!H507</f>
        <v>-7</v>
      </c>
      <c r="P508" s="18">
        <f>'RW predict'!I507</f>
        <v>89</v>
      </c>
      <c r="Q508" s="18">
        <f>'RW predict'!L507</f>
        <v>0</v>
      </c>
      <c r="R508" s="18">
        <f>'RW predict'!N507</f>
        <v>1</v>
      </c>
      <c r="S508" s="76">
        <f>'RW predict'!O507</f>
        <v>0</v>
      </c>
      <c r="T508" s="76">
        <f>'RW predict'!K507</f>
        <v>0</v>
      </c>
      <c r="U508" s="22">
        <f>'RW predict'!J507</f>
        <v>88</v>
      </c>
      <c r="V508" s="32">
        <f>IF(D508="G",'RW predict'!E507,0)</f>
        <v>0</v>
      </c>
      <c r="W508" s="18">
        <f>'RW predict'!R507</f>
        <v>0</v>
      </c>
      <c r="X508" s="18">
        <f>'RW predict'!T507</f>
        <v>0</v>
      </c>
      <c r="Y508" s="18">
        <f>'RW predict'!Y507</f>
        <v>0</v>
      </c>
      <c r="Z508" s="18">
        <f>'RW predict'!U507</f>
        <v>0</v>
      </c>
      <c r="AA508" s="18">
        <f>'RW predict'!W507</f>
        <v>0</v>
      </c>
    </row>
    <row r="509" spans="1:61" x14ac:dyDescent="0.3">
      <c r="A509" s="18">
        <v>506</v>
      </c>
      <c r="B509" s="18" t="str">
        <f>'RW predict'!A508</f>
        <v>Joel Edmundson</v>
      </c>
      <c r="C509" s="18" t="str">
        <f>'RW predict'!B508</f>
        <v>MON</v>
      </c>
      <c r="D509" s="22" t="str" cm="1">
        <f t="array" ref="D509">_xlfn.SWITCH('RW predict'!C508, "C", "F", "LW","F", "RW", "F", "D", "D", "G", "G", "other")</f>
        <v>D</v>
      </c>
      <c r="E509" s="32">
        <f t="shared" si="14"/>
        <v>1102</v>
      </c>
      <c r="F509" s="35">
        <f>E509/assumptions!$B$2</f>
        <v>13.439024390243903</v>
      </c>
      <c r="G509" s="36">
        <f t="shared" si="15"/>
        <v>451</v>
      </c>
      <c r="H509" s="18">
        <f>IF(NOT(D509="G"),'RW predict'!E508,0)</f>
        <v>5</v>
      </c>
      <c r="I509" s="18">
        <f>'RW predict'!Q508</f>
        <v>112</v>
      </c>
      <c r="J509" s="18">
        <f>'RW predict'!F508</f>
        <v>11</v>
      </c>
      <c r="K509" s="18"/>
      <c r="L509" s="18"/>
      <c r="M509" s="18">
        <f>'RW predict'!P508</f>
        <v>116</v>
      </c>
      <c r="N509" s="18"/>
      <c r="O509" s="18">
        <f>'RW predict'!H508</f>
        <v>-3</v>
      </c>
      <c r="P509" s="18">
        <f>'RW predict'!I508</f>
        <v>64</v>
      </c>
      <c r="Q509" s="18">
        <f>'RW predict'!L508</f>
        <v>0</v>
      </c>
      <c r="R509" s="18">
        <f>'RW predict'!N508</f>
        <v>0</v>
      </c>
      <c r="S509" s="76">
        <f>'RW predict'!O508</f>
        <v>0</v>
      </c>
      <c r="T509" s="76">
        <f>'RW predict'!K508</f>
        <v>0</v>
      </c>
      <c r="U509" s="22">
        <f>'RW predict'!J508</f>
        <v>100</v>
      </c>
      <c r="V509" s="32">
        <f>IF(D509="G",'RW predict'!E508,0)</f>
        <v>0</v>
      </c>
      <c r="W509" s="18">
        <f>'RW predict'!R508</f>
        <v>0</v>
      </c>
      <c r="X509" s="18">
        <f>'RW predict'!T508</f>
        <v>0</v>
      </c>
      <c r="Y509" s="18">
        <f>'RW predict'!Y508</f>
        <v>0</v>
      </c>
      <c r="Z509" s="18">
        <f>'RW predict'!U508</f>
        <v>0</v>
      </c>
      <c r="AA509" s="18">
        <f>'RW predict'!W508</f>
        <v>0</v>
      </c>
    </row>
    <row r="510" spans="1:61" x14ac:dyDescent="0.3">
      <c r="A510" s="18">
        <v>507</v>
      </c>
      <c r="B510" s="18" t="str">
        <f>'RW predict'!A509</f>
        <v>Jamie Oleksiak</v>
      </c>
      <c r="C510" s="18" t="str">
        <f>'RW predict'!B509</f>
        <v>SEA</v>
      </c>
      <c r="D510" s="22" t="str" cm="1">
        <f t="array" ref="D510">_xlfn.SWITCH('RW predict'!C509, "C", "F", "LW","F", "RW", "F", "D", "D", "G", "G", "other")</f>
        <v>D</v>
      </c>
      <c r="E510" s="32">
        <f t="shared" si="14"/>
        <v>1130</v>
      </c>
      <c r="F510" s="35">
        <f>E510/assumptions!$B$2</f>
        <v>13.780487804878049</v>
      </c>
      <c r="G510" s="36">
        <f t="shared" si="15"/>
        <v>431</v>
      </c>
      <c r="H510" s="18">
        <f>IF(NOT(D510="G"),'RW predict'!E509,0)</f>
        <v>2</v>
      </c>
      <c r="I510" s="18">
        <f>'RW predict'!Q509</f>
        <v>90</v>
      </c>
      <c r="J510" s="18">
        <f>'RW predict'!F509</f>
        <v>14</v>
      </c>
      <c r="K510" s="18"/>
      <c r="L510" s="18"/>
      <c r="M510" s="18">
        <f>'RW predict'!P509</f>
        <v>184</v>
      </c>
      <c r="N510" s="18"/>
      <c r="O510" s="18">
        <f>'RW predict'!H509</f>
        <v>0</v>
      </c>
      <c r="P510" s="18">
        <f>'RW predict'!I509</f>
        <v>54</v>
      </c>
      <c r="Q510" s="18">
        <f>'RW predict'!L509</f>
        <v>0</v>
      </c>
      <c r="R510" s="18">
        <f>'RW predict'!N509</f>
        <v>0</v>
      </c>
      <c r="S510" s="76">
        <f>'RW predict'!O509</f>
        <v>1</v>
      </c>
      <c r="T510" s="76">
        <f>'RW predict'!K509</f>
        <v>0</v>
      </c>
      <c r="U510" s="22">
        <f>'RW predict'!J509</f>
        <v>97</v>
      </c>
      <c r="V510" s="32">
        <f>IF(D510="G",'RW predict'!E509,0)</f>
        <v>0</v>
      </c>
      <c r="W510" s="18">
        <f>'RW predict'!R509</f>
        <v>0</v>
      </c>
      <c r="X510" s="18">
        <f>'RW predict'!T509</f>
        <v>0</v>
      </c>
      <c r="Y510" s="18">
        <f>'RW predict'!Y509</f>
        <v>0</v>
      </c>
      <c r="Z510" s="18">
        <f>'RW predict'!U509</f>
        <v>0</v>
      </c>
      <c r="AA510" s="18">
        <f>'RW predict'!W509</f>
        <v>0</v>
      </c>
    </row>
    <row r="511" spans="1:61" x14ac:dyDescent="0.3">
      <c r="A511" s="18">
        <v>508</v>
      </c>
      <c r="B511" s="18" t="str">
        <f>'RW predict'!A510</f>
        <v>Tyler Johnson</v>
      </c>
      <c r="C511" s="18" t="str">
        <f>'RW predict'!B510</f>
        <v>CHI</v>
      </c>
      <c r="D511" s="22" t="str" cm="1">
        <f t="array" ref="D511">_xlfn.SWITCH('RW predict'!C510, "C", "F", "LW","F", "RW", "F", "D", "D", "G", "G", "other")</f>
        <v>F</v>
      </c>
      <c r="E511" s="32">
        <f t="shared" si="14"/>
        <v>603</v>
      </c>
      <c r="F511" s="35">
        <f>E511/assumptions!$B$2</f>
        <v>7.3536585365853657</v>
      </c>
      <c r="G511" s="36">
        <f t="shared" si="15"/>
        <v>636</v>
      </c>
      <c r="H511" s="18">
        <f>IF(NOT(D511="G"),'RW predict'!E510,0)</f>
        <v>6</v>
      </c>
      <c r="I511" s="18">
        <f>'RW predict'!Q510</f>
        <v>12</v>
      </c>
      <c r="J511" s="18">
        <f>'RW predict'!F510</f>
        <v>10</v>
      </c>
      <c r="K511" s="18"/>
      <c r="L511" s="18"/>
      <c r="M511" s="18">
        <f>'RW predict'!P510</f>
        <v>59</v>
      </c>
      <c r="N511" s="18"/>
      <c r="O511" s="18">
        <f>'RW predict'!H510</f>
        <v>-6</v>
      </c>
      <c r="P511" s="18">
        <f>'RW predict'!I510</f>
        <v>18</v>
      </c>
      <c r="Q511" s="18">
        <f>'RW predict'!L510</f>
        <v>0</v>
      </c>
      <c r="R511" s="18">
        <f>'RW predict'!N510</f>
        <v>0</v>
      </c>
      <c r="S511" s="76">
        <f>'RW predict'!O510</f>
        <v>0</v>
      </c>
      <c r="T511" s="76">
        <f>'RW predict'!K510</f>
        <v>0</v>
      </c>
      <c r="U511" s="22">
        <f>'RW predict'!J510</f>
        <v>63</v>
      </c>
      <c r="V511" s="32">
        <f>IF(D511="G",'RW predict'!E510,0)</f>
        <v>0</v>
      </c>
      <c r="W511" s="18">
        <f>'RW predict'!R510</f>
        <v>0</v>
      </c>
      <c r="X511" s="18">
        <f>'RW predict'!T510</f>
        <v>0</v>
      </c>
      <c r="Y511" s="18">
        <f>'RW predict'!Y510</f>
        <v>0</v>
      </c>
      <c r="Z511" s="18">
        <f>'RW predict'!U510</f>
        <v>0</v>
      </c>
      <c r="AA511" s="18">
        <f>'RW predict'!W510</f>
        <v>0</v>
      </c>
    </row>
    <row r="512" spans="1:61" x14ac:dyDescent="0.3">
      <c r="A512" s="18">
        <v>509</v>
      </c>
      <c r="B512" s="18" t="str">
        <f>'RW predict'!A511</f>
        <v>Matt Nieto</v>
      </c>
      <c r="C512" s="18" t="str">
        <f>'RW predict'!B511</f>
        <v>SJ</v>
      </c>
      <c r="D512" s="22" t="str" cm="1">
        <f t="array" ref="D512">_xlfn.SWITCH('RW predict'!C511, "C", "F", "LW","F", "RW", "F", "D", "D", "G", "G", "other")</f>
        <v>F</v>
      </c>
      <c r="E512" s="32">
        <f t="shared" si="14"/>
        <v>610</v>
      </c>
      <c r="F512" s="35">
        <f>E512/assumptions!$B$2</f>
        <v>7.4390243902439028</v>
      </c>
      <c r="G512" s="36">
        <f t="shared" si="15"/>
        <v>630</v>
      </c>
      <c r="H512" s="18">
        <f>IF(NOT(D512="G"),'RW predict'!E511,0)</f>
        <v>7</v>
      </c>
      <c r="I512" s="18">
        <f>'RW predict'!Q511</f>
        <v>41</v>
      </c>
      <c r="J512" s="18">
        <f>'RW predict'!F511</f>
        <v>9</v>
      </c>
      <c r="K512" s="18"/>
      <c r="L512" s="18"/>
      <c r="M512" s="18">
        <f>'RW predict'!P511</f>
        <v>78</v>
      </c>
      <c r="N512" s="18"/>
      <c r="O512" s="18">
        <f>'RW predict'!H511</f>
        <v>-15</v>
      </c>
      <c r="P512" s="18">
        <f>'RW predict'!I511</f>
        <v>16</v>
      </c>
      <c r="Q512" s="18">
        <f>'RW predict'!L511</f>
        <v>0</v>
      </c>
      <c r="R512" s="18">
        <f>'RW predict'!N511</f>
        <v>0</v>
      </c>
      <c r="S512" s="76">
        <f>'RW predict'!O511</f>
        <v>0</v>
      </c>
      <c r="T512" s="76">
        <f>'RW predict'!K511</f>
        <v>0</v>
      </c>
      <c r="U512" s="22">
        <f>'RW predict'!J511</f>
        <v>76</v>
      </c>
      <c r="V512" s="32">
        <f>IF(D512="G",'RW predict'!E511,0)</f>
        <v>0</v>
      </c>
      <c r="W512" s="18">
        <f>'RW predict'!R511</f>
        <v>0</v>
      </c>
      <c r="X512" s="18">
        <f>'RW predict'!T511</f>
        <v>0</v>
      </c>
      <c r="Y512" s="18">
        <f>'RW predict'!Y511</f>
        <v>0</v>
      </c>
      <c r="Z512" s="18">
        <f>'RW predict'!U511</f>
        <v>0</v>
      </c>
      <c r="AA512" s="18">
        <f>'RW predict'!W511</f>
        <v>0</v>
      </c>
    </row>
    <row r="513" spans="1:27" x14ac:dyDescent="0.3">
      <c r="A513" s="18">
        <v>510</v>
      </c>
      <c r="B513" s="18" t="str">
        <f>'RW predict'!A512</f>
        <v>Scott Mayfield</v>
      </c>
      <c r="C513" s="18" t="str">
        <f>'RW predict'!B512</f>
        <v>NYI</v>
      </c>
      <c r="D513" s="22" t="str" cm="1">
        <f t="array" ref="D513">_xlfn.SWITCH('RW predict'!C512, "C", "F", "LW","F", "RW", "F", "D", "D", "G", "G", "other")</f>
        <v>D</v>
      </c>
      <c r="E513" s="32">
        <f t="shared" si="14"/>
        <v>1087</v>
      </c>
      <c r="F513" s="35">
        <f>E513/assumptions!$B$2</f>
        <v>13.25609756097561</v>
      </c>
      <c r="G513" s="36">
        <f t="shared" si="15"/>
        <v>457</v>
      </c>
      <c r="H513" s="18">
        <f>IF(NOT(D513="G"),'RW predict'!E512,0)</f>
        <v>3</v>
      </c>
      <c r="I513" s="18">
        <f>'RW predict'!Q512</f>
        <v>112</v>
      </c>
      <c r="J513" s="18">
        <f>'RW predict'!F512</f>
        <v>13</v>
      </c>
      <c r="K513" s="18"/>
      <c r="L513" s="18"/>
      <c r="M513" s="18">
        <f>'RW predict'!P512</f>
        <v>86</v>
      </c>
      <c r="N513" s="18"/>
      <c r="O513" s="18">
        <f>'RW predict'!H512</f>
        <v>-2</v>
      </c>
      <c r="P513" s="18">
        <f>'RW predict'!I512</f>
        <v>61</v>
      </c>
      <c r="Q513" s="18">
        <f>'RW predict'!L512</f>
        <v>0</v>
      </c>
      <c r="R513" s="18">
        <f>'RW predict'!N512</f>
        <v>0</v>
      </c>
      <c r="S513" s="76">
        <f>'RW predict'!O512</f>
        <v>1</v>
      </c>
      <c r="T513" s="76">
        <f>'RW predict'!K512</f>
        <v>0</v>
      </c>
      <c r="U513" s="22">
        <f>'RW predict'!J512</f>
        <v>102</v>
      </c>
      <c r="V513" s="32">
        <f>IF(D513="G",'RW predict'!E512,0)</f>
        <v>0</v>
      </c>
      <c r="W513" s="18">
        <f>'RW predict'!R512</f>
        <v>0</v>
      </c>
      <c r="X513" s="18">
        <f>'RW predict'!T512</f>
        <v>0</v>
      </c>
      <c r="Y513" s="18">
        <f>'RW predict'!Y512</f>
        <v>0</v>
      </c>
      <c r="Z513" s="18">
        <f>'RW predict'!U512</f>
        <v>0</v>
      </c>
      <c r="AA513" s="18">
        <f>'RW predict'!W512</f>
        <v>0</v>
      </c>
    </row>
    <row r="514" spans="1:27" x14ac:dyDescent="0.3">
      <c r="A514" s="18">
        <v>511</v>
      </c>
      <c r="B514" s="18" t="str">
        <f>'RW predict'!A513</f>
        <v>Sam Carrick</v>
      </c>
      <c r="C514" s="18" t="str">
        <f>'RW predict'!B513</f>
        <v>ANH</v>
      </c>
      <c r="D514" s="22" t="str" cm="1">
        <f t="array" ref="D514">_xlfn.SWITCH('RW predict'!C513, "C", "F", "LW","F", "RW", "F", "D", "D", "G", "G", "other")</f>
        <v>F</v>
      </c>
      <c r="E514" s="32">
        <f t="shared" si="14"/>
        <v>811</v>
      </c>
      <c r="F514" s="35">
        <f>E514/assumptions!$B$2</f>
        <v>9.8902439024390247</v>
      </c>
      <c r="G514" s="36">
        <f t="shared" si="15"/>
        <v>569</v>
      </c>
      <c r="H514" s="18">
        <f>IF(NOT(D514="G"),'RW predict'!E513,0)</f>
        <v>7</v>
      </c>
      <c r="I514" s="18">
        <f>'RW predict'!Q513</f>
        <v>19</v>
      </c>
      <c r="J514" s="18">
        <f>'RW predict'!F513</f>
        <v>8</v>
      </c>
      <c r="K514" s="18"/>
      <c r="L514" s="18"/>
      <c r="M514" s="18">
        <f>'RW predict'!P513</f>
        <v>113</v>
      </c>
      <c r="N514" s="18"/>
      <c r="O514" s="18">
        <f>'RW predict'!H513</f>
        <v>-10</v>
      </c>
      <c r="P514" s="18">
        <f>'RW predict'!I513</f>
        <v>75</v>
      </c>
      <c r="Q514" s="18">
        <f>'RW predict'!L513</f>
        <v>0</v>
      </c>
      <c r="R514" s="18">
        <f>'RW predict'!N513</f>
        <v>0</v>
      </c>
      <c r="S514" s="76">
        <f>'RW predict'!O513</f>
        <v>1</v>
      </c>
      <c r="T514" s="76">
        <f>'RW predict'!K513</f>
        <v>0</v>
      </c>
      <c r="U514" s="22">
        <f>'RW predict'!J513</f>
        <v>75</v>
      </c>
      <c r="V514" s="32">
        <f>IF(D514="G",'RW predict'!E513,0)</f>
        <v>0</v>
      </c>
      <c r="W514" s="18">
        <f>'RW predict'!R513</f>
        <v>0</v>
      </c>
      <c r="X514" s="18">
        <f>'RW predict'!T513</f>
        <v>0</v>
      </c>
      <c r="Y514" s="18">
        <f>'RW predict'!Y513</f>
        <v>0</v>
      </c>
      <c r="Z514" s="18">
        <f>'RW predict'!U513</f>
        <v>0</v>
      </c>
      <c r="AA514" s="18">
        <f>'RW predict'!W513</f>
        <v>0</v>
      </c>
    </row>
    <row r="515" spans="1:27" x14ac:dyDescent="0.3">
      <c r="A515" s="18">
        <v>512</v>
      </c>
      <c r="B515" s="18" t="str">
        <f>'RW predict'!A514</f>
        <v>Riley Sheahan</v>
      </c>
      <c r="C515" s="18" t="str">
        <f>'RW predict'!B514</f>
        <v>BUF</v>
      </c>
      <c r="D515" s="22" t="str" cm="1">
        <f t="array" ref="D515">_xlfn.SWITCH('RW predict'!C514, "C", "F", "LW","F", "RW", "F", "D", "D", "G", "G", "other")</f>
        <v>F</v>
      </c>
      <c r="E515" s="32">
        <f t="shared" si="14"/>
        <v>595</v>
      </c>
      <c r="F515" s="35">
        <f>E515/assumptions!$B$2</f>
        <v>7.2560975609756095</v>
      </c>
      <c r="G515" s="36">
        <f t="shared" si="15"/>
        <v>638</v>
      </c>
      <c r="H515" s="18">
        <f>IF(NOT(D515="G"),'RW predict'!E514,0)</f>
        <v>4</v>
      </c>
      <c r="I515" s="18">
        <f>'RW predict'!Q514</f>
        <v>23</v>
      </c>
      <c r="J515" s="18">
        <f>'RW predict'!F514</f>
        <v>11</v>
      </c>
      <c r="K515" s="18"/>
      <c r="L515" s="18"/>
      <c r="M515" s="18">
        <f>'RW predict'!P514</f>
        <v>16</v>
      </c>
      <c r="N515" s="18"/>
      <c r="O515" s="18">
        <f>'RW predict'!H514</f>
        <v>2</v>
      </c>
      <c r="P515" s="18">
        <f>'RW predict'!I514</f>
        <v>4</v>
      </c>
      <c r="Q515" s="18">
        <f>'RW predict'!L514</f>
        <v>0</v>
      </c>
      <c r="R515" s="18">
        <f>'RW predict'!N514</f>
        <v>0</v>
      </c>
      <c r="S515" s="76">
        <f>'RW predict'!O514</f>
        <v>1</v>
      </c>
      <c r="T515" s="76">
        <f>'RW predict'!K514</f>
        <v>0</v>
      </c>
      <c r="U515" s="22">
        <f>'RW predict'!J514</f>
        <v>58</v>
      </c>
      <c r="V515" s="32">
        <f>IF(D515="G",'RW predict'!E514,0)</f>
        <v>0</v>
      </c>
      <c r="W515" s="18">
        <f>'RW predict'!R514</f>
        <v>0</v>
      </c>
      <c r="X515" s="18">
        <f>'RW predict'!T514</f>
        <v>0</v>
      </c>
      <c r="Y515" s="18">
        <f>'RW predict'!Y514</f>
        <v>0</v>
      </c>
      <c r="Z515" s="18">
        <f>'RW predict'!U514</f>
        <v>0</v>
      </c>
      <c r="AA515" s="18">
        <f>'RW predict'!W514</f>
        <v>0</v>
      </c>
    </row>
    <row r="516" spans="1:27" x14ac:dyDescent="0.3">
      <c r="A516" s="18">
        <v>513</v>
      </c>
      <c r="B516" s="18" t="str">
        <f>'RW predict'!A515</f>
        <v>Brayden McNabb</v>
      </c>
      <c r="C516" s="18" t="str">
        <f>'RW predict'!B515</f>
        <v>VGK</v>
      </c>
      <c r="D516" s="22" t="str" cm="1">
        <f t="array" ref="D516">_xlfn.SWITCH('RW predict'!C515, "C", "F", "LW","F", "RW", "F", "D", "D", "G", "G", "other")</f>
        <v>D</v>
      </c>
      <c r="E516" s="32">
        <f t="shared" si="14"/>
        <v>1295</v>
      </c>
      <c r="F516" s="35">
        <f>E516/assumptions!$B$2</f>
        <v>15.792682926829269</v>
      </c>
      <c r="G516" s="36">
        <f t="shared" si="15"/>
        <v>371</v>
      </c>
      <c r="H516" s="18">
        <f>IF(NOT(D516="G"),'RW predict'!E515,0)</f>
        <v>2</v>
      </c>
      <c r="I516" s="18">
        <f>'RW predict'!Q515</f>
        <v>171</v>
      </c>
      <c r="J516" s="18">
        <f>'RW predict'!F515</f>
        <v>13</v>
      </c>
      <c r="K516" s="18"/>
      <c r="L516" s="18"/>
      <c r="M516" s="18">
        <f>'RW predict'!P515</f>
        <v>172</v>
      </c>
      <c r="N516" s="18"/>
      <c r="O516" s="18">
        <f>'RW predict'!H515</f>
        <v>10</v>
      </c>
      <c r="P516" s="18">
        <f>'RW predict'!I515</f>
        <v>42</v>
      </c>
      <c r="Q516" s="18">
        <f>'RW predict'!L515</f>
        <v>0</v>
      </c>
      <c r="R516" s="18">
        <f>'RW predict'!N515</f>
        <v>0</v>
      </c>
      <c r="S516" s="76">
        <f>'RW predict'!O515</f>
        <v>1</v>
      </c>
      <c r="T516" s="76">
        <f>'RW predict'!K515</f>
        <v>0</v>
      </c>
      <c r="U516" s="22">
        <f>'RW predict'!J515</f>
        <v>85</v>
      </c>
      <c r="V516" s="32">
        <f>IF(D516="G",'RW predict'!E515,0)</f>
        <v>0</v>
      </c>
      <c r="W516" s="18">
        <f>'RW predict'!R515</f>
        <v>0</v>
      </c>
      <c r="X516" s="18">
        <f>'RW predict'!T515</f>
        <v>0</v>
      </c>
      <c r="Y516" s="18">
        <f>'RW predict'!Y515</f>
        <v>0</v>
      </c>
      <c r="Z516" s="18">
        <f>'RW predict'!U515</f>
        <v>0</v>
      </c>
      <c r="AA516" s="18">
        <f>'RW predict'!W515</f>
        <v>0</v>
      </c>
    </row>
    <row r="517" spans="1:27" x14ac:dyDescent="0.3">
      <c r="A517" s="18">
        <v>514</v>
      </c>
      <c r="B517" s="18" t="str">
        <f>'RW predict'!A516</f>
        <v>Marc Staal</v>
      </c>
      <c r="C517" s="18" t="str">
        <f>'RW predict'!B516</f>
        <v>FLA</v>
      </c>
      <c r="D517" s="22" t="str" cm="1">
        <f t="array" ref="D517">_xlfn.SWITCH('RW predict'!C516, "C", "F", "LW","F", "RW", "F", "D", "D", "G", "G", "other")</f>
        <v>D</v>
      </c>
      <c r="E517" s="32">
        <f t="shared" ref="E517:E580" si="16">H517*$H$3+I517*I$3+K517*K$3+L517*L$3+M517*M$3+N517*N$3+V517*V$3+J517*J$3+O517*$O$3+P517*$P$3+Q517*$Q$3+R517*$R$3+S517*$S$3+T517*$T$3+U517*$U$3+W517*$W$3+X517*$X$3+Y517*$Y$3+Z517*$Z$3+AA517*$AA$3</f>
        <v>883</v>
      </c>
      <c r="F517" s="35">
        <f>E517/assumptions!$B$2</f>
        <v>10.768292682926829</v>
      </c>
      <c r="G517" s="36">
        <f t="shared" ref="G517:G580" si="17">RANK(E517,$E$4:$E$1100)</f>
        <v>536</v>
      </c>
      <c r="H517" s="18">
        <f>IF(NOT(D517="G"),'RW predict'!E516,0)</f>
        <v>2</v>
      </c>
      <c r="I517" s="18">
        <f>'RW predict'!Q516</f>
        <v>71</v>
      </c>
      <c r="J517" s="18">
        <f>'RW predict'!F516</f>
        <v>13</v>
      </c>
      <c r="K517" s="18"/>
      <c r="L517" s="18"/>
      <c r="M517" s="18">
        <f>'RW predict'!P516</f>
        <v>88</v>
      </c>
      <c r="N517" s="18"/>
      <c r="O517" s="18">
        <f>'RW predict'!H516</f>
        <v>6</v>
      </c>
      <c r="P517" s="18">
        <f>'RW predict'!I516</f>
        <v>26</v>
      </c>
      <c r="Q517" s="18">
        <f>'RW predict'!L516</f>
        <v>0</v>
      </c>
      <c r="R517" s="18">
        <f>'RW predict'!N516</f>
        <v>0</v>
      </c>
      <c r="S517" s="76">
        <f>'RW predict'!O516</f>
        <v>0</v>
      </c>
      <c r="T517" s="76">
        <f>'RW predict'!K516</f>
        <v>0</v>
      </c>
      <c r="U517" s="22">
        <f>'RW predict'!J516</f>
        <v>70</v>
      </c>
      <c r="V517" s="32">
        <f>IF(D517="G",'RW predict'!E516,0)</f>
        <v>0</v>
      </c>
      <c r="W517" s="18">
        <f>'RW predict'!R516</f>
        <v>0</v>
      </c>
      <c r="X517" s="18">
        <f>'RW predict'!T516</f>
        <v>0</v>
      </c>
      <c r="Y517" s="18">
        <f>'RW predict'!Y516</f>
        <v>0</v>
      </c>
      <c r="Z517" s="18">
        <f>'RW predict'!U516</f>
        <v>0</v>
      </c>
      <c r="AA517" s="18">
        <f>'RW predict'!W516</f>
        <v>0</v>
      </c>
    </row>
    <row r="518" spans="1:27" x14ac:dyDescent="0.3">
      <c r="A518" s="18">
        <v>515</v>
      </c>
      <c r="B518" s="18" t="str">
        <f>'RW predict'!A517</f>
        <v>Zdeno Chara</v>
      </c>
      <c r="C518" s="18" t="str">
        <f>'RW predict'!B517</f>
        <v>FA</v>
      </c>
      <c r="D518" s="22" t="str" cm="1">
        <f t="array" ref="D518">_xlfn.SWITCH('RW predict'!C517, "C", "F", "LW","F", "RW", "F", "D", "D", "G", "G", "other")</f>
        <v>D</v>
      </c>
      <c r="E518" s="32">
        <f t="shared" si="16"/>
        <v>1192</v>
      </c>
      <c r="F518" s="35">
        <f>E518/assumptions!$B$2</f>
        <v>14.536585365853659</v>
      </c>
      <c r="G518" s="36">
        <f t="shared" si="17"/>
        <v>404</v>
      </c>
      <c r="H518" s="18">
        <f>IF(NOT(D518="G"),'RW predict'!E517,0)</f>
        <v>3</v>
      </c>
      <c r="I518" s="18">
        <f>'RW predict'!Q517</f>
        <v>93</v>
      </c>
      <c r="J518" s="18">
        <f>'RW predict'!F517</f>
        <v>12</v>
      </c>
      <c r="K518" s="18"/>
      <c r="L518" s="18"/>
      <c r="M518" s="18">
        <f>'RW predict'!P517</f>
        <v>121</v>
      </c>
      <c r="N518" s="18"/>
      <c r="O518" s="18">
        <f>'RW predict'!H517</f>
        <v>10</v>
      </c>
      <c r="P518" s="18">
        <f>'RW predict'!I517</f>
        <v>80</v>
      </c>
      <c r="Q518" s="18">
        <f>'RW predict'!L517</f>
        <v>0</v>
      </c>
      <c r="R518" s="18">
        <f>'RW predict'!N517</f>
        <v>0</v>
      </c>
      <c r="S518" s="76">
        <f>'RW predict'!O517</f>
        <v>0</v>
      </c>
      <c r="T518" s="76">
        <f>'RW predict'!K517</f>
        <v>0</v>
      </c>
      <c r="U518" s="22">
        <f>'RW predict'!J517</f>
        <v>85</v>
      </c>
      <c r="V518" s="32">
        <f>IF(D518="G",'RW predict'!E517,0)</f>
        <v>0</v>
      </c>
      <c r="W518" s="18">
        <f>'RW predict'!R517</f>
        <v>0</v>
      </c>
      <c r="X518" s="18">
        <f>'RW predict'!T517</f>
        <v>0</v>
      </c>
      <c r="Y518" s="18">
        <f>'RW predict'!Y517</f>
        <v>0</v>
      </c>
      <c r="Z518" s="18">
        <f>'RW predict'!U517</f>
        <v>0</v>
      </c>
      <c r="AA518" s="18">
        <f>'RW predict'!W517</f>
        <v>0</v>
      </c>
    </row>
    <row r="519" spans="1:27" x14ac:dyDescent="0.3">
      <c r="A519" s="18">
        <v>516</v>
      </c>
      <c r="B519" s="18" t="str">
        <f>'RW predict'!A518</f>
        <v>Joe Thornton</v>
      </c>
      <c r="C519" s="18" t="str">
        <f>'RW predict'!B518</f>
        <v>FA</v>
      </c>
      <c r="D519" s="22" t="str" cm="1">
        <f t="array" ref="D519">_xlfn.SWITCH('RW predict'!C518, "C", "F", "LW","F", "RW", "F", "D", "D", "G", "G", "other")</f>
        <v>F</v>
      </c>
      <c r="E519" s="32">
        <f t="shared" si="16"/>
        <v>491</v>
      </c>
      <c r="F519" s="35">
        <f>E519/assumptions!$B$2</f>
        <v>5.9878048780487809</v>
      </c>
      <c r="G519" s="36">
        <f t="shared" si="17"/>
        <v>686</v>
      </c>
      <c r="H519" s="18">
        <f>IF(NOT(D519="G"),'RW predict'!E518,0)</f>
        <v>6</v>
      </c>
      <c r="I519" s="18">
        <f>'RW predict'!Q518</f>
        <v>13</v>
      </c>
      <c r="J519" s="18">
        <f>'RW predict'!F518</f>
        <v>9</v>
      </c>
      <c r="K519" s="18"/>
      <c r="L519" s="18"/>
      <c r="M519" s="18">
        <f>'RW predict'!P518</f>
        <v>24</v>
      </c>
      <c r="N519" s="18"/>
      <c r="O519" s="18">
        <f>'RW predict'!H518</f>
        <v>-9</v>
      </c>
      <c r="P519" s="18">
        <f>'RW predict'!I518</f>
        <v>14</v>
      </c>
      <c r="Q519" s="18">
        <f>'RW predict'!L518</f>
        <v>2</v>
      </c>
      <c r="R519" s="18">
        <f>'RW predict'!N518</f>
        <v>0</v>
      </c>
      <c r="S519" s="76">
        <f>'RW predict'!O518</f>
        <v>0</v>
      </c>
      <c r="T519" s="76">
        <f>'RW predict'!K518</f>
        <v>1</v>
      </c>
      <c r="U519" s="22">
        <f>'RW predict'!J518</f>
        <v>37</v>
      </c>
      <c r="V519" s="32">
        <f>IF(D519="G",'RW predict'!E518,0)</f>
        <v>0</v>
      </c>
      <c r="W519" s="18">
        <f>'RW predict'!R518</f>
        <v>0</v>
      </c>
      <c r="X519" s="18">
        <f>'RW predict'!T518</f>
        <v>0</v>
      </c>
      <c r="Y519" s="18">
        <f>'RW predict'!Y518</f>
        <v>0</v>
      </c>
      <c r="Z519" s="18">
        <f>'RW predict'!U518</f>
        <v>0</v>
      </c>
      <c r="AA519" s="18">
        <f>'RW predict'!W518</f>
        <v>0</v>
      </c>
    </row>
    <row r="520" spans="1:27" x14ac:dyDescent="0.3">
      <c r="A520" s="18">
        <v>517</v>
      </c>
      <c r="B520" s="18" t="str">
        <f>'RW predict'!A519</f>
        <v>Adam Erne</v>
      </c>
      <c r="C520" s="18" t="str">
        <f>'RW predict'!B519</f>
        <v>DET</v>
      </c>
      <c r="D520" s="22" t="str" cm="1">
        <f t="array" ref="D520">_xlfn.SWITCH('RW predict'!C519, "C", "F", "LW","F", "RW", "F", "D", "D", "G", "G", "other")</f>
        <v>F</v>
      </c>
      <c r="E520" s="32">
        <f t="shared" si="16"/>
        <v>687</v>
      </c>
      <c r="F520" s="35">
        <f>E520/assumptions!$B$2</f>
        <v>8.3780487804878057</v>
      </c>
      <c r="G520" s="36">
        <f t="shared" si="17"/>
        <v>611</v>
      </c>
      <c r="H520" s="18">
        <f>IF(NOT(D520="G"),'RW predict'!E519,0)</f>
        <v>6</v>
      </c>
      <c r="I520" s="18">
        <f>'RW predict'!Q519</f>
        <v>30</v>
      </c>
      <c r="J520" s="18">
        <f>'RW predict'!F519</f>
        <v>9</v>
      </c>
      <c r="K520" s="18"/>
      <c r="L520" s="18"/>
      <c r="M520" s="18">
        <f>'RW predict'!P519</f>
        <v>124</v>
      </c>
      <c r="N520" s="18"/>
      <c r="O520" s="18">
        <f>'RW predict'!H519</f>
        <v>-13</v>
      </c>
      <c r="P520" s="18">
        <f>'RW predict'!I519</f>
        <v>26</v>
      </c>
      <c r="Q520" s="18">
        <f>'RW predict'!L519</f>
        <v>0</v>
      </c>
      <c r="R520" s="18">
        <f>'RW predict'!N519</f>
        <v>0</v>
      </c>
      <c r="S520" s="76">
        <f>'RW predict'!O519</f>
        <v>0</v>
      </c>
      <c r="T520" s="76">
        <f>'RW predict'!K519</f>
        <v>1</v>
      </c>
      <c r="U520" s="22">
        <f>'RW predict'!J519</f>
        <v>80</v>
      </c>
      <c r="V520" s="32">
        <f>IF(D520="G",'RW predict'!E519,0)</f>
        <v>0</v>
      </c>
      <c r="W520" s="18">
        <f>'RW predict'!R519</f>
        <v>0</v>
      </c>
      <c r="X520" s="18">
        <f>'RW predict'!T519</f>
        <v>0</v>
      </c>
      <c r="Y520" s="18">
        <f>'RW predict'!Y519</f>
        <v>0</v>
      </c>
      <c r="Z520" s="18">
        <f>'RW predict'!U519</f>
        <v>0</v>
      </c>
      <c r="AA520" s="18">
        <f>'RW predict'!W519</f>
        <v>0</v>
      </c>
    </row>
    <row r="521" spans="1:27" x14ac:dyDescent="0.3">
      <c r="A521" s="18">
        <v>518</v>
      </c>
      <c r="B521" s="18" t="str">
        <f>'RW predict'!A520</f>
        <v>Trevor van Riemsdyk</v>
      </c>
      <c r="C521" s="18" t="str">
        <f>'RW predict'!B520</f>
        <v>WAS</v>
      </c>
      <c r="D521" s="22" t="str" cm="1">
        <f t="array" ref="D521">_xlfn.SWITCH('RW predict'!C520, "C", "F", "LW","F", "RW", "F", "D", "D", "G", "G", "other")</f>
        <v>D</v>
      </c>
      <c r="E521" s="32">
        <f t="shared" si="16"/>
        <v>882</v>
      </c>
      <c r="F521" s="35">
        <f>E521/assumptions!$B$2</f>
        <v>10.75609756097561</v>
      </c>
      <c r="G521" s="36">
        <f t="shared" si="17"/>
        <v>537</v>
      </c>
      <c r="H521" s="18">
        <f>IF(NOT(D521="G"),'RW predict'!E520,0)</f>
        <v>1</v>
      </c>
      <c r="I521" s="18">
        <f>'RW predict'!Q520</f>
        <v>124</v>
      </c>
      <c r="J521" s="18">
        <f>'RW predict'!F520</f>
        <v>14</v>
      </c>
      <c r="K521" s="18"/>
      <c r="L521" s="18"/>
      <c r="M521" s="18">
        <f>'RW predict'!P520</f>
        <v>27</v>
      </c>
      <c r="N521" s="18"/>
      <c r="O521" s="18">
        <f>'RW predict'!H520</f>
        <v>-3</v>
      </c>
      <c r="P521" s="18">
        <f>'RW predict'!I520</f>
        <v>34</v>
      </c>
      <c r="Q521" s="18">
        <f>'RW predict'!L520</f>
        <v>0</v>
      </c>
      <c r="R521" s="18">
        <f>'RW predict'!N520</f>
        <v>0</v>
      </c>
      <c r="S521" s="76">
        <f>'RW predict'!O520</f>
        <v>1</v>
      </c>
      <c r="T521" s="76">
        <f>'RW predict'!K520</f>
        <v>0</v>
      </c>
      <c r="U521" s="22">
        <f>'RW predict'!J520</f>
        <v>75</v>
      </c>
      <c r="V521" s="32">
        <f>IF(D521="G",'RW predict'!E520,0)</f>
        <v>0</v>
      </c>
      <c r="W521" s="18">
        <f>'RW predict'!R520</f>
        <v>0</v>
      </c>
      <c r="X521" s="18">
        <f>'RW predict'!T520</f>
        <v>0</v>
      </c>
      <c r="Y521" s="18">
        <f>'RW predict'!Y520</f>
        <v>0</v>
      </c>
      <c r="Z521" s="18">
        <f>'RW predict'!U520</f>
        <v>0</v>
      </c>
      <c r="AA521" s="18">
        <f>'RW predict'!W520</f>
        <v>0</v>
      </c>
    </row>
    <row r="522" spans="1:27" x14ac:dyDescent="0.3">
      <c r="A522" s="18">
        <v>519</v>
      </c>
      <c r="B522" s="18" t="str">
        <f>'RW predict'!A521</f>
        <v>Dysin Mayo</v>
      </c>
      <c r="C522" s="18" t="str">
        <f>'RW predict'!B521</f>
        <v>ARI</v>
      </c>
      <c r="D522" s="22" t="str" cm="1">
        <f t="array" ref="D522">_xlfn.SWITCH('RW predict'!C521, "C", "F", "LW","F", "RW", "F", "D", "D", "G", "G", "other")</f>
        <v>D</v>
      </c>
      <c r="E522" s="32">
        <f t="shared" si="16"/>
        <v>859</v>
      </c>
      <c r="F522" s="35">
        <f>E522/assumptions!$B$2</f>
        <v>10.475609756097562</v>
      </c>
      <c r="G522" s="36">
        <f t="shared" si="17"/>
        <v>547</v>
      </c>
      <c r="H522" s="18">
        <f>IF(NOT(D522="G"),'RW predict'!E521,0)</f>
        <v>4</v>
      </c>
      <c r="I522" s="18">
        <f>'RW predict'!Q521</f>
        <v>147</v>
      </c>
      <c r="J522" s="18">
        <f>'RW predict'!F521</f>
        <v>11</v>
      </c>
      <c r="K522" s="18"/>
      <c r="L522" s="18"/>
      <c r="M522" s="18">
        <f>'RW predict'!P521</f>
        <v>146</v>
      </c>
      <c r="N522" s="18"/>
      <c r="O522" s="18">
        <f>'RW predict'!H521</f>
        <v>-22</v>
      </c>
      <c r="P522" s="18">
        <f>'RW predict'!I521</f>
        <v>32</v>
      </c>
      <c r="Q522" s="18">
        <f>'RW predict'!L521</f>
        <v>0</v>
      </c>
      <c r="R522" s="18">
        <f>'RW predict'!N521</f>
        <v>0</v>
      </c>
      <c r="S522" s="76">
        <f>'RW predict'!O521</f>
        <v>0</v>
      </c>
      <c r="T522" s="76">
        <f>'RW predict'!K521</f>
        <v>0</v>
      </c>
      <c r="U522" s="22">
        <f>'RW predict'!J521</f>
        <v>84</v>
      </c>
      <c r="V522" s="32">
        <f>IF(D522="G",'RW predict'!E521,0)</f>
        <v>0</v>
      </c>
      <c r="W522" s="18">
        <f>'RW predict'!R521</f>
        <v>0</v>
      </c>
      <c r="X522" s="18">
        <f>'RW predict'!T521</f>
        <v>0</v>
      </c>
      <c r="Y522" s="18">
        <f>'RW predict'!Y521</f>
        <v>0</v>
      </c>
      <c r="Z522" s="18">
        <f>'RW predict'!U521</f>
        <v>0</v>
      </c>
      <c r="AA522" s="18">
        <f>'RW predict'!W521</f>
        <v>0</v>
      </c>
    </row>
    <row r="523" spans="1:27" x14ac:dyDescent="0.3">
      <c r="A523" s="18">
        <v>520</v>
      </c>
      <c r="B523" s="18" t="str">
        <f>'RW predict'!A522</f>
        <v>Dylan DeMelo</v>
      </c>
      <c r="C523" s="18" t="str">
        <f>'RW predict'!B522</f>
        <v>WPG</v>
      </c>
      <c r="D523" s="22" t="str" cm="1">
        <f t="array" ref="D523">_xlfn.SWITCH('RW predict'!C522, "C", "F", "LW","F", "RW", "F", "D", "D", "G", "G", "other")</f>
        <v>D</v>
      </c>
      <c r="E523" s="32">
        <f t="shared" si="16"/>
        <v>1050</v>
      </c>
      <c r="F523" s="35">
        <f>E523/assumptions!$B$2</f>
        <v>12.804878048780488</v>
      </c>
      <c r="G523" s="36">
        <f t="shared" si="17"/>
        <v>465</v>
      </c>
      <c r="H523" s="18">
        <f>IF(NOT(D523="G"),'RW predict'!E522,0)</f>
        <v>1</v>
      </c>
      <c r="I523" s="18">
        <f>'RW predict'!Q522</f>
        <v>103</v>
      </c>
      <c r="J523" s="18">
        <f>'RW predict'!F522</f>
        <v>14</v>
      </c>
      <c r="K523" s="18"/>
      <c r="L523" s="18"/>
      <c r="M523" s="18">
        <f>'RW predict'!P522</f>
        <v>115</v>
      </c>
      <c r="N523" s="18"/>
      <c r="O523" s="18">
        <f>'RW predict'!H522</f>
        <v>10</v>
      </c>
      <c r="P523" s="18">
        <f>'RW predict'!I522</f>
        <v>30</v>
      </c>
      <c r="Q523" s="18">
        <f>'RW predict'!L522</f>
        <v>0</v>
      </c>
      <c r="R523" s="18">
        <f>'RW predict'!N522</f>
        <v>0</v>
      </c>
      <c r="S523" s="76">
        <f>'RW predict'!O522</f>
        <v>1</v>
      </c>
      <c r="T523" s="76">
        <f>'RW predict'!K522</f>
        <v>0</v>
      </c>
      <c r="U523" s="22">
        <f>'RW predict'!J522</f>
        <v>77</v>
      </c>
      <c r="V523" s="32">
        <f>IF(D523="G",'RW predict'!E522,0)</f>
        <v>0</v>
      </c>
      <c r="W523" s="18">
        <f>'RW predict'!R522</f>
        <v>0</v>
      </c>
      <c r="X523" s="18">
        <f>'RW predict'!T522</f>
        <v>0</v>
      </c>
      <c r="Y523" s="18">
        <f>'RW predict'!Y522</f>
        <v>0</v>
      </c>
      <c r="Z523" s="18">
        <f>'RW predict'!U522</f>
        <v>0</v>
      </c>
      <c r="AA523" s="18">
        <f>'RW predict'!W522</f>
        <v>0</v>
      </c>
    </row>
    <row r="524" spans="1:27" x14ac:dyDescent="0.3">
      <c r="A524" s="18">
        <v>521</v>
      </c>
      <c r="B524" s="18" t="str">
        <f>'RW predict'!A523</f>
        <v>Ryan Lindgren</v>
      </c>
      <c r="C524" s="18" t="str">
        <f>'RW predict'!B523</f>
        <v>NYR</v>
      </c>
      <c r="D524" s="22" t="str" cm="1">
        <f t="array" ref="D524">_xlfn.SWITCH('RW predict'!C523, "C", "F", "LW","F", "RW", "F", "D", "D", "G", "G", "other")</f>
        <v>D</v>
      </c>
      <c r="E524" s="32">
        <f t="shared" si="16"/>
        <v>1252</v>
      </c>
      <c r="F524" s="35">
        <f>E524/assumptions!$B$2</f>
        <v>15.268292682926829</v>
      </c>
      <c r="G524" s="36">
        <f t="shared" si="17"/>
        <v>383</v>
      </c>
      <c r="H524" s="18">
        <f>IF(NOT(D524="G"),'RW predict'!E523,0)</f>
        <v>3</v>
      </c>
      <c r="I524" s="18">
        <f>'RW predict'!Q523</f>
        <v>136</v>
      </c>
      <c r="J524" s="18">
        <f>'RW predict'!F523</f>
        <v>12</v>
      </c>
      <c r="K524" s="18"/>
      <c r="L524" s="18"/>
      <c r="M524" s="18">
        <f>'RW predict'!P523</f>
        <v>127</v>
      </c>
      <c r="N524" s="18"/>
      <c r="O524" s="18">
        <f>'RW predict'!H523</f>
        <v>18</v>
      </c>
      <c r="P524" s="18">
        <f>'RW predict'!I523</f>
        <v>50</v>
      </c>
      <c r="Q524" s="18">
        <f>'RW predict'!L523</f>
        <v>0</v>
      </c>
      <c r="R524" s="18">
        <f>'RW predict'!N523</f>
        <v>0</v>
      </c>
      <c r="S524" s="76">
        <f>'RW predict'!O523</f>
        <v>0</v>
      </c>
      <c r="T524" s="76">
        <f>'RW predict'!K523</f>
        <v>0</v>
      </c>
      <c r="U524" s="22">
        <f>'RW predict'!J523</f>
        <v>74</v>
      </c>
      <c r="V524" s="32">
        <f>IF(D524="G",'RW predict'!E523,0)</f>
        <v>0</v>
      </c>
      <c r="W524" s="18">
        <f>'RW predict'!R523</f>
        <v>0</v>
      </c>
      <c r="X524" s="18">
        <f>'RW predict'!T523</f>
        <v>0</v>
      </c>
      <c r="Y524" s="18">
        <f>'RW predict'!Y523</f>
        <v>0</v>
      </c>
      <c r="Z524" s="18">
        <f>'RW predict'!U523</f>
        <v>0</v>
      </c>
      <c r="AA524" s="18">
        <f>'RW predict'!W523</f>
        <v>0</v>
      </c>
    </row>
    <row r="525" spans="1:27" x14ac:dyDescent="0.3">
      <c r="A525" s="18">
        <v>522</v>
      </c>
      <c r="B525" s="18" t="str">
        <f>'RW predict'!A524</f>
        <v>Erik Cernak</v>
      </c>
      <c r="C525" s="18" t="str">
        <f>'RW predict'!B524</f>
        <v>TB</v>
      </c>
      <c r="D525" s="22" t="str" cm="1">
        <f t="array" ref="D525">_xlfn.SWITCH('RW predict'!C524, "C", "F", "LW","F", "RW", "F", "D", "D", "G", "G", "other")</f>
        <v>D</v>
      </c>
      <c r="E525" s="32">
        <f t="shared" si="16"/>
        <v>1170</v>
      </c>
      <c r="F525" s="35">
        <f>E525/assumptions!$B$2</f>
        <v>14.268292682926829</v>
      </c>
      <c r="G525" s="36">
        <f t="shared" si="17"/>
        <v>415</v>
      </c>
      <c r="H525" s="18">
        <f>IF(NOT(D525="G"),'RW predict'!E524,0)</f>
        <v>3</v>
      </c>
      <c r="I525" s="18">
        <f>'RW predict'!Q524</f>
        <v>83</v>
      </c>
      <c r="J525" s="18">
        <f>'RW predict'!F524</f>
        <v>12</v>
      </c>
      <c r="K525" s="18"/>
      <c r="L525" s="18"/>
      <c r="M525" s="18">
        <f>'RW predict'!P524</f>
        <v>179</v>
      </c>
      <c r="N525" s="18"/>
      <c r="O525" s="18">
        <f>'RW predict'!H524</f>
        <v>9</v>
      </c>
      <c r="P525" s="18">
        <f>'RW predict'!I524</f>
        <v>54</v>
      </c>
      <c r="Q525" s="18">
        <f>'RW predict'!L524</f>
        <v>0</v>
      </c>
      <c r="R525" s="18">
        <f>'RW predict'!N524</f>
        <v>0</v>
      </c>
      <c r="S525" s="76">
        <f>'RW predict'!O524</f>
        <v>0</v>
      </c>
      <c r="T525" s="76">
        <f>'RW predict'!K524</f>
        <v>0</v>
      </c>
      <c r="U525" s="22">
        <f>'RW predict'!J524</f>
        <v>99</v>
      </c>
      <c r="V525" s="32">
        <f>IF(D525="G",'RW predict'!E524,0)</f>
        <v>0</v>
      </c>
      <c r="W525" s="18">
        <f>'RW predict'!R524</f>
        <v>0</v>
      </c>
      <c r="X525" s="18">
        <f>'RW predict'!T524</f>
        <v>0</v>
      </c>
      <c r="Y525" s="18">
        <f>'RW predict'!Y524</f>
        <v>0</v>
      </c>
      <c r="Z525" s="18">
        <f>'RW predict'!U524</f>
        <v>0</v>
      </c>
      <c r="AA525" s="18">
        <f>'RW predict'!W524</f>
        <v>0</v>
      </c>
    </row>
    <row r="526" spans="1:27" x14ac:dyDescent="0.3">
      <c r="A526" s="18">
        <v>523</v>
      </c>
      <c r="B526" s="18" t="str">
        <f>'RW predict'!A525</f>
        <v>Nikita Zaitsev</v>
      </c>
      <c r="C526" s="18" t="str">
        <f>'RW predict'!B525</f>
        <v>OTT</v>
      </c>
      <c r="D526" s="22" t="str" cm="1">
        <f t="array" ref="D526">_xlfn.SWITCH('RW predict'!C525, "C", "F", "LW","F", "RW", "F", "D", "D", "G", "G", "other")</f>
        <v>D</v>
      </c>
      <c r="E526" s="32">
        <f t="shared" si="16"/>
        <v>936</v>
      </c>
      <c r="F526" s="35">
        <f>E526/assumptions!$B$2</f>
        <v>11.414634146341463</v>
      </c>
      <c r="G526" s="36">
        <f t="shared" si="17"/>
        <v>519</v>
      </c>
      <c r="H526" s="18">
        <f>IF(NOT(D526="G"),'RW predict'!E525,0)</f>
        <v>3</v>
      </c>
      <c r="I526" s="18">
        <f>'RW predict'!Q525</f>
        <v>118</v>
      </c>
      <c r="J526" s="18">
        <f>'RW predict'!F525</f>
        <v>12</v>
      </c>
      <c r="K526" s="18"/>
      <c r="L526" s="18"/>
      <c r="M526" s="18">
        <f>'RW predict'!P525</f>
        <v>141</v>
      </c>
      <c r="N526" s="18"/>
      <c r="O526" s="18">
        <f>'RW predict'!H525</f>
        <v>-8</v>
      </c>
      <c r="P526" s="18">
        <f>'RW predict'!I525</f>
        <v>32</v>
      </c>
      <c r="Q526" s="18">
        <f>'RW predict'!L525</f>
        <v>0</v>
      </c>
      <c r="R526" s="18">
        <f>'RW predict'!N525</f>
        <v>0</v>
      </c>
      <c r="S526" s="76">
        <f>'RW predict'!O525</f>
        <v>1</v>
      </c>
      <c r="T526" s="76">
        <f>'RW predict'!K525</f>
        <v>0</v>
      </c>
      <c r="U526" s="22">
        <f>'RW predict'!J525</f>
        <v>79</v>
      </c>
      <c r="V526" s="32">
        <f>IF(D526="G",'RW predict'!E525,0)</f>
        <v>0</v>
      </c>
      <c r="W526" s="18">
        <f>'RW predict'!R525</f>
        <v>0</v>
      </c>
      <c r="X526" s="18">
        <f>'RW predict'!T525</f>
        <v>0</v>
      </c>
      <c r="Y526" s="18">
        <f>'RW predict'!Y525</f>
        <v>0</v>
      </c>
      <c r="Z526" s="18">
        <f>'RW predict'!U525</f>
        <v>0</v>
      </c>
      <c r="AA526" s="18">
        <f>'RW predict'!W525</f>
        <v>0</v>
      </c>
    </row>
    <row r="527" spans="1:27" x14ac:dyDescent="0.3">
      <c r="A527" s="18">
        <v>524</v>
      </c>
      <c r="B527" s="18" t="str">
        <f>'RW predict'!A526</f>
        <v>Dryden Hunt</v>
      </c>
      <c r="C527" s="18" t="str">
        <f>'RW predict'!B526</f>
        <v>NYR</v>
      </c>
      <c r="D527" s="22" t="str" cm="1">
        <f t="array" ref="D527">_xlfn.SWITCH('RW predict'!C526, "C", "F", "LW","F", "RW", "F", "D", "D", "G", "G", "other")</f>
        <v>F</v>
      </c>
      <c r="E527" s="32">
        <f t="shared" si="16"/>
        <v>835</v>
      </c>
      <c r="F527" s="35">
        <f>E527/assumptions!$B$2</f>
        <v>10.182926829268293</v>
      </c>
      <c r="G527" s="36">
        <f t="shared" si="17"/>
        <v>555</v>
      </c>
      <c r="H527" s="18">
        <f>IF(NOT(D527="G"),'RW predict'!E526,0)</f>
        <v>6</v>
      </c>
      <c r="I527" s="18">
        <f>'RW predict'!Q526</f>
        <v>17</v>
      </c>
      <c r="J527" s="18">
        <f>'RW predict'!F526</f>
        <v>9</v>
      </c>
      <c r="K527" s="18"/>
      <c r="L527" s="18"/>
      <c r="M527" s="18">
        <f>'RW predict'!P526</f>
        <v>150</v>
      </c>
      <c r="N527" s="18"/>
      <c r="O527" s="18">
        <f>'RW predict'!H526</f>
        <v>-8</v>
      </c>
      <c r="P527" s="18">
        <f>'RW predict'!I526</f>
        <v>48</v>
      </c>
      <c r="Q527" s="18">
        <f>'RW predict'!L526</f>
        <v>0</v>
      </c>
      <c r="R527" s="18">
        <f>'RW predict'!N526</f>
        <v>0</v>
      </c>
      <c r="S527" s="76">
        <f>'RW predict'!O526</f>
        <v>0</v>
      </c>
      <c r="T527" s="76">
        <f>'RW predict'!K526</f>
        <v>1</v>
      </c>
      <c r="U527" s="22">
        <f>'RW predict'!J526</f>
        <v>96</v>
      </c>
      <c r="V527" s="32">
        <f>IF(D527="G",'RW predict'!E526,0)</f>
        <v>0</v>
      </c>
      <c r="W527" s="18">
        <f>'RW predict'!R526</f>
        <v>0</v>
      </c>
      <c r="X527" s="18">
        <f>'RW predict'!T526</f>
        <v>0</v>
      </c>
      <c r="Y527" s="18">
        <f>'RW predict'!Y526</f>
        <v>0</v>
      </c>
      <c r="Z527" s="18">
        <f>'RW predict'!U526</f>
        <v>0</v>
      </c>
      <c r="AA527" s="18">
        <f>'RW predict'!W526</f>
        <v>0</v>
      </c>
    </row>
    <row r="528" spans="1:27" x14ac:dyDescent="0.3">
      <c r="A528" s="18">
        <v>525</v>
      </c>
      <c r="B528" s="18" t="str">
        <f>'RW predict'!A527</f>
        <v>Sebastian Aho</v>
      </c>
      <c r="C528" s="18" t="str">
        <f>'RW predict'!B527</f>
        <v>NYI</v>
      </c>
      <c r="D528" s="22" t="str" cm="1">
        <f t="array" ref="D528">_xlfn.SWITCH('RW predict'!C527, "C", "F", "LW","F", "RW", "F", "D", "D", "G", "G", "other")</f>
        <v>D</v>
      </c>
      <c r="E528" s="32">
        <f t="shared" si="16"/>
        <v>604</v>
      </c>
      <c r="F528" s="35">
        <f>E528/assumptions!$B$2</f>
        <v>7.3658536585365857</v>
      </c>
      <c r="G528" s="36">
        <f t="shared" si="17"/>
        <v>635</v>
      </c>
      <c r="H528" s="18">
        <f>IF(NOT(D528="G"),'RW predict'!E527,0)</f>
        <v>2</v>
      </c>
      <c r="I528" s="18">
        <f>'RW predict'!Q527</f>
        <v>49</v>
      </c>
      <c r="J528" s="18">
        <f>'RW predict'!F527</f>
        <v>13</v>
      </c>
      <c r="K528" s="18"/>
      <c r="L528" s="18"/>
      <c r="M528" s="18">
        <f>'RW predict'!P527</f>
        <v>35</v>
      </c>
      <c r="N528" s="18"/>
      <c r="O528" s="18">
        <f>'RW predict'!H527</f>
        <v>-5</v>
      </c>
      <c r="P528" s="18">
        <f>'RW predict'!I527</f>
        <v>14</v>
      </c>
      <c r="Q528" s="18">
        <f>'RW predict'!L527</f>
        <v>0</v>
      </c>
      <c r="R528" s="18">
        <f>'RW predict'!N527</f>
        <v>0</v>
      </c>
      <c r="S528" s="76">
        <f>'RW predict'!O527</f>
        <v>0</v>
      </c>
      <c r="T528" s="76">
        <f>'RW predict'!K527</f>
        <v>0</v>
      </c>
      <c r="U528" s="22">
        <f>'RW predict'!J527</f>
        <v>52</v>
      </c>
      <c r="V528" s="32">
        <f>IF(D528="G",'RW predict'!E527,0)</f>
        <v>0</v>
      </c>
      <c r="W528" s="18">
        <f>'RW predict'!R527</f>
        <v>0</v>
      </c>
      <c r="X528" s="18">
        <f>'RW predict'!T527</f>
        <v>0</v>
      </c>
      <c r="Y528" s="18">
        <f>'RW predict'!Y527</f>
        <v>0</v>
      </c>
      <c r="Z528" s="18">
        <f>'RW predict'!U527</f>
        <v>0</v>
      </c>
      <c r="AA528" s="18">
        <f>'RW predict'!W527</f>
        <v>0</v>
      </c>
    </row>
    <row r="529" spans="1:27" x14ac:dyDescent="0.3">
      <c r="A529" s="18">
        <v>526</v>
      </c>
      <c r="B529" s="18" t="str">
        <f>'RW predict'!A528</f>
        <v>Morgan Geekie</v>
      </c>
      <c r="C529" s="18" t="str">
        <f>'RW predict'!B528</f>
        <v>SEA</v>
      </c>
      <c r="D529" s="22" t="str" cm="1">
        <f t="array" ref="D529">_xlfn.SWITCH('RW predict'!C528, "C", "F", "LW","F", "RW", "F", "D", "D", "G", "G", "other")</f>
        <v>F</v>
      </c>
      <c r="E529" s="32">
        <f t="shared" si="16"/>
        <v>546</v>
      </c>
      <c r="F529" s="35">
        <f>E529/assumptions!$B$2</f>
        <v>6.6585365853658534</v>
      </c>
      <c r="G529" s="36">
        <f t="shared" si="17"/>
        <v>660</v>
      </c>
      <c r="H529" s="18">
        <f>IF(NOT(D529="G"),'RW predict'!E528,0)</f>
        <v>5</v>
      </c>
      <c r="I529" s="18">
        <f>'RW predict'!Q528</f>
        <v>16</v>
      </c>
      <c r="J529" s="18">
        <f>'RW predict'!F528</f>
        <v>10</v>
      </c>
      <c r="K529" s="18"/>
      <c r="L529" s="18"/>
      <c r="M529" s="18">
        <f>'RW predict'!P528</f>
        <v>41</v>
      </c>
      <c r="N529" s="18"/>
      <c r="O529" s="18">
        <f>'RW predict'!H528</f>
        <v>-10</v>
      </c>
      <c r="P529" s="18">
        <f>'RW predict'!I528</f>
        <v>14</v>
      </c>
      <c r="Q529" s="18">
        <f>'RW predict'!L528</f>
        <v>1</v>
      </c>
      <c r="R529" s="18">
        <f>'RW predict'!N528</f>
        <v>0</v>
      </c>
      <c r="S529" s="76">
        <f>'RW predict'!O528</f>
        <v>0</v>
      </c>
      <c r="T529" s="76">
        <f>'RW predict'!K528</f>
        <v>0</v>
      </c>
      <c r="U529" s="22">
        <f>'RW predict'!J528</f>
        <v>73</v>
      </c>
      <c r="V529" s="32">
        <f>IF(D529="G",'RW predict'!E528,0)</f>
        <v>0</v>
      </c>
      <c r="W529" s="18">
        <f>'RW predict'!R528</f>
        <v>0</v>
      </c>
      <c r="X529" s="18">
        <f>'RW predict'!T528</f>
        <v>0</v>
      </c>
      <c r="Y529" s="18">
        <f>'RW predict'!Y528</f>
        <v>0</v>
      </c>
      <c r="Z529" s="18">
        <f>'RW predict'!U528</f>
        <v>0</v>
      </c>
      <c r="AA529" s="18">
        <f>'RW predict'!W528</f>
        <v>0</v>
      </c>
    </row>
    <row r="530" spans="1:27" x14ac:dyDescent="0.3">
      <c r="A530" s="18">
        <v>527</v>
      </c>
      <c r="B530" s="18" t="str">
        <f>'RW predict'!A529</f>
        <v>Rasmus Kupari</v>
      </c>
      <c r="C530" s="18" t="str">
        <f>'RW predict'!B529</f>
        <v>LA</v>
      </c>
      <c r="D530" s="22" t="str" cm="1">
        <f t="array" ref="D530">_xlfn.SWITCH('RW predict'!C529, "C", "F", "LW","F", "RW", "F", "D", "D", "G", "G", "other")</f>
        <v>F</v>
      </c>
      <c r="E530" s="32">
        <f t="shared" si="16"/>
        <v>639</v>
      </c>
      <c r="F530" s="35">
        <f>E530/assumptions!$B$2</f>
        <v>7.7926829268292686</v>
      </c>
      <c r="G530" s="36">
        <f t="shared" si="17"/>
        <v>621</v>
      </c>
      <c r="H530" s="18">
        <f>IF(NOT(D530="G"),'RW predict'!E529,0)</f>
        <v>6</v>
      </c>
      <c r="I530" s="18">
        <f>'RW predict'!Q529</f>
        <v>18</v>
      </c>
      <c r="J530" s="18">
        <f>'RW predict'!F529</f>
        <v>9</v>
      </c>
      <c r="K530" s="18"/>
      <c r="L530" s="18"/>
      <c r="M530" s="18">
        <f>'RW predict'!P529</f>
        <v>72</v>
      </c>
      <c r="N530" s="18"/>
      <c r="O530" s="18">
        <f>'RW predict'!H529</f>
        <v>-4</v>
      </c>
      <c r="P530" s="18">
        <f>'RW predict'!I529</f>
        <v>18</v>
      </c>
      <c r="Q530" s="18">
        <f>'RW predict'!L529</f>
        <v>1</v>
      </c>
      <c r="R530" s="18">
        <f>'RW predict'!N529</f>
        <v>0</v>
      </c>
      <c r="S530" s="76">
        <f>'RW predict'!O529</f>
        <v>0</v>
      </c>
      <c r="T530" s="76">
        <f>'RW predict'!K529</f>
        <v>1</v>
      </c>
      <c r="U530" s="22">
        <f>'RW predict'!J529</f>
        <v>56</v>
      </c>
      <c r="V530" s="32">
        <f>IF(D530="G",'RW predict'!E529,0)</f>
        <v>0</v>
      </c>
      <c r="W530" s="18">
        <f>'RW predict'!R529</f>
        <v>0</v>
      </c>
      <c r="X530" s="18">
        <f>'RW predict'!T529</f>
        <v>0</v>
      </c>
      <c r="Y530" s="18">
        <f>'RW predict'!Y529</f>
        <v>0</v>
      </c>
      <c r="Z530" s="18">
        <f>'RW predict'!U529</f>
        <v>0</v>
      </c>
      <c r="AA530" s="18">
        <f>'RW predict'!W529</f>
        <v>0</v>
      </c>
    </row>
    <row r="531" spans="1:27" x14ac:dyDescent="0.3">
      <c r="A531" s="18">
        <v>528</v>
      </c>
      <c r="B531" s="18" t="str">
        <f>'RW predict'!A530</f>
        <v>Alexander Romanov</v>
      </c>
      <c r="C531" s="18" t="str">
        <f>'RW predict'!B530</f>
        <v>NYI</v>
      </c>
      <c r="D531" s="22" t="str" cm="1">
        <f t="array" ref="D531">_xlfn.SWITCH('RW predict'!C530, "C", "F", "LW","F", "RW", "F", "D", "D", "G", "G", "other")</f>
        <v>D</v>
      </c>
      <c r="E531" s="32">
        <f t="shared" si="16"/>
        <v>1161</v>
      </c>
      <c r="F531" s="35">
        <f>E531/assumptions!$B$2</f>
        <v>14.158536585365853</v>
      </c>
      <c r="G531" s="36">
        <f t="shared" si="17"/>
        <v>420</v>
      </c>
      <c r="H531" s="18">
        <f>IF(NOT(D531="G"),'RW predict'!E530,0)</f>
        <v>3</v>
      </c>
      <c r="I531" s="18">
        <f>'RW predict'!Q530</f>
        <v>140</v>
      </c>
      <c r="J531" s="18">
        <f>'RW predict'!F530</f>
        <v>12</v>
      </c>
      <c r="K531" s="18"/>
      <c r="L531" s="18"/>
      <c r="M531" s="18">
        <f>'RW predict'!P530</f>
        <v>214</v>
      </c>
      <c r="N531" s="18"/>
      <c r="O531" s="18">
        <f>'RW predict'!H530</f>
        <v>-8</v>
      </c>
      <c r="P531" s="18">
        <f>'RW predict'!I530</f>
        <v>50</v>
      </c>
      <c r="Q531" s="18">
        <f>'RW predict'!L530</f>
        <v>0</v>
      </c>
      <c r="R531" s="18">
        <f>'RW predict'!N530</f>
        <v>0</v>
      </c>
      <c r="S531" s="76">
        <f>'RW predict'!O530</f>
        <v>0</v>
      </c>
      <c r="T531" s="76">
        <f>'RW predict'!K530</f>
        <v>0</v>
      </c>
      <c r="U531" s="22">
        <f>'RW predict'!J530</f>
        <v>111</v>
      </c>
      <c r="V531" s="32">
        <f>IF(D531="G",'RW predict'!E530,0)</f>
        <v>0</v>
      </c>
      <c r="W531" s="18">
        <f>'RW predict'!R530</f>
        <v>0</v>
      </c>
      <c r="X531" s="18">
        <f>'RW predict'!T530</f>
        <v>0</v>
      </c>
      <c r="Y531" s="18">
        <f>'RW predict'!Y530</f>
        <v>0</v>
      </c>
      <c r="Z531" s="18">
        <f>'RW predict'!U530</f>
        <v>0</v>
      </c>
      <c r="AA531" s="18">
        <f>'RW predict'!W530</f>
        <v>0</v>
      </c>
    </row>
    <row r="532" spans="1:27" x14ac:dyDescent="0.3">
      <c r="A532" s="18">
        <v>529</v>
      </c>
      <c r="B532" s="18" t="str">
        <f>'RW predict'!A531</f>
        <v>Quinton Byfield</v>
      </c>
      <c r="C532" s="18" t="str">
        <f>'RW predict'!B531</f>
        <v>LA</v>
      </c>
      <c r="D532" s="22" t="str" cm="1">
        <f t="array" ref="D532">_xlfn.SWITCH('RW predict'!C531, "C", "F", "LW","F", "RW", "F", "D", "D", "G", "G", "other")</f>
        <v>F</v>
      </c>
      <c r="E532" s="32">
        <f t="shared" si="16"/>
        <v>610</v>
      </c>
      <c r="F532" s="35">
        <f>E532/assumptions!$B$2</f>
        <v>7.4390243902439028</v>
      </c>
      <c r="G532" s="36">
        <f t="shared" si="17"/>
        <v>630</v>
      </c>
      <c r="H532" s="18">
        <f>IF(NOT(D532="G"),'RW predict'!E531,0)</f>
        <v>7</v>
      </c>
      <c r="I532" s="18">
        <f>'RW predict'!Q531</f>
        <v>15</v>
      </c>
      <c r="J532" s="18">
        <f>'RW predict'!F531</f>
        <v>8</v>
      </c>
      <c r="K532" s="18"/>
      <c r="L532" s="18"/>
      <c r="M532" s="18">
        <f>'RW predict'!P531</f>
        <v>28</v>
      </c>
      <c r="N532" s="18"/>
      <c r="O532" s="18">
        <f>'RW predict'!H531</f>
        <v>-8</v>
      </c>
      <c r="P532" s="18">
        <f>'RW predict'!I531</f>
        <v>27</v>
      </c>
      <c r="Q532" s="18">
        <f>'RW predict'!L531</f>
        <v>1</v>
      </c>
      <c r="R532" s="18">
        <f>'RW predict'!N531</f>
        <v>0</v>
      </c>
      <c r="S532" s="76">
        <f>'RW predict'!O531</f>
        <v>0</v>
      </c>
      <c r="T532" s="76">
        <f>'RW predict'!K531</f>
        <v>2</v>
      </c>
      <c r="U532" s="22">
        <f>'RW predict'!J531</f>
        <v>63</v>
      </c>
      <c r="V532" s="32">
        <f>IF(D532="G",'RW predict'!E531,0)</f>
        <v>0</v>
      </c>
      <c r="W532" s="18">
        <f>'RW predict'!R531</f>
        <v>0</v>
      </c>
      <c r="X532" s="18">
        <f>'RW predict'!T531</f>
        <v>0</v>
      </c>
      <c r="Y532" s="18">
        <f>'RW predict'!Y531</f>
        <v>0</v>
      </c>
      <c r="Z532" s="18">
        <f>'RW predict'!U531</f>
        <v>0</v>
      </c>
      <c r="AA532" s="18">
        <f>'RW predict'!W531</f>
        <v>0</v>
      </c>
    </row>
    <row r="533" spans="1:27" x14ac:dyDescent="0.3">
      <c r="A533" s="18">
        <v>530</v>
      </c>
      <c r="B533" s="18" t="str">
        <f>'RW predict'!A532</f>
        <v>Matias Maccelli</v>
      </c>
      <c r="C533" s="18" t="str">
        <f>'RW predict'!B532</f>
        <v>ARI</v>
      </c>
      <c r="D533" s="22" t="str" cm="1">
        <f t="array" ref="D533">_xlfn.SWITCH('RW predict'!C532, "C", "F", "LW","F", "RW", "F", "D", "D", "G", "G", "other")</f>
        <v>F</v>
      </c>
      <c r="E533" s="32">
        <f t="shared" si="16"/>
        <v>400</v>
      </c>
      <c r="F533" s="35">
        <f>E533/assumptions!$B$2</f>
        <v>4.8780487804878048</v>
      </c>
      <c r="G533" s="36">
        <f t="shared" si="17"/>
        <v>726</v>
      </c>
      <c r="H533" s="18">
        <f>IF(NOT(D533="G"),'RW predict'!E532,0)</f>
        <v>3</v>
      </c>
      <c r="I533" s="18">
        <f>'RW predict'!Q532</f>
        <v>15</v>
      </c>
      <c r="J533" s="18">
        <f>'RW predict'!F532</f>
        <v>11</v>
      </c>
      <c r="K533" s="18"/>
      <c r="L533" s="18"/>
      <c r="M533" s="18">
        <f>'RW predict'!P532</f>
        <v>22</v>
      </c>
      <c r="N533" s="18"/>
      <c r="O533" s="18">
        <f>'RW predict'!H532</f>
        <v>-14</v>
      </c>
      <c r="P533" s="18">
        <f>'RW predict'!I532</f>
        <v>12</v>
      </c>
      <c r="Q533" s="18">
        <f>'RW predict'!L532</f>
        <v>0</v>
      </c>
      <c r="R533" s="18">
        <f>'RW predict'!N532</f>
        <v>0</v>
      </c>
      <c r="S533" s="76">
        <f>'RW predict'!O532</f>
        <v>0</v>
      </c>
      <c r="T533" s="76">
        <f>'RW predict'!K532</f>
        <v>0</v>
      </c>
      <c r="U533" s="22">
        <f>'RW predict'!J532</f>
        <v>51</v>
      </c>
      <c r="V533" s="32">
        <f>IF(D533="G",'RW predict'!E532,0)</f>
        <v>0</v>
      </c>
      <c r="W533" s="18">
        <f>'RW predict'!R532</f>
        <v>0</v>
      </c>
      <c r="X533" s="18">
        <f>'RW predict'!T532</f>
        <v>0</v>
      </c>
      <c r="Y533" s="18">
        <f>'RW predict'!Y532</f>
        <v>0</v>
      </c>
      <c r="Z533" s="18">
        <f>'RW predict'!U532</f>
        <v>0</v>
      </c>
      <c r="AA533" s="18">
        <f>'RW predict'!W532</f>
        <v>0</v>
      </c>
    </row>
    <row r="534" spans="1:27" x14ac:dyDescent="0.3">
      <c r="A534" s="18">
        <v>531</v>
      </c>
      <c r="B534" s="18" t="str">
        <f>'RW predict'!A533</f>
        <v>Mattias Samuelsson</v>
      </c>
      <c r="C534" s="18" t="str">
        <f>'RW predict'!B533</f>
        <v>BUF</v>
      </c>
      <c r="D534" s="22" t="str" cm="1">
        <f t="array" ref="D534">_xlfn.SWITCH('RW predict'!C533, "C", "F", "LW","F", "RW", "F", "D", "D", "G", "G", "other")</f>
        <v>D</v>
      </c>
      <c r="E534" s="32">
        <f t="shared" si="16"/>
        <v>698</v>
      </c>
      <c r="F534" s="35">
        <f>E534/assumptions!$B$2</f>
        <v>8.5121951219512191</v>
      </c>
      <c r="G534" s="36">
        <f t="shared" si="17"/>
        <v>604</v>
      </c>
      <c r="H534" s="18">
        <f>IF(NOT(D534="G"),'RW predict'!E533,0)</f>
        <v>0</v>
      </c>
      <c r="I534" s="18">
        <f>'RW predict'!Q533</f>
        <v>89</v>
      </c>
      <c r="J534" s="18">
        <f>'RW predict'!F533</f>
        <v>14</v>
      </c>
      <c r="K534" s="18"/>
      <c r="L534" s="18"/>
      <c r="M534" s="18">
        <f>'RW predict'!P533</f>
        <v>146</v>
      </c>
      <c r="N534" s="18"/>
      <c r="O534" s="18">
        <f>'RW predict'!H533</f>
        <v>-17</v>
      </c>
      <c r="P534" s="18">
        <f>'RW predict'!I533</f>
        <v>20</v>
      </c>
      <c r="Q534" s="18">
        <f>'RW predict'!L533</f>
        <v>0</v>
      </c>
      <c r="R534" s="18">
        <f>'RW predict'!N533</f>
        <v>0</v>
      </c>
      <c r="S534" s="76">
        <f>'RW predict'!O533</f>
        <v>0</v>
      </c>
      <c r="T534" s="76">
        <f>'RW predict'!K533</f>
        <v>0</v>
      </c>
      <c r="U534" s="22">
        <f>'RW predict'!J533</f>
        <v>67</v>
      </c>
      <c r="V534" s="32">
        <f>IF(D534="G",'RW predict'!E533,0)</f>
        <v>0</v>
      </c>
      <c r="W534" s="18">
        <f>'RW predict'!R533</f>
        <v>0</v>
      </c>
      <c r="X534" s="18">
        <f>'RW predict'!T533</f>
        <v>0</v>
      </c>
      <c r="Y534" s="18">
        <f>'RW predict'!Y533</f>
        <v>0</v>
      </c>
      <c r="Z534" s="18">
        <f>'RW predict'!U533</f>
        <v>0</v>
      </c>
      <c r="AA534" s="18">
        <f>'RW predict'!W533</f>
        <v>0</v>
      </c>
    </row>
    <row r="535" spans="1:27" x14ac:dyDescent="0.3">
      <c r="A535" s="18">
        <v>532</v>
      </c>
      <c r="B535" s="18" t="str">
        <f>'RW predict'!A534</f>
        <v>Thomas Bordeleau</v>
      </c>
      <c r="C535" s="18" t="str">
        <f>'RW predict'!B534</f>
        <v>SJ</v>
      </c>
      <c r="D535" s="22" t="str" cm="1">
        <f t="array" ref="D535">_xlfn.SWITCH('RW predict'!C534, "C", "F", "LW","F", "RW", "F", "D", "D", "G", "G", "other")</f>
        <v>F</v>
      </c>
      <c r="E535" s="32">
        <f t="shared" si="16"/>
        <v>469</v>
      </c>
      <c r="F535" s="35">
        <f>E535/assumptions!$B$2</f>
        <v>5.7195121951219514</v>
      </c>
      <c r="G535" s="36">
        <f t="shared" si="17"/>
        <v>698</v>
      </c>
      <c r="H535" s="18">
        <f>IF(NOT(D535="G"),'RW predict'!E534,0)</f>
        <v>3</v>
      </c>
      <c r="I535" s="18">
        <f>'RW predict'!Q534</f>
        <v>12</v>
      </c>
      <c r="J535" s="18">
        <f>'RW predict'!F534</f>
        <v>11</v>
      </c>
      <c r="K535" s="18"/>
      <c r="L535" s="18"/>
      <c r="M535" s="18">
        <f>'RW predict'!P534</f>
        <v>9</v>
      </c>
      <c r="N535" s="18"/>
      <c r="O535" s="18">
        <f>'RW predict'!H534</f>
        <v>-4</v>
      </c>
      <c r="P535" s="18">
        <f>'RW predict'!I534</f>
        <v>4</v>
      </c>
      <c r="Q535" s="18">
        <f>'RW predict'!L534</f>
        <v>1</v>
      </c>
      <c r="R535" s="18">
        <f>'RW predict'!N534</f>
        <v>0</v>
      </c>
      <c r="S535" s="76">
        <f>'RW predict'!O534</f>
        <v>0</v>
      </c>
      <c r="T535" s="76">
        <f>'RW predict'!K534</f>
        <v>0</v>
      </c>
      <c r="U535" s="22">
        <f>'RW predict'!J534</f>
        <v>52</v>
      </c>
      <c r="V535" s="32">
        <f>IF(D535="G",'RW predict'!E534,0)</f>
        <v>0</v>
      </c>
      <c r="W535" s="18">
        <f>'RW predict'!R534</f>
        <v>0</v>
      </c>
      <c r="X535" s="18">
        <f>'RW predict'!T534</f>
        <v>0</v>
      </c>
      <c r="Y535" s="18">
        <f>'RW predict'!Y534</f>
        <v>0</v>
      </c>
      <c r="Z535" s="18">
        <f>'RW predict'!U534</f>
        <v>0</v>
      </c>
      <c r="AA535" s="18">
        <f>'RW predict'!W534</f>
        <v>0</v>
      </c>
    </row>
    <row r="536" spans="1:27" x14ac:dyDescent="0.3">
      <c r="A536" s="18">
        <v>533</v>
      </c>
      <c r="B536" s="18" t="str">
        <f>'RW predict'!A535</f>
        <v>Emil Bemstrom</v>
      </c>
      <c r="C536" s="18" t="str">
        <f>'RW predict'!B535</f>
        <v>CLS</v>
      </c>
      <c r="D536" s="22" t="str" cm="1">
        <f t="array" ref="D536">_xlfn.SWITCH('RW predict'!C535, "C", "F", "LW","F", "RW", "F", "D", "D", "G", "G", "other")</f>
        <v>F</v>
      </c>
      <c r="E536" s="32">
        <f t="shared" si="16"/>
        <v>553</v>
      </c>
      <c r="F536" s="35">
        <f>E536/assumptions!$B$2</f>
        <v>6.7439024390243905</v>
      </c>
      <c r="G536" s="36">
        <f t="shared" si="17"/>
        <v>657</v>
      </c>
      <c r="H536" s="18">
        <f>IF(NOT(D536="G"),'RW predict'!E535,0)</f>
        <v>8</v>
      </c>
      <c r="I536" s="18">
        <f>'RW predict'!Q535</f>
        <v>13</v>
      </c>
      <c r="J536" s="18">
        <f>'RW predict'!F535</f>
        <v>6</v>
      </c>
      <c r="K536" s="18"/>
      <c r="L536" s="18"/>
      <c r="M536" s="18">
        <f>'RW predict'!P535</f>
        <v>49</v>
      </c>
      <c r="N536" s="18"/>
      <c r="O536" s="18">
        <f>'RW predict'!H535</f>
        <v>-2</v>
      </c>
      <c r="P536" s="18">
        <f>'RW predict'!I535</f>
        <v>4</v>
      </c>
      <c r="Q536" s="18">
        <f>'RW predict'!L535</f>
        <v>0</v>
      </c>
      <c r="R536" s="18">
        <f>'RW predict'!N535</f>
        <v>0</v>
      </c>
      <c r="S536" s="76">
        <f>'RW predict'!O535</f>
        <v>0</v>
      </c>
      <c r="T536" s="76">
        <f>'RW predict'!K535</f>
        <v>2</v>
      </c>
      <c r="U536" s="22">
        <f>'RW predict'!J535</f>
        <v>48</v>
      </c>
      <c r="V536" s="32">
        <f>IF(D536="G",'RW predict'!E535,0)</f>
        <v>0</v>
      </c>
      <c r="W536" s="18">
        <f>'RW predict'!R535</f>
        <v>0</v>
      </c>
      <c r="X536" s="18">
        <f>'RW predict'!T535</f>
        <v>0</v>
      </c>
      <c r="Y536" s="18">
        <f>'RW predict'!Y535</f>
        <v>0</v>
      </c>
      <c r="Z536" s="18">
        <f>'RW predict'!U535</f>
        <v>0</v>
      </c>
      <c r="AA536" s="18">
        <f>'RW predict'!W535</f>
        <v>0</v>
      </c>
    </row>
    <row r="537" spans="1:27" x14ac:dyDescent="0.3">
      <c r="A537" s="18">
        <v>534</v>
      </c>
      <c r="B537" s="18" t="str">
        <f>'RW predict'!A536</f>
        <v>Jake Leschyshyn</v>
      </c>
      <c r="C537" s="18" t="str">
        <f>'RW predict'!B536</f>
        <v>VGK</v>
      </c>
      <c r="D537" s="22" t="str" cm="1">
        <f t="array" ref="D537">_xlfn.SWITCH('RW predict'!C536, "C", "F", "LW","F", "RW", "F", "D", "D", "G", "G", "other")</f>
        <v>F</v>
      </c>
      <c r="E537" s="32">
        <f t="shared" si="16"/>
        <v>697</v>
      </c>
      <c r="F537" s="35">
        <f>E537/assumptions!$B$2</f>
        <v>8.5</v>
      </c>
      <c r="G537" s="36">
        <f t="shared" si="17"/>
        <v>606</v>
      </c>
      <c r="H537" s="18">
        <f>IF(NOT(D537="G"),'RW predict'!E536,0)</f>
        <v>5</v>
      </c>
      <c r="I537" s="18">
        <f>'RW predict'!Q536</f>
        <v>42</v>
      </c>
      <c r="J537" s="18">
        <f>'RW predict'!F536</f>
        <v>9</v>
      </c>
      <c r="K537" s="18"/>
      <c r="L537" s="18"/>
      <c r="M537" s="18">
        <f>'RW predict'!P536</f>
        <v>85</v>
      </c>
      <c r="N537" s="18"/>
      <c r="O537" s="18">
        <f>'RW predict'!H536</f>
        <v>-3</v>
      </c>
      <c r="P537" s="18">
        <f>'RW predict'!I536</f>
        <v>18</v>
      </c>
      <c r="Q537" s="18">
        <f>'RW predict'!L536</f>
        <v>0</v>
      </c>
      <c r="R537" s="18">
        <f>'RW predict'!N536</f>
        <v>0</v>
      </c>
      <c r="S537" s="76">
        <f>'RW predict'!O536</f>
        <v>0</v>
      </c>
      <c r="T537" s="76">
        <f>'RW predict'!K536</f>
        <v>1</v>
      </c>
      <c r="U537" s="22">
        <f>'RW predict'!J536</f>
        <v>67</v>
      </c>
      <c r="V537" s="32">
        <f>IF(D537="G",'RW predict'!E536,0)</f>
        <v>0</v>
      </c>
      <c r="W537" s="18">
        <f>'RW predict'!R536</f>
        <v>0</v>
      </c>
      <c r="X537" s="18">
        <f>'RW predict'!T536</f>
        <v>0</v>
      </c>
      <c r="Y537" s="18">
        <f>'RW predict'!Y536</f>
        <v>0</v>
      </c>
      <c r="Z537" s="18">
        <f>'RW predict'!U536</f>
        <v>0</v>
      </c>
      <c r="AA537" s="18">
        <f>'RW predict'!W536</f>
        <v>0</v>
      </c>
    </row>
    <row r="538" spans="1:27" x14ac:dyDescent="0.3">
      <c r="A538" s="18">
        <v>535</v>
      </c>
      <c r="B538" s="18" t="str">
        <f>'RW predict'!A537</f>
        <v>Adam Ruzicka</v>
      </c>
      <c r="C538" s="18" t="str">
        <f>'RW predict'!B537</f>
        <v>CGY</v>
      </c>
      <c r="D538" s="22" t="str" cm="1">
        <f t="array" ref="D538">_xlfn.SWITCH('RW predict'!C537, "C", "F", "LW","F", "RW", "F", "D", "D", "G", "G", "other")</f>
        <v>F</v>
      </c>
      <c r="E538" s="32">
        <f t="shared" si="16"/>
        <v>725</v>
      </c>
      <c r="F538" s="35">
        <f>E538/assumptions!$B$2</f>
        <v>8.8414634146341466</v>
      </c>
      <c r="G538" s="36">
        <f t="shared" si="17"/>
        <v>595</v>
      </c>
      <c r="H538" s="18">
        <f>IF(NOT(D538="G"),'RW predict'!E537,0)</f>
        <v>7</v>
      </c>
      <c r="I538" s="18">
        <f>'RW predict'!Q537</f>
        <v>12</v>
      </c>
      <c r="J538" s="18">
        <f>'RW predict'!F537</f>
        <v>7</v>
      </c>
      <c r="K538" s="18"/>
      <c r="L538" s="18"/>
      <c r="M538" s="18">
        <f>'RW predict'!P537</f>
        <v>34</v>
      </c>
      <c r="N538" s="18"/>
      <c r="O538" s="18">
        <f>'RW predict'!H537</f>
        <v>12</v>
      </c>
      <c r="P538" s="18">
        <f>'RW predict'!I537</f>
        <v>17</v>
      </c>
      <c r="Q538" s="18">
        <f>'RW predict'!L537</f>
        <v>0</v>
      </c>
      <c r="R538" s="18">
        <f>'RW predict'!N537</f>
        <v>0</v>
      </c>
      <c r="S538" s="76">
        <f>'RW predict'!O537</f>
        <v>0</v>
      </c>
      <c r="T538" s="76">
        <f>'RW predict'!K537</f>
        <v>1</v>
      </c>
      <c r="U538" s="22">
        <f>'RW predict'!J537</f>
        <v>63</v>
      </c>
      <c r="V538" s="32">
        <f>IF(D538="G",'RW predict'!E537,0)</f>
        <v>0</v>
      </c>
      <c r="W538" s="18">
        <f>'RW predict'!R537</f>
        <v>0</v>
      </c>
      <c r="X538" s="18">
        <f>'RW predict'!T537</f>
        <v>0</v>
      </c>
      <c r="Y538" s="18">
        <f>'RW predict'!Y537</f>
        <v>0</v>
      </c>
      <c r="Z538" s="18">
        <f>'RW predict'!U537</f>
        <v>0</v>
      </c>
      <c r="AA538" s="18">
        <f>'RW predict'!W537</f>
        <v>0</v>
      </c>
    </row>
    <row r="539" spans="1:27" x14ac:dyDescent="0.3">
      <c r="A539" s="18">
        <v>536</v>
      </c>
      <c r="B539" s="18" t="str">
        <f>'RW predict'!A538</f>
        <v>Matthew Phillips</v>
      </c>
      <c r="C539" s="18" t="str">
        <f>'RW predict'!B538</f>
        <v>CGY</v>
      </c>
      <c r="D539" s="22" t="str" cm="1">
        <f t="array" ref="D539">_xlfn.SWITCH('RW predict'!C538, "C", "F", "LW","F", "RW", "F", "D", "D", "G", "G", "other")</f>
        <v>F</v>
      </c>
      <c r="E539" s="32">
        <f t="shared" si="16"/>
        <v>620</v>
      </c>
      <c r="F539" s="35">
        <f>E539/assumptions!$B$2</f>
        <v>7.5609756097560972</v>
      </c>
      <c r="G539" s="36">
        <f t="shared" si="17"/>
        <v>627</v>
      </c>
      <c r="H539" s="18">
        <f>IF(NOT(D539="G"),'RW predict'!E538,0)</f>
        <v>6</v>
      </c>
      <c r="I539" s="18">
        <f>'RW predict'!Q538</f>
        <v>6</v>
      </c>
      <c r="J539" s="18">
        <f>'RW predict'!F538</f>
        <v>8</v>
      </c>
      <c r="K539" s="18"/>
      <c r="L539" s="18"/>
      <c r="M539" s="18">
        <f>'RW predict'!P538</f>
        <v>10</v>
      </c>
      <c r="N539" s="18"/>
      <c r="O539" s="18">
        <f>'RW predict'!H538</f>
        <v>6</v>
      </c>
      <c r="P539" s="18">
        <f>'RW predict'!I538</f>
        <v>8</v>
      </c>
      <c r="Q539" s="18">
        <f>'RW predict'!L538</f>
        <v>1</v>
      </c>
      <c r="R539" s="18">
        <f>'RW predict'!N538</f>
        <v>0</v>
      </c>
      <c r="S539" s="76">
        <f>'RW predict'!O538</f>
        <v>0</v>
      </c>
      <c r="T539" s="76">
        <f>'RW predict'!K538</f>
        <v>1</v>
      </c>
      <c r="U539" s="22">
        <f>'RW predict'!J538</f>
        <v>67</v>
      </c>
      <c r="V539" s="32">
        <f>IF(D539="G",'RW predict'!E538,0)</f>
        <v>0</v>
      </c>
      <c r="W539" s="18">
        <f>'RW predict'!R538</f>
        <v>0</v>
      </c>
      <c r="X539" s="18">
        <f>'RW predict'!T538</f>
        <v>0</v>
      </c>
      <c r="Y539" s="18">
        <f>'RW predict'!Y538</f>
        <v>0</v>
      </c>
      <c r="Z539" s="18">
        <f>'RW predict'!U538</f>
        <v>0</v>
      </c>
      <c r="AA539" s="18">
        <f>'RW predict'!W538</f>
        <v>0</v>
      </c>
    </row>
    <row r="540" spans="1:27" x14ac:dyDescent="0.3">
      <c r="A540" s="18">
        <v>537</v>
      </c>
      <c r="B540" s="18" t="str">
        <f>'RW predict'!A539</f>
        <v>Carl Grundstrom</v>
      </c>
      <c r="C540" s="18" t="str">
        <f>'RW predict'!B539</f>
        <v>LA</v>
      </c>
      <c r="D540" s="22" t="str" cm="1">
        <f t="array" ref="D540">_xlfn.SWITCH('RW predict'!C539, "C", "F", "LW","F", "RW", "F", "D", "D", "G", "G", "other")</f>
        <v>F</v>
      </c>
      <c r="E540" s="32">
        <f t="shared" si="16"/>
        <v>789</v>
      </c>
      <c r="F540" s="35">
        <f>E540/assumptions!$B$2</f>
        <v>9.6219512195121943</v>
      </c>
      <c r="G540" s="36">
        <f t="shared" si="17"/>
        <v>577</v>
      </c>
      <c r="H540" s="18">
        <f>IF(NOT(D540="G"),'RW predict'!E539,0)</f>
        <v>8</v>
      </c>
      <c r="I540" s="18">
        <f>'RW predict'!Q539</f>
        <v>19</v>
      </c>
      <c r="J540" s="18">
        <f>'RW predict'!F539</f>
        <v>6</v>
      </c>
      <c r="K540" s="18"/>
      <c r="L540" s="18"/>
      <c r="M540" s="18">
        <f>'RW predict'!P539</f>
        <v>127</v>
      </c>
      <c r="N540" s="18"/>
      <c r="O540" s="18">
        <f>'RW predict'!H539</f>
        <v>2</v>
      </c>
      <c r="P540" s="18">
        <f>'RW predict'!I539</f>
        <v>24</v>
      </c>
      <c r="Q540" s="18">
        <f>'RW predict'!L539</f>
        <v>0</v>
      </c>
      <c r="R540" s="18">
        <f>'RW predict'!N539</f>
        <v>0</v>
      </c>
      <c r="S540" s="76">
        <f>'RW predict'!O539</f>
        <v>0</v>
      </c>
      <c r="T540" s="76">
        <f>'RW predict'!K539</f>
        <v>1</v>
      </c>
      <c r="U540" s="22">
        <f>'RW predict'!J539</f>
        <v>81</v>
      </c>
      <c r="V540" s="32">
        <f>IF(D540="G",'RW predict'!E539,0)</f>
        <v>0</v>
      </c>
      <c r="W540" s="18">
        <f>'RW predict'!R539</f>
        <v>0</v>
      </c>
      <c r="X540" s="18">
        <f>'RW predict'!T539</f>
        <v>0</v>
      </c>
      <c r="Y540" s="18">
        <f>'RW predict'!Y539</f>
        <v>0</v>
      </c>
      <c r="Z540" s="18">
        <f>'RW predict'!U539</f>
        <v>0</v>
      </c>
      <c r="AA540" s="18">
        <f>'RW predict'!W539</f>
        <v>0</v>
      </c>
    </row>
    <row r="541" spans="1:27" x14ac:dyDescent="0.3">
      <c r="A541" s="18">
        <v>538</v>
      </c>
      <c r="B541" s="18" t="str">
        <f>'RW predict'!A540</f>
        <v>Logan Brown</v>
      </c>
      <c r="C541" s="18" t="str">
        <f>'RW predict'!B540</f>
        <v>STL</v>
      </c>
      <c r="D541" s="22" t="str" cm="1">
        <f t="array" ref="D541">_xlfn.SWITCH('RW predict'!C540, "C", "F", "LW","F", "RW", "F", "D", "D", "G", "G", "other")</f>
        <v>F</v>
      </c>
      <c r="E541" s="32">
        <f t="shared" si="16"/>
        <v>527</v>
      </c>
      <c r="F541" s="35">
        <f>E541/assumptions!$B$2</f>
        <v>6.4268292682926829</v>
      </c>
      <c r="G541" s="36">
        <f t="shared" si="17"/>
        <v>667</v>
      </c>
      <c r="H541" s="18">
        <f>IF(NOT(D541="G"),'RW predict'!E540,0)</f>
        <v>5</v>
      </c>
      <c r="I541" s="18">
        <f>'RW predict'!Q540</f>
        <v>16</v>
      </c>
      <c r="J541" s="18">
        <f>'RW predict'!F540</f>
        <v>9</v>
      </c>
      <c r="K541" s="18"/>
      <c r="L541" s="18"/>
      <c r="M541" s="18">
        <f>'RW predict'!P540</f>
        <v>31</v>
      </c>
      <c r="N541" s="18"/>
      <c r="O541" s="18">
        <f>'RW predict'!H540</f>
        <v>-3</v>
      </c>
      <c r="P541" s="18">
        <f>'RW predict'!I540</f>
        <v>10</v>
      </c>
      <c r="Q541" s="18">
        <f>'RW predict'!L540</f>
        <v>0</v>
      </c>
      <c r="R541" s="18">
        <f>'RW predict'!N540</f>
        <v>0</v>
      </c>
      <c r="S541" s="76">
        <f>'RW predict'!O540</f>
        <v>0</v>
      </c>
      <c r="T541" s="76">
        <f>'RW predict'!K540</f>
        <v>1</v>
      </c>
      <c r="U541" s="22">
        <f>'RW predict'!J540</f>
        <v>47</v>
      </c>
      <c r="V541" s="32">
        <f>IF(D541="G",'RW predict'!E540,0)</f>
        <v>0</v>
      </c>
      <c r="W541" s="18">
        <f>'RW predict'!R540</f>
        <v>0</v>
      </c>
      <c r="X541" s="18">
        <f>'RW predict'!T540</f>
        <v>0</v>
      </c>
      <c r="Y541" s="18">
        <f>'RW predict'!Y540</f>
        <v>0</v>
      </c>
      <c r="Z541" s="18">
        <f>'RW predict'!U540</f>
        <v>0</v>
      </c>
      <c r="AA541" s="18">
        <f>'RW predict'!W540</f>
        <v>0</v>
      </c>
    </row>
    <row r="542" spans="1:27" x14ac:dyDescent="0.3">
      <c r="A542" s="18">
        <v>539</v>
      </c>
      <c r="B542" s="18" t="str">
        <f>'RW predict'!A541</f>
        <v>Oskar Sundqvist</v>
      </c>
      <c r="C542" s="18" t="str">
        <f>'RW predict'!B541</f>
        <v>DET</v>
      </c>
      <c r="D542" s="22" t="str" cm="1">
        <f t="array" ref="D542">_xlfn.SWITCH('RW predict'!C541, "C", "F", "LW","F", "RW", "F", "D", "D", "G", "G", "other")</f>
        <v>F</v>
      </c>
      <c r="E542" s="32">
        <f t="shared" si="16"/>
        <v>643</v>
      </c>
      <c r="F542" s="35">
        <f>E542/assumptions!$B$2</f>
        <v>7.8414634146341466</v>
      </c>
      <c r="G542" s="36">
        <f t="shared" si="17"/>
        <v>618</v>
      </c>
      <c r="H542" s="18">
        <f>IF(NOT(D542="G"),'RW predict'!E541,0)</f>
        <v>6</v>
      </c>
      <c r="I542" s="18">
        <f>'RW predict'!Q541</f>
        <v>22</v>
      </c>
      <c r="J542" s="18">
        <f>'RW predict'!F541</f>
        <v>8</v>
      </c>
      <c r="K542" s="18"/>
      <c r="L542" s="18"/>
      <c r="M542" s="18">
        <f>'RW predict'!P541</f>
        <v>58</v>
      </c>
      <c r="N542" s="18"/>
      <c r="O542" s="18">
        <f>'RW predict'!H541</f>
        <v>2</v>
      </c>
      <c r="P542" s="18">
        <f>'RW predict'!I541</f>
        <v>15</v>
      </c>
      <c r="Q542" s="18">
        <f>'RW predict'!L541</f>
        <v>0</v>
      </c>
      <c r="R542" s="18">
        <f>'RW predict'!N541</f>
        <v>0</v>
      </c>
      <c r="S542" s="76">
        <f>'RW predict'!O541</f>
        <v>0</v>
      </c>
      <c r="T542" s="76">
        <f>'RW predict'!K541</f>
        <v>1</v>
      </c>
      <c r="U542" s="22">
        <f>'RW predict'!J541</f>
        <v>53</v>
      </c>
      <c r="V542" s="32">
        <f>IF(D542="G",'RW predict'!E541,0)</f>
        <v>0</v>
      </c>
      <c r="W542" s="18">
        <f>'RW predict'!R541</f>
        <v>0</v>
      </c>
      <c r="X542" s="18">
        <f>'RW predict'!T541</f>
        <v>0</v>
      </c>
      <c r="Y542" s="18">
        <f>'RW predict'!Y541</f>
        <v>0</v>
      </c>
      <c r="Z542" s="18">
        <f>'RW predict'!U541</f>
        <v>0</v>
      </c>
      <c r="AA542" s="18">
        <f>'RW predict'!W541</f>
        <v>0</v>
      </c>
    </row>
    <row r="543" spans="1:27" x14ac:dyDescent="0.3">
      <c r="A543" s="18">
        <v>540</v>
      </c>
      <c r="B543" s="18" t="str">
        <f>'RW predict'!A542</f>
        <v>Christian Fischer</v>
      </c>
      <c r="C543" s="18" t="str">
        <f>'RW predict'!B542</f>
        <v>ARI</v>
      </c>
      <c r="D543" s="22" t="str" cm="1">
        <f t="array" ref="D543">_xlfn.SWITCH('RW predict'!C542, "C", "F", "LW","F", "RW", "F", "D", "D", "G", "G", "other")</f>
        <v>F</v>
      </c>
      <c r="E543" s="32">
        <f t="shared" si="16"/>
        <v>654</v>
      </c>
      <c r="F543" s="35">
        <f>E543/assumptions!$B$2</f>
        <v>7.975609756097561</v>
      </c>
      <c r="G543" s="36">
        <f t="shared" si="17"/>
        <v>617</v>
      </c>
      <c r="H543" s="18">
        <f>IF(NOT(D543="G"),'RW predict'!E542,0)</f>
        <v>6</v>
      </c>
      <c r="I543" s="18">
        <f>'RW predict'!Q542</f>
        <v>24</v>
      </c>
      <c r="J543" s="18">
        <f>'RW predict'!F542</f>
        <v>8</v>
      </c>
      <c r="K543" s="18"/>
      <c r="L543" s="18"/>
      <c r="M543" s="18">
        <f>'RW predict'!P542</f>
        <v>126</v>
      </c>
      <c r="N543" s="18"/>
      <c r="O543" s="18">
        <f>'RW predict'!H542</f>
        <v>-14</v>
      </c>
      <c r="P543" s="18">
        <f>'RW predict'!I542</f>
        <v>14</v>
      </c>
      <c r="Q543" s="18">
        <f>'RW predict'!L542</f>
        <v>1</v>
      </c>
      <c r="R543" s="18">
        <f>'RW predict'!N542</f>
        <v>0</v>
      </c>
      <c r="S543" s="76">
        <f>'RW predict'!O542</f>
        <v>1</v>
      </c>
      <c r="T543" s="76">
        <f>'RW predict'!K542</f>
        <v>1</v>
      </c>
      <c r="U543" s="22">
        <f>'RW predict'!J542</f>
        <v>94</v>
      </c>
      <c r="V543" s="32">
        <f>IF(D543="G",'RW predict'!E542,0)</f>
        <v>0</v>
      </c>
      <c r="W543" s="18">
        <f>'RW predict'!R542</f>
        <v>0</v>
      </c>
      <c r="X543" s="18">
        <f>'RW predict'!T542</f>
        <v>0</v>
      </c>
      <c r="Y543" s="18">
        <f>'RW predict'!Y542</f>
        <v>0</v>
      </c>
      <c r="Z543" s="18">
        <f>'RW predict'!U542</f>
        <v>0</v>
      </c>
      <c r="AA543" s="18">
        <f>'RW predict'!W542</f>
        <v>0</v>
      </c>
    </row>
    <row r="544" spans="1:27" x14ac:dyDescent="0.3">
      <c r="A544" s="18">
        <v>541</v>
      </c>
      <c r="B544" s="18" t="str">
        <f>'RW predict'!A543</f>
        <v>Curtis Lazar</v>
      </c>
      <c r="C544" s="18" t="str">
        <f>'RW predict'!B543</f>
        <v>VAN</v>
      </c>
      <c r="D544" s="22" t="str" cm="1">
        <f t="array" ref="D544">_xlfn.SWITCH('RW predict'!C543, "C", "F", "LW","F", "RW", "F", "D", "D", "G", "G", "other")</f>
        <v>F</v>
      </c>
      <c r="E544" s="32">
        <f t="shared" si="16"/>
        <v>853</v>
      </c>
      <c r="F544" s="35">
        <f>E544/assumptions!$B$2</f>
        <v>10.402439024390244</v>
      </c>
      <c r="G544" s="36">
        <f t="shared" si="17"/>
        <v>549</v>
      </c>
      <c r="H544" s="18">
        <f>IF(NOT(D544="G"),'RW predict'!E543,0)</f>
        <v>8</v>
      </c>
      <c r="I544" s="18">
        <f>'RW predict'!Q543</f>
        <v>48</v>
      </c>
      <c r="J544" s="18">
        <f>'RW predict'!F543</f>
        <v>6</v>
      </c>
      <c r="K544" s="18"/>
      <c r="L544" s="18"/>
      <c r="M544" s="18">
        <f>'RW predict'!P543</f>
        <v>181</v>
      </c>
      <c r="N544" s="18"/>
      <c r="O544" s="18">
        <f>'RW predict'!H543</f>
        <v>-3</v>
      </c>
      <c r="P544" s="18">
        <f>'RW predict'!I543</f>
        <v>16</v>
      </c>
      <c r="Q544" s="18">
        <f>'RW predict'!L543</f>
        <v>0</v>
      </c>
      <c r="R544" s="18">
        <f>'RW predict'!N543</f>
        <v>0</v>
      </c>
      <c r="S544" s="76">
        <f>'RW predict'!O543</f>
        <v>1</v>
      </c>
      <c r="T544" s="76">
        <f>'RW predict'!K543</f>
        <v>1</v>
      </c>
      <c r="U544" s="22">
        <f>'RW predict'!J543</f>
        <v>89</v>
      </c>
      <c r="V544" s="32">
        <f>IF(D544="G",'RW predict'!E543,0)</f>
        <v>0</v>
      </c>
      <c r="W544" s="18">
        <f>'RW predict'!R543</f>
        <v>0</v>
      </c>
      <c r="X544" s="18">
        <f>'RW predict'!T543</f>
        <v>0</v>
      </c>
      <c r="Y544" s="18">
        <f>'RW predict'!Y543</f>
        <v>0</v>
      </c>
      <c r="Z544" s="18">
        <f>'RW predict'!U543</f>
        <v>0</v>
      </c>
      <c r="AA544" s="18">
        <f>'RW predict'!W543</f>
        <v>0</v>
      </c>
    </row>
    <row r="545" spans="1:27" x14ac:dyDescent="0.3">
      <c r="A545" s="18">
        <v>542</v>
      </c>
      <c r="B545" s="18" t="str">
        <f>'RW predict'!A544</f>
        <v>Jordan Martinook</v>
      </c>
      <c r="C545" s="18" t="str">
        <f>'RW predict'!B544</f>
        <v>CAR</v>
      </c>
      <c r="D545" s="22" t="str" cm="1">
        <f t="array" ref="D545">_xlfn.SWITCH('RW predict'!C544, "C", "F", "LW","F", "RW", "F", "D", "D", "G", "G", "other")</f>
        <v>F</v>
      </c>
      <c r="E545" s="32">
        <f t="shared" si="16"/>
        <v>742</v>
      </c>
      <c r="F545" s="35">
        <f>E545/assumptions!$B$2</f>
        <v>9.0487804878048781</v>
      </c>
      <c r="G545" s="36">
        <f t="shared" si="17"/>
        <v>589</v>
      </c>
      <c r="H545" s="18">
        <f>IF(NOT(D545="G"),'RW predict'!E544,0)</f>
        <v>5</v>
      </c>
      <c r="I545" s="18">
        <f>'RW predict'!Q544</f>
        <v>18</v>
      </c>
      <c r="J545" s="18">
        <f>'RW predict'!F544</f>
        <v>9</v>
      </c>
      <c r="K545" s="18"/>
      <c r="L545" s="18"/>
      <c r="M545" s="18">
        <f>'RW predict'!P544</f>
        <v>94</v>
      </c>
      <c r="N545" s="18"/>
      <c r="O545" s="18">
        <f>'RW predict'!H544</f>
        <v>0</v>
      </c>
      <c r="P545" s="18">
        <f>'RW predict'!I544</f>
        <v>24</v>
      </c>
      <c r="Q545" s="18">
        <f>'RW predict'!L544</f>
        <v>0</v>
      </c>
      <c r="R545" s="18">
        <f>'RW predict'!N544</f>
        <v>0</v>
      </c>
      <c r="S545" s="76">
        <f>'RW predict'!O544</f>
        <v>1</v>
      </c>
      <c r="T545" s="76">
        <f>'RW predict'!K544</f>
        <v>1</v>
      </c>
      <c r="U545" s="22">
        <f>'RW predict'!J544</f>
        <v>80</v>
      </c>
      <c r="V545" s="32">
        <f>IF(D545="G",'RW predict'!E544,0)</f>
        <v>0</v>
      </c>
      <c r="W545" s="18">
        <f>'RW predict'!R544</f>
        <v>0</v>
      </c>
      <c r="X545" s="18">
        <f>'RW predict'!T544</f>
        <v>0</v>
      </c>
      <c r="Y545" s="18">
        <f>'RW predict'!Y544</f>
        <v>0</v>
      </c>
      <c r="Z545" s="18">
        <f>'RW predict'!U544</f>
        <v>0</v>
      </c>
      <c r="AA545" s="18">
        <f>'RW predict'!W544</f>
        <v>0</v>
      </c>
    </row>
    <row r="546" spans="1:27" x14ac:dyDescent="0.3">
      <c r="A546" s="18">
        <v>543</v>
      </c>
      <c r="B546" s="18" t="str">
        <f>'RW predict'!A545</f>
        <v>Ryan Dzingel</v>
      </c>
      <c r="C546" s="18" t="str">
        <f>'RW predict'!B545</f>
        <v>CAR</v>
      </c>
      <c r="D546" s="22" t="str" cm="1">
        <f t="array" ref="D546">_xlfn.SWITCH('RW predict'!C545, "C", "F", "LW","F", "RW", "F", "D", "D", "G", "G", "other")</f>
        <v>F</v>
      </c>
      <c r="E546" s="32">
        <f t="shared" si="16"/>
        <v>560</v>
      </c>
      <c r="F546" s="35">
        <f>E546/assumptions!$B$2</f>
        <v>6.8292682926829267</v>
      </c>
      <c r="G546" s="36">
        <f t="shared" si="17"/>
        <v>652</v>
      </c>
      <c r="H546" s="18">
        <f>IF(NOT(D546="G"),'RW predict'!E545,0)</f>
        <v>7</v>
      </c>
      <c r="I546" s="18">
        <f>'RW predict'!Q545</f>
        <v>12</v>
      </c>
      <c r="J546" s="18">
        <f>'RW predict'!F545</f>
        <v>7</v>
      </c>
      <c r="K546" s="18"/>
      <c r="L546" s="18"/>
      <c r="M546" s="18">
        <f>'RW predict'!P545</f>
        <v>31</v>
      </c>
      <c r="N546" s="18"/>
      <c r="O546" s="18">
        <f>'RW predict'!H545</f>
        <v>-6</v>
      </c>
      <c r="P546" s="18">
        <f>'RW predict'!I545</f>
        <v>33</v>
      </c>
      <c r="Q546" s="18">
        <f>'RW predict'!L545</f>
        <v>0</v>
      </c>
      <c r="R546" s="18">
        <f>'RW predict'!N545</f>
        <v>0</v>
      </c>
      <c r="S546" s="76">
        <f>'RW predict'!O545</f>
        <v>0</v>
      </c>
      <c r="T546" s="76">
        <f>'RW predict'!K545</f>
        <v>1</v>
      </c>
      <c r="U546" s="22">
        <f>'RW predict'!J545</f>
        <v>48</v>
      </c>
      <c r="V546" s="32">
        <f>IF(D546="G",'RW predict'!E545,0)</f>
        <v>0</v>
      </c>
      <c r="W546" s="18">
        <f>'RW predict'!R545</f>
        <v>0</v>
      </c>
      <c r="X546" s="18">
        <f>'RW predict'!T545</f>
        <v>0</v>
      </c>
      <c r="Y546" s="18">
        <f>'RW predict'!Y545</f>
        <v>0</v>
      </c>
      <c r="Z546" s="18">
        <f>'RW predict'!U545</f>
        <v>0</v>
      </c>
      <c r="AA546" s="18">
        <f>'RW predict'!W545</f>
        <v>0</v>
      </c>
    </row>
    <row r="547" spans="1:27" x14ac:dyDescent="0.3">
      <c r="A547" s="18">
        <v>544</v>
      </c>
      <c r="B547" s="18" t="str">
        <f>'RW predict'!A546</f>
        <v>Darren Helm</v>
      </c>
      <c r="C547" s="18" t="str">
        <f>'RW predict'!B546</f>
        <v>COL</v>
      </c>
      <c r="D547" s="22" t="str" cm="1">
        <f t="array" ref="D547">_xlfn.SWITCH('RW predict'!C546, "C", "F", "LW","F", "RW", "F", "D", "D", "G", "G", "other")</f>
        <v>F</v>
      </c>
      <c r="E547" s="32">
        <f t="shared" si="16"/>
        <v>754</v>
      </c>
      <c r="F547" s="35">
        <f>E547/assumptions!$B$2</f>
        <v>9.1951219512195124</v>
      </c>
      <c r="G547" s="36">
        <f t="shared" si="17"/>
        <v>584</v>
      </c>
      <c r="H547" s="18">
        <f>IF(NOT(D547="G"),'RW predict'!E546,0)</f>
        <v>7</v>
      </c>
      <c r="I547" s="18">
        <f>'RW predict'!Q546</f>
        <v>24</v>
      </c>
      <c r="J547" s="18">
        <f>'RW predict'!F546</f>
        <v>7</v>
      </c>
      <c r="K547" s="18"/>
      <c r="L547" s="18"/>
      <c r="M547" s="18">
        <f>'RW predict'!P546</f>
        <v>106</v>
      </c>
      <c r="N547" s="18"/>
      <c r="O547" s="18">
        <f>'RW predict'!H546</f>
        <v>-5</v>
      </c>
      <c r="P547" s="18">
        <f>'RW predict'!I546</f>
        <v>18</v>
      </c>
      <c r="Q547" s="18">
        <f>'RW predict'!L546</f>
        <v>0</v>
      </c>
      <c r="R547" s="18">
        <f>'RW predict'!N546</f>
        <v>1</v>
      </c>
      <c r="S547" s="76">
        <f>'RW predict'!O546</f>
        <v>1</v>
      </c>
      <c r="T547" s="76">
        <f>'RW predict'!K546</f>
        <v>1</v>
      </c>
      <c r="U547" s="22">
        <f>'RW predict'!J546</f>
        <v>98</v>
      </c>
      <c r="V547" s="32">
        <f>IF(D547="G",'RW predict'!E546,0)</f>
        <v>0</v>
      </c>
      <c r="W547" s="18">
        <f>'RW predict'!R546</f>
        <v>0</v>
      </c>
      <c r="X547" s="18">
        <f>'RW predict'!T546</f>
        <v>0</v>
      </c>
      <c r="Y547" s="18">
        <f>'RW predict'!Y546</f>
        <v>0</v>
      </c>
      <c r="Z547" s="18">
        <f>'RW predict'!U546</f>
        <v>0</v>
      </c>
      <c r="AA547" s="18">
        <f>'RW predict'!W546</f>
        <v>0</v>
      </c>
    </row>
    <row r="548" spans="1:27" x14ac:dyDescent="0.3">
      <c r="A548" s="18">
        <v>545</v>
      </c>
      <c r="B548" s="18" t="str">
        <f>'RW predict'!A547</f>
        <v>Travis Hamonic</v>
      </c>
      <c r="C548" s="18" t="str">
        <f>'RW predict'!B547</f>
        <v>OTT</v>
      </c>
      <c r="D548" s="22" t="str" cm="1">
        <f t="array" ref="D548">_xlfn.SWITCH('RW predict'!C547, "C", "F", "LW","F", "RW", "F", "D", "D", "G", "G", "other")</f>
        <v>D</v>
      </c>
      <c r="E548" s="32">
        <f t="shared" si="16"/>
        <v>964</v>
      </c>
      <c r="F548" s="35">
        <f>E548/assumptions!$B$2</f>
        <v>11.75609756097561</v>
      </c>
      <c r="G548" s="36">
        <f t="shared" si="17"/>
        <v>505</v>
      </c>
      <c r="H548" s="18">
        <f>IF(NOT(D548="G"),'RW predict'!E547,0)</f>
        <v>4</v>
      </c>
      <c r="I548" s="18">
        <f>'RW predict'!Q547</f>
        <v>110</v>
      </c>
      <c r="J548" s="18">
        <f>'RW predict'!F547</f>
        <v>10</v>
      </c>
      <c r="K548" s="18"/>
      <c r="L548" s="18"/>
      <c r="M548" s="18">
        <f>'RW predict'!P547</f>
        <v>84</v>
      </c>
      <c r="N548" s="18"/>
      <c r="O548" s="18">
        <f>'RW predict'!H547</f>
        <v>3</v>
      </c>
      <c r="P548" s="18">
        <f>'RW predict'!I547</f>
        <v>26</v>
      </c>
      <c r="Q548" s="18">
        <f>'RW predict'!L547</f>
        <v>0</v>
      </c>
      <c r="R548" s="18">
        <f>'RW predict'!N547</f>
        <v>0</v>
      </c>
      <c r="S548" s="76">
        <f>'RW predict'!O547</f>
        <v>0</v>
      </c>
      <c r="T548" s="76">
        <f>'RW predict'!K547</f>
        <v>0</v>
      </c>
      <c r="U548" s="22">
        <f>'RW predict'!J547</f>
        <v>101</v>
      </c>
      <c r="V548" s="32">
        <f>IF(D548="G",'RW predict'!E547,0)</f>
        <v>0</v>
      </c>
      <c r="W548" s="18">
        <f>'RW predict'!R547</f>
        <v>0</v>
      </c>
      <c r="X548" s="18">
        <f>'RW predict'!T547</f>
        <v>0</v>
      </c>
      <c r="Y548" s="18">
        <f>'RW predict'!Y547</f>
        <v>0</v>
      </c>
      <c r="Z548" s="18">
        <f>'RW predict'!U547</f>
        <v>0</v>
      </c>
      <c r="AA548" s="18">
        <f>'RW predict'!W547</f>
        <v>0</v>
      </c>
    </row>
    <row r="549" spans="1:27" x14ac:dyDescent="0.3">
      <c r="A549" s="18">
        <v>546</v>
      </c>
      <c r="B549" s="18" t="str">
        <f>'RW predict'!A548</f>
        <v>Justin Braun</v>
      </c>
      <c r="C549" s="18" t="str">
        <f>'RW predict'!B548</f>
        <v>PHI</v>
      </c>
      <c r="D549" s="22" t="str" cm="1">
        <f t="array" ref="D549">_xlfn.SWITCH('RW predict'!C548, "C", "F", "LW","F", "RW", "F", "D", "D", "G", "G", "other")</f>
        <v>D</v>
      </c>
      <c r="E549" s="32">
        <f t="shared" si="16"/>
        <v>869</v>
      </c>
      <c r="F549" s="35">
        <f>E549/assumptions!$B$2</f>
        <v>10.597560975609756</v>
      </c>
      <c r="G549" s="36">
        <f t="shared" si="17"/>
        <v>541</v>
      </c>
      <c r="H549" s="18">
        <f>IF(NOT(D549="G"),'RW predict'!E548,0)</f>
        <v>4</v>
      </c>
      <c r="I549" s="18">
        <f>'RW predict'!Q548</f>
        <v>104</v>
      </c>
      <c r="J549" s="18">
        <f>'RW predict'!F548</f>
        <v>10</v>
      </c>
      <c r="K549" s="18"/>
      <c r="L549" s="18"/>
      <c r="M549" s="18">
        <f>'RW predict'!P548</f>
        <v>81</v>
      </c>
      <c r="N549" s="18"/>
      <c r="O549" s="18">
        <f>'RW predict'!H548</f>
        <v>1</v>
      </c>
      <c r="P549" s="18">
        <f>'RW predict'!I548</f>
        <v>28</v>
      </c>
      <c r="Q549" s="18">
        <f>'RW predict'!L548</f>
        <v>0</v>
      </c>
      <c r="R549" s="18">
        <f>'RW predict'!N548</f>
        <v>0</v>
      </c>
      <c r="S549" s="76">
        <f>'RW predict'!O548</f>
        <v>0</v>
      </c>
      <c r="T549" s="76">
        <f>'RW predict'!K548</f>
        <v>0</v>
      </c>
      <c r="U549" s="22">
        <f>'RW predict'!J548</f>
        <v>68</v>
      </c>
      <c r="V549" s="32">
        <f>IF(D549="G",'RW predict'!E548,0)</f>
        <v>0</v>
      </c>
      <c r="W549" s="18">
        <f>'RW predict'!R548</f>
        <v>0</v>
      </c>
      <c r="X549" s="18">
        <f>'RW predict'!T548</f>
        <v>0</v>
      </c>
      <c r="Y549" s="18">
        <f>'RW predict'!Y548</f>
        <v>0</v>
      </c>
      <c r="Z549" s="18">
        <f>'RW predict'!U548</f>
        <v>0</v>
      </c>
      <c r="AA549" s="18">
        <f>'RW predict'!W548</f>
        <v>0</v>
      </c>
    </row>
    <row r="550" spans="1:27" x14ac:dyDescent="0.3">
      <c r="A550" s="18">
        <v>547</v>
      </c>
      <c r="B550" s="18" t="str">
        <f>'RW predict'!A549</f>
        <v>Derek Forbort</v>
      </c>
      <c r="C550" s="18" t="str">
        <f>'RW predict'!B549</f>
        <v>BOS</v>
      </c>
      <c r="D550" s="22" t="str" cm="1">
        <f t="array" ref="D550">_xlfn.SWITCH('RW predict'!C549, "C", "F", "LW","F", "RW", "F", "D", "D", "G", "G", "other")</f>
        <v>D</v>
      </c>
      <c r="E550" s="32">
        <f t="shared" si="16"/>
        <v>1007</v>
      </c>
      <c r="F550" s="35">
        <f>E550/assumptions!$B$2</f>
        <v>12.280487804878049</v>
      </c>
      <c r="G550" s="36">
        <f t="shared" si="17"/>
        <v>486</v>
      </c>
      <c r="H550" s="18">
        <f>IF(NOT(D550="G"),'RW predict'!E549,0)</f>
        <v>3</v>
      </c>
      <c r="I550" s="18">
        <f>'RW predict'!Q549</f>
        <v>111</v>
      </c>
      <c r="J550" s="18">
        <f>'RW predict'!F549</f>
        <v>11</v>
      </c>
      <c r="K550" s="18"/>
      <c r="L550" s="18"/>
      <c r="M550" s="18">
        <f>'RW predict'!P549</f>
        <v>132</v>
      </c>
      <c r="N550" s="18"/>
      <c r="O550" s="18">
        <f>'RW predict'!H549</f>
        <v>2</v>
      </c>
      <c r="P550" s="18">
        <f>'RW predict'!I549</f>
        <v>47</v>
      </c>
      <c r="Q550" s="18">
        <f>'RW predict'!L549</f>
        <v>0</v>
      </c>
      <c r="R550" s="18">
        <f>'RW predict'!N549</f>
        <v>0</v>
      </c>
      <c r="S550" s="76">
        <f>'RW predict'!O549</f>
        <v>1</v>
      </c>
      <c r="T550" s="76">
        <f>'RW predict'!K549</f>
        <v>0</v>
      </c>
      <c r="U550" s="22">
        <f>'RW predict'!J549</f>
        <v>66</v>
      </c>
      <c r="V550" s="32">
        <f>IF(D550="G",'RW predict'!E549,0)</f>
        <v>0</v>
      </c>
      <c r="W550" s="18">
        <f>'RW predict'!R549</f>
        <v>0</v>
      </c>
      <c r="X550" s="18">
        <f>'RW predict'!T549</f>
        <v>0</v>
      </c>
      <c r="Y550" s="18">
        <f>'RW predict'!Y549</f>
        <v>0</v>
      </c>
      <c r="Z550" s="18">
        <f>'RW predict'!U549</f>
        <v>0</v>
      </c>
      <c r="AA550" s="18">
        <f>'RW predict'!W549</f>
        <v>0</v>
      </c>
    </row>
    <row r="551" spans="1:27" x14ac:dyDescent="0.3">
      <c r="A551" s="18">
        <v>548</v>
      </c>
      <c r="B551" s="18" t="str">
        <f>'RW predict'!A550</f>
        <v>Nick Bjugstad</v>
      </c>
      <c r="C551" s="18" t="str">
        <f>'RW predict'!B550</f>
        <v>ARI</v>
      </c>
      <c r="D551" s="22" t="str" cm="1">
        <f t="array" ref="D551">_xlfn.SWITCH('RW predict'!C550, "C", "F", "LW","F", "RW", "F", "D", "D", "G", "G", "other")</f>
        <v>F</v>
      </c>
      <c r="E551" s="32">
        <f t="shared" si="16"/>
        <v>717</v>
      </c>
      <c r="F551" s="35">
        <f>E551/assumptions!$B$2</f>
        <v>8.7439024390243905</v>
      </c>
      <c r="G551" s="36">
        <f t="shared" si="17"/>
        <v>598</v>
      </c>
      <c r="H551" s="18">
        <f>IF(NOT(D551="G"),'RW predict'!E550,0)</f>
        <v>6</v>
      </c>
      <c r="I551" s="18">
        <f>'RW predict'!Q550</f>
        <v>17</v>
      </c>
      <c r="J551" s="18">
        <f>'RW predict'!F550</f>
        <v>8</v>
      </c>
      <c r="K551" s="18"/>
      <c r="L551" s="18"/>
      <c r="M551" s="18">
        <f>'RW predict'!P550</f>
        <v>103</v>
      </c>
      <c r="N551" s="18"/>
      <c r="O551" s="18">
        <f>'RW predict'!H550</f>
        <v>-4</v>
      </c>
      <c r="P551" s="18">
        <f>'RW predict'!I550</f>
        <v>24</v>
      </c>
      <c r="Q551" s="18">
        <f>'RW predict'!L550</f>
        <v>0</v>
      </c>
      <c r="R551" s="18">
        <f>'RW predict'!N550</f>
        <v>0</v>
      </c>
      <c r="S551" s="76">
        <f>'RW predict'!O550</f>
        <v>0</v>
      </c>
      <c r="T551" s="76">
        <f>'RW predict'!K550</f>
        <v>1</v>
      </c>
      <c r="U551" s="22">
        <f>'RW predict'!J550</f>
        <v>89</v>
      </c>
      <c r="V551" s="32">
        <f>IF(D551="G",'RW predict'!E550,0)</f>
        <v>0</v>
      </c>
      <c r="W551" s="18">
        <f>'RW predict'!R550</f>
        <v>0</v>
      </c>
      <c r="X551" s="18">
        <f>'RW predict'!T550</f>
        <v>0</v>
      </c>
      <c r="Y551" s="18">
        <f>'RW predict'!Y550</f>
        <v>0</v>
      </c>
      <c r="Z551" s="18">
        <f>'RW predict'!U550</f>
        <v>0</v>
      </c>
      <c r="AA551" s="18">
        <f>'RW predict'!W550</f>
        <v>0</v>
      </c>
    </row>
    <row r="552" spans="1:27" x14ac:dyDescent="0.3">
      <c r="A552" s="18">
        <v>549</v>
      </c>
      <c r="B552" s="18" t="str">
        <f>'RW predict'!A551</f>
        <v>Connor Murphy</v>
      </c>
      <c r="C552" s="18" t="str">
        <f>'RW predict'!B551</f>
        <v>CHI</v>
      </c>
      <c r="D552" s="22" t="str" cm="1">
        <f t="array" ref="D552">_xlfn.SWITCH('RW predict'!C551, "C", "F", "LW","F", "RW", "F", "D", "D", "G", "G", "other")</f>
        <v>D</v>
      </c>
      <c r="E552" s="32">
        <f t="shared" si="16"/>
        <v>1030</v>
      </c>
      <c r="F552" s="35">
        <f>E552/assumptions!$B$2</f>
        <v>12.560975609756097</v>
      </c>
      <c r="G552" s="36">
        <f t="shared" si="17"/>
        <v>473</v>
      </c>
      <c r="H552" s="18">
        <f>IF(NOT(D552="G"),'RW predict'!E551,0)</f>
        <v>5</v>
      </c>
      <c r="I552" s="18">
        <f>'RW predict'!Q551</f>
        <v>162</v>
      </c>
      <c r="J552" s="18">
        <f>'RW predict'!F551</f>
        <v>9</v>
      </c>
      <c r="K552" s="18"/>
      <c r="L552" s="18"/>
      <c r="M552" s="18">
        <f>'RW predict'!P551</f>
        <v>140</v>
      </c>
      <c r="N552" s="18"/>
      <c r="O552" s="18">
        <f>'RW predict'!H551</f>
        <v>-12</v>
      </c>
      <c r="P552" s="18">
        <f>'RW predict'!I551</f>
        <v>48</v>
      </c>
      <c r="Q552" s="18">
        <f>'RW predict'!L551</f>
        <v>0</v>
      </c>
      <c r="R552" s="18">
        <f>'RW predict'!N551</f>
        <v>0</v>
      </c>
      <c r="S552" s="76">
        <f>'RW predict'!O551</f>
        <v>0</v>
      </c>
      <c r="T552" s="76">
        <f>'RW predict'!K551</f>
        <v>1</v>
      </c>
      <c r="U552" s="22">
        <f>'RW predict'!J551</f>
        <v>86</v>
      </c>
      <c r="V552" s="32">
        <f>IF(D552="G",'RW predict'!E551,0)</f>
        <v>0</v>
      </c>
      <c r="W552" s="18">
        <f>'RW predict'!R551</f>
        <v>0</v>
      </c>
      <c r="X552" s="18">
        <f>'RW predict'!T551</f>
        <v>0</v>
      </c>
      <c r="Y552" s="18">
        <f>'RW predict'!Y551</f>
        <v>0</v>
      </c>
      <c r="Z552" s="18">
        <f>'RW predict'!U551</f>
        <v>0</v>
      </c>
      <c r="AA552" s="18">
        <f>'RW predict'!W551</f>
        <v>0</v>
      </c>
    </row>
    <row r="553" spans="1:27" x14ac:dyDescent="0.3">
      <c r="A553" s="18">
        <v>550</v>
      </c>
      <c r="B553" s="18" t="str">
        <f>'RW predict'!A552</f>
        <v>Erik Gudbranson</v>
      </c>
      <c r="C553" s="18" t="str">
        <f>'RW predict'!B552</f>
        <v>CLS</v>
      </c>
      <c r="D553" s="22" t="str" cm="1">
        <f t="array" ref="D553">_xlfn.SWITCH('RW predict'!C552, "C", "F", "LW","F", "RW", "F", "D", "D", "G", "G", "other")</f>
        <v>D</v>
      </c>
      <c r="E553" s="32">
        <f t="shared" si="16"/>
        <v>1164</v>
      </c>
      <c r="F553" s="35">
        <f>E553/assumptions!$B$2</f>
        <v>14.195121951219512</v>
      </c>
      <c r="G553" s="36">
        <f t="shared" si="17"/>
        <v>419</v>
      </c>
      <c r="H553" s="18">
        <f>IF(NOT(D553="G"),'RW predict'!E552,0)</f>
        <v>4</v>
      </c>
      <c r="I553" s="18">
        <f>'RW predict'!Q552</f>
        <v>91</v>
      </c>
      <c r="J553" s="18">
        <f>'RW predict'!F552</f>
        <v>9</v>
      </c>
      <c r="K553" s="18"/>
      <c r="L553" s="18"/>
      <c r="M553" s="18">
        <f>'RW predict'!P552</f>
        <v>151</v>
      </c>
      <c r="N553" s="18"/>
      <c r="O553" s="18">
        <f>'RW predict'!H552</f>
        <v>3</v>
      </c>
      <c r="P553" s="18">
        <f>'RW predict'!I552</f>
        <v>74</v>
      </c>
      <c r="Q553" s="18">
        <f>'RW predict'!L552</f>
        <v>0</v>
      </c>
      <c r="R553" s="18">
        <f>'RW predict'!N552</f>
        <v>0</v>
      </c>
      <c r="S553" s="76">
        <f>'RW predict'!O552</f>
        <v>0</v>
      </c>
      <c r="T553" s="76">
        <f>'RW predict'!K552</f>
        <v>0</v>
      </c>
      <c r="U553" s="22">
        <f>'RW predict'!J552</f>
        <v>127</v>
      </c>
      <c r="V553" s="32">
        <f>IF(D553="G",'RW predict'!E552,0)</f>
        <v>0</v>
      </c>
      <c r="W553" s="18">
        <f>'RW predict'!R552</f>
        <v>0</v>
      </c>
      <c r="X553" s="18">
        <f>'RW predict'!T552</f>
        <v>0</v>
      </c>
      <c r="Y553" s="18">
        <f>'RW predict'!Y552</f>
        <v>0</v>
      </c>
      <c r="Z553" s="18">
        <f>'RW predict'!U552</f>
        <v>0</v>
      </c>
      <c r="AA553" s="18">
        <f>'RW predict'!W552</f>
        <v>0</v>
      </c>
    </row>
    <row r="554" spans="1:27" x14ac:dyDescent="0.3">
      <c r="A554" s="18">
        <v>551</v>
      </c>
      <c r="B554" s="18" t="str">
        <f>'RW predict'!A553</f>
        <v>Marco Scandella</v>
      </c>
      <c r="C554" s="18" t="str">
        <f>'RW predict'!B553</f>
        <v>STL</v>
      </c>
      <c r="D554" s="22" t="str" cm="1">
        <f t="array" ref="D554">_xlfn.SWITCH('RW predict'!C553, "C", "F", "LW","F", "RW", "F", "D", "D", "G", "G", "other")</f>
        <v>D</v>
      </c>
      <c r="E554" s="32">
        <f t="shared" si="16"/>
        <v>959</v>
      </c>
      <c r="F554" s="35">
        <f>E554/assumptions!$B$2</f>
        <v>11.695121951219512</v>
      </c>
      <c r="G554" s="36">
        <f t="shared" si="17"/>
        <v>507</v>
      </c>
      <c r="H554" s="18">
        <f>IF(NOT(D554="G"),'RW predict'!E553,0)</f>
        <v>3</v>
      </c>
      <c r="I554" s="18">
        <f>'RW predict'!Q553</f>
        <v>73</v>
      </c>
      <c r="J554" s="18">
        <f>'RW predict'!F553</f>
        <v>10</v>
      </c>
      <c r="K554" s="18"/>
      <c r="L554" s="18"/>
      <c r="M554" s="18">
        <f>'RW predict'!P553</f>
        <v>94</v>
      </c>
      <c r="N554" s="18"/>
      <c r="O554" s="18">
        <f>'RW predict'!H553</f>
        <v>17</v>
      </c>
      <c r="P554" s="18">
        <f>'RW predict'!I553</f>
        <v>22</v>
      </c>
      <c r="Q554" s="18">
        <f>'RW predict'!L553</f>
        <v>0</v>
      </c>
      <c r="R554" s="18">
        <f>'RW predict'!N553</f>
        <v>0</v>
      </c>
      <c r="S554" s="76">
        <f>'RW predict'!O553</f>
        <v>1</v>
      </c>
      <c r="T554" s="76">
        <f>'RW predict'!K553</f>
        <v>0</v>
      </c>
      <c r="U554" s="22">
        <f>'RW predict'!J553</f>
        <v>74</v>
      </c>
      <c r="V554" s="32">
        <f>IF(D554="G",'RW predict'!E553,0)</f>
        <v>0</v>
      </c>
      <c r="W554" s="18">
        <f>'RW predict'!R553</f>
        <v>0</v>
      </c>
      <c r="X554" s="18">
        <f>'RW predict'!T553</f>
        <v>0</v>
      </c>
      <c r="Y554" s="18">
        <f>'RW predict'!Y553</f>
        <v>0</v>
      </c>
      <c r="Z554" s="18">
        <f>'RW predict'!U553</f>
        <v>0</v>
      </c>
      <c r="AA554" s="18">
        <f>'RW predict'!W553</f>
        <v>0</v>
      </c>
    </row>
    <row r="555" spans="1:27" x14ac:dyDescent="0.3">
      <c r="A555" s="18">
        <v>552</v>
      </c>
      <c r="B555" s="18" t="str">
        <f>'RW predict'!A554</f>
        <v>Wayne Simmonds</v>
      </c>
      <c r="C555" s="18" t="str">
        <f>'RW predict'!B554</f>
        <v>TOR</v>
      </c>
      <c r="D555" s="22" t="str" cm="1">
        <f t="array" ref="D555">_xlfn.SWITCH('RW predict'!C554, "C", "F", "LW","F", "RW", "F", "D", "D", "G", "G", "other")</f>
        <v>F</v>
      </c>
      <c r="E555" s="32">
        <f t="shared" si="16"/>
        <v>885</v>
      </c>
      <c r="F555" s="35">
        <f>E555/assumptions!$B$2</f>
        <v>10.792682926829269</v>
      </c>
      <c r="G555" s="36">
        <f t="shared" si="17"/>
        <v>535</v>
      </c>
      <c r="H555" s="18">
        <f>IF(NOT(D555="G"),'RW predict'!E554,0)</f>
        <v>5</v>
      </c>
      <c r="I555" s="18">
        <f>'RW predict'!Q554</f>
        <v>14</v>
      </c>
      <c r="J555" s="18">
        <f>'RW predict'!F554</f>
        <v>8</v>
      </c>
      <c r="K555" s="18"/>
      <c r="L555" s="18"/>
      <c r="M555" s="18">
        <f>'RW predict'!P554</f>
        <v>143</v>
      </c>
      <c r="N555" s="18"/>
      <c r="O555" s="18">
        <f>'RW predict'!H554</f>
        <v>-6</v>
      </c>
      <c r="P555" s="18">
        <f>'RW predict'!I554</f>
        <v>89</v>
      </c>
      <c r="Q555" s="18">
        <f>'RW predict'!L554</f>
        <v>1</v>
      </c>
      <c r="R555" s="18">
        <f>'RW predict'!N554</f>
        <v>0</v>
      </c>
      <c r="S555" s="76">
        <f>'RW predict'!O554</f>
        <v>0</v>
      </c>
      <c r="T555" s="76">
        <f>'RW predict'!K554</f>
        <v>1</v>
      </c>
      <c r="U555" s="22">
        <f>'RW predict'!J554</f>
        <v>76</v>
      </c>
      <c r="V555" s="32">
        <f>IF(D555="G",'RW predict'!E554,0)</f>
        <v>0</v>
      </c>
      <c r="W555" s="18">
        <f>'RW predict'!R554</f>
        <v>0</v>
      </c>
      <c r="X555" s="18">
        <f>'RW predict'!T554</f>
        <v>0</v>
      </c>
      <c r="Y555" s="18">
        <f>'RW predict'!Y554</f>
        <v>0</v>
      </c>
      <c r="Z555" s="18">
        <f>'RW predict'!U554</f>
        <v>0</v>
      </c>
      <c r="AA555" s="18">
        <f>'RW predict'!W554</f>
        <v>0</v>
      </c>
    </row>
    <row r="556" spans="1:27" x14ac:dyDescent="0.3">
      <c r="A556" s="18">
        <v>553</v>
      </c>
      <c r="B556" s="18" t="str">
        <f>'RW predict'!A555</f>
        <v>Mathieu Perreault</v>
      </c>
      <c r="C556" s="18" t="str">
        <f>'RW predict'!B555</f>
        <v>FA</v>
      </c>
      <c r="D556" s="22" t="str" cm="1">
        <f t="array" ref="D556">_xlfn.SWITCH('RW predict'!C555, "C", "F", "LW","F", "RW", "F", "D", "D", "G", "G", "other")</f>
        <v>F</v>
      </c>
      <c r="E556" s="32">
        <f t="shared" si="16"/>
        <v>526</v>
      </c>
      <c r="F556" s="35">
        <f>E556/assumptions!$B$2</f>
        <v>6.4146341463414638</v>
      </c>
      <c r="G556" s="36">
        <f t="shared" si="17"/>
        <v>668</v>
      </c>
      <c r="H556" s="18">
        <f>IF(NOT(D556="G"),'RW predict'!E555,0)</f>
        <v>6</v>
      </c>
      <c r="I556" s="18">
        <f>'RW predict'!Q555</f>
        <v>14</v>
      </c>
      <c r="J556" s="18">
        <f>'RW predict'!F555</f>
        <v>7</v>
      </c>
      <c r="K556" s="18"/>
      <c r="L556" s="18"/>
      <c r="M556" s="18">
        <f>'RW predict'!P555</f>
        <v>51</v>
      </c>
      <c r="N556" s="18"/>
      <c r="O556" s="18">
        <f>'RW predict'!H555</f>
        <v>2</v>
      </c>
      <c r="P556" s="18">
        <f>'RW predict'!I555</f>
        <v>8</v>
      </c>
      <c r="Q556" s="18">
        <f>'RW predict'!L555</f>
        <v>0</v>
      </c>
      <c r="R556" s="18">
        <f>'RW predict'!N555</f>
        <v>0</v>
      </c>
      <c r="S556" s="76">
        <f>'RW predict'!O555</f>
        <v>0</v>
      </c>
      <c r="T556" s="76">
        <f>'RW predict'!K555</f>
        <v>0</v>
      </c>
      <c r="U556" s="22">
        <f>'RW predict'!J555</f>
        <v>39</v>
      </c>
      <c r="V556" s="32">
        <f>IF(D556="G",'RW predict'!E555,0)</f>
        <v>0</v>
      </c>
      <c r="W556" s="18">
        <f>'RW predict'!R555</f>
        <v>0</v>
      </c>
      <c r="X556" s="18">
        <f>'RW predict'!T555</f>
        <v>0</v>
      </c>
      <c r="Y556" s="18">
        <f>'RW predict'!Y555</f>
        <v>0</v>
      </c>
      <c r="Z556" s="18">
        <f>'RW predict'!U555</f>
        <v>0</v>
      </c>
      <c r="AA556" s="18">
        <f>'RW predict'!W555</f>
        <v>0</v>
      </c>
    </row>
    <row r="557" spans="1:27" x14ac:dyDescent="0.3">
      <c r="A557" s="18">
        <v>554</v>
      </c>
      <c r="B557" s="18" t="str">
        <f>'RW predict'!A556</f>
        <v>Marc-Edouard Vlasic</v>
      </c>
      <c r="C557" s="18" t="str">
        <f>'RW predict'!B556</f>
        <v>SJ</v>
      </c>
      <c r="D557" s="22" t="str" cm="1">
        <f t="array" ref="D557">_xlfn.SWITCH('RW predict'!C556, "C", "F", "LW","F", "RW", "F", "D", "D", "G", "G", "other")</f>
        <v>D</v>
      </c>
      <c r="E557" s="32">
        <f t="shared" si="16"/>
        <v>524</v>
      </c>
      <c r="F557" s="35">
        <f>E557/assumptions!$B$2</f>
        <v>6.3902439024390247</v>
      </c>
      <c r="G557" s="36">
        <f t="shared" si="17"/>
        <v>670</v>
      </c>
      <c r="H557" s="18">
        <f>IF(NOT(D557="G"),'RW predict'!E556,0)</f>
        <v>3</v>
      </c>
      <c r="I557" s="18">
        <f>'RW predict'!Q556</f>
        <v>86</v>
      </c>
      <c r="J557" s="18">
        <f>'RW predict'!F556</f>
        <v>10</v>
      </c>
      <c r="K557" s="18"/>
      <c r="L557" s="18"/>
      <c r="M557" s="18">
        <f>'RW predict'!P556</f>
        <v>55</v>
      </c>
      <c r="N557" s="18"/>
      <c r="O557" s="18">
        <f>'RW predict'!H556</f>
        <v>-21</v>
      </c>
      <c r="P557" s="18">
        <f>'RW predict'!I556</f>
        <v>18</v>
      </c>
      <c r="Q557" s="18">
        <f>'RW predict'!L556</f>
        <v>0</v>
      </c>
      <c r="R557" s="18">
        <f>'RW predict'!N556</f>
        <v>0</v>
      </c>
      <c r="S557" s="76">
        <f>'RW predict'!O556</f>
        <v>0</v>
      </c>
      <c r="T557" s="76">
        <f>'RW predict'!K556</f>
        <v>0</v>
      </c>
      <c r="U557" s="22">
        <f>'RW predict'!J556</f>
        <v>64</v>
      </c>
      <c r="V557" s="32">
        <f>IF(D557="G",'RW predict'!E556,0)</f>
        <v>0</v>
      </c>
      <c r="W557" s="18">
        <f>'RW predict'!R556</f>
        <v>0</v>
      </c>
      <c r="X557" s="18">
        <f>'RW predict'!T556</f>
        <v>0</v>
      </c>
      <c r="Y557" s="18">
        <f>'RW predict'!Y556</f>
        <v>0</v>
      </c>
      <c r="Z557" s="18">
        <f>'RW predict'!U556</f>
        <v>0</v>
      </c>
      <c r="AA557" s="18">
        <f>'RW predict'!W556</f>
        <v>0</v>
      </c>
    </row>
    <row r="558" spans="1:27" x14ac:dyDescent="0.3">
      <c r="A558" s="18">
        <v>555</v>
      </c>
      <c r="B558" s="18" t="str">
        <f>'RW predict'!A557</f>
        <v>Brendan Lemieux</v>
      </c>
      <c r="C558" s="18" t="str">
        <f>'RW predict'!B557</f>
        <v>LA</v>
      </c>
      <c r="D558" s="22" t="str" cm="1">
        <f t="array" ref="D558">_xlfn.SWITCH('RW predict'!C557, "C", "F", "LW","F", "RW", "F", "D", "D", "G", "G", "other")</f>
        <v>F</v>
      </c>
      <c r="E558" s="32">
        <f t="shared" si="16"/>
        <v>931</v>
      </c>
      <c r="F558" s="35">
        <f>E558/assumptions!$B$2</f>
        <v>11.353658536585366</v>
      </c>
      <c r="G558" s="36">
        <f t="shared" si="17"/>
        <v>522</v>
      </c>
      <c r="H558" s="18">
        <f>IF(NOT(D558="G"),'RW predict'!E557,0)</f>
        <v>7</v>
      </c>
      <c r="I558" s="18">
        <f>'RW predict'!Q557</f>
        <v>20</v>
      </c>
      <c r="J558" s="18">
        <f>'RW predict'!F557</f>
        <v>6</v>
      </c>
      <c r="K558" s="18"/>
      <c r="L558" s="18"/>
      <c r="M558" s="18">
        <f>'RW predict'!P557</f>
        <v>127</v>
      </c>
      <c r="N558" s="18"/>
      <c r="O558" s="18">
        <f>'RW predict'!H557</f>
        <v>0</v>
      </c>
      <c r="P558" s="18">
        <f>'RW predict'!I557</f>
        <v>95</v>
      </c>
      <c r="Q558" s="18">
        <f>'RW predict'!L557</f>
        <v>0</v>
      </c>
      <c r="R558" s="18">
        <f>'RW predict'!N557</f>
        <v>0</v>
      </c>
      <c r="S558" s="76">
        <f>'RW predict'!O557</f>
        <v>0</v>
      </c>
      <c r="T558" s="76">
        <f>'RW predict'!K557</f>
        <v>1</v>
      </c>
      <c r="U558" s="22">
        <f>'RW predict'!J557</f>
        <v>67</v>
      </c>
      <c r="V558" s="32">
        <f>IF(D558="G",'RW predict'!E557,0)</f>
        <v>0</v>
      </c>
      <c r="W558" s="18">
        <f>'RW predict'!R557</f>
        <v>0</v>
      </c>
      <c r="X558" s="18">
        <f>'RW predict'!T557</f>
        <v>0</v>
      </c>
      <c r="Y558" s="18">
        <f>'RW predict'!Y557</f>
        <v>0</v>
      </c>
      <c r="Z558" s="18">
        <f>'RW predict'!U557</f>
        <v>0</v>
      </c>
      <c r="AA558" s="18">
        <f>'RW predict'!W557</f>
        <v>0</v>
      </c>
    </row>
    <row r="559" spans="1:27" x14ac:dyDescent="0.3">
      <c r="A559" s="18">
        <v>556</v>
      </c>
      <c r="B559" s="18" t="str">
        <f>'RW predict'!A558</f>
        <v>Jacob Middleton</v>
      </c>
      <c r="C559" s="18" t="str">
        <f>'RW predict'!B558</f>
        <v>MIN</v>
      </c>
      <c r="D559" s="22" t="str" cm="1">
        <f t="array" ref="D559">_xlfn.SWITCH('RW predict'!C558, "C", "F", "LW","F", "RW", "F", "D", "D", "G", "G", "other")</f>
        <v>D</v>
      </c>
      <c r="E559" s="32">
        <f t="shared" si="16"/>
        <v>1215</v>
      </c>
      <c r="F559" s="35">
        <f>E559/assumptions!$B$2</f>
        <v>14.817073170731707</v>
      </c>
      <c r="G559" s="36">
        <f t="shared" si="17"/>
        <v>394</v>
      </c>
      <c r="H559" s="18">
        <f>IF(NOT(D559="G"),'RW predict'!E558,0)</f>
        <v>3</v>
      </c>
      <c r="I559" s="18">
        <f>'RW predict'!Q558</f>
        <v>130</v>
      </c>
      <c r="J559" s="18">
        <f>'RW predict'!F558</f>
        <v>10</v>
      </c>
      <c r="K559" s="18"/>
      <c r="L559" s="18"/>
      <c r="M559" s="18">
        <f>'RW predict'!P558</f>
        <v>128</v>
      </c>
      <c r="N559" s="18"/>
      <c r="O559" s="18">
        <f>'RW predict'!H558</f>
        <v>10</v>
      </c>
      <c r="P559" s="18">
        <f>'RW predict'!I558</f>
        <v>80</v>
      </c>
      <c r="Q559" s="18">
        <f>'RW predict'!L558</f>
        <v>0</v>
      </c>
      <c r="R559" s="18">
        <f>'RW predict'!N558</f>
        <v>0</v>
      </c>
      <c r="S559" s="76">
        <f>'RW predict'!O558</f>
        <v>1</v>
      </c>
      <c r="T559" s="76">
        <f>'RW predict'!K558</f>
        <v>0</v>
      </c>
      <c r="U559" s="22">
        <f>'RW predict'!J558</f>
        <v>76</v>
      </c>
      <c r="V559" s="32">
        <f>IF(D559="G",'RW predict'!E558,0)</f>
        <v>0</v>
      </c>
      <c r="W559" s="18">
        <f>'RW predict'!R558</f>
        <v>0</v>
      </c>
      <c r="X559" s="18">
        <f>'RW predict'!T558</f>
        <v>0</v>
      </c>
      <c r="Y559" s="18">
        <f>'RW predict'!Y558</f>
        <v>0</v>
      </c>
      <c r="Z559" s="18">
        <f>'RW predict'!U558</f>
        <v>0</v>
      </c>
      <c r="AA559" s="18">
        <f>'RW predict'!W558</f>
        <v>0</v>
      </c>
    </row>
    <row r="560" spans="1:27" x14ac:dyDescent="0.3">
      <c r="A560" s="18">
        <v>557</v>
      </c>
      <c r="B560" s="18" t="str">
        <f>'RW predict'!A559</f>
        <v>Max Jones</v>
      </c>
      <c r="C560" s="18" t="str">
        <f>'RW predict'!B559</f>
        <v>ANH</v>
      </c>
      <c r="D560" s="22" t="str" cm="1">
        <f t="array" ref="D560">_xlfn.SWITCH('RW predict'!C559, "C", "F", "LW","F", "RW", "F", "D", "D", "G", "G", "other")</f>
        <v>F</v>
      </c>
      <c r="E560" s="32">
        <f t="shared" si="16"/>
        <v>717</v>
      </c>
      <c r="F560" s="35">
        <f>E560/assumptions!$B$2</f>
        <v>8.7439024390243905</v>
      </c>
      <c r="G560" s="36">
        <f t="shared" si="17"/>
        <v>598</v>
      </c>
      <c r="H560" s="18">
        <f>IF(NOT(D560="G"),'RW predict'!E559,0)</f>
        <v>8</v>
      </c>
      <c r="I560" s="18">
        <f>'RW predict'!Q559</f>
        <v>16</v>
      </c>
      <c r="J560" s="18">
        <f>'RW predict'!F559</f>
        <v>5</v>
      </c>
      <c r="K560" s="18"/>
      <c r="L560" s="18"/>
      <c r="M560" s="18">
        <f>'RW predict'!P559</f>
        <v>116</v>
      </c>
      <c r="N560" s="18"/>
      <c r="O560" s="18">
        <f>'RW predict'!H559</f>
        <v>-6</v>
      </c>
      <c r="P560" s="18">
        <f>'RW predict'!I559</f>
        <v>38</v>
      </c>
      <c r="Q560" s="18">
        <f>'RW predict'!L559</f>
        <v>0</v>
      </c>
      <c r="R560" s="18">
        <f>'RW predict'!N559</f>
        <v>1</v>
      </c>
      <c r="S560" s="76">
        <f>'RW predict'!O559</f>
        <v>0</v>
      </c>
      <c r="T560" s="76">
        <f>'RW predict'!K559</f>
        <v>0</v>
      </c>
      <c r="U560" s="22">
        <f>'RW predict'!J559</f>
        <v>85</v>
      </c>
      <c r="V560" s="32">
        <f>IF(D560="G",'RW predict'!E559,0)</f>
        <v>0</v>
      </c>
      <c r="W560" s="18">
        <f>'RW predict'!R559</f>
        <v>0</v>
      </c>
      <c r="X560" s="18">
        <f>'RW predict'!T559</f>
        <v>0</v>
      </c>
      <c r="Y560" s="18">
        <f>'RW predict'!Y559</f>
        <v>0</v>
      </c>
      <c r="Z560" s="18">
        <f>'RW predict'!U559</f>
        <v>0</v>
      </c>
      <c r="AA560" s="18">
        <f>'RW predict'!W559</f>
        <v>0</v>
      </c>
    </row>
    <row r="561" spans="1:27" x14ac:dyDescent="0.3">
      <c r="A561" s="18">
        <v>558</v>
      </c>
      <c r="B561" s="18" t="str">
        <f>'RW predict'!A560</f>
        <v>Dominik Simon</v>
      </c>
      <c r="C561" s="18" t="str">
        <f>'RW predict'!B560</f>
        <v>FA</v>
      </c>
      <c r="D561" s="22" t="str" cm="1">
        <f t="array" ref="D561">_xlfn.SWITCH('RW predict'!C560, "C", "F", "LW","F", "RW", "F", "D", "D", "G", "G", "other")</f>
        <v>F</v>
      </c>
      <c r="E561" s="32">
        <f t="shared" si="16"/>
        <v>697</v>
      </c>
      <c r="F561" s="35">
        <f>E561/assumptions!$B$2</f>
        <v>8.5</v>
      </c>
      <c r="G561" s="36">
        <f t="shared" si="17"/>
        <v>606</v>
      </c>
      <c r="H561" s="18">
        <f>IF(NOT(D561="G"),'RW predict'!E560,0)</f>
        <v>3</v>
      </c>
      <c r="I561" s="18">
        <f>'RW predict'!Q560</f>
        <v>32</v>
      </c>
      <c r="J561" s="18">
        <f>'RW predict'!F560</f>
        <v>10</v>
      </c>
      <c r="K561" s="18"/>
      <c r="L561" s="18"/>
      <c r="M561" s="18">
        <f>'RW predict'!P560</f>
        <v>63</v>
      </c>
      <c r="N561" s="18"/>
      <c r="O561" s="18">
        <f>'RW predict'!H560</f>
        <v>-1</v>
      </c>
      <c r="P561" s="18">
        <f>'RW predict'!I560</f>
        <v>27</v>
      </c>
      <c r="Q561" s="18">
        <f>'RW predict'!L560</f>
        <v>0</v>
      </c>
      <c r="R561" s="18">
        <f>'RW predict'!N560</f>
        <v>0</v>
      </c>
      <c r="S561" s="76">
        <f>'RW predict'!O560</f>
        <v>0</v>
      </c>
      <c r="T561" s="76">
        <f>'RW predict'!K560</f>
        <v>1</v>
      </c>
      <c r="U561" s="22">
        <f>'RW predict'!J560</f>
        <v>77</v>
      </c>
      <c r="V561" s="32">
        <f>IF(D561="G",'RW predict'!E560,0)</f>
        <v>0</v>
      </c>
      <c r="W561" s="18">
        <f>'RW predict'!R560</f>
        <v>0</v>
      </c>
      <c r="X561" s="18">
        <f>'RW predict'!T560</f>
        <v>0</v>
      </c>
      <c r="Y561" s="18">
        <f>'RW predict'!Y560</f>
        <v>0</v>
      </c>
      <c r="Z561" s="18">
        <f>'RW predict'!U560</f>
        <v>0</v>
      </c>
      <c r="AA561" s="18">
        <f>'RW predict'!W560</f>
        <v>0</v>
      </c>
    </row>
    <row r="562" spans="1:27" x14ac:dyDescent="0.3">
      <c r="A562" s="18">
        <v>559</v>
      </c>
      <c r="B562" s="18" t="str">
        <f>'RW predict'!A561</f>
        <v>Tyler Motte</v>
      </c>
      <c r="C562" s="18" t="str">
        <f>'RW predict'!B561</f>
        <v>OTT</v>
      </c>
      <c r="D562" s="22" t="str" cm="1">
        <f t="array" ref="D562">_xlfn.SWITCH('RW predict'!C561, "C", "F", "LW","F", "RW", "F", "D", "D", "G", "G", "other")</f>
        <v>F</v>
      </c>
      <c r="E562" s="32">
        <f t="shared" si="16"/>
        <v>846</v>
      </c>
      <c r="F562" s="35">
        <f>E562/assumptions!$B$2</f>
        <v>10.317073170731707</v>
      </c>
      <c r="G562" s="36">
        <f t="shared" si="17"/>
        <v>554</v>
      </c>
      <c r="H562" s="18">
        <f>IF(NOT(D562="G"),'RW predict'!E561,0)</f>
        <v>6</v>
      </c>
      <c r="I562" s="18">
        <f>'RW predict'!Q561</f>
        <v>54</v>
      </c>
      <c r="J562" s="18">
        <f>'RW predict'!F561</f>
        <v>7</v>
      </c>
      <c r="K562" s="18"/>
      <c r="L562" s="18"/>
      <c r="M562" s="18">
        <f>'RW predict'!P561</f>
        <v>122</v>
      </c>
      <c r="N562" s="18"/>
      <c r="O562" s="18">
        <f>'RW predict'!H561</f>
        <v>1</v>
      </c>
      <c r="P562" s="18">
        <f>'RW predict'!I561</f>
        <v>21</v>
      </c>
      <c r="Q562" s="18">
        <f>'RW predict'!L561</f>
        <v>0</v>
      </c>
      <c r="R562" s="18">
        <f>'RW predict'!N561</f>
        <v>1</v>
      </c>
      <c r="S562" s="76">
        <f>'RW predict'!O561</f>
        <v>0</v>
      </c>
      <c r="T562" s="76">
        <f>'RW predict'!K561</f>
        <v>1</v>
      </c>
      <c r="U562" s="22">
        <f>'RW predict'!J561</f>
        <v>89</v>
      </c>
      <c r="V562" s="32">
        <f>IF(D562="G",'RW predict'!E561,0)</f>
        <v>0</v>
      </c>
      <c r="W562" s="18">
        <f>'RW predict'!R561</f>
        <v>0</v>
      </c>
      <c r="X562" s="18">
        <f>'RW predict'!T561</f>
        <v>0</v>
      </c>
      <c r="Y562" s="18">
        <f>'RW predict'!Y561</f>
        <v>0</v>
      </c>
      <c r="Z562" s="18">
        <f>'RW predict'!U561</f>
        <v>0</v>
      </c>
      <c r="AA562" s="18">
        <f>'RW predict'!W561</f>
        <v>0</v>
      </c>
    </row>
    <row r="563" spans="1:27" x14ac:dyDescent="0.3">
      <c r="A563" s="18">
        <v>560</v>
      </c>
      <c r="B563" s="18" t="str">
        <f>'RW predict'!A562</f>
        <v>Alex Barre-Boulet</v>
      </c>
      <c r="C563" s="18" t="str">
        <f>'RW predict'!B562</f>
        <v>TB</v>
      </c>
      <c r="D563" s="22" t="str" cm="1">
        <f t="array" ref="D563">_xlfn.SWITCH('RW predict'!C562, "C", "F", "LW","F", "RW", "F", "D", "D", "G", "G", "other")</f>
        <v>F</v>
      </c>
      <c r="E563" s="32">
        <f t="shared" si="16"/>
        <v>469</v>
      </c>
      <c r="F563" s="35">
        <f>E563/assumptions!$B$2</f>
        <v>5.7195121951219514</v>
      </c>
      <c r="G563" s="36">
        <f t="shared" si="17"/>
        <v>698</v>
      </c>
      <c r="H563" s="18">
        <f>IF(NOT(D563="G"),'RW predict'!E562,0)</f>
        <v>7</v>
      </c>
      <c r="I563" s="18">
        <f>'RW predict'!Q562</f>
        <v>9</v>
      </c>
      <c r="J563" s="18">
        <f>'RW predict'!F562</f>
        <v>6</v>
      </c>
      <c r="K563" s="18"/>
      <c r="L563" s="18"/>
      <c r="M563" s="18">
        <f>'RW predict'!P562</f>
        <v>22</v>
      </c>
      <c r="N563" s="18"/>
      <c r="O563" s="18">
        <f>'RW predict'!H562</f>
        <v>-3</v>
      </c>
      <c r="P563" s="18">
        <f>'RW predict'!I562</f>
        <v>6</v>
      </c>
      <c r="Q563" s="18">
        <f>'RW predict'!L562</f>
        <v>0</v>
      </c>
      <c r="R563" s="18">
        <f>'RW predict'!N562</f>
        <v>0</v>
      </c>
      <c r="S563" s="76">
        <f>'RW predict'!O562</f>
        <v>0</v>
      </c>
      <c r="T563" s="76">
        <f>'RW predict'!K562</f>
        <v>1</v>
      </c>
      <c r="U563" s="22">
        <f>'RW predict'!J562</f>
        <v>48</v>
      </c>
      <c r="V563" s="32">
        <f>IF(D563="G",'RW predict'!E562,0)</f>
        <v>0</v>
      </c>
      <c r="W563" s="18">
        <f>'RW predict'!R562</f>
        <v>0</v>
      </c>
      <c r="X563" s="18">
        <f>'RW predict'!T562</f>
        <v>0</v>
      </c>
      <c r="Y563" s="18">
        <f>'RW predict'!Y562</f>
        <v>0</v>
      </c>
      <c r="Z563" s="18">
        <f>'RW predict'!U562</f>
        <v>0</v>
      </c>
      <c r="AA563" s="18">
        <f>'RW predict'!W562</f>
        <v>0</v>
      </c>
    </row>
    <row r="564" spans="1:27" x14ac:dyDescent="0.3">
      <c r="A564" s="18">
        <v>561</v>
      </c>
      <c r="B564" s="18" t="str">
        <f>'RW predict'!A563</f>
        <v>Gabriel Vilardi</v>
      </c>
      <c r="C564" s="18" t="str">
        <f>'RW predict'!B563</f>
        <v>LA</v>
      </c>
      <c r="D564" s="22" t="str" cm="1">
        <f t="array" ref="D564">_xlfn.SWITCH('RW predict'!C563, "C", "F", "LW","F", "RW", "F", "D", "D", "G", "G", "other")</f>
        <v>F</v>
      </c>
      <c r="E564" s="32">
        <f t="shared" si="16"/>
        <v>511</v>
      </c>
      <c r="F564" s="35">
        <f>E564/assumptions!$B$2</f>
        <v>6.2317073170731705</v>
      </c>
      <c r="G564" s="36">
        <f t="shared" si="17"/>
        <v>678</v>
      </c>
      <c r="H564" s="18">
        <f>IF(NOT(D564="G"),'RW predict'!E563,0)</f>
        <v>7</v>
      </c>
      <c r="I564" s="18">
        <f>'RW predict'!Q563</f>
        <v>13</v>
      </c>
      <c r="J564" s="18">
        <f>'RW predict'!F563</f>
        <v>6</v>
      </c>
      <c r="K564" s="18"/>
      <c r="L564" s="18"/>
      <c r="M564" s="18">
        <f>'RW predict'!P563</f>
        <v>11</v>
      </c>
      <c r="N564" s="18"/>
      <c r="O564" s="18">
        <f>'RW predict'!H563</f>
        <v>-6</v>
      </c>
      <c r="P564" s="18">
        <f>'RW predict'!I563</f>
        <v>9</v>
      </c>
      <c r="Q564" s="18">
        <f>'RW predict'!L563</f>
        <v>2</v>
      </c>
      <c r="R564" s="18">
        <f>'RW predict'!N563</f>
        <v>0</v>
      </c>
      <c r="S564" s="76">
        <f>'RW predict'!O563</f>
        <v>0</v>
      </c>
      <c r="T564" s="76">
        <f>'RW predict'!K563</f>
        <v>2</v>
      </c>
      <c r="U564" s="22">
        <f>'RW predict'!J563</f>
        <v>61</v>
      </c>
      <c r="V564" s="32">
        <f>IF(D564="G",'RW predict'!E563,0)</f>
        <v>0</v>
      </c>
      <c r="W564" s="18">
        <f>'RW predict'!R563</f>
        <v>0</v>
      </c>
      <c r="X564" s="18">
        <f>'RW predict'!T563</f>
        <v>0</v>
      </c>
      <c r="Y564" s="18">
        <f>'RW predict'!Y563</f>
        <v>0</v>
      </c>
      <c r="Z564" s="18">
        <f>'RW predict'!U563</f>
        <v>0</v>
      </c>
      <c r="AA564" s="18">
        <f>'RW predict'!W563</f>
        <v>0</v>
      </c>
    </row>
    <row r="565" spans="1:27" x14ac:dyDescent="0.3">
      <c r="A565" s="18">
        <v>562</v>
      </c>
      <c r="B565" s="18" t="str">
        <f>'RW predict'!A564</f>
        <v>Cal Foote</v>
      </c>
      <c r="C565" s="18" t="str">
        <f>'RW predict'!B564</f>
        <v>TB</v>
      </c>
      <c r="D565" s="22" t="str" cm="1">
        <f t="array" ref="D565">_xlfn.SWITCH('RW predict'!C564, "C", "F", "LW","F", "RW", "F", "D", "D", "G", "G", "other")</f>
        <v>D</v>
      </c>
      <c r="E565" s="32">
        <f t="shared" si="16"/>
        <v>948</v>
      </c>
      <c r="F565" s="35">
        <f>E565/assumptions!$B$2</f>
        <v>11.560975609756097</v>
      </c>
      <c r="G565" s="36">
        <f t="shared" si="17"/>
        <v>512</v>
      </c>
      <c r="H565" s="18">
        <f>IF(NOT(D565="G"),'RW predict'!E564,0)</f>
        <v>3</v>
      </c>
      <c r="I565" s="18">
        <f>'RW predict'!Q564</f>
        <v>73</v>
      </c>
      <c r="J565" s="18">
        <f>'RW predict'!F564</f>
        <v>10</v>
      </c>
      <c r="K565" s="18"/>
      <c r="L565" s="18"/>
      <c r="M565" s="18">
        <f>'RW predict'!P564</f>
        <v>109</v>
      </c>
      <c r="N565" s="18"/>
      <c r="O565" s="18">
        <f>'RW predict'!H564</f>
        <v>10</v>
      </c>
      <c r="P565" s="18">
        <f>'RW predict'!I564</f>
        <v>42</v>
      </c>
      <c r="Q565" s="18">
        <f>'RW predict'!L564</f>
        <v>0</v>
      </c>
      <c r="R565" s="18">
        <f>'RW predict'!N564</f>
        <v>0</v>
      </c>
      <c r="S565" s="76">
        <f>'RW predict'!O564</f>
        <v>0</v>
      </c>
      <c r="T565" s="76">
        <f>'RW predict'!K564</f>
        <v>0</v>
      </c>
      <c r="U565" s="22">
        <f>'RW predict'!J564</f>
        <v>71</v>
      </c>
      <c r="V565" s="32">
        <f>IF(D565="G",'RW predict'!E564,0)</f>
        <v>0</v>
      </c>
      <c r="W565" s="18">
        <f>'RW predict'!R564</f>
        <v>0</v>
      </c>
      <c r="X565" s="18">
        <f>'RW predict'!T564</f>
        <v>0</v>
      </c>
      <c r="Y565" s="18">
        <f>'RW predict'!Y564</f>
        <v>0</v>
      </c>
      <c r="Z565" s="18">
        <f>'RW predict'!U564</f>
        <v>0</v>
      </c>
      <c r="AA565" s="18">
        <f>'RW predict'!W564</f>
        <v>0</v>
      </c>
    </row>
    <row r="566" spans="1:27" x14ac:dyDescent="0.3">
      <c r="A566" s="18">
        <v>563</v>
      </c>
      <c r="B566" s="18" t="str">
        <f>'RW predict'!A565</f>
        <v>Jake Neighbours</v>
      </c>
      <c r="C566" s="18" t="str">
        <f>'RW predict'!B565</f>
        <v>STL</v>
      </c>
      <c r="D566" s="22" t="str" cm="1">
        <f t="array" ref="D566">_xlfn.SWITCH('RW predict'!C565, "C", "F", "LW","F", "RW", "F", "D", "D", "G", "G", "other")</f>
        <v>F</v>
      </c>
      <c r="E566" s="32">
        <f t="shared" si="16"/>
        <v>471</v>
      </c>
      <c r="F566" s="35">
        <f>E566/assumptions!$B$2</f>
        <v>5.7439024390243905</v>
      </c>
      <c r="G566" s="36">
        <f t="shared" si="17"/>
        <v>697</v>
      </c>
      <c r="H566" s="18">
        <f>IF(NOT(D566="G"),'RW predict'!E565,0)</f>
        <v>5</v>
      </c>
      <c r="I566" s="18">
        <f>'RW predict'!Q565</f>
        <v>8</v>
      </c>
      <c r="J566" s="18">
        <f>'RW predict'!F565</f>
        <v>8</v>
      </c>
      <c r="K566" s="18"/>
      <c r="L566" s="18"/>
      <c r="M566" s="18">
        <f>'RW predict'!P565</f>
        <v>44</v>
      </c>
      <c r="N566" s="18"/>
      <c r="O566" s="18">
        <f>'RW predict'!H565</f>
        <v>-6</v>
      </c>
      <c r="P566" s="18">
        <f>'RW predict'!I565</f>
        <v>8</v>
      </c>
      <c r="Q566" s="18">
        <f>'RW predict'!L565</f>
        <v>1</v>
      </c>
      <c r="R566" s="18">
        <f>'RW predict'!N565</f>
        <v>0</v>
      </c>
      <c r="S566" s="76">
        <f>'RW predict'!O565</f>
        <v>0</v>
      </c>
      <c r="T566" s="76">
        <f>'RW predict'!K565</f>
        <v>1</v>
      </c>
      <c r="U566" s="22">
        <f>'RW predict'!J565</f>
        <v>46</v>
      </c>
      <c r="V566" s="32">
        <f>IF(D566="G",'RW predict'!E565,0)</f>
        <v>0</v>
      </c>
      <c r="W566" s="18">
        <f>'RW predict'!R565</f>
        <v>0</v>
      </c>
      <c r="X566" s="18">
        <f>'RW predict'!T565</f>
        <v>0</v>
      </c>
      <c r="Y566" s="18">
        <f>'RW predict'!Y565</f>
        <v>0</v>
      </c>
      <c r="Z566" s="18">
        <f>'RW predict'!U565</f>
        <v>0</v>
      </c>
      <c r="AA566" s="18">
        <f>'RW predict'!W565</f>
        <v>0</v>
      </c>
    </row>
    <row r="567" spans="1:27" x14ac:dyDescent="0.3">
      <c r="A567" s="18">
        <v>564</v>
      </c>
      <c r="B567" s="18" t="str">
        <f>'RW predict'!A566</f>
        <v>Connor Dewar</v>
      </c>
      <c r="C567" s="18" t="str">
        <f>'RW predict'!B566</f>
        <v>MIN</v>
      </c>
      <c r="D567" s="22" t="str" cm="1">
        <f t="array" ref="D567">_xlfn.SWITCH('RW predict'!C566, "C", "F", "LW","F", "RW", "F", "D", "D", "G", "G", "other")</f>
        <v>F</v>
      </c>
      <c r="E567" s="32">
        <f t="shared" si="16"/>
        <v>783</v>
      </c>
      <c r="F567" s="35">
        <f>E567/assumptions!$B$2</f>
        <v>9.5487804878048781</v>
      </c>
      <c r="G567" s="36">
        <f t="shared" si="17"/>
        <v>578</v>
      </c>
      <c r="H567" s="18">
        <f>IF(NOT(D567="G"),'RW predict'!E566,0)</f>
        <v>5</v>
      </c>
      <c r="I567" s="18">
        <f>'RW predict'!Q566</f>
        <v>34</v>
      </c>
      <c r="J567" s="18">
        <f>'RW predict'!F566</f>
        <v>8</v>
      </c>
      <c r="K567" s="18"/>
      <c r="L567" s="18"/>
      <c r="M567" s="18">
        <f>'RW predict'!P566</f>
        <v>94</v>
      </c>
      <c r="N567" s="18"/>
      <c r="O567" s="18">
        <f>'RW predict'!H566</f>
        <v>-6</v>
      </c>
      <c r="P567" s="18">
        <f>'RW predict'!I566</f>
        <v>44</v>
      </c>
      <c r="Q567" s="18">
        <f>'RW predict'!L566</f>
        <v>0</v>
      </c>
      <c r="R567" s="18">
        <f>'RW predict'!N566</f>
        <v>1</v>
      </c>
      <c r="S567" s="76">
        <f>'RW predict'!O566</f>
        <v>0</v>
      </c>
      <c r="T567" s="76">
        <f>'RW predict'!K566</f>
        <v>1</v>
      </c>
      <c r="U567" s="22">
        <f>'RW predict'!J566</f>
        <v>92</v>
      </c>
      <c r="V567" s="32">
        <f>IF(D567="G",'RW predict'!E566,0)</f>
        <v>0</v>
      </c>
      <c r="W567" s="18">
        <f>'RW predict'!R566</f>
        <v>0</v>
      </c>
      <c r="X567" s="18">
        <f>'RW predict'!T566</f>
        <v>0</v>
      </c>
      <c r="Y567" s="18">
        <f>'RW predict'!Y566</f>
        <v>0</v>
      </c>
      <c r="Z567" s="18">
        <f>'RW predict'!U566</f>
        <v>0</v>
      </c>
      <c r="AA567" s="18">
        <f>'RW predict'!W566</f>
        <v>0</v>
      </c>
    </row>
    <row r="568" spans="1:27" x14ac:dyDescent="0.3">
      <c r="A568" s="18">
        <v>565</v>
      </c>
      <c r="B568" s="18" t="str">
        <f>'RW predict'!A567</f>
        <v>Jacob Bryson</v>
      </c>
      <c r="C568" s="18" t="str">
        <f>'RW predict'!B567</f>
        <v>BUF</v>
      </c>
      <c r="D568" s="22" t="str" cm="1">
        <f t="array" ref="D568">_xlfn.SWITCH('RW predict'!C567, "C", "F", "LW","F", "RW", "F", "D", "D", "G", "G", "other")</f>
        <v>D</v>
      </c>
      <c r="E568" s="32">
        <f t="shared" si="16"/>
        <v>605</v>
      </c>
      <c r="F568" s="35">
        <f>E568/assumptions!$B$2</f>
        <v>7.3780487804878048</v>
      </c>
      <c r="G568" s="36">
        <f t="shared" si="17"/>
        <v>634</v>
      </c>
      <c r="H568" s="18">
        <f>IF(NOT(D568="G"),'RW predict'!E567,0)</f>
        <v>2</v>
      </c>
      <c r="I568" s="18">
        <f>'RW predict'!Q567</f>
        <v>75</v>
      </c>
      <c r="J568" s="18">
        <f>'RW predict'!F567</f>
        <v>11</v>
      </c>
      <c r="K568" s="18"/>
      <c r="L568" s="18"/>
      <c r="M568" s="18">
        <f>'RW predict'!P567</f>
        <v>56</v>
      </c>
      <c r="N568" s="18"/>
      <c r="O568" s="18">
        <f>'RW predict'!H567</f>
        <v>-9</v>
      </c>
      <c r="P568" s="18">
        <f>'RW predict'!I567</f>
        <v>14</v>
      </c>
      <c r="Q568" s="18">
        <f>'RW predict'!L567</f>
        <v>1</v>
      </c>
      <c r="R568" s="18">
        <f>'RW predict'!N567</f>
        <v>0</v>
      </c>
      <c r="S568" s="76">
        <f>'RW predict'!O567</f>
        <v>1</v>
      </c>
      <c r="T568" s="76">
        <f>'RW predict'!K567</f>
        <v>0</v>
      </c>
      <c r="U568" s="22">
        <f>'RW predict'!J567</f>
        <v>51</v>
      </c>
      <c r="V568" s="32">
        <f>IF(D568="G",'RW predict'!E567,0)</f>
        <v>0</v>
      </c>
      <c r="W568" s="18">
        <f>'RW predict'!R567</f>
        <v>0</v>
      </c>
      <c r="X568" s="18">
        <f>'RW predict'!T567</f>
        <v>0</v>
      </c>
      <c r="Y568" s="18">
        <f>'RW predict'!Y567</f>
        <v>0</v>
      </c>
      <c r="Z568" s="18">
        <f>'RW predict'!U567</f>
        <v>0</v>
      </c>
      <c r="AA568" s="18">
        <f>'RW predict'!W567</f>
        <v>0</v>
      </c>
    </row>
    <row r="569" spans="1:27" x14ac:dyDescent="0.3">
      <c r="A569" s="18">
        <v>566</v>
      </c>
      <c r="B569" s="18" t="str">
        <f>'RW predict'!A568</f>
        <v>Philip Broberg</v>
      </c>
      <c r="C569" s="18" t="str">
        <f>'RW predict'!B568</f>
        <v>EDM</v>
      </c>
      <c r="D569" s="22" t="str" cm="1">
        <f t="array" ref="D569">_xlfn.SWITCH('RW predict'!C568, "C", "F", "LW","F", "RW", "F", "D", "D", "G", "G", "other")</f>
        <v>D</v>
      </c>
      <c r="E569" s="32">
        <f t="shared" si="16"/>
        <v>546</v>
      </c>
      <c r="F569" s="35">
        <f>E569/assumptions!$B$2</f>
        <v>6.6585365853658534</v>
      </c>
      <c r="G569" s="36">
        <f t="shared" si="17"/>
        <v>660</v>
      </c>
      <c r="H569" s="18">
        <f>IF(NOT(D569="G"),'RW predict'!E568,0)</f>
        <v>4</v>
      </c>
      <c r="I569" s="18">
        <f>'RW predict'!Q568</f>
        <v>27</v>
      </c>
      <c r="J569" s="18">
        <f>'RW predict'!F568</f>
        <v>8</v>
      </c>
      <c r="K569" s="18"/>
      <c r="L569" s="18"/>
      <c r="M569" s="18">
        <f>'RW predict'!P568</f>
        <v>24</v>
      </c>
      <c r="N569" s="18"/>
      <c r="O569" s="18">
        <f>'RW predict'!H568</f>
        <v>-7</v>
      </c>
      <c r="P569" s="18">
        <f>'RW predict'!I568</f>
        <v>22</v>
      </c>
      <c r="Q569" s="18">
        <f>'RW predict'!L568</f>
        <v>0</v>
      </c>
      <c r="R569" s="18">
        <f>'RW predict'!N568</f>
        <v>0</v>
      </c>
      <c r="S569" s="76">
        <f>'RW predict'!O568</f>
        <v>0</v>
      </c>
      <c r="T569" s="76">
        <f>'RW predict'!K568</f>
        <v>0</v>
      </c>
      <c r="U569" s="22">
        <f>'RW predict'!J568</f>
        <v>86</v>
      </c>
      <c r="V569" s="32">
        <f>IF(D569="G",'RW predict'!E568,0)</f>
        <v>0</v>
      </c>
      <c r="W569" s="18">
        <f>'RW predict'!R568</f>
        <v>0</v>
      </c>
      <c r="X569" s="18">
        <f>'RW predict'!T568</f>
        <v>0</v>
      </c>
      <c r="Y569" s="18">
        <f>'RW predict'!Y568</f>
        <v>0</v>
      </c>
      <c r="Z569" s="18">
        <f>'RW predict'!U568</f>
        <v>0</v>
      </c>
      <c r="AA569" s="18">
        <f>'RW predict'!W568</f>
        <v>0</v>
      </c>
    </row>
    <row r="570" spans="1:27" x14ac:dyDescent="0.3">
      <c r="A570" s="18">
        <v>567</v>
      </c>
      <c r="B570" s="18" t="str">
        <f>'RW predict'!A569</f>
        <v>Thomas Harley</v>
      </c>
      <c r="C570" s="18" t="str">
        <f>'RW predict'!B569</f>
        <v>DAL</v>
      </c>
      <c r="D570" s="22" t="str" cm="1">
        <f t="array" ref="D570">_xlfn.SWITCH('RW predict'!C569, "C", "F", "LW","F", "RW", "F", "D", "D", "G", "G", "other")</f>
        <v>D</v>
      </c>
      <c r="E570" s="32">
        <f t="shared" si="16"/>
        <v>589</v>
      </c>
      <c r="F570" s="35">
        <f>E570/assumptions!$B$2</f>
        <v>7.1829268292682924</v>
      </c>
      <c r="G570" s="36">
        <f t="shared" si="17"/>
        <v>640</v>
      </c>
      <c r="H570" s="18">
        <f>IF(NOT(D570="G"),'RW predict'!E569,0)</f>
        <v>3</v>
      </c>
      <c r="I570" s="18">
        <f>'RW predict'!Q569</f>
        <v>56</v>
      </c>
      <c r="J570" s="18">
        <f>'RW predict'!F569</f>
        <v>9</v>
      </c>
      <c r="K570" s="18"/>
      <c r="L570" s="18"/>
      <c r="M570" s="18">
        <f>'RW predict'!P569</f>
        <v>51</v>
      </c>
      <c r="N570" s="18"/>
      <c r="O570" s="18">
        <f>'RW predict'!H569</f>
        <v>-7</v>
      </c>
      <c r="P570" s="18">
        <f>'RW predict'!I569</f>
        <v>18</v>
      </c>
      <c r="Q570" s="18">
        <f>'RW predict'!L569</f>
        <v>0</v>
      </c>
      <c r="R570" s="18">
        <f>'RW predict'!N569</f>
        <v>0</v>
      </c>
      <c r="S570" s="76">
        <f>'RW predict'!O569</f>
        <v>0</v>
      </c>
      <c r="T570" s="76">
        <f>'RW predict'!K569</f>
        <v>0</v>
      </c>
      <c r="U570" s="22">
        <f>'RW predict'!J569</f>
        <v>71</v>
      </c>
      <c r="V570" s="32">
        <f>IF(D570="G",'RW predict'!E569,0)</f>
        <v>0</v>
      </c>
      <c r="W570" s="18">
        <f>'RW predict'!R569</f>
        <v>0</v>
      </c>
      <c r="X570" s="18">
        <f>'RW predict'!T569</f>
        <v>0</v>
      </c>
      <c r="Y570" s="18">
        <f>'RW predict'!Y569</f>
        <v>0</v>
      </c>
      <c r="Z570" s="18">
        <f>'RW predict'!U569</f>
        <v>0</v>
      </c>
      <c r="AA570" s="18">
        <f>'RW predict'!W569</f>
        <v>0</v>
      </c>
    </row>
    <row r="571" spans="1:27" x14ac:dyDescent="0.3">
      <c r="A571" s="18">
        <v>568</v>
      </c>
      <c r="B571" s="18" t="str">
        <f>'RW predict'!A570</f>
        <v>Ilya Lyubushkin</v>
      </c>
      <c r="C571" s="18" t="str">
        <f>'RW predict'!B570</f>
        <v>BUF</v>
      </c>
      <c r="D571" s="22" t="str" cm="1">
        <f t="array" ref="D571">_xlfn.SWITCH('RW predict'!C570, "C", "F", "LW","F", "RW", "F", "D", "D", "G", "G", "other")</f>
        <v>D</v>
      </c>
      <c r="E571" s="32">
        <f t="shared" si="16"/>
        <v>824</v>
      </c>
      <c r="F571" s="35">
        <f>E571/assumptions!$B$2</f>
        <v>10.048780487804878</v>
      </c>
      <c r="G571" s="36">
        <f t="shared" si="17"/>
        <v>561</v>
      </c>
      <c r="H571" s="18">
        <f>IF(NOT(D571="G"),'RW predict'!E570,0)</f>
        <v>2</v>
      </c>
      <c r="I571" s="18">
        <f>'RW predict'!Q570</f>
        <v>95</v>
      </c>
      <c r="J571" s="18">
        <f>'RW predict'!F570</f>
        <v>10</v>
      </c>
      <c r="K571" s="18"/>
      <c r="L571" s="18"/>
      <c r="M571" s="18">
        <f>'RW predict'!P570</f>
        <v>191</v>
      </c>
      <c r="N571" s="18"/>
      <c r="O571" s="18">
        <f>'RW predict'!H570</f>
        <v>-12</v>
      </c>
      <c r="P571" s="18">
        <f>'RW predict'!I570</f>
        <v>45</v>
      </c>
      <c r="Q571" s="18">
        <f>'RW predict'!L570</f>
        <v>0</v>
      </c>
      <c r="R571" s="18">
        <f>'RW predict'!N570</f>
        <v>0</v>
      </c>
      <c r="S571" s="76">
        <f>'RW predict'!O570</f>
        <v>1</v>
      </c>
      <c r="T571" s="76">
        <f>'RW predict'!K570</f>
        <v>0</v>
      </c>
      <c r="U571" s="22">
        <f>'RW predict'!J570</f>
        <v>59</v>
      </c>
      <c r="V571" s="32">
        <f>IF(D571="G",'RW predict'!E570,0)</f>
        <v>0</v>
      </c>
      <c r="W571" s="18">
        <f>'RW predict'!R570</f>
        <v>0</v>
      </c>
      <c r="X571" s="18">
        <f>'RW predict'!T570</f>
        <v>0</v>
      </c>
      <c r="Y571" s="18">
        <f>'RW predict'!Y570</f>
        <v>0</v>
      </c>
      <c r="Z571" s="18">
        <f>'RW predict'!U570</f>
        <v>0</v>
      </c>
      <c r="AA571" s="18">
        <f>'RW predict'!W570</f>
        <v>0</v>
      </c>
    </row>
    <row r="572" spans="1:27" x14ac:dyDescent="0.3">
      <c r="A572" s="18">
        <v>569</v>
      </c>
      <c r="B572" s="18" t="str">
        <f>'RW predict'!A571</f>
        <v>Janis Moser</v>
      </c>
      <c r="C572" s="18" t="str">
        <f>'RW predict'!B571</f>
        <v>ARI</v>
      </c>
      <c r="D572" s="22" t="str" cm="1">
        <f t="array" ref="D572">_xlfn.SWITCH('RW predict'!C571, "C", "F", "LW","F", "RW", "F", "D", "D", "G", "G", "other")</f>
        <v>D</v>
      </c>
      <c r="E572" s="32">
        <f t="shared" si="16"/>
        <v>409</v>
      </c>
      <c r="F572" s="35">
        <f>E572/assumptions!$B$2</f>
        <v>4.9878048780487809</v>
      </c>
      <c r="G572" s="36">
        <f t="shared" si="17"/>
        <v>721</v>
      </c>
      <c r="H572" s="18">
        <f>IF(NOT(D572="G"),'RW predict'!E571,0)</f>
        <v>3</v>
      </c>
      <c r="I572" s="18">
        <f>'RW predict'!Q571</f>
        <v>38</v>
      </c>
      <c r="J572" s="18">
        <f>'RW predict'!F571</f>
        <v>9</v>
      </c>
      <c r="K572" s="18"/>
      <c r="L572" s="18"/>
      <c r="M572" s="18">
        <f>'RW predict'!P571</f>
        <v>21</v>
      </c>
      <c r="N572" s="18"/>
      <c r="O572" s="18">
        <f>'RW predict'!H571</f>
        <v>-9</v>
      </c>
      <c r="P572" s="18">
        <f>'RW predict'!I571</f>
        <v>12</v>
      </c>
      <c r="Q572" s="18">
        <f>'RW predict'!L571</f>
        <v>0</v>
      </c>
      <c r="R572" s="18">
        <f>'RW predict'!N571</f>
        <v>0</v>
      </c>
      <c r="S572" s="76">
        <f>'RW predict'!O571</f>
        <v>0</v>
      </c>
      <c r="T572" s="76">
        <f>'RW predict'!K571</f>
        <v>0</v>
      </c>
      <c r="U572" s="22">
        <f>'RW predict'!J571</f>
        <v>33</v>
      </c>
      <c r="V572" s="32">
        <f>IF(D572="G",'RW predict'!E571,0)</f>
        <v>0</v>
      </c>
      <c r="W572" s="18">
        <f>'RW predict'!R571</f>
        <v>0</v>
      </c>
      <c r="X572" s="18">
        <f>'RW predict'!T571</f>
        <v>0</v>
      </c>
      <c r="Y572" s="18">
        <f>'RW predict'!Y571</f>
        <v>0</v>
      </c>
      <c r="Z572" s="18">
        <f>'RW predict'!U571</f>
        <v>0</v>
      </c>
      <c r="AA572" s="18">
        <f>'RW predict'!W571</f>
        <v>0</v>
      </c>
    </row>
    <row r="573" spans="1:27" x14ac:dyDescent="0.3">
      <c r="A573" s="18">
        <v>570</v>
      </c>
      <c r="B573" s="18" t="str">
        <f>'RW predict'!A572</f>
        <v>Sakari Manninen</v>
      </c>
      <c r="C573" s="18" t="str">
        <f>'RW predict'!B572</f>
        <v>VGK</v>
      </c>
      <c r="D573" s="22" t="str" cm="1">
        <f t="array" ref="D573">_xlfn.SWITCH('RW predict'!C572, "C", "F", "LW","F", "RW", "F", "D", "D", "G", "G", "other")</f>
        <v>F</v>
      </c>
      <c r="E573" s="32">
        <f t="shared" si="16"/>
        <v>606</v>
      </c>
      <c r="F573" s="35">
        <f>E573/assumptions!$B$2</f>
        <v>7.3902439024390247</v>
      </c>
      <c r="G573" s="36">
        <f t="shared" si="17"/>
        <v>633</v>
      </c>
      <c r="H573" s="18">
        <f>IF(NOT(D573="G"),'RW predict'!E572,0)</f>
        <v>5</v>
      </c>
      <c r="I573" s="18">
        <f>'RW predict'!Q572</f>
        <v>6</v>
      </c>
      <c r="J573" s="18">
        <f>'RW predict'!F572</f>
        <v>7</v>
      </c>
      <c r="K573" s="18"/>
      <c r="L573" s="18"/>
      <c r="M573" s="18">
        <f>'RW predict'!P572</f>
        <v>12</v>
      </c>
      <c r="N573" s="18"/>
      <c r="O573" s="18">
        <f>'RW predict'!H572</f>
        <v>-3</v>
      </c>
      <c r="P573" s="18">
        <f>'RW predict'!I572</f>
        <v>14</v>
      </c>
      <c r="Q573" s="18">
        <f>'RW predict'!L572</f>
        <v>2</v>
      </c>
      <c r="R573" s="18">
        <f>'RW predict'!N572</f>
        <v>0</v>
      </c>
      <c r="S573" s="76">
        <f>'RW predict'!O572</f>
        <v>0</v>
      </c>
      <c r="T573" s="76">
        <f>'RW predict'!K572</f>
        <v>0</v>
      </c>
      <c r="U573" s="22">
        <f>'RW predict'!J572</f>
        <v>125</v>
      </c>
      <c r="V573" s="32">
        <f>IF(D573="G",'RW predict'!E572,0)</f>
        <v>0</v>
      </c>
      <c r="W573" s="18">
        <f>'RW predict'!R572</f>
        <v>0</v>
      </c>
      <c r="X573" s="18">
        <f>'RW predict'!T572</f>
        <v>0</v>
      </c>
      <c r="Y573" s="18">
        <f>'RW predict'!Y572</f>
        <v>0</v>
      </c>
      <c r="Z573" s="18">
        <f>'RW predict'!U572</f>
        <v>0</v>
      </c>
      <c r="AA573" s="18">
        <f>'RW predict'!W572</f>
        <v>0</v>
      </c>
    </row>
    <row r="574" spans="1:27" x14ac:dyDescent="0.3">
      <c r="A574" s="18">
        <v>571</v>
      </c>
      <c r="B574" s="18" t="str">
        <f>'RW predict'!A573</f>
        <v>Klim Kostin</v>
      </c>
      <c r="C574" s="18" t="str">
        <f>'RW predict'!B573</f>
        <v>STL</v>
      </c>
      <c r="D574" s="22" t="str" cm="1">
        <f t="array" ref="D574">_xlfn.SWITCH('RW predict'!C573, "C", "F", "LW","F", "RW", "F", "D", "D", "G", "G", "other")</f>
        <v>F</v>
      </c>
      <c r="E574" s="32">
        <f t="shared" si="16"/>
        <v>609</v>
      </c>
      <c r="F574" s="35">
        <f>E574/assumptions!$B$2</f>
        <v>7.4268292682926829</v>
      </c>
      <c r="G574" s="36">
        <f t="shared" si="17"/>
        <v>632</v>
      </c>
      <c r="H574" s="18">
        <f>IF(NOT(D574="G"),'RW predict'!E573,0)</f>
        <v>5</v>
      </c>
      <c r="I574" s="18">
        <f>'RW predict'!Q573</f>
        <v>12</v>
      </c>
      <c r="J574" s="18">
        <f>'RW predict'!F573</f>
        <v>7</v>
      </c>
      <c r="K574" s="18"/>
      <c r="L574" s="18"/>
      <c r="M574" s="18">
        <f>'RW predict'!P573</f>
        <v>125</v>
      </c>
      <c r="N574" s="18"/>
      <c r="O574" s="18">
        <f>'RW predict'!H573</f>
        <v>-4</v>
      </c>
      <c r="P574" s="18">
        <f>'RW predict'!I573</f>
        <v>30</v>
      </c>
      <c r="Q574" s="18">
        <f>'RW predict'!L573</f>
        <v>0</v>
      </c>
      <c r="R574" s="18">
        <f>'RW predict'!N573</f>
        <v>0</v>
      </c>
      <c r="S574" s="76">
        <f>'RW predict'!O573</f>
        <v>0</v>
      </c>
      <c r="T574" s="76">
        <f>'RW predict'!K573</f>
        <v>1</v>
      </c>
      <c r="U574" s="22">
        <f>'RW predict'!J573</f>
        <v>45</v>
      </c>
      <c r="V574" s="32">
        <f>IF(D574="G",'RW predict'!E573,0)</f>
        <v>0</v>
      </c>
      <c r="W574" s="18">
        <f>'RW predict'!R573</f>
        <v>0</v>
      </c>
      <c r="X574" s="18">
        <f>'RW predict'!T573</f>
        <v>0</v>
      </c>
      <c r="Y574" s="18">
        <f>'RW predict'!Y573</f>
        <v>0</v>
      </c>
      <c r="Z574" s="18">
        <f>'RW predict'!U573</f>
        <v>0</v>
      </c>
      <c r="AA574" s="18">
        <f>'RW predict'!W573</f>
        <v>0</v>
      </c>
    </row>
    <row r="575" spans="1:27" x14ac:dyDescent="0.3">
      <c r="A575" s="18">
        <v>572</v>
      </c>
      <c r="B575" s="18" t="str">
        <f>'RW predict'!A574</f>
        <v>Ryan Poehling</v>
      </c>
      <c r="C575" s="18" t="str">
        <f>'RW predict'!B574</f>
        <v>PIT</v>
      </c>
      <c r="D575" s="22" t="str" cm="1">
        <f t="array" ref="D575">_xlfn.SWITCH('RW predict'!C574, "C", "F", "LW","F", "RW", "F", "D", "D", "G", "G", "other")</f>
        <v>F</v>
      </c>
      <c r="E575" s="32">
        <f t="shared" si="16"/>
        <v>398</v>
      </c>
      <c r="F575" s="35">
        <f>E575/assumptions!$B$2</f>
        <v>4.8536585365853657</v>
      </c>
      <c r="G575" s="36">
        <f t="shared" si="17"/>
        <v>727</v>
      </c>
      <c r="H575" s="18">
        <f>IF(NOT(D575="G"),'RW predict'!E574,0)</f>
        <v>6</v>
      </c>
      <c r="I575" s="18">
        <f>'RW predict'!Q574</f>
        <v>22</v>
      </c>
      <c r="J575" s="18">
        <f>'RW predict'!F574</f>
        <v>6</v>
      </c>
      <c r="K575" s="18"/>
      <c r="L575" s="18"/>
      <c r="M575" s="18">
        <f>'RW predict'!P574</f>
        <v>33</v>
      </c>
      <c r="N575" s="18"/>
      <c r="O575" s="18">
        <f>'RW predict'!H574</f>
        <v>-16</v>
      </c>
      <c r="P575" s="18">
        <f>'RW predict'!I574</f>
        <v>5</v>
      </c>
      <c r="Q575" s="18">
        <f>'RW predict'!L574</f>
        <v>1</v>
      </c>
      <c r="R575" s="18">
        <f>'RW predict'!N574</f>
        <v>0</v>
      </c>
      <c r="S575" s="76">
        <f>'RW predict'!O574</f>
        <v>0</v>
      </c>
      <c r="T575" s="76">
        <f>'RW predict'!K574</f>
        <v>1</v>
      </c>
      <c r="U575" s="22">
        <f>'RW predict'!J574</f>
        <v>68</v>
      </c>
      <c r="V575" s="32">
        <f>IF(D575="G",'RW predict'!E574,0)</f>
        <v>0</v>
      </c>
      <c r="W575" s="18">
        <f>'RW predict'!R574</f>
        <v>0</v>
      </c>
      <c r="X575" s="18">
        <f>'RW predict'!T574</f>
        <v>0</v>
      </c>
      <c r="Y575" s="18">
        <f>'RW predict'!Y574</f>
        <v>0</v>
      </c>
      <c r="Z575" s="18">
        <f>'RW predict'!U574</f>
        <v>0</v>
      </c>
      <c r="AA575" s="18">
        <f>'RW predict'!W574</f>
        <v>0</v>
      </c>
    </row>
    <row r="576" spans="1:27" x14ac:dyDescent="0.3">
      <c r="A576" s="18">
        <v>573</v>
      </c>
      <c r="B576" s="18" t="str">
        <f>'RW predict'!A575</f>
        <v>Zach Aston-Reese</v>
      </c>
      <c r="C576" s="18" t="str">
        <f>'RW predict'!B575</f>
        <v>TOR</v>
      </c>
      <c r="D576" s="22" t="str" cm="1">
        <f t="array" ref="D576">_xlfn.SWITCH('RW predict'!C575, "C", "F", "LW","F", "RW", "F", "D", "D", "G", "G", "other")</f>
        <v>F</v>
      </c>
      <c r="E576" s="32">
        <f t="shared" si="16"/>
        <v>853</v>
      </c>
      <c r="F576" s="35">
        <f>E576/assumptions!$B$2</f>
        <v>10.402439024390244</v>
      </c>
      <c r="G576" s="36">
        <f t="shared" si="17"/>
        <v>549</v>
      </c>
      <c r="H576" s="18">
        <f>IF(NOT(D576="G"),'RW predict'!E575,0)</f>
        <v>5</v>
      </c>
      <c r="I576" s="18">
        <f>'RW predict'!Q575</f>
        <v>28</v>
      </c>
      <c r="J576" s="18">
        <f>'RW predict'!F575</f>
        <v>7</v>
      </c>
      <c r="K576" s="18"/>
      <c r="L576" s="18"/>
      <c r="M576" s="18">
        <f>'RW predict'!P575</f>
        <v>144</v>
      </c>
      <c r="N576" s="18"/>
      <c r="O576" s="18">
        <f>'RW predict'!H575</f>
        <v>10</v>
      </c>
      <c r="P576" s="18">
        <f>'RW predict'!I575</f>
        <v>27</v>
      </c>
      <c r="Q576" s="18">
        <f>'RW predict'!L575</f>
        <v>0</v>
      </c>
      <c r="R576" s="18">
        <f>'RW predict'!N575</f>
        <v>0</v>
      </c>
      <c r="S576" s="76">
        <f>'RW predict'!O575</f>
        <v>0</v>
      </c>
      <c r="T576" s="76">
        <f>'RW predict'!K575</f>
        <v>0</v>
      </c>
      <c r="U576" s="22">
        <f>'RW predict'!J575</f>
        <v>86</v>
      </c>
      <c r="V576" s="32">
        <f>IF(D576="G",'RW predict'!E575,0)</f>
        <v>0</v>
      </c>
      <c r="W576" s="18">
        <f>'RW predict'!R575</f>
        <v>0</v>
      </c>
      <c r="X576" s="18">
        <f>'RW predict'!T575</f>
        <v>0</v>
      </c>
      <c r="Y576" s="18">
        <f>'RW predict'!Y575</f>
        <v>0</v>
      </c>
      <c r="Z576" s="18">
        <f>'RW predict'!U575</f>
        <v>0</v>
      </c>
      <c r="AA576" s="18">
        <f>'RW predict'!W575</f>
        <v>0</v>
      </c>
    </row>
    <row r="577" spans="1:27" x14ac:dyDescent="0.3">
      <c r="A577" s="18">
        <v>574</v>
      </c>
      <c r="B577" s="18" t="str">
        <f>'RW predict'!A576</f>
        <v>Pierre-Olivier Joseph</v>
      </c>
      <c r="C577" s="18" t="str">
        <f>'RW predict'!B576</f>
        <v>PIT</v>
      </c>
      <c r="D577" s="22" t="str" cm="1">
        <f t="array" ref="D577">_xlfn.SWITCH('RW predict'!C576, "C", "F", "LW","F", "RW", "F", "D", "D", "G", "G", "other")</f>
        <v>D</v>
      </c>
      <c r="E577" s="32">
        <f t="shared" si="16"/>
        <v>568</v>
      </c>
      <c r="F577" s="35">
        <f>E577/assumptions!$B$2</f>
        <v>6.9268292682926829</v>
      </c>
      <c r="G577" s="36">
        <f t="shared" si="17"/>
        <v>647</v>
      </c>
      <c r="H577" s="18">
        <f>IF(NOT(D577="G"),'RW predict'!E576,0)</f>
        <v>1</v>
      </c>
      <c r="I577" s="18">
        <f>'RW predict'!Q576</f>
        <v>40</v>
      </c>
      <c r="J577" s="18">
        <f>'RW predict'!F576</f>
        <v>11</v>
      </c>
      <c r="K577" s="18"/>
      <c r="L577" s="18"/>
      <c r="M577" s="18">
        <f>'RW predict'!P576</f>
        <v>80</v>
      </c>
      <c r="N577" s="18"/>
      <c r="O577" s="18">
        <f>'RW predict'!H576</f>
        <v>-16</v>
      </c>
      <c r="P577" s="18">
        <f>'RW predict'!I576</f>
        <v>24</v>
      </c>
      <c r="Q577" s="18">
        <f>'RW predict'!L576</f>
        <v>0</v>
      </c>
      <c r="R577" s="18">
        <f>'RW predict'!N576</f>
        <v>0</v>
      </c>
      <c r="S577" s="76">
        <f>'RW predict'!O576</f>
        <v>0</v>
      </c>
      <c r="T577" s="76">
        <f>'RW predict'!K576</f>
        <v>0</v>
      </c>
      <c r="U577" s="22">
        <f>'RW predict'!J576</f>
        <v>98</v>
      </c>
      <c r="V577" s="32">
        <f>IF(D577="G",'RW predict'!E576,0)</f>
        <v>0</v>
      </c>
      <c r="W577" s="18">
        <f>'RW predict'!R576</f>
        <v>0</v>
      </c>
      <c r="X577" s="18">
        <f>'RW predict'!T576</f>
        <v>0</v>
      </c>
      <c r="Y577" s="18">
        <f>'RW predict'!Y576</f>
        <v>0</v>
      </c>
      <c r="Z577" s="18">
        <f>'RW predict'!U576</f>
        <v>0</v>
      </c>
      <c r="AA577" s="18">
        <f>'RW predict'!W576</f>
        <v>0</v>
      </c>
    </row>
    <row r="578" spans="1:27" x14ac:dyDescent="0.3">
      <c r="A578" s="18">
        <v>575</v>
      </c>
      <c r="B578" s="18" t="str">
        <f>'RW predict'!A577</f>
        <v>Troy Stecher</v>
      </c>
      <c r="C578" s="18" t="str">
        <f>'RW predict'!B577</f>
        <v>ARI</v>
      </c>
      <c r="D578" s="22" t="str" cm="1">
        <f t="array" ref="D578">_xlfn.SWITCH('RW predict'!C577, "C", "F", "LW","F", "RW", "F", "D", "D", "G", "G", "other")</f>
        <v>D</v>
      </c>
      <c r="E578" s="32">
        <f t="shared" si="16"/>
        <v>638</v>
      </c>
      <c r="F578" s="35">
        <f>E578/assumptions!$B$2</f>
        <v>7.7804878048780486</v>
      </c>
      <c r="G578" s="36">
        <f t="shared" si="17"/>
        <v>623</v>
      </c>
      <c r="H578" s="18">
        <f>IF(NOT(D578="G"),'RW predict'!E577,0)</f>
        <v>3</v>
      </c>
      <c r="I578" s="18">
        <f>'RW predict'!Q577</f>
        <v>81</v>
      </c>
      <c r="J578" s="18">
        <f>'RW predict'!F577</f>
        <v>9</v>
      </c>
      <c r="K578" s="18"/>
      <c r="L578" s="18"/>
      <c r="M578" s="18">
        <f>'RW predict'!P577</f>
        <v>71</v>
      </c>
      <c r="N578" s="18"/>
      <c r="O578" s="18">
        <f>'RW predict'!H577</f>
        <v>-16</v>
      </c>
      <c r="P578" s="18">
        <f>'RW predict'!I577</f>
        <v>27</v>
      </c>
      <c r="Q578" s="18">
        <f>'RW predict'!L577</f>
        <v>0</v>
      </c>
      <c r="R578" s="18">
        <f>'RW predict'!N577</f>
        <v>0</v>
      </c>
      <c r="S578" s="76">
        <f>'RW predict'!O577</f>
        <v>0</v>
      </c>
      <c r="T578" s="76">
        <f>'RW predict'!K577</f>
        <v>0</v>
      </c>
      <c r="U578" s="22">
        <f>'RW predict'!J577</f>
        <v>92</v>
      </c>
      <c r="V578" s="32">
        <f>IF(D578="G",'RW predict'!E577,0)</f>
        <v>0</v>
      </c>
      <c r="W578" s="18">
        <f>'RW predict'!R577</f>
        <v>0</v>
      </c>
      <c r="X578" s="18">
        <f>'RW predict'!T577</f>
        <v>0</v>
      </c>
      <c r="Y578" s="18">
        <f>'RW predict'!Y577</f>
        <v>0</v>
      </c>
      <c r="Z578" s="18">
        <f>'RW predict'!U577</f>
        <v>0</v>
      </c>
      <c r="AA578" s="18">
        <f>'RW predict'!W577</f>
        <v>0</v>
      </c>
    </row>
    <row r="579" spans="1:27" x14ac:dyDescent="0.3">
      <c r="A579" s="18">
        <v>576</v>
      </c>
      <c r="B579" s="18" t="str">
        <f>'RW predict'!A578</f>
        <v>Lucas Carlsson</v>
      </c>
      <c r="C579" s="18" t="str">
        <f>'RW predict'!B578</f>
        <v>FLA</v>
      </c>
      <c r="D579" s="22" t="str" cm="1">
        <f t="array" ref="D579">_xlfn.SWITCH('RW predict'!C578, "C", "F", "LW","F", "RW", "F", "D", "D", "G", "G", "other")</f>
        <v>D</v>
      </c>
      <c r="E579" s="32">
        <f t="shared" si="16"/>
        <v>631</v>
      </c>
      <c r="F579" s="35">
        <f>E579/assumptions!$B$2</f>
        <v>7.6951219512195124</v>
      </c>
      <c r="G579" s="36">
        <f t="shared" si="17"/>
        <v>624</v>
      </c>
      <c r="H579" s="18">
        <f>IF(NOT(D579="G"),'RW predict'!E578,0)</f>
        <v>3</v>
      </c>
      <c r="I579" s="18">
        <f>'RW predict'!Q578</f>
        <v>44</v>
      </c>
      <c r="J579" s="18">
        <f>'RW predict'!F578</f>
        <v>9</v>
      </c>
      <c r="K579" s="18"/>
      <c r="L579" s="18"/>
      <c r="M579" s="18">
        <f>'RW predict'!P578</f>
        <v>55</v>
      </c>
      <c r="N579" s="18"/>
      <c r="O579" s="18">
        <f>'RW predict'!H578</f>
        <v>3</v>
      </c>
      <c r="P579" s="18">
        <f>'RW predict'!I578</f>
        <v>12</v>
      </c>
      <c r="Q579" s="18">
        <f>'RW predict'!L578</f>
        <v>0</v>
      </c>
      <c r="R579" s="18">
        <f>'RW predict'!N578</f>
        <v>0</v>
      </c>
      <c r="S579" s="76">
        <f>'RW predict'!O578</f>
        <v>0</v>
      </c>
      <c r="T579" s="76">
        <f>'RW predict'!K578</f>
        <v>0</v>
      </c>
      <c r="U579" s="22">
        <f>'RW predict'!J578</f>
        <v>61</v>
      </c>
      <c r="V579" s="32">
        <f>IF(D579="G",'RW predict'!E578,0)</f>
        <v>0</v>
      </c>
      <c r="W579" s="18">
        <f>'RW predict'!R578</f>
        <v>0</v>
      </c>
      <c r="X579" s="18">
        <f>'RW predict'!T578</f>
        <v>0</v>
      </c>
      <c r="Y579" s="18">
        <f>'RW predict'!Y578</f>
        <v>0</v>
      </c>
      <c r="Z579" s="18">
        <f>'RW predict'!U578</f>
        <v>0</v>
      </c>
      <c r="AA579" s="18">
        <f>'RW predict'!W578</f>
        <v>0</v>
      </c>
    </row>
    <row r="580" spans="1:27" x14ac:dyDescent="0.3">
      <c r="A580" s="18">
        <v>577</v>
      </c>
      <c r="B580" s="18" t="str">
        <f>'RW predict'!A579</f>
        <v>Will Borgen</v>
      </c>
      <c r="C580" s="18" t="str">
        <f>'RW predict'!B579</f>
        <v>SEA</v>
      </c>
      <c r="D580" s="22" t="str" cm="1">
        <f t="array" ref="D580">_xlfn.SWITCH('RW predict'!C579, "C", "F", "LW","F", "RW", "F", "D", "D", "G", "G", "other")</f>
        <v>D</v>
      </c>
      <c r="E580" s="32">
        <f t="shared" si="16"/>
        <v>817</v>
      </c>
      <c r="F580" s="35">
        <f>E580/assumptions!$B$2</f>
        <v>9.963414634146341</v>
      </c>
      <c r="G580" s="36">
        <f t="shared" si="17"/>
        <v>565</v>
      </c>
      <c r="H580" s="18">
        <f>IF(NOT(D580="G"),'RW predict'!E579,0)</f>
        <v>3</v>
      </c>
      <c r="I580" s="18">
        <f>'RW predict'!Q579</f>
        <v>60</v>
      </c>
      <c r="J580" s="18">
        <f>'RW predict'!F579</f>
        <v>9</v>
      </c>
      <c r="K580" s="18"/>
      <c r="L580" s="18"/>
      <c r="M580" s="18">
        <f>'RW predict'!P579</f>
        <v>153</v>
      </c>
      <c r="N580" s="18"/>
      <c r="O580" s="18">
        <f>'RW predict'!H579</f>
        <v>-5</v>
      </c>
      <c r="P580" s="18">
        <f>'RW predict'!I579</f>
        <v>44</v>
      </c>
      <c r="Q580" s="18">
        <f>'RW predict'!L579</f>
        <v>0</v>
      </c>
      <c r="R580" s="18">
        <f>'RW predict'!N579</f>
        <v>0</v>
      </c>
      <c r="S580" s="76">
        <f>'RW predict'!O579</f>
        <v>0</v>
      </c>
      <c r="T580" s="76">
        <f>'RW predict'!K579</f>
        <v>0</v>
      </c>
      <c r="U580" s="22">
        <f>'RW predict'!J579</f>
        <v>81</v>
      </c>
      <c r="V580" s="32">
        <f>IF(D580="G",'RW predict'!E579,0)</f>
        <v>0</v>
      </c>
      <c r="W580" s="18">
        <f>'RW predict'!R579</f>
        <v>0</v>
      </c>
      <c r="X580" s="18">
        <f>'RW predict'!T579</f>
        <v>0</v>
      </c>
      <c r="Y580" s="18">
        <f>'RW predict'!Y579</f>
        <v>0</v>
      </c>
      <c r="Z580" s="18">
        <f>'RW predict'!U579</f>
        <v>0</v>
      </c>
      <c r="AA580" s="18">
        <f>'RW predict'!W579</f>
        <v>0</v>
      </c>
    </row>
    <row r="581" spans="1:27" x14ac:dyDescent="0.3">
      <c r="A581" s="18">
        <v>578</v>
      </c>
      <c r="B581" s="18" t="str">
        <f>'RW predict'!A580</f>
        <v>Ethan Bear</v>
      </c>
      <c r="C581" s="18" t="str">
        <f>'RW predict'!B580</f>
        <v>CAR</v>
      </c>
      <c r="D581" s="22" t="str" cm="1">
        <f t="array" ref="D581">_xlfn.SWITCH('RW predict'!C580, "C", "F", "LW","F", "RW", "F", "D", "D", "G", "G", "other")</f>
        <v>D</v>
      </c>
      <c r="E581" s="32">
        <f t="shared" ref="E581:E644" si="18">H581*$H$3+I581*I$3+K581*K$3+L581*L$3+M581*M$3+N581*N$3+V581*V$3+J581*J$3+O581*$O$3+P581*$P$3+Q581*$Q$3+R581*$R$3+S581*$S$3+T581*$T$3+U581*$U$3+W581*$W$3+X581*$X$3+Y581*$Y$3+Z581*$Z$3+AA581*$AA$3</f>
        <v>804</v>
      </c>
      <c r="F581" s="35">
        <f>E581/assumptions!$B$2</f>
        <v>9.8048780487804876</v>
      </c>
      <c r="G581" s="36">
        <f t="shared" ref="G581:G644" si="19">RANK(E581,$E$4:$E$1100)</f>
        <v>572</v>
      </c>
      <c r="H581" s="18">
        <f>IF(NOT(D581="G"),'RW predict'!E580,0)</f>
        <v>3</v>
      </c>
      <c r="I581" s="18">
        <f>'RW predict'!Q580</f>
        <v>62</v>
      </c>
      <c r="J581" s="18">
        <f>'RW predict'!F580</f>
        <v>9</v>
      </c>
      <c r="K581" s="18"/>
      <c r="L581" s="18"/>
      <c r="M581" s="18">
        <f>'RW predict'!P580</f>
        <v>50</v>
      </c>
      <c r="N581" s="18"/>
      <c r="O581" s="18">
        <f>'RW predict'!H580</f>
        <v>3</v>
      </c>
      <c r="P581" s="18">
        <f>'RW predict'!I580</f>
        <v>22</v>
      </c>
      <c r="Q581" s="18">
        <f>'RW predict'!L580</f>
        <v>0</v>
      </c>
      <c r="R581" s="18">
        <f>'RW predict'!N580</f>
        <v>0</v>
      </c>
      <c r="S581" s="76">
        <f>'RW predict'!O580</f>
        <v>0</v>
      </c>
      <c r="T581" s="76">
        <f>'RW predict'!K580</f>
        <v>1</v>
      </c>
      <c r="U581" s="22">
        <f>'RW predict'!J580</f>
        <v>107</v>
      </c>
      <c r="V581" s="32">
        <f>IF(D581="G",'RW predict'!E580,0)</f>
        <v>0</v>
      </c>
      <c r="W581" s="18">
        <f>'RW predict'!R580</f>
        <v>0</v>
      </c>
      <c r="X581" s="18">
        <f>'RW predict'!T580</f>
        <v>0</v>
      </c>
      <c r="Y581" s="18">
        <f>'RW predict'!Y580</f>
        <v>0</v>
      </c>
      <c r="Z581" s="18">
        <f>'RW predict'!U580</f>
        <v>0</v>
      </c>
      <c r="AA581" s="18">
        <f>'RW predict'!W580</f>
        <v>0</v>
      </c>
    </row>
    <row r="582" spans="1:27" x14ac:dyDescent="0.3">
      <c r="A582" s="18">
        <v>579</v>
      </c>
      <c r="B582" s="18" t="str">
        <f>'RW predict'!A581</f>
        <v>Logan Stanley</v>
      </c>
      <c r="C582" s="18" t="str">
        <f>'RW predict'!B581</f>
        <v>WPG</v>
      </c>
      <c r="D582" s="22" t="str" cm="1">
        <f t="array" ref="D582">_xlfn.SWITCH('RW predict'!C581, "C", "F", "LW","F", "RW", "F", "D", "D", "G", "G", "other")</f>
        <v>D</v>
      </c>
      <c r="E582" s="32">
        <f t="shared" si="18"/>
        <v>835</v>
      </c>
      <c r="F582" s="35">
        <f>E582/assumptions!$B$2</f>
        <v>10.182926829268293</v>
      </c>
      <c r="G582" s="36">
        <f t="shared" si="19"/>
        <v>555</v>
      </c>
      <c r="H582" s="18">
        <f>IF(NOT(D582="G"),'RW predict'!E581,0)</f>
        <v>2</v>
      </c>
      <c r="I582" s="18">
        <f>'RW predict'!Q581</f>
        <v>73</v>
      </c>
      <c r="J582" s="18">
        <f>'RW predict'!F581</f>
        <v>10</v>
      </c>
      <c r="K582" s="18"/>
      <c r="L582" s="18"/>
      <c r="M582" s="18">
        <f>'RW predict'!P581</f>
        <v>97</v>
      </c>
      <c r="N582" s="18"/>
      <c r="O582" s="18">
        <f>'RW predict'!H581</f>
        <v>4</v>
      </c>
      <c r="P582" s="18">
        <f>'RW predict'!I581</f>
        <v>34</v>
      </c>
      <c r="Q582" s="18">
        <f>'RW predict'!L581</f>
        <v>0</v>
      </c>
      <c r="R582" s="18">
        <f>'RW predict'!N581</f>
        <v>0</v>
      </c>
      <c r="S582" s="76">
        <f>'RW predict'!O581</f>
        <v>1</v>
      </c>
      <c r="T582" s="76">
        <f>'RW predict'!K581</f>
        <v>0</v>
      </c>
      <c r="U582" s="22">
        <f>'RW predict'!J581</f>
        <v>70</v>
      </c>
      <c r="V582" s="32">
        <f>IF(D582="G",'RW predict'!E581,0)</f>
        <v>0</v>
      </c>
      <c r="W582" s="18">
        <f>'RW predict'!R581</f>
        <v>0</v>
      </c>
      <c r="X582" s="18">
        <f>'RW predict'!T581</f>
        <v>0</v>
      </c>
      <c r="Y582" s="18">
        <f>'RW predict'!Y581</f>
        <v>0</v>
      </c>
      <c r="Z582" s="18">
        <f>'RW predict'!U581</f>
        <v>0</v>
      </c>
      <c r="AA582" s="18">
        <f>'RW predict'!W581</f>
        <v>0</v>
      </c>
    </row>
    <row r="583" spans="1:27" x14ac:dyDescent="0.3">
      <c r="A583" s="18">
        <v>580</v>
      </c>
      <c r="B583" s="18" t="str">
        <f>'RW predict'!A582</f>
        <v>Glenn Gawdin</v>
      </c>
      <c r="C583" s="18" t="str">
        <f>'RW predict'!B582</f>
        <v>ANH</v>
      </c>
      <c r="D583" s="22" t="str" cm="1">
        <f t="array" ref="D583">_xlfn.SWITCH('RW predict'!C582, "C", "F", "LW","F", "RW", "F", "D", "D", "G", "G", "other")</f>
        <v>F</v>
      </c>
      <c r="E583" s="32">
        <f t="shared" si="18"/>
        <v>524</v>
      </c>
      <c r="F583" s="35">
        <f>E583/assumptions!$B$2</f>
        <v>6.3902439024390247</v>
      </c>
      <c r="G583" s="36">
        <f t="shared" si="19"/>
        <v>670</v>
      </c>
      <c r="H583" s="18">
        <f>IF(NOT(D583="G"),'RW predict'!E582,0)</f>
        <v>4</v>
      </c>
      <c r="I583" s="18">
        <f>'RW predict'!Q582</f>
        <v>12</v>
      </c>
      <c r="J583" s="18">
        <f>'RW predict'!F582</f>
        <v>8</v>
      </c>
      <c r="K583" s="18"/>
      <c r="L583" s="18"/>
      <c r="M583" s="18">
        <f>'RW predict'!P582</f>
        <v>51</v>
      </c>
      <c r="N583" s="18"/>
      <c r="O583" s="18">
        <f>'RW predict'!H582</f>
        <v>2</v>
      </c>
      <c r="P583" s="18">
        <f>'RW predict'!I582</f>
        <v>7</v>
      </c>
      <c r="Q583" s="18">
        <f>'RW predict'!L582</f>
        <v>0</v>
      </c>
      <c r="R583" s="18">
        <f>'RW predict'!N582</f>
        <v>0</v>
      </c>
      <c r="S583" s="76">
        <f>'RW predict'!O582</f>
        <v>0</v>
      </c>
      <c r="T583" s="76">
        <f>'RW predict'!K582</f>
        <v>0</v>
      </c>
      <c r="U583" s="22">
        <f>'RW predict'!J582</f>
        <v>54</v>
      </c>
      <c r="V583" s="32">
        <f>IF(D583="G",'RW predict'!E582,0)</f>
        <v>0</v>
      </c>
      <c r="W583" s="18">
        <f>'RW predict'!R582</f>
        <v>0</v>
      </c>
      <c r="X583" s="18">
        <f>'RW predict'!T582</f>
        <v>0</v>
      </c>
      <c r="Y583" s="18">
        <f>'RW predict'!Y582</f>
        <v>0</v>
      </c>
      <c r="Z583" s="18">
        <f>'RW predict'!U582</f>
        <v>0</v>
      </c>
      <c r="AA583" s="18">
        <f>'RW predict'!W582</f>
        <v>0</v>
      </c>
    </row>
    <row r="584" spans="1:27" x14ac:dyDescent="0.3">
      <c r="A584" s="18">
        <v>581</v>
      </c>
      <c r="B584" s="18" t="str">
        <f>'RW predict'!A583</f>
        <v>Cal Clutterbuck</v>
      </c>
      <c r="C584" s="18" t="str">
        <f>'RW predict'!B583</f>
        <v>NYI</v>
      </c>
      <c r="D584" s="22" t="str" cm="1">
        <f t="array" ref="D584">_xlfn.SWITCH('RW predict'!C583, "C", "F", "LW","F", "RW", "F", "D", "D", "G", "G", "other")</f>
        <v>F</v>
      </c>
      <c r="E584" s="32">
        <f t="shared" si="18"/>
        <v>674</v>
      </c>
      <c r="F584" s="35">
        <f>E584/assumptions!$B$2</f>
        <v>8.2195121951219505</v>
      </c>
      <c r="G584" s="36">
        <f t="shared" si="19"/>
        <v>613</v>
      </c>
      <c r="H584" s="18">
        <f>IF(NOT(D584="G"),'RW predict'!E583,0)</f>
        <v>5</v>
      </c>
      <c r="I584" s="18">
        <f>'RW predict'!Q583</f>
        <v>21</v>
      </c>
      <c r="J584" s="18">
        <f>'RW predict'!F583</f>
        <v>7</v>
      </c>
      <c r="K584" s="18"/>
      <c r="L584" s="18"/>
      <c r="M584" s="18">
        <f>'RW predict'!P583</f>
        <v>194</v>
      </c>
      <c r="N584" s="18"/>
      <c r="O584" s="18">
        <f>'RW predict'!H583</f>
        <v>-5</v>
      </c>
      <c r="P584" s="18">
        <f>'RW predict'!I583</f>
        <v>12</v>
      </c>
      <c r="Q584" s="18">
        <f>'RW predict'!L583</f>
        <v>0</v>
      </c>
      <c r="R584" s="18">
        <f>'RW predict'!N583</f>
        <v>1</v>
      </c>
      <c r="S584" s="76">
        <f>'RW predict'!O583</f>
        <v>0</v>
      </c>
      <c r="T584" s="76">
        <f>'RW predict'!K583</f>
        <v>1</v>
      </c>
      <c r="U584" s="22">
        <f>'RW predict'!J583</f>
        <v>56</v>
      </c>
      <c r="V584" s="32">
        <f>IF(D584="G",'RW predict'!E583,0)</f>
        <v>0</v>
      </c>
      <c r="W584" s="18">
        <f>'RW predict'!R583</f>
        <v>0</v>
      </c>
      <c r="X584" s="18">
        <f>'RW predict'!T583</f>
        <v>0</v>
      </c>
      <c r="Y584" s="18">
        <f>'RW predict'!Y583</f>
        <v>0</v>
      </c>
      <c r="Z584" s="18">
        <f>'RW predict'!U583</f>
        <v>0</v>
      </c>
      <c r="AA584" s="18">
        <f>'RW predict'!W583</f>
        <v>0</v>
      </c>
    </row>
    <row r="585" spans="1:27" x14ac:dyDescent="0.3">
      <c r="A585" s="18">
        <v>582</v>
      </c>
      <c r="B585" s="18" t="str">
        <f>'RW predict'!A584</f>
        <v>Jon Merrill</v>
      </c>
      <c r="C585" s="18" t="str">
        <f>'RW predict'!B584</f>
        <v>MIN</v>
      </c>
      <c r="D585" s="22" t="str" cm="1">
        <f t="array" ref="D585">_xlfn.SWITCH('RW predict'!C584, "C", "F", "LW","F", "RW", "F", "D", "D", "G", "G", "other")</f>
        <v>D</v>
      </c>
      <c r="E585" s="32">
        <f t="shared" si="18"/>
        <v>743</v>
      </c>
      <c r="F585" s="35">
        <f>E585/assumptions!$B$2</f>
        <v>9.0609756097560972</v>
      </c>
      <c r="G585" s="36">
        <f t="shared" si="19"/>
        <v>588</v>
      </c>
      <c r="H585" s="18">
        <f>IF(NOT(D585="G"),'RW predict'!E584,0)</f>
        <v>2</v>
      </c>
      <c r="I585" s="18">
        <f>'RW predict'!Q584</f>
        <v>88</v>
      </c>
      <c r="J585" s="18">
        <f>'RW predict'!F584</f>
        <v>10</v>
      </c>
      <c r="K585" s="18"/>
      <c r="L585" s="18"/>
      <c r="M585" s="18">
        <f>'RW predict'!P584</f>
        <v>39</v>
      </c>
      <c r="N585" s="18"/>
      <c r="O585" s="18">
        <f>'RW predict'!H584</f>
        <v>8</v>
      </c>
      <c r="P585" s="18">
        <f>'RW predict'!I584</f>
        <v>18</v>
      </c>
      <c r="Q585" s="18">
        <f>'RW predict'!L584</f>
        <v>0</v>
      </c>
      <c r="R585" s="18">
        <f>'RW predict'!N584</f>
        <v>0</v>
      </c>
      <c r="S585" s="76">
        <f>'RW predict'!O584</f>
        <v>0</v>
      </c>
      <c r="T585" s="76">
        <f>'RW predict'!K584</f>
        <v>0</v>
      </c>
      <c r="U585" s="22">
        <f>'RW predict'!J584</f>
        <v>47</v>
      </c>
      <c r="V585" s="32">
        <f>IF(D585="G",'RW predict'!E584,0)</f>
        <v>0</v>
      </c>
      <c r="W585" s="18">
        <f>'RW predict'!R584</f>
        <v>0</v>
      </c>
      <c r="X585" s="18">
        <f>'RW predict'!T584</f>
        <v>0</v>
      </c>
      <c r="Y585" s="18">
        <f>'RW predict'!Y584</f>
        <v>0</v>
      </c>
      <c r="Z585" s="18">
        <f>'RW predict'!U584</f>
        <v>0</v>
      </c>
      <c r="AA585" s="18">
        <f>'RW predict'!W584</f>
        <v>0</v>
      </c>
    </row>
    <row r="586" spans="1:27" x14ac:dyDescent="0.3">
      <c r="A586" s="18">
        <v>583</v>
      </c>
      <c r="B586" s="18" t="str">
        <f>'RW predict'!A585</f>
        <v>Nicolas Deslauriers</v>
      </c>
      <c r="C586" s="18" t="str">
        <f>'RW predict'!B585</f>
        <v>PHI</v>
      </c>
      <c r="D586" s="22" t="str" cm="1">
        <f t="array" ref="D586">_xlfn.SWITCH('RW predict'!C585, "C", "F", "LW","F", "RW", "F", "D", "D", "G", "G", "other")</f>
        <v>F</v>
      </c>
      <c r="E586" s="32">
        <f t="shared" si="18"/>
        <v>988</v>
      </c>
      <c r="F586" s="35">
        <f>E586/assumptions!$B$2</f>
        <v>12.048780487804878</v>
      </c>
      <c r="G586" s="36">
        <f t="shared" si="19"/>
        <v>495</v>
      </c>
      <c r="H586" s="18">
        <f>IF(NOT(D586="G"),'RW predict'!E585,0)</f>
        <v>7</v>
      </c>
      <c r="I586" s="18">
        <f>'RW predict'!Q585</f>
        <v>38</v>
      </c>
      <c r="J586" s="18">
        <f>'RW predict'!F585</f>
        <v>5</v>
      </c>
      <c r="K586" s="18"/>
      <c r="L586" s="18"/>
      <c r="M586" s="18">
        <f>'RW predict'!P585</f>
        <v>222</v>
      </c>
      <c r="N586" s="18"/>
      <c r="O586" s="18">
        <f>'RW predict'!H585</f>
        <v>-11</v>
      </c>
      <c r="P586" s="18">
        <f>'RW predict'!I585</f>
        <v>98</v>
      </c>
      <c r="Q586" s="18">
        <f>'RW predict'!L585</f>
        <v>0</v>
      </c>
      <c r="R586" s="18">
        <f>'RW predict'!N585</f>
        <v>1</v>
      </c>
      <c r="S586" s="76">
        <f>'RW predict'!O585</f>
        <v>0</v>
      </c>
      <c r="T586" s="76">
        <f>'RW predict'!K585</f>
        <v>1</v>
      </c>
      <c r="U586" s="22">
        <f>'RW predict'!J585</f>
        <v>83</v>
      </c>
      <c r="V586" s="32">
        <f>IF(D586="G",'RW predict'!E585,0)</f>
        <v>0</v>
      </c>
      <c r="W586" s="18">
        <f>'RW predict'!R585</f>
        <v>0</v>
      </c>
      <c r="X586" s="18">
        <f>'RW predict'!T585</f>
        <v>0</v>
      </c>
      <c r="Y586" s="18">
        <f>'RW predict'!Y585</f>
        <v>0</v>
      </c>
      <c r="Z586" s="18">
        <f>'RW predict'!U585</f>
        <v>0</v>
      </c>
      <c r="AA586" s="18">
        <f>'RW predict'!W585</f>
        <v>0</v>
      </c>
    </row>
    <row r="587" spans="1:27" x14ac:dyDescent="0.3">
      <c r="A587" s="18">
        <v>584</v>
      </c>
      <c r="B587" s="18" t="str">
        <f>'RW predict'!A586</f>
        <v>Ryan Reaves</v>
      </c>
      <c r="C587" s="18" t="str">
        <f>'RW predict'!B586</f>
        <v>NYR</v>
      </c>
      <c r="D587" s="22" t="str" cm="1">
        <f t="array" ref="D587">_xlfn.SWITCH('RW predict'!C586, "C", "F", "LW","F", "RW", "F", "D", "D", "G", "G", "other")</f>
        <v>F</v>
      </c>
      <c r="E587" s="32">
        <f t="shared" si="18"/>
        <v>745</v>
      </c>
      <c r="F587" s="35">
        <f>E587/assumptions!$B$2</f>
        <v>9.0853658536585371</v>
      </c>
      <c r="G587" s="36">
        <f t="shared" si="19"/>
        <v>587</v>
      </c>
      <c r="H587" s="18">
        <f>IF(NOT(D587="G"),'RW predict'!E586,0)</f>
        <v>4</v>
      </c>
      <c r="I587" s="18">
        <f>'RW predict'!Q586</f>
        <v>17</v>
      </c>
      <c r="J587" s="18">
        <f>'RW predict'!F586</f>
        <v>7</v>
      </c>
      <c r="K587" s="18"/>
      <c r="L587" s="18"/>
      <c r="M587" s="18">
        <f>'RW predict'!P586</f>
        <v>283</v>
      </c>
      <c r="N587" s="18"/>
      <c r="O587" s="18">
        <f>'RW predict'!H586</f>
        <v>-13</v>
      </c>
      <c r="P587" s="18">
        <f>'RW predict'!I586</f>
        <v>53</v>
      </c>
      <c r="Q587" s="18">
        <f>'RW predict'!L586</f>
        <v>0</v>
      </c>
      <c r="R587" s="18">
        <f>'RW predict'!N586</f>
        <v>0</v>
      </c>
      <c r="S587" s="76">
        <f>'RW predict'!O586</f>
        <v>0</v>
      </c>
      <c r="T587" s="76">
        <f>'RW predict'!K586</f>
        <v>1</v>
      </c>
      <c r="U587" s="22">
        <f>'RW predict'!J586</f>
        <v>52</v>
      </c>
      <c r="V587" s="32">
        <f>IF(D587="G",'RW predict'!E586,0)</f>
        <v>0</v>
      </c>
      <c r="W587" s="18">
        <f>'RW predict'!R586</f>
        <v>0</v>
      </c>
      <c r="X587" s="18">
        <f>'RW predict'!T586</f>
        <v>0</v>
      </c>
      <c r="Y587" s="18">
        <f>'RW predict'!Y586</f>
        <v>0</v>
      </c>
      <c r="Z587" s="18">
        <f>'RW predict'!U586</f>
        <v>0</v>
      </c>
      <c r="AA587" s="18">
        <f>'RW predict'!W586</f>
        <v>0</v>
      </c>
    </row>
    <row r="588" spans="1:27" x14ac:dyDescent="0.3">
      <c r="A588" s="18">
        <v>585</v>
      </c>
      <c r="B588" s="18" t="str">
        <f>'RW predict'!A587</f>
        <v>Jake Gardiner</v>
      </c>
      <c r="C588" s="18" t="str">
        <f>'RW predict'!B587</f>
        <v>CAR</v>
      </c>
      <c r="D588" s="22" t="str" cm="1">
        <f t="array" ref="D588">_xlfn.SWITCH('RW predict'!C587, "C", "F", "LW","F", "RW", "F", "D", "D", "G", "G", "other")</f>
        <v>D</v>
      </c>
      <c r="E588" s="32">
        <f t="shared" si="18"/>
        <v>352</v>
      </c>
      <c r="F588" s="35">
        <f>E588/assumptions!$B$2</f>
        <v>4.2926829268292686</v>
      </c>
      <c r="G588" s="36">
        <f t="shared" si="19"/>
        <v>743</v>
      </c>
      <c r="H588" s="18">
        <f>IF(NOT(D588="G"),'RW predict'!E587,0)</f>
        <v>1</v>
      </c>
      <c r="I588" s="18">
        <f>'RW predict'!Q587</f>
        <v>27</v>
      </c>
      <c r="J588" s="18">
        <f>'RW predict'!F587</f>
        <v>10</v>
      </c>
      <c r="K588" s="18"/>
      <c r="L588" s="18"/>
      <c r="M588" s="18">
        <f>'RW predict'!P587</f>
        <v>23</v>
      </c>
      <c r="N588" s="18"/>
      <c r="O588" s="18">
        <f>'RW predict'!H587</f>
        <v>0</v>
      </c>
      <c r="P588" s="18">
        <f>'RW predict'!I587</f>
        <v>0</v>
      </c>
      <c r="Q588" s="18">
        <f>'RW predict'!L587</f>
        <v>0</v>
      </c>
      <c r="R588" s="18">
        <f>'RW predict'!N587</f>
        <v>0</v>
      </c>
      <c r="S588" s="76">
        <f>'RW predict'!O587</f>
        <v>0</v>
      </c>
      <c r="T588" s="76">
        <f>'RW predict'!K587</f>
        <v>0</v>
      </c>
      <c r="U588" s="22">
        <f>'RW predict'!J587</f>
        <v>0</v>
      </c>
      <c r="V588" s="32">
        <f>IF(D588="G",'RW predict'!E587,0)</f>
        <v>0</v>
      </c>
      <c r="W588" s="18">
        <f>'RW predict'!R587</f>
        <v>0</v>
      </c>
      <c r="X588" s="18">
        <f>'RW predict'!T587</f>
        <v>0</v>
      </c>
      <c r="Y588" s="18">
        <f>'RW predict'!Y587</f>
        <v>0</v>
      </c>
      <c r="Z588" s="18">
        <f>'RW predict'!U587</f>
        <v>0</v>
      </c>
      <c r="AA588" s="18">
        <f>'RW predict'!W587</f>
        <v>0</v>
      </c>
    </row>
    <row r="589" spans="1:27" x14ac:dyDescent="0.3">
      <c r="A589" s="18">
        <v>586</v>
      </c>
      <c r="B589" s="18" t="str">
        <f>'RW predict'!A588</f>
        <v>Trevor Lewis</v>
      </c>
      <c r="C589" s="18" t="str">
        <f>'RW predict'!B588</f>
        <v>CGY</v>
      </c>
      <c r="D589" s="22" t="str" cm="1">
        <f t="array" ref="D589">_xlfn.SWITCH('RW predict'!C588, "C", "F", "LW","F", "RW", "F", "D", "D", "G", "G", "other")</f>
        <v>F</v>
      </c>
      <c r="E589" s="32">
        <f t="shared" si="18"/>
        <v>698</v>
      </c>
      <c r="F589" s="35">
        <f>E589/assumptions!$B$2</f>
        <v>8.5121951219512191</v>
      </c>
      <c r="G589" s="36">
        <f t="shared" si="19"/>
        <v>604</v>
      </c>
      <c r="H589" s="18">
        <f>IF(NOT(D589="G"),'RW predict'!E588,0)</f>
        <v>4</v>
      </c>
      <c r="I589" s="18">
        <f>'RW predict'!Q588</f>
        <v>30</v>
      </c>
      <c r="J589" s="18">
        <f>'RW predict'!F588</f>
        <v>7</v>
      </c>
      <c r="K589" s="18"/>
      <c r="L589" s="18"/>
      <c r="M589" s="18">
        <f>'RW predict'!P588</f>
        <v>129</v>
      </c>
      <c r="N589" s="18"/>
      <c r="O589" s="18">
        <f>'RW predict'!H588</f>
        <v>-2</v>
      </c>
      <c r="P589" s="18">
        <f>'RW predict'!I588</f>
        <v>12</v>
      </c>
      <c r="Q589" s="18">
        <f>'RW predict'!L588</f>
        <v>0</v>
      </c>
      <c r="R589" s="18">
        <f>'RW predict'!N588</f>
        <v>1</v>
      </c>
      <c r="S589" s="76">
        <f>'RW predict'!O588</f>
        <v>0</v>
      </c>
      <c r="T589" s="76">
        <f>'RW predict'!K588</f>
        <v>1</v>
      </c>
      <c r="U589" s="22">
        <f>'RW predict'!J588</f>
        <v>89</v>
      </c>
      <c r="V589" s="32">
        <f>IF(D589="G",'RW predict'!E588,0)</f>
        <v>0</v>
      </c>
      <c r="W589" s="18">
        <f>'RW predict'!R588</f>
        <v>0</v>
      </c>
      <c r="X589" s="18">
        <f>'RW predict'!T588</f>
        <v>0</v>
      </c>
      <c r="Y589" s="18">
        <f>'RW predict'!Y588</f>
        <v>0</v>
      </c>
      <c r="Z589" s="18">
        <f>'RW predict'!U588</f>
        <v>0</v>
      </c>
      <c r="AA589" s="18">
        <f>'RW predict'!W588</f>
        <v>0</v>
      </c>
    </row>
    <row r="590" spans="1:27" x14ac:dyDescent="0.3">
      <c r="A590" s="18">
        <v>587</v>
      </c>
      <c r="B590" s="18" t="str">
        <f>'RW predict'!A589</f>
        <v>Evgeny Svechnikov</v>
      </c>
      <c r="C590" s="18" t="str">
        <f>'RW predict'!B589</f>
        <v>SJ</v>
      </c>
      <c r="D590" s="22" t="str" cm="1">
        <f t="array" ref="D590">_xlfn.SWITCH('RW predict'!C589, "C", "F", "LW","F", "RW", "F", "D", "D", "G", "G", "other")</f>
        <v>F</v>
      </c>
      <c r="E590" s="32">
        <f t="shared" si="18"/>
        <v>563</v>
      </c>
      <c r="F590" s="35">
        <f>E590/assumptions!$B$2</f>
        <v>6.8658536585365857</v>
      </c>
      <c r="G590" s="36">
        <f t="shared" si="19"/>
        <v>650</v>
      </c>
      <c r="H590" s="18">
        <f>IF(NOT(D590="G"),'RW predict'!E589,0)</f>
        <v>4</v>
      </c>
      <c r="I590" s="18">
        <f>'RW predict'!Q589</f>
        <v>13</v>
      </c>
      <c r="J590" s="18">
        <f>'RW predict'!F589</f>
        <v>7</v>
      </c>
      <c r="K590" s="18"/>
      <c r="L590" s="18"/>
      <c r="M590" s="18">
        <f>'RW predict'!P589</f>
        <v>59</v>
      </c>
      <c r="N590" s="18"/>
      <c r="O590" s="18">
        <f>'RW predict'!H589</f>
        <v>-4</v>
      </c>
      <c r="P590" s="18">
        <f>'RW predict'!I589</f>
        <v>31</v>
      </c>
      <c r="Q590" s="18">
        <f>'RW predict'!L589</f>
        <v>0</v>
      </c>
      <c r="R590" s="18">
        <f>'RW predict'!N589</f>
        <v>0</v>
      </c>
      <c r="S590" s="76">
        <f>'RW predict'!O589</f>
        <v>0</v>
      </c>
      <c r="T590" s="76">
        <f>'RW predict'!K589</f>
        <v>1</v>
      </c>
      <c r="U590" s="22">
        <f>'RW predict'!J589</f>
        <v>65</v>
      </c>
      <c r="V590" s="32">
        <f>IF(D590="G",'RW predict'!E589,0)</f>
        <v>0</v>
      </c>
      <c r="W590" s="18">
        <f>'RW predict'!R589</f>
        <v>0</v>
      </c>
      <c r="X590" s="18">
        <f>'RW predict'!T589</f>
        <v>0</v>
      </c>
      <c r="Y590" s="18">
        <f>'RW predict'!Y589</f>
        <v>0</v>
      </c>
      <c r="Z590" s="18">
        <f>'RW predict'!U589</f>
        <v>0</v>
      </c>
      <c r="AA590" s="18">
        <f>'RW predict'!W589</f>
        <v>0</v>
      </c>
    </row>
    <row r="591" spans="1:27" x14ac:dyDescent="0.3">
      <c r="A591" s="18">
        <v>588</v>
      </c>
      <c r="B591" s="18" t="str">
        <f>'RW predict'!A590</f>
        <v>Jimmy Vesey</v>
      </c>
      <c r="C591" s="18" t="str">
        <f>'RW predict'!B590</f>
        <v>NYR</v>
      </c>
      <c r="D591" s="22" t="str" cm="1">
        <f t="array" ref="D591">_xlfn.SWITCH('RW predict'!C590, "C", "F", "LW","F", "RW", "F", "D", "D", "G", "G", "other")</f>
        <v>F</v>
      </c>
      <c r="E591" s="32">
        <f t="shared" si="18"/>
        <v>504</v>
      </c>
      <c r="F591" s="35">
        <f>E591/assumptions!$B$2</f>
        <v>6.1463414634146343</v>
      </c>
      <c r="G591" s="36">
        <f t="shared" si="19"/>
        <v>679</v>
      </c>
      <c r="H591" s="18">
        <f>IF(NOT(D591="G"),'RW predict'!E590,0)</f>
        <v>6</v>
      </c>
      <c r="I591" s="18">
        <f>'RW predict'!Q590</f>
        <v>21</v>
      </c>
      <c r="J591" s="18">
        <f>'RW predict'!F590</f>
        <v>5</v>
      </c>
      <c r="K591" s="18"/>
      <c r="L591" s="18"/>
      <c r="M591" s="18">
        <f>'RW predict'!P590</f>
        <v>58</v>
      </c>
      <c r="N591" s="18"/>
      <c r="O591" s="18">
        <f>'RW predict'!H590</f>
        <v>-20</v>
      </c>
      <c r="P591" s="18">
        <f>'RW predict'!I590</f>
        <v>13</v>
      </c>
      <c r="Q591" s="18">
        <f>'RW predict'!L590</f>
        <v>0</v>
      </c>
      <c r="R591" s="18">
        <f>'RW predict'!N590</f>
        <v>2</v>
      </c>
      <c r="S591" s="76">
        <f>'RW predict'!O590</f>
        <v>0</v>
      </c>
      <c r="T591" s="76">
        <f>'RW predict'!K590</f>
        <v>2</v>
      </c>
      <c r="U591" s="22">
        <f>'RW predict'!J590</f>
        <v>105</v>
      </c>
      <c r="V591" s="32">
        <f>IF(D591="G",'RW predict'!E590,0)</f>
        <v>0</v>
      </c>
      <c r="W591" s="18">
        <f>'RW predict'!R590</f>
        <v>0</v>
      </c>
      <c r="X591" s="18">
        <f>'RW predict'!T590</f>
        <v>0</v>
      </c>
      <c r="Y591" s="18">
        <f>'RW predict'!Y590</f>
        <v>0</v>
      </c>
      <c r="Z591" s="18">
        <f>'RW predict'!U590</f>
        <v>0</v>
      </c>
      <c r="AA591" s="18">
        <f>'RW predict'!W590</f>
        <v>0</v>
      </c>
    </row>
    <row r="592" spans="1:27" x14ac:dyDescent="0.3">
      <c r="A592" s="18">
        <v>589</v>
      </c>
      <c r="B592" s="18" t="str">
        <f>'RW predict'!A591</f>
        <v>Jansen Harkins</v>
      </c>
      <c r="C592" s="18" t="str">
        <f>'RW predict'!B591</f>
        <v>WPG</v>
      </c>
      <c r="D592" s="22" t="str" cm="1">
        <f t="array" ref="D592">_xlfn.SWITCH('RW predict'!C591, "C", "F", "LW","F", "RW", "F", "D", "D", "G", "G", "other")</f>
        <v>F</v>
      </c>
      <c r="E592" s="32">
        <f t="shared" si="18"/>
        <v>461</v>
      </c>
      <c r="F592" s="35">
        <f>E592/assumptions!$B$2</f>
        <v>5.6219512195121952</v>
      </c>
      <c r="G592" s="36">
        <f t="shared" si="19"/>
        <v>702</v>
      </c>
      <c r="H592" s="18">
        <f>IF(NOT(D592="G"),'RW predict'!E591,0)</f>
        <v>4</v>
      </c>
      <c r="I592" s="18">
        <f>'RW predict'!Q591</f>
        <v>15</v>
      </c>
      <c r="J592" s="18">
        <f>'RW predict'!F591</f>
        <v>7</v>
      </c>
      <c r="K592" s="18"/>
      <c r="L592" s="18"/>
      <c r="M592" s="18">
        <f>'RW predict'!P591</f>
        <v>39</v>
      </c>
      <c r="N592" s="18"/>
      <c r="O592" s="18">
        <f>'RW predict'!H591</f>
        <v>-7</v>
      </c>
      <c r="P592" s="18">
        <f>'RW predict'!I591</f>
        <v>15</v>
      </c>
      <c r="Q592" s="18">
        <f>'RW predict'!L591</f>
        <v>0</v>
      </c>
      <c r="R592" s="18">
        <f>'RW predict'!N591</f>
        <v>0</v>
      </c>
      <c r="S592" s="76">
        <f>'RW predict'!O591</f>
        <v>0</v>
      </c>
      <c r="T592" s="76">
        <f>'RW predict'!K591</f>
        <v>0</v>
      </c>
      <c r="U592" s="22">
        <f>'RW predict'!J591</f>
        <v>71</v>
      </c>
      <c r="V592" s="32">
        <f>IF(D592="G",'RW predict'!E591,0)</f>
        <v>0</v>
      </c>
      <c r="W592" s="18">
        <f>'RW predict'!R591</f>
        <v>0</v>
      </c>
      <c r="X592" s="18">
        <f>'RW predict'!T591</f>
        <v>0</v>
      </c>
      <c r="Y592" s="18">
        <f>'RW predict'!Y591</f>
        <v>0</v>
      </c>
      <c r="Z592" s="18">
        <f>'RW predict'!U591</f>
        <v>0</v>
      </c>
      <c r="AA592" s="18">
        <f>'RW predict'!W591</f>
        <v>0</v>
      </c>
    </row>
    <row r="593" spans="1:27" x14ac:dyDescent="0.3">
      <c r="A593" s="18">
        <v>590</v>
      </c>
      <c r="B593" s="18" t="str">
        <f>'RW predict'!A592</f>
        <v>Matt Benning</v>
      </c>
      <c r="C593" s="18" t="str">
        <f>'RW predict'!B592</f>
        <v>SJ</v>
      </c>
      <c r="D593" s="22" t="str" cm="1">
        <f t="array" ref="D593">_xlfn.SWITCH('RW predict'!C592, "C", "F", "LW","F", "RW", "F", "D", "D", "G", "G", "other")</f>
        <v>D</v>
      </c>
      <c r="E593" s="32">
        <f t="shared" si="18"/>
        <v>575</v>
      </c>
      <c r="F593" s="35">
        <f>E593/assumptions!$B$2</f>
        <v>7.0121951219512191</v>
      </c>
      <c r="G593" s="36">
        <f t="shared" si="19"/>
        <v>644</v>
      </c>
      <c r="H593" s="18">
        <f>IF(NOT(D593="G"),'RW predict'!E592,0)</f>
        <v>1</v>
      </c>
      <c r="I593" s="18">
        <f>'RW predict'!Q592</f>
        <v>69</v>
      </c>
      <c r="J593" s="18">
        <f>'RW predict'!F592</f>
        <v>10</v>
      </c>
      <c r="K593" s="18"/>
      <c r="L593" s="18"/>
      <c r="M593" s="18">
        <f>'RW predict'!P592</f>
        <v>92</v>
      </c>
      <c r="N593" s="18"/>
      <c r="O593" s="18">
        <f>'RW predict'!H592</f>
        <v>-18</v>
      </c>
      <c r="P593" s="18">
        <f>'RW predict'!I592</f>
        <v>40</v>
      </c>
      <c r="Q593" s="18">
        <f>'RW predict'!L592</f>
        <v>0</v>
      </c>
      <c r="R593" s="18">
        <f>'RW predict'!N592</f>
        <v>0</v>
      </c>
      <c r="S593" s="76">
        <f>'RW predict'!O592</f>
        <v>0</v>
      </c>
      <c r="T593" s="76">
        <f>'RW predict'!K592</f>
        <v>0</v>
      </c>
      <c r="U593" s="22">
        <f>'RW predict'!J592</f>
        <v>65</v>
      </c>
      <c r="V593" s="32">
        <f>IF(D593="G",'RW predict'!E592,0)</f>
        <v>0</v>
      </c>
      <c r="W593" s="18">
        <f>'RW predict'!R592</f>
        <v>0</v>
      </c>
      <c r="X593" s="18">
        <f>'RW predict'!T592</f>
        <v>0</v>
      </c>
      <c r="Y593" s="18">
        <f>'RW predict'!Y592</f>
        <v>0</v>
      </c>
      <c r="Z593" s="18">
        <f>'RW predict'!U592</f>
        <v>0</v>
      </c>
      <c r="AA593" s="18">
        <f>'RW predict'!W592</f>
        <v>0</v>
      </c>
    </row>
    <row r="594" spans="1:27" x14ac:dyDescent="0.3">
      <c r="A594" s="18">
        <v>591</v>
      </c>
      <c r="B594" s="18" t="str">
        <f>'RW predict'!A593</f>
        <v>Mikey Anderson</v>
      </c>
      <c r="C594" s="18" t="str">
        <f>'RW predict'!B593</f>
        <v>LA</v>
      </c>
      <c r="D594" s="22" t="str" cm="1">
        <f t="array" ref="D594">_xlfn.SWITCH('RW predict'!C593, "C", "F", "LW","F", "RW", "F", "D", "D", "G", "G", "other")</f>
        <v>D</v>
      </c>
      <c r="E594" s="32">
        <f t="shared" si="18"/>
        <v>865</v>
      </c>
      <c r="F594" s="35">
        <f>E594/assumptions!$B$2</f>
        <v>10.548780487804878</v>
      </c>
      <c r="G594" s="36">
        <f t="shared" si="19"/>
        <v>544</v>
      </c>
      <c r="H594" s="18">
        <f>IF(NOT(D594="G"),'RW predict'!E593,0)</f>
        <v>2</v>
      </c>
      <c r="I594" s="18">
        <f>'RW predict'!Q593</f>
        <v>89</v>
      </c>
      <c r="J594" s="18">
        <f>'RW predict'!F593</f>
        <v>9</v>
      </c>
      <c r="K594" s="18"/>
      <c r="L594" s="18"/>
      <c r="M594" s="18">
        <f>'RW predict'!P593</f>
        <v>148</v>
      </c>
      <c r="N594" s="18"/>
      <c r="O594" s="18">
        <f>'RW predict'!H593</f>
        <v>6</v>
      </c>
      <c r="P594" s="18">
        <f>'RW predict'!I593</f>
        <v>14</v>
      </c>
      <c r="Q594" s="18">
        <f>'RW predict'!L593</f>
        <v>0</v>
      </c>
      <c r="R594" s="18">
        <f>'RW predict'!N593</f>
        <v>0</v>
      </c>
      <c r="S594" s="76">
        <f>'RW predict'!O593</f>
        <v>1</v>
      </c>
      <c r="T594" s="76">
        <f>'RW predict'!K593</f>
        <v>0</v>
      </c>
      <c r="U594" s="22">
        <f>'RW predict'!J593</f>
        <v>76</v>
      </c>
      <c r="V594" s="32">
        <f>IF(D594="G",'RW predict'!E593,0)</f>
        <v>0</v>
      </c>
      <c r="W594" s="18">
        <f>'RW predict'!R593</f>
        <v>0</v>
      </c>
      <c r="X594" s="18">
        <f>'RW predict'!T593</f>
        <v>0</v>
      </c>
      <c r="Y594" s="18">
        <f>'RW predict'!Y593</f>
        <v>0</v>
      </c>
      <c r="Z594" s="18">
        <f>'RW predict'!U593</f>
        <v>0</v>
      </c>
      <c r="AA594" s="18">
        <f>'RW predict'!W593</f>
        <v>0</v>
      </c>
    </row>
    <row r="595" spans="1:27" x14ac:dyDescent="0.3">
      <c r="A595" s="18">
        <v>592</v>
      </c>
      <c r="B595" s="18" t="str">
        <f>'RW predict'!A594</f>
        <v>Fabian Zetterlund</v>
      </c>
      <c r="C595" s="18" t="str">
        <f>'RW predict'!B594</f>
        <v>NJ</v>
      </c>
      <c r="D595" s="22" t="str" cm="1">
        <f t="array" ref="D595">_xlfn.SWITCH('RW predict'!C594, "C", "F", "LW","F", "RW", "F", "D", "D", "G", "G", "other")</f>
        <v>F</v>
      </c>
      <c r="E595" s="32">
        <f t="shared" si="18"/>
        <v>481</v>
      </c>
      <c r="F595" s="35">
        <f>E595/assumptions!$B$2</f>
        <v>5.8658536585365857</v>
      </c>
      <c r="G595" s="36">
        <f t="shared" si="19"/>
        <v>690</v>
      </c>
      <c r="H595" s="18">
        <f>IF(NOT(D595="G"),'RW predict'!E594,0)</f>
        <v>4</v>
      </c>
      <c r="I595" s="18">
        <f>'RW predict'!Q594</f>
        <v>11</v>
      </c>
      <c r="J595" s="18">
        <f>'RW predict'!F594</f>
        <v>7</v>
      </c>
      <c r="K595" s="18"/>
      <c r="L595" s="18"/>
      <c r="M595" s="18">
        <f>'RW predict'!P594</f>
        <v>22</v>
      </c>
      <c r="N595" s="18"/>
      <c r="O595" s="18">
        <f>'RW predict'!H594</f>
        <v>5</v>
      </c>
      <c r="P595" s="18">
        <f>'RW predict'!I594</f>
        <v>4</v>
      </c>
      <c r="Q595" s="18">
        <f>'RW predict'!L594</f>
        <v>0</v>
      </c>
      <c r="R595" s="18">
        <f>'RW predict'!N594</f>
        <v>0</v>
      </c>
      <c r="S595" s="76">
        <f>'RW predict'!O594</f>
        <v>0</v>
      </c>
      <c r="T595" s="76">
        <f>'RW predict'!K594</f>
        <v>0</v>
      </c>
      <c r="U595" s="22">
        <f>'RW predict'!J594</f>
        <v>50</v>
      </c>
      <c r="V595" s="32">
        <f>IF(D595="G",'RW predict'!E594,0)</f>
        <v>0</v>
      </c>
      <c r="W595" s="18">
        <f>'RW predict'!R594</f>
        <v>0</v>
      </c>
      <c r="X595" s="18">
        <f>'RW predict'!T594</f>
        <v>0</v>
      </c>
      <c r="Y595" s="18">
        <f>'RW predict'!Y594</f>
        <v>0</v>
      </c>
      <c r="Z595" s="18">
        <f>'RW predict'!U594</f>
        <v>0</v>
      </c>
      <c r="AA595" s="18">
        <f>'RW predict'!W594</f>
        <v>0</v>
      </c>
    </row>
    <row r="596" spans="1:27" x14ac:dyDescent="0.3">
      <c r="A596" s="18">
        <v>593</v>
      </c>
      <c r="B596" s="18" t="str">
        <f>'RW predict'!A595</f>
        <v>Mackenzie Entwistle</v>
      </c>
      <c r="C596" s="18" t="str">
        <f>'RW predict'!B595</f>
        <v>CHI</v>
      </c>
      <c r="D596" s="22" t="str" cm="1">
        <f t="array" ref="D596">_xlfn.SWITCH('RW predict'!C595, "C", "F", "LW","F", "RW", "F", "D", "D", "G", "G", "other")</f>
        <v>F</v>
      </c>
      <c r="E596" s="32">
        <f t="shared" si="18"/>
        <v>475</v>
      </c>
      <c r="F596" s="35">
        <f>E596/assumptions!$B$2</f>
        <v>5.7926829268292686</v>
      </c>
      <c r="G596" s="36">
        <f t="shared" si="19"/>
        <v>695</v>
      </c>
      <c r="H596" s="18">
        <f>IF(NOT(D596="G"),'RW predict'!E595,0)</f>
        <v>4</v>
      </c>
      <c r="I596" s="18">
        <f>'RW predict'!Q595</f>
        <v>19</v>
      </c>
      <c r="J596" s="18">
        <f>'RW predict'!F595</f>
        <v>7</v>
      </c>
      <c r="K596" s="18"/>
      <c r="L596" s="18"/>
      <c r="M596" s="18">
        <f>'RW predict'!P595</f>
        <v>112</v>
      </c>
      <c r="N596" s="18"/>
      <c r="O596" s="18">
        <f>'RW predict'!H595</f>
        <v>-14</v>
      </c>
      <c r="P596" s="18">
        <f>'RW predict'!I595</f>
        <v>28</v>
      </c>
      <c r="Q596" s="18">
        <f>'RW predict'!L595</f>
        <v>0</v>
      </c>
      <c r="R596" s="18">
        <f>'RW predict'!N595</f>
        <v>1</v>
      </c>
      <c r="S596" s="76">
        <f>'RW predict'!O595</f>
        <v>0</v>
      </c>
      <c r="T596" s="76">
        <f>'RW predict'!K595</f>
        <v>0</v>
      </c>
      <c r="U596" s="22">
        <f>'RW predict'!J595</f>
        <v>43</v>
      </c>
      <c r="V596" s="32">
        <f>IF(D596="G",'RW predict'!E595,0)</f>
        <v>0</v>
      </c>
      <c r="W596" s="18">
        <f>'RW predict'!R595</f>
        <v>0</v>
      </c>
      <c r="X596" s="18">
        <f>'RW predict'!T595</f>
        <v>0</v>
      </c>
      <c r="Y596" s="18">
        <f>'RW predict'!Y595</f>
        <v>0</v>
      </c>
      <c r="Z596" s="18">
        <f>'RW predict'!U595</f>
        <v>0</v>
      </c>
      <c r="AA596" s="18">
        <f>'RW predict'!W595</f>
        <v>0</v>
      </c>
    </row>
    <row r="597" spans="1:27" x14ac:dyDescent="0.3">
      <c r="A597" s="18">
        <v>594</v>
      </c>
      <c r="B597" s="18" t="str">
        <f>'RW predict'!A596</f>
        <v>Steven Lorentz</v>
      </c>
      <c r="C597" s="18" t="str">
        <f>'RW predict'!B596</f>
        <v>SJ</v>
      </c>
      <c r="D597" s="22" t="str" cm="1">
        <f t="array" ref="D597">_xlfn.SWITCH('RW predict'!C596, "C", "F", "LW","F", "RW", "F", "D", "D", "G", "G", "other")</f>
        <v>F</v>
      </c>
      <c r="E597" s="32">
        <f t="shared" si="18"/>
        <v>478</v>
      </c>
      <c r="F597" s="35">
        <f>E597/assumptions!$B$2</f>
        <v>5.8292682926829267</v>
      </c>
      <c r="G597" s="36">
        <f t="shared" si="19"/>
        <v>692</v>
      </c>
      <c r="H597" s="18">
        <f>IF(NOT(D597="G"),'RW predict'!E596,0)</f>
        <v>6</v>
      </c>
      <c r="I597" s="18">
        <f>'RW predict'!Q596</f>
        <v>15</v>
      </c>
      <c r="J597" s="18">
        <f>'RW predict'!F596</f>
        <v>5</v>
      </c>
      <c r="K597" s="18"/>
      <c r="L597" s="18"/>
      <c r="M597" s="18">
        <f>'RW predict'!P596</f>
        <v>69</v>
      </c>
      <c r="N597" s="18"/>
      <c r="O597" s="18">
        <f>'RW predict'!H596</f>
        <v>-9</v>
      </c>
      <c r="P597" s="18">
        <f>'RW predict'!I596</f>
        <v>10</v>
      </c>
      <c r="Q597" s="18">
        <f>'RW predict'!L596</f>
        <v>0</v>
      </c>
      <c r="R597" s="18">
        <f>'RW predict'!N596</f>
        <v>0</v>
      </c>
      <c r="S597" s="76">
        <f>'RW predict'!O596</f>
        <v>0</v>
      </c>
      <c r="T597" s="76">
        <f>'RW predict'!K596</f>
        <v>0</v>
      </c>
      <c r="U597" s="22">
        <f>'RW predict'!J596</f>
        <v>82</v>
      </c>
      <c r="V597" s="32">
        <f>IF(D597="G",'RW predict'!E596,0)</f>
        <v>0</v>
      </c>
      <c r="W597" s="18">
        <f>'RW predict'!R596</f>
        <v>0</v>
      </c>
      <c r="X597" s="18">
        <f>'RW predict'!T596</f>
        <v>0</v>
      </c>
      <c r="Y597" s="18">
        <f>'RW predict'!Y596</f>
        <v>0</v>
      </c>
      <c r="Z597" s="18">
        <f>'RW predict'!U596</f>
        <v>0</v>
      </c>
      <c r="AA597" s="18">
        <f>'RW predict'!W596</f>
        <v>0</v>
      </c>
    </row>
    <row r="598" spans="1:27" x14ac:dyDescent="0.3">
      <c r="A598" s="18">
        <v>595</v>
      </c>
      <c r="B598" s="18" t="str">
        <f>'RW predict'!A597</f>
        <v>Robin Salo</v>
      </c>
      <c r="C598" s="18" t="str">
        <f>'RW predict'!B597</f>
        <v>NYI</v>
      </c>
      <c r="D598" s="22" t="str" cm="1">
        <f t="array" ref="D598">_xlfn.SWITCH('RW predict'!C597, "C", "F", "LW","F", "RW", "F", "D", "D", "G", "G", "other")</f>
        <v>D</v>
      </c>
      <c r="E598" s="32">
        <f t="shared" si="18"/>
        <v>443</v>
      </c>
      <c r="F598" s="35">
        <f>E598/assumptions!$B$2</f>
        <v>5.4024390243902438</v>
      </c>
      <c r="G598" s="36">
        <f t="shared" si="19"/>
        <v>709</v>
      </c>
      <c r="H598" s="18">
        <f>IF(NOT(D598="G"),'RW predict'!E597,0)</f>
        <v>2</v>
      </c>
      <c r="I598" s="18">
        <f>'RW predict'!Q597</f>
        <v>51</v>
      </c>
      <c r="J598" s="18">
        <f>'RW predict'!F597</f>
        <v>9</v>
      </c>
      <c r="K598" s="18"/>
      <c r="L598" s="18"/>
      <c r="M598" s="18">
        <f>'RW predict'!P597</f>
        <v>18</v>
      </c>
      <c r="N598" s="18"/>
      <c r="O598" s="18">
        <f>'RW predict'!H597</f>
        <v>-9</v>
      </c>
      <c r="P598" s="18">
        <f>'RW predict'!I597</f>
        <v>10</v>
      </c>
      <c r="Q598" s="18">
        <f>'RW predict'!L597</f>
        <v>0</v>
      </c>
      <c r="R598" s="18">
        <f>'RW predict'!N597</f>
        <v>0</v>
      </c>
      <c r="S598" s="76">
        <f>'RW predict'!O597</f>
        <v>0</v>
      </c>
      <c r="T598" s="76">
        <f>'RW predict'!K597</f>
        <v>0</v>
      </c>
      <c r="U598" s="22">
        <f>'RW predict'!J597</f>
        <v>54</v>
      </c>
      <c r="V598" s="32">
        <f>IF(D598="G",'RW predict'!E597,0)</f>
        <v>0</v>
      </c>
      <c r="W598" s="18">
        <f>'RW predict'!R597</f>
        <v>0</v>
      </c>
      <c r="X598" s="18">
        <f>'RW predict'!T597</f>
        <v>0</v>
      </c>
      <c r="Y598" s="18">
        <f>'RW predict'!Y597</f>
        <v>0</v>
      </c>
      <c r="Z598" s="18">
        <f>'RW predict'!U597</f>
        <v>0</v>
      </c>
      <c r="AA598" s="18">
        <f>'RW predict'!W597</f>
        <v>0</v>
      </c>
    </row>
    <row r="599" spans="1:27" x14ac:dyDescent="0.3">
      <c r="A599" s="18">
        <v>596</v>
      </c>
      <c r="B599" s="18" t="str">
        <f>'RW predict'!A598</f>
        <v>Nick Blankenburg</v>
      </c>
      <c r="C599" s="18" t="str">
        <f>'RW predict'!B598</f>
        <v>CLS</v>
      </c>
      <c r="D599" s="22" t="str" cm="1">
        <f t="array" ref="D599">_xlfn.SWITCH('RW predict'!C598, "C", "F", "LW","F", "RW", "F", "D", "D", "G", "G", "other")</f>
        <v>D</v>
      </c>
      <c r="E599" s="32">
        <f t="shared" si="18"/>
        <v>560</v>
      </c>
      <c r="F599" s="35">
        <f>E599/assumptions!$B$2</f>
        <v>6.8292682926829267</v>
      </c>
      <c r="G599" s="36">
        <f t="shared" si="19"/>
        <v>652</v>
      </c>
      <c r="H599" s="18">
        <f>IF(NOT(D599="G"),'RW predict'!E598,0)</f>
        <v>3</v>
      </c>
      <c r="I599" s="18">
        <f>'RW predict'!Q598</f>
        <v>53</v>
      </c>
      <c r="J599" s="18">
        <f>'RW predict'!F598</f>
        <v>8</v>
      </c>
      <c r="K599" s="18"/>
      <c r="L599" s="18"/>
      <c r="M599" s="18">
        <f>'RW predict'!P598</f>
        <v>81</v>
      </c>
      <c r="N599" s="18"/>
      <c r="O599" s="18">
        <f>'RW predict'!H598</f>
        <v>-8</v>
      </c>
      <c r="P599" s="18">
        <f>'RW predict'!I598</f>
        <v>14</v>
      </c>
      <c r="Q599" s="18">
        <f>'RW predict'!L598</f>
        <v>1</v>
      </c>
      <c r="R599" s="18">
        <f>'RW predict'!N598</f>
        <v>0</v>
      </c>
      <c r="S599" s="76">
        <f>'RW predict'!O598</f>
        <v>0</v>
      </c>
      <c r="T599" s="76">
        <f>'RW predict'!K598</f>
        <v>1</v>
      </c>
      <c r="U599" s="22">
        <f>'RW predict'!J598</f>
        <v>53</v>
      </c>
      <c r="V599" s="32">
        <f>IF(D599="G",'RW predict'!E598,0)</f>
        <v>0</v>
      </c>
      <c r="W599" s="18">
        <f>'RW predict'!R598</f>
        <v>0</v>
      </c>
      <c r="X599" s="18">
        <f>'RW predict'!T598</f>
        <v>0</v>
      </c>
      <c r="Y599" s="18">
        <f>'RW predict'!Y598</f>
        <v>0</v>
      </c>
      <c r="Z599" s="18">
        <f>'RW predict'!U598</f>
        <v>0</v>
      </c>
      <c r="AA599" s="18">
        <f>'RW predict'!W598</f>
        <v>0</v>
      </c>
    </row>
    <row r="600" spans="1:27" x14ac:dyDescent="0.3">
      <c r="A600" s="18">
        <v>597</v>
      </c>
      <c r="B600" s="18" t="str">
        <f>'RW predict'!A599</f>
        <v>William Eklund</v>
      </c>
      <c r="C600" s="18" t="str">
        <f>'RW predict'!B599</f>
        <v>SJ</v>
      </c>
      <c r="D600" s="22" t="str" cm="1">
        <f t="array" ref="D600">_xlfn.SWITCH('RW predict'!C599, "C", "F", "LW","F", "RW", "F", "D", "D", "G", "G", "other")</f>
        <v>F</v>
      </c>
      <c r="E600" s="32">
        <f t="shared" si="18"/>
        <v>363</v>
      </c>
      <c r="F600" s="35">
        <f>E600/assumptions!$B$2</f>
        <v>4.4268292682926829</v>
      </c>
      <c r="G600" s="36">
        <f t="shared" si="19"/>
        <v>737</v>
      </c>
      <c r="H600" s="18">
        <f>IF(NOT(D600="G"),'RW predict'!E599,0)</f>
        <v>3</v>
      </c>
      <c r="I600" s="18">
        <f>'RW predict'!Q599</f>
        <v>10</v>
      </c>
      <c r="J600" s="18">
        <f>'RW predict'!F599</f>
        <v>8</v>
      </c>
      <c r="K600" s="18"/>
      <c r="L600" s="18"/>
      <c r="M600" s="18">
        <f>'RW predict'!P599</f>
        <v>10</v>
      </c>
      <c r="N600" s="18"/>
      <c r="O600" s="18">
        <f>'RW predict'!H599</f>
        <v>-9</v>
      </c>
      <c r="P600" s="18">
        <f>'RW predict'!I599</f>
        <v>8</v>
      </c>
      <c r="Q600" s="18">
        <f>'RW predict'!L599</f>
        <v>2</v>
      </c>
      <c r="R600" s="18">
        <f>'RW predict'!N599</f>
        <v>0</v>
      </c>
      <c r="S600" s="76">
        <f>'RW predict'!O599</f>
        <v>0</v>
      </c>
      <c r="T600" s="76">
        <f>'RW predict'!K599</f>
        <v>1</v>
      </c>
      <c r="U600" s="22">
        <f>'RW predict'!J599</f>
        <v>42</v>
      </c>
      <c r="V600" s="32">
        <f>IF(D600="G",'RW predict'!E599,0)</f>
        <v>0</v>
      </c>
      <c r="W600" s="18">
        <f>'RW predict'!R599</f>
        <v>0</v>
      </c>
      <c r="X600" s="18">
        <f>'RW predict'!T599</f>
        <v>0</v>
      </c>
      <c r="Y600" s="18">
        <f>'RW predict'!Y599</f>
        <v>0</v>
      </c>
      <c r="Z600" s="18">
        <f>'RW predict'!U599</f>
        <v>0</v>
      </c>
      <c r="AA600" s="18">
        <f>'RW predict'!W599</f>
        <v>0</v>
      </c>
    </row>
    <row r="601" spans="1:27" x14ac:dyDescent="0.3">
      <c r="A601" s="18">
        <v>598</v>
      </c>
      <c r="B601" s="18" t="str">
        <f>'RW predict'!A600</f>
        <v>Nils Lundkvist</v>
      </c>
      <c r="C601" s="18" t="str">
        <f>'RW predict'!B600</f>
        <v>NYR</v>
      </c>
      <c r="D601" s="22" t="str" cm="1">
        <f t="array" ref="D601">_xlfn.SWITCH('RW predict'!C600, "C", "F", "LW","F", "RW", "F", "D", "D", "G", "G", "other")</f>
        <v>D</v>
      </c>
      <c r="E601" s="32">
        <f t="shared" si="18"/>
        <v>735</v>
      </c>
      <c r="F601" s="35">
        <f>E601/assumptions!$B$2</f>
        <v>8.963414634146341</v>
      </c>
      <c r="G601" s="36">
        <f t="shared" si="19"/>
        <v>591</v>
      </c>
      <c r="H601" s="18">
        <f>IF(NOT(D601="G"),'RW predict'!E600,0)</f>
        <v>3</v>
      </c>
      <c r="I601" s="18">
        <f>'RW predict'!Q600</f>
        <v>44</v>
      </c>
      <c r="J601" s="18">
        <f>'RW predict'!F600</f>
        <v>8</v>
      </c>
      <c r="K601" s="18"/>
      <c r="L601" s="18"/>
      <c r="M601" s="18">
        <f>'RW predict'!P600</f>
        <v>38</v>
      </c>
      <c r="N601" s="18"/>
      <c r="O601" s="18">
        <f>'RW predict'!H600</f>
        <v>10</v>
      </c>
      <c r="P601" s="18">
        <f>'RW predict'!I600</f>
        <v>16</v>
      </c>
      <c r="Q601" s="18">
        <f>'RW predict'!L600</f>
        <v>1</v>
      </c>
      <c r="R601" s="18">
        <f>'RW predict'!N600</f>
        <v>0</v>
      </c>
      <c r="S601" s="76">
        <f>'RW predict'!O600</f>
        <v>0</v>
      </c>
      <c r="T601" s="76">
        <f>'RW predict'!K600</f>
        <v>0</v>
      </c>
      <c r="U601" s="22">
        <f>'RW predict'!J600</f>
        <v>88</v>
      </c>
      <c r="V601" s="32">
        <f>IF(D601="G",'RW predict'!E600,0)</f>
        <v>0</v>
      </c>
      <c r="W601" s="18">
        <f>'RW predict'!R600</f>
        <v>0</v>
      </c>
      <c r="X601" s="18">
        <f>'RW predict'!T600</f>
        <v>0</v>
      </c>
      <c r="Y601" s="18">
        <f>'RW predict'!Y600</f>
        <v>0</v>
      </c>
      <c r="Z601" s="18">
        <f>'RW predict'!U600</f>
        <v>0</v>
      </c>
      <c r="AA601" s="18">
        <f>'RW predict'!W600</f>
        <v>0</v>
      </c>
    </row>
    <row r="602" spans="1:27" x14ac:dyDescent="0.3">
      <c r="A602" s="18">
        <v>599</v>
      </c>
      <c r="B602" s="18" t="str">
        <f>'RW predict'!A601</f>
        <v>Rasmus Sandin</v>
      </c>
      <c r="C602" s="18" t="str">
        <f>'RW predict'!B601</f>
        <v>TOR</v>
      </c>
      <c r="D602" s="22" t="str" cm="1">
        <f t="array" ref="D602">_xlfn.SWITCH('RW predict'!C601, "C", "F", "LW","F", "RW", "F", "D", "D", "G", "G", "other")</f>
        <v>D</v>
      </c>
      <c r="E602" s="32">
        <f t="shared" si="18"/>
        <v>525</v>
      </c>
      <c r="F602" s="35">
        <f>E602/assumptions!$B$2</f>
        <v>6.4024390243902438</v>
      </c>
      <c r="G602" s="36">
        <f t="shared" si="19"/>
        <v>669</v>
      </c>
      <c r="H602" s="18">
        <f>IF(NOT(D602="G"),'RW predict'!E601,0)</f>
        <v>3</v>
      </c>
      <c r="I602" s="18">
        <f>'RW predict'!Q601</f>
        <v>25</v>
      </c>
      <c r="J602" s="18">
        <f>'RW predict'!F601</f>
        <v>8</v>
      </c>
      <c r="K602" s="18"/>
      <c r="L602" s="18"/>
      <c r="M602" s="18">
        <f>'RW predict'!P601</f>
        <v>54</v>
      </c>
      <c r="N602" s="18"/>
      <c r="O602" s="18">
        <f>'RW predict'!H601</f>
        <v>5</v>
      </c>
      <c r="P602" s="18">
        <f>'RW predict'!I601</f>
        <v>4</v>
      </c>
      <c r="Q602" s="18">
        <f>'RW predict'!L601</f>
        <v>0</v>
      </c>
      <c r="R602" s="18">
        <f>'RW predict'!N601</f>
        <v>0</v>
      </c>
      <c r="S602" s="76">
        <f>'RW predict'!O601</f>
        <v>0</v>
      </c>
      <c r="T602" s="76">
        <f>'RW predict'!K601</f>
        <v>1</v>
      </c>
      <c r="U602" s="22">
        <f>'RW predict'!J601</f>
        <v>32</v>
      </c>
      <c r="V602" s="32">
        <f>IF(D602="G",'RW predict'!E601,0)</f>
        <v>0</v>
      </c>
      <c r="W602" s="18">
        <f>'RW predict'!R601</f>
        <v>0</v>
      </c>
      <c r="X602" s="18">
        <f>'RW predict'!T601</f>
        <v>0</v>
      </c>
      <c r="Y602" s="18">
        <f>'RW predict'!Y601</f>
        <v>0</v>
      </c>
      <c r="Z602" s="18">
        <f>'RW predict'!U601</f>
        <v>0</v>
      </c>
      <c r="AA602" s="18">
        <f>'RW predict'!W601</f>
        <v>0</v>
      </c>
    </row>
    <row r="603" spans="1:27" x14ac:dyDescent="0.3">
      <c r="A603" s="18">
        <v>600</v>
      </c>
      <c r="B603" s="18" t="str">
        <f>'RW predict'!A602</f>
        <v>Lassi Thomson</v>
      </c>
      <c r="C603" s="18" t="str">
        <f>'RW predict'!B602</f>
        <v>OTT</v>
      </c>
      <c r="D603" s="22" t="str" cm="1">
        <f t="array" ref="D603">_xlfn.SWITCH('RW predict'!C602, "C", "F", "LW","F", "RW", "F", "D", "D", "G", "G", "other")</f>
        <v>D</v>
      </c>
      <c r="E603" s="32">
        <f t="shared" si="18"/>
        <v>352</v>
      </c>
      <c r="F603" s="35">
        <f>E603/assumptions!$B$2</f>
        <v>4.2926829268292686</v>
      </c>
      <c r="G603" s="36">
        <f t="shared" si="19"/>
        <v>743</v>
      </c>
      <c r="H603" s="18">
        <f>IF(NOT(D603="G"),'RW predict'!E602,0)</f>
        <v>1</v>
      </c>
      <c r="I603" s="18">
        <f>'RW predict'!Q602</f>
        <v>21</v>
      </c>
      <c r="J603" s="18">
        <f>'RW predict'!F602</f>
        <v>10</v>
      </c>
      <c r="K603" s="18"/>
      <c r="L603" s="18"/>
      <c r="M603" s="18">
        <f>'RW predict'!P602</f>
        <v>49</v>
      </c>
      <c r="N603" s="18"/>
      <c r="O603" s="18">
        <f>'RW predict'!H602</f>
        <v>-11</v>
      </c>
      <c r="P603" s="18">
        <f>'RW predict'!I602</f>
        <v>4</v>
      </c>
      <c r="Q603" s="18">
        <f>'RW predict'!L602</f>
        <v>0</v>
      </c>
      <c r="R603" s="18">
        <f>'RW predict'!N602</f>
        <v>0</v>
      </c>
      <c r="S603" s="76">
        <f>'RW predict'!O602</f>
        <v>0</v>
      </c>
      <c r="T603" s="76">
        <f>'RW predict'!K602</f>
        <v>0</v>
      </c>
      <c r="U603" s="22">
        <f>'RW predict'!J602</f>
        <v>42</v>
      </c>
      <c r="V603" s="32">
        <f>IF(D603="G",'RW predict'!E602,0)</f>
        <v>0</v>
      </c>
      <c r="W603" s="18">
        <f>'RW predict'!R602</f>
        <v>0</v>
      </c>
      <c r="X603" s="18">
        <f>'RW predict'!T602</f>
        <v>0</v>
      </c>
      <c r="Y603" s="18">
        <f>'RW predict'!Y602</f>
        <v>0</v>
      </c>
      <c r="Z603" s="18">
        <f>'RW predict'!U602</f>
        <v>0</v>
      </c>
      <c r="AA603" s="18">
        <f>'RW predict'!W602</f>
        <v>0</v>
      </c>
    </row>
    <row r="604" spans="1:27" x14ac:dyDescent="0.3">
      <c r="A604" s="18">
        <v>601</v>
      </c>
      <c r="B604" s="18" t="str">
        <f>'RW predict'!A603</f>
        <v>Ty Dellandrea</v>
      </c>
      <c r="C604" s="18" t="str">
        <f>'RW predict'!B603</f>
        <v>DAL</v>
      </c>
      <c r="D604" s="22" t="str" cm="1">
        <f t="array" ref="D604">_xlfn.SWITCH('RW predict'!C603, "C", "F", "LW","F", "RW", "F", "D", "D", "G", "G", "other")</f>
        <v>F</v>
      </c>
      <c r="E604" s="32">
        <f t="shared" si="18"/>
        <v>456</v>
      </c>
      <c r="F604" s="35">
        <f>E604/assumptions!$B$2</f>
        <v>5.5609756097560972</v>
      </c>
      <c r="G604" s="36">
        <f t="shared" si="19"/>
        <v>704</v>
      </c>
      <c r="H604" s="18">
        <f>IF(NOT(D604="G"),'RW predict'!E603,0)</f>
        <v>4</v>
      </c>
      <c r="I604" s="18">
        <f>'RW predict'!Q603</f>
        <v>10</v>
      </c>
      <c r="J604" s="18">
        <f>'RW predict'!F603</f>
        <v>6</v>
      </c>
      <c r="K604" s="18"/>
      <c r="L604" s="18"/>
      <c r="M604" s="18">
        <f>'RW predict'!P603</f>
        <v>62</v>
      </c>
      <c r="N604" s="18"/>
      <c r="O604" s="18">
        <f>'RW predict'!H603</f>
        <v>-3</v>
      </c>
      <c r="P604" s="18">
        <f>'RW predict'!I603</f>
        <v>20</v>
      </c>
      <c r="Q604" s="18">
        <f>'RW predict'!L603</f>
        <v>0</v>
      </c>
      <c r="R604" s="18">
        <f>'RW predict'!N603</f>
        <v>0</v>
      </c>
      <c r="S604" s="76">
        <f>'RW predict'!O603</f>
        <v>0</v>
      </c>
      <c r="T604" s="76">
        <f>'RW predict'!K603</f>
        <v>0</v>
      </c>
      <c r="U604" s="22">
        <f>'RW predict'!J603</f>
        <v>47</v>
      </c>
      <c r="V604" s="32">
        <f>IF(D604="G",'RW predict'!E603,0)</f>
        <v>0</v>
      </c>
      <c r="W604" s="18">
        <f>'RW predict'!R603</f>
        <v>0</v>
      </c>
      <c r="X604" s="18">
        <f>'RW predict'!T603</f>
        <v>0</v>
      </c>
      <c r="Y604" s="18">
        <f>'RW predict'!Y603</f>
        <v>0</v>
      </c>
      <c r="Z604" s="18">
        <f>'RW predict'!U603</f>
        <v>0</v>
      </c>
      <c r="AA604" s="18">
        <f>'RW predict'!W603</f>
        <v>0</v>
      </c>
    </row>
    <row r="605" spans="1:27" x14ac:dyDescent="0.3">
      <c r="A605" s="18">
        <v>602</v>
      </c>
      <c r="B605" s="18" t="str">
        <f>'RW predict'!A604</f>
        <v>Kirill Marchenko</v>
      </c>
      <c r="C605" s="18" t="str">
        <f>'RW predict'!B604</f>
        <v>CLS</v>
      </c>
      <c r="D605" s="22" t="str" cm="1">
        <f t="array" ref="D605">_xlfn.SWITCH('RW predict'!C604, "C", "F", "LW","F", "RW", "F", "D", "D", "G", "G", "other")</f>
        <v>F</v>
      </c>
      <c r="E605" s="32">
        <f t="shared" si="18"/>
        <v>448</v>
      </c>
      <c r="F605" s="35">
        <f>E605/assumptions!$B$2</f>
        <v>5.4634146341463419</v>
      </c>
      <c r="G605" s="36">
        <f t="shared" si="19"/>
        <v>707</v>
      </c>
      <c r="H605" s="18">
        <f>IF(NOT(D605="G"),'RW predict'!E604,0)</f>
        <v>4</v>
      </c>
      <c r="I605" s="18">
        <f>'RW predict'!Q604</f>
        <v>6</v>
      </c>
      <c r="J605" s="18">
        <f>'RW predict'!F604</f>
        <v>6</v>
      </c>
      <c r="K605" s="18"/>
      <c r="L605" s="18"/>
      <c r="M605" s="18">
        <f>'RW predict'!P604</f>
        <v>22</v>
      </c>
      <c r="N605" s="18"/>
      <c r="O605" s="18">
        <f>'RW predict'!H604</f>
        <v>2</v>
      </c>
      <c r="P605" s="18">
        <f>'RW predict'!I604</f>
        <v>10</v>
      </c>
      <c r="Q605" s="18">
        <f>'RW predict'!L604</f>
        <v>0</v>
      </c>
      <c r="R605" s="18">
        <f>'RW predict'!N604</f>
        <v>0</v>
      </c>
      <c r="S605" s="76">
        <f>'RW predict'!O604</f>
        <v>0</v>
      </c>
      <c r="T605" s="76">
        <f>'RW predict'!K604</f>
        <v>1</v>
      </c>
      <c r="U605" s="22">
        <f>'RW predict'!J604</f>
        <v>47</v>
      </c>
      <c r="V605" s="32">
        <f>IF(D605="G",'RW predict'!E604,0)</f>
        <v>0</v>
      </c>
      <c r="W605" s="18">
        <f>'RW predict'!R604</f>
        <v>0</v>
      </c>
      <c r="X605" s="18">
        <f>'RW predict'!T604</f>
        <v>0</v>
      </c>
      <c r="Y605" s="18">
        <f>'RW predict'!Y604</f>
        <v>0</v>
      </c>
      <c r="Z605" s="18">
        <f>'RW predict'!U604</f>
        <v>0</v>
      </c>
      <c r="AA605" s="18">
        <f>'RW predict'!W604</f>
        <v>0</v>
      </c>
    </row>
    <row r="606" spans="1:27" x14ac:dyDescent="0.3">
      <c r="A606" s="18">
        <v>603</v>
      </c>
      <c r="B606" s="18" t="str">
        <f>'RW predict'!A605</f>
        <v>Joe Veleno</v>
      </c>
      <c r="C606" s="18" t="str">
        <f>'RW predict'!B605</f>
        <v>DET</v>
      </c>
      <c r="D606" s="22" t="str" cm="1">
        <f t="array" ref="D606">_xlfn.SWITCH('RW predict'!C605, "C", "F", "LW","F", "RW", "F", "D", "D", "G", "G", "other")</f>
        <v>F</v>
      </c>
      <c r="E606" s="32">
        <f t="shared" si="18"/>
        <v>413</v>
      </c>
      <c r="F606" s="35">
        <f>E606/assumptions!$B$2</f>
        <v>5.0365853658536581</v>
      </c>
      <c r="G606" s="36">
        <f t="shared" si="19"/>
        <v>718</v>
      </c>
      <c r="H606" s="18">
        <f>IF(NOT(D606="G"),'RW predict'!E605,0)</f>
        <v>6</v>
      </c>
      <c r="I606" s="18">
        <f>'RW predict'!Q605</f>
        <v>14</v>
      </c>
      <c r="J606" s="18">
        <f>'RW predict'!F605</f>
        <v>4</v>
      </c>
      <c r="K606" s="18"/>
      <c r="L606" s="18"/>
      <c r="M606" s="18">
        <f>'RW predict'!P605</f>
        <v>69</v>
      </c>
      <c r="N606" s="18"/>
      <c r="O606" s="18">
        <f>'RW predict'!H605</f>
        <v>-8</v>
      </c>
      <c r="P606" s="18">
        <f>'RW predict'!I605</f>
        <v>16</v>
      </c>
      <c r="Q606" s="18">
        <f>'RW predict'!L605</f>
        <v>0</v>
      </c>
      <c r="R606" s="18">
        <f>'RW predict'!N605</f>
        <v>0</v>
      </c>
      <c r="S606" s="76">
        <f>'RW predict'!O605</f>
        <v>0</v>
      </c>
      <c r="T606" s="76">
        <f>'RW predict'!K605</f>
        <v>0</v>
      </c>
      <c r="U606" s="22">
        <f>'RW predict'!J605</f>
        <v>49</v>
      </c>
      <c r="V606" s="32">
        <f>IF(D606="G",'RW predict'!E605,0)</f>
        <v>0</v>
      </c>
      <c r="W606" s="18">
        <f>'RW predict'!R605</f>
        <v>0</v>
      </c>
      <c r="X606" s="18">
        <f>'RW predict'!T605</f>
        <v>0</v>
      </c>
      <c r="Y606" s="18">
        <f>'RW predict'!Y605</f>
        <v>0</v>
      </c>
      <c r="Z606" s="18">
        <f>'RW predict'!U605</f>
        <v>0</v>
      </c>
      <c r="AA606" s="18">
        <f>'RW predict'!W605</f>
        <v>0</v>
      </c>
    </row>
    <row r="607" spans="1:27" x14ac:dyDescent="0.3">
      <c r="A607" s="18">
        <v>604</v>
      </c>
      <c r="B607" s="18" t="str">
        <f>'RW predict'!A606</f>
        <v>Kristian Reichel</v>
      </c>
      <c r="C607" s="18" t="str">
        <f>'RW predict'!B606</f>
        <v>WPG</v>
      </c>
      <c r="D607" s="22" t="str" cm="1">
        <f t="array" ref="D607">_xlfn.SWITCH('RW predict'!C606, "C", "F", "LW","F", "RW", "F", "D", "D", "G", "G", "other")</f>
        <v>F</v>
      </c>
      <c r="E607" s="32">
        <f t="shared" si="18"/>
        <v>492</v>
      </c>
      <c r="F607" s="35">
        <f>E607/assumptions!$B$2</f>
        <v>6</v>
      </c>
      <c r="G607" s="36">
        <f t="shared" si="19"/>
        <v>683</v>
      </c>
      <c r="H607" s="18">
        <f>IF(NOT(D607="G"),'RW predict'!E606,0)</f>
        <v>4</v>
      </c>
      <c r="I607" s="18">
        <f>'RW predict'!Q606</f>
        <v>32</v>
      </c>
      <c r="J607" s="18">
        <f>'RW predict'!F606</f>
        <v>6</v>
      </c>
      <c r="K607" s="18"/>
      <c r="L607" s="18"/>
      <c r="M607" s="18">
        <f>'RW predict'!P606</f>
        <v>46</v>
      </c>
      <c r="N607" s="18"/>
      <c r="O607" s="18">
        <f>'RW predict'!H606</f>
        <v>-6</v>
      </c>
      <c r="P607" s="18">
        <f>'RW predict'!I606</f>
        <v>24</v>
      </c>
      <c r="Q607" s="18">
        <f>'RW predict'!L606</f>
        <v>0</v>
      </c>
      <c r="R607" s="18">
        <f>'RW predict'!N606</f>
        <v>0</v>
      </c>
      <c r="S607" s="76">
        <f>'RW predict'!O606</f>
        <v>0</v>
      </c>
      <c r="T607" s="76">
        <f>'RW predict'!K606</f>
        <v>0</v>
      </c>
      <c r="U607" s="22">
        <f>'RW predict'!J606</f>
        <v>60</v>
      </c>
      <c r="V607" s="32">
        <f>IF(D607="G",'RW predict'!E606,0)</f>
        <v>0</v>
      </c>
      <c r="W607" s="18">
        <f>'RW predict'!R606</f>
        <v>0</v>
      </c>
      <c r="X607" s="18">
        <f>'RW predict'!T606</f>
        <v>0</v>
      </c>
      <c r="Y607" s="18">
        <f>'RW predict'!Y606</f>
        <v>0</v>
      </c>
      <c r="Z607" s="18">
        <f>'RW predict'!U606</f>
        <v>0</v>
      </c>
      <c r="AA607" s="18">
        <f>'RW predict'!W606</f>
        <v>0</v>
      </c>
    </row>
    <row r="608" spans="1:27" x14ac:dyDescent="0.3">
      <c r="A608" s="18">
        <v>605</v>
      </c>
      <c r="B608" s="18" t="str">
        <f>'RW predict'!A607</f>
        <v>Drew O'Connor</v>
      </c>
      <c r="C608" s="18" t="str">
        <f>'RW predict'!B607</f>
        <v>PIT</v>
      </c>
      <c r="D608" s="22" t="str" cm="1">
        <f t="array" ref="D608">_xlfn.SWITCH('RW predict'!C607, "C", "F", "LW","F", "RW", "F", "D", "D", "G", "G", "other")</f>
        <v>F</v>
      </c>
      <c r="E608" s="32">
        <f t="shared" si="18"/>
        <v>433</v>
      </c>
      <c r="F608" s="35">
        <f>E608/assumptions!$B$2</f>
        <v>5.2804878048780486</v>
      </c>
      <c r="G608" s="36">
        <f t="shared" si="19"/>
        <v>713</v>
      </c>
      <c r="H608" s="18">
        <f>IF(NOT(D608="G"),'RW predict'!E607,0)</f>
        <v>6</v>
      </c>
      <c r="I608" s="18">
        <f>'RW predict'!Q607</f>
        <v>12</v>
      </c>
      <c r="J608" s="18">
        <f>'RW predict'!F607</f>
        <v>4</v>
      </c>
      <c r="K608" s="18"/>
      <c r="L608" s="18"/>
      <c r="M608" s="18">
        <f>'RW predict'!P607</f>
        <v>21</v>
      </c>
      <c r="N608" s="18"/>
      <c r="O608" s="18">
        <f>'RW predict'!H607</f>
        <v>-2</v>
      </c>
      <c r="P608" s="18">
        <f>'RW predict'!I607</f>
        <v>6</v>
      </c>
      <c r="Q608" s="18">
        <f>'RW predict'!L607</f>
        <v>0</v>
      </c>
      <c r="R608" s="18">
        <f>'RW predict'!N607</f>
        <v>0</v>
      </c>
      <c r="S608" s="76">
        <f>'RW predict'!O607</f>
        <v>0</v>
      </c>
      <c r="T608" s="76">
        <f>'RW predict'!K607</f>
        <v>0</v>
      </c>
      <c r="U608" s="22">
        <f>'RW predict'!J607</f>
        <v>70</v>
      </c>
      <c r="V608" s="32">
        <f>IF(D608="G",'RW predict'!E607,0)</f>
        <v>0</v>
      </c>
      <c r="W608" s="18">
        <f>'RW predict'!R607</f>
        <v>0</v>
      </c>
      <c r="X608" s="18">
        <f>'RW predict'!T607</f>
        <v>0</v>
      </c>
      <c r="Y608" s="18">
        <f>'RW predict'!Y607</f>
        <v>0</v>
      </c>
      <c r="Z608" s="18">
        <f>'RW predict'!U607</f>
        <v>0</v>
      </c>
      <c r="AA608" s="18">
        <f>'RW predict'!W607</f>
        <v>0</v>
      </c>
    </row>
    <row r="609" spans="1:27" x14ac:dyDescent="0.3">
      <c r="A609" s="18">
        <v>606</v>
      </c>
      <c r="B609" s="18" t="str">
        <f>'RW predict'!A608</f>
        <v>Dylan Samberg</v>
      </c>
      <c r="C609" s="18" t="str">
        <f>'RW predict'!B608</f>
        <v>WPG</v>
      </c>
      <c r="D609" s="22" t="str" cm="1">
        <f t="array" ref="D609">_xlfn.SWITCH('RW predict'!C608, "C", "F", "LW","F", "RW", "F", "D", "D", "G", "G", "other")</f>
        <v>D</v>
      </c>
      <c r="E609" s="32">
        <f t="shared" si="18"/>
        <v>495</v>
      </c>
      <c r="F609" s="35">
        <f>E609/assumptions!$B$2</f>
        <v>6.0365853658536581</v>
      </c>
      <c r="G609" s="36">
        <f t="shared" si="19"/>
        <v>682</v>
      </c>
      <c r="H609" s="18">
        <f>IF(NOT(D609="G"),'RW predict'!E608,0)</f>
        <v>1</v>
      </c>
      <c r="I609" s="18">
        <f>'RW predict'!Q608</f>
        <v>35</v>
      </c>
      <c r="J609" s="18">
        <f>'RW predict'!F608</f>
        <v>9</v>
      </c>
      <c r="K609" s="18"/>
      <c r="L609" s="18"/>
      <c r="M609" s="18">
        <f>'RW predict'!P608</f>
        <v>39</v>
      </c>
      <c r="N609" s="18"/>
      <c r="O609" s="18">
        <f>'RW predict'!H608</f>
        <v>6</v>
      </c>
      <c r="P609" s="18">
        <f>'RW predict'!I608</f>
        <v>8</v>
      </c>
      <c r="Q609" s="18">
        <f>'RW predict'!L608</f>
        <v>0</v>
      </c>
      <c r="R609" s="18">
        <f>'RW predict'!N608</f>
        <v>0</v>
      </c>
      <c r="S609" s="76">
        <f>'RW predict'!O608</f>
        <v>0</v>
      </c>
      <c r="T609" s="76">
        <f>'RW predict'!K608</f>
        <v>0</v>
      </c>
      <c r="U609" s="22">
        <f>'RW predict'!J608</f>
        <v>26</v>
      </c>
      <c r="V609" s="32">
        <f>IF(D609="G",'RW predict'!E608,0)</f>
        <v>0</v>
      </c>
      <c r="W609" s="18">
        <f>'RW predict'!R608</f>
        <v>0</v>
      </c>
      <c r="X609" s="18">
        <f>'RW predict'!T608</f>
        <v>0</v>
      </c>
      <c r="Y609" s="18">
        <f>'RW predict'!Y608</f>
        <v>0</v>
      </c>
      <c r="Z609" s="18">
        <f>'RW predict'!U608</f>
        <v>0</v>
      </c>
      <c r="AA609" s="18">
        <f>'RW predict'!W608</f>
        <v>0</v>
      </c>
    </row>
    <row r="610" spans="1:27" x14ac:dyDescent="0.3">
      <c r="A610" s="18">
        <v>607</v>
      </c>
      <c r="B610" s="18" t="str">
        <f>'RW predict'!A609</f>
        <v>Matthew Highmore</v>
      </c>
      <c r="C610" s="18" t="str">
        <f>'RW predict'!B609</f>
        <v>STL</v>
      </c>
      <c r="D610" s="22" t="str" cm="1">
        <f t="array" ref="D610">_xlfn.SWITCH('RW predict'!C609, "C", "F", "LW","F", "RW", "F", "D", "D", "G", "G", "other")</f>
        <v>F</v>
      </c>
      <c r="E610" s="32">
        <f t="shared" si="18"/>
        <v>540</v>
      </c>
      <c r="F610" s="35">
        <f>E610/assumptions!$B$2</f>
        <v>6.5853658536585362</v>
      </c>
      <c r="G610" s="36">
        <f t="shared" si="19"/>
        <v>665</v>
      </c>
      <c r="H610" s="18">
        <f>IF(NOT(D610="G"),'RW predict'!E609,0)</f>
        <v>5</v>
      </c>
      <c r="I610" s="18">
        <f>'RW predict'!Q609</f>
        <v>29</v>
      </c>
      <c r="J610" s="18">
        <f>'RW predict'!F609</f>
        <v>5</v>
      </c>
      <c r="K610" s="18"/>
      <c r="L610" s="18"/>
      <c r="M610" s="18">
        <f>'RW predict'!P609</f>
        <v>40</v>
      </c>
      <c r="N610" s="18"/>
      <c r="O610" s="18">
        <f>'RW predict'!H609</f>
        <v>0</v>
      </c>
      <c r="P610" s="18">
        <f>'RW predict'!I609</f>
        <v>16</v>
      </c>
      <c r="Q610" s="18">
        <f>'RW predict'!L609</f>
        <v>0</v>
      </c>
      <c r="R610" s="18">
        <f>'RW predict'!N609</f>
        <v>0</v>
      </c>
      <c r="S610" s="76">
        <f>'RW predict'!O609</f>
        <v>0</v>
      </c>
      <c r="T610" s="76">
        <f>'RW predict'!K609</f>
        <v>0</v>
      </c>
      <c r="U610" s="22">
        <f>'RW predict'!J609</f>
        <v>72</v>
      </c>
      <c r="V610" s="32">
        <f>IF(D610="G",'RW predict'!E609,0)</f>
        <v>0</v>
      </c>
      <c r="W610" s="18">
        <f>'RW predict'!R609</f>
        <v>0</v>
      </c>
      <c r="X610" s="18">
        <f>'RW predict'!T609</f>
        <v>0</v>
      </c>
      <c r="Y610" s="18">
        <f>'RW predict'!Y609</f>
        <v>0</v>
      </c>
      <c r="Z610" s="18">
        <f>'RW predict'!U609</f>
        <v>0</v>
      </c>
      <c r="AA610" s="18">
        <f>'RW predict'!W609</f>
        <v>0</v>
      </c>
    </row>
    <row r="611" spans="1:27" x14ac:dyDescent="0.3">
      <c r="A611" s="18">
        <v>608</v>
      </c>
      <c r="B611" s="18" t="str">
        <f>'RW predict'!A610</f>
        <v>Zack MacEwen</v>
      </c>
      <c r="C611" s="18" t="str">
        <f>'RW predict'!B610</f>
        <v>PHI</v>
      </c>
      <c r="D611" s="22" t="str" cm="1">
        <f t="array" ref="D611">_xlfn.SWITCH('RW predict'!C610, "C", "F", "LW","F", "RW", "F", "D", "D", "G", "G", "other")</f>
        <v>F</v>
      </c>
      <c r="E611" s="32">
        <f t="shared" si="18"/>
        <v>832</v>
      </c>
      <c r="F611" s="35">
        <f>E611/assumptions!$B$2</f>
        <v>10.146341463414634</v>
      </c>
      <c r="G611" s="36">
        <f t="shared" si="19"/>
        <v>558</v>
      </c>
      <c r="H611" s="18">
        <f>IF(NOT(D611="G"),'RW predict'!E610,0)</f>
        <v>4</v>
      </c>
      <c r="I611" s="18">
        <f>'RW predict'!Q610</f>
        <v>30</v>
      </c>
      <c r="J611" s="18">
        <f>'RW predict'!F610</f>
        <v>6</v>
      </c>
      <c r="K611" s="18"/>
      <c r="L611" s="18"/>
      <c r="M611" s="18">
        <f>'RW predict'!P610</f>
        <v>156</v>
      </c>
      <c r="N611" s="18"/>
      <c r="O611" s="18">
        <f>'RW predict'!H610</f>
        <v>-12</v>
      </c>
      <c r="P611" s="18">
        <f>'RW predict'!I610</f>
        <v>108</v>
      </c>
      <c r="Q611" s="18">
        <f>'RW predict'!L610</f>
        <v>0</v>
      </c>
      <c r="R611" s="18">
        <f>'RW predict'!N610</f>
        <v>0</v>
      </c>
      <c r="S611" s="76">
        <f>'RW predict'!O610</f>
        <v>0</v>
      </c>
      <c r="T611" s="76">
        <f>'RW predict'!K610</f>
        <v>0</v>
      </c>
      <c r="U611" s="22">
        <f>'RW predict'!J610</f>
        <v>81</v>
      </c>
      <c r="V611" s="32">
        <f>IF(D611="G",'RW predict'!E610,0)</f>
        <v>0</v>
      </c>
      <c r="W611" s="18">
        <f>'RW predict'!R610</f>
        <v>0</v>
      </c>
      <c r="X611" s="18">
        <f>'RW predict'!T610</f>
        <v>0</v>
      </c>
      <c r="Y611" s="18">
        <f>'RW predict'!Y610</f>
        <v>0</v>
      </c>
      <c r="Z611" s="18">
        <f>'RW predict'!U610</f>
        <v>0</v>
      </c>
      <c r="AA611" s="18">
        <f>'RW predict'!W610</f>
        <v>0</v>
      </c>
    </row>
    <row r="612" spans="1:27" x14ac:dyDescent="0.3">
      <c r="A612" s="18">
        <v>609</v>
      </c>
      <c r="B612" s="18" t="str">
        <f>'RW predict'!A611</f>
        <v>Gustav Lindstrom</v>
      </c>
      <c r="C612" s="18" t="str">
        <f>'RW predict'!B611</f>
        <v>DET</v>
      </c>
      <c r="D612" s="22" t="str" cm="1">
        <f t="array" ref="D612">_xlfn.SWITCH('RW predict'!C611, "C", "F", "LW","F", "RW", "F", "D", "D", "G", "G", "other")</f>
        <v>D</v>
      </c>
      <c r="E612" s="32">
        <f t="shared" si="18"/>
        <v>430</v>
      </c>
      <c r="F612" s="35">
        <f>E612/assumptions!$B$2</f>
        <v>5.2439024390243905</v>
      </c>
      <c r="G612" s="36">
        <f t="shared" si="19"/>
        <v>715</v>
      </c>
      <c r="H612" s="18">
        <f>IF(NOT(D612="G"),'RW predict'!E611,0)</f>
        <v>1</v>
      </c>
      <c r="I612" s="18">
        <f>'RW predict'!Q611</f>
        <v>58</v>
      </c>
      <c r="J612" s="18">
        <f>'RW predict'!F611</f>
        <v>9</v>
      </c>
      <c r="K612" s="18"/>
      <c r="L612" s="18"/>
      <c r="M612" s="18">
        <f>'RW predict'!P611</f>
        <v>44</v>
      </c>
      <c r="N612" s="18"/>
      <c r="O612" s="18">
        <f>'RW predict'!H611</f>
        <v>-9</v>
      </c>
      <c r="P612" s="18">
        <f>'RW predict'!I611</f>
        <v>16</v>
      </c>
      <c r="Q612" s="18">
        <f>'RW predict'!L611</f>
        <v>0</v>
      </c>
      <c r="R612" s="18">
        <f>'RW predict'!N611</f>
        <v>0</v>
      </c>
      <c r="S612" s="76">
        <f>'RW predict'!O611</f>
        <v>0</v>
      </c>
      <c r="T612" s="76">
        <f>'RW predict'!K611</f>
        <v>0</v>
      </c>
      <c r="U612" s="22">
        <f>'RW predict'!J611</f>
        <v>31</v>
      </c>
      <c r="V612" s="32">
        <f>IF(D612="G",'RW predict'!E611,0)</f>
        <v>0</v>
      </c>
      <c r="W612" s="18">
        <f>'RW predict'!R611</f>
        <v>0</v>
      </c>
      <c r="X612" s="18">
        <f>'RW predict'!T611</f>
        <v>0</v>
      </c>
      <c r="Y612" s="18">
        <f>'RW predict'!Y611</f>
        <v>0</v>
      </c>
      <c r="Z612" s="18">
        <f>'RW predict'!U611</f>
        <v>0</v>
      </c>
      <c r="AA612" s="18">
        <f>'RW predict'!W611</f>
        <v>0</v>
      </c>
    </row>
    <row r="613" spans="1:27" x14ac:dyDescent="0.3">
      <c r="A613" s="18">
        <v>610</v>
      </c>
      <c r="B613" s="18" t="str">
        <f>'RW predict'!A612</f>
        <v>Adam Gaudette</v>
      </c>
      <c r="C613" s="18" t="str">
        <f>'RW predict'!B612</f>
        <v>TOR</v>
      </c>
      <c r="D613" s="22" t="str" cm="1">
        <f t="array" ref="D613">_xlfn.SWITCH('RW predict'!C612, "C", "F", "LW","F", "RW", "F", "D", "D", "G", "G", "other")</f>
        <v>F</v>
      </c>
      <c r="E613" s="32">
        <f t="shared" si="18"/>
        <v>541</v>
      </c>
      <c r="F613" s="35">
        <f>E613/assumptions!$B$2</f>
        <v>6.5975609756097562</v>
      </c>
      <c r="G613" s="36">
        <f t="shared" si="19"/>
        <v>662</v>
      </c>
      <c r="H613" s="18">
        <f>IF(NOT(D613="G"),'RW predict'!E612,0)</f>
        <v>4</v>
      </c>
      <c r="I613" s="18">
        <f>'RW predict'!Q612</f>
        <v>11</v>
      </c>
      <c r="J613" s="18">
        <f>'RW predict'!F612</f>
        <v>6</v>
      </c>
      <c r="K613" s="18"/>
      <c r="L613" s="18"/>
      <c r="M613" s="18">
        <f>'RW predict'!P612</f>
        <v>45</v>
      </c>
      <c r="N613" s="18"/>
      <c r="O613" s="18">
        <f>'RW predict'!H612</f>
        <v>-4</v>
      </c>
      <c r="P613" s="18">
        <f>'RW predict'!I612</f>
        <v>20</v>
      </c>
      <c r="Q613" s="18">
        <f>'RW predict'!L612</f>
        <v>1</v>
      </c>
      <c r="R613" s="18">
        <f>'RW predict'!N612</f>
        <v>0</v>
      </c>
      <c r="S613" s="76">
        <f>'RW predict'!O612</f>
        <v>0</v>
      </c>
      <c r="T613" s="76">
        <f>'RW predict'!K612</f>
        <v>1</v>
      </c>
      <c r="U613" s="22">
        <f>'RW predict'!J612</f>
        <v>87</v>
      </c>
      <c r="V613" s="32">
        <f>IF(D613="G",'RW predict'!E612,0)</f>
        <v>0</v>
      </c>
      <c r="W613" s="18">
        <f>'RW predict'!R612</f>
        <v>0</v>
      </c>
      <c r="X613" s="18">
        <f>'RW predict'!T612</f>
        <v>0</v>
      </c>
      <c r="Y613" s="18">
        <f>'RW predict'!Y612</f>
        <v>0</v>
      </c>
      <c r="Z613" s="18">
        <f>'RW predict'!U612</f>
        <v>0</v>
      </c>
      <c r="AA613" s="18">
        <f>'RW predict'!W612</f>
        <v>0</v>
      </c>
    </row>
    <row r="614" spans="1:27" x14ac:dyDescent="0.3">
      <c r="A614" s="18">
        <v>611</v>
      </c>
      <c r="B614" s="18" t="str">
        <f>'RW predict'!A613</f>
        <v>Dylan Gambrell</v>
      </c>
      <c r="C614" s="18" t="str">
        <f>'RW predict'!B613</f>
        <v>OTT</v>
      </c>
      <c r="D614" s="22" t="str" cm="1">
        <f t="array" ref="D614">_xlfn.SWITCH('RW predict'!C613, "C", "F", "LW","F", "RW", "F", "D", "D", "G", "G", "other")</f>
        <v>F</v>
      </c>
      <c r="E614" s="32">
        <f t="shared" si="18"/>
        <v>613</v>
      </c>
      <c r="F614" s="35">
        <f>E614/assumptions!$B$2</f>
        <v>7.475609756097561</v>
      </c>
      <c r="G614" s="36">
        <f t="shared" si="19"/>
        <v>628</v>
      </c>
      <c r="H614" s="18">
        <f>IF(NOT(D614="G"),'RW predict'!E613,0)</f>
        <v>4</v>
      </c>
      <c r="I614" s="18">
        <f>'RW predict'!Q613</f>
        <v>47</v>
      </c>
      <c r="J614" s="18">
        <f>'RW predict'!F613</f>
        <v>6</v>
      </c>
      <c r="K614" s="18"/>
      <c r="L614" s="18"/>
      <c r="M614" s="18">
        <f>'RW predict'!P613</f>
        <v>107</v>
      </c>
      <c r="N614" s="18"/>
      <c r="O614" s="18">
        <f>'RW predict'!H613</f>
        <v>-3</v>
      </c>
      <c r="P614" s="18">
        <f>'RW predict'!I613</f>
        <v>14</v>
      </c>
      <c r="Q614" s="18">
        <f>'RW predict'!L613</f>
        <v>0</v>
      </c>
      <c r="R614" s="18">
        <f>'RW predict'!N613</f>
        <v>1</v>
      </c>
      <c r="S614" s="76">
        <f>'RW predict'!O613</f>
        <v>0</v>
      </c>
      <c r="T614" s="76">
        <f>'RW predict'!K613</f>
        <v>0</v>
      </c>
      <c r="U614" s="22">
        <f>'RW predict'!J613</f>
        <v>65</v>
      </c>
      <c r="V614" s="32">
        <f>IF(D614="G",'RW predict'!E613,0)</f>
        <v>0</v>
      </c>
      <c r="W614" s="18">
        <f>'RW predict'!R613</f>
        <v>0</v>
      </c>
      <c r="X614" s="18">
        <f>'RW predict'!T613</f>
        <v>0</v>
      </c>
      <c r="Y614" s="18">
        <f>'RW predict'!Y613</f>
        <v>0</v>
      </c>
      <c r="Z614" s="18">
        <f>'RW predict'!U613</f>
        <v>0</v>
      </c>
      <c r="AA614" s="18">
        <f>'RW predict'!W613</f>
        <v>0</v>
      </c>
    </row>
    <row r="615" spans="1:27" x14ac:dyDescent="0.3">
      <c r="A615" s="18">
        <v>612</v>
      </c>
      <c r="B615" s="18" t="str">
        <f>'RW predict'!A614</f>
        <v>Josh Archibald</v>
      </c>
      <c r="C615" s="18" t="str">
        <f>'RW predict'!B614</f>
        <v>PIT</v>
      </c>
      <c r="D615" s="22" t="str" cm="1">
        <f t="array" ref="D615">_xlfn.SWITCH('RW predict'!C614, "C", "F", "LW","F", "RW", "F", "D", "D", "G", "G", "other")</f>
        <v>F</v>
      </c>
      <c r="E615" s="32">
        <f t="shared" si="18"/>
        <v>565</v>
      </c>
      <c r="F615" s="35">
        <f>E615/assumptions!$B$2</f>
        <v>6.8902439024390247</v>
      </c>
      <c r="G615" s="36">
        <f t="shared" si="19"/>
        <v>649</v>
      </c>
      <c r="H615" s="18">
        <f>IF(NOT(D615="G"),'RW predict'!E614,0)</f>
        <v>5</v>
      </c>
      <c r="I615" s="18">
        <f>'RW predict'!Q614</f>
        <v>26</v>
      </c>
      <c r="J615" s="18">
        <f>'RW predict'!F614</f>
        <v>5</v>
      </c>
      <c r="K615" s="18"/>
      <c r="L615" s="18"/>
      <c r="M615" s="18">
        <f>'RW predict'!P614</f>
        <v>147</v>
      </c>
      <c r="N615" s="18"/>
      <c r="O615" s="18">
        <f>'RW predict'!H614</f>
        <v>-4</v>
      </c>
      <c r="P615" s="18">
        <f>'RW predict'!I614</f>
        <v>20</v>
      </c>
      <c r="Q615" s="18">
        <f>'RW predict'!L614</f>
        <v>0</v>
      </c>
      <c r="R615" s="18">
        <f>'RW predict'!N614</f>
        <v>0</v>
      </c>
      <c r="S615" s="76">
        <f>'RW predict'!O614</f>
        <v>0</v>
      </c>
      <c r="T615" s="76">
        <f>'RW predict'!K614</f>
        <v>0</v>
      </c>
      <c r="U615" s="22">
        <f>'RW predict'!J614</f>
        <v>48</v>
      </c>
      <c r="V615" s="32">
        <f>IF(D615="G",'RW predict'!E614,0)</f>
        <v>0</v>
      </c>
      <c r="W615" s="18">
        <f>'RW predict'!R614</f>
        <v>0</v>
      </c>
      <c r="X615" s="18">
        <f>'RW predict'!T614</f>
        <v>0</v>
      </c>
      <c r="Y615" s="18">
        <f>'RW predict'!Y614</f>
        <v>0</v>
      </c>
      <c r="Z615" s="18">
        <f>'RW predict'!U614</f>
        <v>0</v>
      </c>
      <c r="AA615" s="18">
        <f>'RW predict'!W614</f>
        <v>0</v>
      </c>
    </row>
    <row r="616" spans="1:27" x14ac:dyDescent="0.3">
      <c r="A616" s="18">
        <v>613</v>
      </c>
      <c r="B616" s="18" t="str">
        <f>'RW predict'!A615</f>
        <v>Clark Bishop</v>
      </c>
      <c r="C616" s="18" t="str">
        <f>'RW predict'!B615</f>
        <v>CGY</v>
      </c>
      <c r="D616" s="22" t="str" cm="1">
        <f t="array" ref="D616">_xlfn.SWITCH('RW predict'!C615, "C", "F", "LW","F", "RW", "F", "D", "D", "G", "G", "other")</f>
        <v>F</v>
      </c>
      <c r="E616" s="32">
        <f t="shared" si="18"/>
        <v>393</v>
      </c>
      <c r="F616" s="35">
        <f>E616/assumptions!$B$2</f>
        <v>4.7926829268292686</v>
      </c>
      <c r="G616" s="36">
        <f t="shared" si="19"/>
        <v>728</v>
      </c>
      <c r="H616" s="18">
        <f>IF(NOT(D616="G"),'RW predict'!E615,0)</f>
        <v>0</v>
      </c>
      <c r="I616" s="18">
        <f>'RW predict'!Q615</f>
        <v>10</v>
      </c>
      <c r="J616" s="18">
        <f>'RW predict'!F615</f>
        <v>10</v>
      </c>
      <c r="K616" s="18"/>
      <c r="L616" s="18"/>
      <c r="M616" s="18">
        <f>'RW predict'!P615</f>
        <v>48</v>
      </c>
      <c r="N616" s="18"/>
      <c r="O616" s="18">
        <f>'RW predict'!H615</f>
        <v>-10</v>
      </c>
      <c r="P616" s="18">
        <f>'RW predict'!I615</f>
        <v>39</v>
      </c>
      <c r="Q616" s="18">
        <f>'RW predict'!L615</f>
        <v>0</v>
      </c>
      <c r="R616" s="18">
        <f>'RW predict'!N615</f>
        <v>0</v>
      </c>
      <c r="S616" s="76">
        <f>'RW predict'!O615</f>
        <v>0</v>
      </c>
      <c r="T616" s="76">
        <f>'RW predict'!K615</f>
        <v>0</v>
      </c>
      <c r="U616" s="22">
        <f>'RW predict'!J615</f>
        <v>29</v>
      </c>
      <c r="V616" s="32">
        <f>IF(D616="G",'RW predict'!E615,0)</f>
        <v>0</v>
      </c>
      <c r="W616" s="18">
        <f>'RW predict'!R615</f>
        <v>0</v>
      </c>
      <c r="X616" s="18">
        <f>'RW predict'!T615</f>
        <v>0</v>
      </c>
      <c r="Y616" s="18">
        <f>'RW predict'!Y615</f>
        <v>0</v>
      </c>
      <c r="Z616" s="18">
        <f>'RW predict'!U615</f>
        <v>0</v>
      </c>
      <c r="AA616" s="18">
        <f>'RW predict'!W615</f>
        <v>0</v>
      </c>
    </row>
    <row r="617" spans="1:27" x14ac:dyDescent="0.3">
      <c r="A617" s="18">
        <v>614</v>
      </c>
      <c r="B617" s="18" t="str">
        <f>'RW predict'!A616</f>
        <v>Jordan Oesterle</v>
      </c>
      <c r="C617" s="18" t="str">
        <f>'RW predict'!B616</f>
        <v>DET</v>
      </c>
      <c r="D617" s="22" t="str" cm="1">
        <f t="array" ref="D617">_xlfn.SWITCH('RW predict'!C616, "C", "F", "LW","F", "RW", "F", "D", "D", "G", "G", "other")</f>
        <v>D</v>
      </c>
      <c r="E617" s="32">
        <f t="shared" si="18"/>
        <v>479</v>
      </c>
      <c r="F617" s="35">
        <f>E617/assumptions!$B$2</f>
        <v>5.8414634146341466</v>
      </c>
      <c r="G617" s="36">
        <f t="shared" si="19"/>
        <v>691</v>
      </c>
      <c r="H617" s="18">
        <f>IF(NOT(D617="G"),'RW predict'!E616,0)</f>
        <v>2</v>
      </c>
      <c r="I617" s="18">
        <f>'RW predict'!Q616</f>
        <v>56</v>
      </c>
      <c r="J617" s="18">
        <f>'RW predict'!F616</f>
        <v>8</v>
      </c>
      <c r="K617" s="18"/>
      <c r="L617" s="18"/>
      <c r="M617" s="18">
        <f>'RW predict'!P616</f>
        <v>35</v>
      </c>
      <c r="N617" s="18"/>
      <c r="O617" s="18">
        <f>'RW predict'!H616</f>
        <v>-8</v>
      </c>
      <c r="P617" s="18">
        <f>'RW predict'!I616</f>
        <v>6</v>
      </c>
      <c r="Q617" s="18">
        <f>'RW predict'!L616</f>
        <v>0</v>
      </c>
      <c r="R617" s="18">
        <f>'RW predict'!N616</f>
        <v>0</v>
      </c>
      <c r="S617" s="76">
        <f>'RW predict'!O616</f>
        <v>0</v>
      </c>
      <c r="T617" s="76">
        <f>'RW predict'!K616</f>
        <v>1</v>
      </c>
      <c r="U617" s="22">
        <f>'RW predict'!J616</f>
        <v>62</v>
      </c>
      <c r="V617" s="32">
        <f>IF(D617="G",'RW predict'!E616,0)</f>
        <v>0</v>
      </c>
      <c r="W617" s="18">
        <f>'RW predict'!R616</f>
        <v>0</v>
      </c>
      <c r="X617" s="18">
        <f>'RW predict'!T616</f>
        <v>0</v>
      </c>
      <c r="Y617" s="18">
        <f>'RW predict'!Y616</f>
        <v>0</v>
      </c>
      <c r="Z617" s="18">
        <f>'RW predict'!U616</f>
        <v>0</v>
      </c>
      <c r="AA617" s="18">
        <f>'RW predict'!W616</f>
        <v>0</v>
      </c>
    </row>
    <row r="618" spans="1:27" x14ac:dyDescent="0.3">
      <c r="A618" s="18">
        <v>615</v>
      </c>
      <c r="B618" s="18" t="str">
        <f>'RW predict'!A617</f>
        <v>Will Butcher</v>
      </c>
      <c r="C618" s="18" t="str">
        <f>'RW predict'!B617</f>
        <v>DAL</v>
      </c>
      <c r="D618" s="22" t="str" cm="1">
        <f t="array" ref="D618">_xlfn.SWITCH('RW predict'!C617, "C", "F", "LW","F", "RW", "F", "D", "D", "G", "G", "other")</f>
        <v>D</v>
      </c>
      <c r="E618" s="32">
        <f t="shared" si="18"/>
        <v>302</v>
      </c>
      <c r="F618" s="35">
        <f>E618/assumptions!$B$2</f>
        <v>3.6829268292682928</v>
      </c>
      <c r="G618" s="36">
        <f t="shared" si="19"/>
        <v>770</v>
      </c>
      <c r="H618" s="18">
        <f>IF(NOT(D618="G"),'RW predict'!E617,0)</f>
        <v>2</v>
      </c>
      <c r="I618" s="18">
        <f>'RW predict'!Q617</f>
        <v>22</v>
      </c>
      <c r="J618" s="18">
        <f>'RW predict'!F617</f>
        <v>8</v>
      </c>
      <c r="K618" s="18"/>
      <c r="L618" s="18"/>
      <c r="M618" s="18">
        <f>'RW predict'!P617</f>
        <v>8</v>
      </c>
      <c r="N618" s="18"/>
      <c r="O618" s="18">
        <f>'RW predict'!H617</f>
        <v>-6</v>
      </c>
      <c r="P618" s="18">
        <f>'RW predict'!I617</f>
        <v>2</v>
      </c>
      <c r="Q618" s="18">
        <f>'RW predict'!L617</f>
        <v>0</v>
      </c>
      <c r="R618" s="18">
        <f>'RW predict'!N617</f>
        <v>0</v>
      </c>
      <c r="S618" s="76">
        <f>'RW predict'!O617</f>
        <v>0</v>
      </c>
      <c r="T618" s="76">
        <f>'RW predict'!K617</f>
        <v>0</v>
      </c>
      <c r="U618" s="22">
        <f>'RW predict'!J617</f>
        <v>27</v>
      </c>
      <c r="V618" s="32">
        <f>IF(D618="G",'RW predict'!E617,0)</f>
        <v>0</v>
      </c>
      <c r="W618" s="18">
        <f>'RW predict'!R617</f>
        <v>0</v>
      </c>
      <c r="X618" s="18">
        <f>'RW predict'!T617</f>
        <v>0</v>
      </c>
      <c r="Y618" s="18">
        <f>'RW predict'!Y617</f>
        <v>0</v>
      </c>
      <c r="Z618" s="18">
        <f>'RW predict'!U617</f>
        <v>0</v>
      </c>
      <c r="AA618" s="18">
        <f>'RW predict'!W617</f>
        <v>0</v>
      </c>
    </row>
    <row r="619" spans="1:27" x14ac:dyDescent="0.3">
      <c r="A619" s="18">
        <v>616</v>
      </c>
      <c r="B619" s="18" t="str">
        <f>'RW predict'!A618</f>
        <v>Kris Russell</v>
      </c>
      <c r="C619" s="18" t="str">
        <f>'RW predict'!B618</f>
        <v>FA</v>
      </c>
      <c r="D619" s="22" t="str" cm="1">
        <f t="array" ref="D619">_xlfn.SWITCH('RW predict'!C618, "C", "F", "LW","F", "RW", "F", "D", "D", "G", "G", "other")</f>
        <v>D</v>
      </c>
      <c r="E619" s="32">
        <f t="shared" si="18"/>
        <v>613</v>
      </c>
      <c r="F619" s="35">
        <f>E619/assumptions!$B$2</f>
        <v>7.475609756097561</v>
      </c>
      <c r="G619" s="36">
        <f t="shared" si="19"/>
        <v>628</v>
      </c>
      <c r="H619" s="18">
        <f>IF(NOT(D619="G"),'RW predict'!E618,0)</f>
        <v>2</v>
      </c>
      <c r="I619" s="18">
        <f>'RW predict'!Q618</f>
        <v>77</v>
      </c>
      <c r="J619" s="18">
        <f>'RW predict'!F618</f>
        <v>8</v>
      </c>
      <c r="K619" s="18"/>
      <c r="L619" s="18"/>
      <c r="M619" s="18">
        <f>'RW predict'!P618</f>
        <v>41</v>
      </c>
      <c r="N619" s="18"/>
      <c r="O619" s="18">
        <f>'RW predict'!H618</f>
        <v>5</v>
      </c>
      <c r="P619" s="18">
        <f>'RW predict'!I618</f>
        <v>6</v>
      </c>
      <c r="Q619" s="18">
        <f>'RW predict'!L618</f>
        <v>0</v>
      </c>
      <c r="R619" s="18">
        <f>'RW predict'!N618</f>
        <v>0</v>
      </c>
      <c r="S619" s="76">
        <f>'RW predict'!O618</f>
        <v>0</v>
      </c>
      <c r="T619" s="76">
        <f>'RW predict'!K618</f>
        <v>1</v>
      </c>
      <c r="U619" s="22">
        <f>'RW predict'!J618</f>
        <v>40</v>
      </c>
      <c r="V619" s="32">
        <f>IF(D619="G",'RW predict'!E618,0)</f>
        <v>0</v>
      </c>
      <c r="W619" s="18">
        <f>'RW predict'!R618</f>
        <v>0</v>
      </c>
      <c r="X619" s="18">
        <f>'RW predict'!T618</f>
        <v>0</v>
      </c>
      <c r="Y619" s="18">
        <f>'RW predict'!Y618</f>
        <v>0</v>
      </c>
      <c r="Z619" s="18">
        <f>'RW predict'!U618</f>
        <v>0</v>
      </c>
      <c r="AA619" s="18">
        <f>'RW predict'!W618</f>
        <v>0</v>
      </c>
    </row>
    <row r="620" spans="1:27" x14ac:dyDescent="0.3">
      <c r="A620" s="18">
        <v>617</v>
      </c>
      <c r="B620" s="18" t="str">
        <f>'RW predict'!A619</f>
        <v>Andy Greene</v>
      </c>
      <c r="C620" s="18" t="str">
        <f>'RW predict'!B619</f>
        <v>FA</v>
      </c>
      <c r="D620" s="22" t="str" cm="1">
        <f t="array" ref="D620">_xlfn.SWITCH('RW predict'!C619, "C", "F", "LW","F", "RW", "F", "D", "D", "G", "G", "other")</f>
        <v>D</v>
      </c>
      <c r="E620" s="32">
        <f t="shared" si="18"/>
        <v>622</v>
      </c>
      <c r="F620" s="35">
        <f>E620/assumptions!$B$2</f>
        <v>7.5853658536585362</v>
      </c>
      <c r="G620" s="36">
        <f t="shared" si="19"/>
        <v>626</v>
      </c>
      <c r="H620" s="18">
        <f>IF(NOT(D620="G"),'RW predict'!E619,0)</f>
        <v>2</v>
      </c>
      <c r="I620" s="18">
        <f>'RW predict'!Q619</f>
        <v>133</v>
      </c>
      <c r="J620" s="18">
        <f>'RW predict'!F619</f>
        <v>8</v>
      </c>
      <c r="K620" s="18"/>
      <c r="L620" s="18"/>
      <c r="M620" s="18">
        <f>'RW predict'!P619</f>
        <v>41</v>
      </c>
      <c r="N620" s="18"/>
      <c r="O620" s="18">
        <f>'RW predict'!H619</f>
        <v>-8</v>
      </c>
      <c r="P620" s="18">
        <f>'RW predict'!I619</f>
        <v>11</v>
      </c>
      <c r="Q620" s="18">
        <f>'RW predict'!L619</f>
        <v>0</v>
      </c>
      <c r="R620" s="18">
        <f>'RW predict'!N619</f>
        <v>0</v>
      </c>
      <c r="S620" s="76">
        <f>'RW predict'!O619</f>
        <v>0</v>
      </c>
      <c r="T620" s="76">
        <f>'RW predict'!K619</f>
        <v>0</v>
      </c>
      <c r="U620" s="22">
        <f>'RW predict'!J619</f>
        <v>56</v>
      </c>
      <c r="V620" s="32">
        <f>IF(D620="G",'RW predict'!E619,0)</f>
        <v>0</v>
      </c>
      <c r="W620" s="18">
        <f>'RW predict'!R619</f>
        <v>0</v>
      </c>
      <c r="X620" s="18">
        <f>'RW predict'!T619</f>
        <v>0</v>
      </c>
      <c r="Y620" s="18">
        <f>'RW predict'!Y619</f>
        <v>0</v>
      </c>
      <c r="Z620" s="18">
        <f>'RW predict'!U619</f>
        <v>0</v>
      </c>
      <c r="AA620" s="18">
        <f>'RW predict'!W619</f>
        <v>0</v>
      </c>
    </row>
    <row r="621" spans="1:27" x14ac:dyDescent="0.3">
      <c r="A621" s="18">
        <v>618</v>
      </c>
      <c r="B621" s="18" t="str">
        <f>'RW predict'!A620</f>
        <v>Andrew Ladd</v>
      </c>
      <c r="C621" s="18" t="str">
        <f>'RW predict'!B620</f>
        <v>ARI</v>
      </c>
      <c r="D621" s="22" t="str" cm="1">
        <f t="array" ref="D621">_xlfn.SWITCH('RW predict'!C620, "C", "F", "LW","F", "RW", "F", "D", "D", "G", "G", "other")</f>
        <v>F</v>
      </c>
      <c r="E621" s="32">
        <f t="shared" si="18"/>
        <v>407</v>
      </c>
      <c r="F621" s="35">
        <f>E621/assumptions!$B$2</f>
        <v>4.9634146341463419</v>
      </c>
      <c r="G621" s="36">
        <f t="shared" si="19"/>
        <v>723</v>
      </c>
      <c r="H621" s="18">
        <f>IF(NOT(D621="G"),'RW predict'!E620,0)</f>
        <v>5</v>
      </c>
      <c r="I621" s="18">
        <f>'RW predict'!Q620</f>
        <v>23</v>
      </c>
      <c r="J621" s="18">
        <f>'RW predict'!F620</f>
        <v>5</v>
      </c>
      <c r="K621" s="18"/>
      <c r="L621" s="18"/>
      <c r="M621" s="18">
        <f>'RW predict'!P620</f>
        <v>56</v>
      </c>
      <c r="N621" s="18"/>
      <c r="O621" s="18">
        <f>'RW predict'!H620</f>
        <v>-17</v>
      </c>
      <c r="P621" s="18">
        <f>'RW predict'!I620</f>
        <v>37</v>
      </c>
      <c r="Q621" s="18">
        <f>'RW predict'!L620</f>
        <v>2</v>
      </c>
      <c r="R621" s="18">
        <f>'RW predict'!N620</f>
        <v>0</v>
      </c>
      <c r="S621" s="76">
        <f>'RW predict'!O620</f>
        <v>0</v>
      </c>
      <c r="T621" s="76">
        <f>'RW predict'!K620</f>
        <v>0</v>
      </c>
      <c r="U621" s="22">
        <f>'RW predict'!J620</f>
        <v>47</v>
      </c>
      <c r="V621" s="32">
        <f>IF(D621="G",'RW predict'!E620,0)</f>
        <v>0</v>
      </c>
      <c r="W621" s="18">
        <f>'RW predict'!R620</f>
        <v>0</v>
      </c>
      <c r="X621" s="18">
        <f>'RW predict'!T620</f>
        <v>0</v>
      </c>
      <c r="Y621" s="18">
        <f>'RW predict'!Y620</f>
        <v>0</v>
      </c>
      <c r="Z621" s="18">
        <f>'RW predict'!U620</f>
        <v>0</v>
      </c>
      <c r="AA621" s="18">
        <f>'RW predict'!W620</f>
        <v>0</v>
      </c>
    </row>
    <row r="622" spans="1:27" x14ac:dyDescent="0.3">
      <c r="A622" s="18">
        <v>619</v>
      </c>
      <c r="B622" s="18" t="str">
        <f>'RW predict'!A621</f>
        <v>Derek Stepan</v>
      </c>
      <c r="C622" s="18" t="str">
        <f>'RW predict'!B621</f>
        <v>CAR</v>
      </c>
      <c r="D622" s="22" t="str" cm="1">
        <f t="array" ref="D622">_xlfn.SWITCH('RW predict'!C621, "C", "F", "LW","F", "RW", "F", "D", "D", "G", "G", "other")</f>
        <v>F</v>
      </c>
      <c r="E622" s="32">
        <f t="shared" si="18"/>
        <v>524</v>
      </c>
      <c r="F622" s="35">
        <f>E622/assumptions!$B$2</f>
        <v>6.3902439024390247</v>
      </c>
      <c r="G622" s="36">
        <f t="shared" si="19"/>
        <v>670</v>
      </c>
      <c r="H622" s="18">
        <f>IF(NOT(D622="G"),'RW predict'!E621,0)</f>
        <v>4</v>
      </c>
      <c r="I622" s="18">
        <f>'RW predict'!Q621</f>
        <v>14</v>
      </c>
      <c r="J622" s="18">
        <f>'RW predict'!F621</f>
        <v>6</v>
      </c>
      <c r="K622" s="18"/>
      <c r="L622" s="18"/>
      <c r="M622" s="18">
        <f>'RW predict'!P621</f>
        <v>15</v>
      </c>
      <c r="N622" s="18"/>
      <c r="O622" s="18">
        <f>'RW predict'!H621</f>
        <v>-1</v>
      </c>
      <c r="P622" s="18">
        <f>'RW predict'!I621</f>
        <v>15</v>
      </c>
      <c r="Q622" s="18">
        <f>'RW predict'!L621</f>
        <v>0</v>
      </c>
      <c r="R622" s="18">
        <f>'RW predict'!N621</f>
        <v>0</v>
      </c>
      <c r="S622" s="76">
        <f>'RW predict'!O621</f>
        <v>0</v>
      </c>
      <c r="T622" s="76">
        <f>'RW predict'!K621</f>
        <v>0</v>
      </c>
      <c r="U622" s="22">
        <f>'RW predict'!J621</f>
        <v>98</v>
      </c>
      <c r="V622" s="32">
        <f>IF(D622="G",'RW predict'!E621,0)</f>
        <v>0</v>
      </c>
      <c r="W622" s="18">
        <f>'RW predict'!R621</f>
        <v>0</v>
      </c>
      <c r="X622" s="18">
        <f>'RW predict'!T621</f>
        <v>0</v>
      </c>
      <c r="Y622" s="18">
        <f>'RW predict'!Y621</f>
        <v>0</v>
      </c>
      <c r="Z622" s="18">
        <f>'RW predict'!U621</f>
        <v>0</v>
      </c>
      <c r="AA622" s="18">
        <f>'RW predict'!W621</f>
        <v>0</v>
      </c>
    </row>
    <row r="623" spans="1:27" x14ac:dyDescent="0.3">
      <c r="A623" s="18">
        <v>620</v>
      </c>
      <c r="B623" s="18" t="str">
        <f>'RW predict'!A622</f>
        <v>Dmitry Kulikov</v>
      </c>
      <c r="C623" s="18" t="str">
        <f>'RW predict'!B622</f>
        <v>ANH</v>
      </c>
      <c r="D623" s="22" t="str" cm="1">
        <f t="array" ref="D623">_xlfn.SWITCH('RW predict'!C622, "C", "F", "LW","F", "RW", "F", "D", "D", "G", "G", "other")</f>
        <v>D</v>
      </c>
      <c r="E623" s="32">
        <f t="shared" si="18"/>
        <v>700</v>
      </c>
      <c r="F623" s="35">
        <f>E623/assumptions!$B$2</f>
        <v>8.536585365853659</v>
      </c>
      <c r="G623" s="36">
        <f t="shared" si="19"/>
        <v>602</v>
      </c>
      <c r="H623" s="18">
        <f>IF(NOT(D623="G"),'RW predict'!E622,0)</f>
        <v>3</v>
      </c>
      <c r="I623" s="18">
        <f>'RW predict'!Q622</f>
        <v>56</v>
      </c>
      <c r="J623" s="18">
        <f>'RW predict'!F622</f>
        <v>7</v>
      </c>
      <c r="K623" s="18"/>
      <c r="L623" s="18"/>
      <c r="M623" s="18">
        <f>'RW predict'!P622</f>
        <v>61</v>
      </c>
      <c r="N623" s="18"/>
      <c r="O623" s="18">
        <f>'RW predict'!H622</f>
        <v>7</v>
      </c>
      <c r="P623" s="18">
        <f>'RW predict'!I622</f>
        <v>31</v>
      </c>
      <c r="Q623" s="18">
        <f>'RW predict'!L622</f>
        <v>0</v>
      </c>
      <c r="R623" s="18">
        <f>'RW predict'!N622</f>
        <v>0</v>
      </c>
      <c r="S623" s="76">
        <f>'RW predict'!O622</f>
        <v>0</v>
      </c>
      <c r="T623" s="76">
        <f>'RW predict'!K622</f>
        <v>1</v>
      </c>
      <c r="U623" s="22">
        <f>'RW predict'!J622</f>
        <v>47</v>
      </c>
      <c r="V623" s="32">
        <f>IF(D623="G",'RW predict'!E622,0)</f>
        <v>0</v>
      </c>
      <c r="W623" s="18">
        <f>'RW predict'!R622</f>
        <v>0</v>
      </c>
      <c r="X623" s="18">
        <f>'RW predict'!T622</f>
        <v>0</v>
      </c>
      <c r="Y623" s="18">
        <f>'RW predict'!Y622</f>
        <v>0</v>
      </c>
      <c r="Z623" s="18">
        <f>'RW predict'!U622</f>
        <v>0</v>
      </c>
      <c r="AA623" s="18">
        <f>'RW predict'!W622</f>
        <v>0</v>
      </c>
    </row>
    <row r="624" spans="1:27" x14ac:dyDescent="0.3">
      <c r="A624" s="18">
        <v>621</v>
      </c>
      <c r="B624" s="18" t="str">
        <f>'RW predict'!A623</f>
        <v>Patrik Nemeth</v>
      </c>
      <c r="C624" s="18" t="str">
        <f>'RW predict'!B623</f>
        <v>ARI</v>
      </c>
      <c r="D624" s="22" t="str" cm="1">
        <f t="array" ref="D624">_xlfn.SWITCH('RW predict'!C623, "C", "F", "LW","F", "RW", "F", "D", "D", "G", "G", "other")</f>
        <v>D</v>
      </c>
      <c r="E624" s="32">
        <f t="shared" si="18"/>
        <v>676</v>
      </c>
      <c r="F624" s="35">
        <f>E624/assumptions!$B$2</f>
        <v>8.2439024390243905</v>
      </c>
      <c r="G624" s="36">
        <f t="shared" si="19"/>
        <v>612</v>
      </c>
      <c r="H624" s="18">
        <f>IF(NOT(D624="G"),'RW predict'!E623,0)</f>
        <v>3</v>
      </c>
      <c r="I624" s="18">
        <f>'RW predict'!Q623</f>
        <v>106</v>
      </c>
      <c r="J624" s="18">
        <f>'RW predict'!F623</f>
        <v>7</v>
      </c>
      <c r="K624" s="18"/>
      <c r="L624" s="18"/>
      <c r="M624" s="18">
        <f>'RW predict'!P623</f>
        <v>118</v>
      </c>
      <c r="N624" s="18"/>
      <c r="O624" s="18">
        <f>'RW predict'!H623</f>
        <v>-12</v>
      </c>
      <c r="P624" s="18">
        <f>'RW predict'!I623</f>
        <v>28</v>
      </c>
      <c r="Q624" s="18">
        <f>'RW predict'!L623</f>
        <v>0</v>
      </c>
      <c r="R624" s="18">
        <f>'RW predict'!N623</f>
        <v>0</v>
      </c>
      <c r="S624" s="76">
        <f>'RW predict'!O623</f>
        <v>0</v>
      </c>
      <c r="T624" s="76">
        <f>'RW predict'!K623</f>
        <v>0</v>
      </c>
      <c r="U624" s="22">
        <f>'RW predict'!J623</f>
        <v>66</v>
      </c>
      <c r="V624" s="32">
        <f>IF(D624="G",'RW predict'!E623,0)</f>
        <v>0</v>
      </c>
      <c r="W624" s="18">
        <f>'RW predict'!R623</f>
        <v>0</v>
      </c>
      <c r="X624" s="18">
        <f>'RW predict'!T623</f>
        <v>0</v>
      </c>
      <c r="Y624" s="18">
        <f>'RW predict'!Y623</f>
        <v>0</v>
      </c>
      <c r="Z624" s="18">
        <f>'RW predict'!U623</f>
        <v>0</v>
      </c>
      <c r="AA624" s="18">
        <f>'RW predict'!W623</f>
        <v>0</v>
      </c>
    </row>
    <row r="625" spans="1:27" x14ac:dyDescent="0.3">
      <c r="A625" s="18">
        <v>622</v>
      </c>
      <c r="B625" s="18" t="str">
        <f>'RW predict'!A624</f>
        <v>Matt Martin</v>
      </c>
      <c r="C625" s="18" t="str">
        <f>'RW predict'!B624</f>
        <v>NYI</v>
      </c>
      <c r="D625" s="22" t="str" cm="1">
        <f t="array" ref="D625">_xlfn.SWITCH('RW predict'!C624, "C", "F", "LW","F", "RW", "F", "D", "D", "G", "G", "other")</f>
        <v>F</v>
      </c>
      <c r="E625" s="32">
        <f t="shared" si="18"/>
        <v>812</v>
      </c>
      <c r="F625" s="35">
        <f>E625/assumptions!$B$2</f>
        <v>9.9024390243902438</v>
      </c>
      <c r="G625" s="36">
        <f t="shared" si="19"/>
        <v>567</v>
      </c>
      <c r="H625" s="18">
        <f>IF(NOT(D625="G"),'RW predict'!E624,0)</f>
        <v>4</v>
      </c>
      <c r="I625" s="18">
        <f>'RW predict'!Q624</f>
        <v>25</v>
      </c>
      <c r="J625" s="18">
        <f>'RW predict'!F624</f>
        <v>5</v>
      </c>
      <c r="K625" s="18"/>
      <c r="L625" s="18"/>
      <c r="M625" s="18">
        <f>'RW predict'!P624</f>
        <v>242</v>
      </c>
      <c r="N625" s="18"/>
      <c r="O625" s="18">
        <f>'RW predict'!H624</f>
        <v>-2</v>
      </c>
      <c r="P625" s="18">
        <f>'RW predict'!I624</f>
        <v>61</v>
      </c>
      <c r="Q625" s="18">
        <f>'RW predict'!L624</f>
        <v>0</v>
      </c>
      <c r="R625" s="18">
        <f>'RW predict'!N624</f>
        <v>0</v>
      </c>
      <c r="S625" s="76">
        <f>'RW predict'!O624</f>
        <v>0</v>
      </c>
      <c r="T625" s="76">
        <f>'RW predict'!K624</f>
        <v>0</v>
      </c>
      <c r="U625" s="22">
        <f>'RW predict'!J624</f>
        <v>66</v>
      </c>
      <c r="V625" s="32">
        <f>IF(D625="G",'RW predict'!E624,0)</f>
        <v>0</v>
      </c>
      <c r="W625" s="18">
        <f>'RW predict'!R624</f>
        <v>0</v>
      </c>
      <c r="X625" s="18">
        <f>'RW predict'!T624</f>
        <v>0</v>
      </c>
      <c r="Y625" s="18">
        <f>'RW predict'!Y624</f>
        <v>0</v>
      </c>
      <c r="Z625" s="18">
        <f>'RW predict'!U624</f>
        <v>0</v>
      </c>
      <c r="AA625" s="18">
        <f>'RW predict'!W624</f>
        <v>0</v>
      </c>
    </row>
    <row r="626" spans="1:27" x14ac:dyDescent="0.3">
      <c r="A626" s="18">
        <v>623</v>
      </c>
      <c r="B626" s="18" t="str">
        <f>'RW predict'!A625</f>
        <v>Josh Leivo</v>
      </c>
      <c r="C626" s="18" t="str">
        <f>'RW predict'!B625</f>
        <v>STL</v>
      </c>
      <c r="D626" s="22" t="str" cm="1">
        <f t="array" ref="D626">_xlfn.SWITCH('RW predict'!C625, "C", "F", "LW","F", "RW", "F", "D", "D", "G", "G", "other")</f>
        <v>F</v>
      </c>
      <c r="E626" s="32">
        <f t="shared" si="18"/>
        <v>371</v>
      </c>
      <c r="F626" s="35">
        <f>E626/assumptions!$B$2</f>
        <v>4.524390243902439</v>
      </c>
      <c r="G626" s="36">
        <f t="shared" si="19"/>
        <v>736</v>
      </c>
      <c r="H626" s="18">
        <f>IF(NOT(D626="G"),'RW predict'!E625,0)</f>
        <v>4</v>
      </c>
      <c r="I626" s="18">
        <f>'RW predict'!Q625</f>
        <v>3</v>
      </c>
      <c r="J626" s="18">
        <f>'RW predict'!F625</f>
        <v>5</v>
      </c>
      <c r="K626" s="18"/>
      <c r="L626" s="18"/>
      <c r="M626" s="18">
        <f>'RW predict'!P625</f>
        <v>18</v>
      </c>
      <c r="N626" s="18"/>
      <c r="O626" s="18">
        <f>'RW predict'!H625</f>
        <v>1</v>
      </c>
      <c r="P626" s="18">
        <f>'RW predict'!I625</f>
        <v>6</v>
      </c>
      <c r="Q626" s="18">
        <f>'RW predict'!L625</f>
        <v>0</v>
      </c>
      <c r="R626" s="18">
        <f>'RW predict'!N625</f>
        <v>0</v>
      </c>
      <c r="S626" s="76">
        <f>'RW predict'!O625</f>
        <v>0</v>
      </c>
      <c r="T626" s="76">
        <f>'RW predict'!K625</f>
        <v>1</v>
      </c>
      <c r="U626" s="22">
        <f>'RW predict'!J625</f>
        <v>37</v>
      </c>
      <c r="V626" s="32">
        <f>IF(D626="G",'RW predict'!E625,0)</f>
        <v>0</v>
      </c>
      <c r="W626" s="18">
        <f>'RW predict'!R625</f>
        <v>0</v>
      </c>
      <c r="X626" s="18">
        <f>'RW predict'!T625</f>
        <v>0</v>
      </c>
      <c r="Y626" s="18">
        <f>'RW predict'!Y625</f>
        <v>0</v>
      </c>
      <c r="Z626" s="18">
        <f>'RW predict'!U625</f>
        <v>0</v>
      </c>
      <c r="AA626" s="18">
        <f>'RW predict'!W625</f>
        <v>0</v>
      </c>
    </row>
    <row r="627" spans="1:27" x14ac:dyDescent="0.3">
      <c r="A627" s="18">
        <v>624</v>
      </c>
      <c r="B627" s="18" t="str">
        <f>'RW predict'!A626</f>
        <v>Brad Richardson</v>
      </c>
      <c r="C627" s="18" t="str">
        <f>'RW predict'!B626</f>
        <v>FA</v>
      </c>
      <c r="D627" s="22" t="str" cm="1">
        <f t="array" ref="D627">_xlfn.SWITCH('RW predict'!C626, "C", "F", "LW","F", "RW", "F", "D", "D", "G", "G", "other")</f>
        <v>F</v>
      </c>
      <c r="E627" s="32">
        <f t="shared" si="18"/>
        <v>489</v>
      </c>
      <c r="F627" s="35">
        <f>E627/assumptions!$B$2</f>
        <v>5.9634146341463419</v>
      </c>
      <c r="G627" s="36">
        <f t="shared" si="19"/>
        <v>688</v>
      </c>
      <c r="H627" s="18">
        <f>IF(NOT(D627="G"),'RW predict'!E626,0)</f>
        <v>4</v>
      </c>
      <c r="I627" s="18">
        <f>'RW predict'!Q626</f>
        <v>21</v>
      </c>
      <c r="J627" s="18">
        <f>'RW predict'!F626</f>
        <v>5</v>
      </c>
      <c r="K627" s="18"/>
      <c r="L627" s="18"/>
      <c r="M627" s="18">
        <f>'RW predict'!P626</f>
        <v>55</v>
      </c>
      <c r="N627" s="18"/>
      <c r="O627" s="18">
        <f>'RW predict'!H626</f>
        <v>-1</v>
      </c>
      <c r="P627" s="18">
        <f>'RW predict'!I626</f>
        <v>29</v>
      </c>
      <c r="Q627" s="18">
        <f>'RW predict'!L626</f>
        <v>0</v>
      </c>
      <c r="R627" s="18">
        <f>'RW predict'!N626</f>
        <v>0</v>
      </c>
      <c r="S627" s="76">
        <f>'RW predict'!O626</f>
        <v>0</v>
      </c>
      <c r="T627" s="76">
        <f>'RW predict'!K626</f>
        <v>1</v>
      </c>
      <c r="U627" s="22">
        <f>'RW predict'!J626</f>
        <v>35</v>
      </c>
      <c r="V627" s="32">
        <f>IF(D627="G",'RW predict'!E626,0)</f>
        <v>0</v>
      </c>
      <c r="W627" s="18">
        <f>'RW predict'!R626</f>
        <v>0</v>
      </c>
      <c r="X627" s="18">
        <f>'RW predict'!T626</f>
        <v>0</v>
      </c>
      <c r="Y627" s="18">
        <f>'RW predict'!Y626</f>
        <v>0</v>
      </c>
      <c r="Z627" s="18">
        <f>'RW predict'!U626</f>
        <v>0</v>
      </c>
      <c r="AA627" s="18">
        <f>'RW predict'!W626</f>
        <v>0</v>
      </c>
    </row>
    <row r="628" spans="1:27" x14ac:dyDescent="0.3">
      <c r="A628" s="18">
        <v>625</v>
      </c>
      <c r="B628" s="18" t="str">
        <f>'RW predict'!A627</f>
        <v>Michael McCarron</v>
      </c>
      <c r="C628" s="18" t="str">
        <f>'RW predict'!B627</f>
        <v>NSH</v>
      </c>
      <c r="D628" s="22" t="str" cm="1">
        <f t="array" ref="D628">_xlfn.SWITCH('RW predict'!C627, "C", "F", "LW","F", "RW", "F", "D", "D", "G", "G", "other")</f>
        <v>F</v>
      </c>
      <c r="E628" s="32">
        <f t="shared" si="18"/>
        <v>752</v>
      </c>
      <c r="F628" s="35">
        <f>E628/assumptions!$B$2</f>
        <v>9.1707317073170724</v>
      </c>
      <c r="G628" s="36">
        <f t="shared" si="19"/>
        <v>585</v>
      </c>
      <c r="H628" s="18">
        <f>IF(NOT(D628="G"),'RW predict'!E627,0)</f>
        <v>4</v>
      </c>
      <c r="I628" s="18">
        <f>'RW predict'!Q627</f>
        <v>26</v>
      </c>
      <c r="J628" s="18">
        <f>'RW predict'!F627</f>
        <v>5</v>
      </c>
      <c r="K628" s="18"/>
      <c r="L628" s="18"/>
      <c r="M628" s="18">
        <f>'RW predict'!P627</f>
        <v>105</v>
      </c>
      <c r="N628" s="18"/>
      <c r="O628" s="18">
        <f>'RW predict'!H627</f>
        <v>7</v>
      </c>
      <c r="P628" s="18">
        <f>'RW predict'!I627</f>
        <v>64</v>
      </c>
      <c r="Q628" s="18">
        <f>'RW predict'!L627</f>
        <v>0</v>
      </c>
      <c r="R628" s="18">
        <f>'RW predict'!N627</f>
        <v>0</v>
      </c>
      <c r="S628" s="76">
        <f>'RW predict'!O627</f>
        <v>0</v>
      </c>
      <c r="T628" s="76">
        <f>'RW predict'!K627</f>
        <v>1</v>
      </c>
      <c r="U628" s="22">
        <f>'RW predict'!J627</f>
        <v>44</v>
      </c>
      <c r="V628" s="32">
        <f>IF(D628="G",'RW predict'!E627,0)</f>
        <v>0</v>
      </c>
      <c r="W628" s="18">
        <f>'RW predict'!R627</f>
        <v>0</v>
      </c>
      <c r="X628" s="18">
        <f>'RW predict'!T627</f>
        <v>0</v>
      </c>
      <c r="Y628" s="18">
        <f>'RW predict'!Y627</f>
        <v>0</v>
      </c>
      <c r="Z628" s="18">
        <f>'RW predict'!U627</f>
        <v>0</v>
      </c>
      <c r="AA628" s="18">
        <f>'RW predict'!W627</f>
        <v>0</v>
      </c>
    </row>
    <row r="629" spans="1:27" x14ac:dyDescent="0.3">
      <c r="A629" s="18">
        <v>626</v>
      </c>
      <c r="B629" s="18" t="str">
        <f>'RW predict'!A628</f>
        <v>Brad Hunt</v>
      </c>
      <c r="C629" s="18" t="str">
        <f>'RW predict'!B628</f>
        <v>COL</v>
      </c>
      <c r="D629" s="22" t="str" cm="1">
        <f t="array" ref="D629">_xlfn.SWITCH('RW predict'!C628, "C", "F", "LW","F", "RW", "F", "D", "D", "G", "G", "other")</f>
        <v>D</v>
      </c>
      <c r="E629" s="32">
        <f t="shared" si="18"/>
        <v>404</v>
      </c>
      <c r="F629" s="35">
        <f>E629/assumptions!$B$2</f>
        <v>4.9268292682926829</v>
      </c>
      <c r="G629" s="36">
        <f t="shared" si="19"/>
        <v>724</v>
      </c>
      <c r="H629" s="18">
        <f>IF(NOT(D629="G"),'RW predict'!E628,0)</f>
        <v>1</v>
      </c>
      <c r="I629" s="18">
        <f>'RW predict'!Q628</f>
        <v>22</v>
      </c>
      <c r="J629" s="18">
        <f>'RW predict'!F628</f>
        <v>8</v>
      </c>
      <c r="K629" s="18"/>
      <c r="L629" s="18"/>
      <c r="M629" s="18">
        <f>'RW predict'!P628</f>
        <v>9</v>
      </c>
      <c r="N629" s="18"/>
      <c r="O629" s="18">
        <f>'RW predict'!H628</f>
        <v>4</v>
      </c>
      <c r="P629" s="18">
        <f>'RW predict'!I628</f>
        <v>6</v>
      </c>
      <c r="Q629" s="18">
        <f>'RW predict'!L628</f>
        <v>0</v>
      </c>
      <c r="R629" s="18">
        <f>'RW predict'!N628</f>
        <v>0</v>
      </c>
      <c r="S629" s="76">
        <f>'RW predict'!O628</f>
        <v>0</v>
      </c>
      <c r="T629" s="76">
        <f>'RW predict'!K628</f>
        <v>0</v>
      </c>
      <c r="U629" s="22">
        <f>'RW predict'!J628</f>
        <v>34</v>
      </c>
      <c r="V629" s="32">
        <f>IF(D629="G",'RW predict'!E628,0)</f>
        <v>0</v>
      </c>
      <c r="W629" s="18">
        <f>'RW predict'!R628</f>
        <v>0</v>
      </c>
      <c r="X629" s="18">
        <f>'RW predict'!T628</f>
        <v>0</v>
      </c>
      <c r="Y629" s="18">
        <f>'RW predict'!Y628</f>
        <v>0</v>
      </c>
      <c r="Z629" s="18">
        <f>'RW predict'!U628</f>
        <v>0</v>
      </c>
      <c r="AA629" s="18">
        <f>'RW predict'!W628</f>
        <v>0</v>
      </c>
    </row>
    <row r="630" spans="1:27" x14ac:dyDescent="0.3">
      <c r="A630" s="18">
        <v>627</v>
      </c>
      <c r="B630" s="18" t="str">
        <f>'RW predict'!A629</f>
        <v>Devin Shore</v>
      </c>
      <c r="C630" s="18" t="str">
        <f>'RW predict'!B629</f>
        <v>EDM</v>
      </c>
      <c r="D630" s="22" t="str" cm="1">
        <f t="array" ref="D630">_xlfn.SWITCH('RW predict'!C629, "C", "F", "LW","F", "RW", "F", "D", "D", "G", "G", "other")</f>
        <v>F</v>
      </c>
      <c r="E630" s="32">
        <f t="shared" si="18"/>
        <v>340</v>
      </c>
      <c r="F630" s="35">
        <f>E630/assumptions!$B$2</f>
        <v>4.1463414634146343</v>
      </c>
      <c r="G630" s="36">
        <f t="shared" si="19"/>
        <v>754</v>
      </c>
      <c r="H630" s="18">
        <f>IF(NOT(D630="G"),'RW predict'!E629,0)</f>
        <v>4</v>
      </c>
      <c r="I630" s="18">
        <f>'RW predict'!Q629</f>
        <v>16</v>
      </c>
      <c r="J630" s="18">
        <f>'RW predict'!F629</f>
        <v>5</v>
      </c>
      <c r="K630" s="18"/>
      <c r="L630" s="18"/>
      <c r="M630" s="18">
        <f>'RW predict'!P629</f>
        <v>43</v>
      </c>
      <c r="N630" s="18"/>
      <c r="O630" s="18">
        <f>'RW predict'!H629</f>
        <v>-5</v>
      </c>
      <c r="P630" s="18">
        <f>'RW predict'!I629</f>
        <v>6</v>
      </c>
      <c r="Q630" s="18">
        <f>'RW predict'!L629</f>
        <v>0</v>
      </c>
      <c r="R630" s="18">
        <f>'RW predict'!N629</f>
        <v>1</v>
      </c>
      <c r="S630" s="76">
        <f>'RW predict'!O629</f>
        <v>0</v>
      </c>
      <c r="T630" s="76">
        <f>'RW predict'!K629</f>
        <v>0</v>
      </c>
      <c r="U630" s="22">
        <f>'RW predict'!J629</f>
        <v>26</v>
      </c>
      <c r="V630" s="32">
        <f>IF(D630="G",'RW predict'!E629,0)</f>
        <v>0</v>
      </c>
      <c r="W630" s="18">
        <f>'RW predict'!R629</f>
        <v>0</v>
      </c>
      <c r="X630" s="18">
        <f>'RW predict'!T629</f>
        <v>0</v>
      </c>
      <c r="Y630" s="18">
        <f>'RW predict'!Y629</f>
        <v>0</v>
      </c>
      <c r="Z630" s="18">
        <f>'RW predict'!U629</f>
        <v>0</v>
      </c>
      <c r="AA630" s="18">
        <f>'RW predict'!W629</f>
        <v>0</v>
      </c>
    </row>
    <row r="631" spans="1:27" x14ac:dyDescent="0.3">
      <c r="A631" s="18">
        <v>628</v>
      </c>
      <c r="B631" s="18" t="str">
        <f>'RW predict'!A630</f>
        <v>Jani Hakanpaa</v>
      </c>
      <c r="C631" s="18" t="str">
        <f>'RW predict'!B630</f>
        <v>DAL</v>
      </c>
      <c r="D631" s="22" t="str" cm="1">
        <f t="array" ref="D631">_xlfn.SWITCH('RW predict'!C630, "C", "F", "LW","F", "RW", "F", "D", "D", "G", "G", "other")</f>
        <v>D</v>
      </c>
      <c r="E631" s="32">
        <f t="shared" si="18"/>
        <v>1027</v>
      </c>
      <c r="F631" s="35">
        <f>E631/assumptions!$B$2</f>
        <v>12.524390243902438</v>
      </c>
      <c r="G631" s="36">
        <f t="shared" si="19"/>
        <v>475</v>
      </c>
      <c r="H631" s="18">
        <f>IF(NOT(D631="G"),'RW predict'!E630,0)</f>
        <v>2</v>
      </c>
      <c r="I631" s="18">
        <f>'RW predict'!Q630</f>
        <v>116</v>
      </c>
      <c r="J631" s="18">
        <f>'RW predict'!F630</f>
        <v>7</v>
      </c>
      <c r="K631" s="18"/>
      <c r="L631" s="18"/>
      <c r="M631" s="18">
        <f>'RW predict'!P630</f>
        <v>254</v>
      </c>
      <c r="N631" s="18"/>
      <c r="O631" s="18">
        <f>'RW predict'!H630</f>
        <v>2</v>
      </c>
      <c r="P631" s="18">
        <f>'RW predict'!I630</f>
        <v>46</v>
      </c>
      <c r="Q631" s="18">
        <f>'RW predict'!L630</f>
        <v>0</v>
      </c>
      <c r="R631" s="18">
        <f>'RW predict'!N630</f>
        <v>0</v>
      </c>
      <c r="S631" s="76">
        <f>'RW predict'!O630</f>
        <v>1</v>
      </c>
      <c r="T631" s="76">
        <f>'RW predict'!K630</f>
        <v>0</v>
      </c>
      <c r="U631" s="22">
        <f>'RW predict'!J630</f>
        <v>74</v>
      </c>
      <c r="V631" s="32">
        <f>IF(D631="G",'RW predict'!E630,0)</f>
        <v>0</v>
      </c>
      <c r="W631" s="18">
        <f>'RW predict'!R630</f>
        <v>0</v>
      </c>
      <c r="X631" s="18">
        <f>'RW predict'!T630</f>
        <v>0</v>
      </c>
      <c r="Y631" s="18">
        <f>'RW predict'!Y630</f>
        <v>0</v>
      </c>
      <c r="Z631" s="18">
        <f>'RW predict'!U630</f>
        <v>0</v>
      </c>
      <c r="AA631" s="18">
        <f>'RW predict'!W630</f>
        <v>0</v>
      </c>
    </row>
    <row r="632" spans="1:27" x14ac:dyDescent="0.3">
      <c r="A632" s="18">
        <v>629</v>
      </c>
      <c r="B632" s="18" t="str">
        <f>'RW predict'!A631</f>
        <v>Antoine Roussel</v>
      </c>
      <c r="C632" s="18" t="str">
        <f>'RW predict'!B631</f>
        <v>FA</v>
      </c>
      <c r="D632" s="22" t="str" cm="1">
        <f t="array" ref="D632">_xlfn.SWITCH('RW predict'!C631, "C", "F", "LW","F", "RW", "F", "D", "D", "G", "G", "other")</f>
        <v>F</v>
      </c>
      <c r="E632" s="32">
        <f t="shared" si="18"/>
        <v>551</v>
      </c>
      <c r="F632" s="35">
        <f>E632/assumptions!$B$2</f>
        <v>6.7195121951219514</v>
      </c>
      <c r="G632" s="36">
        <f t="shared" si="19"/>
        <v>659</v>
      </c>
      <c r="H632" s="18">
        <f>IF(NOT(D632="G"),'RW predict'!E631,0)</f>
        <v>4</v>
      </c>
      <c r="I632" s="18">
        <f>'RW predict'!Q631</f>
        <v>31</v>
      </c>
      <c r="J632" s="18">
        <f>'RW predict'!F631</f>
        <v>5</v>
      </c>
      <c r="K632" s="18"/>
      <c r="L632" s="18"/>
      <c r="M632" s="18">
        <f>'RW predict'!P631</f>
        <v>74</v>
      </c>
      <c r="N632" s="18"/>
      <c r="O632" s="18">
        <f>'RW predict'!H631</f>
        <v>-11</v>
      </c>
      <c r="P632" s="18">
        <f>'RW predict'!I631</f>
        <v>56</v>
      </c>
      <c r="Q632" s="18">
        <f>'RW predict'!L631</f>
        <v>0</v>
      </c>
      <c r="R632" s="18">
        <f>'RW predict'!N631</f>
        <v>0</v>
      </c>
      <c r="S632" s="76">
        <f>'RW predict'!O631</f>
        <v>0</v>
      </c>
      <c r="T632" s="76">
        <f>'RW predict'!K631</f>
        <v>1</v>
      </c>
      <c r="U632" s="22">
        <f>'RW predict'!J631</f>
        <v>56</v>
      </c>
      <c r="V632" s="32">
        <f>IF(D632="G",'RW predict'!E631,0)</f>
        <v>0</v>
      </c>
      <c r="W632" s="18">
        <f>'RW predict'!R631</f>
        <v>0</v>
      </c>
      <c r="X632" s="18">
        <f>'RW predict'!T631</f>
        <v>0</v>
      </c>
      <c r="Y632" s="18">
        <f>'RW predict'!Y631</f>
        <v>0</v>
      </c>
      <c r="Z632" s="18">
        <f>'RW predict'!U631</f>
        <v>0</v>
      </c>
      <c r="AA632" s="18">
        <f>'RW predict'!W631</f>
        <v>0</v>
      </c>
    </row>
    <row r="633" spans="1:27" x14ac:dyDescent="0.3">
      <c r="A633" s="18">
        <v>630</v>
      </c>
      <c r="B633" s="18" t="str">
        <f>'RW predict'!A632</f>
        <v>Michael Amadio</v>
      </c>
      <c r="C633" s="18" t="str">
        <f>'RW predict'!B632</f>
        <v>VGK</v>
      </c>
      <c r="D633" s="22" t="str" cm="1">
        <f t="array" ref="D633">_xlfn.SWITCH('RW predict'!C632, "C", "F", "LW","F", "RW", "F", "D", "D", "G", "G", "other")</f>
        <v>F</v>
      </c>
      <c r="E633" s="32">
        <f t="shared" si="18"/>
        <v>468</v>
      </c>
      <c r="F633" s="35">
        <f>E633/assumptions!$B$2</f>
        <v>5.7073170731707314</v>
      </c>
      <c r="G633" s="36">
        <f t="shared" si="19"/>
        <v>700</v>
      </c>
      <c r="H633" s="18">
        <f>IF(NOT(D633="G"),'RW predict'!E632,0)</f>
        <v>4</v>
      </c>
      <c r="I633" s="18">
        <f>'RW predict'!Q632</f>
        <v>13</v>
      </c>
      <c r="J633" s="18">
        <f>'RW predict'!F632</f>
        <v>5</v>
      </c>
      <c r="K633" s="18"/>
      <c r="L633" s="18"/>
      <c r="M633" s="18">
        <f>'RW predict'!P632</f>
        <v>27</v>
      </c>
      <c r="N633" s="18"/>
      <c r="O633" s="18">
        <f>'RW predict'!H632</f>
        <v>-1</v>
      </c>
      <c r="P633" s="18">
        <f>'RW predict'!I632</f>
        <v>14</v>
      </c>
      <c r="Q633" s="18">
        <f>'RW predict'!L632</f>
        <v>0</v>
      </c>
      <c r="R633" s="18">
        <f>'RW predict'!N632</f>
        <v>0</v>
      </c>
      <c r="S633" s="76">
        <f>'RW predict'!O632</f>
        <v>0</v>
      </c>
      <c r="T633" s="76">
        <f>'RW predict'!K632</f>
        <v>1</v>
      </c>
      <c r="U633" s="22">
        <f>'RW predict'!J632</f>
        <v>69</v>
      </c>
      <c r="V633" s="32">
        <f>IF(D633="G",'RW predict'!E632,0)</f>
        <v>0</v>
      </c>
      <c r="W633" s="18">
        <f>'RW predict'!R632</f>
        <v>0</v>
      </c>
      <c r="X633" s="18">
        <f>'RW predict'!T632</f>
        <v>0</v>
      </c>
      <c r="Y633" s="18">
        <f>'RW predict'!Y632</f>
        <v>0</v>
      </c>
      <c r="Z633" s="18">
        <f>'RW predict'!U632</f>
        <v>0</v>
      </c>
      <c r="AA633" s="18">
        <f>'RW predict'!W632</f>
        <v>0</v>
      </c>
    </row>
    <row r="634" spans="1:27" x14ac:dyDescent="0.3">
      <c r="A634" s="18">
        <v>631</v>
      </c>
      <c r="B634" s="18" t="str">
        <f>'RW predict'!A633</f>
        <v>Boris Katchouk</v>
      </c>
      <c r="C634" s="18" t="str">
        <f>'RW predict'!B633</f>
        <v>CHI</v>
      </c>
      <c r="D634" s="22" t="str" cm="1">
        <f t="array" ref="D634">_xlfn.SWITCH('RW predict'!C633, "C", "F", "LW","F", "RW", "F", "D", "D", "G", "G", "other")</f>
        <v>F</v>
      </c>
      <c r="E634" s="32">
        <f t="shared" si="18"/>
        <v>603</v>
      </c>
      <c r="F634" s="35">
        <f>E634/assumptions!$B$2</f>
        <v>7.3536585365853657</v>
      </c>
      <c r="G634" s="36">
        <f t="shared" si="19"/>
        <v>636</v>
      </c>
      <c r="H634" s="18">
        <f>IF(NOT(D634="G"),'RW predict'!E633,0)</f>
        <v>3</v>
      </c>
      <c r="I634" s="18">
        <f>'RW predict'!Q633</f>
        <v>20</v>
      </c>
      <c r="J634" s="18">
        <f>'RW predict'!F633</f>
        <v>6</v>
      </c>
      <c r="K634" s="18"/>
      <c r="L634" s="18"/>
      <c r="M634" s="18">
        <f>'RW predict'!P633</f>
        <v>134</v>
      </c>
      <c r="N634" s="18"/>
      <c r="O634" s="18">
        <f>'RW predict'!H633</f>
        <v>-8</v>
      </c>
      <c r="P634" s="18">
        <f>'RW predict'!I633</f>
        <v>44</v>
      </c>
      <c r="Q634" s="18">
        <f>'RW predict'!L633</f>
        <v>0</v>
      </c>
      <c r="R634" s="18">
        <f>'RW predict'!N633</f>
        <v>0</v>
      </c>
      <c r="S634" s="76">
        <f>'RW predict'!O633</f>
        <v>0</v>
      </c>
      <c r="T634" s="76">
        <f>'RW predict'!K633</f>
        <v>1</v>
      </c>
      <c r="U634" s="22">
        <f>'RW predict'!J633</f>
        <v>66</v>
      </c>
      <c r="V634" s="32">
        <f>IF(D634="G",'RW predict'!E633,0)</f>
        <v>0</v>
      </c>
      <c r="W634" s="18">
        <f>'RW predict'!R633</f>
        <v>0</v>
      </c>
      <c r="X634" s="18">
        <f>'RW predict'!T633</f>
        <v>0</v>
      </c>
      <c r="Y634" s="18">
        <f>'RW predict'!Y633</f>
        <v>0</v>
      </c>
      <c r="Z634" s="18">
        <f>'RW predict'!U633</f>
        <v>0</v>
      </c>
      <c r="AA634" s="18">
        <f>'RW predict'!W633</f>
        <v>0</v>
      </c>
    </row>
    <row r="635" spans="1:27" x14ac:dyDescent="0.3">
      <c r="A635" s="18">
        <v>632</v>
      </c>
      <c r="B635" s="18" t="str">
        <f>'RW predict'!A634</f>
        <v>Michal Kempny</v>
      </c>
      <c r="C635" s="18" t="str">
        <f>'RW predict'!B634</f>
        <v>SEA</v>
      </c>
      <c r="D635" s="22" t="str" cm="1">
        <f t="array" ref="D635">_xlfn.SWITCH('RW predict'!C634, "C", "F", "LW","F", "RW", "F", "D", "D", "G", "G", "other")</f>
        <v>D</v>
      </c>
      <c r="E635" s="32">
        <f t="shared" si="18"/>
        <v>514</v>
      </c>
      <c r="F635" s="35">
        <f>E635/assumptions!$B$2</f>
        <v>6.2682926829268295</v>
      </c>
      <c r="G635" s="36">
        <f t="shared" si="19"/>
        <v>677</v>
      </c>
      <c r="H635" s="18">
        <f>IF(NOT(D635="G"),'RW predict'!E634,0)</f>
        <v>2</v>
      </c>
      <c r="I635" s="18">
        <f>'RW predict'!Q634</f>
        <v>49</v>
      </c>
      <c r="J635" s="18">
        <f>'RW predict'!F634</f>
        <v>7</v>
      </c>
      <c r="K635" s="18"/>
      <c r="L635" s="18"/>
      <c r="M635" s="18">
        <f>'RW predict'!P634</f>
        <v>45</v>
      </c>
      <c r="N635" s="18"/>
      <c r="O635" s="18">
        <f>'RW predict'!H634</f>
        <v>-3</v>
      </c>
      <c r="P635" s="18">
        <f>'RW predict'!I634</f>
        <v>30</v>
      </c>
      <c r="Q635" s="18">
        <f>'RW predict'!L634</f>
        <v>0</v>
      </c>
      <c r="R635" s="18">
        <f>'RW predict'!N634</f>
        <v>0</v>
      </c>
      <c r="S635" s="76">
        <f>'RW predict'!O634</f>
        <v>0</v>
      </c>
      <c r="T635" s="76">
        <f>'RW predict'!K634</f>
        <v>0</v>
      </c>
      <c r="U635" s="22">
        <f>'RW predict'!J634</f>
        <v>43</v>
      </c>
      <c r="V635" s="32">
        <f>IF(D635="G",'RW predict'!E634,0)</f>
        <v>0</v>
      </c>
      <c r="W635" s="18">
        <f>'RW predict'!R634</f>
        <v>0</v>
      </c>
      <c r="X635" s="18">
        <f>'RW predict'!T634</f>
        <v>0</v>
      </c>
      <c r="Y635" s="18">
        <f>'RW predict'!Y634</f>
        <v>0</v>
      </c>
      <c r="Z635" s="18">
        <f>'RW predict'!U634</f>
        <v>0</v>
      </c>
      <c r="AA635" s="18">
        <f>'RW predict'!W634</f>
        <v>0</v>
      </c>
    </row>
    <row r="636" spans="1:27" x14ac:dyDescent="0.3">
      <c r="A636" s="18">
        <v>633</v>
      </c>
      <c r="B636" s="18" t="str">
        <f>'RW predict'!A635</f>
        <v>Dean Kukan</v>
      </c>
      <c r="C636" s="18" t="str">
        <f>'RW predict'!B635</f>
        <v>FA</v>
      </c>
      <c r="D636" s="22" t="str" cm="1">
        <f t="array" ref="D636">_xlfn.SWITCH('RW predict'!C635, "C", "F", "LW","F", "RW", "F", "D", "D", "G", "G", "other")</f>
        <v>D</v>
      </c>
      <c r="E636" s="32">
        <f t="shared" si="18"/>
        <v>436</v>
      </c>
      <c r="F636" s="35">
        <f>E636/assumptions!$B$2</f>
        <v>5.3170731707317076</v>
      </c>
      <c r="G636" s="36">
        <f t="shared" si="19"/>
        <v>712</v>
      </c>
      <c r="H636" s="18">
        <f>IF(NOT(D636="G"),'RW predict'!E635,0)</f>
        <v>2</v>
      </c>
      <c r="I636" s="18">
        <f>'RW predict'!Q635</f>
        <v>40</v>
      </c>
      <c r="J636" s="18">
        <f>'RW predict'!F635</f>
        <v>7</v>
      </c>
      <c r="K636" s="18"/>
      <c r="L636" s="18"/>
      <c r="M636" s="18">
        <f>'RW predict'!P635</f>
        <v>42</v>
      </c>
      <c r="N636" s="18"/>
      <c r="O636" s="18">
        <f>'RW predict'!H635</f>
        <v>-4</v>
      </c>
      <c r="P636" s="18">
        <f>'RW predict'!I635</f>
        <v>15</v>
      </c>
      <c r="Q636" s="18">
        <f>'RW predict'!L635</f>
        <v>0</v>
      </c>
      <c r="R636" s="18">
        <f>'RW predict'!N635</f>
        <v>0</v>
      </c>
      <c r="S636" s="76">
        <f>'RW predict'!O635</f>
        <v>0</v>
      </c>
      <c r="T636" s="76">
        <f>'RW predict'!K635</f>
        <v>0</v>
      </c>
      <c r="U636" s="22">
        <f>'RW predict'!J635</f>
        <v>42</v>
      </c>
      <c r="V636" s="32">
        <f>IF(D636="G",'RW predict'!E635,0)</f>
        <v>0</v>
      </c>
      <c r="W636" s="18">
        <f>'RW predict'!R635</f>
        <v>0</v>
      </c>
      <c r="X636" s="18">
        <f>'RW predict'!T635</f>
        <v>0</v>
      </c>
      <c r="Y636" s="18">
        <f>'RW predict'!Y635</f>
        <v>0</v>
      </c>
      <c r="Z636" s="18">
        <f>'RW predict'!U635</f>
        <v>0</v>
      </c>
      <c r="AA636" s="18">
        <f>'RW predict'!W635</f>
        <v>0</v>
      </c>
    </row>
    <row r="637" spans="1:27" x14ac:dyDescent="0.3">
      <c r="A637" s="18">
        <v>634</v>
      </c>
      <c r="B637" s="18" t="str">
        <f>'RW predict'!A636</f>
        <v>Dominic Toninato</v>
      </c>
      <c r="C637" s="18" t="str">
        <f>'RW predict'!B636</f>
        <v>WPG</v>
      </c>
      <c r="D637" s="22" t="str" cm="1">
        <f t="array" ref="D637">_xlfn.SWITCH('RW predict'!C636, "C", "F", "LW","F", "RW", "F", "D", "D", "G", "G", "other")</f>
        <v>F</v>
      </c>
      <c r="E637" s="32">
        <f t="shared" si="18"/>
        <v>556</v>
      </c>
      <c r="F637" s="35">
        <f>E637/assumptions!$B$2</f>
        <v>6.7804878048780486</v>
      </c>
      <c r="G637" s="36">
        <f t="shared" si="19"/>
        <v>655</v>
      </c>
      <c r="H637" s="18">
        <f>IF(NOT(D637="G"),'RW predict'!E636,0)</f>
        <v>4</v>
      </c>
      <c r="I637" s="18">
        <f>'RW predict'!Q636</f>
        <v>22</v>
      </c>
      <c r="J637" s="18">
        <f>'RW predict'!F636</f>
        <v>5</v>
      </c>
      <c r="K637" s="18"/>
      <c r="L637" s="18"/>
      <c r="M637" s="18">
        <f>'RW predict'!P636</f>
        <v>61</v>
      </c>
      <c r="N637" s="18"/>
      <c r="O637" s="18">
        <f>'RW predict'!H636</f>
        <v>1</v>
      </c>
      <c r="P637" s="18">
        <f>'RW predict'!I636</f>
        <v>24</v>
      </c>
      <c r="Q637" s="18">
        <f>'RW predict'!L636</f>
        <v>0</v>
      </c>
      <c r="R637" s="18">
        <f>'RW predict'!N636</f>
        <v>1</v>
      </c>
      <c r="S637" s="76">
        <f>'RW predict'!O636</f>
        <v>2</v>
      </c>
      <c r="T637" s="76">
        <f>'RW predict'!K636</f>
        <v>1</v>
      </c>
      <c r="U637" s="22">
        <f>'RW predict'!J636</f>
        <v>42</v>
      </c>
      <c r="V637" s="32">
        <f>IF(D637="G",'RW predict'!E636,0)</f>
        <v>0</v>
      </c>
      <c r="W637" s="18">
        <f>'RW predict'!R636</f>
        <v>0</v>
      </c>
      <c r="X637" s="18">
        <f>'RW predict'!T636</f>
        <v>0</v>
      </c>
      <c r="Y637" s="18">
        <f>'RW predict'!Y636</f>
        <v>0</v>
      </c>
      <c r="Z637" s="18">
        <f>'RW predict'!U636</f>
        <v>0</v>
      </c>
      <c r="AA637" s="18">
        <f>'RW predict'!W636</f>
        <v>0</v>
      </c>
    </row>
    <row r="638" spans="1:27" x14ac:dyDescent="0.3">
      <c r="A638" s="18">
        <v>635</v>
      </c>
      <c r="B638" s="18" t="str">
        <f>'RW predict'!A637</f>
        <v>Marian Studenic</v>
      </c>
      <c r="C638" s="18" t="str">
        <f>'RW predict'!B637</f>
        <v>DAL</v>
      </c>
      <c r="D638" s="22" t="str" cm="1">
        <f t="array" ref="D638">_xlfn.SWITCH('RW predict'!C637, "C", "F", "LW","F", "RW", "F", "D", "D", "G", "G", "other")</f>
        <v>F</v>
      </c>
      <c r="E638" s="32">
        <f t="shared" si="18"/>
        <v>387</v>
      </c>
      <c r="F638" s="35">
        <f>E638/assumptions!$B$2</f>
        <v>4.7195121951219514</v>
      </c>
      <c r="G638" s="36">
        <f t="shared" si="19"/>
        <v>729</v>
      </c>
      <c r="H638" s="18">
        <f>IF(NOT(D638="G"),'RW predict'!E637,0)</f>
        <v>4</v>
      </c>
      <c r="I638" s="18">
        <f>'RW predict'!Q637</f>
        <v>19</v>
      </c>
      <c r="J638" s="18">
        <f>'RW predict'!F637</f>
        <v>5</v>
      </c>
      <c r="K638" s="18"/>
      <c r="L638" s="18"/>
      <c r="M638" s="18">
        <f>'RW predict'!P637</f>
        <v>36</v>
      </c>
      <c r="N638" s="18"/>
      <c r="O638" s="18">
        <f>'RW predict'!H637</f>
        <v>-7</v>
      </c>
      <c r="P638" s="18">
        <f>'RW predict'!I637</f>
        <v>8</v>
      </c>
      <c r="Q638" s="18">
        <f>'RW predict'!L637</f>
        <v>0</v>
      </c>
      <c r="R638" s="18">
        <f>'RW predict'!N637</f>
        <v>0</v>
      </c>
      <c r="S638" s="76">
        <f>'RW predict'!O637</f>
        <v>0</v>
      </c>
      <c r="T638" s="76">
        <f>'RW predict'!K637</f>
        <v>1</v>
      </c>
      <c r="U638" s="22">
        <f>'RW predict'!J637</f>
        <v>57</v>
      </c>
      <c r="V638" s="32">
        <f>IF(D638="G",'RW predict'!E637,0)</f>
        <v>0</v>
      </c>
      <c r="W638" s="18">
        <f>'RW predict'!R637</f>
        <v>0</v>
      </c>
      <c r="X638" s="18">
        <f>'RW predict'!T637</f>
        <v>0</v>
      </c>
      <c r="Y638" s="18">
        <f>'RW predict'!Y637</f>
        <v>0</v>
      </c>
      <c r="Z638" s="18">
        <f>'RW predict'!U637</f>
        <v>0</v>
      </c>
      <c r="AA638" s="18">
        <f>'RW predict'!W637</f>
        <v>0</v>
      </c>
    </row>
    <row r="639" spans="1:27" x14ac:dyDescent="0.3">
      <c r="A639" s="18">
        <v>636</v>
      </c>
      <c r="B639" s="18" t="str">
        <f>'RW predict'!A638</f>
        <v>Justin Barron</v>
      </c>
      <c r="C639" s="18" t="str">
        <f>'RW predict'!B638</f>
        <v>MON</v>
      </c>
      <c r="D639" s="22" t="str" cm="1">
        <f t="array" ref="D639">_xlfn.SWITCH('RW predict'!C638, "C", "F", "LW","F", "RW", "F", "D", "D", "G", "G", "other")</f>
        <v>D</v>
      </c>
      <c r="E639" s="32">
        <f t="shared" si="18"/>
        <v>402</v>
      </c>
      <c r="F639" s="35">
        <f>E639/assumptions!$B$2</f>
        <v>4.9024390243902438</v>
      </c>
      <c r="G639" s="36">
        <f t="shared" si="19"/>
        <v>725</v>
      </c>
      <c r="H639" s="18">
        <f>IF(NOT(D639="G"),'RW predict'!E638,0)</f>
        <v>2</v>
      </c>
      <c r="I639" s="18">
        <f>'RW predict'!Q638</f>
        <v>28</v>
      </c>
      <c r="J639" s="18">
        <f>'RW predict'!F638</f>
        <v>7</v>
      </c>
      <c r="K639" s="18"/>
      <c r="L639" s="18"/>
      <c r="M639" s="18">
        <f>'RW predict'!P638</f>
        <v>25</v>
      </c>
      <c r="N639" s="18"/>
      <c r="O639" s="18">
        <f>'RW predict'!H638</f>
        <v>-8</v>
      </c>
      <c r="P639" s="18">
        <f>'RW predict'!I638</f>
        <v>10</v>
      </c>
      <c r="Q639" s="18">
        <f>'RW predict'!L638</f>
        <v>0</v>
      </c>
      <c r="R639" s="18">
        <f>'RW predict'!N638</f>
        <v>0</v>
      </c>
      <c r="S639" s="76">
        <f>'RW predict'!O638</f>
        <v>0</v>
      </c>
      <c r="T639" s="76">
        <f>'RW predict'!K638</f>
        <v>0</v>
      </c>
      <c r="U639" s="22">
        <f>'RW predict'!J638</f>
        <v>73</v>
      </c>
      <c r="V639" s="32">
        <f>IF(D639="G",'RW predict'!E638,0)</f>
        <v>0</v>
      </c>
      <c r="W639" s="18">
        <f>'RW predict'!R638</f>
        <v>0</v>
      </c>
      <c r="X639" s="18">
        <f>'RW predict'!T638</f>
        <v>0</v>
      </c>
      <c r="Y639" s="18">
        <f>'RW predict'!Y638</f>
        <v>0</v>
      </c>
      <c r="Z639" s="18">
        <f>'RW predict'!U638</f>
        <v>0</v>
      </c>
      <c r="AA639" s="18">
        <f>'RW predict'!W638</f>
        <v>0</v>
      </c>
    </row>
    <row r="640" spans="1:27" x14ac:dyDescent="0.3">
      <c r="A640" s="18">
        <v>637</v>
      </c>
      <c r="B640" s="18" t="str">
        <f>'RW predict'!A639</f>
        <v>Corey Schueneman</v>
      </c>
      <c r="C640" s="18" t="str">
        <f>'RW predict'!B639</f>
        <v>MON</v>
      </c>
      <c r="D640" s="22" t="str" cm="1">
        <f t="array" ref="D640">_xlfn.SWITCH('RW predict'!C639, "C", "F", "LW","F", "RW", "F", "D", "D", "G", "G", "other")</f>
        <v>D</v>
      </c>
      <c r="E640" s="32">
        <f t="shared" si="18"/>
        <v>464</v>
      </c>
      <c r="F640" s="35">
        <f>E640/assumptions!$B$2</f>
        <v>5.6585365853658534</v>
      </c>
      <c r="G640" s="36">
        <f t="shared" si="19"/>
        <v>701</v>
      </c>
      <c r="H640" s="18">
        <f>IF(NOT(D640="G"),'RW predict'!E639,0)</f>
        <v>3</v>
      </c>
      <c r="I640" s="18">
        <f>'RW predict'!Q639</f>
        <v>84</v>
      </c>
      <c r="J640" s="18">
        <f>'RW predict'!F639</f>
        <v>6</v>
      </c>
      <c r="K640" s="18"/>
      <c r="L640" s="18"/>
      <c r="M640" s="18">
        <f>'RW predict'!P639</f>
        <v>33</v>
      </c>
      <c r="N640" s="18"/>
      <c r="O640" s="18">
        <f>'RW predict'!H639</f>
        <v>-13</v>
      </c>
      <c r="P640" s="18">
        <f>'RW predict'!I639</f>
        <v>20</v>
      </c>
      <c r="Q640" s="18">
        <f>'RW predict'!L639</f>
        <v>0</v>
      </c>
      <c r="R640" s="18">
        <f>'RW predict'!N639</f>
        <v>0</v>
      </c>
      <c r="S640" s="76">
        <f>'RW predict'!O639</f>
        <v>0</v>
      </c>
      <c r="T640" s="76">
        <f>'RW predict'!K639</f>
        <v>0</v>
      </c>
      <c r="U640" s="22">
        <f>'RW predict'!J639</f>
        <v>54</v>
      </c>
      <c r="V640" s="32">
        <f>IF(D640="G",'RW predict'!E639,0)</f>
        <v>0</v>
      </c>
      <c r="W640" s="18">
        <f>'RW predict'!R639</f>
        <v>0</v>
      </c>
      <c r="X640" s="18">
        <f>'RW predict'!T639</f>
        <v>0</v>
      </c>
      <c r="Y640" s="18">
        <f>'RW predict'!Y639</f>
        <v>0</v>
      </c>
      <c r="Z640" s="18">
        <f>'RW predict'!U639</f>
        <v>0</v>
      </c>
      <c r="AA640" s="18">
        <f>'RW predict'!W639</f>
        <v>0</v>
      </c>
    </row>
    <row r="641" spans="1:27" x14ac:dyDescent="0.3">
      <c r="A641" s="18">
        <v>638</v>
      </c>
      <c r="B641" s="18" t="str">
        <f>'RW predict'!A640</f>
        <v>Jan Jenik</v>
      </c>
      <c r="C641" s="18" t="str">
        <f>'RW predict'!B640</f>
        <v>ARI</v>
      </c>
      <c r="D641" s="22" t="str" cm="1">
        <f t="array" ref="D641">_xlfn.SWITCH('RW predict'!C640, "C", "F", "LW","F", "RW", "F", "D", "D", "G", "G", "other")</f>
        <v>F</v>
      </c>
      <c r="E641" s="32">
        <f t="shared" si="18"/>
        <v>347</v>
      </c>
      <c r="F641" s="35">
        <f>E641/assumptions!$B$2</f>
        <v>4.2317073170731705</v>
      </c>
      <c r="G641" s="36">
        <f t="shared" si="19"/>
        <v>749</v>
      </c>
      <c r="H641" s="18">
        <f>IF(NOT(D641="G"),'RW predict'!E640,0)</f>
        <v>5</v>
      </c>
      <c r="I641" s="18">
        <f>'RW predict'!Q640</f>
        <v>9</v>
      </c>
      <c r="J641" s="18">
        <f>'RW predict'!F640</f>
        <v>4</v>
      </c>
      <c r="K641" s="18"/>
      <c r="L641" s="18"/>
      <c r="M641" s="18">
        <f>'RW predict'!P640</f>
        <v>54</v>
      </c>
      <c r="N641" s="18"/>
      <c r="O641" s="18">
        <f>'RW predict'!H640</f>
        <v>-5</v>
      </c>
      <c r="P641" s="18">
        <f>'RW predict'!I640</f>
        <v>14</v>
      </c>
      <c r="Q641" s="18">
        <f>'RW predict'!L640</f>
        <v>0</v>
      </c>
      <c r="R641" s="18">
        <f>'RW predict'!N640</f>
        <v>0</v>
      </c>
      <c r="S641" s="76">
        <f>'RW predict'!O640</f>
        <v>0</v>
      </c>
      <c r="T641" s="76">
        <f>'RW predict'!K640</f>
        <v>0</v>
      </c>
      <c r="U641" s="22">
        <f>'RW predict'!J640</f>
        <v>29</v>
      </c>
      <c r="V641" s="32">
        <f>IF(D641="G",'RW predict'!E640,0)</f>
        <v>0</v>
      </c>
      <c r="W641" s="18">
        <f>'RW predict'!R640</f>
        <v>0</v>
      </c>
      <c r="X641" s="18">
        <f>'RW predict'!T640</f>
        <v>0</v>
      </c>
      <c r="Y641" s="18">
        <f>'RW predict'!Y640</f>
        <v>0</v>
      </c>
      <c r="Z641" s="18">
        <f>'RW predict'!U640</f>
        <v>0</v>
      </c>
      <c r="AA641" s="18">
        <f>'RW predict'!W640</f>
        <v>0</v>
      </c>
    </row>
    <row r="642" spans="1:27" x14ac:dyDescent="0.3">
      <c r="A642" s="18">
        <v>639</v>
      </c>
      <c r="B642" s="18" t="str">
        <f>'RW predict'!A641</f>
        <v>Alex Vlasic</v>
      </c>
      <c r="C642" s="18" t="str">
        <f>'RW predict'!B641</f>
        <v>CHI</v>
      </c>
      <c r="D642" s="22" t="str" cm="1">
        <f t="array" ref="D642">_xlfn.SWITCH('RW predict'!C641, "C", "F", "LW","F", "RW", "F", "D", "D", "G", "G", "other")</f>
        <v>D</v>
      </c>
      <c r="E642" s="32">
        <f t="shared" si="18"/>
        <v>311</v>
      </c>
      <c r="F642" s="35">
        <f>E642/assumptions!$B$2</f>
        <v>3.7926829268292681</v>
      </c>
      <c r="G642" s="36">
        <f t="shared" si="19"/>
        <v>764</v>
      </c>
      <c r="H642" s="18">
        <f>IF(NOT(D642="G"),'RW predict'!E641,0)</f>
        <v>2</v>
      </c>
      <c r="I642" s="18">
        <f>'RW predict'!Q641</f>
        <v>17</v>
      </c>
      <c r="J642" s="18">
        <f>'RW predict'!F641</f>
        <v>7</v>
      </c>
      <c r="K642" s="18"/>
      <c r="L642" s="18"/>
      <c r="M642" s="18">
        <f>'RW predict'!P641</f>
        <v>16</v>
      </c>
      <c r="N642" s="18"/>
      <c r="O642" s="18">
        <f>'RW predict'!H641</f>
        <v>-2</v>
      </c>
      <c r="P642" s="18">
        <f>'RW predict'!I641</f>
        <v>2</v>
      </c>
      <c r="Q642" s="18">
        <f>'RW predict'!L641</f>
        <v>0</v>
      </c>
      <c r="R642" s="18">
        <f>'RW predict'!N641</f>
        <v>0</v>
      </c>
      <c r="S642" s="76">
        <f>'RW predict'!O641</f>
        <v>0</v>
      </c>
      <c r="T642" s="76">
        <f>'RW predict'!K641</f>
        <v>0</v>
      </c>
      <c r="U642" s="22">
        <f>'RW predict'!J641</f>
        <v>25</v>
      </c>
      <c r="V642" s="32">
        <f>IF(D642="G",'RW predict'!E641,0)</f>
        <v>0</v>
      </c>
      <c r="W642" s="18">
        <f>'RW predict'!R641</f>
        <v>0</v>
      </c>
      <c r="X642" s="18">
        <f>'RW predict'!T641</f>
        <v>0</v>
      </c>
      <c r="Y642" s="18">
        <f>'RW predict'!Y641</f>
        <v>0</v>
      </c>
      <c r="Z642" s="18">
        <f>'RW predict'!U641</f>
        <v>0</v>
      </c>
      <c r="AA642" s="18">
        <f>'RW predict'!W641</f>
        <v>0</v>
      </c>
    </row>
    <row r="643" spans="1:27" x14ac:dyDescent="0.3">
      <c r="A643" s="18">
        <v>640</v>
      </c>
      <c r="B643" s="18" t="str">
        <f>'RW predict'!A642</f>
        <v>Tobias Bjornfot</v>
      </c>
      <c r="C643" s="18" t="str">
        <f>'RW predict'!B642</f>
        <v>LA</v>
      </c>
      <c r="D643" s="22" t="str" cm="1">
        <f t="array" ref="D643">_xlfn.SWITCH('RW predict'!C642, "C", "F", "LW","F", "RW", "F", "D", "D", "G", "G", "other")</f>
        <v>D</v>
      </c>
      <c r="E643" s="32">
        <f t="shared" si="18"/>
        <v>438</v>
      </c>
      <c r="F643" s="35">
        <f>E643/assumptions!$B$2</f>
        <v>5.3414634146341466</v>
      </c>
      <c r="G643" s="36">
        <f t="shared" si="19"/>
        <v>710</v>
      </c>
      <c r="H643" s="18">
        <f>IF(NOT(D643="G"),'RW predict'!E642,0)</f>
        <v>1</v>
      </c>
      <c r="I643" s="18">
        <f>'RW predict'!Q642</f>
        <v>47</v>
      </c>
      <c r="J643" s="18">
        <f>'RW predict'!F642</f>
        <v>8</v>
      </c>
      <c r="K643" s="18"/>
      <c r="L643" s="18"/>
      <c r="M643" s="18">
        <f>'RW predict'!P642</f>
        <v>49</v>
      </c>
      <c r="N643" s="18"/>
      <c r="O643" s="18">
        <f>'RW predict'!H642</f>
        <v>-5</v>
      </c>
      <c r="P643" s="18">
        <f>'RW predict'!I642</f>
        <v>6</v>
      </c>
      <c r="Q643" s="18">
        <f>'RW predict'!L642</f>
        <v>0</v>
      </c>
      <c r="R643" s="18">
        <f>'RW predict'!N642</f>
        <v>0</v>
      </c>
      <c r="S643" s="76">
        <f>'RW predict'!O642</f>
        <v>0</v>
      </c>
      <c r="T643" s="76">
        <f>'RW predict'!K642</f>
        <v>0</v>
      </c>
      <c r="U643" s="22">
        <f>'RW predict'!J642</f>
        <v>51</v>
      </c>
      <c r="V643" s="32">
        <f>IF(D643="G",'RW predict'!E642,0)</f>
        <v>0</v>
      </c>
      <c r="W643" s="18">
        <f>'RW predict'!R642</f>
        <v>0</v>
      </c>
      <c r="X643" s="18">
        <f>'RW predict'!T642</f>
        <v>0</v>
      </c>
      <c r="Y643" s="18">
        <f>'RW predict'!Y642</f>
        <v>0</v>
      </c>
      <c r="Z643" s="18">
        <f>'RW predict'!U642</f>
        <v>0</v>
      </c>
      <c r="AA643" s="18">
        <f>'RW predict'!W642</f>
        <v>0</v>
      </c>
    </row>
    <row r="644" spans="1:27" x14ac:dyDescent="0.3">
      <c r="A644" s="18">
        <v>641</v>
      </c>
      <c r="B644" s="18" t="str">
        <f>'RW predict'!A643</f>
        <v>Joel Kiviranta</v>
      </c>
      <c r="C644" s="18" t="str">
        <f>'RW predict'!B643</f>
        <v>DAL</v>
      </c>
      <c r="D644" s="22" t="str" cm="1">
        <f t="array" ref="D644">_xlfn.SWITCH('RW predict'!C643, "C", "F", "LW","F", "RW", "F", "D", "D", "G", "G", "other")</f>
        <v>F</v>
      </c>
      <c r="E644" s="32">
        <f t="shared" si="18"/>
        <v>492</v>
      </c>
      <c r="F644" s="35">
        <f>E644/assumptions!$B$2</f>
        <v>6</v>
      </c>
      <c r="G644" s="36">
        <f t="shared" si="19"/>
        <v>683</v>
      </c>
      <c r="H644" s="18">
        <f>IF(NOT(D644="G"),'RW predict'!E643,0)</f>
        <v>2</v>
      </c>
      <c r="I644" s="18">
        <f>'RW predict'!Q643</f>
        <v>23</v>
      </c>
      <c r="J644" s="18">
        <f>'RW predict'!F643</f>
        <v>7</v>
      </c>
      <c r="K644" s="18"/>
      <c r="L644" s="18"/>
      <c r="M644" s="18">
        <f>'RW predict'!P643</f>
        <v>109</v>
      </c>
      <c r="N644" s="18"/>
      <c r="O644" s="18">
        <f>'RW predict'!H643</f>
        <v>-4</v>
      </c>
      <c r="P644" s="18">
        <f>'RW predict'!I643</f>
        <v>12</v>
      </c>
      <c r="Q644" s="18">
        <f>'RW predict'!L643</f>
        <v>0</v>
      </c>
      <c r="R644" s="18">
        <f>'RW predict'!N643</f>
        <v>0</v>
      </c>
      <c r="S644" s="76">
        <f>'RW predict'!O643</f>
        <v>0</v>
      </c>
      <c r="T644" s="76">
        <f>'RW predict'!K643</f>
        <v>0</v>
      </c>
      <c r="U644" s="22">
        <f>'RW predict'!J643</f>
        <v>58</v>
      </c>
      <c r="V644" s="32">
        <f>IF(D644="G",'RW predict'!E643,0)</f>
        <v>0</v>
      </c>
      <c r="W644" s="18">
        <f>'RW predict'!R643</f>
        <v>0</v>
      </c>
      <c r="X644" s="18">
        <f>'RW predict'!T643</f>
        <v>0</v>
      </c>
      <c r="Y644" s="18">
        <f>'RW predict'!Y643</f>
        <v>0</v>
      </c>
      <c r="Z644" s="18">
        <f>'RW predict'!U643</f>
        <v>0</v>
      </c>
      <c r="AA644" s="18">
        <f>'RW predict'!W643</f>
        <v>0</v>
      </c>
    </row>
    <row r="645" spans="1:27" x14ac:dyDescent="0.3">
      <c r="A645" s="18">
        <v>642</v>
      </c>
      <c r="B645" s="18" t="str">
        <f>'RW predict'!A644</f>
        <v>Bobby Brink</v>
      </c>
      <c r="C645" s="18" t="str">
        <f>'RW predict'!B644</f>
        <v>PHI</v>
      </c>
      <c r="D645" s="22" t="str" cm="1">
        <f t="array" ref="D645">_xlfn.SWITCH('RW predict'!C644, "C", "F", "LW","F", "RW", "F", "D", "D", "G", "G", "other")</f>
        <v>F</v>
      </c>
      <c r="E645" s="32">
        <f t="shared" ref="E645:E708" si="20">H645*$H$3+I645*I$3+K645*K$3+L645*L$3+M645*M$3+N645*N$3+V645*V$3+J645*J$3+O645*$O$3+P645*$P$3+Q645*$Q$3+R645*$R$3+S645*$S$3+T645*$T$3+U645*$U$3+W645*$W$3+X645*$X$3+Y645*$Y$3+Z645*$Z$3+AA645*$AA$3</f>
        <v>230</v>
      </c>
      <c r="F645" s="35">
        <f>E645/assumptions!$B$2</f>
        <v>2.8048780487804876</v>
      </c>
      <c r="G645" s="36">
        <f t="shared" ref="G645:G708" si="21">RANK(E645,$E$4:$E$1100)</f>
        <v>809</v>
      </c>
      <c r="H645" s="18">
        <f>IF(NOT(D645="G"),'RW predict'!E644,0)</f>
        <v>1</v>
      </c>
      <c r="I645" s="18">
        <f>'RW predict'!Q644</f>
        <v>5</v>
      </c>
      <c r="J645" s="18">
        <f>'RW predict'!F644</f>
        <v>7</v>
      </c>
      <c r="K645" s="18"/>
      <c r="L645" s="18"/>
      <c r="M645" s="18">
        <f>'RW predict'!P644</f>
        <v>28</v>
      </c>
      <c r="N645" s="18"/>
      <c r="O645" s="18">
        <f>'RW predict'!H644</f>
        <v>-9</v>
      </c>
      <c r="P645" s="18">
        <f>'RW predict'!I644</f>
        <v>0</v>
      </c>
      <c r="Q645" s="18">
        <f>'RW predict'!L644</f>
        <v>0</v>
      </c>
      <c r="R645" s="18">
        <f>'RW predict'!N644</f>
        <v>0</v>
      </c>
      <c r="S645" s="76">
        <f>'RW predict'!O644</f>
        <v>0</v>
      </c>
      <c r="T645" s="76">
        <f>'RW predict'!K644</f>
        <v>0</v>
      </c>
      <c r="U645" s="22">
        <f>'RW predict'!J644</f>
        <v>41</v>
      </c>
      <c r="V645" s="32">
        <f>IF(D645="G",'RW predict'!E644,0)</f>
        <v>0</v>
      </c>
      <c r="W645" s="18">
        <f>'RW predict'!R644</f>
        <v>0</v>
      </c>
      <c r="X645" s="18">
        <f>'RW predict'!T644</f>
        <v>0</v>
      </c>
      <c r="Y645" s="18">
        <f>'RW predict'!Y644</f>
        <v>0</v>
      </c>
      <c r="Z645" s="18">
        <f>'RW predict'!U644</f>
        <v>0</v>
      </c>
      <c r="AA645" s="18">
        <f>'RW predict'!W644</f>
        <v>0</v>
      </c>
    </row>
    <row r="646" spans="1:27" x14ac:dyDescent="0.3">
      <c r="A646" s="18">
        <v>643</v>
      </c>
      <c r="B646" s="18" t="str">
        <f>'RW predict'!A645</f>
        <v>Sampo Ranta</v>
      </c>
      <c r="C646" s="18" t="str">
        <f>'RW predict'!B645</f>
        <v>COL</v>
      </c>
      <c r="D646" s="22" t="str" cm="1">
        <f t="array" ref="D646">_xlfn.SWITCH('RW predict'!C645, "C", "F", "LW","F", "RW", "F", "D", "D", "G", "G", "other")</f>
        <v>F</v>
      </c>
      <c r="E646" s="32">
        <f t="shared" si="20"/>
        <v>284</v>
      </c>
      <c r="F646" s="35">
        <f>E646/assumptions!$B$2</f>
        <v>3.4634146341463414</v>
      </c>
      <c r="G646" s="36">
        <f t="shared" si="21"/>
        <v>777</v>
      </c>
      <c r="H646" s="18">
        <f>IF(NOT(D646="G"),'RW predict'!E645,0)</f>
        <v>2</v>
      </c>
      <c r="I646" s="18">
        <f>'RW predict'!Q645</f>
        <v>13</v>
      </c>
      <c r="J646" s="18">
        <f>'RW predict'!F645</f>
        <v>6</v>
      </c>
      <c r="K646" s="18"/>
      <c r="L646" s="18"/>
      <c r="M646" s="18">
        <f>'RW predict'!P645</f>
        <v>24</v>
      </c>
      <c r="N646" s="18"/>
      <c r="O646" s="18">
        <f>'RW predict'!H645</f>
        <v>-10</v>
      </c>
      <c r="P646" s="18">
        <f>'RW predict'!I645</f>
        <v>8</v>
      </c>
      <c r="Q646" s="18">
        <f>'RW predict'!L645</f>
        <v>0</v>
      </c>
      <c r="R646" s="18">
        <f>'RW predict'!N645</f>
        <v>0</v>
      </c>
      <c r="S646" s="76">
        <f>'RW predict'!O645</f>
        <v>0</v>
      </c>
      <c r="T646" s="76">
        <f>'RW predict'!K645</f>
        <v>1</v>
      </c>
      <c r="U646" s="22">
        <f>'RW predict'!J645</f>
        <v>45</v>
      </c>
      <c r="V646" s="32">
        <f>IF(D646="G",'RW predict'!E645,0)</f>
        <v>0</v>
      </c>
      <c r="W646" s="18">
        <f>'RW predict'!R645</f>
        <v>0</v>
      </c>
      <c r="X646" s="18">
        <f>'RW predict'!T645</f>
        <v>0</v>
      </c>
      <c r="Y646" s="18">
        <f>'RW predict'!Y645</f>
        <v>0</v>
      </c>
      <c r="Z646" s="18">
        <f>'RW predict'!U645</f>
        <v>0</v>
      </c>
      <c r="AA646" s="18">
        <f>'RW predict'!W645</f>
        <v>0</v>
      </c>
    </row>
    <row r="647" spans="1:27" x14ac:dyDescent="0.3">
      <c r="A647" s="18">
        <v>644</v>
      </c>
      <c r="B647" s="18" t="str">
        <f>'RW predict'!A646</f>
        <v>Scott Perunovich</v>
      </c>
      <c r="C647" s="18" t="str">
        <f>'RW predict'!B646</f>
        <v>STL</v>
      </c>
      <c r="D647" s="22" t="str" cm="1">
        <f t="array" ref="D647">_xlfn.SWITCH('RW predict'!C646, "C", "F", "LW","F", "RW", "F", "D", "D", "G", "G", "other")</f>
        <v>D</v>
      </c>
      <c r="E647" s="32">
        <f t="shared" si="20"/>
        <v>349</v>
      </c>
      <c r="F647" s="35">
        <f>E647/assumptions!$B$2</f>
        <v>4.2560975609756095</v>
      </c>
      <c r="G647" s="36">
        <f t="shared" si="21"/>
        <v>747</v>
      </c>
      <c r="H647" s="18">
        <f>IF(NOT(D647="G"),'RW predict'!E646,0)</f>
        <v>1</v>
      </c>
      <c r="I647" s="18">
        <f>'RW predict'!Q646</f>
        <v>16</v>
      </c>
      <c r="J647" s="18">
        <f>'RW predict'!F646</f>
        <v>7</v>
      </c>
      <c r="K647" s="18"/>
      <c r="L647" s="18"/>
      <c r="M647" s="18">
        <f>'RW predict'!P646</f>
        <v>7</v>
      </c>
      <c r="N647" s="18"/>
      <c r="O647" s="18">
        <f>'RW predict'!H646</f>
        <v>3</v>
      </c>
      <c r="P647" s="18">
        <f>'RW predict'!I646</f>
        <v>12</v>
      </c>
      <c r="Q647" s="18">
        <f>'RW predict'!L646</f>
        <v>0</v>
      </c>
      <c r="R647" s="18">
        <f>'RW predict'!N646</f>
        <v>0</v>
      </c>
      <c r="S647" s="76">
        <f>'RW predict'!O646</f>
        <v>0</v>
      </c>
      <c r="T647" s="76">
        <f>'RW predict'!K646</f>
        <v>0</v>
      </c>
      <c r="U647" s="22">
        <f>'RW predict'!J646</f>
        <v>22</v>
      </c>
      <c r="V647" s="32">
        <f>IF(D647="G",'RW predict'!E646,0)</f>
        <v>0</v>
      </c>
      <c r="W647" s="18">
        <f>'RW predict'!R646</f>
        <v>0</v>
      </c>
      <c r="X647" s="18">
        <f>'RW predict'!T646</f>
        <v>0</v>
      </c>
      <c r="Y647" s="18">
        <f>'RW predict'!Y646</f>
        <v>0</v>
      </c>
      <c r="Z647" s="18">
        <f>'RW predict'!U646</f>
        <v>0</v>
      </c>
      <c r="AA647" s="18">
        <f>'RW predict'!W646</f>
        <v>0</v>
      </c>
    </row>
    <row r="648" spans="1:27" x14ac:dyDescent="0.3">
      <c r="A648" s="18">
        <v>645</v>
      </c>
      <c r="B648" s="18" t="str">
        <f>'RW predict'!A647</f>
        <v>Niko Mikkola</v>
      </c>
      <c r="C648" s="18" t="str">
        <f>'RW predict'!B647</f>
        <v>STL</v>
      </c>
      <c r="D648" s="22" t="str" cm="1">
        <f t="array" ref="D648">_xlfn.SWITCH('RW predict'!C647, "C", "F", "LW","F", "RW", "F", "D", "D", "G", "G", "other")</f>
        <v>D</v>
      </c>
      <c r="E648" s="32">
        <f t="shared" si="20"/>
        <v>520</v>
      </c>
      <c r="F648" s="35">
        <f>E648/assumptions!$B$2</f>
        <v>6.3414634146341466</v>
      </c>
      <c r="G648" s="36">
        <f t="shared" si="21"/>
        <v>675</v>
      </c>
      <c r="H648" s="18">
        <f>IF(NOT(D648="G"),'RW predict'!E647,0)</f>
        <v>2</v>
      </c>
      <c r="I648" s="18">
        <f>'RW predict'!Q647</f>
        <v>53</v>
      </c>
      <c r="J648" s="18">
        <f>'RW predict'!F647</f>
        <v>6</v>
      </c>
      <c r="K648" s="18"/>
      <c r="L648" s="18"/>
      <c r="M648" s="18">
        <f>'RW predict'!P647</f>
        <v>70</v>
      </c>
      <c r="N648" s="18"/>
      <c r="O648" s="18">
        <f>'RW predict'!H647</f>
        <v>-3</v>
      </c>
      <c r="P648" s="18">
        <f>'RW predict'!I647</f>
        <v>32</v>
      </c>
      <c r="Q648" s="18">
        <f>'RW predict'!L647</f>
        <v>0</v>
      </c>
      <c r="R648" s="18">
        <f>'RW predict'!N647</f>
        <v>0</v>
      </c>
      <c r="S648" s="76">
        <f>'RW predict'!O647</f>
        <v>0</v>
      </c>
      <c r="T648" s="76">
        <f>'RW predict'!K647</f>
        <v>0</v>
      </c>
      <c r="U648" s="22">
        <f>'RW predict'!J647</f>
        <v>39</v>
      </c>
      <c r="V648" s="32">
        <f>IF(D648="G",'RW predict'!E647,0)</f>
        <v>0</v>
      </c>
      <c r="W648" s="18">
        <f>'RW predict'!R647</f>
        <v>0</v>
      </c>
      <c r="X648" s="18">
        <f>'RW predict'!T647</f>
        <v>0</v>
      </c>
      <c r="Y648" s="18">
        <f>'RW predict'!Y647</f>
        <v>0</v>
      </c>
      <c r="Z648" s="18">
        <f>'RW predict'!U647</f>
        <v>0</v>
      </c>
      <c r="AA648" s="18">
        <f>'RW predict'!W647</f>
        <v>0</v>
      </c>
    </row>
    <row r="649" spans="1:27" x14ac:dyDescent="0.3">
      <c r="A649" s="18">
        <v>646</v>
      </c>
      <c r="B649" s="18" t="str">
        <f>'RW predict'!A648</f>
        <v>Kevin Bahl</v>
      </c>
      <c r="C649" s="18" t="str">
        <f>'RW predict'!B648</f>
        <v>NJ</v>
      </c>
      <c r="D649" s="22" t="str" cm="1">
        <f t="array" ref="D649">_xlfn.SWITCH('RW predict'!C648, "C", "F", "LW","F", "RW", "F", "D", "D", "G", "G", "other")</f>
        <v>D</v>
      </c>
      <c r="E649" s="32">
        <f t="shared" si="20"/>
        <v>373</v>
      </c>
      <c r="F649" s="35">
        <f>E649/assumptions!$B$2</f>
        <v>4.5487804878048781</v>
      </c>
      <c r="G649" s="36">
        <f t="shared" si="21"/>
        <v>734</v>
      </c>
      <c r="H649" s="18">
        <f>IF(NOT(D649="G"),'RW predict'!E648,0)</f>
        <v>1</v>
      </c>
      <c r="I649" s="18">
        <f>'RW predict'!Q648</f>
        <v>34</v>
      </c>
      <c r="J649" s="18">
        <f>'RW predict'!F648</f>
        <v>7</v>
      </c>
      <c r="K649" s="18"/>
      <c r="L649" s="18"/>
      <c r="M649" s="18">
        <f>'RW predict'!P648</f>
        <v>61</v>
      </c>
      <c r="N649" s="18"/>
      <c r="O649" s="18">
        <f>'RW predict'!H648</f>
        <v>-7</v>
      </c>
      <c r="P649" s="18">
        <f>'RW predict'!I648</f>
        <v>18</v>
      </c>
      <c r="Q649" s="18">
        <f>'RW predict'!L648</f>
        <v>0</v>
      </c>
      <c r="R649" s="18">
        <f>'RW predict'!N648</f>
        <v>0</v>
      </c>
      <c r="S649" s="76">
        <f>'RW predict'!O648</f>
        <v>0</v>
      </c>
      <c r="T649" s="76">
        <f>'RW predict'!K648</f>
        <v>0</v>
      </c>
      <c r="U649" s="22">
        <f>'RW predict'!J648</f>
        <v>30</v>
      </c>
      <c r="V649" s="32">
        <f>IF(D649="G",'RW predict'!E648,0)</f>
        <v>0</v>
      </c>
      <c r="W649" s="18">
        <f>'RW predict'!R648</f>
        <v>0</v>
      </c>
      <c r="X649" s="18">
        <f>'RW predict'!T648</f>
        <v>0</v>
      </c>
      <c r="Y649" s="18">
        <f>'RW predict'!Y648</f>
        <v>0</v>
      </c>
      <c r="Z649" s="18">
        <f>'RW predict'!U648</f>
        <v>0</v>
      </c>
      <c r="AA649" s="18">
        <f>'RW predict'!W648</f>
        <v>0</v>
      </c>
    </row>
    <row r="650" spans="1:27" x14ac:dyDescent="0.3">
      <c r="A650" s="18">
        <v>647</v>
      </c>
      <c r="B650" s="18" t="str">
        <f>'RW predict'!A649</f>
        <v>Jack Rathbone</v>
      </c>
      <c r="C650" s="18" t="str">
        <f>'RW predict'!B649</f>
        <v>VAN</v>
      </c>
      <c r="D650" s="22" t="str" cm="1">
        <f t="array" ref="D650">_xlfn.SWITCH('RW predict'!C649, "C", "F", "LW","F", "RW", "F", "D", "D", "G", "G", "other")</f>
        <v>D</v>
      </c>
      <c r="E650" s="32">
        <f t="shared" si="20"/>
        <v>387</v>
      </c>
      <c r="F650" s="35">
        <f>E650/assumptions!$B$2</f>
        <v>4.7195121951219514</v>
      </c>
      <c r="G650" s="36">
        <f t="shared" si="21"/>
        <v>729</v>
      </c>
      <c r="H650" s="18">
        <f>IF(NOT(D650="G"),'RW predict'!E649,0)</f>
        <v>2</v>
      </c>
      <c r="I650" s="18">
        <f>'RW predict'!Q649</f>
        <v>35</v>
      </c>
      <c r="J650" s="18">
        <f>'RW predict'!F649</f>
        <v>6</v>
      </c>
      <c r="K650" s="18"/>
      <c r="L650" s="18"/>
      <c r="M650" s="18">
        <f>'RW predict'!P649</f>
        <v>27</v>
      </c>
      <c r="N650" s="18"/>
      <c r="O650" s="18">
        <f>'RW predict'!H649</f>
        <v>-6</v>
      </c>
      <c r="P650" s="18">
        <f>'RW predict'!I649</f>
        <v>10</v>
      </c>
      <c r="Q650" s="18">
        <f>'RW predict'!L649</f>
        <v>0</v>
      </c>
      <c r="R650" s="18">
        <f>'RW predict'!N649</f>
        <v>0</v>
      </c>
      <c r="S650" s="76">
        <f>'RW predict'!O649</f>
        <v>0</v>
      </c>
      <c r="T650" s="76">
        <f>'RW predict'!K649</f>
        <v>0</v>
      </c>
      <c r="U650" s="22">
        <f>'RW predict'!J649</f>
        <v>60</v>
      </c>
      <c r="V650" s="32">
        <f>IF(D650="G",'RW predict'!E649,0)</f>
        <v>0</v>
      </c>
      <c r="W650" s="18">
        <f>'RW predict'!R649</f>
        <v>0</v>
      </c>
      <c r="X650" s="18">
        <f>'RW predict'!T649</f>
        <v>0</v>
      </c>
      <c r="Y650" s="18">
        <f>'RW predict'!Y649</f>
        <v>0</v>
      </c>
      <c r="Z650" s="18">
        <f>'RW predict'!U649</f>
        <v>0</v>
      </c>
      <c r="AA650" s="18">
        <f>'RW predict'!W649</f>
        <v>0</v>
      </c>
    </row>
    <row r="651" spans="1:27" x14ac:dyDescent="0.3">
      <c r="A651" s="18">
        <v>648</v>
      </c>
      <c r="B651" s="18" t="str">
        <f>'RW predict'!A650</f>
        <v>Radim Zohorna</v>
      </c>
      <c r="C651" s="18" t="str">
        <f>'RW predict'!B650</f>
        <v>PIT</v>
      </c>
      <c r="D651" s="22" t="str" cm="1">
        <f t="array" ref="D651">_xlfn.SWITCH('RW predict'!C650, "C", "F", "LW","F", "RW", "F", "D", "D", "G", "G", "other")</f>
        <v>F</v>
      </c>
      <c r="E651" s="32">
        <f t="shared" si="20"/>
        <v>502</v>
      </c>
      <c r="F651" s="35">
        <f>E651/assumptions!$B$2</f>
        <v>6.1219512195121952</v>
      </c>
      <c r="G651" s="36">
        <f t="shared" si="21"/>
        <v>680</v>
      </c>
      <c r="H651" s="18">
        <f>IF(NOT(D651="G"),'RW predict'!E650,0)</f>
        <v>3</v>
      </c>
      <c r="I651" s="18">
        <f>'RW predict'!Q650</f>
        <v>5</v>
      </c>
      <c r="J651" s="18">
        <f>'RW predict'!F650</f>
        <v>5</v>
      </c>
      <c r="K651" s="18"/>
      <c r="L651" s="18"/>
      <c r="M651" s="18">
        <f>'RW predict'!P650</f>
        <v>34</v>
      </c>
      <c r="N651" s="18"/>
      <c r="O651" s="18">
        <f>'RW predict'!H650</f>
        <v>17</v>
      </c>
      <c r="P651" s="18">
        <f>'RW predict'!I650</f>
        <v>6</v>
      </c>
      <c r="Q651" s="18">
        <f>'RW predict'!L650</f>
        <v>0</v>
      </c>
      <c r="R651" s="18">
        <f>'RW predict'!N650</f>
        <v>0</v>
      </c>
      <c r="S651" s="76">
        <f>'RW predict'!O650</f>
        <v>0</v>
      </c>
      <c r="T651" s="76">
        <f>'RW predict'!K650</f>
        <v>0</v>
      </c>
      <c r="U651" s="22">
        <f>'RW predict'!J650</f>
        <v>35</v>
      </c>
      <c r="V651" s="32">
        <f>IF(D651="G",'RW predict'!E650,0)</f>
        <v>0</v>
      </c>
      <c r="W651" s="18">
        <f>'RW predict'!R650</f>
        <v>0</v>
      </c>
      <c r="X651" s="18">
        <f>'RW predict'!T650</f>
        <v>0</v>
      </c>
      <c r="Y651" s="18">
        <f>'RW predict'!Y650</f>
        <v>0</v>
      </c>
      <c r="Z651" s="18">
        <f>'RW predict'!U650</f>
        <v>0</v>
      </c>
      <c r="AA651" s="18">
        <f>'RW predict'!W650</f>
        <v>0</v>
      </c>
    </row>
    <row r="652" spans="1:27" x14ac:dyDescent="0.3">
      <c r="A652" s="18">
        <v>649</v>
      </c>
      <c r="B652" s="18" t="str">
        <f>'RW predict'!A651</f>
        <v>Dakota Joshua</v>
      </c>
      <c r="C652" s="18" t="str">
        <f>'RW predict'!B651</f>
        <v>VAN</v>
      </c>
      <c r="D652" s="22" t="str" cm="1">
        <f t="array" ref="D652">_xlfn.SWITCH('RW predict'!C651, "C", "F", "LW","F", "RW", "F", "D", "D", "G", "G", "other")</f>
        <v>F</v>
      </c>
      <c r="E652" s="32">
        <f t="shared" si="20"/>
        <v>457</v>
      </c>
      <c r="F652" s="35">
        <f>E652/assumptions!$B$2</f>
        <v>5.5731707317073171</v>
      </c>
      <c r="G652" s="36">
        <f t="shared" si="21"/>
        <v>703</v>
      </c>
      <c r="H652" s="18">
        <f>IF(NOT(D652="G"),'RW predict'!E651,0)</f>
        <v>3</v>
      </c>
      <c r="I652" s="18">
        <f>'RW predict'!Q651</f>
        <v>11</v>
      </c>
      <c r="J652" s="18">
        <f>'RW predict'!F651</f>
        <v>5</v>
      </c>
      <c r="K652" s="18"/>
      <c r="L652" s="18"/>
      <c r="M652" s="18">
        <f>'RW predict'!P651</f>
        <v>82</v>
      </c>
      <c r="N652" s="18"/>
      <c r="O652" s="18">
        <f>'RW predict'!H651</f>
        <v>1</v>
      </c>
      <c r="P652" s="18">
        <f>'RW predict'!I651</f>
        <v>19</v>
      </c>
      <c r="Q652" s="18">
        <f>'RW predict'!L651</f>
        <v>0</v>
      </c>
      <c r="R652" s="18">
        <f>'RW predict'!N651</f>
        <v>0</v>
      </c>
      <c r="S652" s="76">
        <f>'RW predict'!O651</f>
        <v>0</v>
      </c>
      <c r="T652" s="76">
        <f>'RW predict'!K651</f>
        <v>1</v>
      </c>
      <c r="U652" s="22">
        <f>'RW predict'!J651</f>
        <v>33</v>
      </c>
      <c r="V652" s="32">
        <f>IF(D652="G",'RW predict'!E651,0)</f>
        <v>0</v>
      </c>
      <c r="W652" s="18">
        <f>'RW predict'!R651</f>
        <v>0</v>
      </c>
      <c r="X652" s="18">
        <f>'RW predict'!T651</f>
        <v>0</v>
      </c>
      <c r="Y652" s="18">
        <f>'RW predict'!Y651</f>
        <v>0</v>
      </c>
      <c r="Z652" s="18">
        <f>'RW predict'!U651</f>
        <v>0</v>
      </c>
      <c r="AA652" s="18">
        <f>'RW predict'!W651</f>
        <v>0</v>
      </c>
    </row>
    <row r="653" spans="1:27" x14ac:dyDescent="0.3">
      <c r="A653" s="18">
        <v>650</v>
      </c>
      <c r="B653" s="18" t="str">
        <f>'RW predict'!A652</f>
        <v>Connor Clifton</v>
      </c>
      <c r="C653" s="18" t="str">
        <f>'RW predict'!B652</f>
        <v>BOS</v>
      </c>
      <c r="D653" s="22" t="str" cm="1">
        <f t="array" ref="D653">_xlfn.SWITCH('RW predict'!C652, "C", "F", "LW","F", "RW", "F", "D", "D", "G", "G", "other")</f>
        <v>D</v>
      </c>
      <c r="E653" s="32">
        <f t="shared" si="20"/>
        <v>731</v>
      </c>
      <c r="F653" s="35">
        <f>E653/assumptions!$B$2</f>
        <v>8.9146341463414629</v>
      </c>
      <c r="G653" s="36">
        <f t="shared" si="21"/>
        <v>593</v>
      </c>
      <c r="H653" s="18">
        <f>IF(NOT(D653="G"),'RW predict'!E652,0)</f>
        <v>1</v>
      </c>
      <c r="I653" s="18">
        <f>'RW predict'!Q652</f>
        <v>58</v>
      </c>
      <c r="J653" s="18">
        <f>'RW predict'!F652</f>
        <v>7</v>
      </c>
      <c r="K653" s="18"/>
      <c r="L653" s="18"/>
      <c r="M653" s="18">
        <f>'RW predict'!P652</f>
        <v>147</v>
      </c>
      <c r="N653" s="18"/>
      <c r="O653" s="18">
        <f>'RW predict'!H652</f>
        <v>2</v>
      </c>
      <c r="P653" s="18">
        <f>'RW predict'!I652</f>
        <v>32</v>
      </c>
      <c r="Q653" s="18">
        <f>'RW predict'!L652</f>
        <v>0</v>
      </c>
      <c r="R653" s="18">
        <f>'RW predict'!N652</f>
        <v>0</v>
      </c>
      <c r="S653" s="76">
        <f>'RW predict'!O652</f>
        <v>0</v>
      </c>
      <c r="T653" s="76">
        <f>'RW predict'!K652</f>
        <v>0</v>
      </c>
      <c r="U653" s="22">
        <f>'RW predict'!J652</f>
        <v>76</v>
      </c>
      <c r="V653" s="32">
        <f>IF(D653="G",'RW predict'!E652,0)</f>
        <v>0</v>
      </c>
      <c r="W653" s="18">
        <f>'RW predict'!R652</f>
        <v>0</v>
      </c>
      <c r="X653" s="18">
        <f>'RW predict'!T652</f>
        <v>0</v>
      </c>
      <c r="Y653" s="18">
        <f>'RW predict'!Y652</f>
        <v>0</v>
      </c>
      <c r="Z653" s="18">
        <f>'RW predict'!U652</f>
        <v>0</v>
      </c>
      <c r="AA653" s="18">
        <f>'RW predict'!W652</f>
        <v>0</v>
      </c>
    </row>
    <row r="654" spans="1:27" x14ac:dyDescent="0.3">
      <c r="A654" s="18">
        <v>651</v>
      </c>
      <c r="B654" s="18" t="str">
        <f>'RW predict'!A653</f>
        <v>Michael Pezzetta</v>
      </c>
      <c r="C654" s="18" t="str">
        <f>'RW predict'!B653</f>
        <v>MON</v>
      </c>
      <c r="D654" s="22" t="str" cm="1">
        <f t="array" ref="D654">_xlfn.SWITCH('RW predict'!C653, "C", "F", "LW","F", "RW", "F", "D", "D", "G", "G", "other")</f>
        <v>F</v>
      </c>
      <c r="E654" s="32">
        <f t="shared" si="20"/>
        <v>492</v>
      </c>
      <c r="F654" s="35">
        <f>E654/assumptions!$B$2</f>
        <v>6</v>
      </c>
      <c r="G654" s="36">
        <f t="shared" si="21"/>
        <v>683</v>
      </c>
      <c r="H654" s="18">
        <f>IF(NOT(D654="G"),'RW predict'!E653,0)</f>
        <v>3</v>
      </c>
      <c r="I654" s="18">
        <f>'RW predict'!Q653</f>
        <v>5</v>
      </c>
      <c r="J654" s="18">
        <f>'RW predict'!F653</f>
        <v>5</v>
      </c>
      <c r="K654" s="18"/>
      <c r="L654" s="18"/>
      <c r="M654" s="18">
        <f>'RW predict'!P653</f>
        <v>107</v>
      </c>
      <c r="N654" s="18"/>
      <c r="O654" s="18">
        <f>'RW predict'!H653</f>
        <v>-6</v>
      </c>
      <c r="P654" s="18">
        <f>'RW predict'!I653</f>
        <v>55</v>
      </c>
      <c r="Q654" s="18">
        <f>'RW predict'!L653</f>
        <v>0</v>
      </c>
      <c r="R654" s="18">
        <f>'RW predict'!N653</f>
        <v>0</v>
      </c>
      <c r="S654" s="76">
        <f>'RW predict'!O653</f>
        <v>0</v>
      </c>
      <c r="T654" s="76">
        <f>'RW predict'!K653</f>
        <v>0</v>
      </c>
      <c r="U654" s="22">
        <f>'RW predict'!J653</f>
        <v>35</v>
      </c>
      <c r="V654" s="32">
        <f>IF(D654="G",'RW predict'!E653,0)</f>
        <v>0</v>
      </c>
      <c r="W654" s="18">
        <f>'RW predict'!R653</f>
        <v>0</v>
      </c>
      <c r="X654" s="18">
        <f>'RW predict'!T653</f>
        <v>0</v>
      </c>
      <c r="Y654" s="18">
        <f>'RW predict'!Y653</f>
        <v>0</v>
      </c>
      <c r="Z654" s="18">
        <f>'RW predict'!U653</f>
        <v>0</v>
      </c>
      <c r="AA654" s="18">
        <f>'RW predict'!W653</f>
        <v>0</v>
      </c>
    </row>
    <row r="655" spans="1:27" x14ac:dyDescent="0.3">
      <c r="A655" s="18">
        <v>652</v>
      </c>
      <c r="B655" s="18" t="str">
        <f>'RW predict'!A654</f>
        <v>Mason Shaw</v>
      </c>
      <c r="C655" s="18" t="str">
        <f>'RW predict'!B654</f>
        <v>MIN</v>
      </c>
      <c r="D655" s="22" t="str" cm="1">
        <f t="array" ref="D655">_xlfn.SWITCH('RW predict'!C654, "C", "F", "LW","F", "RW", "F", "D", "D", "G", "G", "other")</f>
        <v>F</v>
      </c>
      <c r="E655" s="32">
        <f t="shared" si="20"/>
        <v>382</v>
      </c>
      <c r="F655" s="35">
        <f>E655/assumptions!$B$2</f>
        <v>4.6585365853658534</v>
      </c>
      <c r="G655" s="36">
        <f t="shared" si="21"/>
        <v>731</v>
      </c>
      <c r="H655" s="18">
        <f>IF(NOT(D655="G"),'RW predict'!E654,0)</f>
        <v>2</v>
      </c>
      <c r="I655" s="18">
        <f>'RW predict'!Q654</f>
        <v>8</v>
      </c>
      <c r="J655" s="18">
        <f>'RW predict'!F654</f>
        <v>6</v>
      </c>
      <c r="K655" s="18"/>
      <c r="L655" s="18"/>
      <c r="M655" s="18">
        <f>'RW predict'!P654</f>
        <v>44</v>
      </c>
      <c r="N655" s="18"/>
      <c r="O655" s="18">
        <f>'RW predict'!H654</f>
        <v>-6</v>
      </c>
      <c r="P655" s="18">
        <f>'RW predict'!I654</f>
        <v>26</v>
      </c>
      <c r="Q655" s="18">
        <f>'RW predict'!L654</f>
        <v>0</v>
      </c>
      <c r="R655" s="18">
        <f>'RW predict'!N654</f>
        <v>0</v>
      </c>
      <c r="S655" s="76">
        <f>'RW predict'!O654</f>
        <v>0</v>
      </c>
      <c r="T655" s="76">
        <f>'RW predict'!K654</f>
        <v>0</v>
      </c>
      <c r="U655" s="22">
        <f>'RW predict'!J654</f>
        <v>52</v>
      </c>
      <c r="V655" s="32">
        <f>IF(D655="G",'RW predict'!E654,0)</f>
        <v>0</v>
      </c>
      <c r="W655" s="18">
        <f>'RW predict'!R654</f>
        <v>0</v>
      </c>
      <c r="X655" s="18">
        <f>'RW predict'!T654</f>
        <v>0</v>
      </c>
      <c r="Y655" s="18">
        <f>'RW predict'!Y654</f>
        <v>0</v>
      </c>
      <c r="Z655" s="18">
        <f>'RW predict'!U654</f>
        <v>0</v>
      </c>
      <c r="AA655" s="18">
        <f>'RW predict'!W654</f>
        <v>0</v>
      </c>
    </row>
    <row r="656" spans="1:27" x14ac:dyDescent="0.3">
      <c r="A656" s="18">
        <v>653</v>
      </c>
      <c r="B656" s="18" t="str">
        <f>'RW predict'!A655</f>
        <v>Kevin Rooney</v>
      </c>
      <c r="C656" s="18" t="str">
        <f>'RW predict'!B655</f>
        <v>CGY</v>
      </c>
      <c r="D656" s="22" t="str" cm="1">
        <f t="array" ref="D656">_xlfn.SWITCH('RW predict'!C655, "C", "F", "LW","F", "RW", "F", "D", "D", "G", "G", "other")</f>
        <v>F</v>
      </c>
      <c r="E656" s="32">
        <f t="shared" si="20"/>
        <v>554</v>
      </c>
      <c r="F656" s="35">
        <f>E656/assumptions!$B$2</f>
        <v>6.7560975609756095</v>
      </c>
      <c r="G656" s="36">
        <f t="shared" si="21"/>
        <v>656</v>
      </c>
      <c r="H656" s="18">
        <f>IF(NOT(D656="G"),'RW predict'!E655,0)</f>
        <v>4</v>
      </c>
      <c r="I656" s="18">
        <f>'RW predict'!Q655</f>
        <v>26</v>
      </c>
      <c r="J656" s="18">
        <f>'RW predict'!F655</f>
        <v>4</v>
      </c>
      <c r="K656" s="18"/>
      <c r="L656" s="18"/>
      <c r="M656" s="18">
        <f>'RW predict'!P655</f>
        <v>62</v>
      </c>
      <c r="N656" s="18"/>
      <c r="O656" s="18">
        <f>'RW predict'!H655</f>
        <v>-2</v>
      </c>
      <c r="P656" s="18">
        <f>'RW predict'!I655</f>
        <v>28</v>
      </c>
      <c r="Q656" s="18">
        <f>'RW predict'!L655</f>
        <v>0</v>
      </c>
      <c r="R656" s="18">
        <f>'RW predict'!N655</f>
        <v>1</v>
      </c>
      <c r="S656" s="76">
        <f>'RW predict'!O655</f>
        <v>0</v>
      </c>
      <c r="T656" s="76">
        <f>'RW predict'!K655</f>
        <v>1</v>
      </c>
      <c r="U656" s="22">
        <f>'RW predict'!J655</f>
        <v>68</v>
      </c>
      <c r="V656" s="32">
        <f>IF(D656="G",'RW predict'!E655,0)</f>
        <v>0</v>
      </c>
      <c r="W656" s="18">
        <f>'RW predict'!R655</f>
        <v>0</v>
      </c>
      <c r="X656" s="18">
        <f>'RW predict'!T655</f>
        <v>0</v>
      </c>
      <c r="Y656" s="18">
        <f>'RW predict'!Y655</f>
        <v>0</v>
      </c>
      <c r="Z656" s="18">
        <f>'RW predict'!U655</f>
        <v>0</v>
      </c>
      <c r="AA656" s="18">
        <f>'RW predict'!W655</f>
        <v>0</v>
      </c>
    </row>
    <row r="657" spans="1:27" x14ac:dyDescent="0.3">
      <c r="A657" s="18">
        <v>654</v>
      </c>
      <c r="B657" s="18" t="str">
        <f>'RW predict'!A656</f>
        <v>Juuso Valimaki</v>
      </c>
      <c r="C657" s="18" t="str">
        <f>'RW predict'!B656</f>
        <v>CGY</v>
      </c>
      <c r="D657" s="22" t="str" cm="1">
        <f t="array" ref="D657">_xlfn.SWITCH('RW predict'!C656, "C", "F", "LW","F", "RW", "F", "D", "D", "G", "G", "other")</f>
        <v>D</v>
      </c>
      <c r="E657" s="32">
        <f t="shared" si="20"/>
        <v>478</v>
      </c>
      <c r="F657" s="35">
        <f>E657/assumptions!$B$2</f>
        <v>5.8292682926829267</v>
      </c>
      <c r="G657" s="36">
        <f t="shared" si="21"/>
        <v>692</v>
      </c>
      <c r="H657" s="18">
        <f>IF(NOT(D657="G"),'RW predict'!E656,0)</f>
        <v>1</v>
      </c>
      <c r="I657" s="18">
        <f>'RW predict'!Q656</f>
        <v>34</v>
      </c>
      <c r="J657" s="18">
        <f>'RW predict'!F656</f>
        <v>7</v>
      </c>
      <c r="K657" s="18"/>
      <c r="L657" s="18"/>
      <c r="M657" s="18">
        <f>'RW predict'!P656</f>
        <v>24</v>
      </c>
      <c r="N657" s="18"/>
      <c r="O657" s="18">
        <f>'RW predict'!H656</f>
        <v>4</v>
      </c>
      <c r="P657" s="18">
        <f>'RW predict'!I656</f>
        <v>16</v>
      </c>
      <c r="Q657" s="18">
        <f>'RW predict'!L656</f>
        <v>0</v>
      </c>
      <c r="R657" s="18">
        <f>'RW predict'!N656</f>
        <v>0</v>
      </c>
      <c r="S657" s="76">
        <f>'RW predict'!O656</f>
        <v>0</v>
      </c>
      <c r="T657" s="76">
        <f>'RW predict'!K656</f>
        <v>0</v>
      </c>
      <c r="U657" s="22">
        <f>'RW predict'!J656</f>
        <v>49</v>
      </c>
      <c r="V657" s="32">
        <f>IF(D657="G",'RW predict'!E656,0)</f>
        <v>0</v>
      </c>
      <c r="W657" s="18">
        <f>'RW predict'!R656</f>
        <v>0</v>
      </c>
      <c r="X657" s="18">
        <f>'RW predict'!T656</f>
        <v>0</v>
      </c>
      <c r="Y657" s="18">
        <f>'RW predict'!Y656</f>
        <v>0</v>
      </c>
      <c r="Z657" s="18">
        <f>'RW predict'!U656</f>
        <v>0</v>
      </c>
      <c r="AA657" s="18">
        <f>'RW predict'!W656</f>
        <v>0</v>
      </c>
    </row>
    <row r="658" spans="1:27" x14ac:dyDescent="0.3">
      <c r="A658" s="18">
        <v>655</v>
      </c>
      <c r="B658" s="18" t="str">
        <f>'RW predict'!A657</f>
        <v>Cody Glass</v>
      </c>
      <c r="C658" s="18" t="str">
        <f>'RW predict'!B657</f>
        <v>NSH</v>
      </c>
      <c r="D658" s="22" t="str" cm="1">
        <f t="array" ref="D658">_xlfn.SWITCH('RW predict'!C657, "C", "F", "LW","F", "RW", "F", "D", "D", "G", "G", "other")</f>
        <v>F</v>
      </c>
      <c r="E658" s="32">
        <f t="shared" si="20"/>
        <v>306</v>
      </c>
      <c r="F658" s="35">
        <f>E658/assumptions!$B$2</f>
        <v>3.7317073170731709</v>
      </c>
      <c r="G658" s="36">
        <f t="shared" si="21"/>
        <v>767</v>
      </c>
      <c r="H658" s="18">
        <f>IF(NOT(D658="G"),'RW predict'!E657,0)</f>
        <v>3</v>
      </c>
      <c r="I658" s="18">
        <f>'RW predict'!Q657</f>
        <v>8</v>
      </c>
      <c r="J658" s="18">
        <f>'RW predict'!F657</f>
        <v>5</v>
      </c>
      <c r="K658" s="18"/>
      <c r="L658" s="18"/>
      <c r="M658" s="18">
        <f>'RW predict'!P657</f>
        <v>16</v>
      </c>
      <c r="N658" s="18"/>
      <c r="O658" s="18">
        <f>'RW predict'!H657</f>
        <v>1</v>
      </c>
      <c r="P658" s="18">
        <f>'RW predict'!I657</f>
        <v>4</v>
      </c>
      <c r="Q658" s="18">
        <f>'RW predict'!L657</f>
        <v>0</v>
      </c>
      <c r="R658" s="18">
        <f>'RW predict'!N657</f>
        <v>0</v>
      </c>
      <c r="S658" s="76">
        <f>'RW predict'!O657</f>
        <v>0</v>
      </c>
      <c r="T658" s="76">
        <f>'RW predict'!K657</f>
        <v>0</v>
      </c>
      <c r="U658" s="22">
        <f>'RW predict'!J657</f>
        <v>26</v>
      </c>
      <c r="V658" s="32">
        <f>IF(D658="G",'RW predict'!E657,0)</f>
        <v>0</v>
      </c>
      <c r="W658" s="18">
        <f>'RW predict'!R657</f>
        <v>0</v>
      </c>
      <c r="X658" s="18">
        <f>'RW predict'!T657</f>
        <v>0</v>
      </c>
      <c r="Y658" s="18">
        <f>'RW predict'!Y657</f>
        <v>0</v>
      </c>
      <c r="Z658" s="18">
        <f>'RW predict'!U657</f>
        <v>0</v>
      </c>
      <c r="AA658" s="18">
        <f>'RW predict'!W657</f>
        <v>0</v>
      </c>
    </row>
    <row r="659" spans="1:27" x14ac:dyDescent="0.3">
      <c r="A659" s="18">
        <v>656</v>
      </c>
      <c r="B659" s="18" t="str">
        <f>'RW predict'!A658</f>
        <v>Anton Blidh</v>
      </c>
      <c r="C659" s="18" t="str">
        <f>'RW predict'!B658</f>
        <v>COL</v>
      </c>
      <c r="D659" s="22" t="str" cm="1">
        <f t="array" ref="D659">_xlfn.SWITCH('RW predict'!C658, "C", "F", "LW","F", "RW", "F", "D", "D", "G", "G", "other")</f>
        <v>F</v>
      </c>
      <c r="E659" s="32">
        <f t="shared" si="20"/>
        <v>490</v>
      </c>
      <c r="F659" s="35">
        <f>E659/assumptions!$B$2</f>
        <v>5.975609756097561</v>
      </c>
      <c r="G659" s="36">
        <f t="shared" si="21"/>
        <v>687</v>
      </c>
      <c r="H659" s="18">
        <f>IF(NOT(D659="G"),'RW predict'!E658,0)</f>
        <v>2</v>
      </c>
      <c r="I659" s="18">
        <f>'RW predict'!Q658</f>
        <v>16</v>
      </c>
      <c r="J659" s="18">
        <f>'RW predict'!F658</f>
        <v>6</v>
      </c>
      <c r="K659" s="18"/>
      <c r="L659" s="18"/>
      <c r="M659" s="18">
        <f>'RW predict'!P658</f>
        <v>79</v>
      </c>
      <c r="N659" s="18"/>
      <c r="O659" s="18">
        <f>'RW predict'!H658</f>
        <v>2</v>
      </c>
      <c r="P659" s="18">
        <f>'RW predict'!I658</f>
        <v>27</v>
      </c>
      <c r="Q659" s="18">
        <f>'RW predict'!L658</f>
        <v>0</v>
      </c>
      <c r="R659" s="18">
        <f>'RW predict'!N658</f>
        <v>0</v>
      </c>
      <c r="S659" s="76">
        <f>'RW predict'!O658</f>
        <v>0</v>
      </c>
      <c r="T659" s="76">
        <f>'RW predict'!K658</f>
        <v>0</v>
      </c>
      <c r="U659" s="22">
        <f>'RW predict'!J658</f>
        <v>39</v>
      </c>
      <c r="V659" s="32">
        <f>IF(D659="G",'RW predict'!E658,0)</f>
        <v>0</v>
      </c>
      <c r="W659" s="18">
        <f>'RW predict'!R658</f>
        <v>0</v>
      </c>
      <c r="X659" s="18">
        <f>'RW predict'!T658</f>
        <v>0</v>
      </c>
      <c r="Y659" s="18">
        <f>'RW predict'!Y658</f>
        <v>0</v>
      </c>
      <c r="Z659" s="18">
        <f>'RW predict'!U658</f>
        <v>0</v>
      </c>
      <c r="AA659" s="18">
        <f>'RW predict'!W658</f>
        <v>0</v>
      </c>
    </row>
    <row r="660" spans="1:27" x14ac:dyDescent="0.3">
      <c r="A660" s="18">
        <v>657</v>
      </c>
      <c r="B660" s="18" t="str">
        <f>'RW predict'!A659</f>
        <v>Carter Rowney</v>
      </c>
      <c r="C660" s="18" t="str">
        <f>'RW predict'!B659</f>
        <v>FA</v>
      </c>
      <c r="D660" s="22" t="str" cm="1">
        <f t="array" ref="D660">_xlfn.SWITCH('RW predict'!C659, "C", "F", "LW","F", "RW", "F", "D", "D", "G", "G", "other")</f>
        <v>F</v>
      </c>
      <c r="E660" s="32">
        <f t="shared" si="20"/>
        <v>335</v>
      </c>
      <c r="F660" s="35">
        <f>E660/assumptions!$B$2</f>
        <v>4.0853658536585362</v>
      </c>
      <c r="G660" s="36">
        <f t="shared" si="21"/>
        <v>756</v>
      </c>
      <c r="H660" s="18">
        <f>IF(NOT(D660="G"),'RW predict'!E659,0)</f>
        <v>4</v>
      </c>
      <c r="I660" s="18">
        <f>'RW predict'!Q659</f>
        <v>24</v>
      </c>
      <c r="J660" s="18">
        <f>'RW predict'!F659</f>
        <v>4</v>
      </c>
      <c r="K660" s="18"/>
      <c r="L660" s="18"/>
      <c r="M660" s="18">
        <f>'RW predict'!P659</f>
        <v>56</v>
      </c>
      <c r="N660" s="18"/>
      <c r="O660" s="18">
        <f>'RW predict'!H659</f>
        <v>-2</v>
      </c>
      <c r="P660" s="18">
        <f>'RW predict'!I659</f>
        <v>1</v>
      </c>
      <c r="Q660" s="18">
        <f>'RW predict'!L659</f>
        <v>0</v>
      </c>
      <c r="R660" s="18">
        <f>'RW predict'!N659</f>
        <v>0</v>
      </c>
      <c r="S660" s="76">
        <f>'RW predict'!O659</f>
        <v>1</v>
      </c>
      <c r="T660" s="76">
        <f>'RW predict'!K659</f>
        <v>0</v>
      </c>
      <c r="U660" s="22">
        <f>'RW predict'!J659</f>
        <v>19</v>
      </c>
      <c r="V660" s="32">
        <f>IF(D660="G",'RW predict'!E659,0)</f>
        <v>0</v>
      </c>
      <c r="W660" s="18">
        <f>'RW predict'!R659</f>
        <v>0</v>
      </c>
      <c r="X660" s="18">
        <f>'RW predict'!T659</f>
        <v>0</v>
      </c>
      <c r="Y660" s="18">
        <f>'RW predict'!Y659</f>
        <v>0</v>
      </c>
      <c r="Z660" s="18">
        <f>'RW predict'!U659</f>
        <v>0</v>
      </c>
      <c r="AA660" s="18">
        <f>'RW predict'!W659</f>
        <v>0</v>
      </c>
    </row>
    <row r="661" spans="1:27" x14ac:dyDescent="0.3">
      <c r="A661" s="18">
        <v>658</v>
      </c>
      <c r="B661" s="18" t="str">
        <f>'RW predict'!A660</f>
        <v>Nathan Walker</v>
      </c>
      <c r="C661" s="18" t="str">
        <f>'RW predict'!B660</f>
        <v>STL</v>
      </c>
      <c r="D661" s="22" t="str" cm="1">
        <f t="array" ref="D661">_xlfn.SWITCH('RW predict'!C660, "C", "F", "LW","F", "RW", "F", "D", "D", "G", "G", "other")</f>
        <v>F</v>
      </c>
      <c r="E661" s="32">
        <f t="shared" si="20"/>
        <v>412</v>
      </c>
      <c r="F661" s="35">
        <f>E661/assumptions!$B$2</f>
        <v>5.024390243902439</v>
      </c>
      <c r="G661" s="36">
        <f t="shared" si="21"/>
        <v>719</v>
      </c>
      <c r="H661" s="18">
        <f>IF(NOT(D661="G"),'RW predict'!E660,0)</f>
        <v>5</v>
      </c>
      <c r="I661" s="18">
        <f>'RW predict'!Q660</f>
        <v>21</v>
      </c>
      <c r="J661" s="18">
        <f>'RW predict'!F660</f>
        <v>3</v>
      </c>
      <c r="K661" s="18"/>
      <c r="L661" s="18"/>
      <c r="M661" s="18">
        <f>'RW predict'!P660</f>
        <v>58</v>
      </c>
      <c r="N661" s="18"/>
      <c r="O661" s="18">
        <f>'RW predict'!H660</f>
        <v>-2</v>
      </c>
      <c r="P661" s="18">
        <f>'RW predict'!I660</f>
        <v>4</v>
      </c>
      <c r="Q661" s="18">
        <f>'RW predict'!L660</f>
        <v>0</v>
      </c>
      <c r="R661" s="18">
        <f>'RW predict'!N660</f>
        <v>0</v>
      </c>
      <c r="S661" s="76">
        <f>'RW predict'!O660</f>
        <v>0</v>
      </c>
      <c r="T661" s="76">
        <f>'RW predict'!K660</f>
        <v>1</v>
      </c>
      <c r="U661" s="22">
        <f>'RW predict'!J660</f>
        <v>50</v>
      </c>
      <c r="V661" s="32">
        <f>IF(D661="G",'RW predict'!E660,0)</f>
        <v>0</v>
      </c>
      <c r="W661" s="18">
        <f>'RW predict'!R660</f>
        <v>0</v>
      </c>
      <c r="X661" s="18">
        <f>'RW predict'!T660</f>
        <v>0</v>
      </c>
      <c r="Y661" s="18">
        <f>'RW predict'!Y660</f>
        <v>0</v>
      </c>
      <c r="Z661" s="18">
        <f>'RW predict'!U660</f>
        <v>0</v>
      </c>
      <c r="AA661" s="18">
        <f>'RW predict'!W660</f>
        <v>0</v>
      </c>
    </row>
    <row r="662" spans="1:27" x14ac:dyDescent="0.3">
      <c r="A662" s="18">
        <v>659</v>
      </c>
      <c r="B662" s="18" t="str">
        <f>'RW predict'!A661</f>
        <v>Ben Hutton</v>
      </c>
      <c r="C662" s="18" t="str">
        <f>'RW predict'!B661</f>
        <v>VGK</v>
      </c>
      <c r="D662" s="22" t="str" cm="1">
        <f t="array" ref="D662">_xlfn.SWITCH('RW predict'!C661, "C", "F", "LW","F", "RW", "F", "D", "D", "G", "G", "other")</f>
        <v>D</v>
      </c>
      <c r="E662" s="32">
        <f t="shared" si="20"/>
        <v>553</v>
      </c>
      <c r="F662" s="35">
        <f>E662/assumptions!$B$2</f>
        <v>6.7439024390243905</v>
      </c>
      <c r="G662" s="36">
        <f t="shared" si="21"/>
        <v>657</v>
      </c>
      <c r="H662" s="18">
        <f>IF(NOT(D662="G"),'RW predict'!E661,0)</f>
        <v>1</v>
      </c>
      <c r="I662" s="18">
        <f>'RW predict'!Q661</f>
        <v>55</v>
      </c>
      <c r="J662" s="18">
        <f>'RW predict'!F661</f>
        <v>7</v>
      </c>
      <c r="K662" s="18"/>
      <c r="L662" s="18"/>
      <c r="M662" s="18">
        <f>'RW predict'!P661</f>
        <v>41</v>
      </c>
      <c r="N662" s="18"/>
      <c r="O662" s="18">
        <f>'RW predict'!H661</f>
        <v>2</v>
      </c>
      <c r="P662" s="18">
        <f>'RW predict'!I661</f>
        <v>20</v>
      </c>
      <c r="Q662" s="18">
        <f>'RW predict'!L661</f>
        <v>0</v>
      </c>
      <c r="R662" s="18">
        <f>'RW predict'!N661</f>
        <v>0</v>
      </c>
      <c r="S662" s="76">
        <f>'RW predict'!O661</f>
        <v>0</v>
      </c>
      <c r="T662" s="76">
        <f>'RW predict'!K661</f>
        <v>0</v>
      </c>
      <c r="U662" s="22">
        <f>'RW predict'!J661</f>
        <v>61</v>
      </c>
      <c r="V662" s="32">
        <f>IF(D662="G",'RW predict'!E661,0)</f>
        <v>0</v>
      </c>
      <c r="W662" s="18">
        <f>'RW predict'!R661</f>
        <v>0</v>
      </c>
      <c r="X662" s="18">
        <f>'RW predict'!T661</f>
        <v>0</v>
      </c>
      <c r="Y662" s="18">
        <f>'RW predict'!Y661</f>
        <v>0</v>
      </c>
      <c r="Z662" s="18">
        <f>'RW predict'!U661</f>
        <v>0</v>
      </c>
      <c r="AA662" s="18">
        <f>'RW predict'!W661</f>
        <v>0</v>
      </c>
    </row>
    <row r="663" spans="1:27" x14ac:dyDescent="0.3">
      <c r="A663" s="18">
        <v>660</v>
      </c>
      <c r="B663" s="18" t="str">
        <f>'RW predict'!A662</f>
        <v>Josh Brown</v>
      </c>
      <c r="C663" s="18" t="str">
        <f>'RW predict'!B662</f>
        <v>ARI</v>
      </c>
      <c r="D663" s="22" t="str" cm="1">
        <f t="array" ref="D663">_xlfn.SWITCH('RW predict'!C662, "C", "F", "LW","F", "RW", "F", "D", "D", "G", "G", "other")</f>
        <v>D</v>
      </c>
      <c r="E663" s="32">
        <f t="shared" si="20"/>
        <v>582</v>
      </c>
      <c r="F663" s="35">
        <f>E663/assumptions!$B$2</f>
        <v>7.0975609756097562</v>
      </c>
      <c r="G663" s="36">
        <f t="shared" si="21"/>
        <v>641</v>
      </c>
      <c r="H663" s="18">
        <f>IF(NOT(D663="G"),'RW predict'!E662,0)</f>
        <v>1</v>
      </c>
      <c r="I663" s="18">
        <f>'RW predict'!Q662</f>
        <v>68</v>
      </c>
      <c r="J663" s="18">
        <f>'RW predict'!F662</f>
        <v>7</v>
      </c>
      <c r="K663" s="18"/>
      <c r="L663" s="18"/>
      <c r="M663" s="18">
        <f>'RW predict'!P662</f>
        <v>110</v>
      </c>
      <c r="N663" s="18"/>
      <c r="O663" s="18">
        <f>'RW predict'!H662</f>
        <v>-8</v>
      </c>
      <c r="P663" s="18">
        <f>'RW predict'!I662</f>
        <v>42</v>
      </c>
      <c r="Q663" s="18">
        <f>'RW predict'!L662</f>
        <v>0</v>
      </c>
      <c r="R663" s="18">
        <f>'RW predict'!N662</f>
        <v>0</v>
      </c>
      <c r="S663" s="76">
        <f>'RW predict'!O662</f>
        <v>0</v>
      </c>
      <c r="T663" s="76">
        <f>'RW predict'!K662</f>
        <v>0</v>
      </c>
      <c r="U663" s="22">
        <f>'RW predict'!J662</f>
        <v>45</v>
      </c>
      <c r="V663" s="32">
        <f>IF(D663="G",'RW predict'!E662,0)</f>
        <v>0</v>
      </c>
      <c r="W663" s="18">
        <f>'RW predict'!R662</f>
        <v>0</v>
      </c>
      <c r="X663" s="18">
        <f>'RW predict'!T662</f>
        <v>0</v>
      </c>
      <c r="Y663" s="18">
        <f>'RW predict'!Y662</f>
        <v>0</v>
      </c>
      <c r="Z663" s="18">
        <f>'RW predict'!U662</f>
        <v>0</v>
      </c>
      <c r="AA663" s="18">
        <f>'RW predict'!W662</f>
        <v>0</v>
      </c>
    </row>
    <row r="664" spans="1:27" x14ac:dyDescent="0.3">
      <c r="A664" s="18">
        <v>661</v>
      </c>
      <c r="B664" s="18" t="str">
        <f>'RW predict'!A663</f>
        <v>Travis Dermott</v>
      </c>
      <c r="C664" s="18" t="str">
        <f>'RW predict'!B663</f>
        <v>VAN</v>
      </c>
      <c r="D664" s="22" t="str" cm="1">
        <f t="array" ref="D664">_xlfn.SWITCH('RW predict'!C663, "C", "F", "LW","F", "RW", "F", "D", "D", "G", "G", "other")</f>
        <v>D</v>
      </c>
      <c r="E664" s="32">
        <f t="shared" si="20"/>
        <v>591</v>
      </c>
      <c r="F664" s="35">
        <f>E664/assumptions!$B$2</f>
        <v>7.2073170731707314</v>
      </c>
      <c r="G664" s="36">
        <f t="shared" si="21"/>
        <v>639</v>
      </c>
      <c r="H664" s="18">
        <f>IF(NOT(D664="G"),'RW predict'!E663,0)</f>
        <v>2</v>
      </c>
      <c r="I664" s="18">
        <f>'RW predict'!Q663</f>
        <v>42</v>
      </c>
      <c r="J664" s="18">
        <f>'RW predict'!F663</f>
        <v>6</v>
      </c>
      <c r="K664" s="18"/>
      <c r="L664" s="18"/>
      <c r="M664" s="18">
        <f>'RW predict'!P663</f>
        <v>51</v>
      </c>
      <c r="N664" s="18"/>
      <c r="O664" s="18">
        <f>'RW predict'!H663</f>
        <v>7</v>
      </c>
      <c r="P664" s="18">
        <f>'RW predict'!I663</f>
        <v>20</v>
      </c>
      <c r="Q664" s="18">
        <f>'RW predict'!L663</f>
        <v>0</v>
      </c>
      <c r="R664" s="18">
        <f>'RW predict'!N663</f>
        <v>0</v>
      </c>
      <c r="S664" s="76">
        <f>'RW predict'!O663</f>
        <v>0</v>
      </c>
      <c r="T664" s="76">
        <f>'RW predict'!K663</f>
        <v>0</v>
      </c>
      <c r="U664" s="22">
        <f>'RW predict'!J663</f>
        <v>63</v>
      </c>
      <c r="V664" s="32">
        <f>IF(D664="G",'RW predict'!E663,0)</f>
        <v>0</v>
      </c>
      <c r="W664" s="18">
        <f>'RW predict'!R663</f>
        <v>0</v>
      </c>
      <c r="X664" s="18">
        <f>'RW predict'!T663</f>
        <v>0</v>
      </c>
      <c r="Y664" s="18">
        <f>'RW predict'!Y663</f>
        <v>0</v>
      </c>
      <c r="Z664" s="18">
        <f>'RW predict'!U663</f>
        <v>0</v>
      </c>
      <c r="AA664" s="18">
        <f>'RW predict'!W663</f>
        <v>0</v>
      </c>
    </row>
    <row r="665" spans="1:27" x14ac:dyDescent="0.3">
      <c r="A665" s="18">
        <v>662</v>
      </c>
      <c r="B665" s="18" t="str">
        <f>'RW predict'!A664</f>
        <v>Laurent Dauphin</v>
      </c>
      <c r="C665" s="18" t="str">
        <f>'RW predict'!B664</f>
        <v>ARI</v>
      </c>
      <c r="D665" s="22" t="str" cm="1">
        <f t="array" ref="D665">_xlfn.SWITCH('RW predict'!C664, "C", "F", "LW","F", "RW", "F", "D", "D", "G", "G", "other")</f>
        <v>F</v>
      </c>
      <c r="E665" s="32">
        <f t="shared" si="20"/>
        <v>308</v>
      </c>
      <c r="F665" s="35">
        <f>E665/assumptions!$B$2</f>
        <v>3.7560975609756095</v>
      </c>
      <c r="G665" s="36">
        <f t="shared" si="21"/>
        <v>765</v>
      </c>
      <c r="H665" s="18">
        <f>IF(NOT(D665="G"),'RW predict'!E664,0)</f>
        <v>2</v>
      </c>
      <c r="I665" s="18">
        <f>'RW predict'!Q664</f>
        <v>23</v>
      </c>
      <c r="J665" s="18">
        <f>'RW predict'!F664</f>
        <v>6</v>
      </c>
      <c r="K665" s="18"/>
      <c r="L665" s="18"/>
      <c r="M665" s="18">
        <f>'RW predict'!P664</f>
        <v>26</v>
      </c>
      <c r="N665" s="18"/>
      <c r="O665" s="18">
        <f>'RW predict'!H664</f>
        <v>-10</v>
      </c>
      <c r="P665" s="18">
        <f>'RW predict'!I664</f>
        <v>20</v>
      </c>
      <c r="Q665" s="18">
        <f>'RW predict'!L664</f>
        <v>0</v>
      </c>
      <c r="R665" s="18">
        <f>'RW predict'!N664</f>
        <v>0</v>
      </c>
      <c r="S665" s="76">
        <f>'RW predict'!O664</f>
        <v>0</v>
      </c>
      <c r="T665" s="76">
        <f>'RW predict'!K664</f>
        <v>0</v>
      </c>
      <c r="U665" s="22">
        <f>'RW predict'!J664</f>
        <v>38</v>
      </c>
      <c r="V665" s="32">
        <f>IF(D665="G",'RW predict'!E664,0)</f>
        <v>0</v>
      </c>
      <c r="W665" s="18">
        <f>'RW predict'!R664</f>
        <v>0</v>
      </c>
      <c r="X665" s="18">
        <f>'RW predict'!T664</f>
        <v>0</v>
      </c>
      <c r="Y665" s="18">
        <f>'RW predict'!Y664</f>
        <v>0</v>
      </c>
      <c r="Z665" s="18">
        <f>'RW predict'!U664</f>
        <v>0</v>
      </c>
      <c r="AA665" s="18">
        <f>'RW predict'!W664</f>
        <v>0</v>
      </c>
    </row>
    <row r="666" spans="1:27" x14ac:dyDescent="0.3">
      <c r="A666" s="18">
        <v>663</v>
      </c>
      <c r="B666" s="18" t="str">
        <f>'RW predict'!A665</f>
        <v>Ryan Carpenter</v>
      </c>
      <c r="C666" s="18" t="str">
        <f>'RW predict'!B665</f>
        <v>NYR</v>
      </c>
      <c r="D666" s="22" t="str" cm="1">
        <f t="array" ref="D666">_xlfn.SWITCH('RW predict'!C665, "C", "F", "LW","F", "RW", "F", "D", "D", "G", "G", "other")</f>
        <v>F</v>
      </c>
      <c r="E666" s="32">
        <f t="shared" si="20"/>
        <v>522</v>
      </c>
      <c r="F666" s="35">
        <f>E666/assumptions!$B$2</f>
        <v>6.3658536585365857</v>
      </c>
      <c r="G666" s="36">
        <f t="shared" si="21"/>
        <v>674</v>
      </c>
      <c r="H666" s="18">
        <f>IF(NOT(D666="G"),'RW predict'!E665,0)</f>
        <v>2</v>
      </c>
      <c r="I666" s="18">
        <f>'RW predict'!Q665</f>
        <v>28</v>
      </c>
      <c r="J666" s="18">
        <f>'RW predict'!F665</f>
        <v>6</v>
      </c>
      <c r="K666" s="18"/>
      <c r="L666" s="18"/>
      <c r="M666" s="18">
        <f>'RW predict'!P665</f>
        <v>80</v>
      </c>
      <c r="N666" s="18"/>
      <c r="O666" s="18">
        <f>'RW predict'!H665</f>
        <v>-9</v>
      </c>
      <c r="P666" s="18">
        <f>'RW predict'!I665</f>
        <v>34</v>
      </c>
      <c r="Q666" s="18">
        <f>'RW predict'!L665</f>
        <v>0</v>
      </c>
      <c r="R666" s="18">
        <f>'RW predict'!N665</f>
        <v>0</v>
      </c>
      <c r="S666" s="76">
        <f>'RW predict'!O665</f>
        <v>1</v>
      </c>
      <c r="T666" s="76">
        <f>'RW predict'!K665</f>
        <v>1</v>
      </c>
      <c r="U666" s="22">
        <f>'RW predict'!J665</f>
        <v>72</v>
      </c>
      <c r="V666" s="32">
        <f>IF(D666="G",'RW predict'!E665,0)</f>
        <v>0</v>
      </c>
      <c r="W666" s="18">
        <f>'RW predict'!R665</f>
        <v>0</v>
      </c>
      <c r="X666" s="18">
        <f>'RW predict'!T665</f>
        <v>0</v>
      </c>
      <c r="Y666" s="18">
        <f>'RW predict'!Y665</f>
        <v>0</v>
      </c>
      <c r="Z666" s="18">
        <f>'RW predict'!U665</f>
        <v>0</v>
      </c>
      <c r="AA666" s="18">
        <f>'RW predict'!W665</f>
        <v>0</v>
      </c>
    </row>
    <row r="667" spans="1:27" x14ac:dyDescent="0.3">
      <c r="A667" s="18">
        <v>664</v>
      </c>
      <c r="B667" s="18" t="str">
        <f>'RW predict'!A666</f>
        <v>Cody Eakin</v>
      </c>
      <c r="C667" s="18" t="str">
        <f>'RW predict'!B666</f>
        <v>CGY</v>
      </c>
      <c r="D667" s="22" t="str" cm="1">
        <f t="array" ref="D667">_xlfn.SWITCH('RW predict'!C666, "C", "F", "LW","F", "RW", "F", "D", "D", "G", "G", "other")</f>
        <v>F</v>
      </c>
      <c r="E667" s="32">
        <f t="shared" si="20"/>
        <v>381</v>
      </c>
      <c r="F667" s="35">
        <f>E667/assumptions!$B$2</f>
        <v>4.6463414634146343</v>
      </c>
      <c r="G667" s="36">
        <f t="shared" si="21"/>
        <v>732</v>
      </c>
      <c r="H667" s="18">
        <f>IF(NOT(D667="G"),'RW predict'!E666,0)</f>
        <v>3</v>
      </c>
      <c r="I667" s="18">
        <f>'RW predict'!Q666</f>
        <v>19</v>
      </c>
      <c r="J667" s="18">
        <f>'RW predict'!F666</f>
        <v>5</v>
      </c>
      <c r="K667" s="18"/>
      <c r="L667" s="18"/>
      <c r="M667" s="18">
        <f>'RW predict'!P666</f>
        <v>25</v>
      </c>
      <c r="N667" s="18"/>
      <c r="O667" s="18">
        <f>'RW predict'!H666</f>
        <v>-13</v>
      </c>
      <c r="P667" s="18">
        <f>'RW predict'!I666</f>
        <v>22</v>
      </c>
      <c r="Q667" s="18">
        <f>'RW predict'!L666</f>
        <v>1</v>
      </c>
      <c r="R667" s="18">
        <f>'RW predict'!N666</f>
        <v>0</v>
      </c>
      <c r="S667" s="76">
        <f>'RW predict'!O666</f>
        <v>1</v>
      </c>
      <c r="T667" s="76">
        <f>'RW predict'!K666</f>
        <v>1</v>
      </c>
      <c r="U667" s="22">
        <f>'RW predict'!J666</f>
        <v>71</v>
      </c>
      <c r="V667" s="32">
        <f>IF(D667="G",'RW predict'!E666,0)</f>
        <v>0</v>
      </c>
      <c r="W667" s="18">
        <f>'RW predict'!R666</f>
        <v>0</v>
      </c>
      <c r="X667" s="18">
        <f>'RW predict'!T666</f>
        <v>0</v>
      </c>
      <c r="Y667" s="18">
        <f>'RW predict'!Y666</f>
        <v>0</v>
      </c>
      <c r="Z667" s="18">
        <f>'RW predict'!U666</f>
        <v>0</v>
      </c>
      <c r="AA667" s="18">
        <f>'RW predict'!W666</f>
        <v>0</v>
      </c>
    </row>
    <row r="668" spans="1:27" x14ac:dyDescent="0.3">
      <c r="A668" s="18">
        <v>665</v>
      </c>
      <c r="B668" s="18" t="str">
        <f>'RW predict'!A667</f>
        <v>Paul Byron</v>
      </c>
      <c r="C668" s="18" t="str">
        <f>'RW predict'!B667</f>
        <v>MON</v>
      </c>
      <c r="D668" s="22" t="str" cm="1">
        <f t="array" ref="D668">_xlfn.SWITCH('RW predict'!C667, "C", "F", "LW","F", "RW", "F", "D", "D", "G", "G", "other")</f>
        <v>F</v>
      </c>
      <c r="E668" s="32">
        <f t="shared" si="20"/>
        <v>297</v>
      </c>
      <c r="F668" s="35">
        <f>E668/assumptions!$B$2</f>
        <v>3.6219512195121952</v>
      </c>
      <c r="G668" s="36">
        <f t="shared" si="21"/>
        <v>773</v>
      </c>
      <c r="H668" s="18">
        <f>IF(NOT(D668="G"),'RW predict'!E667,0)</f>
        <v>3</v>
      </c>
      <c r="I668" s="18">
        <f>'RW predict'!Q667</f>
        <v>9</v>
      </c>
      <c r="J668" s="18">
        <f>'RW predict'!F667</f>
        <v>5</v>
      </c>
      <c r="K668" s="18"/>
      <c r="L668" s="18"/>
      <c r="M668" s="18">
        <f>'RW predict'!P667</f>
        <v>57</v>
      </c>
      <c r="N668" s="18"/>
      <c r="O668" s="18">
        <f>'RW predict'!H667</f>
        <v>-5</v>
      </c>
      <c r="P668" s="18">
        <f>'RW predict'!I667</f>
        <v>4</v>
      </c>
      <c r="Q668" s="18">
        <f>'RW predict'!L667</f>
        <v>0</v>
      </c>
      <c r="R668" s="18">
        <f>'RW predict'!N667</f>
        <v>0</v>
      </c>
      <c r="S668" s="76">
        <f>'RW predict'!O667</f>
        <v>0</v>
      </c>
      <c r="T668" s="76">
        <f>'RW predict'!K667</f>
        <v>0</v>
      </c>
      <c r="U668" s="22">
        <f>'RW predict'!J667</f>
        <v>30</v>
      </c>
      <c r="V668" s="32">
        <f>IF(D668="G",'RW predict'!E667,0)</f>
        <v>0</v>
      </c>
      <c r="W668" s="18">
        <f>'RW predict'!R667</f>
        <v>0</v>
      </c>
      <c r="X668" s="18">
        <f>'RW predict'!T667</f>
        <v>0</v>
      </c>
      <c r="Y668" s="18">
        <f>'RW predict'!Y667</f>
        <v>0</v>
      </c>
      <c r="Z668" s="18">
        <f>'RW predict'!U667</f>
        <v>0</v>
      </c>
      <c r="AA668" s="18">
        <f>'RW predict'!W667</f>
        <v>0</v>
      </c>
    </row>
    <row r="669" spans="1:27" x14ac:dyDescent="0.3">
      <c r="A669" s="18">
        <v>666</v>
      </c>
      <c r="B669" s="18" t="str">
        <f>'RW predict'!A668</f>
        <v>Zach Bogosian</v>
      </c>
      <c r="C669" s="18" t="str">
        <f>'RW predict'!B668</f>
        <v>TB</v>
      </c>
      <c r="D669" s="22" t="str" cm="1">
        <f t="array" ref="D669">_xlfn.SWITCH('RW predict'!C668, "C", "F", "LW","F", "RW", "F", "D", "D", "G", "G", "other")</f>
        <v>D</v>
      </c>
      <c r="E669" s="32">
        <f t="shared" si="20"/>
        <v>669</v>
      </c>
      <c r="F669" s="35">
        <f>E669/assumptions!$B$2</f>
        <v>8.1585365853658534</v>
      </c>
      <c r="G669" s="36">
        <f t="shared" si="21"/>
        <v>616</v>
      </c>
      <c r="H669" s="18">
        <f>IF(NOT(D669="G"),'RW predict'!E668,0)</f>
        <v>2</v>
      </c>
      <c r="I669" s="18">
        <f>'RW predict'!Q668</f>
        <v>35</v>
      </c>
      <c r="J669" s="18">
        <f>'RW predict'!F668</f>
        <v>6</v>
      </c>
      <c r="K669" s="18"/>
      <c r="L669" s="18"/>
      <c r="M669" s="18">
        <f>'RW predict'!P668</f>
        <v>101</v>
      </c>
      <c r="N669" s="18"/>
      <c r="O669" s="18">
        <f>'RW predict'!H668</f>
        <v>4</v>
      </c>
      <c r="P669" s="18">
        <f>'RW predict'!I668</f>
        <v>50</v>
      </c>
      <c r="Q669" s="18">
        <f>'RW predict'!L668</f>
        <v>0</v>
      </c>
      <c r="R669" s="18">
        <f>'RW predict'!N668</f>
        <v>0</v>
      </c>
      <c r="S669" s="76">
        <f>'RW predict'!O668</f>
        <v>0</v>
      </c>
      <c r="T669" s="76">
        <f>'RW predict'!K668</f>
        <v>0</v>
      </c>
      <c r="U669" s="22">
        <f>'RW predict'!J668</f>
        <v>54</v>
      </c>
      <c r="V669" s="32">
        <f>IF(D669="G",'RW predict'!E668,0)</f>
        <v>0</v>
      </c>
      <c r="W669" s="18">
        <f>'RW predict'!R668</f>
        <v>0</v>
      </c>
      <c r="X669" s="18">
        <f>'RW predict'!T668</f>
        <v>0</v>
      </c>
      <c r="Y669" s="18">
        <f>'RW predict'!Y668</f>
        <v>0</v>
      </c>
      <c r="Z669" s="18">
        <f>'RW predict'!U668</f>
        <v>0</v>
      </c>
      <c r="AA669" s="18">
        <f>'RW predict'!W668</f>
        <v>0</v>
      </c>
    </row>
    <row r="670" spans="1:27" x14ac:dyDescent="0.3">
      <c r="A670" s="18">
        <v>667</v>
      </c>
      <c r="B670" s="18" t="str">
        <f>'RW predict'!A669</f>
        <v>Brendan Smith</v>
      </c>
      <c r="C670" s="18" t="str">
        <f>'RW predict'!B669</f>
        <v>NJ</v>
      </c>
      <c r="D670" s="22" t="str" cm="1">
        <f t="array" ref="D670">_xlfn.SWITCH('RW predict'!C669, "C", "F", "LW","F", "RW", "F", "D", "D", "G", "G", "other")</f>
        <v>D</v>
      </c>
      <c r="E670" s="32">
        <f t="shared" si="20"/>
        <v>577</v>
      </c>
      <c r="F670" s="35">
        <f>E670/assumptions!$B$2</f>
        <v>7.0365853658536581</v>
      </c>
      <c r="G670" s="36">
        <f t="shared" si="21"/>
        <v>643</v>
      </c>
      <c r="H670" s="18">
        <f>IF(NOT(D670="G"),'RW predict'!E669,0)</f>
        <v>3</v>
      </c>
      <c r="I670" s="18">
        <f>'RW predict'!Q669</f>
        <v>38</v>
      </c>
      <c r="J670" s="18">
        <f>'RW predict'!F669</f>
        <v>5</v>
      </c>
      <c r="K670" s="18"/>
      <c r="L670" s="18"/>
      <c r="M670" s="18">
        <f>'RW predict'!P669</f>
        <v>74</v>
      </c>
      <c r="N670" s="18"/>
      <c r="O670" s="18">
        <f>'RW predict'!H669</f>
        <v>4</v>
      </c>
      <c r="P670" s="18">
        <f>'RW predict'!I669</f>
        <v>35</v>
      </c>
      <c r="Q670" s="18">
        <f>'RW predict'!L669</f>
        <v>0</v>
      </c>
      <c r="R670" s="18">
        <f>'RW predict'!N669</f>
        <v>0</v>
      </c>
      <c r="S670" s="76">
        <f>'RW predict'!O669</f>
        <v>0</v>
      </c>
      <c r="T670" s="76">
        <f>'RW predict'!K669</f>
        <v>0</v>
      </c>
      <c r="U670" s="22">
        <f>'RW predict'!J669</f>
        <v>41</v>
      </c>
      <c r="V670" s="32">
        <f>IF(D670="G",'RW predict'!E669,0)</f>
        <v>0</v>
      </c>
      <c r="W670" s="18">
        <f>'RW predict'!R669</f>
        <v>0</v>
      </c>
      <c r="X670" s="18">
        <f>'RW predict'!T669</f>
        <v>0</v>
      </c>
      <c r="Y670" s="18">
        <f>'RW predict'!Y669</f>
        <v>0</v>
      </c>
      <c r="Z670" s="18">
        <f>'RW predict'!U669</f>
        <v>0</v>
      </c>
      <c r="AA670" s="18">
        <f>'RW predict'!W669</f>
        <v>0</v>
      </c>
    </row>
    <row r="671" spans="1:27" x14ac:dyDescent="0.3">
      <c r="A671" s="18">
        <v>668</v>
      </c>
      <c r="B671" s="18" t="str">
        <f>'RW predict'!A670</f>
        <v>Kyle Turris</v>
      </c>
      <c r="C671" s="18" t="str">
        <f>'RW predict'!B670</f>
        <v>FA</v>
      </c>
      <c r="D671" s="22" t="str" cm="1">
        <f t="array" ref="D671">_xlfn.SWITCH('RW predict'!C670, "C", "F", "LW","F", "RW", "F", "D", "D", "G", "G", "other")</f>
        <v>F</v>
      </c>
      <c r="E671" s="32">
        <f t="shared" si="20"/>
        <v>224</v>
      </c>
      <c r="F671" s="35">
        <f>E671/assumptions!$B$2</f>
        <v>2.7317073170731709</v>
      </c>
      <c r="G671" s="36">
        <f t="shared" si="21"/>
        <v>812</v>
      </c>
      <c r="H671" s="18">
        <f>IF(NOT(D671="G"),'RW predict'!E670,0)</f>
        <v>2</v>
      </c>
      <c r="I671" s="18">
        <f>'RW predict'!Q670</f>
        <v>10</v>
      </c>
      <c r="J671" s="18">
        <f>'RW predict'!F670</f>
        <v>5</v>
      </c>
      <c r="K671" s="18"/>
      <c r="L671" s="18"/>
      <c r="M671" s="18">
        <f>'RW predict'!P670</f>
        <v>16</v>
      </c>
      <c r="N671" s="18"/>
      <c r="O671" s="18">
        <f>'RW predict'!H670</f>
        <v>-7</v>
      </c>
      <c r="P671" s="18">
        <f>'RW predict'!I670</f>
        <v>7</v>
      </c>
      <c r="Q671" s="18">
        <f>'RW predict'!L670</f>
        <v>0</v>
      </c>
      <c r="R671" s="18">
        <f>'RW predict'!N670</f>
        <v>0</v>
      </c>
      <c r="S671" s="76">
        <f>'RW predict'!O670</f>
        <v>0</v>
      </c>
      <c r="T671" s="76">
        <f>'RW predict'!K670</f>
        <v>0</v>
      </c>
      <c r="U671" s="22">
        <f>'RW predict'!J670</f>
        <v>31</v>
      </c>
      <c r="V671" s="32">
        <f>IF(D671="G",'RW predict'!E670,0)</f>
        <v>0</v>
      </c>
      <c r="W671" s="18">
        <f>'RW predict'!R670</f>
        <v>0</v>
      </c>
      <c r="X671" s="18">
        <f>'RW predict'!T670</f>
        <v>0</v>
      </c>
      <c r="Y671" s="18">
        <f>'RW predict'!Y670</f>
        <v>0</v>
      </c>
      <c r="Z671" s="18">
        <f>'RW predict'!U670</f>
        <v>0</v>
      </c>
      <c r="AA671" s="18">
        <f>'RW predict'!W670</f>
        <v>0</v>
      </c>
    </row>
    <row r="672" spans="1:27" x14ac:dyDescent="0.3">
      <c r="A672" s="18">
        <v>669</v>
      </c>
      <c r="B672" s="18" t="str">
        <f>'RW predict'!A671</f>
        <v>James Neal</v>
      </c>
      <c r="C672" s="18" t="str">
        <f>'RW predict'!B671</f>
        <v>CLS</v>
      </c>
      <c r="D672" s="22" t="str" cm="1">
        <f t="array" ref="D672">_xlfn.SWITCH('RW predict'!C671, "C", "F", "LW","F", "RW", "F", "D", "D", "G", "G", "other")</f>
        <v>F</v>
      </c>
      <c r="E672" s="32">
        <f t="shared" si="20"/>
        <v>316</v>
      </c>
      <c r="F672" s="35">
        <f>E672/assumptions!$B$2</f>
        <v>3.8536585365853657</v>
      </c>
      <c r="G672" s="36">
        <f t="shared" si="21"/>
        <v>763</v>
      </c>
      <c r="H672" s="18">
        <f>IF(NOT(D672="G"),'RW predict'!E671,0)</f>
        <v>4</v>
      </c>
      <c r="I672" s="18">
        <f>'RW predict'!Q671</f>
        <v>4</v>
      </c>
      <c r="J672" s="18">
        <f>'RW predict'!F671</f>
        <v>3</v>
      </c>
      <c r="K672" s="18"/>
      <c r="L672" s="18"/>
      <c r="M672" s="18">
        <f>'RW predict'!P671</f>
        <v>24</v>
      </c>
      <c r="N672" s="18"/>
      <c r="O672" s="18">
        <f>'RW predict'!H671</f>
        <v>-3</v>
      </c>
      <c r="P672" s="18">
        <f>'RW predict'!I671</f>
        <v>3</v>
      </c>
      <c r="Q672" s="18">
        <f>'RW predict'!L671</f>
        <v>2</v>
      </c>
      <c r="R672" s="18">
        <f>'RW predict'!N671</f>
        <v>0</v>
      </c>
      <c r="S672" s="76">
        <f>'RW predict'!O671</f>
        <v>0</v>
      </c>
      <c r="T672" s="76">
        <f>'RW predict'!K671</f>
        <v>1</v>
      </c>
      <c r="U672" s="22">
        <f>'RW predict'!J671</f>
        <v>45</v>
      </c>
      <c r="V672" s="32">
        <f>IF(D672="G",'RW predict'!E671,0)</f>
        <v>0</v>
      </c>
      <c r="W672" s="18">
        <f>'RW predict'!R671</f>
        <v>0</v>
      </c>
      <c r="X672" s="18">
        <f>'RW predict'!T671</f>
        <v>0</v>
      </c>
      <c r="Y672" s="18">
        <f>'RW predict'!Y671</f>
        <v>0</v>
      </c>
      <c r="Z672" s="18">
        <f>'RW predict'!U671</f>
        <v>0</v>
      </c>
      <c r="AA672" s="18">
        <f>'RW predict'!W671</f>
        <v>0</v>
      </c>
    </row>
    <row r="673" spans="1:27" x14ac:dyDescent="0.3">
      <c r="A673" s="18">
        <v>670</v>
      </c>
      <c r="B673" s="18" t="str">
        <f>'RW predict'!A672</f>
        <v>Jack Johnson</v>
      </c>
      <c r="C673" s="18" t="str">
        <f>'RW predict'!B672</f>
        <v>CHI</v>
      </c>
      <c r="D673" s="22" t="str" cm="1">
        <f t="array" ref="D673">_xlfn.SWITCH('RW predict'!C672, "C", "F", "LW","F", "RW", "F", "D", "D", "G", "G", "other")</f>
        <v>D</v>
      </c>
      <c r="E673" s="32">
        <f t="shared" si="20"/>
        <v>643</v>
      </c>
      <c r="F673" s="35">
        <f>E673/assumptions!$B$2</f>
        <v>7.8414634146341466</v>
      </c>
      <c r="G673" s="36">
        <f t="shared" si="21"/>
        <v>618</v>
      </c>
      <c r="H673" s="18">
        <f>IF(NOT(D673="G"),'RW predict'!E672,0)</f>
        <v>1</v>
      </c>
      <c r="I673" s="18">
        <f>'RW predict'!Q672</f>
        <v>60</v>
      </c>
      <c r="J673" s="18">
        <f>'RW predict'!F672</f>
        <v>6</v>
      </c>
      <c r="K673" s="18"/>
      <c r="L673" s="18"/>
      <c r="M673" s="18">
        <f>'RW predict'!P672</f>
        <v>86</v>
      </c>
      <c r="N673" s="18"/>
      <c r="O673" s="18">
        <f>'RW predict'!H672</f>
        <v>3</v>
      </c>
      <c r="P673" s="18">
        <f>'RW predict'!I672</f>
        <v>38</v>
      </c>
      <c r="Q673" s="18">
        <f>'RW predict'!L672</f>
        <v>0</v>
      </c>
      <c r="R673" s="18">
        <f>'RW predict'!N672</f>
        <v>0</v>
      </c>
      <c r="S673" s="76">
        <f>'RW predict'!O672</f>
        <v>1</v>
      </c>
      <c r="T673" s="76">
        <f>'RW predict'!K672</f>
        <v>0</v>
      </c>
      <c r="U673" s="22">
        <f>'RW predict'!J672</f>
        <v>54</v>
      </c>
      <c r="V673" s="32">
        <f>IF(D673="G",'RW predict'!E672,0)</f>
        <v>0</v>
      </c>
      <c r="W673" s="18">
        <f>'RW predict'!R672</f>
        <v>0</v>
      </c>
      <c r="X673" s="18">
        <f>'RW predict'!T672</f>
        <v>0</v>
      </c>
      <c r="Y673" s="18">
        <f>'RW predict'!Y672</f>
        <v>0</v>
      </c>
      <c r="Z673" s="18">
        <f>'RW predict'!U672</f>
        <v>0</v>
      </c>
      <c r="AA673" s="18">
        <f>'RW predict'!W672</f>
        <v>0</v>
      </c>
    </row>
    <row r="674" spans="1:27" x14ac:dyDescent="0.3">
      <c r="A674" s="18">
        <v>671</v>
      </c>
      <c r="B674" s="18" t="str">
        <f>'RW predict'!A673</f>
        <v>Kyle Clifford</v>
      </c>
      <c r="C674" s="18" t="str">
        <f>'RW predict'!B673</f>
        <v>TOR</v>
      </c>
      <c r="D674" s="22" t="str" cm="1">
        <f t="array" ref="D674">_xlfn.SWITCH('RW predict'!C673, "C", "F", "LW","F", "RW", "F", "D", "D", "G", "G", "other")</f>
        <v>F</v>
      </c>
      <c r="E674" s="32">
        <f t="shared" si="20"/>
        <v>430</v>
      </c>
      <c r="F674" s="35">
        <f>E674/assumptions!$B$2</f>
        <v>5.2439024390243905</v>
      </c>
      <c r="G674" s="36">
        <f t="shared" si="21"/>
        <v>715</v>
      </c>
      <c r="H674" s="18">
        <f>IF(NOT(D674="G"),'RW predict'!E673,0)</f>
        <v>3</v>
      </c>
      <c r="I674" s="18">
        <f>'RW predict'!Q673</f>
        <v>11</v>
      </c>
      <c r="J674" s="18">
        <f>'RW predict'!F673</f>
        <v>4</v>
      </c>
      <c r="K674" s="18"/>
      <c r="L674" s="18"/>
      <c r="M674" s="18">
        <f>'RW predict'!P673</f>
        <v>69</v>
      </c>
      <c r="N674" s="18"/>
      <c r="O674" s="18">
        <f>'RW predict'!H673</f>
        <v>-7</v>
      </c>
      <c r="P674" s="18">
        <f>'RW predict'!I673</f>
        <v>44</v>
      </c>
      <c r="Q674" s="18">
        <f>'RW predict'!L673</f>
        <v>0</v>
      </c>
      <c r="R674" s="18">
        <f>'RW predict'!N673</f>
        <v>0</v>
      </c>
      <c r="S674" s="76">
        <f>'RW predict'!O673</f>
        <v>0</v>
      </c>
      <c r="T674" s="76">
        <f>'RW predict'!K673</f>
        <v>0</v>
      </c>
      <c r="U674" s="22">
        <f>'RW predict'!J673</f>
        <v>51</v>
      </c>
      <c r="V674" s="32">
        <f>IF(D674="G",'RW predict'!E673,0)</f>
        <v>0</v>
      </c>
      <c r="W674" s="18">
        <f>'RW predict'!R673</f>
        <v>0</v>
      </c>
      <c r="X674" s="18">
        <f>'RW predict'!T673</f>
        <v>0</v>
      </c>
      <c r="Y674" s="18">
        <f>'RW predict'!Y673</f>
        <v>0</v>
      </c>
      <c r="Z674" s="18">
        <f>'RW predict'!U673</f>
        <v>0</v>
      </c>
      <c r="AA674" s="18">
        <f>'RW predict'!W673</f>
        <v>0</v>
      </c>
    </row>
    <row r="675" spans="1:27" x14ac:dyDescent="0.3">
      <c r="A675" s="18">
        <v>672</v>
      </c>
      <c r="B675" s="18" t="str">
        <f>'RW predict'!A674</f>
        <v>Tyler Pitlick</v>
      </c>
      <c r="C675" s="18" t="str">
        <f>'RW predict'!B674</f>
        <v>STL</v>
      </c>
      <c r="D675" s="22" t="str" cm="1">
        <f t="array" ref="D675">_xlfn.SWITCH('RW predict'!C674, "C", "F", "LW","F", "RW", "F", "D", "D", "G", "G", "other")</f>
        <v>F</v>
      </c>
      <c r="E675" s="32">
        <f t="shared" si="20"/>
        <v>361</v>
      </c>
      <c r="F675" s="35">
        <f>E675/assumptions!$B$2</f>
        <v>4.4024390243902438</v>
      </c>
      <c r="G675" s="36">
        <f t="shared" si="21"/>
        <v>739</v>
      </c>
      <c r="H675" s="18">
        <f>IF(NOT(D675="G"),'RW predict'!E674,0)</f>
        <v>3</v>
      </c>
      <c r="I675" s="18">
        <f>'RW predict'!Q674</f>
        <v>29</v>
      </c>
      <c r="J675" s="18">
        <f>'RW predict'!F674</f>
        <v>4</v>
      </c>
      <c r="K675" s="18"/>
      <c r="L675" s="18"/>
      <c r="M675" s="18">
        <f>'RW predict'!P674</f>
        <v>74</v>
      </c>
      <c r="N675" s="18"/>
      <c r="O675" s="18">
        <f>'RW predict'!H674</f>
        <v>-7</v>
      </c>
      <c r="P675" s="18">
        <f>'RW predict'!I674</f>
        <v>10</v>
      </c>
      <c r="Q675" s="18">
        <f>'RW predict'!L674</f>
        <v>0</v>
      </c>
      <c r="R675" s="18">
        <f>'RW predict'!N674</f>
        <v>0</v>
      </c>
      <c r="S675" s="76">
        <f>'RW predict'!O674</f>
        <v>0</v>
      </c>
      <c r="T675" s="76">
        <f>'RW predict'!K674</f>
        <v>0</v>
      </c>
      <c r="U675" s="22">
        <f>'RW predict'!J674</f>
        <v>47</v>
      </c>
      <c r="V675" s="32">
        <f>IF(D675="G",'RW predict'!E674,0)</f>
        <v>0</v>
      </c>
      <c r="W675" s="18">
        <f>'RW predict'!R674</f>
        <v>0</v>
      </c>
      <c r="X675" s="18">
        <f>'RW predict'!T674</f>
        <v>0</v>
      </c>
      <c r="Y675" s="18">
        <f>'RW predict'!Y674</f>
        <v>0</v>
      </c>
      <c r="Z675" s="18">
        <f>'RW predict'!U674</f>
        <v>0</v>
      </c>
      <c r="AA675" s="18">
        <f>'RW predict'!W674</f>
        <v>0</v>
      </c>
    </row>
    <row r="676" spans="1:27" x14ac:dyDescent="0.3">
      <c r="A676" s="18">
        <v>673</v>
      </c>
      <c r="B676" s="18" t="str">
        <f>'RW predict'!A675</f>
        <v>Mark Pysyk</v>
      </c>
      <c r="C676" s="18" t="str">
        <f>'RW predict'!B675</f>
        <v>DET</v>
      </c>
      <c r="D676" s="22" t="str" cm="1">
        <f t="array" ref="D676">_xlfn.SWITCH('RW predict'!C675, "C", "F", "LW","F", "RW", "F", "D", "D", "G", "G", "other")</f>
        <v>D</v>
      </c>
      <c r="E676" s="32">
        <f t="shared" si="20"/>
        <v>410</v>
      </c>
      <c r="F676" s="35">
        <f>E676/assumptions!$B$2</f>
        <v>5</v>
      </c>
      <c r="G676" s="36">
        <f t="shared" si="21"/>
        <v>720</v>
      </c>
      <c r="H676" s="18">
        <f>IF(NOT(D676="G"),'RW predict'!E675,0)</f>
        <v>3</v>
      </c>
      <c r="I676" s="18">
        <f>'RW predict'!Q675</f>
        <v>47</v>
      </c>
      <c r="J676" s="18">
        <f>'RW predict'!F675</f>
        <v>4</v>
      </c>
      <c r="K676" s="18"/>
      <c r="L676" s="18"/>
      <c r="M676" s="18">
        <f>'RW predict'!P675</f>
        <v>28</v>
      </c>
      <c r="N676" s="18"/>
      <c r="O676" s="18">
        <f>'RW predict'!H675</f>
        <v>-1</v>
      </c>
      <c r="P676" s="18">
        <f>'RW predict'!I675</f>
        <v>11</v>
      </c>
      <c r="Q676" s="18">
        <f>'RW predict'!L675</f>
        <v>0</v>
      </c>
      <c r="R676" s="18">
        <f>'RW predict'!N675</f>
        <v>0</v>
      </c>
      <c r="S676" s="76">
        <f>'RW predict'!O675</f>
        <v>0</v>
      </c>
      <c r="T676" s="76">
        <f>'RW predict'!K675</f>
        <v>0</v>
      </c>
      <c r="U676" s="22">
        <f>'RW predict'!J675</f>
        <v>45</v>
      </c>
      <c r="V676" s="32">
        <f>IF(D676="G",'RW predict'!E675,0)</f>
        <v>0</v>
      </c>
      <c r="W676" s="18">
        <f>'RW predict'!R675</f>
        <v>0</v>
      </c>
      <c r="X676" s="18">
        <f>'RW predict'!T675</f>
        <v>0</v>
      </c>
      <c r="Y676" s="18">
        <f>'RW predict'!Y675</f>
        <v>0</v>
      </c>
      <c r="Z676" s="18">
        <f>'RW predict'!U675</f>
        <v>0</v>
      </c>
      <c r="AA676" s="18">
        <f>'RW predict'!W675</f>
        <v>0</v>
      </c>
    </row>
    <row r="677" spans="1:27" x14ac:dyDescent="0.3">
      <c r="A677" s="18">
        <v>674</v>
      </c>
      <c r="B677" s="18" t="str">
        <f>'RW predict'!A676</f>
        <v>Danny DeKeyser</v>
      </c>
      <c r="C677" s="18" t="str">
        <f>'RW predict'!B676</f>
        <v>VAN</v>
      </c>
      <c r="D677" s="22" t="str" cm="1">
        <f t="array" ref="D677">_xlfn.SWITCH('RW predict'!C676, "C", "F", "LW","F", "RW", "F", "D", "D", "G", "G", "other")</f>
        <v>D</v>
      </c>
      <c r="E677" s="32">
        <f t="shared" si="20"/>
        <v>456</v>
      </c>
      <c r="F677" s="35">
        <f>E677/assumptions!$B$2</f>
        <v>5.5609756097560972</v>
      </c>
      <c r="G677" s="36">
        <f t="shared" si="21"/>
        <v>704</v>
      </c>
      <c r="H677" s="18">
        <f>IF(NOT(D677="G"),'RW predict'!E676,0)</f>
        <v>1</v>
      </c>
      <c r="I677" s="18">
        <f>'RW predict'!Q676</f>
        <v>61</v>
      </c>
      <c r="J677" s="18">
        <f>'RW predict'!F676</f>
        <v>6</v>
      </c>
      <c r="K677" s="18"/>
      <c r="L677" s="18"/>
      <c r="M677" s="18">
        <f>'RW predict'!P676</f>
        <v>31</v>
      </c>
      <c r="N677" s="18"/>
      <c r="O677" s="18">
        <f>'RW predict'!H676</f>
        <v>-5</v>
      </c>
      <c r="P677" s="18">
        <f>'RW predict'!I676</f>
        <v>24</v>
      </c>
      <c r="Q677" s="18">
        <f>'RW predict'!L676</f>
        <v>0</v>
      </c>
      <c r="R677" s="18">
        <f>'RW predict'!N676</f>
        <v>0</v>
      </c>
      <c r="S677" s="76">
        <f>'RW predict'!O676</f>
        <v>0</v>
      </c>
      <c r="T677" s="76">
        <f>'RW predict'!K676</f>
        <v>0</v>
      </c>
      <c r="U677" s="22">
        <f>'RW predict'!J676</f>
        <v>53</v>
      </c>
      <c r="V677" s="32">
        <f>IF(D677="G",'RW predict'!E676,0)</f>
        <v>0</v>
      </c>
      <c r="W677" s="18">
        <f>'RW predict'!R676</f>
        <v>0</v>
      </c>
      <c r="X677" s="18">
        <f>'RW predict'!T676</f>
        <v>0</v>
      </c>
      <c r="Y677" s="18">
        <f>'RW predict'!Y676</f>
        <v>0</v>
      </c>
      <c r="Z677" s="18">
        <f>'RW predict'!U676</f>
        <v>0</v>
      </c>
      <c r="AA677" s="18">
        <f>'RW predict'!W676</f>
        <v>0</v>
      </c>
    </row>
    <row r="678" spans="1:27" x14ac:dyDescent="0.3">
      <c r="A678" s="18">
        <v>675</v>
      </c>
      <c r="B678" s="18" t="str">
        <f>'RW predict'!A677</f>
        <v>Robert Hagg</v>
      </c>
      <c r="C678" s="18" t="str">
        <f>'RW predict'!B677</f>
        <v>DET</v>
      </c>
      <c r="D678" s="22" t="str" cm="1">
        <f t="array" ref="D678">_xlfn.SWITCH('RW predict'!C677, "C", "F", "LW","F", "RW", "F", "D", "D", "G", "G", "other")</f>
        <v>D</v>
      </c>
      <c r="E678" s="32">
        <f t="shared" si="20"/>
        <v>541</v>
      </c>
      <c r="F678" s="35">
        <f>E678/assumptions!$B$2</f>
        <v>6.5975609756097562</v>
      </c>
      <c r="G678" s="36">
        <f t="shared" si="21"/>
        <v>662</v>
      </c>
      <c r="H678" s="18">
        <f>IF(NOT(D678="G"),'RW predict'!E677,0)</f>
        <v>1</v>
      </c>
      <c r="I678" s="18">
        <f>'RW predict'!Q677</f>
        <v>72</v>
      </c>
      <c r="J678" s="18">
        <f>'RW predict'!F677</f>
        <v>6</v>
      </c>
      <c r="K678" s="18"/>
      <c r="L678" s="18"/>
      <c r="M678" s="18">
        <f>'RW predict'!P677</f>
        <v>110</v>
      </c>
      <c r="N678" s="18"/>
      <c r="O678" s="18">
        <f>'RW predict'!H677</f>
        <v>-5</v>
      </c>
      <c r="P678" s="18">
        <f>'RW predict'!I677</f>
        <v>26</v>
      </c>
      <c r="Q678" s="18">
        <f>'RW predict'!L677</f>
        <v>0</v>
      </c>
      <c r="R678" s="18">
        <f>'RW predict'!N677</f>
        <v>0</v>
      </c>
      <c r="S678" s="76">
        <f>'RW predict'!O677</f>
        <v>0</v>
      </c>
      <c r="T678" s="76">
        <f>'RW predict'!K677</f>
        <v>0</v>
      </c>
      <c r="U678" s="22">
        <f>'RW predict'!J677</f>
        <v>42</v>
      </c>
      <c r="V678" s="32">
        <f>IF(D678="G",'RW predict'!E677,0)</f>
        <v>0</v>
      </c>
      <c r="W678" s="18">
        <f>'RW predict'!R677</f>
        <v>0</v>
      </c>
      <c r="X678" s="18">
        <f>'RW predict'!T677</f>
        <v>0</v>
      </c>
      <c r="Y678" s="18">
        <f>'RW predict'!Y677</f>
        <v>0</v>
      </c>
      <c r="Z678" s="18">
        <f>'RW predict'!U677</f>
        <v>0</v>
      </c>
      <c r="AA678" s="18">
        <f>'RW predict'!W677</f>
        <v>0</v>
      </c>
    </row>
    <row r="679" spans="1:27" x14ac:dyDescent="0.3">
      <c r="A679" s="18">
        <v>676</v>
      </c>
      <c r="B679" s="18" t="str">
        <f>'RW predict'!A678</f>
        <v>Chad Ruhwedel</v>
      </c>
      <c r="C679" s="18" t="str">
        <f>'RW predict'!B678</f>
        <v>PIT</v>
      </c>
      <c r="D679" s="22" t="str" cm="1">
        <f t="array" ref="D679">_xlfn.SWITCH('RW predict'!C678, "C", "F", "LW","F", "RW", "F", "D", "D", "G", "G", "other")</f>
        <v>D</v>
      </c>
      <c r="E679" s="32">
        <f t="shared" si="20"/>
        <v>500</v>
      </c>
      <c r="F679" s="35">
        <f>E679/assumptions!$B$2</f>
        <v>6.0975609756097562</v>
      </c>
      <c r="G679" s="36">
        <f t="shared" si="21"/>
        <v>681</v>
      </c>
      <c r="H679" s="18">
        <f>IF(NOT(D679="G"),'RW predict'!E678,0)</f>
        <v>2</v>
      </c>
      <c r="I679" s="18">
        <f>'RW predict'!Q678</f>
        <v>48</v>
      </c>
      <c r="J679" s="18">
        <f>'RW predict'!F678</f>
        <v>5</v>
      </c>
      <c r="K679" s="18"/>
      <c r="L679" s="18"/>
      <c r="M679" s="18">
        <f>'RW predict'!P678</f>
        <v>85</v>
      </c>
      <c r="N679" s="18"/>
      <c r="O679" s="18">
        <f>'RW predict'!H678</f>
        <v>2</v>
      </c>
      <c r="P679" s="18">
        <f>'RW predict'!I678</f>
        <v>10</v>
      </c>
      <c r="Q679" s="18">
        <f>'RW predict'!L678</f>
        <v>0</v>
      </c>
      <c r="R679" s="18">
        <f>'RW predict'!N678</f>
        <v>0</v>
      </c>
      <c r="S679" s="76">
        <f>'RW predict'!O678</f>
        <v>0</v>
      </c>
      <c r="T679" s="76">
        <f>'RW predict'!K678</f>
        <v>0</v>
      </c>
      <c r="U679" s="22">
        <f>'RW predict'!J678</f>
        <v>47</v>
      </c>
      <c r="V679" s="32">
        <f>IF(D679="G",'RW predict'!E678,0)</f>
        <v>0</v>
      </c>
      <c r="W679" s="18">
        <f>'RW predict'!R678</f>
        <v>0</v>
      </c>
      <c r="X679" s="18">
        <f>'RW predict'!T678</f>
        <v>0</v>
      </c>
      <c r="Y679" s="18">
        <f>'RW predict'!Y678</f>
        <v>0</v>
      </c>
      <c r="Z679" s="18">
        <f>'RW predict'!U678</f>
        <v>0</v>
      </c>
      <c r="AA679" s="18">
        <f>'RW predict'!W678</f>
        <v>0</v>
      </c>
    </row>
    <row r="680" spans="1:27" x14ac:dyDescent="0.3">
      <c r="A680" s="18">
        <v>677</v>
      </c>
      <c r="B680" s="18" t="str">
        <f>'RW predict'!A679</f>
        <v>Olli Maatta</v>
      </c>
      <c r="C680" s="18" t="str">
        <f>'RW predict'!B679</f>
        <v>DET</v>
      </c>
      <c r="D680" s="22" t="str" cm="1">
        <f t="array" ref="D680">_xlfn.SWITCH('RW predict'!C679, "C", "F", "LW","F", "RW", "F", "D", "D", "G", "G", "other")</f>
        <v>D</v>
      </c>
      <c r="E680" s="32">
        <f t="shared" si="20"/>
        <v>643</v>
      </c>
      <c r="F680" s="35">
        <f>E680/assumptions!$B$2</f>
        <v>7.8414634146341466</v>
      </c>
      <c r="G680" s="36">
        <f t="shared" si="21"/>
        <v>618</v>
      </c>
      <c r="H680" s="18">
        <f>IF(NOT(D680="G"),'RW predict'!E679,0)</f>
        <v>1</v>
      </c>
      <c r="I680" s="18">
        <f>'RW predict'!Q679</f>
        <v>83</v>
      </c>
      <c r="J680" s="18">
        <f>'RW predict'!F679</f>
        <v>6</v>
      </c>
      <c r="K680" s="18"/>
      <c r="L680" s="18"/>
      <c r="M680" s="18">
        <f>'RW predict'!P679</f>
        <v>62</v>
      </c>
      <c r="N680" s="18"/>
      <c r="O680" s="18">
        <f>'RW predict'!H679</f>
        <v>10</v>
      </c>
      <c r="P680" s="18">
        <f>'RW predict'!I679</f>
        <v>10</v>
      </c>
      <c r="Q680" s="18">
        <f>'RW predict'!L679</f>
        <v>0</v>
      </c>
      <c r="R680" s="18">
        <f>'RW predict'!N679</f>
        <v>0</v>
      </c>
      <c r="S680" s="76">
        <f>'RW predict'!O679</f>
        <v>0</v>
      </c>
      <c r="T680" s="76">
        <f>'RW predict'!K679</f>
        <v>0</v>
      </c>
      <c r="U680" s="22">
        <f>'RW predict'!J679</f>
        <v>55</v>
      </c>
      <c r="V680" s="32">
        <f>IF(D680="G",'RW predict'!E679,0)</f>
        <v>0</v>
      </c>
      <c r="W680" s="18">
        <f>'RW predict'!R679</f>
        <v>0</v>
      </c>
      <c r="X680" s="18">
        <f>'RW predict'!T679</f>
        <v>0</v>
      </c>
      <c r="Y680" s="18">
        <f>'RW predict'!Y679</f>
        <v>0</v>
      </c>
      <c r="Z680" s="18">
        <f>'RW predict'!U679</f>
        <v>0</v>
      </c>
      <c r="AA680" s="18">
        <f>'RW predict'!W679</f>
        <v>0</v>
      </c>
    </row>
    <row r="681" spans="1:27" x14ac:dyDescent="0.3">
      <c r="A681" s="18">
        <v>678</v>
      </c>
      <c r="B681" s="18" t="str">
        <f>'RW predict'!A680</f>
        <v>Jaycob Megna</v>
      </c>
      <c r="C681" s="18" t="str">
        <f>'RW predict'!B680</f>
        <v>SJ</v>
      </c>
      <c r="D681" s="22" t="str" cm="1">
        <f t="array" ref="D681">_xlfn.SWITCH('RW predict'!C680, "C", "F", "LW","F", "RW", "F", "D", "D", "G", "G", "other")</f>
        <v>D</v>
      </c>
      <c r="E681" s="32">
        <f t="shared" si="20"/>
        <v>541</v>
      </c>
      <c r="F681" s="35">
        <f>E681/assumptions!$B$2</f>
        <v>6.5975609756097562</v>
      </c>
      <c r="G681" s="36">
        <f t="shared" si="21"/>
        <v>662</v>
      </c>
      <c r="H681" s="18">
        <f>IF(NOT(D681="G"),'RW predict'!E680,0)</f>
        <v>2</v>
      </c>
      <c r="I681" s="18">
        <f>'RW predict'!Q680</f>
        <v>79</v>
      </c>
      <c r="J681" s="18">
        <f>'RW predict'!F680</f>
        <v>5</v>
      </c>
      <c r="K681" s="18"/>
      <c r="L681" s="18"/>
      <c r="M681" s="18">
        <f>'RW predict'!P680</f>
        <v>64</v>
      </c>
      <c r="N681" s="18"/>
      <c r="O681" s="18">
        <f>'RW predict'!H680</f>
        <v>-6</v>
      </c>
      <c r="P681" s="18">
        <f>'RW predict'!I680</f>
        <v>24</v>
      </c>
      <c r="Q681" s="18">
        <f>'RW predict'!L680</f>
        <v>0</v>
      </c>
      <c r="R681" s="18">
        <f>'RW predict'!N680</f>
        <v>0</v>
      </c>
      <c r="S681" s="76">
        <f>'RW predict'!O680</f>
        <v>0</v>
      </c>
      <c r="T681" s="76">
        <f>'RW predict'!K680</f>
        <v>0</v>
      </c>
      <c r="U681" s="22">
        <f>'RW predict'!J680</f>
        <v>66</v>
      </c>
      <c r="V681" s="32">
        <f>IF(D681="G",'RW predict'!E680,0)</f>
        <v>0</v>
      </c>
      <c r="W681" s="18">
        <f>'RW predict'!R680</f>
        <v>0</v>
      </c>
      <c r="X681" s="18">
        <f>'RW predict'!T680</f>
        <v>0</v>
      </c>
      <c r="Y681" s="18">
        <f>'RW predict'!Y680</f>
        <v>0</v>
      </c>
      <c r="Z681" s="18">
        <f>'RW predict'!U680</f>
        <v>0</v>
      </c>
      <c r="AA681" s="18">
        <f>'RW predict'!W680</f>
        <v>0</v>
      </c>
    </row>
    <row r="682" spans="1:27" x14ac:dyDescent="0.3">
      <c r="A682" s="18">
        <v>679</v>
      </c>
      <c r="B682" s="18" t="str">
        <f>'RW predict'!A681</f>
        <v>Anders Bjork</v>
      </c>
      <c r="C682" s="18" t="str">
        <f>'RW predict'!B681</f>
        <v>BUF</v>
      </c>
      <c r="D682" s="22" t="str" cm="1">
        <f t="array" ref="D682">_xlfn.SWITCH('RW predict'!C681, "C", "F", "LW","F", "RW", "F", "D", "D", "G", "G", "other")</f>
        <v>F</v>
      </c>
      <c r="E682" s="32">
        <f t="shared" si="20"/>
        <v>263</v>
      </c>
      <c r="F682" s="35">
        <f>E682/assumptions!$B$2</f>
        <v>3.2073170731707319</v>
      </c>
      <c r="G682" s="36">
        <f t="shared" si="21"/>
        <v>791</v>
      </c>
      <c r="H682" s="18">
        <f>IF(NOT(D682="G"),'RW predict'!E681,0)</f>
        <v>4</v>
      </c>
      <c r="I682" s="18">
        <f>'RW predict'!Q681</f>
        <v>13</v>
      </c>
      <c r="J682" s="18">
        <f>'RW predict'!F681</f>
        <v>3</v>
      </c>
      <c r="K682" s="18"/>
      <c r="L682" s="18"/>
      <c r="M682" s="18">
        <f>'RW predict'!P681</f>
        <v>16</v>
      </c>
      <c r="N682" s="18"/>
      <c r="O682" s="18">
        <f>'RW predict'!H681</f>
        <v>-10</v>
      </c>
      <c r="P682" s="18">
        <f>'RW predict'!I681</f>
        <v>10</v>
      </c>
      <c r="Q682" s="18">
        <f>'RW predict'!L681</f>
        <v>0</v>
      </c>
      <c r="R682" s="18">
        <f>'RW predict'!N681</f>
        <v>1</v>
      </c>
      <c r="S682" s="76">
        <f>'RW predict'!O681</f>
        <v>0</v>
      </c>
      <c r="T682" s="76">
        <f>'RW predict'!K681</f>
        <v>0</v>
      </c>
      <c r="U682" s="22">
        <f>'RW predict'!J681</f>
        <v>48</v>
      </c>
      <c r="V682" s="32">
        <f>IF(D682="G",'RW predict'!E681,0)</f>
        <v>0</v>
      </c>
      <c r="W682" s="18">
        <f>'RW predict'!R681</f>
        <v>0</v>
      </c>
      <c r="X682" s="18">
        <f>'RW predict'!T681</f>
        <v>0</v>
      </c>
      <c r="Y682" s="18">
        <f>'RW predict'!Y681</f>
        <v>0</v>
      </c>
      <c r="Z682" s="18">
        <f>'RW predict'!U681</f>
        <v>0</v>
      </c>
      <c r="AA682" s="18">
        <f>'RW predict'!W681</f>
        <v>0</v>
      </c>
    </row>
    <row r="683" spans="1:27" x14ac:dyDescent="0.3">
      <c r="A683" s="18">
        <v>680</v>
      </c>
      <c r="B683" s="18" t="str">
        <f>'RW predict'!A682</f>
        <v>Kevin Stenlund</v>
      </c>
      <c r="C683" s="18" t="str">
        <f>'RW predict'!B682</f>
        <v>WPG</v>
      </c>
      <c r="D683" s="22" t="str" cm="1">
        <f t="array" ref="D683">_xlfn.SWITCH('RW predict'!C682, "C", "F", "LW","F", "RW", "F", "D", "D", "G", "G", "other")</f>
        <v>F</v>
      </c>
      <c r="E683" s="32">
        <f t="shared" si="20"/>
        <v>350</v>
      </c>
      <c r="F683" s="35">
        <f>E683/assumptions!$B$2</f>
        <v>4.2682926829268295</v>
      </c>
      <c r="G683" s="36">
        <f t="shared" si="21"/>
        <v>746</v>
      </c>
      <c r="H683" s="18">
        <f>IF(NOT(D683="G"),'RW predict'!E682,0)</f>
        <v>5</v>
      </c>
      <c r="I683" s="18">
        <f>'RW predict'!Q682</f>
        <v>16</v>
      </c>
      <c r="J683" s="18">
        <f>'RW predict'!F682</f>
        <v>2</v>
      </c>
      <c r="K683" s="18"/>
      <c r="L683" s="18"/>
      <c r="M683" s="18">
        <f>'RW predict'!P682</f>
        <v>19</v>
      </c>
      <c r="N683" s="18"/>
      <c r="O683" s="18">
        <f>'RW predict'!H682</f>
        <v>-3</v>
      </c>
      <c r="P683" s="18">
        <f>'RW predict'!I682</f>
        <v>18</v>
      </c>
      <c r="Q683" s="18">
        <f>'RW predict'!L682</f>
        <v>0</v>
      </c>
      <c r="R683" s="18">
        <f>'RW predict'!N682</f>
        <v>0</v>
      </c>
      <c r="S683" s="76">
        <f>'RW predict'!O682</f>
        <v>0</v>
      </c>
      <c r="T683" s="76">
        <f>'RW predict'!K682</f>
        <v>0</v>
      </c>
      <c r="U683" s="22">
        <f>'RW predict'!J682</f>
        <v>50</v>
      </c>
      <c r="V683" s="32">
        <f>IF(D683="G",'RW predict'!E682,0)</f>
        <v>0</v>
      </c>
      <c r="W683" s="18">
        <f>'RW predict'!R682</f>
        <v>0</v>
      </c>
      <c r="X683" s="18">
        <f>'RW predict'!T682</f>
        <v>0</v>
      </c>
      <c r="Y683" s="18">
        <f>'RW predict'!Y682</f>
        <v>0</v>
      </c>
      <c r="Z683" s="18">
        <f>'RW predict'!U682</f>
        <v>0</v>
      </c>
      <c r="AA683" s="18">
        <f>'RW predict'!W682</f>
        <v>0</v>
      </c>
    </row>
    <row r="684" spans="1:27" x14ac:dyDescent="0.3">
      <c r="A684" s="18">
        <v>681</v>
      </c>
      <c r="B684" s="18" t="str">
        <f>'RW predict'!A683</f>
        <v>Philippe Myers</v>
      </c>
      <c r="C684" s="18" t="str">
        <f>'RW predict'!B683</f>
        <v>TB</v>
      </c>
      <c r="D684" s="22" t="str" cm="1">
        <f t="array" ref="D684">_xlfn.SWITCH('RW predict'!C683, "C", "F", "LW","F", "RW", "F", "D", "D", "G", "G", "other")</f>
        <v>D</v>
      </c>
      <c r="E684" s="32">
        <f t="shared" si="20"/>
        <v>558</v>
      </c>
      <c r="F684" s="35">
        <f>E684/assumptions!$B$2</f>
        <v>6.8048780487804876</v>
      </c>
      <c r="G684" s="36">
        <f t="shared" si="21"/>
        <v>654</v>
      </c>
      <c r="H684" s="18">
        <f>IF(NOT(D684="G"),'RW predict'!E683,0)</f>
        <v>2</v>
      </c>
      <c r="I684" s="18">
        <f>'RW predict'!Q683</f>
        <v>33</v>
      </c>
      <c r="J684" s="18">
        <f>'RW predict'!F683</f>
        <v>5</v>
      </c>
      <c r="K684" s="18"/>
      <c r="L684" s="18"/>
      <c r="M684" s="18">
        <f>'RW predict'!P683</f>
        <v>77</v>
      </c>
      <c r="N684" s="18"/>
      <c r="O684" s="18">
        <f>'RW predict'!H683</f>
        <v>5</v>
      </c>
      <c r="P684" s="18">
        <f>'RW predict'!I683</f>
        <v>22</v>
      </c>
      <c r="Q684" s="18">
        <f>'RW predict'!L683</f>
        <v>0</v>
      </c>
      <c r="R684" s="18">
        <f>'RW predict'!N683</f>
        <v>0</v>
      </c>
      <c r="S684" s="76">
        <f>'RW predict'!O683</f>
        <v>0</v>
      </c>
      <c r="T684" s="76">
        <f>'RW predict'!K683</f>
        <v>0</v>
      </c>
      <c r="U684" s="22">
        <f>'RW predict'!J683</f>
        <v>62</v>
      </c>
      <c r="V684" s="32">
        <f>IF(D684="G",'RW predict'!E683,0)</f>
        <v>0</v>
      </c>
      <c r="W684" s="18">
        <f>'RW predict'!R683</f>
        <v>0</v>
      </c>
      <c r="X684" s="18">
        <f>'RW predict'!T683</f>
        <v>0</v>
      </c>
      <c r="Y684" s="18">
        <f>'RW predict'!Y683</f>
        <v>0</v>
      </c>
      <c r="Z684" s="18">
        <f>'RW predict'!U683</f>
        <v>0</v>
      </c>
      <c r="AA684" s="18">
        <f>'RW predict'!W683</f>
        <v>0</v>
      </c>
    </row>
    <row r="685" spans="1:27" x14ac:dyDescent="0.3">
      <c r="A685" s="18">
        <v>682</v>
      </c>
      <c r="B685" s="18" t="str">
        <f>'RW predict'!A684</f>
        <v>Kale Clague</v>
      </c>
      <c r="C685" s="18" t="str">
        <f>'RW predict'!B684</f>
        <v>BUF</v>
      </c>
      <c r="D685" s="22" t="str" cm="1">
        <f t="array" ref="D685">_xlfn.SWITCH('RW predict'!C684, "C", "F", "LW","F", "RW", "F", "D", "D", "G", "G", "other")</f>
        <v>D</v>
      </c>
      <c r="E685" s="32">
        <f t="shared" si="20"/>
        <v>242</v>
      </c>
      <c r="F685" s="35">
        <f>E685/assumptions!$B$2</f>
        <v>2.9512195121951219</v>
      </c>
      <c r="G685" s="36">
        <f t="shared" si="21"/>
        <v>800</v>
      </c>
      <c r="H685" s="18">
        <f>IF(NOT(D685="G"),'RW predict'!E684,0)</f>
        <v>1</v>
      </c>
      <c r="I685" s="18">
        <f>'RW predict'!Q684</f>
        <v>19</v>
      </c>
      <c r="J685" s="18">
        <f>'RW predict'!F684</f>
        <v>6</v>
      </c>
      <c r="K685" s="18"/>
      <c r="L685" s="18"/>
      <c r="M685" s="18">
        <f>'RW predict'!P684</f>
        <v>11</v>
      </c>
      <c r="N685" s="18"/>
      <c r="O685" s="18">
        <f>'RW predict'!H684</f>
        <v>-8</v>
      </c>
      <c r="P685" s="18">
        <f>'RW predict'!I684</f>
        <v>16</v>
      </c>
      <c r="Q685" s="18">
        <f>'RW predict'!L684</f>
        <v>0</v>
      </c>
      <c r="R685" s="18">
        <f>'RW predict'!N684</f>
        <v>0</v>
      </c>
      <c r="S685" s="76">
        <f>'RW predict'!O684</f>
        <v>0</v>
      </c>
      <c r="T685" s="76">
        <f>'RW predict'!K684</f>
        <v>0</v>
      </c>
      <c r="U685" s="22">
        <f>'RW predict'!J684</f>
        <v>25</v>
      </c>
      <c r="V685" s="32">
        <f>IF(D685="G",'RW predict'!E684,0)</f>
        <v>0</v>
      </c>
      <c r="W685" s="18">
        <f>'RW predict'!R684</f>
        <v>0</v>
      </c>
      <c r="X685" s="18">
        <f>'RW predict'!T684</f>
        <v>0</v>
      </c>
      <c r="Y685" s="18">
        <f>'RW predict'!Y684</f>
        <v>0</v>
      </c>
      <c r="Z685" s="18">
        <f>'RW predict'!U684</f>
        <v>0</v>
      </c>
      <c r="AA685" s="18">
        <f>'RW predict'!W684</f>
        <v>0</v>
      </c>
    </row>
    <row r="686" spans="1:27" x14ac:dyDescent="0.3">
      <c r="A686" s="18">
        <v>683</v>
      </c>
      <c r="B686" s="18" t="str">
        <f>'RW predict'!A685</f>
        <v>Isaac Ratcliffe</v>
      </c>
      <c r="C686" s="18" t="str">
        <f>'RW predict'!B685</f>
        <v>PHI</v>
      </c>
      <c r="D686" s="22" t="str" cm="1">
        <f t="array" ref="D686">_xlfn.SWITCH('RW predict'!C685, "C", "F", "LW","F", "RW", "F", "D", "D", "G", "G", "other")</f>
        <v>F</v>
      </c>
      <c r="E686" s="32">
        <f t="shared" si="20"/>
        <v>306</v>
      </c>
      <c r="F686" s="35">
        <f>E686/assumptions!$B$2</f>
        <v>3.7317073170731709</v>
      </c>
      <c r="G686" s="36">
        <f t="shared" si="21"/>
        <v>767</v>
      </c>
      <c r="H686" s="18">
        <f>IF(NOT(D686="G"),'RW predict'!E685,0)</f>
        <v>2</v>
      </c>
      <c r="I686" s="18">
        <f>'RW predict'!Q685</f>
        <v>14</v>
      </c>
      <c r="J686" s="18">
        <f>'RW predict'!F685</f>
        <v>5</v>
      </c>
      <c r="K686" s="18"/>
      <c r="L686" s="18"/>
      <c r="M686" s="18">
        <f>'RW predict'!P685</f>
        <v>27</v>
      </c>
      <c r="N686" s="18"/>
      <c r="O686" s="18">
        <f>'RW predict'!H685</f>
        <v>-2</v>
      </c>
      <c r="P686" s="18">
        <f>'RW predict'!I685</f>
        <v>16</v>
      </c>
      <c r="Q686" s="18">
        <f>'RW predict'!L685</f>
        <v>0</v>
      </c>
      <c r="R686" s="18">
        <f>'RW predict'!N685</f>
        <v>0</v>
      </c>
      <c r="S686" s="76">
        <f>'RW predict'!O685</f>
        <v>0</v>
      </c>
      <c r="T686" s="76">
        <f>'RW predict'!K685</f>
        <v>0</v>
      </c>
      <c r="U686" s="22">
        <f>'RW predict'!J685</f>
        <v>24</v>
      </c>
      <c r="V686" s="32">
        <f>IF(D686="G",'RW predict'!E685,0)</f>
        <v>0</v>
      </c>
      <c r="W686" s="18">
        <f>'RW predict'!R685</f>
        <v>0</v>
      </c>
      <c r="X686" s="18">
        <f>'RW predict'!T685</f>
        <v>0</v>
      </c>
      <c r="Y686" s="18">
        <f>'RW predict'!Y685</f>
        <v>0</v>
      </c>
      <c r="Z686" s="18">
        <f>'RW predict'!U685</f>
        <v>0</v>
      </c>
      <c r="AA686" s="18">
        <f>'RW predict'!W685</f>
        <v>0</v>
      </c>
    </row>
    <row r="687" spans="1:27" x14ac:dyDescent="0.3">
      <c r="A687" s="18">
        <v>684</v>
      </c>
      <c r="B687" s="18" t="str">
        <f>'RW predict'!A686</f>
        <v>Adam Brooks</v>
      </c>
      <c r="C687" s="18" t="str">
        <f>'RW predict'!B686</f>
        <v>PHI</v>
      </c>
      <c r="D687" s="22" t="str" cm="1">
        <f t="array" ref="D687">_xlfn.SWITCH('RW predict'!C686, "C", "F", "LW","F", "RW", "F", "D", "D", "G", "G", "other")</f>
        <v>F</v>
      </c>
      <c r="E687" s="32">
        <f t="shared" si="20"/>
        <v>346</v>
      </c>
      <c r="F687" s="35">
        <f>E687/assumptions!$B$2</f>
        <v>4.2195121951219514</v>
      </c>
      <c r="G687" s="36">
        <f t="shared" si="21"/>
        <v>750</v>
      </c>
      <c r="H687" s="18">
        <f>IF(NOT(D687="G"),'RW predict'!E686,0)</f>
        <v>4</v>
      </c>
      <c r="I687" s="18">
        <f>'RW predict'!Q686</f>
        <v>8</v>
      </c>
      <c r="J687" s="18">
        <f>'RW predict'!F686</f>
        <v>3</v>
      </c>
      <c r="K687" s="18"/>
      <c r="L687" s="18"/>
      <c r="M687" s="18">
        <f>'RW predict'!P686</f>
        <v>17</v>
      </c>
      <c r="N687" s="18"/>
      <c r="O687" s="18">
        <f>'RW predict'!H686</f>
        <v>5</v>
      </c>
      <c r="P687" s="18">
        <f>'RW predict'!I686</f>
        <v>6</v>
      </c>
      <c r="Q687" s="18">
        <f>'RW predict'!L686</f>
        <v>0</v>
      </c>
      <c r="R687" s="18">
        <f>'RW predict'!N686</f>
        <v>0</v>
      </c>
      <c r="S687" s="76">
        <f>'RW predict'!O686</f>
        <v>0</v>
      </c>
      <c r="T687" s="76">
        <f>'RW predict'!K686</f>
        <v>1</v>
      </c>
      <c r="U687" s="22">
        <f>'RW predict'!J686</f>
        <v>25</v>
      </c>
      <c r="V687" s="32">
        <f>IF(D687="G",'RW predict'!E686,0)</f>
        <v>0</v>
      </c>
      <c r="W687" s="18">
        <f>'RW predict'!R686</f>
        <v>0</v>
      </c>
      <c r="X687" s="18">
        <f>'RW predict'!T686</f>
        <v>0</v>
      </c>
      <c r="Y687" s="18">
        <f>'RW predict'!Y686</f>
        <v>0</v>
      </c>
      <c r="Z687" s="18">
        <f>'RW predict'!U686</f>
        <v>0</v>
      </c>
      <c r="AA687" s="18">
        <f>'RW predict'!W686</f>
        <v>0</v>
      </c>
    </row>
    <row r="688" spans="1:27" x14ac:dyDescent="0.3">
      <c r="A688" s="18">
        <v>685</v>
      </c>
      <c r="B688" s="18" t="str">
        <f>'RW predict'!A687</f>
        <v>Ian Mitchell</v>
      </c>
      <c r="C688" s="18" t="str">
        <f>'RW predict'!B687</f>
        <v>CHI</v>
      </c>
      <c r="D688" s="22" t="str" cm="1">
        <f t="array" ref="D688">_xlfn.SWITCH('RW predict'!C687, "C", "F", "LW","F", "RW", "F", "D", "D", "G", "G", "other")</f>
        <v>D</v>
      </c>
      <c r="E688" s="32">
        <f t="shared" si="20"/>
        <v>251</v>
      </c>
      <c r="F688" s="35">
        <f>E688/assumptions!$B$2</f>
        <v>3.0609756097560976</v>
      </c>
      <c r="G688" s="36">
        <f t="shared" si="21"/>
        <v>796</v>
      </c>
      <c r="H688" s="18">
        <f>IF(NOT(D688="G"),'RW predict'!E687,0)</f>
        <v>2</v>
      </c>
      <c r="I688" s="18">
        <f>'RW predict'!Q687</f>
        <v>33</v>
      </c>
      <c r="J688" s="18">
        <f>'RW predict'!F687</f>
        <v>5</v>
      </c>
      <c r="K688" s="18"/>
      <c r="L688" s="18"/>
      <c r="M688" s="18">
        <f>'RW predict'!P687</f>
        <v>12</v>
      </c>
      <c r="N688" s="18"/>
      <c r="O688" s="18">
        <f>'RW predict'!H687</f>
        <v>-7</v>
      </c>
      <c r="P688" s="18">
        <f>'RW predict'!I687</f>
        <v>8</v>
      </c>
      <c r="Q688" s="18">
        <f>'RW predict'!L687</f>
        <v>0</v>
      </c>
      <c r="R688" s="18">
        <f>'RW predict'!N687</f>
        <v>0</v>
      </c>
      <c r="S688" s="76">
        <f>'RW predict'!O687</f>
        <v>0</v>
      </c>
      <c r="T688" s="76">
        <f>'RW predict'!K687</f>
        <v>0</v>
      </c>
      <c r="U688" s="22">
        <f>'RW predict'!J687</f>
        <v>22</v>
      </c>
      <c r="V688" s="32">
        <f>IF(D688="G",'RW predict'!E687,0)</f>
        <v>0</v>
      </c>
      <c r="W688" s="18">
        <f>'RW predict'!R687</f>
        <v>0</v>
      </c>
      <c r="X688" s="18">
        <f>'RW predict'!T687</f>
        <v>0</v>
      </c>
      <c r="Y688" s="18">
        <f>'RW predict'!Y687</f>
        <v>0</v>
      </c>
      <c r="Z688" s="18">
        <f>'RW predict'!U687</f>
        <v>0</v>
      </c>
      <c r="AA688" s="18">
        <f>'RW predict'!W687</f>
        <v>0</v>
      </c>
    </row>
    <row r="689" spans="1:27" x14ac:dyDescent="0.3">
      <c r="A689" s="18">
        <v>686</v>
      </c>
      <c r="B689" s="18" t="str">
        <f>'RW predict'!A688</f>
        <v>Dylan Coghlan</v>
      </c>
      <c r="C689" s="18" t="str">
        <f>'RW predict'!B688</f>
        <v>CAR</v>
      </c>
      <c r="D689" s="22" t="str" cm="1">
        <f t="array" ref="D689">_xlfn.SWITCH('RW predict'!C688, "C", "F", "LW","F", "RW", "F", "D", "D", "G", "G", "other")</f>
        <v>D</v>
      </c>
      <c r="E689" s="32">
        <f t="shared" si="20"/>
        <v>515</v>
      </c>
      <c r="F689" s="35">
        <f>E689/assumptions!$B$2</f>
        <v>6.2804878048780486</v>
      </c>
      <c r="G689" s="36">
        <f t="shared" si="21"/>
        <v>676</v>
      </c>
      <c r="H689" s="18">
        <f>IF(NOT(D689="G"),'RW predict'!E688,0)</f>
        <v>2</v>
      </c>
      <c r="I689" s="18">
        <f>'RW predict'!Q688</f>
        <v>31</v>
      </c>
      <c r="J689" s="18">
        <f>'RW predict'!F688</f>
        <v>5</v>
      </c>
      <c r="K689" s="18"/>
      <c r="L689" s="18"/>
      <c r="M689" s="18">
        <f>'RW predict'!P688</f>
        <v>32</v>
      </c>
      <c r="N689" s="18"/>
      <c r="O689" s="18">
        <f>'RW predict'!H688</f>
        <v>3</v>
      </c>
      <c r="P689" s="18">
        <f>'RW predict'!I688</f>
        <v>14</v>
      </c>
      <c r="Q689" s="18">
        <f>'RW predict'!L688</f>
        <v>0</v>
      </c>
      <c r="R689" s="18">
        <f>'RW predict'!N688</f>
        <v>0</v>
      </c>
      <c r="S689" s="76">
        <f>'RW predict'!O688</f>
        <v>0</v>
      </c>
      <c r="T689" s="76">
        <f>'RW predict'!K688</f>
        <v>0</v>
      </c>
      <c r="U689" s="22">
        <f>'RW predict'!J688</f>
        <v>87</v>
      </c>
      <c r="V689" s="32">
        <f>IF(D689="G",'RW predict'!E688,0)</f>
        <v>0</v>
      </c>
      <c r="W689" s="18">
        <f>'RW predict'!R688</f>
        <v>0</v>
      </c>
      <c r="X689" s="18">
        <f>'RW predict'!T688</f>
        <v>0</v>
      </c>
      <c r="Y689" s="18">
        <f>'RW predict'!Y688</f>
        <v>0</v>
      </c>
      <c r="Z689" s="18">
        <f>'RW predict'!U688</f>
        <v>0</v>
      </c>
      <c r="AA689" s="18">
        <f>'RW predict'!W688</f>
        <v>0</v>
      </c>
    </row>
    <row r="690" spans="1:27" x14ac:dyDescent="0.3">
      <c r="A690" s="18">
        <v>687</v>
      </c>
      <c r="B690" s="18" t="str">
        <f>'RW predict'!A689</f>
        <v>Jack Quinn</v>
      </c>
      <c r="C690" s="18" t="str">
        <f>'RW predict'!B689</f>
        <v>BUF</v>
      </c>
      <c r="D690" s="22" t="str" cm="1">
        <f t="array" ref="D690">_xlfn.SWITCH('RW predict'!C689, "C", "F", "LW","F", "RW", "F", "D", "D", "G", "G", "other")</f>
        <v>F</v>
      </c>
      <c r="E690" s="32">
        <f t="shared" si="20"/>
        <v>269</v>
      </c>
      <c r="F690" s="35">
        <f>E690/assumptions!$B$2</f>
        <v>3.2804878048780486</v>
      </c>
      <c r="G690" s="36">
        <f t="shared" si="21"/>
        <v>786</v>
      </c>
      <c r="H690" s="18">
        <f>IF(NOT(D690="G"),'RW predict'!E689,0)</f>
        <v>2</v>
      </c>
      <c r="I690" s="18">
        <f>'RW predict'!Q689</f>
        <v>4</v>
      </c>
      <c r="J690" s="18">
        <f>'RW predict'!F689</f>
        <v>5</v>
      </c>
      <c r="K690" s="18"/>
      <c r="L690" s="18"/>
      <c r="M690" s="18">
        <f>'RW predict'!P689</f>
        <v>3</v>
      </c>
      <c r="N690" s="18"/>
      <c r="O690" s="18">
        <f>'RW predict'!H689</f>
        <v>1</v>
      </c>
      <c r="P690" s="18">
        <f>'RW predict'!I689</f>
        <v>3</v>
      </c>
      <c r="Q690" s="18">
        <f>'RW predict'!L689</f>
        <v>1</v>
      </c>
      <c r="R690" s="18">
        <f>'RW predict'!N689</f>
        <v>0</v>
      </c>
      <c r="S690" s="76">
        <f>'RW predict'!O689</f>
        <v>0</v>
      </c>
      <c r="T690" s="76">
        <f>'RW predict'!K689</f>
        <v>0</v>
      </c>
      <c r="U690" s="22">
        <f>'RW predict'!J689</f>
        <v>27</v>
      </c>
      <c r="V690" s="32">
        <f>IF(D690="G",'RW predict'!E689,0)</f>
        <v>0</v>
      </c>
      <c r="W690" s="18">
        <f>'RW predict'!R689</f>
        <v>0</v>
      </c>
      <c r="X690" s="18">
        <f>'RW predict'!T689</f>
        <v>0</v>
      </c>
      <c r="Y690" s="18">
        <f>'RW predict'!Y689</f>
        <v>0</v>
      </c>
      <c r="Z690" s="18">
        <f>'RW predict'!U689</f>
        <v>0</v>
      </c>
      <c r="AA690" s="18">
        <f>'RW predict'!W689</f>
        <v>0</v>
      </c>
    </row>
    <row r="691" spans="1:27" x14ac:dyDescent="0.3">
      <c r="A691" s="18">
        <v>688</v>
      </c>
      <c r="B691" s="18" t="str">
        <f>'RW predict'!A690</f>
        <v>Jake Sanderson</v>
      </c>
      <c r="C691" s="18" t="str">
        <f>'RW predict'!B690</f>
        <v>OTT</v>
      </c>
      <c r="D691" s="22" t="str" cm="1">
        <f t="array" ref="D691">_xlfn.SWITCH('RW predict'!C690, "C", "F", "LW","F", "RW", "F", "D", "D", "G", "G", "other")</f>
        <v>D</v>
      </c>
      <c r="E691" s="32">
        <f t="shared" si="20"/>
        <v>280</v>
      </c>
      <c r="F691" s="35">
        <f>E691/assumptions!$B$2</f>
        <v>3.4146341463414633</v>
      </c>
      <c r="G691" s="36">
        <f t="shared" si="21"/>
        <v>781</v>
      </c>
      <c r="H691" s="18">
        <f>IF(NOT(D691="G"),'RW predict'!E690,0)</f>
        <v>1</v>
      </c>
      <c r="I691" s="18">
        <f>'RW predict'!Q690</f>
        <v>14</v>
      </c>
      <c r="J691" s="18">
        <f>'RW predict'!F690</f>
        <v>6</v>
      </c>
      <c r="K691" s="18"/>
      <c r="L691" s="18"/>
      <c r="M691" s="18">
        <f>'RW predict'!P690</f>
        <v>15</v>
      </c>
      <c r="N691" s="18"/>
      <c r="O691" s="18">
        <f>'RW predict'!H690</f>
        <v>-3</v>
      </c>
      <c r="P691" s="18">
        <f>'RW predict'!I690</f>
        <v>12</v>
      </c>
      <c r="Q691" s="18">
        <f>'RW predict'!L690</f>
        <v>0</v>
      </c>
      <c r="R691" s="18">
        <f>'RW predict'!N690</f>
        <v>0</v>
      </c>
      <c r="S691" s="76">
        <f>'RW predict'!O690</f>
        <v>0</v>
      </c>
      <c r="T691" s="76">
        <f>'RW predict'!K690</f>
        <v>0</v>
      </c>
      <c r="U691" s="22">
        <f>'RW predict'!J690</f>
        <v>28</v>
      </c>
      <c r="V691" s="32">
        <f>IF(D691="G",'RW predict'!E690,0)</f>
        <v>0</v>
      </c>
      <c r="W691" s="18">
        <f>'RW predict'!R690</f>
        <v>0</v>
      </c>
      <c r="X691" s="18">
        <f>'RW predict'!T690</f>
        <v>0</v>
      </c>
      <c r="Y691" s="18">
        <f>'RW predict'!Y690</f>
        <v>0</v>
      </c>
      <c r="Z691" s="18">
        <f>'RW predict'!U690</f>
        <v>0</v>
      </c>
      <c r="AA691" s="18">
        <f>'RW predict'!W690</f>
        <v>0</v>
      </c>
    </row>
    <row r="692" spans="1:27" x14ac:dyDescent="0.3">
      <c r="A692" s="18">
        <v>689</v>
      </c>
      <c r="B692" s="18" t="str">
        <f>'RW predict'!A691</f>
        <v>John Leonard</v>
      </c>
      <c r="C692" s="18" t="str">
        <f>'RW predict'!B691</f>
        <v>NSH</v>
      </c>
      <c r="D692" s="22" t="str" cm="1">
        <f t="array" ref="D692">_xlfn.SWITCH('RW predict'!C691, "C", "F", "LW","F", "RW", "F", "D", "D", "G", "G", "other")</f>
        <v>F</v>
      </c>
      <c r="E692" s="32">
        <f t="shared" si="20"/>
        <v>266</v>
      </c>
      <c r="F692" s="35">
        <f>E692/assumptions!$B$2</f>
        <v>3.2439024390243905</v>
      </c>
      <c r="G692" s="36">
        <f t="shared" si="21"/>
        <v>788</v>
      </c>
      <c r="H692" s="18">
        <f>IF(NOT(D692="G"),'RW predict'!E691,0)</f>
        <v>2</v>
      </c>
      <c r="I692" s="18">
        <f>'RW predict'!Q691</f>
        <v>13</v>
      </c>
      <c r="J692" s="18">
        <f>'RW predict'!F691</f>
        <v>5</v>
      </c>
      <c r="K692" s="18"/>
      <c r="L692" s="18"/>
      <c r="M692" s="18">
        <f>'RW predict'!P691</f>
        <v>21</v>
      </c>
      <c r="N692" s="18"/>
      <c r="O692" s="18">
        <f>'RW predict'!H691</f>
        <v>-4</v>
      </c>
      <c r="P692" s="18">
        <f>'RW predict'!I691</f>
        <v>2</v>
      </c>
      <c r="Q692" s="18">
        <f>'RW predict'!L691</f>
        <v>0</v>
      </c>
      <c r="R692" s="18">
        <f>'RW predict'!N691</f>
        <v>0</v>
      </c>
      <c r="S692" s="76">
        <f>'RW predict'!O691</f>
        <v>0</v>
      </c>
      <c r="T692" s="76">
        <f>'RW predict'!K691</f>
        <v>0</v>
      </c>
      <c r="U692" s="22">
        <f>'RW predict'!J691</f>
        <v>39</v>
      </c>
      <c r="V692" s="32">
        <f>IF(D692="G",'RW predict'!E691,0)</f>
        <v>0</v>
      </c>
      <c r="W692" s="18">
        <f>'RW predict'!R691</f>
        <v>0</v>
      </c>
      <c r="X692" s="18">
        <f>'RW predict'!T691</f>
        <v>0</v>
      </c>
      <c r="Y692" s="18">
        <f>'RW predict'!Y691</f>
        <v>0</v>
      </c>
      <c r="Z692" s="18">
        <f>'RW predict'!U691</f>
        <v>0</v>
      </c>
      <c r="AA692" s="18">
        <f>'RW predict'!W691</f>
        <v>0</v>
      </c>
    </row>
    <row r="693" spans="1:27" x14ac:dyDescent="0.3">
      <c r="A693" s="18">
        <v>690</v>
      </c>
      <c r="B693" s="18" t="str">
        <f>'RW predict'!A692</f>
        <v>John-Jason Peterka</v>
      </c>
      <c r="C693" s="18" t="str">
        <f>'RW predict'!B692</f>
        <v>BUF</v>
      </c>
      <c r="D693" s="22" t="str" cm="1">
        <f t="array" ref="D693">_xlfn.SWITCH('RW predict'!C692, "C", "F", "LW","F", "RW", "F", "D", "D", "G", "G", "other")</f>
        <v>F</v>
      </c>
      <c r="E693" s="32">
        <f t="shared" si="20"/>
        <v>213</v>
      </c>
      <c r="F693" s="35">
        <f>E693/assumptions!$B$2</f>
        <v>2.5975609756097562</v>
      </c>
      <c r="G693" s="36">
        <f t="shared" si="21"/>
        <v>820</v>
      </c>
      <c r="H693" s="18">
        <f>IF(NOT(D693="G"),'RW predict'!E692,0)</f>
        <v>2</v>
      </c>
      <c r="I693" s="18">
        <f>'RW predict'!Q692</f>
        <v>5</v>
      </c>
      <c r="J693" s="18">
        <f>'RW predict'!F692</f>
        <v>5</v>
      </c>
      <c r="K693" s="18"/>
      <c r="L693" s="18"/>
      <c r="M693" s="18">
        <f>'RW predict'!P692</f>
        <v>8</v>
      </c>
      <c r="N693" s="18"/>
      <c r="O693" s="18">
        <f>'RW predict'!H692</f>
        <v>-4</v>
      </c>
      <c r="P693" s="18">
        <f>'RW predict'!I692</f>
        <v>6</v>
      </c>
      <c r="Q693" s="18">
        <f>'RW predict'!L692</f>
        <v>0</v>
      </c>
      <c r="R693" s="18">
        <f>'RW predict'!N692</f>
        <v>0</v>
      </c>
      <c r="S693" s="76">
        <f>'RW predict'!O692</f>
        <v>0</v>
      </c>
      <c r="T693" s="76">
        <f>'RW predict'!K692</f>
        <v>0</v>
      </c>
      <c r="U693" s="22">
        <f>'RW predict'!J692</f>
        <v>21</v>
      </c>
      <c r="V693" s="32">
        <f>IF(D693="G",'RW predict'!E692,0)</f>
        <v>0</v>
      </c>
      <c r="W693" s="18">
        <f>'RW predict'!R692</f>
        <v>0</v>
      </c>
      <c r="X693" s="18">
        <f>'RW predict'!T692</f>
        <v>0</v>
      </c>
      <c r="Y693" s="18">
        <f>'RW predict'!Y692</f>
        <v>0</v>
      </c>
      <c r="Z693" s="18">
        <f>'RW predict'!U692</f>
        <v>0</v>
      </c>
      <c r="AA693" s="18">
        <f>'RW predict'!W692</f>
        <v>0</v>
      </c>
    </row>
    <row r="694" spans="1:27" x14ac:dyDescent="0.3">
      <c r="A694" s="18">
        <v>691</v>
      </c>
      <c r="B694" s="18" t="str">
        <f>'RW predict'!A693</f>
        <v>Gregory Hofmann</v>
      </c>
      <c r="C694" s="18" t="str">
        <f>'RW predict'!B693</f>
        <v>FA</v>
      </c>
      <c r="D694" s="22" t="str" cm="1">
        <f t="array" ref="D694">_xlfn.SWITCH('RW predict'!C693, "C", "F", "LW","F", "RW", "F", "D", "D", "G", "G", "other")</f>
        <v>F</v>
      </c>
      <c r="E694" s="32">
        <f t="shared" si="20"/>
        <v>408</v>
      </c>
      <c r="F694" s="35">
        <f>E694/assumptions!$B$2</f>
        <v>4.975609756097561</v>
      </c>
      <c r="G694" s="36">
        <f t="shared" si="21"/>
        <v>722</v>
      </c>
      <c r="H694" s="18">
        <f>IF(NOT(D694="G"),'RW predict'!E693,0)</f>
        <v>2</v>
      </c>
      <c r="I694" s="18">
        <f>'RW predict'!Q693</f>
        <v>10</v>
      </c>
      <c r="J694" s="18">
        <f>'RW predict'!F693</f>
        <v>5</v>
      </c>
      <c r="K694" s="18"/>
      <c r="L694" s="18"/>
      <c r="M694" s="18">
        <f>'RW predict'!P693</f>
        <v>23</v>
      </c>
      <c r="N694" s="18"/>
      <c r="O694" s="18">
        <f>'RW predict'!H693</f>
        <v>6</v>
      </c>
      <c r="P694" s="18">
        <f>'RW predict'!I693</f>
        <v>8</v>
      </c>
      <c r="Q694" s="18">
        <f>'RW predict'!L693</f>
        <v>0</v>
      </c>
      <c r="R694" s="18">
        <f>'RW predict'!N693</f>
        <v>0</v>
      </c>
      <c r="S694" s="76">
        <f>'RW predict'!O693</f>
        <v>0</v>
      </c>
      <c r="T694" s="76">
        <f>'RW predict'!K693</f>
        <v>2</v>
      </c>
      <c r="U694" s="22">
        <f>'RW predict'!J693</f>
        <v>33</v>
      </c>
      <c r="V694" s="32">
        <f>IF(D694="G",'RW predict'!E693,0)</f>
        <v>0</v>
      </c>
      <c r="W694" s="18">
        <f>'RW predict'!R693</f>
        <v>0</v>
      </c>
      <c r="X694" s="18">
        <f>'RW predict'!T693</f>
        <v>0</v>
      </c>
      <c r="Y694" s="18">
        <f>'RW predict'!Y693</f>
        <v>0</v>
      </c>
      <c r="Z694" s="18">
        <f>'RW predict'!U693</f>
        <v>0</v>
      </c>
      <c r="AA694" s="18">
        <f>'RW predict'!W693</f>
        <v>0</v>
      </c>
    </row>
    <row r="695" spans="1:27" x14ac:dyDescent="0.3">
      <c r="A695" s="18">
        <v>692</v>
      </c>
      <c r="B695" s="18" t="str">
        <f>'RW predict'!A694</f>
        <v>Yegor Chinakhov</v>
      </c>
      <c r="C695" s="18" t="str">
        <f>'RW predict'!B694</f>
        <v>CLS</v>
      </c>
      <c r="D695" s="22" t="str" cm="1">
        <f t="array" ref="D695">_xlfn.SWITCH('RW predict'!C694, "C", "F", "LW","F", "RW", "F", "D", "D", "G", "G", "other")</f>
        <v>F</v>
      </c>
      <c r="E695" s="32">
        <f t="shared" si="20"/>
        <v>268</v>
      </c>
      <c r="F695" s="35">
        <f>E695/assumptions!$B$2</f>
        <v>3.2682926829268291</v>
      </c>
      <c r="G695" s="36">
        <f t="shared" si="21"/>
        <v>787</v>
      </c>
      <c r="H695" s="18">
        <f>IF(NOT(D695="G"),'RW predict'!E694,0)</f>
        <v>3</v>
      </c>
      <c r="I695" s="18">
        <f>'RW predict'!Q694</f>
        <v>9</v>
      </c>
      <c r="J695" s="18">
        <f>'RW predict'!F694</f>
        <v>4</v>
      </c>
      <c r="K695" s="18"/>
      <c r="L695" s="18"/>
      <c r="M695" s="18">
        <f>'RW predict'!P694</f>
        <v>29</v>
      </c>
      <c r="N695" s="18"/>
      <c r="O695" s="18">
        <f>'RW predict'!H694</f>
        <v>-12</v>
      </c>
      <c r="P695" s="18">
        <f>'RW predict'!I694</f>
        <v>10</v>
      </c>
      <c r="Q695" s="18">
        <f>'RW predict'!L694</f>
        <v>0</v>
      </c>
      <c r="R695" s="18">
        <f>'RW predict'!N694</f>
        <v>0</v>
      </c>
      <c r="S695" s="76">
        <f>'RW predict'!O694</f>
        <v>0</v>
      </c>
      <c r="T695" s="76">
        <f>'RW predict'!K694</f>
        <v>1</v>
      </c>
      <c r="U695" s="22">
        <f>'RW predict'!J694</f>
        <v>58</v>
      </c>
      <c r="V695" s="32">
        <f>IF(D695="G",'RW predict'!E694,0)</f>
        <v>0</v>
      </c>
      <c r="W695" s="18">
        <f>'RW predict'!R694</f>
        <v>0</v>
      </c>
      <c r="X695" s="18">
        <f>'RW predict'!T694</f>
        <v>0</v>
      </c>
      <c r="Y695" s="18">
        <f>'RW predict'!Y694</f>
        <v>0</v>
      </c>
      <c r="Z695" s="18">
        <f>'RW predict'!U694</f>
        <v>0</v>
      </c>
      <c r="AA695" s="18">
        <f>'RW predict'!W694</f>
        <v>0</v>
      </c>
    </row>
    <row r="696" spans="1:27" x14ac:dyDescent="0.3">
      <c r="A696" s="18">
        <v>693</v>
      </c>
      <c r="B696" s="18" t="str">
        <f>'RW predict'!A695</f>
        <v>Benoit-Olivier Groulx</v>
      </c>
      <c r="C696" s="18" t="str">
        <f>'RW predict'!B695</f>
        <v>ANH</v>
      </c>
      <c r="D696" s="22" t="str" cm="1">
        <f t="array" ref="D696">_xlfn.SWITCH('RW predict'!C695, "C", "F", "LW","F", "RW", "F", "D", "D", "G", "G", "other")</f>
        <v>F</v>
      </c>
      <c r="E696" s="32">
        <f t="shared" si="20"/>
        <v>333</v>
      </c>
      <c r="F696" s="35">
        <f>E696/assumptions!$B$2</f>
        <v>4.0609756097560972</v>
      </c>
      <c r="G696" s="36">
        <f t="shared" si="21"/>
        <v>757</v>
      </c>
      <c r="H696" s="18">
        <f>IF(NOT(D696="G"),'RW predict'!E695,0)</f>
        <v>2</v>
      </c>
      <c r="I696" s="18">
        <f>'RW predict'!Q695</f>
        <v>15</v>
      </c>
      <c r="J696" s="18">
        <f>'RW predict'!F695</f>
        <v>5</v>
      </c>
      <c r="K696" s="18"/>
      <c r="L696" s="18"/>
      <c r="M696" s="18">
        <f>'RW predict'!P695</f>
        <v>49</v>
      </c>
      <c r="N696" s="18"/>
      <c r="O696" s="18">
        <f>'RW predict'!H695</f>
        <v>-2</v>
      </c>
      <c r="P696" s="18">
        <f>'RW predict'!I695</f>
        <v>7</v>
      </c>
      <c r="Q696" s="18">
        <f>'RW predict'!L695</f>
        <v>0</v>
      </c>
      <c r="R696" s="18">
        <f>'RW predict'!N695</f>
        <v>0</v>
      </c>
      <c r="S696" s="76">
        <f>'RW predict'!O695</f>
        <v>0</v>
      </c>
      <c r="T696" s="76">
        <f>'RW predict'!K695</f>
        <v>0</v>
      </c>
      <c r="U696" s="22">
        <f>'RW predict'!J695</f>
        <v>39</v>
      </c>
      <c r="V696" s="32">
        <f>IF(D696="G",'RW predict'!E695,0)</f>
        <v>0</v>
      </c>
      <c r="W696" s="18">
        <f>'RW predict'!R695</f>
        <v>0</v>
      </c>
      <c r="X696" s="18">
        <f>'RW predict'!T695</f>
        <v>0</v>
      </c>
      <c r="Y696" s="18">
        <f>'RW predict'!Y695</f>
        <v>0</v>
      </c>
      <c r="Z696" s="18">
        <f>'RW predict'!U695</f>
        <v>0</v>
      </c>
      <c r="AA696" s="18">
        <f>'RW predict'!W695</f>
        <v>0</v>
      </c>
    </row>
    <row r="697" spans="1:27" x14ac:dyDescent="0.3">
      <c r="A697" s="18">
        <v>694</v>
      </c>
      <c r="B697" s="18" t="str">
        <f>'RW predict'!A696</f>
        <v>Zac Jones</v>
      </c>
      <c r="C697" s="18" t="str">
        <f>'RW predict'!B696</f>
        <v>NYR</v>
      </c>
      <c r="D697" s="22" t="str" cm="1">
        <f t="array" ref="D697">_xlfn.SWITCH('RW predict'!C696, "C", "F", "LW","F", "RW", "F", "D", "D", "G", "G", "other")</f>
        <v>D</v>
      </c>
      <c r="E697" s="32">
        <f t="shared" si="20"/>
        <v>242</v>
      </c>
      <c r="F697" s="35">
        <f>E697/assumptions!$B$2</f>
        <v>2.9512195121951219</v>
      </c>
      <c r="G697" s="36">
        <f t="shared" si="21"/>
        <v>800</v>
      </c>
      <c r="H697" s="18">
        <f>IF(NOT(D697="G"),'RW predict'!E696,0)</f>
        <v>1</v>
      </c>
      <c r="I697" s="18">
        <f>'RW predict'!Q696</f>
        <v>27</v>
      </c>
      <c r="J697" s="18">
        <f>'RW predict'!F696</f>
        <v>6</v>
      </c>
      <c r="K697" s="18"/>
      <c r="L697" s="18"/>
      <c r="M697" s="18">
        <f>'RW predict'!P696</f>
        <v>15</v>
      </c>
      <c r="N697" s="18"/>
      <c r="O697" s="18">
        <f>'RW predict'!H696</f>
        <v>-5</v>
      </c>
      <c r="P697" s="18">
        <f>'RW predict'!I696</f>
        <v>0</v>
      </c>
      <c r="Q697" s="18">
        <f>'RW predict'!L696</f>
        <v>0</v>
      </c>
      <c r="R697" s="18">
        <f>'RW predict'!N696</f>
        <v>0</v>
      </c>
      <c r="S697" s="76">
        <f>'RW predict'!O696</f>
        <v>0</v>
      </c>
      <c r="T697" s="76">
        <f>'RW predict'!K696</f>
        <v>0</v>
      </c>
      <c r="U697" s="22">
        <f>'RW predict'!J696</f>
        <v>24</v>
      </c>
      <c r="V697" s="32">
        <f>IF(D697="G",'RW predict'!E696,0)</f>
        <v>0</v>
      </c>
      <c r="W697" s="18">
        <f>'RW predict'!R696</f>
        <v>0</v>
      </c>
      <c r="X697" s="18">
        <f>'RW predict'!T696</f>
        <v>0</v>
      </c>
      <c r="Y697" s="18">
        <f>'RW predict'!Y696</f>
        <v>0</v>
      </c>
      <c r="Z697" s="18">
        <f>'RW predict'!U696</f>
        <v>0</v>
      </c>
      <c r="AA697" s="18">
        <f>'RW predict'!W696</f>
        <v>0</v>
      </c>
    </row>
    <row r="698" spans="1:27" x14ac:dyDescent="0.3">
      <c r="A698" s="18">
        <v>695</v>
      </c>
      <c r="B698" s="18" t="str">
        <f>'RW predict'!A697</f>
        <v>Gerald Mayhew</v>
      </c>
      <c r="C698" s="18" t="str">
        <f>'RW predict'!B697</f>
        <v>FLA</v>
      </c>
      <c r="D698" s="22" t="str" cm="1">
        <f t="array" ref="D698">_xlfn.SWITCH('RW predict'!C697, "C", "F", "LW","F", "RW", "F", "D", "D", "G", "G", "other")</f>
        <v>F</v>
      </c>
      <c r="E698" s="32">
        <f t="shared" si="20"/>
        <v>431</v>
      </c>
      <c r="F698" s="35">
        <f>E698/assumptions!$B$2</f>
        <v>5.2560975609756095</v>
      </c>
      <c r="G698" s="36">
        <f t="shared" si="21"/>
        <v>714</v>
      </c>
      <c r="H698" s="18">
        <f>IF(NOT(D698="G"),'RW predict'!E697,0)</f>
        <v>5</v>
      </c>
      <c r="I698" s="18">
        <f>'RW predict'!Q697</f>
        <v>28</v>
      </c>
      <c r="J698" s="18">
        <f>'RW predict'!F697</f>
        <v>2</v>
      </c>
      <c r="K698" s="18"/>
      <c r="L698" s="18"/>
      <c r="M698" s="18">
        <f>'RW predict'!P697</f>
        <v>62</v>
      </c>
      <c r="N698" s="18"/>
      <c r="O698" s="18">
        <f>'RW predict'!H697</f>
        <v>-4</v>
      </c>
      <c r="P698" s="18">
        <f>'RW predict'!I697</f>
        <v>18</v>
      </c>
      <c r="Q698" s="18">
        <f>'RW predict'!L697</f>
        <v>0</v>
      </c>
      <c r="R698" s="18">
        <f>'RW predict'!N697</f>
        <v>0</v>
      </c>
      <c r="S698" s="76">
        <f>'RW predict'!O697</f>
        <v>0</v>
      </c>
      <c r="T698" s="76">
        <f>'RW predict'!K697</f>
        <v>1</v>
      </c>
      <c r="U698" s="22">
        <f>'RW predict'!J697</f>
        <v>52</v>
      </c>
      <c r="V698" s="32">
        <f>IF(D698="G",'RW predict'!E697,0)</f>
        <v>0</v>
      </c>
      <c r="W698" s="18">
        <f>'RW predict'!R697</f>
        <v>0</v>
      </c>
      <c r="X698" s="18">
        <f>'RW predict'!T697</f>
        <v>0</v>
      </c>
      <c r="Y698" s="18">
        <f>'RW predict'!Y697</f>
        <v>0</v>
      </c>
      <c r="Z698" s="18">
        <f>'RW predict'!U697</f>
        <v>0</v>
      </c>
      <c r="AA698" s="18">
        <f>'RW predict'!W697</f>
        <v>0</v>
      </c>
    </row>
    <row r="699" spans="1:27" x14ac:dyDescent="0.3">
      <c r="A699" s="18">
        <v>696</v>
      </c>
      <c r="B699" s="18" t="str">
        <f>'RW predict'!A698</f>
        <v>Mathieu Olivier</v>
      </c>
      <c r="C699" s="18" t="str">
        <f>'RW predict'!B698</f>
        <v>CLS</v>
      </c>
      <c r="D699" s="22" t="str" cm="1">
        <f t="array" ref="D699">_xlfn.SWITCH('RW predict'!C698, "C", "F", "LW","F", "RW", "F", "D", "D", "G", "G", "other")</f>
        <v>F</v>
      </c>
      <c r="E699" s="32">
        <f t="shared" si="20"/>
        <v>452</v>
      </c>
      <c r="F699" s="35">
        <f>E699/assumptions!$B$2</f>
        <v>5.5121951219512191</v>
      </c>
      <c r="G699" s="36">
        <f t="shared" si="21"/>
        <v>706</v>
      </c>
      <c r="H699" s="18">
        <f>IF(NOT(D699="G"),'RW predict'!E698,0)</f>
        <v>3</v>
      </c>
      <c r="I699" s="18">
        <f>'RW predict'!Q698</f>
        <v>19</v>
      </c>
      <c r="J699" s="18">
        <f>'RW predict'!F698</f>
        <v>4</v>
      </c>
      <c r="K699" s="18"/>
      <c r="L699" s="18"/>
      <c r="M699" s="18">
        <f>'RW predict'!P698</f>
        <v>91</v>
      </c>
      <c r="N699" s="18"/>
      <c r="O699" s="18">
        <f>'RW predict'!H698</f>
        <v>-6</v>
      </c>
      <c r="P699" s="18">
        <f>'RW predict'!I698</f>
        <v>52</v>
      </c>
      <c r="Q699" s="18">
        <f>'RW predict'!L698</f>
        <v>0</v>
      </c>
      <c r="R699" s="18">
        <f>'RW predict'!N698</f>
        <v>0</v>
      </c>
      <c r="S699" s="76">
        <f>'RW predict'!O698</f>
        <v>0</v>
      </c>
      <c r="T699" s="76">
        <f>'RW predict'!K698</f>
        <v>0</v>
      </c>
      <c r="U699" s="22">
        <f>'RW predict'!J698</f>
        <v>26</v>
      </c>
      <c r="V699" s="32">
        <f>IF(D699="G",'RW predict'!E698,0)</f>
        <v>0</v>
      </c>
      <c r="W699" s="18">
        <f>'RW predict'!R698</f>
        <v>0</v>
      </c>
      <c r="X699" s="18">
        <f>'RW predict'!T698</f>
        <v>0</v>
      </c>
      <c r="Y699" s="18">
        <f>'RW predict'!Y698</f>
        <v>0</v>
      </c>
      <c r="Z699" s="18">
        <f>'RW predict'!U698</f>
        <v>0</v>
      </c>
      <c r="AA699" s="18">
        <f>'RW predict'!W698</f>
        <v>0</v>
      </c>
    </row>
    <row r="700" spans="1:27" x14ac:dyDescent="0.3">
      <c r="A700" s="18">
        <v>697</v>
      </c>
      <c r="B700" s="18" t="str">
        <f>'RW predict'!A699</f>
        <v>Reese Johnson</v>
      </c>
      <c r="C700" s="18" t="str">
        <f>'RW predict'!B699</f>
        <v>CHI</v>
      </c>
      <c r="D700" s="22" t="str" cm="1">
        <f t="array" ref="D700">_xlfn.SWITCH('RW predict'!C699, "C", "F", "LW","F", "RW", "F", "D", "D", "G", "G", "other")</f>
        <v>F</v>
      </c>
      <c r="E700" s="32">
        <f t="shared" si="20"/>
        <v>447</v>
      </c>
      <c r="F700" s="35">
        <f>E700/assumptions!$B$2</f>
        <v>5.4512195121951219</v>
      </c>
      <c r="G700" s="36">
        <f t="shared" si="21"/>
        <v>708</v>
      </c>
      <c r="H700" s="18">
        <f>IF(NOT(D700="G"),'RW predict'!E699,0)</f>
        <v>1</v>
      </c>
      <c r="I700" s="18">
        <f>'RW predict'!Q699</f>
        <v>17</v>
      </c>
      <c r="J700" s="18">
        <f>'RW predict'!F699</f>
        <v>6</v>
      </c>
      <c r="K700" s="18"/>
      <c r="L700" s="18"/>
      <c r="M700" s="18">
        <f>'RW predict'!P699</f>
        <v>172</v>
      </c>
      <c r="N700" s="18"/>
      <c r="O700" s="18">
        <f>'RW predict'!H699</f>
        <v>-11</v>
      </c>
      <c r="P700" s="18">
        <f>'RW predict'!I699</f>
        <v>32</v>
      </c>
      <c r="Q700" s="18">
        <f>'RW predict'!L699</f>
        <v>0</v>
      </c>
      <c r="R700" s="18">
        <f>'RW predict'!N699</f>
        <v>0</v>
      </c>
      <c r="S700" s="76">
        <f>'RW predict'!O699</f>
        <v>0</v>
      </c>
      <c r="T700" s="76">
        <f>'RW predict'!K699</f>
        <v>0</v>
      </c>
      <c r="U700" s="22">
        <f>'RW predict'!J699</f>
        <v>40</v>
      </c>
      <c r="V700" s="32">
        <f>IF(D700="G",'RW predict'!E699,0)</f>
        <v>0</v>
      </c>
      <c r="W700" s="18">
        <f>'RW predict'!R699</f>
        <v>0</v>
      </c>
      <c r="X700" s="18">
        <f>'RW predict'!T699</f>
        <v>0</v>
      </c>
      <c r="Y700" s="18">
        <f>'RW predict'!Y699</f>
        <v>0</v>
      </c>
      <c r="Z700" s="18">
        <f>'RW predict'!U699</f>
        <v>0</v>
      </c>
      <c r="AA700" s="18">
        <f>'RW predict'!W699</f>
        <v>0</v>
      </c>
    </row>
    <row r="701" spans="1:27" x14ac:dyDescent="0.3">
      <c r="A701" s="18">
        <v>698</v>
      </c>
      <c r="B701" s="18" t="str">
        <f>'RW predict'!A700</f>
        <v>Jakob Pelletier</v>
      </c>
      <c r="C701" s="18" t="str">
        <f>'RW predict'!B700</f>
        <v>CGY</v>
      </c>
      <c r="D701" s="22" t="str" cm="1">
        <f t="array" ref="D701">_xlfn.SWITCH('RW predict'!C700, "C", "F", "LW","F", "RW", "F", "D", "D", "G", "G", "other")</f>
        <v>F</v>
      </c>
      <c r="E701" s="32">
        <f t="shared" si="20"/>
        <v>164</v>
      </c>
      <c r="F701" s="35">
        <f>E701/assumptions!$B$2</f>
        <v>2</v>
      </c>
      <c r="G701" s="36">
        <f t="shared" si="21"/>
        <v>853</v>
      </c>
      <c r="H701" s="18">
        <f>IF(NOT(D701="G"),'RW predict'!E700,0)</f>
        <v>2</v>
      </c>
      <c r="I701" s="18">
        <f>'RW predict'!Q700</f>
        <v>4</v>
      </c>
      <c r="J701" s="18">
        <f>'RW predict'!F700</f>
        <v>4</v>
      </c>
      <c r="K701" s="18"/>
      <c r="L701" s="18"/>
      <c r="M701" s="18">
        <f>'RW predict'!P700</f>
        <v>6</v>
      </c>
      <c r="N701" s="18"/>
      <c r="O701" s="18">
        <f>'RW predict'!H700</f>
        <v>0</v>
      </c>
      <c r="P701" s="18">
        <f>'RW predict'!I700</f>
        <v>0</v>
      </c>
      <c r="Q701" s="18">
        <f>'RW predict'!L700</f>
        <v>0</v>
      </c>
      <c r="R701" s="18">
        <f>'RW predict'!N700</f>
        <v>0</v>
      </c>
      <c r="S701" s="76">
        <f>'RW predict'!O700</f>
        <v>0</v>
      </c>
      <c r="T701" s="76">
        <f>'RW predict'!K700</f>
        <v>0</v>
      </c>
      <c r="U701" s="22">
        <f>'RW predict'!J700</f>
        <v>0</v>
      </c>
      <c r="V701" s="32">
        <f>IF(D701="G",'RW predict'!E700,0)</f>
        <v>0</v>
      </c>
      <c r="W701" s="18">
        <f>'RW predict'!R700</f>
        <v>0</v>
      </c>
      <c r="X701" s="18">
        <f>'RW predict'!T700</f>
        <v>0</v>
      </c>
      <c r="Y701" s="18">
        <f>'RW predict'!Y700</f>
        <v>0</v>
      </c>
      <c r="Z701" s="18">
        <f>'RW predict'!U700</f>
        <v>0</v>
      </c>
      <c r="AA701" s="18">
        <f>'RW predict'!W700</f>
        <v>0</v>
      </c>
    </row>
    <row r="702" spans="1:27" x14ac:dyDescent="0.3">
      <c r="A702" s="18">
        <v>699</v>
      </c>
      <c r="B702" s="18" t="str">
        <f>'RW predict'!A701</f>
        <v>Mikhail Maltsev</v>
      </c>
      <c r="C702" s="18" t="str">
        <f>'RW predict'!B701</f>
        <v>COL</v>
      </c>
      <c r="D702" s="22" t="str" cm="1">
        <f t="array" ref="D702">_xlfn.SWITCH('RW predict'!C701, "C", "F", "LW","F", "RW", "F", "D", "D", "G", "G", "other")</f>
        <v>F</v>
      </c>
      <c r="E702" s="32">
        <f t="shared" si="20"/>
        <v>353</v>
      </c>
      <c r="F702" s="35">
        <f>E702/assumptions!$B$2</f>
        <v>4.3048780487804876</v>
      </c>
      <c r="G702" s="36">
        <f t="shared" si="21"/>
        <v>742</v>
      </c>
      <c r="H702" s="18">
        <f>IF(NOT(D702="G"),'RW predict'!E701,0)</f>
        <v>2</v>
      </c>
      <c r="I702" s="18">
        <f>'RW predict'!Q701</f>
        <v>8</v>
      </c>
      <c r="J702" s="18">
        <f>'RW predict'!F701</f>
        <v>4</v>
      </c>
      <c r="K702" s="18"/>
      <c r="L702" s="18"/>
      <c r="M702" s="18">
        <f>'RW predict'!P701</f>
        <v>67</v>
      </c>
      <c r="N702" s="18"/>
      <c r="O702" s="18">
        <f>'RW predict'!H701</f>
        <v>-4</v>
      </c>
      <c r="P702" s="18">
        <f>'RW predict'!I701</f>
        <v>8</v>
      </c>
      <c r="Q702" s="18">
        <f>'RW predict'!L701</f>
        <v>0</v>
      </c>
      <c r="R702" s="18">
        <f>'RW predict'!N701</f>
        <v>0</v>
      </c>
      <c r="S702" s="76">
        <f>'RW predict'!O701</f>
        <v>0</v>
      </c>
      <c r="T702" s="76">
        <f>'RW predict'!K701</f>
        <v>0</v>
      </c>
      <c r="U702" s="22">
        <f>'RW predict'!J701</f>
        <v>68</v>
      </c>
      <c r="V702" s="32">
        <f>IF(D702="G",'RW predict'!E701,0)</f>
        <v>0</v>
      </c>
      <c r="W702" s="18">
        <f>'RW predict'!R701</f>
        <v>0</v>
      </c>
      <c r="X702" s="18">
        <f>'RW predict'!T701</f>
        <v>0</v>
      </c>
      <c r="Y702" s="18">
        <f>'RW predict'!Y701</f>
        <v>0</v>
      </c>
      <c r="Z702" s="18">
        <f>'RW predict'!U701</f>
        <v>0</v>
      </c>
      <c r="AA702" s="18">
        <f>'RW predict'!W701</f>
        <v>0</v>
      </c>
    </row>
    <row r="703" spans="1:27" x14ac:dyDescent="0.3">
      <c r="A703" s="18">
        <v>700</v>
      </c>
      <c r="B703" s="18" t="str">
        <f>'RW predict'!A702</f>
        <v>Nick Robertson</v>
      </c>
      <c r="C703" s="18" t="str">
        <f>'RW predict'!B702</f>
        <v>TOR</v>
      </c>
      <c r="D703" s="22" t="str" cm="1">
        <f t="array" ref="D703">_xlfn.SWITCH('RW predict'!C702, "C", "F", "LW","F", "RW", "F", "D", "D", "G", "G", "other")</f>
        <v>F</v>
      </c>
      <c r="E703" s="32">
        <f t="shared" si="20"/>
        <v>273</v>
      </c>
      <c r="F703" s="35">
        <f>E703/assumptions!$B$2</f>
        <v>3.3292682926829267</v>
      </c>
      <c r="G703" s="36">
        <f t="shared" si="21"/>
        <v>783</v>
      </c>
      <c r="H703" s="18">
        <f>IF(NOT(D703="G"),'RW predict'!E702,0)</f>
        <v>3</v>
      </c>
      <c r="I703" s="18">
        <f>'RW predict'!Q702</f>
        <v>5</v>
      </c>
      <c r="J703" s="18">
        <f>'RW predict'!F702</f>
        <v>3</v>
      </c>
      <c r="K703" s="18"/>
      <c r="L703" s="18"/>
      <c r="M703" s="18">
        <f>'RW predict'!P702</f>
        <v>25</v>
      </c>
      <c r="N703" s="18"/>
      <c r="O703" s="18">
        <f>'RW predict'!H702</f>
        <v>-3</v>
      </c>
      <c r="P703" s="18">
        <f>'RW predict'!I702</f>
        <v>8</v>
      </c>
      <c r="Q703" s="18">
        <f>'RW predict'!L702</f>
        <v>0</v>
      </c>
      <c r="R703" s="18">
        <f>'RW predict'!N702</f>
        <v>0</v>
      </c>
      <c r="S703" s="76">
        <f>'RW predict'!O702</f>
        <v>0</v>
      </c>
      <c r="T703" s="76">
        <f>'RW predict'!K702</f>
        <v>1</v>
      </c>
      <c r="U703" s="22">
        <f>'RW predict'!J702</f>
        <v>37</v>
      </c>
      <c r="V703" s="32">
        <f>IF(D703="G",'RW predict'!E702,0)</f>
        <v>0</v>
      </c>
      <c r="W703" s="18">
        <f>'RW predict'!R702</f>
        <v>0</v>
      </c>
      <c r="X703" s="18">
        <f>'RW predict'!T702</f>
        <v>0</v>
      </c>
      <c r="Y703" s="18">
        <f>'RW predict'!Y702</f>
        <v>0</v>
      </c>
      <c r="Z703" s="18">
        <f>'RW predict'!U702</f>
        <v>0</v>
      </c>
      <c r="AA703" s="18">
        <f>'RW predict'!W702</f>
        <v>0</v>
      </c>
    </row>
    <row r="704" spans="1:27" x14ac:dyDescent="0.3">
      <c r="A704" s="18">
        <v>701</v>
      </c>
      <c r="B704" s="18" t="str">
        <f>'RW predict'!A703</f>
        <v>Connor McMichael</v>
      </c>
      <c r="C704" s="18" t="str">
        <f>'RW predict'!B703</f>
        <v>WAS</v>
      </c>
      <c r="D704" s="22" t="str" cm="1">
        <f t="array" ref="D704">_xlfn.SWITCH('RW predict'!C703, "C", "F", "LW","F", "RW", "F", "D", "D", "G", "G", "other")</f>
        <v>F</v>
      </c>
      <c r="E704" s="32">
        <f t="shared" si="20"/>
        <v>217</v>
      </c>
      <c r="F704" s="35">
        <f>E704/assumptions!$B$2</f>
        <v>2.6463414634146343</v>
      </c>
      <c r="G704" s="36">
        <f t="shared" si="21"/>
        <v>818</v>
      </c>
      <c r="H704" s="18">
        <f>IF(NOT(D704="G"),'RW predict'!E703,0)</f>
        <v>3</v>
      </c>
      <c r="I704" s="18">
        <f>'RW predict'!Q703</f>
        <v>4</v>
      </c>
      <c r="J704" s="18">
        <f>'RW predict'!F703</f>
        <v>3</v>
      </c>
      <c r="K704" s="18"/>
      <c r="L704" s="18"/>
      <c r="M704" s="18">
        <f>'RW predict'!P703</f>
        <v>9</v>
      </c>
      <c r="N704" s="18"/>
      <c r="O704" s="18">
        <f>'RW predict'!H703</f>
        <v>0</v>
      </c>
      <c r="P704" s="18">
        <f>'RW predict'!I703</f>
        <v>2</v>
      </c>
      <c r="Q704" s="18">
        <f>'RW predict'!L703</f>
        <v>0</v>
      </c>
      <c r="R704" s="18">
        <f>'RW predict'!N703</f>
        <v>0</v>
      </c>
      <c r="S704" s="76">
        <f>'RW predict'!O703</f>
        <v>0</v>
      </c>
      <c r="T704" s="76">
        <f>'RW predict'!K703</f>
        <v>0</v>
      </c>
      <c r="U704" s="22">
        <f>'RW predict'!J703</f>
        <v>22</v>
      </c>
      <c r="V704" s="32">
        <f>IF(D704="G",'RW predict'!E703,0)</f>
        <v>0</v>
      </c>
      <c r="W704" s="18">
        <f>'RW predict'!R703</f>
        <v>0</v>
      </c>
      <c r="X704" s="18">
        <f>'RW predict'!T703</f>
        <v>0</v>
      </c>
      <c r="Y704" s="18">
        <f>'RW predict'!Y703</f>
        <v>0</v>
      </c>
      <c r="Z704" s="18">
        <f>'RW predict'!U703</f>
        <v>0</v>
      </c>
      <c r="AA704" s="18">
        <f>'RW predict'!W703</f>
        <v>0</v>
      </c>
    </row>
    <row r="705" spans="1:27" x14ac:dyDescent="0.3">
      <c r="A705" s="18">
        <v>702</v>
      </c>
      <c r="B705" s="18" t="str">
        <f>'RW predict'!A704</f>
        <v>Ville Heinola</v>
      </c>
      <c r="C705" s="18" t="str">
        <f>'RW predict'!B704</f>
        <v>WPG</v>
      </c>
      <c r="D705" s="22" t="str" cm="1">
        <f t="array" ref="D705">_xlfn.SWITCH('RW predict'!C704, "C", "F", "LW","F", "RW", "F", "D", "D", "G", "G", "other")</f>
        <v>D</v>
      </c>
      <c r="E705" s="32">
        <f t="shared" si="20"/>
        <v>288</v>
      </c>
      <c r="F705" s="35">
        <f>E705/assumptions!$B$2</f>
        <v>3.5121951219512195</v>
      </c>
      <c r="G705" s="36">
        <f t="shared" si="21"/>
        <v>775</v>
      </c>
      <c r="H705" s="18">
        <f>IF(NOT(D705="G"),'RW predict'!E704,0)</f>
        <v>1</v>
      </c>
      <c r="I705" s="18">
        <f>'RW predict'!Q704</f>
        <v>14</v>
      </c>
      <c r="J705" s="18">
        <f>'RW predict'!F704</f>
        <v>5</v>
      </c>
      <c r="K705" s="18"/>
      <c r="L705" s="18"/>
      <c r="M705" s="18">
        <f>'RW predict'!P704</f>
        <v>12</v>
      </c>
      <c r="N705" s="18"/>
      <c r="O705" s="18">
        <f>'RW predict'!H704</f>
        <v>-2</v>
      </c>
      <c r="P705" s="18">
        <f>'RW predict'!I704</f>
        <v>14</v>
      </c>
      <c r="Q705" s="18">
        <f>'RW predict'!L704</f>
        <v>0</v>
      </c>
      <c r="R705" s="18">
        <f>'RW predict'!N704</f>
        <v>0</v>
      </c>
      <c r="S705" s="76">
        <f>'RW predict'!O704</f>
        <v>0</v>
      </c>
      <c r="T705" s="76">
        <f>'RW predict'!K704</f>
        <v>0</v>
      </c>
      <c r="U705" s="22">
        <f>'RW predict'!J704</f>
        <v>38</v>
      </c>
      <c r="V705" s="32">
        <f>IF(D705="G",'RW predict'!E704,0)</f>
        <v>0</v>
      </c>
      <c r="W705" s="18">
        <f>'RW predict'!R704</f>
        <v>0</v>
      </c>
      <c r="X705" s="18">
        <f>'RW predict'!T704</f>
        <v>0</v>
      </c>
      <c r="Y705" s="18">
        <f>'RW predict'!Y704</f>
        <v>0</v>
      </c>
      <c r="Z705" s="18">
        <f>'RW predict'!U704</f>
        <v>0</v>
      </c>
      <c r="AA705" s="18">
        <f>'RW predict'!W704</f>
        <v>0</v>
      </c>
    </row>
    <row r="706" spans="1:27" x14ac:dyDescent="0.3">
      <c r="A706" s="18">
        <v>703</v>
      </c>
      <c r="B706" s="18" t="str">
        <f>'RW predict'!A705</f>
        <v>Karson Kuhlman</v>
      </c>
      <c r="C706" s="18" t="str">
        <f>'RW predict'!B705</f>
        <v>SEA</v>
      </c>
      <c r="D706" s="22" t="str" cm="1">
        <f t="array" ref="D706">_xlfn.SWITCH('RW predict'!C705, "C", "F", "LW","F", "RW", "F", "D", "D", "G", "G", "other")</f>
        <v>F</v>
      </c>
      <c r="E706" s="32">
        <f t="shared" si="20"/>
        <v>256</v>
      </c>
      <c r="F706" s="35">
        <f>E706/assumptions!$B$2</f>
        <v>3.1219512195121952</v>
      </c>
      <c r="G706" s="36">
        <f t="shared" si="21"/>
        <v>795</v>
      </c>
      <c r="H706" s="18">
        <f>IF(NOT(D706="G"),'RW predict'!E705,0)</f>
        <v>2</v>
      </c>
      <c r="I706" s="18">
        <f>'RW predict'!Q705</f>
        <v>9</v>
      </c>
      <c r="J706" s="18">
        <f>'RW predict'!F705</f>
        <v>4</v>
      </c>
      <c r="K706" s="18"/>
      <c r="L706" s="18"/>
      <c r="M706" s="18">
        <f>'RW predict'!P705</f>
        <v>32</v>
      </c>
      <c r="N706" s="18"/>
      <c r="O706" s="18">
        <f>'RW predict'!H705</f>
        <v>-2</v>
      </c>
      <c r="P706" s="18">
        <f>'RW predict'!I705</f>
        <v>4</v>
      </c>
      <c r="Q706" s="18">
        <f>'RW predict'!L705</f>
        <v>0</v>
      </c>
      <c r="R706" s="18">
        <f>'RW predict'!N705</f>
        <v>0</v>
      </c>
      <c r="S706" s="76">
        <f>'RW predict'!O705</f>
        <v>0</v>
      </c>
      <c r="T706" s="76">
        <f>'RW predict'!K705</f>
        <v>0</v>
      </c>
      <c r="U706" s="22">
        <f>'RW predict'!J705</f>
        <v>32</v>
      </c>
      <c r="V706" s="32">
        <f>IF(D706="G",'RW predict'!E705,0)</f>
        <v>0</v>
      </c>
      <c r="W706" s="18">
        <f>'RW predict'!R705</f>
        <v>0</v>
      </c>
      <c r="X706" s="18">
        <f>'RW predict'!T705</f>
        <v>0</v>
      </c>
      <c r="Y706" s="18">
        <f>'RW predict'!Y705</f>
        <v>0</v>
      </c>
      <c r="Z706" s="18">
        <f>'RW predict'!U705</f>
        <v>0</v>
      </c>
      <c r="AA706" s="18">
        <f>'RW predict'!W705</f>
        <v>0</v>
      </c>
    </row>
    <row r="707" spans="1:27" x14ac:dyDescent="0.3">
      <c r="A707" s="18">
        <v>704</v>
      </c>
      <c r="B707" s="18" t="str">
        <f>'RW predict'!A706</f>
        <v>Vinni Lettieri</v>
      </c>
      <c r="C707" s="18" t="str">
        <f>'RW predict'!B706</f>
        <v>BOS</v>
      </c>
      <c r="D707" s="22" t="str" cm="1">
        <f t="array" ref="D707">_xlfn.SWITCH('RW predict'!C706, "C", "F", "LW","F", "RW", "F", "D", "D", "G", "G", "other")</f>
        <v>F</v>
      </c>
      <c r="E707" s="32">
        <f t="shared" si="20"/>
        <v>284</v>
      </c>
      <c r="F707" s="35">
        <f>E707/assumptions!$B$2</f>
        <v>3.4634146341463414</v>
      </c>
      <c r="G707" s="36">
        <f t="shared" si="21"/>
        <v>777</v>
      </c>
      <c r="H707" s="18">
        <f>IF(NOT(D707="G"),'RW predict'!E706,0)</f>
        <v>3</v>
      </c>
      <c r="I707" s="18">
        <f>'RW predict'!Q706</f>
        <v>15</v>
      </c>
      <c r="J707" s="18">
        <f>'RW predict'!F706</f>
        <v>3</v>
      </c>
      <c r="K707" s="18"/>
      <c r="L707" s="18"/>
      <c r="M707" s="18">
        <f>'RW predict'!P706</f>
        <v>38</v>
      </c>
      <c r="N707" s="18"/>
      <c r="O707" s="18">
        <f>'RW predict'!H706</f>
        <v>-5</v>
      </c>
      <c r="P707" s="18">
        <f>'RW predict'!I706</f>
        <v>6</v>
      </c>
      <c r="Q707" s="18">
        <f>'RW predict'!L706</f>
        <v>1</v>
      </c>
      <c r="R707" s="18">
        <f>'RW predict'!N706</f>
        <v>0</v>
      </c>
      <c r="S707" s="76">
        <f>'RW predict'!O706</f>
        <v>0</v>
      </c>
      <c r="T707" s="76">
        <f>'RW predict'!K706</f>
        <v>0</v>
      </c>
      <c r="U707" s="22">
        <f>'RW predict'!J706</f>
        <v>44</v>
      </c>
      <c r="V707" s="32">
        <f>IF(D707="G",'RW predict'!E706,0)</f>
        <v>0</v>
      </c>
      <c r="W707" s="18">
        <f>'RW predict'!R706</f>
        <v>0</v>
      </c>
      <c r="X707" s="18">
        <f>'RW predict'!T706</f>
        <v>0</v>
      </c>
      <c r="Y707" s="18">
        <f>'RW predict'!Y706</f>
        <v>0</v>
      </c>
      <c r="Z707" s="18">
        <f>'RW predict'!U706</f>
        <v>0</v>
      </c>
      <c r="AA707" s="18">
        <f>'RW predict'!W706</f>
        <v>0</v>
      </c>
    </row>
    <row r="708" spans="1:27" x14ac:dyDescent="0.3">
      <c r="A708" s="18">
        <v>705</v>
      </c>
      <c r="B708" s="18" t="str">
        <f>'RW predict'!A707</f>
        <v>Kristian Vesalainen</v>
      </c>
      <c r="C708" s="18" t="str">
        <f>'RW predict'!B707</f>
        <v>WPG</v>
      </c>
      <c r="D708" s="22" t="str" cm="1">
        <f t="array" ref="D708">_xlfn.SWITCH('RW predict'!C707, "C", "F", "LW","F", "RW", "F", "D", "D", "G", "G", "other")</f>
        <v>F</v>
      </c>
      <c r="E708" s="32">
        <f t="shared" si="20"/>
        <v>258</v>
      </c>
      <c r="F708" s="35">
        <f>E708/assumptions!$B$2</f>
        <v>3.1463414634146343</v>
      </c>
      <c r="G708" s="36">
        <f t="shared" si="21"/>
        <v>793</v>
      </c>
      <c r="H708" s="18">
        <f>IF(NOT(D708="G"),'RW predict'!E707,0)</f>
        <v>2</v>
      </c>
      <c r="I708" s="18">
        <f>'RW predict'!Q707</f>
        <v>18</v>
      </c>
      <c r="J708" s="18">
        <f>'RW predict'!F707</f>
        <v>4</v>
      </c>
      <c r="K708" s="18"/>
      <c r="L708" s="18"/>
      <c r="M708" s="18">
        <f>'RW predict'!P707</f>
        <v>28</v>
      </c>
      <c r="N708" s="18"/>
      <c r="O708" s="18">
        <f>'RW predict'!H707</f>
        <v>-6</v>
      </c>
      <c r="P708" s="18">
        <f>'RW predict'!I707</f>
        <v>14</v>
      </c>
      <c r="Q708" s="18">
        <f>'RW predict'!L707</f>
        <v>0</v>
      </c>
      <c r="R708" s="18">
        <f>'RW predict'!N707</f>
        <v>0</v>
      </c>
      <c r="S708" s="76">
        <f>'RW predict'!O707</f>
        <v>0</v>
      </c>
      <c r="T708" s="76">
        <f>'RW predict'!K707</f>
        <v>0</v>
      </c>
      <c r="U708" s="22">
        <f>'RW predict'!J707</f>
        <v>31</v>
      </c>
      <c r="V708" s="32">
        <f>IF(D708="G",'RW predict'!E707,0)</f>
        <v>0</v>
      </c>
      <c r="W708" s="18">
        <f>'RW predict'!R707</f>
        <v>0</v>
      </c>
      <c r="X708" s="18">
        <f>'RW predict'!T707</f>
        <v>0</v>
      </c>
      <c r="Y708" s="18">
        <f>'RW predict'!Y707</f>
        <v>0</v>
      </c>
      <c r="Z708" s="18">
        <f>'RW predict'!U707</f>
        <v>0</v>
      </c>
      <c r="AA708" s="18">
        <f>'RW predict'!W707</f>
        <v>0</v>
      </c>
    </row>
    <row r="709" spans="1:27" x14ac:dyDescent="0.3">
      <c r="A709" s="18">
        <v>706</v>
      </c>
      <c r="B709" s="18" t="str">
        <f>'RW predict'!A708</f>
        <v>Julien Gauthier</v>
      </c>
      <c r="C709" s="18" t="str">
        <f>'RW predict'!B708</f>
        <v>NYR</v>
      </c>
      <c r="D709" s="22" t="str" cm="1">
        <f t="array" ref="D709">_xlfn.SWITCH('RW predict'!C708, "C", "F", "LW","F", "RW", "F", "D", "D", "G", "G", "other")</f>
        <v>F</v>
      </c>
      <c r="E709" s="32">
        <f t="shared" ref="E709:E772" si="22">H709*$H$3+I709*I$3+K709*K$3+L709*L$3+M709*M$3+N709*N$3+V709*V$3+J709*J$3+O709*$O$3+P709*$P$3+Q709*$Q$3+R709*$R$3+S709*$S$3+T709*$T$3+U709*$U$3+W709*$W$3+X709*$X$3+Y709*$Y$3+Z709*$Z$3+AA709*$AA$3</f>
        <v>345</v>
      </c>
      <c r="F709" s="35">
        <f>E709/assumptions!$B$2</f>
        <v>4.2073170731707314</v>
      </c>
      <c r="G709" s="36">
        <f t="shared" ref="G709:G772" si="23">RANK(E709,$E$4:$E$1100)</f>
        <v>751</v>
      </c>
      <c r="H709" s="18">
        <f>IF(NOT(D709="G"),'RW predict'!E708,0)</f>
        <v>2</v>
      </c>
      <c r="I709" s="18">
        <f>'RW predict'!Q708</f>
        <v>11</v>
      </c>
      <c r="J709" s="18">
        <f>'RW predict'!F708</f>
        <v>4</v>
      </c>
      <c r="K709" s="18"/>
      <c r="L709" s="18"/>
      <c r="M709" s="18">
        <f>'RW predict'!P708</f>
        <v>73</v>
      </c>
      <c r="N709" s="18"/>
      <c r="O709" s="18">
        <f>'RW predict'!H708</f>
        <v>-9</v>
      </c>
      <c r="P709" s="18">
        <f>'RW predict'!I708</f>
        <v>12</v>
      </c>
      <c r="Q709" s="18">
        <f>'RW predict'!L708</f>
        <v>0</v>
      </c>
      <c r="R709" s="18">
        <f>'RW predict'!N708</f>
        <v>0</v>
      </c>
      <c r="S709" s="76">
        <f>'RW predict'!O708</f>
        <v>0</v>
      </c>
      <c r="T709" s="76">
        <f>'RW predict'!K708</f>
        <v>0</v>
      </c>
      <c r="U709" s="22">
        <f>'RW predict'!J708</f>
        <v>77</v>
      </c>
      <c r="V709" s="32">
        <f>IF(D709="G",'RW predict'!E708,0)</f>
        <v>0</v>
      </c>
      <c r="W709" s="18">
        <f>'RW predict'!R708</f>
        <v>0</v>
      </c>
      <c r="X709" s="18">
        <f>'RW predict'!T708</f>
        <v>0</v>
      </c>
      <c r="Y709" s="18">
        <f>'RW predict'!Y708</f>
        <v>0</v>
      </c>
      <c r="Z709" s="18">
        <f>'RW predict'!U708</f>
        <v>0</v>
      </c>
      <c r="AA709" s="18">
        <f>'RW predict'!W708</f>
        <v>0</v>
      </c>
    </row>
    <row r="710" spans="1:27" x14ac:dyDescent="0.3">
      <c r="A710" s="18">
        <v>707</v>
      </c>
      <c r="B710" s="18" t="str">
        <f>'RW predict'!A709</f>
        <v>Jeremy Lauzon</v>
      </c>
      <c r="C710" s="18" t="str">
        <f>'RW predict'!B709</f>
        <v>NSH</v>
      </c>
      <c r="D710" s="22" t="str" cm="1">
        <f t="array" ref="D710">_xlfn.SWITCH('RW predict'!C709, "C", "F", "LW","F", "RW", "F", "D", "D", "G", "G", "other")</f>
        <v>D</v>
      </c>
      <c r="E710" s="32">
        <f t="shared" si="22"/>
        <v>849</v>
      </c>
      <c r="F710" s="35">
        <f>E710/assumptions!$B$2</f>
        <v>10.353658536585366</v>
      </c>
      <c r="G710" s="36">
        <f t="shared" si="23"/>
        <v>553</v>
      </c>
      <c r="H710" s="18">
        <f>IF(NOT(D710="G"),'RW predict'!E709,0)</f>
        <v>1</v>
      </c>
      <c r="I710" s="18">
        <f>'RW predict'!Q709</f>
        <v>66</v>
      </c>
      <c r="J710" s="18">
        <f>'RW predict'!F709</f>
        <v>5</v>
      </c>
      <c r="K710" s="18"/>
      <c r="L710" s="18"/>
      <c r="M710" s="18">
        <f>'RW predict'!P709</f>
        <v>208</v>
      </c>
      <c r="N710" s="18"/>
      <c r="O710" s="18">
        <f>'RW predict'!H709</f>
        <v>-2</v>
      </c>
      <c r="P710" s="18">
        <f>'RW predict'!I709</f>
        <v>79</v>
      </c>
      <c r="Q710" s="18">
        <f>'RW predict'!L709</f>
        <v>0</v>
      </c>
      <c r="R710" s="18">
        <f>'RW predict'!N709</f>
        <v>0</v>
      </c>
      <c r="S710" s="76">
        <f>'RW predict'!O709</f>
        <v>0</v>
      </c>
      <c r="T710" s="76">
        <f>'RW predict'!K709</f>
        <v>0</v>
      </c>
      <c r="U710" s="22">
        <f>'RW predict'!J709</f>
        <v>71</v>
      </c>
      <c r="V710" s="32">
        <f>IF(D710="G",'RW predict'!E709,0)</f>
        <v>0</v>
      </c>
      <c r="W710" s="18">
        <f>'RW predict'!R709</f>
        <v>0</v>
      </c>
      <c r="X710" s="18">
        <f>'RW predict'!T709</f>
        <v>0</v>
      </c>
      <c r="Y710" s="18">
        <f>'RW predict'!Y709</f>
        <v>0</v>
      </c>
      <c r="Z710" s="18">
        <f>'RW predict'!U709</f>
        <v>0</v>
      </c>
      <c r="AA710" s="18">
        <f>'RW predict'!W709</f>
        <v>0</v>
      </c>
    </row>
    <row r="711" spans="1:27" x14ac:dyDescent="0.3">
      <c r="A711" s="18">
        <v>708</v>
      </c>
      <c r="B711" s="18" t="str">
        <f>'RW predict'!A710</f>
        <v>Sami Niku</v>
      </c>
      <c r="C711" s="18" t="str">
        <f>'RW predict'!B710</f>
        <v>FA</v>
      </c>
      <c r="D711" s="22" t="str" cm="1">
        <f t="array" ref="D711">_xlfn.SWITCH('RW predict'!C710, "C", "F", "LW","F", "RW", "F", "D", "D", "G", "G", "other")</f>
        <v>D</v>
      </c>
      <c r="E711" s="32">
        <f t="shared" si="22"/>
        <v>244</v>
      </c>
      <c r="F711" s="35">
        <f>E711/assumptions!$B$2</f>
        <v>2.975609756097561</v>
      </c>
      <c r="G711" s="36">
        <f t="shared" si="23"/>
        <v>799</v>
      </c>
      <c r="H711" s="18">
        <f>IF(NOT(D711="G"),'RW predict'!E710,0)</f>
        <v>0</v>
      </c>
      <c r="I711" s="18">
        <f>'RW predict'!Q710</f>
        <v>17</v>
      </c>
      <c r="J711" s="18">
        <f>'RW predict'!F710</f>
        <v>6</v>
      </c>
      <c r="K711" s="18"/>
      <c r="L711" s="18"/>
      <c r="M711" s="18">
        <f>'RW predict'!P710</f>
        <v>7</v>
      </c>
      <c r="N711" s="18"/>
      <c r="O711" s="18">
        <f>'RW predict'!H710</f>
        <v>1</v>
      </c>
      <c r="P711" s="18">
        <f>'RW predict'!I710</f>
        <v>5</v>
      </c>
      <c r="Q711" s="18">
        <f>'RW predict'!L710</f>
        <v>0</v>
      </c>
      <c r="R711" s="18">
        <f>'RW predict'!N710</f>
        <v>0</v>
      </c>
      <c r="S711" s="76">
        <f>'RW predict'!O710</f>
        <v>0</v>
      </c>
      <c r="T711" s="76">
        <f>'RW predict'!K710</f>
        <v>0</v>
      </c>
      <c r="U711" s="22">
        <f>'RW predict'!J710</f>
        <v>14</v>
      </c>
      <c r="V711" s="32">
        <f>IF(D711="G",'RW predict'!E710,0)</f>
        <v>0</v>
      </c>
      <c r="W711" s="18">
        <f>'RW predict'!R710</f>
        <v>0</v>
      </c>
      <c r="X711" s="18">
        <f>'RW predict'!T710</f>
        <v>0</v>
      </c>
      <c r="Y711" s="18">
        <f>'RW predict'!Y710</f>
        <v>0</v>
      </c>
      <c r="Z711" s="18">
        <f>'RW predict'!U710</f>
        <v>0</v>
      </c>
      <c r="AA711" s="18">
        <f>'RW predict'!W710</f>
        <v>0</v>
      </c>
    </row>
    <row r="712" spans="1:27" x14ac:dyDescent="0.3">
      <c r="A712" s="18">
        <v>709</v>
      </c>
      <c r="B712" s="18" t="str">
        <f>'RW predict'!A711</f>
        <v>Tanner Kero</v>
      </c>
      <c r="C712" s="18" t="str">
        <f>'RW predict'!B711</f>
        <v>DAL</v>
      </c>
      <c r="D712" s="22" t="str" cm="1">
        <f t="array" ref="D712">_xlfn.SWITCH('RW predict'!C711, "C", "F", "LW","F", "RW", "F", "D", "D", "G", "G", "other")</f>
        <v>F</v>
      </c>
      <c r="E712" s="32">
        <f t="shared" si="22"/>
        <v>210</v>
      </c>
      <c r="F712" s="35">
        <f>E712/assumptions!$B$2</f>
        <v>2.5609756097560976</v>
      </c>
      <c r="G712" s="36">
        <f t="shared" si="23"/>
        <v>824</v>
      </c>
      <c r="H712" s="18">
        <f>IF(NOT(D712="G"),'RW predict'!E711,0)</f>
        <v>1</v>
      </c>
      <c r="I712" s="18">
        <f>'RW predict'!Q711</f>
        <v>11</v>
      </c>
      <c r="J712" s="18">
        <f>'RW predict'!F711</f>
        <v>5</v>
      </c>
      <c r="K712" s="18"/>
      <c r="L712" s="18"/>
      <c r="M712" s="18">
        <f>'RW predict'!P711</f>
        <v>18</v>
      </c>
      <c r="N712" s="18"/>
      <c r="O712" s="18">
        <f>'RW predict'!H711</f>
        <v>-4</v>
      </c>
      <c r="P712" s="18">
        <f>'RW predict'!I711</f>
        <v>4</v>
      </c>
      <c r="Q712" s="18">
        <f>'RW predict'!L711</f>
        <v>0</v>
      </c>
      <c r="R712" s="18">
        <f>'RW predict'!N711</f>
        <v>0</v>
      </c>
      <c r="S712" s="76">
        <f>'RW predict'!O711</f>
        <v>0</v>
      </c>
      <c r="T712" s="76">
        <f>'RW predict'!K711</f>
        <v>0</v>
      </c>
      <c r="U712" s="22">
        <f>'RW predict'!J711</f>
        <v>24</v>
      </c>
      <c r="V712" s="32">
        <f>IF(D712="G",'RW predict'!E711,0)</f>
        <v>0</v>
      </c>
      <c r="W712" s="18">
        <f>'RW predict'!R711</f>
        <v>0</v>
      </c>
      <c r="X712" s="18">
        <f>'RW predict'!T711</f>
        <v>0</v>
      </c>
      <c r="Y712" s="18">
        <f>'RW predict'!Y711</f>
        <v>0</v>
      </c>
      <c r="Z712" s="18">
        <f>'RW predict'!U711</f>
        <v>0</v>
      </c>
      <c r="AA712" s="18">
        <f>'RW predict'!W711</f>
        <v>0</v>
      </c>
    </row>
    <row r="713" spans="1:27" x14ac:dyDescent="0.3">
      <c r="A713" s="18">
        <v>710</v>
      </c>
      <c r="B713" s="18" t="str">
        <f>'RW predict'!A712</f>
        <v>Cedric Paquette</v>
      </c>
      <c r="C713" s="18" t="str">
        <f>'RW predict'!B712</f>
        <v>FA</v>
      </c>
      <c r="D713" s="22" t="str" cm="1">
        <f t="array" ref="D713">_xlfn.SWITCH('RW predict'!C712, "C", "F", "LW","F", "RW", "F", "D", "D", "G", "G", "other")</f>
        <v>F</v>
      </c>
      <c r="E713" s="32">
        <f t="shared" si="22"/>
        <v>344</v>
      </c>
      <c r="F713" s="35">
        <f>E713/assumptions!$B$2</f>
        <v>4.1951219512195124</v>
      </c>
      <c r="G713" s="36">
        <f t="shared" si="23"/>
        <v>753</v>
      </c>
      <c r="H713" s="18">
        <f>IF(NOT(D713="G"),'RW predict'!E712,0)</f>
        <v>2</v>
      </c>
      <c r="I713" s="18">
        <f>'RW predict'!Q712</f>
        <v>22</v>
      </c>
      <c r="J713" s="18">
        <f>'RW predict'!F712</f>
        <v>4</v>
      </c>
      <c r="K713" s="18"/>
      <c r="L713" s="18"/>
      <c r="M713" s="18">
        <f>'RW predict'!P712</f>
        <v>92</v>
      </c>
      <c r="N713" s="18"/>
      <c r="O713" s="18">
        <f>'RW predict'!H712</f>
        <v>-8</v>
      </c>
      <c r="P713" s="18">
        <f>'RW predict'!I712</f>
        <v>28</v>
      </c>
      <c r="Q713" s="18">
        <f>'RW predict'!L712</f>
        <v>0</v>
      </c>
      <c r="R713" s="18">
        <f>'RW predict'!N712</f>
        <v>0</v>
      </c>
      <c r="S713" s="76">
        <f>'RW predict'!O712</f>
        <v>0</v>
      </c>
      <c r="T713" s="76">
        <f>'RW predict'!K712</f>
        <v>0</v>
      </c>
      <c r="U713" s="22">
        <f>'RW predict'!J712</f>
        <v>27</v>
      </c>
      <c r="V713" s="32">
        <f>IF(D713="G",'RW predict'!E712,0)</f>
        <v>0</v>
      </c>
      <c r="W713" s="18">
        <f>'RW predict'!R712</f>
        <v>0</v>
      </c>
      <c r="X713" s="18">
        <f>'RW predict'!T712</f>
        <v>0</v>
      </c>
      <c r="Y713" s="18">
        <f>'RW predict'!Y712</f>
        <v>0</v>
      </c>
      <c r="Z713" s="18">
        <f>'RW predict'!U712</f>
        <v>0</v>
      </c>
      <c r="AA713" s="18">
        <f>'RW predict'!W712</f>
        <v>0</v>
      </c>
    </row>
    <row r="714" spans="1:27" x14ac:dyDescent="0.3">
      <c r="A714" s="18">
        <v>711</v>
      </c>
      <c r="B714" s="18" t="str">
        <f>'RW predict'!A713</f>
        <v>Mark Borowiecki</v>
      </c>
      <c r="C714" s="18" t="str">
        <f>'RW predict'!B713</f>
        <v>NSH</v>
      </c>
      <c r="D714" s="22" t="str" cm="1">
        <f t="array" ref="D714">_xlfn.SWITCH('RW predict'!C713, "C", "F", "LW","F", "RW", "F", "D", "D", "G", "G", "other")</f>
        <v>D</v>
      </c>
      <c r="E714" s="32">
        <f t="shared" si="22"/>
        <v>902</v>
      </c>
      <c r="F714" s="35">
        <f>E714/assumptions!$B$2</f>
        <v>11</v>
      </c>
      <c r="G714" s="36">
        <f t="shared" si="23"/>
        <v>530</v>
      </c>
      <c r="H714" s="18">
        <f>IF(NOT(D714="G"),'RW predict'!E713,0)</f>
        <v>1</v>
      </c>
      <c r="I714" s="18">
        <f>'RW predict'!Q713</f>
        <v>84</v>
      </c>
      <c r="J714" s="18">
        <f>'RW predict'!F713</f>
        <v>5</v>
      </c>
      <c r="K714" s="18"/>
      <c r="L714" s="18"/>
      <c r="M714" s="18">
        <f>'RW predict'!P713</f>
        <v>185</v>
      </c>
      <c r="N714" s="18"/>
      <c r="O714" s="18">
        <f>'RW predict'!H713</f>
        <v>-7</v>
      </c>
      <c r="P714" s="18">
        <f>'RW predict'!I713</f>
        <v>127</v>
      </c>
      <c r="Q714" s="18">
        <f>'RW predict'!L713</f>
        <v>0</v>
      </c>
      <c r="R714" s="18">
        <f>'RW predict'!N713</f>
        <v>0</v>
      </c>
      <c r="S714" s="76">
        <f>'RW predict'!O713</f>
        <v>0</v>
      </c>
      <c r="T714" s="76">
        <f>'RW predict'!K713</f>
        <v>0</v>
      </c>
      <c r="U714" s="22">
        <f>'RW predict'!J713</f>
        <v>44</v>
      </c>
      <c r="V714" s="32">
        <f>IF(D714="G",'RW predict'!E713,0)</f>
        <v>0</v>
      </c>
      <c r="W714" s="18">
        <f>'RW predict'!R713</f>
        <v>0</v>
      </c>
      <c r="X714" s="18">
        <f>'RW predict'!T713</f>
        <v>0</v>
      </c>
      <c r="Y714" s="18">
        <f>'RW predict'!Y713</f>
        <v>0</v>
      </c>
      <c r="Z714" s="18">
        <f>'RW predict'!U713</f>
        <v>0</v>
      </c>
      <c r="AA714" s="18">
        <f>'RW predict'!W713</f>
        <v>0</v>
      </c>
    </row>
    <row r="715" spans="1:27" x14ac:dyDescent="0.3">
      <c r="A715" s="18">
        <v>712</v>
      </c>
      <c r="B715" s="18" t="str">
        <f>'RW predict'!A714</f>
        <v>Brett Connolly</v>
      </c>
      <c r="C715" s="18" t="str">
        <f>'RW predict'!B714</f>
        <v>FA</v>
      </c>
      <c r="D715" s="22" t="str" cm="1">
        <f t="array" ref="D715">_xlfn.SWITCH('RW predict'!C714, "C", "F", "LW","F", "RW", "F", "D", "D", "G", "G", "other")</f>
        <v>F</v>
      </c>
      <c r="E715" s="32">
        <f t="shared" si="22"/>
        <v>264</v>
      </c>
      <c r="F715" s="35">
        <f>E715/assumptions!$B$2</f>
        <v>3.2195121951219514</v>
      </c>
      <c r="G715" s="36">
        <f t="shared" si="23"/>
        <v>790</v>
      </c>
      <c r="H715" s="18">
        <f>IF(NOT(D715="G"),'RW predict'!E714,0)</f>
        <v>3</v>
      </c>
      <c r="I715" s="18">
        <f>'RW predict'!Q714</f>
        <v>6</v>
      </c>
      <c r="J715" s="18">
        <f>'RW predict'!F714</f>
        <v>3</v>
      </c>
      <c r="K715" s="18"/>
      <c r="L715" s="18"/>
      <c r="M715" s="18">
        <f>'RW predict'!P714</f>
        <v>21</v>
      </c>
      <c r="N715" s="18"/>
      <c r="O715" s="18">
        <f>'RW predict'!H714</f>
        <v>-1</v>
      </c>
      <c r="P715" s="18">
        <f>'RW predict'!I714</f>
        <v>15</v>
      </c>
      <c r="Q715" s="18">
        <f>'RW predict'!L714</f>
        <v>0</v>
      </c>
      <c r="R715" s="18">
        <f>'RW predict'!N714</f>
        <v>0</v>
      </c>
      <c r="S715" s="76">
        <f>'RW predict'!O714</f>
        <v>0</v>
      </c>
      <c r="T715" s="76">
        <f>'RW predict'!K714</f>
        <v>0</v>
      </c>
      <c r="U715" s="22">
        <f>'RW predict'!J714</f>
        <v>23</v>
      </c>
      <c r="V715" s="32">
        <f>IF(D715="G",'RW predict'!E714,0)</f>
        <v>0</v>
      </c>
      <c r="W715" s="18">
        <f>'RW predict'!R714</f>
        <v>0</v>
      </c>
      <c r="X715" s="18">
        <f>'RW predict'!T714</f>
        <v>0</v>
      </c>
      <c r="Y715" s="18">
        <f>'RW predict'!Y714</f>
        <v>0</v>
      </c>
      <c r="Z715" s="18">
        <f>'RW predict'!U714</f>
        <v>0</v>
      </c>
      <c r="AA715" s="18">
        <f>'RW predict'!W714</f>
        <v>0</v>
      </c>
    </row>
    <row r="716" spans="1:27" x14ac:dyDescent="0.3">
      <c r="A716" s="18">
        <v>713</v>
      </c>
      <c r="B716" s="18" t="str">
        <f>'RW predict'!A715</f>
        <v>Ryan Murray</v>
      </c>
      <c r="C716" s="18" t="str">
        <f>'RW predict'!B715</f>
        <v>EDM</v>
      </c>
      <c r="D716" s="22" t="str" cm="1">
        <f t="array" ref="D716">_xlfn.SWITCH('RW predict'!C715, "C", "F", "LW","F", "RW", "F", "D", "D", "G", "G", "other")</f>
        <v>D</v>
      </c>
      <c r="E716" s="32">
        <f t="shared" si="22"/>
        <v>318</v>
      </c>
      <c r="F716" s="35">
        <f>E716/assumptions!$B$2</f>
        <v>3.8780487804878048</v>
      </c>
      <c r="G716" s="36">
        <f t="shared" si="23"/>
        <v>761</v>
      </c>
      <c r="H716" s="18">
        <f>IF(NOT(D716="G"),'RW predict'!E715,0)</f>
        <v>0</v>
      </c>
      <c r="I716" s="18">
        <f>'RW predict'!Q715</f>
        <v>41</v>
      </c>
      <c r="J716" s="18">
        <f>'RW predict'!F715</f>
        <v>6</v>
      </c>
      <c r="K716" s="18"/>
      <c r="L716" s="18"/>
      <c r="M716" s="18">
        <f>'RW predict'!P715</f>
        <v>26</v>
      </c>
      <c r="N716" s="18"/>
      <c r="O716" s="18">
        <f>'RW predict'!H715</f>
        <v>-2</v>
      </c>
      <c r="P716" s="18">
        <f>'RW predict'!I715</f>
        <v>4</v>
      </c>
      <c r="Q716" s="18">
        <f>'RW predict'!L715</f>
        <v>0</v>
      </c>
      <c r="R716" s="18">
        <f>'RW predict'!N715</f>
        <v>0</v>
      </c>
      <c r="S716" s="76">
        <f>'RW predict'!O715</f>
        <v>1</v>
      </c>
      <c r="T716" s="76">
        <f>'RW predict'!K715</f>
        <v>0</v>
      </c>
      <c r="U716" s="22">
        <f>'RW predict'!J715</f>
        <v>29</v>
      </c>
      <c r="V716" s="32">
        <f>IF(D716="G",'RW predict'!E715,0)</f>
        <v>0</v>
      </c>
      <c r="W716" s="18">
        <f>'RW predict'!R715</f>
        <v>0</v>
      </c>
      <c r="X716" s="18">
        <f>'RW predict'!T715</f>
        <v>0</v>
      </c>
      <c r="Y716" s="18">
        <f>'RW predict'!Y715</f>
        <v>0</v>
      </c>
      <c r="Z716" s="18">
        <f>'RW predict'!U715</f>
        <v>0</v>
      </c>
      <c r="AA716" s="18">
        <f>'RW predict'!W715</f>
        <v>0</v>
      </c>
    </row>
    <row r="717" spans="1:27" x14ac:dyDescent="0.3">
      <c r="A717" s="18">
        <v>714</v>
      </c>
      <c r="B717" s="18" t="str">
        <f>'RW predict'!A716</f>
        <v>Rocco Grimaldi</v>
      </c>
      <c r="C717" s="18" t="str">
        <f>'RW predict'!B716</f>
        <v>FA</v>
      </c>
      <c r="D717" s="22" t="str" cm="1">
        <f t="array" ref="D717">_xlfn.SWITCH('RW predict'!C716, "C", "F", "LW","F", "RW", "F", "D", "D", "G", "G", "other")</f>
        <v>F</v>
      </c>
      <c r="E717" s="32">
        <f t="shared" si="22"/>
        <v>242</v>
      </c>
      <c r="F717" s="35">
        <f>E717/assumptions!$B$2</f>
        <v>2.9512195121951219</v>
      </c>
      <c r="G717" s="36">
        <f t="shared" si="23"/>
        <v>800</v>
      </c>
      <c r="H717" s="18">
        <f>IF(NOT(D717="G"),'RW predict'!E716,0)</f>
        <v>3</v>
      </c>
      <c r="I717" s="18">
        <f>'RW predict'!Q716</f>
        <v>3</v>
      </c>
      <c r="J717" s="18">
        <f>'RW predict'!F716</f>
        <v>3</v>
      </c>
      <c r="K717" s="18"/>
      <c r="L717" s="18"/>
      <c r="M717" s="18">
        <f>'RW predict'!P716</f>
        <v>10</v>
      </c>
      <c r="N717" s="18"/>
      <c r="O717" s="18">
        <f>'RW predict'!H716</f>
        <v>0</v>
      </c>
      <c r="P717" s="18">
        <f>'RW predict'!I716</f>
        <v>4</v>
      </c>
      <c r="Q717" s="18">
        <f>'RW predict'!L716</f>
        <v>0</v>
      </c>
      <c r="R717" s="18">
        <f>'RW predict'!N716</f>
        <v>0</v>
      </c>
      <c r="S717" s="76">
        <f>'RW predict'!O716</f>
        <v>0</v>
      </c>
      <c r="T717" s="76">
        <f>'RW predict'!K716</f>
        <v>0</v>
      </c>
      <c r="U717" s="22">
        <f>'RW predict'!J716</f>
        <v>32</v>
      </c>
      <c r="V717" s="32">
        <f>IF(D717="G",'RW predict'!E716,0)</f>
        <v>0</v>
      </c>
      <c r="W717" s="18">
        <f>'RW predict'!R716</f>
        <v>0</v>
      </c>
      <c r="X717" s="18">
        <f>'RW predict'!T716</f>
        <v>0</v>
      </c>
      <c r="Y717" s="18">
        <f>'RW predict'!Y716</f>
        <v>0</v>
      </c>
      <c r="Z717" s="18">
        <f>'RW predict'!U716</f>
        <v>0</v>
      </c>
      <c r="AA717" s="18">
        <f>'RW predict'!W716</f>
        <v>0</v>
      </c>
    </row>
    <row r="718" spans="1:27" x14ac:dyDescent="0.3">
      <c r="A718" s="18">
        <v>715</v>
      </c>
      <c r="B718" s="18" t="str">
        <f>'RW predict'!A717</f>
        <v>Blake Comeau</v>
      </c>
      <c r="C718" s="18" t="str">
        <f>'RW predict'!B717</f>
        <v>FA</v>
      </c>
      <c r="D718" s="22" t="str" cm="1">
        <f t="array" ref="D718">_xlfn.SWITCH('RW predict'!C717, "C", "F", "LW","F", "RW", "F", "D", "D", "G", "G", "other")</f>
        <v>F</v>
      </c>
      <c r="E718" s="32">
        <f t="shared" si="22"/>
        <v>257</v>
      </c>
      <c r="F718" s="35">
        <f>E718/assumptions!$B$2</f>
        <v>3.1341463414634148</v>
      </c>
      <c r="G718" s="36">
        <f t="shared" si="23"/>
        <v>794</v>
      </c>
      <c r="H718" s="18">
        <f>IF(NOT(D718="G"),'RW predict'!E717,0)</f>
        <v>3</v>
      </c>
      <c r="I718" s="18">
        <f>'RW predict'!Q717</f>
        <v>8</v>
      </c>
      <c r="J718" s="18">
        <f>'RW predict'!F717</f>
        <v>3</v>
      </c>
      <c r="K718" s="18"/>
      <c r="L718" s="18"/>
      <c r="M718" s="18">
        <f>'RW predict'!P717</f>
        <v>44</v>
      </c>
      <c r="N718" s="18"/>
      <c r="O718" s="18">
        <f>'RW predict'!H717</f>
        <v>-5</v>
      </c>
      <c r="P718" s="18">
        <f>'RW predict'!I717</f>
        <v>15</v>
      </c>
      <c r="Q718" s="18">
        <f>'RW predict'!L717</f>
        <v>0</v>
      </c>
      <c r="R718" s="18">
        <f>'RW predict'!N717</f>
        <v>0</v>
      </c>
      <c r="S718" s="76">
        <f>'RW predict'!O717</f>
        <v>0</v>
      </c>
      <c r="T718" s="76">
        <f>'RW predict'!K717</f>
        <v>0</v>
      </c>
      <c r="U718" s="22">
        <f>'RW predict'!J717</f>
        <v>26</v>
      </c>
      <c r="V718" s="32">
        <f>IF(D718="G",'RW predict'!E717,0)</f>
        <v>0</v>
      </c>
      <c r="W718" s="18">
        <f>'RW predict'!R717</f>
        <v>0</v>
      </c>
      <c r="X718" s="18">
        <f>'RW predict'!T717</f>
        <v>0</v>
      </c>
      <c r="Y718" s="18">
        <f>'RW predict'!Y717</f>
        <v>0</v>
      </c>
      <c r="Z718" s="18">
        <f>'RW predict'!U717</f>
        <v>0</v>
      </c>
      <c r="AA718" s="18">
        <f>'RW predict'!W717</f>
        <v>0</v>
      </c>
    </row>
    <row r="719" spans="1:27" x14ac:dyDescent="0.3">
      <c r="A719" s="18">
        <v>716</v>
      </c>
      <c r="B719" s="18" t="str">
        <f>'RW predict'!A718</f>
        <v>Riley Nash</v>
      </c>
      <c r="C719" s="18" t="str">
        <f>'RW predict'!B718</f>
        <v>FA</v>
      </c>
      <c r="D719" s="22" t="str" cm="1">
        <f t="array" ref="D719">_xlfn.SWITCH('RW predict'!C718, "C", "F", "LW","F", "RW", "F", "D", "D", "G", "G", "other")</f>
        <v>F</v>
      </c>
      <c r="E719" s="32">
        <f t="shared" si="22"/>
        <v>327</v>
      </c>
      <c r="F719" s="35">
        <f>E719/assumptions!$B$2</f>
        <v>3.9878048780487805</v>
      </c>
      <c r="G719" s="36">
        <f t="shared" si="23"/>
        <v>758</v>
      </c>
      <c r="H719" s="18">
        <f>IF(NOT(D719="G"),'RW predict'!E718,0)</f>
        <v>1</v>
      </c>
      <c r="I719" s="18">
        <f>'RW predict'!Q718</f>
        <v>22</v>
      </c>
      <c r="J719" s="18">
        <f>'RW predict'!F718</f>
        <v>5</v>
      </c>
      <c r="K719" s="18"/>
      <c r="L719" s="18"/>
      <c r="M719" s="18">
        <f>'RW predict'!P718</f>
        <v>49</v>
      </c>
      <c r="N719" s="18"/>
      <c r="O719" s="18">
        <f>'RW predict'!H718</f>
        <v>-3</v>
      </c>
      <c r="P719" s="18">
        <f>'RW predict'!I718</f>
        <v>10</v>
      </c>
      <c r="Q719" s="18">
        <f>'RW predict'!L718</f>
        <v>0</v>
      </c>
      <c r="R719" s="18">
        <f>'RW predict'!N718</f>
        <v>0</v>
      </c>
      <c r="S719" s="76">
        <f>'RW predict'!O718</f>
        <v>0</v>
      </c>
      <c r="T719" s="76">
        <f>'RW predict'!K718</f>
        <v>0</v>
      </c>
      <c r="U719" s="22">
        <f>'RW predict'!J718</f>
        <v>42</v>
      </c>
      <c r="V719" s="32">
        <f>IF(D719="G",'RW predict'!E718,0)</f>
        <v>0</v>
      </c>
      <c r="W719" s="18">
        <f>'RW predict'!R718</f>
        <v>0</v>
      </c>
      <c r="X719" s="18">
        <f>'RW predict'!T718</f>
        <v>0</v>
      </c>
      <c r="Y719" s="18">
        <f>'RW predict'!Y718</f>
        <v>0</v>
      </c>
      <c r="Z719" s="18">
        <f>'RW predict'!U718</f>
        <v>0</v>
      </c>
      <c r="AA719" s="18">
        <f>'RW predict'!W718</f>
        <v>0</v>
      </c>
    </row>
    <row r="720" spans="1:27" x14ac:dyDescent="0.3">
      <c r="A720" s="18">
        <v>717</v>
      </c>
      <c r="B720" s="18" t="str">
        <f>'RW predict'!A719</f>
        <v>Michael Stone</v>
      </c>
      <c r="C720" s="18" t="str">
        <f>'RW predict'!B719</f>
        <v>CGY</v>
      </c>
      <c r="D720" s="22" t="str" cm="1">
        <f t="array" ref="D720">_xlfn.SWITCH('RW predict'!C719, "C", "F", "LW","F", "RW", "F", "D", "D", "G", "G", "other")</f>
        <v>D</v>
      </c>
      <c r="E720" s="32">
        <f t="shared" si="22"/>
        <v>352</v>
      </c>
      <c r="F720" s="35">
        <f>E720/assumptions!$B$2</f>
        <v>4.2926829268292686</v>
      </c>
      <c r="G720" s="36">
        <f t="shared" si="23"/>
        <v>743</v>
      </c>
      <c r="H720" s="18">
        <f>IF(NOT(D720="G"),'RW predict'!E719,0)</f>
        <v>2</v>
      </c>
      <c r="I720" s="18">
        <f>'RW predict'!Q719</f>
        <v>24</v>
      </c>
      <c r="J720" s="18">
        <f>'RW predict'!F719</f>
        <v>4</v>
      </c>
      <c r="K720" s="18"/>
      <c r="L720" s="18"/>
      <c r="M720" s="18">
        <f>'RW predict'!P719</f>
        <v>30</v>
      </c>
      <c r="N720" s="18"/>
      <c r="O720" s="18">
        <f>'RW predict'!H719</f>
        <v>1</v>
      </c>
      <c r="P720" s="18">
        <f>'RW predict'!I719</f>
        <v>6</v>
      </c>
      <c r="Q720" s="18">
        <f>'RW predict'!L719</f>
        <v>1</v>
      </c>
      <c r="R720" s="18">
        <f>'RW predict'!N719</f>
        <v>0</v>
      </c>
      <c r="S720" s="76">
        <f>'RW predict'!O719</f>
        <v>0</v>
      </c>
      <c r="T720" s="76">
        <f>'RW predict'!K719</f>
        <v>1</v>
      </c>
      <c r="U720" s="22">
        <f>'RW predict'!J719</f>
        <v>33</v>
      </c>
      <c r="V720" s="32">
        <f>IF(D720="G",'RW predict'!E719,0)</f>
        <v>0</v>
      </c>
      <c r="W720" s="18">
        <f>'RW predict'!R719</f>
        <v>0</v>
      </c>
      <c r="X720" s="18">
        <f>'RW predict'!T719</f>
        <v>0</v>
      </c>
      <c r="Y720" s="18">
        <f>'RW predict'!Y719</f>
        <v>0</v>
      </c>
      <c r="Z720" s="18">
        <f>'RW predict'!U719</f>
        <v>0</v>
      </c>
      <c r="AA720" s="18">
        <f>'RW predict'!W719</f>
        <v>0</v>
      </c>
    </row>
    <row r="721" spans="1:27" x14ac:dyDescent="0.3">
      <c r="A721" s="18">
        <v>718</v>
      </c>
      <c r="B721" s="18" t="str">
        <f>'RW predict'!A720</f>
        <v>Calvin de Haan</v>
      </c>
      <c r="C721" s="18" t="str">
        <f>'RW predict'!B720</f>
        <v>CAR</v>
      </c>
      <c r="D721" s="22" t="str" cm="1">
        <f t="array" ref="D721">_xlfn.SWITCH('RW predict'!C720, "C", "F", "LW","F", "RW", "F", "D", "D", "G", "G", "other")</f>
        <v>D</v>
      </c>
      <c r="E721" s="32">
        <f t="shared" si="22"/>
        <v>532</v>
      </c>
      <c r="F721" s="35">
        <f>E721/assumptions!$B$2</f>
        <v>6.4878048780487809</v>
      </c>
      <c r="G721" s="36">
        <f t="shared" si="23"/>
        <v>666</v>
      </c>
      <c r="H721" s="18">
        <f>IF(NOT(D721="G"),'RW predict'!E720,0)</f>
        <v>2</v>
      </c>
      <c r="I721" s="18">
        <f>'RW predict'!Q720</f>
        <v>100</v>
      </c>
      <c r="J721" s="18">
        <f>'RW predict'!F720</f>
        <v>4</v>
      </c>
      <c r="K721" s="18"/>
      <c r="L721" s="18"/>
      <c r="M721" s="18">
        <f>'RW predict'!P720</f>
        <v>91</v>
      </c>
      <c r="N721" s="18"/>
      <c r="O721" s="18">
        <f>'RW predict'!H720</f>
        <v>-19</v>
      </c>
      <c r="P721" s="18">
        <f>'RW predict'!I720</f>
        <v>29</v>
      </c>
      <c r="Q721" s="18">
        <f>'RW predict'!L720</f>
        <v>0</v>
      </c>
      <c r="R721" s="18">
        <f>'RW predict'!N720</f>
        <v>0</v>
      </c>
      <c r="S721" s="76">
        <f>'RW predict'!O720</f>
        <v>0</v>
      </c>
      <c r="T721" s="76">
        <f>'RW predict'!K720</f>
        <v>0</v>
      </c>
      <c r="U721" s="22">
        <f>'RW predict'!J720</f>
        <v>97</v>
      </c>
      <c r="V721" s="32">
        <f>IF(D721="G",'RW predict'!E720,0)</f>
        <v>0</v>
      </c>
      <c r="W721" s="18">
        <f>'RW predict'!R720</f>
        <v>0</v>
      </c>
      <c r="X721" s="18">
        <f>'RW predict'!T720</f>
        <v>0</v>
      </c>
      <c r="Y721" s="18">
        <f>'RW predict'!Y720</f>
        <v>0</v>
      </c>
      <c r="Z721" s="18">
        <f>'RW predict'!U720</f>
        <v>0</v>
      </c>
      <c r="AA721" s="18">
        <f>'RW predict'!W720</f>
        <v>0</v>
      </c>
    </row>
    <row r="722" spans="1:27" x14ac:dyDescent="0.3">
      <c r="A722" s="18">
        <v>719</v>
      </c>
      <c r="B722" s="18" t="str">
        <f>'RW predict'!A721</f>
        <v>Richard Panik</v>
      </c>
      <c r="C722" s="18" t="str">
        <f>'RW predict'!B721</f>
        <v>NYI</v>
      </c>
      <c r="D722" s="22" t="str" cm="1">
        <f t="array" ref="D722">_xlfn.SWITCH('RW predict'!C721, "C", "F", "LW","F", "RW", "F", "D", "D", "G", "G", "other")</f>
        <v>F</v>
      </c>
      <c r="E722" s="32">
        <f t="shared" si="22"/>
        <v>247</v>
      </c>
      <c r="F722" s="35">
        <f>E722/assumptions!$B$2</f>
        <v>3.0121951219512195</v>
      </c>
      <c r="G722" s="36">
        <f t="shared" si="23"/>
        <v>798</v>
      </c>
      <c r="H722" s="18">
        <f>IF(NOT(D722="G"),'RW predict'!E721,0)</f>
        <v>3</v>
      </c>
      <c r="I722" s="18">
        <f>'RW predict'!Q721</f>
        <v>8</v>
      </c>
      <c r="J722" s="18">
        <f>'RW predict'!F721</f>
        <v>3</v>
      </c>
      <c r="K722" s="18"/>
      <c r="L722" s="18"/>
      <c r="M722" s="18">
        <f>'RW predict'!P721</f>
        <v>30</v>
      </c>
      <c r="N722" s="18"/>
      <c r="O722" s="18">
        <f>'RW predict'!H721</f>
        <v>-3</v>
      </c>
      <c r="P722" s="18">
        <f>'RW predict'!I721</f>
        <v>11</v>
      </c>
      <c r="Q722" s="18">
        <f>'RW predict'!L721</f>
        <v>0</v>
      </c>
      <c r="R722" s="18">
        <f>'RW predict'!N721</f>
        <v>0</v>
      </c>
      <c r="S722" s="76">
        <f>'RW predict'!O721</f>
        <v>0</v>
      </c>
      <c r="T722" s="76">
        <f>'RW predict'!K721</f>
        <v>0</v>
      </c>
      <c r="U722" s="22">
        <f>'RW predict'!J721</f>
        <v>24</v>
      </c>
      <c r="V722" s="32">
        <f>IF(D722="G",'RW predict'!E721,0)</f>
        <v>0</v>
      </c>
      <c r="W722" s="18">
        <f>'RW predict'!R721</f>
        <v>0</v>
      </c>
      <c r="X722" s="18">
        <f>'RW predict'!T721</f>
        <v>0</v>
      </c>
      <c r="Y722" s="18">
        <f>'RW predict'!Y721</f>
        <v>0</v>
      </c>
      <c r="Z722" s="18">
        <f>'RW predict'!U721</f>
        <v>0</v>
      </c>
      <c r="AA722" s="18">
        <f>'RW predict'!W721</f>
        <v>0</v>
      </c>
    </row>
    <row r="723" spans="1:27" x14ac:dyDescent="0.3">
      <c r="A723" s="18">
        <v>720</v>
      </c>
      <c r="B723" s="18" t="str">
        <f>'RW predict'!A722</f>
        <v>Andrej Sekera</v>
      </c>
      <c r="C723" s="18" t="str">
        <f>'RW predict'!B722</f>
        <v>FA</v>
      </c>
      <c r="D723" s="22" t="str" cm="1">
        <f t="array" ref="D723">_xlfn.SWITCH('RW predict'!C722, "C", "F", "LW","F", "RW", "F", "D", "D", "G", "G", "other")</f>
        <v>D</v>
      </c>
      <c r="E723" s="32">
        <f t="shared" si="22"/>
        <v>359</v>
      </c>
      <c r="F723" s="35">
        <f>E723/assumptions!$B$2</f>
        <v>4.3780487804878048</v>
      </c>
      <c r="G723" s="36">
        <f t="shared" si="23"/>
        <v>740</v>
      </c>
      <c r="H723" s="18">
        <f>IF(NOT(D723="G"),'RW predict'!E722,0)</f>
        <v>2</v>
      </c>
      <c r="I723" s="18">
        <f>'RW predict'!Q722</f>
        <v>41</v>
      </c>
      <c r="J723" s="18">
        <f>'RW predict'!F722</f>
        <v>3</v>
      </c>
      <c r="K723" s="18"/>
      <c r="L723" s="18"/>
      <c r="M723" s="18">
        <f>'RW predict'!P722</f>
        <v>24</v>
      </c>
      <c r="N723" s="18"/>
      <c r="O723" s="18">
        <f>'RW predict'!H722</f>
        <v>2</v>
      </c>
      <c r="P723" s="18">
        <f>'RW predict'!I722</f>
        <v>14</v>
      </c>
      <c r="Q723" s="18">
        <f>'RW predict'!L722</f>
        <v>0</v>
      </c>
      <c r="R723" s="18">
        <f>'RW predict'!N722</f>
        <v>0</v>
      </c>
      <c r="S723" s="76">
        <f>'RW predict'!O722</f>
        <v>0</v>
      </c>
      <c r="T723" s="76">
        <f>'RW predict'!K722</f>
        <v>0</v>
      </c>
      <c r="U723" s="22">
        <f>'RW predict'!J722</f>
        <v>33</v>
      </c>
      <c r="V723" s="32">
        <f>IF(D723="G",'RW predict'!E722,0)</f>
        <v>0</v>
      </c>
      <c r="W723" s="18">
        <f>'RW predict'!R722</f>
        <v>0</v>
      </c>
      <c r="X723" s="18">
        <f>'RW predict'!T722</f>
        <v>0</v>
      </c>
      <c r="Y723" s="18">
        <f>'RW predict'!Y722</f>
        <v>0</v>
      </c>
      <c r="Z723" s="18">
        <f>'RW predict'!U722</f>
        <v>0</v>
      </c>
      <c r="AA723" s="18">
        <f>'RW predict'!W722</f>
        <v>0</v>
      </c>
    </row>
    <row r="724" spans="1:27" x14ac:dyDescent="0.3">
      <c r="A724" s="18">
        <v>721</v>
      </c>
      <c r="B724" s="18" t="str">
        <f>'RW predict'!A723</f>
        <v>Nate Thompson</v>
      </c>
      <c r="C724" s="18" t="str">
        <f>'RW predict'!B723</f>
        <v>LA</v>
      </c>
      <c r="D724" s="22" t="str" cm="1">
        <f t="array" ref="D724">_xlfn.SWITCH('RW predict'!C723, "C", "F", "LW","F", "RW", "F", "D", "D", "G", "G", "other")</f>
        <v>F</v>
      </c>
      <c r="E724" s="32">
        <f t="shared" si="22"/>
        <v>272</v>
      </c>
      <c r="F724" s="35">
        <f>E724/assumptions!$B$2</f>
        <v>3.3170731707317072</v>
      </c>
      <c r="G724" s="36">
        <f t="shared" si="23"/>
        <v>785</v>
      </c>
      <c r="H724" s="18">
        <f>IF(NOT(D724="G"),'RW predict'!E723,0)</f>
        <v>1</v>
      </c>
      <c r="I724" s="18">
        <f>'RW predict'!Q723</f>
        <v>24</v>
      </c>
      <c r="J724" s="18">
        <f>'RW predict'!F723</f>
        <v>4</v>
      </c>
      <c r="K724" s="18"/>
      <c r="L724" s="18"/>
      <c r="M724" s="18">
        <f>'RW predict'!P723</f>
        <v>62</v>
      </c>
      <c r="N724" s="18"/>
      <c r="O724" s="18">
        <f>'RW predict'!H723</f>
        <v>-10</v>
      </c>
      <c r="P724" s="18">
        <f>'RW predict'!I723</f>
        <v>27</v>
      </c>
      <c r="Q724" s="18">
        <f>'RW predict'!L723</f>
        <v>0</v>
      </c>
      <c r="R724" s="18">
        <f>'RW predict'!N723</f>
        <v>0</v>
      </c>
      <c r="S724" s="76">
        <f>'RW predict'!O723</f>
        <v>0</v>
      </c>
      <c r="T724" s="76">
        <f>'RW predict'!K723</f>
        <v>0</v>
      </c>
      <c r="U724" s="22">
        <f>'RW predict'!J723</f>
        <v>28</v>
      </c>
      <c r="V724" s="32">
        <f>IF(D724="G",'RW predict'!E723,0)</f>
        <v>0</v>
      </c>
      <c r="W724" s="18">
        <f>'RW predict'!R723</f>
        <v>0</v>
      </c>
      <c r="X724" s="18">
        <f>'RW predict'!T723</f>
        <v>0</v>
      </c>
      <c r="Y724" s="18">
        <f>'RW predict'!Y723</f>
        <v>0</v>
      </c>
      <c r="Z724" s="18">
        <f>'RW predict'!U723</f>
        <v>0</v>
      </c>
      <c r="AA724" s="18">
        <f>'RW predict'!W723</f>
        <v>0</v>
      </c>
    </row>
    <row r="725" spans="1:27" x14ac:dyDescent="0.3">
      <c r="A725" s="18">
        <v>722</v>
      </c>
      <c r="B725" s="18" t="str">
        <f>'RW predict'!A724</f>
        <v>Brett Ritchie</v>
      </c>
      <c r="C725" s="18" t="str">
        <f>'RW predict'!B724</f>
        <v>FA</v>
      </c>
      <c r="D725" s="22" t="str" cm="1">
        <f t="array" ref="D725">_xlfn.SWITCH('RW predict'!C724, "C", "F", "LW","F", "RW", "F", "D", "D", "G", "G", "other")</f>
        <v>F</v>
      </c>
      <c r="E725" s="32">
        <f t="shared" si="22"/>
        <v>355</v>
      </c>
      <c r="F725" s="35">
        <f>E725/assumptions!$B$2</f>
        <v>4.3292682926829267</v>
      </c>
      <c r="G725" s="36">
        <f t="shared" si="23"/>
        <v>741</v>
      </c>
      <c r="H725" s="18">
        <f>IF(NOT(D725="G"),'RW predict'!E724,0)</f>
        <v>3</v>
      </c>
      <c r="I725" s="18">
        <f>'RW predict'!Q724</f>
        <v>5</v>
      </c>
      <c r="J725" s="18">
        <f>'RW predict'!F724</f>
        <v>2</v>
      </c>
      <c r="K725" s="18"/>
      <c r="L725" s="18"/>
      <c r="M725" s="18">
        <f>'RW predict'!P724</f>
        <v>89</v>
      </c>
      <c r="N725" s="18"/>
      <c r="O725" s="18">
        <f>'RW predict'!H724</f>
        <v>-6</v>
      </c>
      <c r="P725" s="18">
        <f>'RW predict'!I724</f>
        <v>29</v>
      </c>
      <c r="Q725" s="18">
        <f>'RW predict'!L724</f>
        <v>0</v>
      </c>
      <c r="R725" s="18">
        <f>'RW predict'!N724</f>
        <v>0</v>
      </c>
      <c r="S725" s="76">
        <f>'RW predict'!O724</f>
        <v>0</v>
      </c>
      <c r="T725" s="76">
        <f>'RW predict'!K724</f>
        <v>0</v>
      </c>
      <c r="U725" s="22">
        <f>'RW predict'!J724</f>
        <v>52</v>
      </c>
      <c r="V725" s="32">
        <f>IF(D725="G",'RW predict'!E724,0)</f>
        <v>0</v>
      </c>
      <c r="W725" s="18">
        <f>'RW predict'!R724</f>
        <v>0</v>
      </c>
      <c r="X725" s="18">
        <f>'RW predict'!T724</f>
        <v>0</v>
      </c>
      <c r="Y725" s="18">
        <f>'RW predict'!Y724</f>
        <v>0</v>
      </c>
      <c r="Z725" s="18">
        <f>'RW predict'!U724</f>
        <v>0</v>
      </c>
      <c r="AA725" s="18">
        <f>'RW predict'!W724</f>
        <v>0</v>
      </c>
    </row>
    <row r="726" spans="1:27" x14ac:dyDescent="0.3">
      <c r="A726" s="18">
        <v>723</v>
      </c>
      <c r="B726" s="18" t="str">
        <f>'RW predict'!A725</f>
        <v>Greg McKegg</v>
      </c>
      <c r="C726" s="18" t="str">
        <f>'RW predict'!B725</f>
        <v>EDM</v>
      </c>
      <c r="D726" s="22" t="str" cm="1">
        <f t="array" ref="D726">_xlfn.SWITCH('RW predict'!C725, "C", "F", "LW","F", "RW", "F", "D", "D", "G", "G", "other")</f>
        <v>F</v>
      </c>
      <c r="E726" s="32">
        <f t="shared" si="22"/>
        <v>206</v>
      </c>
      <c r="F726" s="35">
        <f>E726/assumptions!$B$2</f>
        <v>2.5121951219512195</v>
      </c>
      <c r="G726" s="36">
        <f t="shared" si="23"/>
        <v>828</v>
      </c>
      <c r="H726" s="18">
        <f>IF(NOT(D726="G"),'RW predict'!E725,0)</f>
        <v>2</v>
      </c>
      <c r="I726" s="18">
        <f>'RW predict'!Q725</f>
        <v>18</v>
      </c>
      <c r="J726" s="18">
        <f>'RW predict'!F725</f>
        <v>3</v>
      </c>
      <c r="K726" s="18"/>
      <c r="L726" s="18"/>
      <c r="M726" s="18">
        <f>'RW predict'!P725</f>
        <v>41</v>
      </c>
      <c r="N726" s="18"/>
      <c r="O726" s="18">
        <f>'RW predict'!H725</f>
        <v>-6</v>
      </c>
      <c r="P726" s="18">
        <f>'RW predict'!I725</f>
        <v>6</v>
      </c>
      <c r="Q726" s="18">
        <f>'RW predict'!L725</f>
        <v>0</v>
      </c>
      <c r="R726" s="18">
        <f>'RW predict'!N725</f>
        <v>0</v>
      </c>
      <c r="S726" s="76">
        <f>'RW predict'!O725</f>
        <v>0</v>
      </c>
      <c r="T726" s="76">
        <f>'RW predict'!K725</f>
        <v>0</v>
      </c>
      <c r="U726" s="22">
        <f>'RW predict'!J725</f>
        <v>23</v>
      </c>
      <c r="V726" s="32">
        <f>IF(D726="G",'RW predict'!E725,0)</f>
        <v>0</v>
      </c>
      <c r="W726" s="18">
        <f>'RW predict'!R725</f>
        <v>0</v>
      </c>
      <c r="X726" s="18">
        <f>'RW predict'!T725</f>
        <v>0</v>
      </c>
      <c r="Y726" s="18">
        <f>'RW predict'!Y725</f>
        <v>0</v>
      </c>
      <c r="Z726" s="18">
        <f>'RW predict'!U725</f>
        <v>0</v>
      </c>
      <c r="AA726" s="18">
        <f>'RW predict'!W725</f>
        <v>0</v>
      </c>
    </row>
    <row r="727" spans="1:27" x14ac:dyDescent="0.3">
      <c r="A727" s="18">
        <v>724</v>
      </c>
      <c r="B727" s="18" t="str">
        <f>'RW predict'!A726</f>
        <v>Jujhar Khaira</v>
      </c>
      <c r="C727" s="18" t="str">
        <f>'RW predict'!B726</f>
        <v>CHI</v>
      </c>
      <c r="D727" s="22" t="str" cm="1">
        <f t="array" ref="D727">_xlfn.SWITCH('RW predict'!C726, "C", "F", "LW","F", "RW", "F", "D", "D", "G", "G", "other")</f>
        <v>F</v>
      </c>
      <c r="E727" s="32">
        <f t="shared" si="22"/>
        <v>380</v>
      </c>
      <c r="F727" s="35">
        <f>E727/assumptions!$B$2</f>
        <v>4.6341463414634143</v>
      </c>
      <c r="G727" s="36">
        <f t="shared" si="23"/>
        <v>733</v>
      </c>
      <c r="H727" s="18">
        <f>IF(NOT(D727="G"),'RW predict'!E726,0)</f>
        <v>2</v>
      </c>
      <c r="I727" s="18">
        <f>'RW predict'!Q726</f>
        <v>17</v>
      </c>
      <c r="J727" s="18">
        <f>'RW predict'!F726</f>
        <v>3</v>
      </c>
      <c r="K727" s="18"/>
      <c r="L727" s="18"/>
      <c r="M727" s="18">
        <f>'RW predict'!P726</f>
        <v>103</v>
      </c>
      <c r="N727" s="18"/>
      <c r="O727" s="18">
        <f>'RW predict'!H726</f>
        <v>-6</v>
      </c>
      <c r="P727" s="18">
        <f>'RW predict'!I726</f>
        <v>28</v>
      </c>
      <c r="Q727" s="18">
        <f>'RW predict'!L726</f>
        <v>0</v>
      </c>
      <c r="R727" s="18">
        <f>'RW predict'!N726</f>
        <v>0</v>
      </c>
      <c r="S727" s="76">
        <f>'RW predict'!O726</f>
        <v>0</v>
      </c>
      <c r="T727" s="76">
        <f>'RW predict'!K726</f>
        <v>0</v>
      </c>
      <c r="U727" s="22">
        <f>'RW predict'!J726</f>
        <v>47</v>
      </c>
      <c r="V727" s="32">
        <f>IF(D727="G",'RW predict'!E726,0)</f>
        <v>0</v>
      </c>
      <c r="W727" s="18">
        <f>'RW predict'!R726</f>
        <v>0</v>
      </c>
      <c r="X727" s="18">
        <f>'RW predict'!T726</f>
        <v>0</v>
      </c>
      <c r="Y727" s="18">
        <f>'RW predict'!Y726</f>
        <v>0</v>
      </c>
      <c r="Z727" s="18">
        <f>'RW predict'!U726</f>
        <v>0</v>
      </c>
      <c r="AA727" s="18">
        <f>'RW predict'!W726</f>
        <v>0</v>
      </c>
    </row>
    <row r="728" spans="1:27" x14ac:dyDescent="0.3">
      <c r="A728" s="18">
        <v>725</v>
      </c>
      <c r="B728" s="18" t="str">
        <f>'RW predict'!A727</f>
        <v>Thomas Novak</v>
      </c>
      <c r="C728" s="18" t="str">
        <f>'RW predict'!B727</f>
        <v>NSH</v>
      </c>
      <c r="D728" s="22" t="str" cm="1">
        <f t="array" ref="D728">_xlfn.SWITCH('RW predict'!C727, "C", "F", "LW","F", "RW", "F", "D", "D", "G", "G", "other")</f>
        <v>F</v>
      </c>
      <c r="E728" s="32">
        <f t="shared" si="22"/>
        <v>167</v>
      </c>
      <c r="F728" s="35">
        <f>E728/assumptions!$B$2</f>
        <v>2.0365853658536586</v>
      </c>
      <c r="G728" s="36">
        <f t="shared" si="23"/>
        <v>851</v>
      </c>
      <c r="H728" s="18">
        <f>IF(NOT(D728="G"),'RW predict'!E727,0)</f>
        <v>1</v>
      </c>
      <c r="I728" s="18">
        <f>'RW predict'!Q727</f>
        <v>4</v>
      </c>
      <c r="J728" s="18">
        <f>'RW predict'!F727</f>
        <v>4</v>
      </c>
      <c r="K728" s="18"/>
      <c r="L728" s="18"/>
      <c r="M728" s="18">
        <f>'RW predict'!P727</f>
        <v>2</v>
      </c>
      <c r="N728" s="18"/>
      <c r="O728" s="18">
        <f>'RW predict'!H727</f>
        <v>-2</v>
      </c>
      <c r="P728" s="18">
        <f>'RW predict'!I727</f>
        <v>2</v>
      </c>
      <c r="Q728" s="18">
        <f>'RW predict'!L727</f>
        <v>1</v>
      </c>
      <c r="R728" s="18">
        <f>'RW predict'!N727</f>
        <v>0</v>
      </c>
      <c r="S728" s="76">
        <f>'RW predict'!O727</f>
        <v>0</v>
      </c>
      <c r="T728" s="76">
        <f>'RW predict'!K727</f>
        <v>0</v>
      </c>
      <c r="U728" s="22">
        <f>'RW predict'!J727</f>
        <v>18</v>
      </c>
      <c r="V728" s="32">
        <f>IF(D728="G",'RW predict'!E727,0)</f>
        <v>0</v>
      </c>
      <c r="W728" s="18">
        <f>'RW predict'!R727</f>
        <v>0</v>
      </c>
      <c r="X728" s="18">
        <f>'RW predict'!T727</f>
        <v>0</v>
      </c>
      <c r="Y728" s="18">
        <f>'RW predict'!Y727</f>
        <v>0</v>
      </c>
      <c r="Z728" s="18">
        <f>'RW predict'!U727</f>
        <v>0</v>
      </c>
      <c r="AA728" s="18">
        <f>'RW predict'!W727</f>
        <v>0</v>
      </c>
    </row>
    <row r="729" spans="1:27" x14ac:dyDescent="0.3">
      <c r="A729" s="18">
        <v>726</v>
      </c>
      <c r="B729" s="18" t="str">
        <f>'RW predict'!A728</f>
        <v>Joel Hanley</v>
      </c>
      <c r="C729" s="18" t="str">
        <f>'RW predict'!B728</f>
        <v>DAL</v>
      </c>
      <c r="D729" s="22" t="str" cm="1">
        <f t="array" ref="D729">_xlfn.SWITCH('RW predict'!C728, "C", "F", "LW","F", "RW", "F", "D", "D", "G", "G", "other")</f>
        <v>D</v>
      </c>
      <c r="E729" s="32">
        <f t="shared" si="22"/>
        <v>235</v>
      </c>
      <c r="F729" s="35">
        <f>E729/assumptions!$B$2</f>
        <v>2.8658536585365852</v>
      </c>
      <c r="G729" s="36">
        <f t="shared" si="23"/>
        <v>806</v>
      </c>
      <c r="H729" s="18">
        <f>IF(NOT(D729="G"),'RW predict'!E728,0)</f>
        <v>1</v>
      </c>
      <c r="I729" s="18">
        <f>'RW predict'!Q728</f>
        <v>46</v>
      </c>
      <c r="J729" s="18">
        <f>'RW predict'!F728</f>
        <v>4</v>
      </c>
      <c r="K729" s="18"/>
      <c r="L729" s="18"/>
      <c r="M729" s="18">
        <f>'RW predict'!P728</f>
        <v>56</v>
      </c>
      <c r="N729" s="18"/>
      <c r="O729" s="18">
        <f>'RW predict'!H728</f>
        <v>-10</v>
      </c>
      <c r="P729" s="18">
        <f>'RW predict'!I728</f>
        <v>6</v>
      </c>
      <c r="Q729" s="18">
        <f>'RW predict'!L728</f>
        <v>0</v>
      </c>
      <c r="R729" s="18">
        <f>'RW predict'!N728</f>
        <v>0</v>
      </c>
      <c r="S729" s="76">
        <f>'RW predict'!O728</f>
        <v>0</v>
      </c>
      <c r="T729" s="76">
        <f>'RW predict'!K728</f>
        <v>0</v>
      </c>
      <c r="U729" s="22">
        <f>'RW predict'!J728</f>
        <v>22</v>
      </c>
      <c r="V729" s="32">
        <f>IF(D729="G",'RW predict'!E728,0)</f>
        <v>0</v>
      </c>
      <c r="W729" s="18">
        <f>'RW predict'!R728</f>
        <v>0</v>
      </c>
      <c r="X729" s="18">
        <f>'RW predict'!T728</f>
        <v>0</v>
      </c>
      <c r="Y729" s="18">
        <f>'RW predict'!Y728</f>
        <v>0</v>
      </c>
      <c r="Z729" s="18">
        <f>'RW predict'!U728</f>
        <v>0</v>
      </c>
      <c r="AA729" s="18">
        <f>'RW predict'!W728</f>
        <v>0</v>
      </c>
    </row>
    <row r="730" spans="1:27" x14ac:dyDescent="0.3">
      <c r="A730" s="18">
        <v>727</v>
      </c>
      <c r="B730" s="18" t="str">
        <f>'RW predict'!A729</f>
        <v>Buddy Robinson</v>
      </c>
      <c r="C730" s="18" t="str">
        <f>'RW predict'!B729</f>
        <v>CHI</v>
      </c>
      <c r="D730" s="22" t="str" cm="1">
        <f t="array" ref="D730">_xlfn.SWITCH('RW predict'!C729, "C", "F", "LW","F", "RW", "F", "D", "D", "G", "G", "other")</f>
        <v>F</v>
      </c>
      <c r="E730" s="32">
        <f t="shared" si="22"/>
        <v>318</v>
      </c>
      <c r="F730" s="35">
        <f>E730/assumptions!$B$2</f>
        <v>3.8780487804878048</v>
      </c>
      <c r="G730" s="36">
        <f t="shared" si="23"/>
        <v>761</v>
      </c>
      <c r="H730" s="18">
        <f>IF(NOT(D730="G"),'RW predict'!E729,0)</f>
        <v>1</v>
      </c>
      <c r="I730" s="18">
        <f>'RW predict'!Q729</f>
        <v>10</v>
      </c>
      <c r="J730" s="18">
        <f>'RW predict'!F729</f>
        <v>4</v>
      </c>
      <c r="K730" s="18"/>
      <c r="L730" s="18"/>
      <c r="M730" s="18">
        <f>'RW predict'!P729</f>
        <v>46</v>
      </c>
      <c r="N730" s="18"/>
      <c r="O730" s="18">
        <f>'RW predict'!H729</f>
        <v>2</v>
      </c>
      <c r="P730" s="18">
        <f>'RW predict'!I729</f>
        <v>15</v>
      </c>
      <c r="Q730" s="18">
        <f>'RW predict'!L729</f>
        <v>0</v>
      </c>
      <c r="R730" s="18">
        <f>'RW predict'!N729</f>
        <v>0</v>
      </c>
      <c r="S730" s="76">
        <f>'RW predict'!O729</f>
        <v>0</v>
      </c>
      <c r="T730" s="76">
        <f>'RW predict'!K729</f>
        <v>0</v>
      </c>
      <c r="U730" s="22">
        <f>'RW predict'!J729</f>
        <v>31</v>
      </c>
      <c r="V730" s="32">
        <f>IF(D730="G",'RW predict'!E729,0)</f>
        <v>0</v>
      </c>
      <c r="W730" s="18">
        <f>'RW predict'!R729</f>
        <v>0</v>
      </c>
      <c r="X730" s="18">
        <f>'RW predict'!T729</f>
        <v>0</v>
      </c>
      <c r="Y730" s="18">
        <f>'RW predict'!Y729</f>
        <v>0</v>
      </c>
      <c r="Z730" s="18">
        <f>'RW predict'!U729</f>
        <v>0</v>
      </c>
      <c r="AA730" s="18">
        <f>'RW predict'!W729</f>
        <v>0</v>
      </c>
    </row>
    <row r="731" spans="1:27" x14ac:dyDescent="0.3">
      <c r="A731" s="18">
        <v>728</v>
      </c>
      <c r="B731" s="18" t="str">
        <f>'RW predict'!A730</f>
        <v>Cam Dineen</v>
      </c>
      <c r="C731" s="18" t="str">
        <f>'RW predict'!B730</f>
        <v>ARI</v>
      </c>
      <c r="D731" s="22" t="str" cm="1">
        <f t="array" ref="D731">_xlfn.SWITCH('RW predict'!C730, "C", "F", "LW","F", "RW", "F", "D", "D", "G", "G", "other")</f>
        <v>D</v>
      </c>
      <c r="E731" s="32">
        <f t="shared" si="22"/>
        <v>183</v>
      </c>
      <c r="F731" s="35">
        <f>E731/assumptions!$B$2</f>
        <v>2.2317073170731709</v>
      </c>
      <c r="G731" s="36">
        <f t="shared" si="23"/>
        <v>839</v>
      </c>
      <c r="H731" s="18">
        <f>IF(NOT(D731="G"),'RW predict'!E730,0)</f>
        <v>0</v>
      </c>
      <c r="I731" s="18">
        <f>'RW predict'!Q730</f>
        <v>35</v>
      </c>
      <c r="J731" s="18">
        <f>'RW predict'!F730</f>
        <v>5</v>
      </c>
      <c r="K731" s="18"/>
      <c r="L731" s="18"/>
      <c r="M731" s="18">
        <f>'RW predict'!P730</f>
        <v>18</v>
      </c>
      <c r="N731" s="18"/>
      <c r="O731" s="18">
        <f>'RW predict'!H730</f>
        <v>-12</v>
      </c>
      <c r="P731" s="18">
        <f>'RW predict'!I730</f>
        <v>4</v>
      </c>
      <c r="Q731" s="18">
        <f>'RW predict'!L730</f>
        <v>0</v>
      </c>
      <c r="R731" s="18">
        <f>'RW predict'!N730</f>
        <v>0</v>
      </c>
      <c r="S731" s="76">
        <f>'RW predict'!O730</f>
        <v>0</v>
      </c>
      <c r="T731" s="76">
        <f>'RW predict'!K730</f>
        <v>0</v>
      </c>
      <c r="U731" s="22">
        <f>'RW predict'!J730</f>
        <v>39</v>
      </c>
      <c r="V731" s="32">
        <f>IF(D731="G",'RW predict'!E730,0)</f>
        <v>0</v>
      </c>
      <c r="W731" s="18">
        <f>'RW predict'!R730</f>
        <v>0</v>
      </c>
      <c r="X731" s="18">
        <f>'RW predict'!T730</f>
        <v>0</v>
      </c>
      <c r="Y731" s="18">
        <f>'RW predict'!Y730</f>
        <v>0</v>
      </c>
      <c r="Z731" s="18">
        <f>'RW predict'!U730</f>
        <v>0</v>
      </c>
      <c r="AA731" s="18">
        <f>'RW predict'!W730</f>
        <v>0</v>
      </c>
    </row>
    <row r="732" spans="1:27" x14ac:dyDescent="0.3">
      <c r="A732" s="18">
        <v>729</v>
      </c>
      <c r="B732" s="18" t="str">
        <f>'RW predict'!A731</f>
        <v>Brett Murray</v>
      </c>
      <c r="C732" s="18" t="str">
        <f>'RW predict'!B731</f>
        <v>BUF</v>
      </c>
      <c r="D732" s="22" t="str" cm="1">
        <f t="array" ref="D732">_xlfn.SWITCH('RW predict'!C731, "C", "F", "LW","F", "RW", "F", "D", "D", "G", "G", "other")</f>
        <v>F</v>
      </c>
      <c r="E732" s="32">
        <f t="shared" si="22"/>
        <v>215</v>
      </c>
      <c r="F732" s="35">
        <f>E732/assumptions!$B$2</f>
        <v>2.6219512195121952</v>
      </c>
      <c r="G732" s="36">
        <f t="shared" si="23"/>
        <v>819</v>
      </c>
      <c r="H732" s="18">
        <f>IF(NOT(D732="G"),'RW predict'!E731,0)</f>
        <v>2</v>
      </c>
      <c r="I732" s="18">
        <f>'RW predict'!Q731</f>
        <v>2</v>
      </c>
      <c r="J732" s="18">
        <f>'RW predict'!F731</f>
        <v>3</v>
      </c>
      <c r="K732" s="18"/>
      <c r="L732" s="18"/>
      <c r="M732" s="18">
        <f>'RW predict'!P731</f>
        <v>14</v>
      </c>
      <c r="N732" s="18"/>
      <c r="O732" s="18">
        <f>'RW predict'!H731</f>
        <v>-3</v>
      </c>
      <c r="P732" s="18">
        <f>'RW predict'!I731</f>
        <v>18</v>
      </c>
      <c r="Q732" s="18">
        <f>'RW predict'!L731</f>
        <v>0</v>
      </c>
      <c r="R732" s="18">
        <f>'RW predict'!N731</f>
        <v>0</v>
      </c>
      <c r="S732" s="76">
        <f>'RW predict'!O731</f>
        <v>0</v>
      </c>
      <c r="T732" s="76">
        <f>'RW predict'!K731</f>
        <v>1</v>
      </c>
      <c r="U732" s="22">
        <f>'RW predict'!J731</f>
        <v>14</v>
      </c>
      <c r="V732" s="32">
        <f>IF(D732="G",'RW predict'!E731,0)</f>
        <v>0</v>
      </c>
      <c r="W732" s="18">
        <f>'RW predict'!R731</f>
        <v>0</v>
      </c>
      <c r="X732" s="18">
        <f>'RW predict'!T731</f>
        <v>0</v>
      </c>
      <c r="Y732" s="18">
        <f>'RW predict'!Y731</f>
        <v>0</v>
      </c>
      <c r="Z732" s="18">
        <f>'RW predict'!U731</f>
        <v>0</v>
      </c>
      <c r="AA732" s="18">
        <f>'RW predict'!W731</f>
        <v>0</v>
      </c>
    </row>
    <row r="733" spans="1:27" x14ac:dyDescent="0.3">
      <c r="A733" s="18">
        <v>730</v>
      </c>
      <c r="B733" s="18" t="str">
        <f>'RW predict'!A732</f>
        <v>Michael Carcone</v>
      </c>
      <c r="C733" s="18" t="str">
        <f>'RW predict'!B732</f>
        <v>ARI</v>
      </c>
      <c r="D733" s="22" t="str" cm="1">
        <f t="array" ref="D733">_xlfn.SWITCH('RW predict'!C732, "C", "F", "LW","F", "RW", "F", "D", "D", "G", "G", "other")</f>
        <v>F</v>
      </c>
      <c r="E733" s="32">
        <f t="shared" si="22"/>
        <v>199</v>
      </c>
      <c r="F733" s="35">
        <f>E733/assumptions!$B$2</f>
        <v>2.4268292682926829</v>
      </c>
      <c r="G733" s="36">
        <f t="shared" si="23"/>
        <v>831</v>
      </c>
      <c r="H733" s="18">
        <f>IF(NOT(D733="G"),'RW predict'!E732,0)</f>
        <v>2</v>
      </c>
      <c r="I733" s="18">
        <f>'RW predict'!Q732</f>
        <v>8</v>
      </c>
      <c r="J733" s="18">
        <f>'RW predict'!F732</f>
        <v>3</v>
      </c>
      <c r="K733" s="18"/>
      <c r="L733" s="18"/>
      <c r="M733" s="18">
        <f>'RW predict'!P732</f>
        <v>36</v>
      </c>
      <c r="N733" s="18"/>
      <c r="O733" s="18">
        <f>'RW predict'!H732</f>
        <v>-6</v>
      </c>
      <c r="P733" s="18">
        <f>'RW predict'!I732</f>
        <v>12</v>
      </c>
      <c r="Q733" s="18">
        <f>'RW predict'!L732</f>
        <v>0</v>
      </c>
      <c r="R733" s="18">
        <f>'RW predict'!N732</f>
        <v>0</v>
      </c>
      <c r="S733" s="76">
        <f>'RW predict'!O732</f>
        <v>0</v>
      </c>
      <c r="T733" s="76">
        <f>'RW predict'!K732</f>
        <v>0</v>
      </c>
      <c r="U733" s="22">
        <f>'RW predict'!J732</f>
        <v>23</v>
      </c>
      <c r="V733" s="32">
        <f>IF(D733="G",'RW predict'!E732,0)</f>
        <v>0</v>
      </c>
      <c r="W733" s="18">
        <f>'RW predict'!R732</f>
        <v>0</v>
      </c>
      <c r="X733" s="18">
        <f>'RW predict'!T732</f>
        <v>0</v>
      </c>
      <c r="Y733" s="18">
        <f>'RW predict'!Y732</f>
        <v>0</v>
      </c>
      <c r="Z733" s="18">
        <f>'RW predict'!U732</f>
        <v>0</v>
      </c>
      <c r="AA733" s="18">
        <f>'RW predict'!W732</f>
        <v>0</v>
      </c>
    </row>
    <row r="734" spans="1:27" x14ac:dyDescent="0.3">
      <c r="A734" s="18">
        <v>731</v>
      </c>
      <c r="B734" s="18" t="str">
        <f>'RW predict'!A733</f>
        <v>Urho Vaakanainen</v>
      </c>
      <c r="C734" s="18" t="str">
        <f>'RW predict'!B733</f>
        <v>ANH</v>
      </c>
      <c r="D734" s="22" t="str" cm="1">
        <f t="array" ref="D734">_xlfn.SWITCH('RW predict'!C733, "C", "F", "LW","F", "RW", "F", "D", "D", "G", "G", "other")</f>
        <v>D</v>
      </c>
      <c r="E734" s="32">
        <f t="shared" si="22"/>
        <v>242</v>
      </c>
      <c r="F734" s="35">
        <f>E734/assumptions!$B$2</f>
        <v>2.9512195121951219</v>
      </c>
      <c r="G734" s="36">
        <f t="shared" si="23"/>
        <v>800</v>
      </c>
      <c r="H734" s="18">
        <f>IF(NOT(D734="G"),'RW predict'!E733,0)</f>
        <v>0</v>
      </c>
      <c r="I734" s="18">
        <f>'RW predict'!Q733</f>
        <v>23</v>
      </c>
      <c r="J734" s="18">
        <f>'RW predict'!F733</f>
        <v>5</v>
      </c>
      <c r="K734" s="18"/>
      <c r="L734" s="18"/>
      <c r="M734" s="18">
        <f>'RW predict'!P733</f>
        <v>23</v>
      </c>
      <c r="N734" s="18"/>
      <c r="O734" s="18">
        <f>'RW predict'!H733</f>
        <v>-7</v>
      </c>
      <c r="P734" s="18">
        <f>'RW predict'!I733</f>
        <v>10</v>
      </c>
      <c r="Q734" s="18">
        <f>'RW predict'!L733</f>
        <v>0</v>
      </c>
      <c r="R734" s="18">
        <f>'RW predict'!N733</f>
        <v>0</v>
      </c>
      <c r="S734" s="76">
        <f>'RW predict'!O733</f>
        <v>0</v>
      </c>
      <c r="T734" s="76">
        <f>'RW predict'!K733</f>
        <v>0</v>
      </c>
      <c r="U734" s="22">
        <f>'RW predict'!J733</f>
        <v>44</v>
      </c>
      <c r="V734" s="32">
        <f>IF(D734="G",'RW predict'!E733,0)</f>
        <v>0</v>
      </c>
      <c r="W734" s="18">
        <f>'RW predict'!R733</f>
        <v>0</v>
      </c>
      <c r="X734" s="18">
        <f>'RW predict'!T733</f>
        <v>0</v>
      </c>
      <c r="Y734" s="18">
        <f>'RW predict'!Y733</f>
        <v>0</v>
      </c>
      <c r="Z734" s="18">
        <f>'RW predict'!U733</f>
        <v>0</v>
      </c>
      <c r="AA734" s="18">
        <f>'RW predict'!W733</f>
        <v>0</v>
      </c>
    </row>
    <row r="735" spans="1:27" x14ac:dyDescent="0.3">
      <c r="A735" s="18">
        <v>732</v>
      </c>
      <c r="B735" s="18" t="str">
        <f>'RW predict'!A734</f>
        <v>Radim Simek</v>
      </c>
      <c r="C735" s="18" t="str">
        <f>'RW predict'!B734</f>
        <v>SJ</v>
      </c>
      <c r="D735" s="22" t="str" cm="1">
        <f t="array" ref="D735">_xlfn.SWITCH('RW predict'!C734, "C", "F", "LW","F", "RW", "F", "D", "D", "G", "G", "other")</f>
        <v>D</v>
      </c>
      <c r="E735" s="32">
        <f t="shared" si="22"/>
        <v>308</v>
      </c>
      <c r="F735" s="35">
        <f>E735/assumptions!$B$2</f>
        <v>3.7560975609756095</v>
      </c>
      <c r="G735" s="36">
        <f t="shared" si="23"/>
        <v>765</v>
      </c>
      <c r="H735" s="18">
        <f>IF(NOT(D735="G"),'RW predict'!E734,0)</f>
        <v>1</v>
      </c>
      <c r="I735" s="18">
        <f>'RW predict'!Q734</f>
        <v>59</v>
      </c>
      <c r="J735" s="18">
        <f>'RW predict'!F734</f>
        <v>4</v>
      </c>
      <c r="K735" s="18"/>
      <c r="L735" s="18"/>
      <c r="M735" s="18">
        <f>'RW predict'!P734</f>
        <v>111</v>
      </c>
      <c r="N735" s="18"/>
      <c r="O735" s="18">
        <f>'RW predict'!H734</f>
        <v>-15</v>
      </c>
      <c r="P735" s="18">
        <f>'RW predict'!I734</f>
        <v>12</v>
      </c>
      <c r="Q735" s="18">
        <f>'RW predict'!L734</f>
        <v>0</v>
      </c>
      <c r="R735" s="18">
        <f>'RW predict'!N734</f>
        <v>0</v>
      </c>
      <c r="S735" s="76">
        <f>'RW predict'!O734</f>
        <v>0</v>
      </c>
      <c r="T735" s="76">
        <f>'RW predict'!K734</f>
        <v>0</v>
      </c>
      <c r="U735" s="22">
        <f>'RW predict'!J734</f>
        <v>34</v>
      </c>
      <c r="V735" s="32">
        <f>IF(D735="G",'RW predict'!E734,0)</f>
        <v>0</v>
      </c>
      <c r="W735" s="18">
        <f>'RW predict'!R734</f>
        <v>0</v>
      </c>
      <c r="X735" s="18">
        <f>'RW predict'!T734</f>
        <v>0</v>
      </c>
      <c r="Y735" s="18">
        <f>'RW predict'!Y734</f>
        <v>0</v>
      </c>
      <c r="Z735" s="18">
        <f>'RW predict'!U734</f>
        <v>0</v>
      </c>
      <c r="AA735" s="18">
        <f>'RW predict'!W734</f>
        <v>0</v>
      </c>
    </row>
    <row r="736" spans="1:27" x14ac:dyDescent="0.3">
      <c r="A736" s="18">
        <v>733</v>
      </c>
      <c r="B736" s="18" t="str">
        <f>'RW predict'!A735</f>
        <v>Jack Studnicka</v>
      </c>
      <c r="C736" s="18" t="str">
        <f>'RW predict'!B735</f>
        <v>BOS</v>
      </c>
      <c r="D736" s="22" t="str" cm="1">
        <f t="array" ref="D736">_xlfn.SWITCH('RW predict'!C735, "C", "F", "LW","F", "RW", "F", "D", "D", "G", "G", "other")</f>
        <v>F</v>
      </c>
      <c r="E736" s="32">
        <f t="shared" si="22"/>
        <v>211</v>
      </c>
      <c r="F736" s="35">
        <f>E736/assumptions!$B$2</f>
        <v>2.5731707317073171</v>
      </c>
      <c r="G736" s="36">
        <f t="shared" si="23"/>
        <v>823</v>
      </c>
      <c r="H736" s="18">
        <f>IF(NOT(D736="G"),'RW predict'!E735,0)</f>
        <v>1</v>
      </c>
      <c r="I736" s="18">
        <f>'RW predict'!Q735</f>
        <v>11</v>
      </c>
      <c r="J736" s="18">
        <f>'RW predict'!F735</f>
        <v>4</v>
      </c>
      <c r="K736" s="18"/>
      <c r="L736" s="18"/>
      <c r="M736" s="18">
        <f>'RW predict'!P735</f>
        <v>32</v>
      </c>
      <c r="N736" s="18"/>
      <c r="O736" s="18">
        <f>'RW predict'!H735</f>
        <v>-7</v>
      </c>
      <c r="P736" s="18">
        <f>'RW predict'!I735</f>
        <v>6</v>
      </c>
      <c r="Q736" s="18">
        <f>'RW predict'!L735</f>
        <v>0</v>
      </c>
      <c r="R736" s="18">
        <f>'RW predict'!N735</f>
        <v>0</v>
      </c>
      <c r="S736" s="76">
        <f>'RW predict'!O735</f>
        <v>0</v>
      </c>
      <c r="T736" s="76">
        <f>'RW predict'!K735</f>
        <v>0</v>
      </c>
      <c r="U736" s="22">
        <f>'RW predict'!J735</f>
        <v>42</v>
      </c>
      <c r="V736" s="32">
        <f>IF(D736="G",'RW predict'!E735,0)</f>
        <v>0</v>
      </c>
      <c r="W736" s="18">
        <f>'RW predict'!R735</f>
        <v>0</v>
      </c>
      <c r="X736" s="18">
        <f>'RW predict'!T735</f>
        <v>0</v>
      </c>
      <c r="Y736" s="18">
        <f>'RW predict'!Y735</f>
        <v>0</v>
      </c>
      <c r="Z736" s="18">
        <f>'RW predict'!U735</f>
        <v>0</v>
      </c>
      <c r="AA736" s="18">
        <f>'RW predict'!W735</f>
        <v>0</v>
      </c>
    </row>
    <row r="737" spans="1:27" x14ac:dyDescent="0.3">
      <c r="A737" s="18">
        <v>734</v>
      </c>
      <c r="B737" s="18" t="str">
        <f>'RW predict'!A736</f>
        <v>Mattias Norlinder</v>
      </c>
      <c r="C737" s="18" t="str">
        <f>'RW predict'!B736</f>
        <v>MON</v>
      </c>
      <c r="D737" s="22" t="str" cm="1">
        <f t="array" ref="D737">_xlfn.SWITCH('RW predict'!C736, "C", "F", "LW","F", "RW", "F", "D", "D", "G", "G", "other")</f>
        <v>D</v>
      </c>
      <c r="E737" s="32">
        <f t="shared" si="22"/>
        <v>213</v>
      </c>
      <c r="F737" s="35">
        <f>E737/assumptions!$B$2</f>
        <v>2.5975609756097562</v>
      </c>
      <c r="G737" s="36">
        <f t="shared" si="23"/>
        <v>820</v>
      </c>
      <c r="H737" s="18">
        <f>IF(NOT(D737="G"),'RW predict'!E736,0)</f>
        <v>1</v>
      </c>
      <c r="I737" s="18">
        <f>'RW predict'!Q736</f>
        <v>13</v>
      </c>
      <c r="J737" s="18">
        <f>'RW predict'!F736</f>
        <v>4</v>
      </c>
      <c r="K737" s="18"/>
      <c r="L737" s="18"/>
      <c r="M737" s="18">
        <f>'RW predict'!P736</f>
        <v>18</v>
      </c>
      <c r="N737" s="18"/>
      <c r="O737" s="18">
        <f>'RW predict'!H736</f>
        <v>-2</v>
      </c>
      <c r="P737" s="18">
        <f>'RW predict'!I736</f>
        <v>10</v>
      </c>
      <c r="Q737" s="18">
        <f>'RW predict'!L736</f>
        <v>0</v>
      </c>
      <c r="R737" s="18">
        <f>'RW predict'!N736</f>
        <v>0</v>
      </c>
      <c r="S737" s="76">
        <f>'RW predict'!O736</f>
        <v>0</v>
      </c>
      <c r="T737" s="76">
        <f>'RW predict'!K736</f>
        <v>0</v>
      </c>
      <c r="U737" s="22">
        <f>'RW predict'!J736</f>
        <v>17</v>
      </c>
      <c r="V737" s="32">
        <f>IF(D737="G",'RW predict'!E736,0)</f>
        <v>0</v>
      </c>
      <c r="W737" s="18">
        <f>'RW predict'!R736</f>
        <v>0</v>
      </c>
      <c r="X737" s="18">
        <f>'RW predict'!T736</f>
        <v>0</v>
      </c>
      <c r="Y737" s="18">
        <f>'RW predict'!Y736</f>
        <v>0</v>
      </c>
      <c r="Z737" s="18">
        <f>'RW predict'!U736</f>
        <v>0</v>
      </c>
      <c r="AA737" s="18">
        <f>'RW predict'!W736</f>
        <v>0</v>
      </c>
    </row>
    <row r="738" spans="1:27" x14ac:dyDescent="0.3">
      <c r="A738" s="18">
        <v>735</v>
      </c>
      <c r="B738" s="18" t="str">
        <f>'RW predict'!A737</f>
        <v>Brett Leason</v>
      </c>
      <c r="C738" s="18" t="str">
        <f>'RW predict'!B737</f>
        <v>WAS</v>
      </c>
      <c r="D738" s="22" t="str" cm="1">
        <f t="array" ref="D738">_xlfn.SWITCH('RW predict'!C737, "C", "F", "LW","F", "RW", "F", "D", "D", "G", "G", "other")</f>
        <v>F</v>
      </c>
      <c r="E738" s="32">
        <f t="shared" si="22"/>
        <v>209</v>
      </c>
      <c r="F738" s="35">
        <f>E738/assumptions!$B$2</f>
        <v>2.5487804878048781</v>
      </c>
      <c r="G738" s="36">
        <f t="shared" si="23"/>
        <v>826</v>
      </c>
      <c r="H738" s="18">
        <f>IF(NOT(D738="G"),'RW predict'!E737,0)</f>
        <v>2</v>
      </c>
      <c r="I738" s="18">
        <f>'RW predict'!Q737</f>
        <v>7</v>
      </c>
      <c r="J738" s="18">
        <f>'RW predict'!F737</f>
        <v>3</v>
      </c>
      <c r="K738" s="18"/>
      <c r="L738" s="18"/>
      <c r="M738" s="18">
        <f>'RW predict'!P737</f>
        <v>8</v>
      </c>
      <c r="N738" s="18"/>
      <c r="O738" s="18">
        <f>'RW predict'!H737</f>
        <v>1</v>
      </c>
      <c r="P738" s="18">
        <f>'RW predict'!I737</f>
        <v>2</v>
      </c>
      <c r="Q738" s="18">
        <f>'RW predict'!L737</f>
        <v>0</v>
      </c>
      <c r="R738" s="18">
        <f>'RW predict'!N737</f>
        <v>0</v>
      </c>
      <c r="S738" s="76">
        <f>'RW predict'!O737</f>
        <v>0</v>
      </c>
      <c r="T738" s="76">
        <f>'RW predict'!K737</f>
        <v>0</v>
      </c>
      <c r="U738" s="22">
        <f>'RW predict'!J737</f>
        <v>23</v>
      </c>
      <c r="V738" s="32">
        <f>IF(D738="G",'RW predict'!E737,0)</f>
        <v>0</v>
      </c>
      <c r="W738" s="18">
        <f>'RW predict'!R737</f>
        <v>0</v>
      </c>
      <c r="X738" s="18">
        <f>'RW predict'!T737</f>
        <v>0</v>
      </c>
      <c r="Y738" s="18">
        <f>'RW predict'!Y737</f>
        <v>0</v>
      </c>
      <c r="Z738" s="18">
        <f>'RW predict'!U737</f>
        <v>0</v>
      </c>
      <c r="AA738" s="18">
        <f>'RW predict'!W737</f>
        <v>0</v>
      </c>
    </row>
    <row r="739" spans="1:27" x14ac:dyDescent="0.3">
      <c r="A739" s="18">
        <v>736</v>
      </c>
      <c r="B739" s="18" t="str">
        <f>'RW predict'!A738</f>
        <v>Oskar Steen</v>
      </c>
      <c r="C739" s="18" t="str">
        <f>'RW predict'!B738</f>
        <v>BOS</v>
      </c>
      <c r="D739" s="22" t="str" cm="1">
        <f t="array" ref="D739">_xlfn.SWITCH('RW predict'!C738, "C", "F", "LW","F", "RW", "F", "D", "D", "G", "G", "other")</f>
        <v>F</v>
      </c>
      <c r="E739" s="32">
        <f t="shared" si="22"/>
        <v>260</v>
      </c>
      <c r="F739" s="35">
        <f>E739/assumptions!$B$2</f>
        <v>3.1707317073170733</v>
      </c>
      <c r="G739" s="36">
        <f t="shared" si="23"/>
        <v>792</v>
      </c>
      <c r="H739" s="18">
        <f>IF(NOT(D739="G"),'RW predict'!E738,0)</f>
        <v>2</v>
      </c>
      <c r="I739" s="18">
        <f>'RW predict'!Q738</f>
        <v>8</v>
      </c>
      <c r="J739" s="18">
        <f>'RW predict'!F738</f>
        <v>3</v>
      </c>
      <c r="K739" s="18"/>
      <c r="L739" s="18"/>
      <c r="M739" s="18">
        <f>'RW predict'!P738</f>
        <v>37</v>
      </c>
      <c r="N739" s="18"/>
      <c r="O739" s="18">
        <f>'RW predict'!H738</f>
        <v>-2</v>
      </c>
      <c r="P739" s="18">
        <f>'RW predict'!I738</f>
        <v>6</v>
      </c>
      <c r="Q739" s="18">
        <f>'RW predict'!L738</f>
        <v>0</v>
      </c>
      <c r="R739" s="18">
        <f>'RW predict'!N738</f>
        <v>0</v>
      </c>
      <c r="S739" s="76">
        <f>'RW predict'!O738</f>
        <v>0</v>
      </c>
      <c r="T739" s="76">
        <f>'RW predict'!K738</f>
        <v>1</v>
      </c>
      <c r="U739" s="22">
        <f>'RW predict'!J738</f>
        <v>32</v>
      </c>
      <c r="V739" s="32">
        <f>IF(D739="G",'RW predict'!E738,0)</f>
        <v>0</v>
      </c>
      <c r="W739" s="18">
        <f>'RW predict'!R738</f>
        <v>0</v>
      </c>
      <c r="X739" s="18">
        <f>'RW predict'!T738</f>
        <v>0</v>
      </c>
      <c r="Y739" s="18">
        <f>'RW predict'!Y738</f>
        <v>0</v>
      </c>
      <c r="Z739" s="18">
        <f>'RW predict'!U738</f>
        <v>0</v>
      </c>
      <c r="AA739" s="18">
        <f>'RW predict'!W738</f>
        <v>0</v>
      </c>
    </row>
    <row r="740" spans="1:27" x14ac:dyDescent="0.3">
      <c r="A740" s="18">
        <v>737</v>
      </c>
      <c r="B740" s="18" t="str">
        <f>'RW predict'!A739</f>
        <v>Justin Danforth</v>
      </c>
      <c r="C740" s="18" t="str">
        <f>'RW predict'!B739</f>
        <v>CLS</v>
      </c>
      <c r="D740" s="22" t="str" cm="1">
        <f t="array" ref="D740">_xlfn.SWITCH('RW predict'!C739, "C", "F", "LW","F", "RW", "F", "D", "D", "G", "G", "other")</f>
        <v>F</v>
      </c>
      <c r="E740" s="32">
        <f t="shared" si="22"/>
        <v>249</v>
      </c>
      <c r="F740" s="35">
        <f>E740/assumptions!$B$2</f>
        <v>3.0365853658536586</v>
      </c>
      <c r="G740" s="36">
        <f t="shared" si="23"/>
        <v>797</v>
      </c>
      <c r="H740" s="18">
        <f>IF(NOT(D740="G"),'RW predict'!E739,0)</f>
        <v>3</v>
      </c>
      <c r="I740" s="18">
        <f>'RW predict'!Q739</f>
        <v>8</v>
      </c>
      <c r="J740" s="18">
        <f>'RW predict'!F739</f>
        <v>2</v>
      </c>
      <c r="K740" s="18"/>
      <c r="L740" s="18"/>
      <c r="M740" s="18">
        <f>'RW predict'!P739</f>
        <v>31</v>
      </c>
      <c r="N740" s="18"/>
      <c r="O740" s="18">
        <f>'RW predict'!H739</f>
        <v>0</v>
      </c>
      <c r="P740" s="18">
        <f>'RW predict'!I739</f>
        <v>3</v>
      </c>
      <c r="Q740" s="18">
        <f>'RW predict'!L739</f>
        <v>0</v>
      </c>
      <c r="R740" s="18">
        <f>'RW predict'!N739</f>
        <v>0</v>
      </c>
      <c r="S740" s="76">
        <f>'RW predict'!O739</f>
        <v>0</v>
      </c>
      <c r="T740" s="76">
        <f>'RW predict'!K739</f>
        <v>1</v>
      </c>
      <c r="U740" s="22">
        <f>'RW predict'!J739</f>
        <v>24</v>
      </c>
      <c r="V740" s="32">
        <f>IF(D740="G",'RW predict'!E739,0)</f>
        <v>0</v>
      </c>
      <c r="W740" s="18">
        <f>'RW predict'!R739</f>
        <v>0</v>
      </c>
      <c r="X740" s="18">
        <f>'RW predict'!T739</f>
        <v>0</v>
      </c>
      <c r="Y740" s="18">
        <f>'RW predict'!Y739</f>
        <v>0</v>
      </c>
      <c r="Z740" s="18">
        <f>'RW predict'!U739</f>
        <v>0</v>
      </c>
      <c r="AA740" s="18">
        <f>'RW predict'!W739</f>
        <v>0</v>
      </c>
    </row>
    <row r="741" spans="1:27" x14ac:dyDescent="0.3">
      <c r="A741" s="18">
        <v>738</v>
      </c>
      <c r="B741" s="18" t="str">
        <f>'RW predict'!A740</f>
        <v>Mark Kastelic</v>
      </c>
      <c r="C741" s="18" t="str">
        <f>'RW predict'!B740</f>
        <v>OTT</v>
      </c>
      <c r="D741" s="22" t="str" cm="1">
        <f t="array" ref="D741">_xlfn.SWITCH('RW predict'!C740, "C", "F", "LW","F", "RW", "F", "D", "D", "G", "G", "other")</f>
        <v>F</v>
      </c>
      <c r="E741" s="32">
        <f t="shared" si="22"/>
        <v>345</v>
      </c>
      <c r="F741" s="35">
        <f>E741/assumptions!$B$2</f>
        <v>4.2073170731707314</v>
      </c>
      <c r="G741" s="36">
        <f t="shared" si="23"/>
        <v>751</v>
      </c>
      <c r="H741" s="18">
        <f>IF(NOT(D741="G"),'RW predict'!E740,0)</f>
        <v>2</v>
      </c>
      <c r="I741" s="18">
        <f>'RW predict'!Q740</f>
        <v>17</v>
      </c>
      <c r="J741" s="18">
        <f>'RW predict'!F740</f>
        <v>3</v>
      </c>
      <c r="K741" s="18"/>
      <c r="L741" s="18"/>
      <c r="M741" s="18">
        <f>'RW predict'!P740</f>
        <v>90</v>
      </c>
      <c r="N741" s="18"/>
      <c r="O741" s="18">
        <f>'RW predict'!H740</f>
        <v>-2</v>
      </c>
      <c r="P741" s="18">
        <f>'RW predict'!I740</f>
        <v>24</v>
      </c>
      <c r="Q741" s="18">
        <f>'RW predict'!L740</f>
        <v>0</v>
      </c>
      <c r="R741" s="18">
        <f>'RW predict'!N740</f>
        <v>0</v>
      </c>
      <c r="S741" s="76">
        <f>'RW predict'!O740</f>
        <v>0</v>
      </c>
      <c r="T741" s="76">
        <f>'RW predict'!K740</f>
        <v>0</v>
      </c>
      <c r="U741" s="22">
        <f>'RW predict'!J740</f>
        <v>22</v>
      </c>
      <c r="V741" s="32">
        <f>IF(D741="G",'RW predict'!E740,0)</f>
        <v>0</v>
      </c>
      <c r="W741" s="18">
        <f>'RW predict'!R740</f>
        <v>0</v>
      </c>
      <c r="X741" s="18">
        <f>'RW predict'!T740</f>
        <v>0</v>
      </c>
      <c r="Y741" s="18">
        <f>'RW predict'!Y740</f>
        <v>0</v>
      </c>
      <c r="Z741" s="18">
        <f>'RW predict'!U740</f>
        <v>0</v>
      </c>
      <c r="AA741" s="18">
        <f>'RW predict'!W740</f>
        <v>0</v>
      </c>
    </row>
    <row r="742" spans="1:27" x14ac:dyDescent="0.3">
      <c r="A742" s="18">
        <v>739</v>
      </c>
      <c r="B742" s="18" t="str">
        <f>'RW predict'!A741</f>
        <v>Marc McLaughlin</v>
      </c>
      <c r="C742" s="18" t="str">
        <f>'RW predict'!B741</f>
        <v>BOS</v>
      </c>
      <c r="D742" s="22" t="str" cm="1">
        <f t="array" ref="D742">_xlfn.SWITCH('RW predict'!C741, "C", "F", "LW","F", "RW", "F", "D", "D", "G", "G", "other")</f>
        <v>F</v>
      </c>
      <c r="E742" s="32">
        <f t="shared" si="22"/>
        <v>188</v>
      </c>
      <c r="F742" s="35">
        <f>E742/assumptions!$B$2</f>
        <v>2.2926829268292681</v>
      </c>
      <c r="G742" s="36">
        <f t="shared" si="23"/>
        <v>836</v>
      </c>
      <c r="H742" s="18">
        <f>IF(NOT(D742="G"),'RW predict'!E741,0)</f>
        <v>3</v>
      </c>
      <c r="I742" s="18">
        <f>'RW predict'!Q741</f>
        <v>4</v>
      </c>
      <c r="J742" s="18">
        <f>'RW predict'!F741</f>
        <v>1</v>
      </c>
      <c r="K742" s="18"/>
      <c r="L742" s="18"/>
      <c r="M742" s="18">
        <f>'RW predict'!P741</f>
        <v>26</v>
      </c>
      <c r="N742" s="18"/>
      <c r="O742" s="18">
        <f>'RW predict'!H741</f>
        <v>-3</v>
      </c>
      <c r="P742" s="18">
        <f>'RW predict'!I741</f>
        <v>12</v>
      </c>
      <c r="Q742" s="18">
        <f>'RW predict'!L741</f>
        <v>0</v>
      </c>
      <c r="R742" s="18">
        <f>'RW predict'!N741</f>
        <v>0</v>
      </c>
      <c r="S742" s="76">
        <f>'RW predict'!O741</f>
        <v>0</v>
      </c>
      <c r="T742" s="76">
        <f>'RW predict'!K741</f>
        <v>0</v>
      </c>
      <c r="U742" s="22">
        <f>'RW predict'!J741</f>
        <v>24</v>
      </c>
      <c r="V742" s="32">
        <f>IF(D742="G",'RW predict'!E741,0)</f>
        <v>0</v>
      </c>
      <c r="W742" s="18">
        <f>'RW predict'!R741</f>
        <v>0</v>
      </c>
      <c r="X742" s="18">
        <f>'RW predict'!T741</f>
        <v>0</v>
      </c>
      <c r="Y742" s="18">
        <f>'RW predict'!Y741</f>
        <v>0</v>
      </c>
      <c r="Z742" s="18">
        <f>'RW predict'!U741</f>
        <v>0</v>
      </c>
      <c r="AA742" s="18">
        <f>'RW predict'!W741</f>
        <v>0</v>
      </c>
    </row>
    <row r="743" spans="1:27" x14ac:dyDescent="0.3">
      <c r="A743" s="18">
        <v>740</v>
      </c>
      <c r="B743" s="18" t="str">
        <f>'RW predict'!A742</f>
        <v>Alexei Protas</v>
      </c>
      <c r="C743" s="18" t="str">
        <f>'RW predict'!B742</f>
        <v>WAS</v>
      </c>
      <c r="D743" s="22" t="str" cm="1">
        <f t="array" ref="D743">_xlfn.SWITCH('RW predict'!C742, "C", "F", "LW","F", "RW", "F", "D", "D", "G", "G", "other")</f>
        <v>F</v>
      </c>
      <c r="E743" s="32">
        <f t="shared" si="22"/>
        <v>160</v>
      </c>
      <c r="F743" s="35">
        <f>E743/assumptions!$B$2</f>
        <v>1.9512195121951219</v>
      </c>
      <c r="G743" s="36">
        <f t="shared" si="23"/>
        <v>858</v>
      </c>
      <c r="H743" s="18">
        <f>IF(NOT(D743="G"),'RW predict'!E742,0)</f>
        <v>2</v>
      </c>
      <c r="I743" s="18">
        <f>'RW predict'!Q742</f>
        <v>5</v>
      </c>
      <c r="J743" s="18">
        <f>'RW predict'!F742</f>
        <v>2</v>
      </c>
      <c r="K743" s="18"/>
      <c r="L743" s="18"/>
      <c r="M743" s="18">
        <f>'RW predict'!P742</f>
        <v>8</v>
      </c>
      <c r="N743" s="18"/>
      <c r="O743" s="18">
        <f>'RW predict'!H742</f>
        <v>1</v>
      </c>
      <c r="P743" s="18">
        <f>'RW predict'!I742</f>
        <v>2</v>
      </c>
      <c r="Q743" s="18">
        <f>'RW predict'!L742</f>
        <v>0</v>
      </c>
      <c r="R743" s="18">
        <f>'RW predict'!N742</f>
        <v>0</v>
      </c>
      <c r="S743" s="76">
        <f>'RW predict'!O742</f>
        <v>0</v>
      </c>
      <c r="T743" s="76">
        <f>'RW predict'!K742</f>
        <v>0</v>
      </c>
      <c r="U743" s="22">
        <f>'RW predict'!J742</f>
        <v>13</v>
      </c>
      <c r="V743" s="32">
        <f>IF(D743="G",'RW predict'!E742,0)</f>
        <v>0</v>
      </c>
      <c r="W743" s="18">
        <f>'RW predict'!R742</f>
        <v>0</v>
      </c>
      <c r="X743" s="18">
        <f>'RW predict'!T742</f>
        <v>0</v>
      </c>
      <c r="Y743" s="18">
        <f>'RW predict'!Y742</f>
        <v>0</v>
      </c>
      <c r="Z743" s="18">
        <f>'RW predict'!U742</f>
        <v>0</v>
      </c>
      <c r="AA743" s="18">
        <f>'RW predict'!W742</f>
        <v>0</v>
      </c>
    </row>
    <row r="744" spans="1:27" x14ac:dyDescent="0.3">
      <c r="A744" s="18">
        <v>741</v>
      </c>
      <c r="B744" s="18" t="str">
        <f>'RW predict'!A743</f>
        <v>Jordan Spence</v>
      </c>
      <c r="C744" s="18" t="str">
        <f>'RW predict'!B743</f>
        <v>LA</v>
      </c>
      <c r="D744" s="22" t="str" cm="1">
        <f t="array" ref="D744">_xlfn.SWITCH('RW predict'!C743, "C", "F", "LW","F", "RW", "F", "D", "D", "G", "G", "other")</f>
        <v>D</v>
      </c>
      <c r="E744" s="32">
        <f t="shared" si="22"/>
        <v>207</v>
      </c>
      <c r="F744" s="35">
        <f>E744/assumptions!$B$2</f>
        <v>2.524390243902439</v>
      </c>
      <c r="G744" s="36">
        <f t="shared" si="23"/>
        <v>827</v>
      </c>
      <c r="H744" s="18">
        <f>IF(NOT(D744="G"),'RW predict'!E743,0)</f>
        <v>1</v>
      </c>
      <c r="I744" s="18">
        <f>'RW predict'!Q743</f>
        <v>13</v>
      </c>
      <c r="J744" s="18">
        <f>'RW predict'!F743</f>
        <v>3</v>
      </c>
      <c r="K744" s="18"/>
      <c r="L744" s="18"/>
      <c r="M744" s="18">
        <f>'RW predict'!P743</f>
        <v>15</v>
      </c>
      <c r="N744" s="18"/>
      <c r="O744" s="18">
        <f>'RW predict'!H743</f>
        <v>2</v>
      </c>
      <c r="P744" s="18">
        <f>'RW predict'!I743</f>
        <v>2</v>
      </c>
      <c r="Q744" s="18">
        <f>'RW predict'!L743</f>
        <v>0</v>
      </c>
      <c r="R744" s="18">
        <f>'RW predict'!N743</f>
        <v>0</v>
      </c>
      <c r="S744" s="76">
        <f>'RW predict'!O743</f>
        <v>0</v>
      </c>
      <c r="T744" s="76">
        <f>'RW predict'!K743</f>
        <v>0</v>
      </c>
      <c r="U744" s="22">
        <f>'RW predict'!J743</f>
        <v>20</v>
      </c>
      <c r="V744" s="32">
        <f>IF(D744="G",'RW predict'!E743,0)</f>
        <v>0</v>
      </c>
      <c r="W744" s="18">
        <f>'RW predict'!R743</f>
        <v>0</v>
      </c>
      <c r="X744" s="18">
        <f>'RW predict'!T743</f>
        <v>0</v>
      </c>
      <c r="Y744" s="18">
        <f>'RW predict'!Y743</f>
        <v>0</v>
      </c>
      <c r="Z744" s="18">
        <f>'RW predict'!U743</f>
        <v>0</v>
      </c>
      <c r="AA744" s="18">
        <f>'RW predict'!W743</f>
        <v>0</v>
      </c>
    </row>
    <row r="745" spans="1:27" x14ac:dyDescent="0.3">
      <c r="A745" s="18">
        <v>742</v>
      </c>
      <c r="B745" s="18" t="str">
        <f>'RW predict'!A744</f>
        <v>Arttu Ruotsalainen</v>
      </c>
      <c r="C745" s="18" t="str">
        <f>'RW predict'!B744</f>
        <v>BUF</v>
      </c>
      <c r="D745" s="22" t="str" cm="1">
        <f t="array" ref="D745">_xlfn.SWITCH('RW predict'!C744, "C", "F", "LW","F", "RW", "F", "D", "D", "G", "G", "other")</f>
        <v>F</v>
      </c>
      <c r="E745" s="32">
        <f t="shared" si="22"/>
        <v>191</v>
      </c>
      <c r="F745" s="35">
        <f>E745/assumptions!$B$2</f>
        <v>2.3292682926829267</v>
      </c>
      <c r="G745" s="36">
        <f t="shared" si="23"/>
        <v>833</v>
      </c>
      <c r="H745" s="18">
        <f>IF(NOT(D745="G"),'RW predict'!E744,0)</f>
        <v>2</v>
      </c>
      <c r="I745" s="18">
        <f>'RW predict'!Q744</f>
        <v>6</v>
      </c>
      <c r="J745" s="18">
        <f>'RW predict'!F744</f>
        <v>2</v>
      </c>
      <c r="K745" s="18"/>
      <c r="L745" s="18"/>
      <c r="M745" s="18">
        <f>'RW predict'!P744</f>
        <v>19</v>
      </c>
      <c r="N745" s="18"/>
      <c r="O745" s="18">
        <f>'RW predict'!H744</f>
        <v>-3</v>
      </c>
      <c r="P745" s="18">
        <f>'RW predict'!I744</f>
        <v>6</v>
      </c>
      <c r="Q745" s="18">
        <f>'RW predict'!L744</f>
        <v>0</v>
      </c>
      <c r="R745" s="18">
        <f>'RW predict'!N744</f>
        <v>0</v>
      </c>
      <c r="S745" s="76">
        <f>'RW predict'!O744</f>
        <v>0</v>
      </c>
      <c r="T745" s="76">
        <f>'RW predict'!K744</f>
        <v>1</v>
      </c>
      <c r="U745" s="22">
        <f>'RW predict'!J744</f>
        <v>26</v>
      </c>
      <c r="V745" s="32">
        <f>IF(D745="G",'RW predict'!E744,0)</f>
        <v>0</v>
      </c>
      <c r="W745" s="18">
        <f>'RW predict'!R744</f>
        <v>0</v>
      </c>
      <c r="X745" s="18">
        <f>'RW predict'!T744</f>
        <v>0</v>
      </c>
      <c r="Y745" s="18">
        <f>'RW predict'!Y744</f>
        <v>0</v>
      </c>
      <c r="Z745" s="18">
        <f>'RW predict'!U744</f>
        <v>0</v>
      </c>
      <c r="AA745" s="18">
        <f>'RW predict'!W744</f>
        <v>0</v>
      </c>
    </row>
    <row r="746" spans="1:27" x14ac:dyDescent="0.3">
      <c r="A746" s="18">
        <v>743</v>
      </c>
      <c r="B746" s="18" t="str">
        <f>'RW predict'!A745</f>
        <v>Martin Kaut</v>
      </c>
      <c r="C746" s="18" t="str">
        <f>'RW predict'!B745</f>
        <v>COL</v>
      </c>
      <c r="D746" s="22" t="str" cm="1">
        <f t="array" ref="D746">_xlfn.SWITCH('RW predict'!C745, "C", "F", "LW","F", "RW", "F", "D", "D", "G", "G", "other")</f>
        <v>F</v>
      </c>
      <c r="E746" s="32">
        <f t="shared" si="22"/>
        <v>203</v>
      </c>
      <c r="F746" s="35">
        <f>E746/assumptions!$B$2</f>
        <v>2.475609756097561</v>
      </c>
      <c r="G746" s="36">
        <f t="shared" si="23"/>
        <v>830</v>
      </c>
      <c r="H746" s="18">
        <f>IF(NOT(D746="G"),'RW predict'!E745,0)</f>
        <v>1</v>
      </c>
      <c r="I746" s="18">
        <f>'RW predict'!Q745</f>
        <v>5</v>
      </c>
      <c r="J746" s="18">
        <f>'RW predict'!F745</f>
        <v>3</v>
      </c>
      <c r="K746" s="18"/>
      <c r="L746" s="18"/>
      <c r="M746" s="18">
        <f>'RW predict'!P745</f>
        <v>19</v>
      </c>
      <c r="N746" s="18"/>
      <c r="O746" s="18">
        <f>'RW predict'!H745</f>
        <v>3</v>
      </c>
      <c r="P746" s="18">
        <f>'RW predict'!I745</f>
        <v>6</v>
      </c>
      <c r="Q746" s="18">
        <f>'RW predict'!L745</f>
        <v>0</v>
      </c>
      <c r="R746" s="18">
        <f>'RW predict'!N745</f>
        <v>0</v>
      </c>
      <c r="S746" s="76">
        <f>'RW predict'!O745</f>
        <v>0</v>
      </c>
      <c r="T746" s="76">
        <f>'RW predict'!K745</f>
        <v>0</v>
      </c>
      <c r="U746" s="22">
        <f>'RW predict'!J745</f>
        <v>13</v>
      </c>
      <c r="V746" s="32">
        <f>IF(D746="G",'RW predict'!E745,0)</f>
        <v>0</v>
      </c>
      <c r="W746" s="18">
        <f>'RW predict'!R745</f>
        <v>0</v>
      </c>
      <c r="X746" s="18">
        <f>'RW predict'!T745</f>
        <v>0</v>
      </c>
      <c r="Y746" s="18">
        <f>'RW predict'!Y745</f>
        <v>0</v>
      </c>
      <c r="Z746" s="18">
        <f>'RW predict'!U745</f>
        <v>0</v>
      </c>
      <c r="AA746" s="18">
        <f>'RW predict'!W745</f>
        <v>0</v>
      </c>
    </row>
    <row r="747" spans="1:27" x14ac:dyDescent="0.3">
      <c r="A747" s="18">
        <v>744</v>
      </c>
      <c r="B747" s="18" t="str">
        <f>'RW predict'!A746</f>
        <v>Nicolas Beaudin</v>
      </c>
      <c r="C747" s="18" t="str">
        <f>'RW predict'!B746</f>
        <v>CHI</v>
      </c>
      <c r="D747" s="22" t="str" cm="1">
        <f t="array" ref="D747">_xlfn.SWITCH('RW predict'!C746, "C", "F", "LW","F", "RW", "F", "D", "D", "G", "G", "other")</f>
        <v>D</v>
      </c>
      <c r="E747" s="32">
        <f t="shared" si="22"/>
        <v>120</v>
      </c>
      <c r="F747" s="35">
        <f>E747/assumptions!$B$2</f>
        <v>1.4634146341463414</v>
      </c>
      <c r="G747" s="36">
        <f t="shared" si="23"/>
        <v>885</v>
      </c>
      <c r="H747" s="18">
        <f>IF(NOT(D747="G"),'RW predict'!E746,0)</f>
        <v>1</v>
      </c>
      <c r="I747" s="18">
        <f>'RW predict'!Q746</f>
        <v>15</v>
      </c>
      <c r="J747" s="18">
        <f>'RW predict'!F746</f>
        <v>3</v>
      </c>
      <c r="K747" s="18"/>
      <c r="L747" s="18"/>
      <c r="M747" s="18">
        <f>'RW predict'!P746</f>
        <v>8</v>
      </c>
      <c r="N747" s="18"/>
      <c r="O747" s="18">
        <f>'RW predict'!H746</f>
        <v>-4</v>
      </c>
      <c r="P747" s="18">
        <f>'RW predict'!I746</f>
        <v>2</v>
      </c>
      <c r="Q747" s="18">
        <f>'RW predict'!L746</f>
        <v>0</v>
      </c>
      <c r="R747" s="18">
        <f>'RW predict'!N746</f>
        <v>0</v>
      </c>
      <c r="S747" s="76">
        <f>'RW predict'!O746</f>
        <v>0</v>
      </c>
      <c r="T747" s="76">
        <f>'RW predict'!K746</f>
        <v>0</v>
      </c>
      <c r="U747" s="22">
        <f>'RW predict'!J746</f>
        <v>8</v>
      </c>
      <c r="V747" s="32">
        <f>IF(D747="G",'RW predict'!E746,0)</f>
        <v>0</v>
      </c>
      <c r="W747" s="18">
        <f>'RW predict'!R746</f>
        <v>0</v>
      </c>
      <c r="X747" s="18">
        <f>'RW predict'!T746</f>
        <v>0</v>
      </c>
      <c r="Y747" s="18">
        <f>'RW predict'!Y746</f>
        <v>0</v>
      </c>
      <c r="Z747" s="18">
        <f>'RW predict'!U746</f>
        <v>0</v>
      </c>
      <c r="AA747" s="18">
        <f>'RW predict'!W746</f>
        <v>0</v>
      </c>
    </row>
    <row r="748" spans="1:27" x14ac:dyDescent="0.3">
      <c r="A748" s="18">
        <v>745</v>
      </c>
      <c r="B748" s="18" t="str">
        <f>'RW predict'!A747</f>
        <v>Ty Smith</v>
      </c>
      <c r="C748" s="18" t="str">
        <f>'RW predict'!B747</f>
        <v>PIT</v>
      </c>
      <c r="D748" s="22" t="str" cm="1">
        <f t="array" ref="D748">_xlfn.SWITCH('RW predict'!C747, "C", "F", "LW","F", "RW", "F", "D", "D", "G", "G", "other")</f>
        <v>D</v>
      </c>
      <c r="E748" s="32">
        <f t="shared" si="22"/>
        <v>134</v>
      </c>
      <c r="F748" s="35">
        <f>E748/assumptions!$B$2</f>
        <v>1.6341463414634145</v>
      </c>
      <c r="G748" s="36">
        <f t="shared" si="23"/>
        <v>874</v>
      </c>
      <c r="H748" s="18">
        <f>IF(NOT(D748="G"),'RW predict'!E747,0)</f>
        <v>1</v>
      </c>
      <c r="I748" s="18">
        <f>'RW predict'!Q747</f>
        <v>13</v>
      </c>
      <c r="J748" s="18">
        <f>'RW predict'!F747</f>
        <v>3</v>
      </c>
      <c r="K748" s="18"/>
      <c r="L748" s="18"/>
      <c r="M748" s="18">
        <f>'RW predict'!P747</f>
        <v>8</v>
      </c>
      <c r="N748" s="18"/>
      <c r="O748" s="18">
        <f>'RW predict'!H747</f>
        <v>-4</v>
      </c>
      <c r="P748" s="18">
        <f>'RW predict'!I747</f>
        <v>4</v>
      </c>
      <c r="Q748" s="18">
        <f>'RW predict'!L747</f>
        <v>0</v>
      </c>
      <c r="R748" s="18">
        <f>'RW predict'!N747</f>
        <v>0</v>
      </c>
      <c r="S748" s="76">
        <f>'RW predict'!O747</f>
        <v>0</v>
      </c>
      <c r="T748" s="76">
        <f>'RW predict'!K747</f>
        <v>0</v>
      </c>
      <c r="U748" s="22">
        <f>'RW predict'!J747</f>
        <v>14</v>
      </c>
      <c r="V748" s="32">
        <f>IF(D748="G",'RW predict'!E747,0)</f>
        <v>0</v>
      </c>
      <c r="W748" s="18">
        <f>'RW predict'!R747</f>
        <v>0</v>
      </c>
      <c r="X748" s="18">
        <f>'RW predict'!T747</f>
        <v>0</v>
      </c>
      <c r="Y748" s="18">
        <f>'RW predict'!Y747</f>
        <v>0</v>
      </c>
      <c r="Z748" s="18">
        <f>'RW predict'!U747</f>
        <v>0</v>
      </c>
      <c r="AA748" s="18">
        <f>'RW predict'!W747</f>
        <v>0</v>
      </c>
    </row>
    <row r="749" spans="1:27" x14ac:dyDescent="0.3">
      <c r="A749" s="18">
        <v>746</v>
      </c>
      <c r="B749" s="18" t="str">
        <f>'RW predict'!A748</f>
        <v>Alexei Toropchenko</v>
      </c>
      <c r="C749" s="18" t="str">
        <f>'RW predict'!B748</f>
        <v>STL</v>
      </c>
      <c r="D749" s="22" t="str" cm="1">
        <f t="array" ref="D749">_xlfn.SWITCH('RW predict'!C748, "C", "F", "LW","F", "RW", "F", "D", "D", "G", "G", "other")</f>
        <v>F</v>
      </c>
      <c r="E749" s="32">
        <f t="shared" si="22"/>
        <v>302</v>
      </c>
      <c r="F749" s="35">
        <f>E749/assumptions!$B$2</f>
        <v>3.6829268292682928</v>
      </c>
      <c r="G749" s="36">
        <f t="shared" si="23"/>
        <v>770</v>
      </c>
      <c r="H749" s="18">
        <f>IF(NOT(D749="G"),'RW predict'!E748,0)</f>
        <v>2</v>
      </c>
      <c r="I749" s="18">
        <f>'RW predict'!Q748</f>
        <v>22</v>
      </c>
      <c r="J749" s="18">
        <f>'RW predict'!F748</f>
        <v>2</v>
      </c>
      <c r="K749" s="18"/>
      <c r="L749" s="18"/>
      <c r="M749" s="18">
        <f>'RW predict'!P748</f>
        <v>76</v>
      </c>
      <c r="N749" s="18"/>
      <c r="O749" s="18">
        <f>'RW predict'!H748</f>
        <v>-9</v>
      </c>
      <c r="P749" s="18">
        <f>'RW predict'!I748</f>
        <v>20</v>
      </c>
      <c r="Q749" s="18">
        <f>'RW predict'!L748</f>
        <v>0</v>
      </c>
      <c r="R749" s="18">
        <f>'RW predict'!N748</f>
        <v>0</v>
      </c>
      <c r="S749" s="76">
        <f>'RW predict'!O748</f>
        <v>0</v>
      </c>
      <c r="T749" s="76">
        <f>'RW predict'!K748</f>
        <v>0</v>
      </c>
      <c r="U749" s="22">
        <f>'RW predict'!J748</f>
        <v>56</v>
      </c>
      <c r="V749" s="32">
        <f>IF(D749="G",'RW predict'!E748,0)</f>
        <v>0</v>
      </c>
      <c r="W749" s="18">
        <f>'RW predict'!R748</f>
        <v>0</v>
      </c>
      <c r="X749" s="18">
        <f>'RW predict'!T748</f>
        <v>0</v>
      </c>
      <c r="Y749" s="18">
        <f>'RW predict'!Y748</f>
        <v>0</v>
      </c>
      <c r="Z749" s="18">
        <f>'RW predict'!U748</f>
        <v>0</v>
      </c>
      <c r="AA749" s="18">
        <f>'RW predict'!W748</f>
        <v>0</v>
      </c>
    </row>
    <row r="750" spans="1:27" x14ac:dyDescent="0.3">
      <c r="A750" s="18">
        <v>747</v>
      </c>
      <c r="B750" s="18" t="str">
        <f>'RW predict'!A749</f>
        <v>Alec Regula</v>
      </c>
      <c r="C750" s="18" t="str">
        <f>'RW predict'!B749</f>
        <v>CHI</v>
      </c>
      <c r="D750" s="22" t="str" cm="1">
        <f t="array" ref="D750">_xlfn.SWITCH('RW predict'!C749, "C", "F", "LW","F", "RW", "F", "D", "D", "G", "G", "other")</f>
        <v>D</v>
      </c>
      <c r="E750" s="32">
        <f t="shared" si="22"/>
        <v>349</v>
      </c>
      <c r="F750" s="35">
        <f>E750/assumptions!$B$2</f>
        <v>4.2560975609756095</v>
      </c>
      <c r="G750" s="36">
        <f t="shared" si="23"/>
        <v>747</v>
      </c>
      <c r="H750" s="18">
        <f>IF(NOT(D750="G"),'RW predict'!E749,0)</f>
        <v>2</v>
      </c>
      <c r="I750" s="18">
        <f>'RW predict'!Q749</f>
        <v>43</v>
      </c>
      <c r="J750" s="18">
        <f>'RW predict'!F749</f>
        <v>2</v>
      </c>
      <c r="K750" s="18"/>
      <c r="L750" s="18"/>
      <c r="M750" s="18">
        <f>'RW predict'!P749</f>
        <v>43</v>
      </c>
      <c r="N750" s="18"/>
      <c r="O750" s="18">
        <f>'RW predict'!H749</f>
        <v>-2</v>
      </c>
      <c r="P750" s="18">
        <f>'RW predict'!I749</f>
        <v>24</v>
      </c>
      <c r="Q750" s="18">
        <f>'RW predict'!L749</f>
        <v>0</v>
      </c>
      <c r="R750" s="18">
        <f>'RW predict'!N749</f>
        <v>0</v>
      </c>
      <c r="S750" s="76">
        <f>'RW predict'!O749</f>
        <v>0</v>
      </c>
      <c r="T750" s="76">
        <f>'RW predict'!K749</f>
        <v>0</v>
      </c>
      <c r="U750" s="22">
        <f>'RW predict'!J749</f>
        <v>34</v>
      </c>
      <c r="V750" s="32">
        <f>IF(D750="G",'RW predict'!E749,0)</f>
        <v>0</v>
      </c>
      <c r="W750" s="18">
        <f>'RW predict'!R749</f>
        <v>0</v>
      </c>
      <c r="X750" s="18">
        <f>'RW predict'!T749</f>
        <v>0</v>
      </c>
      <c r="Y750" s="18">
        <f>'RW predict'!Y749</f>
        <v>0</v>
      </c>
      <c r="Z750" s="18">
        <f>'RW predict'!U749</f>
        <v>0</v>
      </c>
      <c r="AA750" s="18">
        <f>'RW predict'!W749</f>
        <v>0</v>
      </c>
    </row>
    <row r="751" spans="1:27" x14ac:dyDescent="0.3">
      <c r="A751" s="18">
        <v>748</v>
      </c>
      <c r="B751" s="18" t="str">
        <f>'RW predict'!A750</f>
        <v>Otto Koivula</v>
      </c>
      <c r="C751" s="18" t="str">
        <f>'RW predict'!B750</f>
        <v>NYI</v>
      </c>
      <c r="D751" s="22" t="str" cm="1">
        <f t="array" ref="D751">_xlfn.SWITCH('RW predict'!C750, "C", "F", "LW","F", "RW", "F", "D", "D", "G", "G", "other")</f>
        <v>F</v>
      </c>
      <c r="E751" s="32">
        <f t="shared" si="22"/>
        <v>161</v>
      </c>
      <c r="F751" s="35">
        <f>E751/assumptions!$B$2</f>
        <v>1.9634146341463414</v>
      </c>
      <c r="G751" s="36">
        <f t="shared" si="23"/>
        <v>857</v>
      </c>
      <c r="H751" s="18">
        <f>IF(NOT(D751="G"),'RW predict'!E750,0)</f>
        <v>0</v>
      </c>
      <c r="I751" s="18">
        <f>'RW predict'!Q750</f>
        <v>13</v>
      </c>
      <c r="J751" s="18">
        <f>'RW predict'!F750</f>
        <v>4</v>
      </c>
      <c r="K751" s="18"/>
      <c r="L751" s="18"/>
      <c r="M751" s="18">
        <f>'RW predict'!P750</f>
        <v>25</v>
      </c>
      <c r="N751" s="18"/>
      <c r="O751" s="18">
        <f>'RW predict'!H750</f>
        <v>-5</v>
      </c>
      <c r="P751" s="18">
        <f>'RW predict'!I750</f>
        <v>0</v>
      </c>
      <c r="Q751" s="18">
        <f>'RW predict'!L750</f>
        <v>0</v>
      </c>
      <c r="R751" s="18">
        <f>'RW predict'!N750</f>
        <v>0</v>
      </c>
      <c r="S751" s="76">
        <f>'RW predict'!O750</f>
        <v>0</v>
      </c>
      <c r="T751" s="76">
        <f>'RW predict'!K750</f>
        <v>0</v>
      </c>
      <c r="U751" s="22">
        <f>'RW predict'!J750</f>
        <v>30</v>
      </c>
      <c r="V751" s="32">
        <f>IF(D751="G",'RW predict'!E750,0)</f>
        <v>0</v>
      </c>
      <c r="W751" s="18">
        <f>'RW predict'!R750</f>
        <v>0</v>
      </c>
      <c r="X751" s="18">
        <f>'RW predict'!T750</f>
        <v>0</v>
      </c>
      <c r="Y751" s="18">
        <f>'RW predict'!Y750</f>
        <v>0</v>
      </c>
      <c r="Z751" s="18">
        <f>'RW predict'!U750</f>
        <v>0</v>
      </c>
      <c r="AA751" s="18">
        <f>'RW predict'!W750</f>
        <v>0</v>
      </c>
    </row>
    <row r="752" spans="1:27" x14ac:dyDescent="0.3">
      <c r="A752" s="18">
        <v>749</v>
      </c>
      <c r="B752" s="18" t="str">
        <f>'RW predict'!A751</f>
        <v>Kiefer Sherwood</v>
      </c>
      <c r="C752" s="18" t="str">
        <f>'RW predict'!B751</f>
        <v>NSH</v>
      </c>
      <c r="D752" s="22" t="str" cm="1">
        <f t="array" ref="D752">_xlfn.SWITCH('RW predict'!C751, "C", "F", "LW","F", "RW", "F", "D", "D", "G", "G", "other")</f>
        <v>F</v>
      </c>
      <c r="E752" s="32">
        <f t="shared" si="22"/>
        <v>218</v>
      </c>
      <c r="F752" s="35">
        <f>E752/assumptions!$B$2</f>
        <v>2.6585365853658538</v>
      </c>
      <c r="G752" s="36">
        <f t="shared" si="23"/>
        <v>817</v>
      </c>
      <c r="H752" s="18">
        <f>IF(NOT(D752="G"),'RW predict'!E751,0)</f>
        <v>1</v>
      </c>
      <c r="I752" s="18">
        <f>'RW predict'!Q751</f>
        <v>6</v>
      </c>
      <c r="J752" s="18">
        <f>'RW predict'!F751</f>
        <v>3</v>
      </c>
      <c r="K752" s="18"/>
      <c r="L752" s="18"/>
      <c r="M752" s="18">
        <f>'RW predict'!P751</f>
        <v>28</v>
      </c>
      <c r="N752" s="18"/>
      <c r="O752" s="18">
        <f>'RW predict'!H751</f>
        <v>3</v>
      </c>
      <c r="P752" s="18">
        <f>'RW predict'!I751</f>
        <v>2</v>
      </c>
      <c r="Q752" s="18">
        <f>'RW predict'!L751</f>
        <v>0</v>
      </c>
      <c r="R752" s="18">
        <f>'RW predict'!N751</f>
        <v>0</v>
      </c>
      <c r="S752" s="76">
        <f>'RW predict'!O751</f>
        <v>0</v>
      </c>
      <c r="T752" s="76">
        <f>'RW predict'!K751</f>
        <v>0</v>
      </c>
      <c r="U752" s="22">
        <f>'RW predict'!J751</f>
        <v>21</v>
      </c>
      <c r="V752" s="32">
        <f>IF(D752="G",'RW predict'!E751,0)</f>
        <v>0</v>
      </c>
      <c r="W752" s="18">
        <f>'RW predict'!R751</f>
        <v>0</v>
      </c>
      <c r="X752" s="18">
        <f>'RW predict'!T751</f>
        <v>0</v>
      </c>
      <c r="Y752" s="18">
        <f>'RW predict'!Y751</f>
        <v>0</v>
      </c>
      <c r="Z752" s="18">
        <f>'RW predict'!U751</f>
        <v>0</v>
      </c>
      <c r="AA752" s="18">
        <f>'RW predict'!W751</f>
        <v>0</v>
      </c>
    </row>
    <row r="753" spans="1:27" x14ac:dyDescent="0.3">
      <c r="A753" s="18">
        <v>750</v>
      </c>
      <c r="B753" s="18" t="str">
        <f>'RW predict'!A752</f>
        <v>Lane Pederson</v>
      </c>
      <c r="C753" s="18" t="str">
        <f>'RW predict'!B752</f>
        <v>CAR</v>
      </c>
      <c r="D753" s="22" t="str" cm="1">
        <f t="array" ref="D753">_xlfn.SWITCH('RW predict'!C752, "C", "F", "LW","F", "RW", "F", "D", "D", "G", "G", "other")</f>
        <v>F</v>
      </c>
      <c r="E753" s="32">
        <f t="shared" si="22"/>
        <v>219</v>
      </c>
      <c r="F753" s="35">
        <f>E753/assumptions!$B$2</f>
        <v>2.6707317073170733</v>
      </c>
      <c r="G753" s="36">
        <f t="shared" si="23"/>
        <v>816</v>
      </c>
      <c r="H753" s="18">
        <f>IF(NOT(D753="G"),'RW predict'!E752,0)</f>
        <v>1</v>
      </c>
      <c r="I753" s="18">
        <f>'RW predict'!Q752</f>
        <v>6</v>
      </c>
      <c r="J753" s="18">
        <f>'RW predict'!F752</f>
        <v>3</v>
      </c>
      <c r="K753" s="18"/>
      <c r="L753" s="18"/>
      <c r="M753" s="18">
        <f>'RW predict'!P752</f>
        <v>33</v>
      </c>
      <c r="N753" s="18"/>
      <c r="O753" s="18">
        <f>'RW predict'!H752</f>
        <v>-9</v>
      </c>
      <c r="P753" s="18">
        <f>'RW predict'!I752</f>
        <v>18</v>
      </c>
      <c r="Q753" s="18">
        <f>'RW predict'!L752</f>
        <v>0</v>
      </c>
      <c r="R753" s="18">
        <f>'RW predict'!N752</f>
        <v>0</v>
      </c>
      <c r="S753" s="76">
        <f>'RW predict'!O752</f>
        <v>0</v>
      </c>
      <c r="T753" s="76">
        <f>'RW predict'!K752</f>
        <v>0</v>
      </c>
      <c r="U753" s="22">
        <f>'RW predict'!J752</f>
        <v>55</v>
      </c>
      <c r="V753" s="32">
        <f>IF(D753="G",'RW predict'!E752,0)</f>
        <v>0</v>
      </c>
      <c r="W753" s="18">
        <f>'RW predict'!R752</f>
        <v>0</v>
      </c>
      <c r="X753" s="18">
        <f>'RW predict'!T752</f>
        <v>0</v>
      </c>
      <c r="Y753" s="18">
        <f>'RW predict'!Y752</f>
        <v>0</v>
      </c>
      <c r="Z753" s="18">
        <f>'RW predict'!U752</f>
        <v>0</v>
      </c>
      <c r="AA753" s="18">
        <f>'RW predict'!W752</f>
        <v>0</v>
      </c>
    </row>
    <row r="754" spans="1:27" x14ac:dyDescent="0.3">
      <c r="A754" s="18">
        <v>751</v>
      </c>
      <c r="B754" s="18" t="str">
        <f>'RW predict'!A753</f>
        <v>Jaret Anderson-Dolan</v>
      </c>
      <c r="C754" s="18" t="str">
        <f>'RW predict'!B753</f>
        <v>LA</v>
      </c>
      <c r="D754" s="22" t="str" cm="1">
        <f t="array" ref="D754">_xlfn.SWITCH('RW predict'!C753, "C", "F", "LW","F", "RW", "F", "D", "D", "G", "G", "other")</f>
        <v>F</v>
      </c>
      <c r="E754" s="32">
        <f t="shared" si="22"/>
        <v>152</v>
      </c>
      <c r="F754" s="35">
        <f>E754/assumptions!$B$2</f>
        <v>1.8536585365853659</v>
      </c>
      <c r="G754" s="36">
        <f t="shared" si="23"/>
        <v>864</v>
      </c>
      <c r="H754" s="18">
        <f>IF(NOT(D754="G"),'RW predict'!E753,0)</f>
        <v>2</v>
      </c>
      <c r="I754" s="18">
        <f>'RW predict'!Q753</f>
        <v>9</v>
      </c>
      <c r="J754" s="18">
        <f>'RW predict'!F753</f>
        <v>2</v>
      </c>
      <c r="K754" s="18"/>
      <c r="L754" s="18"/>
      <c r="M754" s="18">
        <f>'RW predict'!P753</f>
        <v>30</v>
      </c>
      <c r="N754" s="18"/>
      <c r="O754" s="18">
        <f>'RW predict'!H753</f>
        <v>-5</v>
      </c>
      <c r="P754" s="18">
        <f>'RW predict'!I753</f>
        <v>6</v>
      </c>
      <c r="Q754" s="18">
        <f>'RW predict'!L753</f>
        <v>0</v>
      </c>
      <c r="R754" s="18">
        <f>'RW predict'!N753</f>
        <v>0</v>
      </c>
      <c r="S754" s="76">
        <f>'RW predict'!O753</f>
        <v>0</v>
      </c>
      <c r="T754" s="76">
        <f>'RW predict'!K753</f>
        <v>0</v>
      </c>
      <c r="U754" s="22">
        <f>'RW predict'!J753</f>
        <v>18</v>
      </c>
      <c r="V754" s="32">
        <f>IF(D754="G",'RW predict'!E753,0)</f>
        <v>0</v>
      </c>
      <c r="W754" s="18">
        <f>'RW predict'!R753</f>
        <v>0</v>
      </c>
      <c r="X754" s="18">
        <f>'RW predict'!T753</f>
        <v>0</v>
      </c>
      <c r="Y754" s="18">
        <f>'RW predict'!Y753</f>
        <v>0</v>
      </c>
      <c r="Z754" s="18">
        <f>'RW predict'!U753</f>
        <v>0</v>
      </c>
      <c r="AA754" s="18">
        <f>'RW predict'!W753</f>
        <v>0</v>
      </c>
    </row>
    <row r="755" spans="1:27" x14ac:dyDescent="0.3">
      <c r="A755" s="18">
        <v>752</v>
      </c>
      <c r="B755" s="18" t="str">
        <f>'RW predict'!A754</f>
        <v>Conor Timmins</v>
      </c>
      <c r="C755" s="18" t="str">
        <f>'RW predict'!B754</f>
        <v>ARI</v>
      </c>
      <c r="D755" s="22" t="str" cm="1">
        <f t="array" ref="D755">_xlfn.SWITCH('RW predict'!C754, "C", "F", "LW","F", "RW", "F", "D", "D", "G", "G", "other")</f>
        <v>D</v>
      </c>
      <c r="E755" s="32">
        <f t="shared" si="22"/>
        <v>181</v>
      </c>
      <c r="F755" s="35">
        <f>E755/assumptions!$B$2</f>
        <v>2.2073170731707319</v>
      </c>
      <c r="G755" s="36">
        <f t="shared" si="23"/>
        <v>841</v>
      </c>
      <c r="H755" s="18">
        <f>IF(NOT(D755="G"),'RW predict'!E754,0)</f>
        <v>0</v>
      </c>
      <c r="I755" s="18">
        <f>'RW predict'!Q754</f>
        <v>16</v>
      </c>
      <c r="J755" s="18">
        <f>'RW predict'!F754</f>
        <v>4</v>
      </c>
      <c r="K755" s="18"/>
      <c r="L755" s="18"/>
      <c r="M755" s="18">
        <f>'RW predict'!P754</f>
        <v>19</v>
      </c>
      <c r="N755" s="18"/>
      <c r="O755" s="18">
        <f>'RW predict'!H754</f>
        <v>-3</v>
      </c>
      <c r="P755" s="18">
        <f>'RW predict'!I754</f>
        <v>6</v>
      </c>
      <c r="Q755" s="18">
        <f>'RW predict'!L754</f>
        <v>0</v>
      </c>
      <c r="R755" s="18">
        <f>'RW predict'!N754</f>
        <v>0</v>
      </c>
      <c r="S755" s="76">
        <f>'RW predict'!O754</f>
        <v>0</v>
      </c>
      <c r="T755" s="76">
        <f>'RW predict'!K754</f>
        <v>0</v>
      </c>
      <c r="U755" s="22">
        <f>'RW predict'!J754</f>
        <v>21</v>
      </c>
      <c r="V755" s="32">
        <f>IF(D755="G",'RW predict'!E754,0)</f>
        <v>0</v>
      </c>
      <c r="W755" s="18">
        <f>'RW predict'!R754</f>
        <v>0</v>
      </c>
      <c r="X755" s="18">
        <f>'RW predict'!T754</f>
        <v>0</v>
      </c>
      <c r="Y755" s="18">
        <f>'RW predict'!Y754</f>
        <v>0</v>
      </c>
      <c r="Z755" s="18">
        <f>'RW predict'!U754</f>
        <v>0</v>
      </c>
      <c r="AA755" s="18">
        <f>'RW predict'!W754</f>
        <v>0</v>
      </c>
    </row>
    <row r="756" spans="1:27" x14ac:dyDescent="0.3">
      <c r="A756" s="18">
        <v>753</v>
      </c>
      <c r="B756" s="18" t="str">
        <f>'RW predict'!A755</f>
        <v>Tyler Benson</v>
      </c>
      <c r="C756" s="18" t="str">
        <f>'RW predict'!B755</f>
        <v>EDM</v>
      </c>
      <c r="D756" s="22" t="str" cm="1">
        <f t="array" ref="D756">_xlfn.SWITCH('RW predict'!C755, "C", "F", "LW","F", "RW", "F", "D", "D", "G", "G", "other")</f>
        <v>F</v>
      </c>
      <c r="E756" s="32">
        <f t="shared" si="22"/>
        <v>222</v>
      </c>
      <c r="F756" s="35">
        <f>E756/assumptions!$B$2</f>
        <v>2.7073170731707319</v>
      </c>
      <c r="G756" s="36">
        <f t="shared" si="23"/>
        <v>814</v>
      </c>
      <c r="H756" s="18">
        <f>IF(NOT(D756="G"),'RW predict'!E755,0)</f>
        <v>1</v>
      </c>
      <c r="I756" s="18">
        <f>'RW predict'!Q755</f>
        <v>5</v>
      </c>
      <c r="J756" s="18">
        <f>'RW predict'!F755</f>
        <v>3</v>
      </c>
      <c r="K756" s="18"/>
      <c r="L756" s="18"/>
      <c r="M756" s="18">
        <f>'RW predict'!P755</f>
        <v>50</v>
      </c>
      <c r="N756" s="18"/>
      <c r="O756" s="18">
        <f>'RW predict'!H755</f>
        <v>-4</v>
      </c>
      <c r="P756" s="18">
        <f>'RW predict'!I755</f>
        <v>18</v>
      </c>
      <c r="Q756" s="18">
        <f>'RW predict'!L755</f>
        <v>0</v>
      </c>
      <c r="R756" s="18">
        <f>'RW predict'!N755</f>
        <v>0</v>
      </c>
      <c r="S756" s="76">
        <f>'RW predict'!O755</f>
        <v>0</v>
      </c>
      <c r="T756" s="76">
        <f>'RW predict'!K755</f>
        <v>0</v>
      </c>
      <c r="U756" s="22">
        <f>'RW predict'!J755</f>
        <v>24</v>
      </c>
      <c r="V756" s="32">
        <f>IF(D756="G",'RW predict'!E755,0)</f>
        <v>0</v>
      </c>
      <c r="W756" s="18">
        <f>'RW predict'!R755</f>
        <v>0</v>
      </c>
      <c r="X756" s="18">
        <f>'RW predict'!T755</f>
        <v>0</v>
      </c>
      <c r="Y756" s="18">
        <f>'RW predict'!Y755</f>
        <v>0</v>
      </c>
      <c r="Z756" s="18">
        <f>'RW predict'!U755</f>
        <v>0</v>
      </c>
      <c r="AA756" s="18">
        <f>'RW predict'!W755</f>
        <v>0</v>
      </c>
    </row>
    <row r="757" spans="1:27" x14ac:dyDescent="0.3">
      <c r="A757" s="18">
        <v>754</v>
      </c>
      <c r="B757" s="18" t="str">
        <f>'RW predict'!A756</f>
        <v>Givani Smith</v>
      </c>
      <c r="C757" s="18" t="str">
        <f>'RW predict'!B756</f>
        <v>DET</v>
      </c>
      <c r="D757" s="22" t="str" cm="1">
        <f t="array" ref="D757">_xlfn.SWITCH('RW predict'!C756, "C", "F", "LW","F", "RW", "F", "D", "D", "G", "G", "other")</f>
        <v>F</v>
      </c>
      <c r="E757" s="32">
        <f t="shared" si="22"/>
        <v>373</v>
      </c>
      <c r="F757" s="35">
        <f>E757/assumptions!$B$2</f>
        <v>4.5487804878048781</v>
      </c>
      <c r="G757" s="36">
        <f t="shared" si="23"/>
        <v>734</v>
      </c>
      <c r="H757" s="18">
        <f>IF(NOT(D757="G"),'RW predict'!E756,0)</f>
        <v>2</v>
      </c>
      <c r="I757" s="18">
        <f>'RW predict'!Q756</f>
        <v>11</v>
      </c>
      <c r="J757" s="18">
        <f>'RW predict'!F756</f>
        <v>2</v>
      </c>
      <c r="K757" s="18"/>
      <c r="L757" s="18"/>
      <c r="M757" s="18">
        <f>'RW predict'!P756</f>
        <v>54</v>
      </c>
      <c r="N757" s="18"/>
      <c r="O757" s="18">
        <f>'RW predict'!H756</f>
        <v>-4</v>
      </c>
      <c r="P757" s="18">
        <f>'RW predict'!I756</f>
        <v>59</v>
      </c>
      <c r="Q757" s="18">
        <f>'RW predict'!L756</f>
        <v>0</v>
      </c>
      <c r="R757" s="18">
        <f>'RW predict'!N756</f>
        <v>0</v>
      </c>
      <c r="S757" s="76">
        <f>'RW predict'!O756</f>
        <v>0</v>
      </c>
      <c r="T757" s="76">
        <f>'RW predict'!K756</f>
        <v>0</v>
      </c>
      <c r="U757" s="22">
        <f>'RW predict'!J756</f>
        <v>30</v>
      </c>
      <c r="V757" s="32">
        <f>IF(D757="G",'RW predict'!E756,0)</f>
        <v>0</v>
      </c>
      <c r="W757" s="18">
        <f>'RW predict'!R756</f>
        <v>0</v>
      </c>
      <c r="X757" s="18">
        <f>'RW predict'!T756</f>
        <v>0</v>
      </c>
      <c r="Y757" s="18">
        <f>'RW predict'!Y756</f>
        <v>0</v>
      </c>
      <c r="Z757" s="18">
        <f>'RW predict'!U756</f>
        <v>0</v>
      </c>
      <c r="AA757" s="18">
        <f>'RW predict'!W756</f>
        <v>0</v>
      </c>
    </row>
    <row r="758" spans="1:27" x14ac:dyDescent="0.3">
      <c r="A758" s="18">
        <v>755</v>
      </c>
      <c r="B758" s="18" t="str">
        <f>'RW predict'!A757</f>
        <v>Henrik Borgstrom</v>
      </c>
      <c r="C758" s="18" t="str">
        <f>'RW predict'!B757</f>
        <v>WAS</v>
      </c>
      <c r="D758" s="22" t="str" cm="1">
        <f t="array" ref="D758">_xlfn.SWITCH('RW predict'!C757, "C", "F", "LW","F", "RW", "F", "D", "D", "G", "G", "other")</f>
        <v>F</v>
      </c>
      <c r="E758" s="32">
        <f t="shared" si="22"/>
        <v>130</v>
      </c>
      <c r="F758" s="35">
        <f>E758/assumptions!$B$2</f>
        <v>1.5853658536585367</v>
      </c>
      <c r="G758" s="36">
        <f t="shared" si="23"/>
        <v>877</v>
      </c>
      <c r="H758" s="18">
        <f>IF(NOT(D758="G"),'RW predict'!E757,0)</f>
        <v>2</v>
      </c>
      <c r="I758" s="18">
        <f>'RW predict'!Q757</f>
        <v>7</v>
      </c>
      <c r="J758" s="18">
        <f>'RW predict'!F757</f>
        <v>2</v>
      </c>
      <c r="K758" s="18"/>
      <c r="L758" s="18"/>
      <c r="M758" s="18">
        <f>'RW predict'!P757</f>
        <v>10</v>
      </c>
      <c r="N758" s="18"/>
      <c r="O758" s="18">
        <f>'RW predict'!H757</f>
        <v>-5</v>
      </c>
      <c r="P758" s="18">
        <f>'RW predict'!I757</f>
        <v>8</v>
      </c>
      <c r="Q758" s="18">
        <f>'RW predict'!L757</f>
        <v>0</v>
      </c>
      <c r="R758" s="18">
        <f>'RW predict'!N757</f>
        <v>0</v>
      </c>
      <c r="S758" s="76">
        <f>'RW predict'!O757</f>
        <v>0</v>
      </c>
      <c r="T758" s="76">
        <f>'RW predict'!K757</f>
        <v>0</v>
      </c>
      <c r="U758" s="22">
        <f>'RW predict'!J757</f>
        <v>16</v>
      </c>
      <c r="V758" s="32">
        <f>IF(D758="G",'RW predict'!E757,0)</f>
        <v>0</v>
      </c>
      <c r="W758" s="18">
        <f>'RW predict'!R757</f>
        <v>0</v>
      </c>
      <c r="X758" s="18">
        <f>'RW predict'!T757</f>
        <v>0</v>
      </c>
      <c r="Y758" s="18">
        <f>'RW predict'!Y757</f>
        <v>0</v>
      </c>
      <c r="Z758" s="18">
        <f>'RW predict'!U757</f>
        <v>0</v>
      </c>
      <c r="AA758" s="18">
        <f>'RW predict'!W757</f>
        <v>0</v>
      </c>
    </row>
    <row r="759" spans="1:27" x14ac:dyDescent="0.3">
      <c r="A759" s="18">
        <v>756</v>
      </c>
      <c r="B759" s="18" t="str">
        <f>'RW predict'!A758</f>
        <v>Andrew Poturalski</v>
      </c>
      <c r="C759" s="18" t="str">
        <f>'RW predict'!B758</f>
        <v>SEA</v>
      </c>
      <c r="D759" s="22" t="str" cm="1">
        <f t="array" ref="D759">_xlfn.SWITCH('RW predict'!C758, "C", "F", "LW","F", "RW", "F", "D", "D", "G", "G", "other")</f>
        <v>F</v>
      </c>
      <c r="E759" s="32">
        <f t="shared" si="22"/>
        <v>102</v>
      </c>
      <c r="F759" s="35">
        <f>E759/assumptions!$B$2</f>
        <v>1.2439024390243902</v>
      </c>
      <c r="G759" s="36">
        <f t="shared" si="23"/>
        <v>909</v>
      </c>
      <c r="H759" s="18">
        <f>IF(NOT(D759="G"),'RW predict'!E758,0)</f>
        <v>1</v>
      </c>
      <c r="I759" s="18">
        <f>'RW predict'!Q758</f>
        <v>4</v>
      </c>
      <c r="J759" s="18">
        <f>'RW predict'!F758</f>
        <v>3</v>
      </c>
      <c r="K759" s="18"/>
      <c r="L759" s="18"/>
      <c r="M759" s="18">
        <f>'RW predict'!P758</f>
        <v>2</v>
      </c>
      <c r="N759" s="18"/>
      <c r="O759" s="18">
        <f>'RW predict'!H758</f>
        <v>-4</v>
      </c>
      <c r="P759" s="18">
        <f>'RW predict'!I758</f>
        <v>2</v>
      </c>
      <c r="Q759" s="18">
        <f>'RW predict'!L758</f>
        <v>0</v>
      </c>
      <c r="R759" s="18">
        <f>'RW predict'!N758</f>
        <v>0</v>
      </c>
      <c r="S759" s="76">
        <f>'RW predict'!O758</f>
        <v>0</v>
      </c>
      <c r="T759" s="76">
        <f>'RW predict'!K758</f>
        <v>0</v>
      </c>
      <c r="U759" s="22">
        <f>'RW predict'!J758</f>
        <v>13</v>
      </c>
      <c r="V759" s="32">
        <f>IF(D759="G",'RW predict'!E758,0)</f>
        <v>0</v>
      </c>
      <c r="W759" s="18">
        <f>'RW predict'!R758</f>
        <v>0</v>
      </c>
      <c r="X759" s="18">
        <f>'RW predict'!T758</f>
        <v>0</v>
      </c>
      <c r="Y759" s="18">
        <f>'RW predict'!Y758</f>
        <v>0</v>
      </c>
      <c r="Z759" s="18">
        <f>'RW predict'!U758</f>
        <v>0</v>
      </c>
      <c r="AA759" s="18">
        <f>'RW predict'!W758</f>
        <v>0</v>
      </c>
    </row>
    <row r="760" spans="1:27" x14ac:dyDescent="0.3">
      <c r="A760" s="18">
        <v>757</v>
      </c>
      <c r="B760" s="18" t="str">
        <f>'RW predict'!A759</f>
        <v>Markus Nutivaara</v>
      </c>
      <c r="C760" s="18" t="str">
        <f>'RW predict'!B759</f>
        <v>SJ</v>
      </c>
      <c r="D760" s="22" t="str" cm="1">
        <f t="array" ref="D760">_xlfn.SWITCH('RW predict'!C759, "C", "F", "LW","F", "RW", "F", "D", "D", "G", "G", "other")</f>
        <v>D</v>
      </c>
      <c r="E760" s="32">
        <f t="shared" si="22"/>
        <v>159</v>
      </c>
      <c r="F760" s="35">
        <f>E760/assumptions!$B$2</f>
        <v>1.9390243902439024</v>
      </c>
      <c r="G760" s="36">
        <f t="shared" si="23"/>
        <v>860</v>
      </c>
      <c r="H760" s="18">
        <f>IF(NOT(D760="G"),'RW predict'!E759,0)</f>
        <v>0</v>
      </c>
      <c r="I760" s="18">
        <f>'RW predict'!Q759</f>
        <v>19</v>
      </c>
      <c r="J760" s="18">
        <f>'RW predict'!F759</f>
        <v>4</v>
      </c>
      <c r="K760" s="18"/>
      <c r="L760" s="18"/>
      <c r="M760" s="18">
        <f>'RW predict'!P759</f>
        <v>31</v>
      </c>
      <c r="N760" s="18"/>
      <c r="O760" s="18">
        <f>'RW predict'!H759</f>
        <v>-7</v>
      </c>
      <c r="P760" s="18">
        <f>'RW predict'!I759</f>
        <v>4</v>
      </c>
      <c r="Q760" s="18">
        <f>'RW predict'!L759</f>
        <v>0</v>
      </c>
      <c r="R760" s="18">
        <f>'RW predict'!N759</f>
        <v>0</v>
      </c>
      <c r="S760" s="76">
        <f>'RW predict'!O759</f>
        <v>0</v>
      </c>
      <c r="T760" s="76">
        <f>'RW predict'!K759</f>
        <v>0</v>
      </c>
      <c r="U760" s="22">
        <f>'RW predict'!J759</f>
        <v>24</v>
      </c>
      <c r="V760" s="32">
        <f>IF(D760="G",'RW predict'!E759,0)</f>
        <v>0</v>
      </c>
      <c r="W760" s="18">
        <f>'RW predict'!R759</f>
        <v>0</v>
      </c>
      <c r="X760" s="18">
        <f>'RW predict'!T759</f>
        <v>0</v>
      </c>
      <c r="Y760" s="18">
        <f>'RW predict'!Y759</f>
        <v>0</v>
      </c>
      <c r="Z760" s="18">
        <f>'RW predict'!U759</f>
        <v>0</v>
      </c>
      <c r="AA760" s="18">
        <f>'RW predict'!W759</f>
        <v>0</v>
      </c>
    </row>
    <row r="761" spans="1:27" x14ac:dyDescent="0.3">
      <c r="A761" s="18">
        <v>758</v>
      </c>
      <c r="B761" s="18" t="str">
        <f>'RW predict'!A760</f>
        <v>Ross Johnston</v>
      </c>
      <c r="C761" s="18" t="str">
        <f>'RW predict'!B760</f>
        <v>NYI</v>
      </c>
      <c r="D761" s="22" t="str" cm="1">
        <f t="array" ref="D761">_xlfn.SWITCH('RW predict'!C760, "C", "F", "LW","F", "RW", "F", "D", "D", "G", "G", "other")</f>
        <v>F</v>
      </c>
      <c r="E761" s="32">
        <f t="shared" si="22"/>
        <v>299</v>
      </c>
      <c r="F761" s="35">
        <f>E761/assumptions!$B$2</f>
        <v>3.6463414634146343</v>
      </c>
      <c r="G761" s="36">
        <f t="shared" si="23"/>
        <v>772</v>
      </c>
      <c r="H761" s="18">
        <f>IF(NOT(D761="G"),'RW predict'!E760,0)</f>
        <v>0</v>
      </c>
      <c r="I761" s="18">
        <f>'RW predict'!Q760</f>
        <v>12</v>
      </c>
      <c r="J761" s="18">
        <f>'RW predict'!F760</f>
        <v>4</v>
      </c>
      <c r="K761" s="18"/>
      <c r="L761" s="18"/>
      <c r="M761" s="18">
        <f>'RW predict'!P760</f>
        <v>71</v>
      </c>
      <c r="N761" s="18"/>
      <c r="O761" s="18">
        <f>'RW predict'!H760</f>
        <v>-4</v>
      </c>
      <c r="P761" s="18">
        <f>'RW predict'!I760</f>
        <v>40</v>
      </c>
      <c r="Q761" s="18">
        <f>'RW predict'!L760</f>
        <v>0</v>
      </c>
      <c r="R761" s="18">
        <f>'RW predict'!N760</f>
        <v>0</v>
      </c>
      <c r="S761" s="76">
        <f>'RW predict'!O760</f>
        <v>0</v>
      </c>
      <c r="T761" s="76">
        <f>'RW predict'!K760</f>
        <v>0</v>
      </c>
      <c r="U761" s="22">
        <f>'RW predict'!J760</f>
        <v>12</v>
      </c>
      <c r="V761" s="32">
        <f>IF(D761="G",'RW predict'!E760,0)</f>
        <v>0</v>
      </c>
      <c r="W761" s="18">
        <f>'RW predict'!R760</f>
        <v>0</v>
      </c>
      <c r="X761" s="18">
        <f>'RW predict'!T760</f>
        <v>0</v>
      </c>
      <c r="Y761" s="18">
        <f>'RW predict'!Y760</f>
        <v>0</v>
      </c>
      <c r="Z761" s="18">
        <f>'RW predict'!U760</f>
        <v>0</v>
      </c>
      <c r="AA761" s="18">
        <f>'RW predict'!W760</f>
        <v>0</v>
      </c>
    </row>
    <row r="762" spans="1:27" x14ac:dyDescent="0.3">
      <c r="A762" s="18">
        <v>759</v>
      </c>
      <c r="B762" s="18" t="str">
        <f>'RW predict'!A761</f>
        <v>Kurtis MacDermid</v>
      </c>
      <c r="C762" s="18" t="str">
        <f>'RW predict'!B761</f>
        <v>COL</v>
      </c>
      <c r="D762" s="22" t="str" cm="1">
        <f t="array" ref="D762">_xlfn.SWITCH('RW predict'!C761, "C", "F", "LW","F", "RW", "F", "D", "D", "G", "G", "other")</f>
        <v>D</v>
      </c>
      <c r="E762" s="32">
        <f t="shared" si="22"/>
        <v>362</v>
      </c>
      <c r="F762" s="35">
        <f>E762/assumptions!$B$2</f>
        <v>4.4146341463414638</v>
      </c>
      <c r="G762" s="36">
        <f t="shared" si="23"/>
        <v>738</v>
      </c>
      <c r="H762" s="18">
        <f>IF(NOT(D762="G"),'RW predict'!E761,0)</f>
        <v>1</v>
      </c>
      <c r="I762" s="18">
        <f>'RW predict'!Q761</f>
        <v>17</v>
      </c>
      <c r="J762" s="18">
        <f>'RW predict'!F761</f>
        <v>3</v>
      </c>
      <c r="K762" s="18"/>
      <c r="L762" s="18"/>
      <c r="M762" s="18">
        <f>'RW predict'!P761</f>
        <v>56</v>
      </c>
      <c r="N762" s="18"/>
      <c r="O762" s="18">
        <f>'RW predict'!H761</f>
        <v>-2</v>
      </c>
      <c r="P762" s="18">
        <f>'RW predict'!I761</f>
        <v>48</v>
      </c>
      <c r="Q762" s="18">
        <f>'RW predict'!L761</f>
        <v>0</v>
      </c>
      <c r="R762" s="18">
        <f>'RW predict'!N761</f>
        <v>0</v>
      </c>
      <c r="S762" s="76">
        <f>'RW predict'!O761</f>
        <v>0</v>
      </c>
      <c r="T762" s="76">
        <f>'RW predict'!K761</f>
        <v>0</v>
      </c>
      <c r="U762" s="22">
        <f>'RW predict'!J761</f>
        <v>24</v>
      </c>
      <c r="V762" s="32">
        <f>IF(D762="G",'RW predict'!E761,0)</f>
        <v>0</v>
      </c>
      <c r="W762" s="18">
        <f>'RW predict'!R761</f>
        <v>0</v>
      </c>
      <c r="X762" s="18">
        <f>'RW predict'!T761</f>
        <v>0</v>
      </c>
      <c r="Y762" s="18">
        <f>'RW predict'!Y761</f>
        <v>0</v>
      </c>
      <c r="Z762" s="18">
        <f>'RW predict'!U761</f>
        <v>0</v>
      </c>
      <c r="AA762" s="18">
        <f>'RW predict'!W761</f>
        <v>0</v>
      </c>
    </row>
    <row r="763" spans="1:27" x14ac:dyDescent="0.3">
      <c r="A763" s="18">
        <v>760</v>
      </c>
      <c r="B763" s="18" t="str">
        <f>'RW predict'!A762</f>
        <v>Jake Walman</v>
      </c>
      <c r="C763" s="18" t="str">
        <f>'RW predict'!B762</f>
        <v>DET</v>
      </c>
      <c r="D763" s="22" t="str" cm="1">
        <f t="array" ref="D763">_xlfn.SWITCH('RW predict'!C762, "C", "F", "LW","F", "RW", "F", "D", "D", "G", "G", "other")</f>
        <v>D</v>
      </c>
      <c r="E763" s="32">
        <f t="shared" si="22"/>
        <v>242</v>
      </c>
      <c r="F763" s="35">
        <f>E763/assumptions!$B$2</f>
        <v>2.9512195121951219</v>
      </c>
      <c r="G763" s="36">
        <f t="shared" si="23"/>
        <v>800</v>
      </c>
      <c r="H763" s="18">
        <f>IF(NOT(D763="G"),'RW predict'!E762,0)</f>
        <v>1</v>
      </c>
      <c r="I763" s="18">
        <f>'RW predict'!Q762</f>
        <v>25</v>
      </c>
      <c r="J763" s="18">
        <f>'RW predict'!F762</f>
        <v>3</v>
      </c>
      <c r="K763" s="18"/>
      <c r="L763" s="18"/>
      <c r="M763" s="18">
        <f>'RW predict'!P762</f>
        <v>21</v>
      </c>
      <c r="N763" s="18"/>
      <c r="O763" s="18">
        <f>'RW predict'!H762</f>
        <v>-2</v>
      </c>
      <c r="P763" s="18">
        <f>'RW predict'!I762</f>
        <v>5</v>
      </c>
      <c r="Q763" s="18">
        <f>'RW predict'!L762</f>
        <v>0</v>
      </c>
      <c r="R763" s="18">
        <f>'RW predict'!N762</f>
        <v>0</v>
      </c>
      <c r="S763" s="76">
        <f>'RW predict'!O762</f>
        <v>0</v>
      </c>
      <c r="T763" s="76">
        <f>'RW predict'!K762</f>
        <v>0</v>
      </c>
      <c r="U763" s="22">
        <f>'RW predict'!J762</f>
        <v>38</v>
      </c>
      <c r="V763" s="32">
        <f>IF(D763="G",'RW predict'!E762,0)</f>
        <v>0</v>
      </c>
      <c r="W763" s="18">
        <f>'RW predict'!R762</f>
        <v>0</v>
      </c>
      <c r="X763" s="18">
        <f>'RW predict'!T762</f>
        <v>0</v>
      </c>
      <c r="Y763" s="18">
        <f>'RW predict'!Y762</f>
        <v>0</v>
      </c>
      <c r="Z763" s="18">
        <f>'RW predict'!U762</f>
        <v>0</v>
      </c>
      <c r="AA763" s="18">
        <f>'RW predict'!W762</f>
        <v>0</v>
      </c>
    </row>
    <row r="764" spans="1:27" x14ac:dyDescent="0.3">
      <c r="A764" s="18">
        <v>761</v>
      </c>
      <c r="B764" s="18" t="str">
        <f>'RW predict'!A763</f>
        <v>Brendan Perlini</v>
      </c>
      <c r="C764" s="18" t="str">
        <f>'RW predict'!B763</f>
        <v>FA</v>
      </c>
      <c r="D764" s="22" t="str" cm="1">
        <f t="array" ref="D764">_xlfn.SWITCH('RW predict'!C763, "C", "F", "LW","F", "RW", "F", "D", "D", "G", "G", "other")</f>
        <v>F</v>
      </c>
      <c r="E764" s="32">
        <f t="shared" si="22"/>
        <v>163</v>
      </c>
      <c r="F764" s="35">
        <f>E764/assumptions!$B$2</f>
        <v>1.9878048780487805</v>
      </c>
      <c r="G764" s="36">
        <f t="shared" si="23"/>
        <v>854</v>
      </c>
      <c r="H764" s="18">
        <f>IF(NOT(D764="G"),'RW predict'!E763,0)</f>
        <v>3</v>
      </c>
      <c r="I764" s="18">
        <f>'RW predict'!Q763</f>
        <v>5</v>
      </c>
      <c r="J764" s="18">
        <f>'RW predict'!F763</f>
        <v>1</v>
      </c>
      <c r="K764" s="18"/>
      <c r="L764" s="18"/>
      <c r="M764" s="18">
        <f>'RW predict'!P763</f>
        <v>28</v>
      </c>
      <c r="N764" s="18"/>
      <c r="O764" s="18">
        <f>'RW predict'!H763</f>
        <v>-5</v>
      </c>
      <c r="P764" s="18">
        <f>'RW predict'!I763</f>
        <v>7</v>
      </c>
      <c r="Q764" s="18">
        <f>'RW predict'!L763</f>
        <v>0</v>
      </c>
      <c r="R764" s="18">
        <f>'RW predict'!N763</f>
        <v>0</v>
      </c>
      <c r="S764" s="76">
        <f>'RW predict'!O763</f>
        <v>0</v>
      </c>
      <c r="T764" s="76">
        <f>'RW predict'!K763</f>
        <v>0</v>
      </c>
      <c r="U764" s="22">
        <f>'RW predict'!J763</f>
        <v>27</v>
      </c>
      <c r="V764" s="32">
        <f>IF(D764="G",'RW predict'!E763,0)</f>
        <v>0</v>
      </c>
      <c r="W764" s="18">
        <f>'RW predict'!R763</f>
        <v>0</v>
      </c>
      <c r="X764" s="18">
        <f>'RW predict'!T763</f>
        <v>0</v>
      </c>
      <c r="Y764" s="18">
        <f>'RW predict'!Y763</f>
        <v>0</v>
      </c>
      <c r="Z764" s="18">
        <f>'RW predict'!U763</f>
        <v>0</v>
      </c>
      <c r="AA764" s="18">
        <f>'RW predict'!W763</f>
        <v>0</v>
      </c>
    </row>
    <row r="765" spans="1:27" x14ac:dyDescent="0.3">
      <c r="A765" s="18">
        <v>762</v>
      </c>
      <c r="B765" s="18" t="str">
        <f>'RW predict'!A764</f>
        <v>Nicholas Merkley</v>
      </c>
      <c r="C765" s="18" t="str">
        <f>'RW predict'!B764</f>
        <v>NYR</v>
      </c>
      <c r="D765" s="22" t="str" cm="1">
        <f t="array" ref="D765">_xlfn.SWITCH('RW predict'!C764, "C", "F", "LW","F", "RW", "F", "D", "D", "G", "G", "other")</f>
        <v>F</v>
      </c>
      <c r="E765" s="32">
        <f t="shared" si="22"/>
        <v>116</v>
      </c>
      <c r="F765" s="35">
        <f>E765/assumptions!$B$2</f>
        <v>1.4146341463414633</v>
      </c>
      <c r="G765" s="36">
        <f t="shared" si="23"/>
        <v>888</v>
      </c>
      <c r="H765" s="18">
        <f>IF(NOT(D765="G"),'RW predict'!E764,0)</f>
        <v>1</v>
      </c>
      <c r="I765" s="18">
        <f>'RW predict'!Q764</f>
        <v>3</v>
      </c>
      <c r="J765" s="18">
        <f>'RW predict'!F764</f>
        <v>3</v>
      </c>
      <c r="K765" s="18"/>
      <c r="L765" s="18"/>
      <c r="M765" s="18">
        <f>'RW predict'!P764</f>
        <v>14</v>
      </c>
      <c r="N765" s="18"/>
      <c r="O765" s="18">
        <f>'RW predict'!H764</f>
        <v>-4</v>
      </c>
      <c r="P765" s="18">
        <f>'RW predict'!I764</f>
        <v>2</v>
      </c>
      <c r="Q765" s="18">
        <f>'RW predict'!L764</f>
        <v>0</v>
      </c>
      <c r="R765" s="18">
        <f>'RW predict'!N764</f>
        <v>0</v>
      </c>
      <c r="S765" s="76">
        <f>'RW predict'!O764</f>
        <v>0</v>
      </c>
      <c r="T765" s="76">
        <f>'RW predict'!K764</f>
        <v>0</v>
      </c>
      <c r="U765" s="22">
        <f>'RW predict'!J764</f>
        <v>15</v>
      </c>
      <c r="V765" s="32">
        <f>IF(D765="G",'RW predict'!E764,0)</f>
        <v>0</v>
      </c>
      <c r="W765" s="18">
        <f>'RW predict'!R764</f>
        <v>0</v>
      </c>
      <c r="X765" s="18">
        <f>'RW predict'!T764</f>
        <v>0</v>
      </c>
      <c r="Y765" s="18">
        <f>'RW predict'!Y764</f>
        <v>0</v>
      </c>
      <c r="Z765" s="18">
        <f>'RW predict'!U764</f>
        <v>0</v>
      </c>
      <c r="AA765" s="18">
        <f>'RW predict'!W764</f>
        <v>0</v>
      </c>
    </row>
    <row r="766" spans="1:27" x14ac:dyDescent="0.3">
      <c r="A766" s="18">
        <v>763</v>
      </c>
      <c r="B766" s="18" t="str">
        <f>'RW predict'!A765</f>
        <v>Gabriel Carlsson</v>
      </c>
      <c r="C766" s="18" t="str">
        <f>'RW predict'!B765</f>
        <v>WAS</v>
      </c>
      <c r="D766" s="22" t="str" cm="1">
        <f t="array" ref="D766">_xlfn.SWITCH('RW predict'!C765, "C", "F", "LW","F", "RW", "F", "D", "D", "G", "G", "other")</f>
        <v>D</v>
      </c>
      <c r="E766" s="32">
        <f t="shared" si="22"/>
        <v>176</v>
      </c>
      <c r="F766" s="35">
        <f>E766/assumptions!$B$2</f>
        <v>2.1463414634146343</v>
      </c>
      <c r="G766" s="36">
        <f t="shared" si="23"/>
        <v>844</v>
      </c>
      <c r="H766" s="18">
        <f>IF(NOT(D766="G"),'RW predict'!E765,0)</f>
        <v>1</v>
      </c>
      <c r="I766" s="18">
        <f>'RW predict'!Q765</f>
        <v>11</v>
      </c>
      <c r="J766" s="18">
        <f>'RW predict'!F765</f>
        <v>3</v>
      </c>
      <c r="K766" s="18"/>
      <c r="L766" s="18"/>
      <c r="M766" s="18">
        <f>'RW predict'!P765</f>
        <v>9</v>
      </c>
      <c r="N766" s="18"/>
      <c r="O766" s="18">
        <f>'RW predict'!H765</f>
        <v>2</v>
      </c>
      <c r="P766" s="18">
        <f>'RW predict'!I765</f>
        <v>3</v>
      </c>
      <c r="Q766" s="18">
        <f>'RW predict'!L765</f>
        <v>0</v>
      </c>
      <c r="R766" s="18">
        <f>'RW predict'!N765</f>
        <v>0</v>
      </c>
      <c r="S766" s="76">
        <f>'RW predict'!O765</f>
        <v>0</v>
      </c>
      <c r="T766" s="76">
        <f>'RW predict'!K765</f>
        <v>0</v>
      </c>
      <c r="U766" s="22">
        <f>'RW predict'!J765</f>
        <v>8</v>
      </c>
      <c r="V766" s="32">
        <f>IF(D766="G",'RW predict'!E765,0)</f>
        <v>0</v>
      </c>
      <c r="W766" s="18">
        <f>'RW predict'!R765</f>
        <v>0</v>
      </c>
      <c r="X766" s="18">
        <f>'RW predict'!T765</f>
        <v>0</v>
      </c>
      <c r="Y766" s="18">
        <f>'RW predict'!Y765</f>
        <v>0</v>
      </c>
      <c r="Z766" s="18">
        <f>'RW predict'!U765</f>
        <v>0</v>
      </c>
      <c r="AA766" s="18">
        <f>'RW predict'!W765</f>
        <v>0</v>
      </c>
    </row>
    <row r="767" spans="1:27" x14ac:dyDescent="0.3">
      <c r="A767" s="18">
        <v>764</v>
      </c>
      <c r="B767" s="18" t="str">
        <f>'RW predict'!A766</f>
        <v>Jakub Zboril</v>
      </c>
      <c r="C767" s="18" t="str">
        <f>'RW predict'!B766</f>
        <v>BOS</v>
      </c>
      <c r="D767" s="22" t="str" cm="1">
        <f t="array" ref="D767">_xlfn.SWITCH('RW predict'!C766, "C", "F", "LW","F", "RW", "F", "D", "D", "G", "G", "other")</f>
        <v>D</v>
      </c>
      <c r="E767" s="32">
        <f t="shared" si="22"/>
        <v>226</v>
      </c>
      <c r="F767" s="35">
        <f>E767/assumptions!$B$2</f>
        <v>2.7560975609756095</v>
      </c>
      <c r="G767" s="36">
        <f t="shared" si="23"/>
        <v>810</v>
      </c>
      <c r="H767" s="18">
        <f>IF(NOT(D767="G"),'RW predict'!E766,0)</f>
        <v>0</v>
      </c>
      <c r="I767" s="18">
        <f>'RW predict'!Q766</f>
        <v>15</v>
      </c>
      <c r="J767" s="18">
        <f>'RW predict'!F766</f>
        <v>4</v>
      </c>
      <c r="K767" s="18"/>
      <c r="L767" s="18"/>
      <c r="M767" s="18">
        <f>'RW predict'!P766</f>
        <v>32</v>
      </c>
      <c r="N767" s="18"/>
      <c r="O767" s="18">
        <f>'RW predict'!H766</f>
        <v>1</v>
      </c>
      <c r="P767" s="18">
        <f>'RW predict'!I766</f>
        <v>6</v>
      </c>
      <c r="Q767" s="18">
        <f>'RW predict'!L766</f>
        <v>0</v>
      </c>
      <c r="R767" s="18">
        <f>'RW predict'!N766</f>
        <v>0</v>
      </c>
      <c r="S767" s="76">
        <f>'RW predict'!O766</f>
        <v>0</v>
      </c>
      <c r="T767" s="76">
        <f>'RW predict'!K766</f>
        <v>0</v>
      </c>
      <c r="U767" s="22">
        <f>'RW predict'!J766</f>
        <v>18</v>
      </c>
      <c r="V767" s="32">
        <f>IF(D767="G",'RW predict'!E766,0)</f>
        <v>0</v>
      </c>
      <c r="W767" s="18">
        <f>'RW predict'!R766</f>
        <v>0</v>
      </c>
      <c r="X767" s="18">
        <f>'RW predict'!T766</f>
        <v>0</v>
      </c>
      <c r="Y767" s="18">
        <f>'RW predict'!Y766</f>
        <v>0</v>
      </c>
      <c r="Z767" s="18">
        <f>'RW predict'!U766</f>
        <v>0</v>
      </c>
      <c r="AA767" s="18">
        <f>'RW predict'!W766</f>
        <v>0</v>
      </c>
    </row>
    <row r="768" spans="1:27" x14ac:dyDescent="0.3">
      <c r="A768" s="18">
        <v>765</v>
      </c>
      <c r="B768" s="18" t="str">
        <f>'RW predict'!A767</f>
        <v>Madison Bowey</v>
      </c>
      <c r="C768" s="18" t="str">
        <f>'RW predict'!B767</f>
        <v>MON</v>
      </c>
      <c r="D768" s="22" t="str" cm="1">
        <f t="array" ref="D768">_xlfn.SWITCH('RW predict'!C767, "C", "F", "LW","F", "RW", "F", "D", "D", "G", "G", "other")</f>
        <v>D</v>
      </c>
      <c r="E768" s="32">
        <f t="shared" si="22"/>
        <v>154</v>
      </c>
      <c r="F768" s="35">
        <f>E768/assumptions!$B$2</f>
        <v>1.8780487804878048</v>
      </c>
      <c r="G768" s="36">
        <f t="shared" si="23"/>
        <v>863</v>
      </c>
      <c r="H768" s="18">
        <f>IF(NOT(D768="G"),'RW predict'!E767,0)</f>
        <v>0</v>
      </c>
      <c r="I768" s="18">
        <f>'RW predict'!Q767</f>
        <v>28</v>
      </c>
      <c r="J768" s="18">
        <f>'RW predict'!F767</f>
        <v>4</v>
      </c>
      <c r="K768" s="18"/>
      <c r="L768" s="18"/>
      <c r="M768" s="18">
        <f>'RW predict'!P767</f>
        <v>32</v>
      </c>
      <c r="N768" s="18"/>
      <c r="O768" s="18">
        <f>'RW predict'!H767</f>
        <v>-13</v>
      </c>
      <c r="P768" s="18">
        <f>'RW predict'!I767</f>
        <v>14</v>
      </c>
      <c r="Q768" s="18">
        <f>'RW predict'!L767</f>
        <v>0</v>
      </c>
      <c r="R768" s="18">
        <f>'RW predict'!N767</f>
        <v>0</v>
      </c>
      <c r="S768" s="76">
        <f>'RW predict'!O767</f>
        <v>0</v>
      </c>
      <c r="T768" s="76">
        <f>'RW predict'!K767</f>
        <v>0</v>
      </c>
      <c r="U768" s="22">
        <f>'RW predict'!J767</f>
        <v>27</v>
      </c>
      <c r="V768" s="32">
        <f>IF(D768="G",'RW predict'!E767,0)</f>
        <v>0</v>
      </c>
      <c r="W768" s="18">
        <f>'RW predict'!R767</f>
        <v>0</v>
      </c>
      <c r="X768" s="18">
        <f>'RW predict'!T767</f>
        <v>0</v>
      </c>
      <c r="Y768" s="18">
        <f>'RW predict'!Y767</f>
        <v>0</v>
      </c>
      <c r="Z768" s="18">
        <f>'RW predict'!U767</f>
        <v>0</v>
      </c>
      <c r="AA768" s="18">
        <f>'RW predict'!W767</f>
        <v>0</v>
      </c>
    </row>
    <row r="769" spans="1:27" x14ac:dyDescent="0.3">
      <c r="A769" s="18">
        <v>766</v>
      </c>
      <c r="B769" s="18" t="str">
        <f>'RW predict'!A768</f>
        <v>Scott Sabourin</v>
      </c>
      <c r="C769" s="18" t="str">
        <f>'RW predict'!B768</f>
        <v>OTT</v>
      </c>
      <c r="D769" s="22" t="str" cm="1">
        <f t="array" ref="D769">_xlfn.SWITCH('RW predict'!C768, "C", "F", "LW","F", "RW", "F", "D", "D", "G", "G", "other")</f>
        <v>F</v>
      </c>
      <c r="E769" s="32">
        <f t="shared" si="22"/>
        <v>220</v>
      </c>
      <c r="F769" s="35">
        <f>E769/assumptions!$B$2</f>
        <v>2.6829268292682928</v>
      </c>
      <c r="G769" s="36">
        <f t="shared" si="23"/>
        <v>815</v>
      </c>
      <c r="H769" s="18">
        <f>IF(NOT(D769="G"),'RW predict'!E768,0)</f>
        <v>0</v>
      </c>
      <c r="I769" s="18">
        <f>'RW predict'!Q768</f>
        <v>10</v>
      </c>
      <c r="J769" s="18">
        <f>'RW predict'!F768</f>
        <v>4</v>
      </c>
      <c r="K769" s="18"/>
      <c r="L769" s="18"/>
      <c r="M769" s="18">
        <f>'RW predict'!P768</f>
        <v>53</v>
      </c>
      <c r="N769" s="18"/>
      <c r="O769" s="18">
        <f>'RW predict'!H768</f>
        <v>-8</v>
      </c>
      <c r="P769" s="18">
        <f>'RW predict'!I768</f>
        <v>31</v>
      </c>
      <c r="Q769" s="18">
        <f>'RW predict'!L768</f>
        <v>0</v>
      </c>
      <c r="R769" s="18">
        <f>'RW predict'!N768</f>
        <v>0</v>
      </c>
      <c r="S769" s="76">
        <f>'RW predict'!O768</f>
        <v>0</v>
      </c>
      <c r="T769" s="76">
        <f>'RW predict'!K768</f>
        <v>0</v>
      </c>
      <c r="U769" s="22">
        <f>'RW predict'!J768</f>
        <v>17</v>
      </c>
      <c r="V769" s="32">
        <f>IF(D769="G",'RW predict'!E768,0)</f>
        <v>0</v>
      </c>
      <c r="W769" s="18">
        <f>'RW predict'!R768</f>
        <v>0</v>
      </c>
      <c r="X769" s="18">
        <f>'RW predict'!T768</f>
        <v>0</v>
      </c>
      <c r="Y769" s="18">
        <f>'RW predict'!Y768</f>
        <v>0</v>
      </c>
      <c r="Z769" s="18">
        <f>'RW predict'!U768</f>
        <v>0</v>
      </c>
      <c r="AA769" s="18">
        <f>'RW predict'!W768</f>
        <v>0</v>
      </c>
    </row>
    <row r="770" spans="1:27" x14ac:dyDescent="0.3">
      <c r="A770" s="18">
        <v>767</v>
      </c>
      <c r="B770" s="18" t="str">
        <f>'RW predict'!A769</f>
        <v>Slater Koekkoek</v>
      </c>
      <c r="C770" s="18" t="str">
        <f>'RW predict'!B769</f>
        <v>EDM</v>
      </c>
      <c r="D770" s="22" t="str" cm="1">
        <f t="array" ref="D770">_xlfn.SWITCH('RW predict'!C769, "C", "F", "LW","F", "RW", "F", "D", "D", "G", "G", "other")</f>
        <v>D</v>
      </c>
      <c r="E770" s="32">
        <f t="shared" si="22"/>
        <v>338</v>
      </c>
      <c r="F770" s="35">
        <f>E770/assumptions!$B$2</f>
        <v>4.1219512195121952</v>
      </c>
      <c r="G770" s="36">
        <f t="shared" si="23"/>
        <v>755</v>
      </c>
      <c r="H770" s="18">
        <f>IF(NOT(D770="G"),'RW predict'!E769,0)</f>
        <v>0</v>
      </c>
      <c r="I770" s="18">
        <f>'RW predict'!Q769</f>
        <v>26</v>
      </c>
      <c r="J770" s="18">
        <f>'RW predict'!F769</f>
        <v>4</v>
      </c>
      <c r="K770" s="18"/>
      <c r="L770" s="18"/>
      <c r="M770" s="18">
        <f>'RW predict'!P769</f>
        <v>24</v>
      </c>
      <c r="N770" s="18"/>
      <c r="O770" s="18">
        <f>'RW predict'!H769</f>
        <v>2</v>
      </c>
      <c r="P770" s="18">
        <f>'RW predict'!I769</f>
        <v>26</v>
      </c>
      <c r="Q770" s="18">
        <f>'RW predict'!L769</f>
        <v>0</v>
      </c>
      <c r="R770" s="18">
        <f>'RW predict'!N769</f>
        <v>0</v>
      </c>
      <c r="S770" s="76">
        <f>'RW predict'!O769</f>
        <v>0</v>
      </c>
      <c r="T770" s="76">
        <f>'RW predict'!K769</f>
        <v>0</v>
      </c>
      <c r="U770" s="22">
        <f>'RW predict'!J769</f>
        <v>32</v>
      </c>
      <c r="V770" s="32">
        <f>IF(D770="G",'RW predict'!E769,0)</f>
        <v>0</v>
      </c>
      <c r="W770" s="18">
        <f>'RW predict'!R769</f>
        <v>0</v>
      </c>
      <c r="X770" s="18">
        <f>'RW predict'!T769</f>
        <v>0</v>
      </c>
      <c r="Y770" s="18">
        <f>'RW predict'!Y769</f>
        <v>0</v>
      </c>
      <c r="Z770" s="18">
        <f>'RW predict'!U769</f>
        <v>0</v>
      </c>
      <c r="AA770" s="18">
        <f>'RW predict'!W769</f>
        <v>0</v>
      </c>
    </row>
    <row r="771" spans="1:27" x14ac:dyDescent="0.3">
      <c r="A771" s="18">
        <v>768</v>
      </c>
      <c r="B771" s="18" t="str">
        <f>'RW predict'!A770</f>
        <v>Mark Jankowski</v>
      </c>
      <c r="C771" s="18" t="str">
        <f>'RW predict'!B770</f>
        <v>NSH</v>
      </c>
      <c r="D771" s="22" t="str" cm="1">
        <f t="array" ref="D771">_xlfn.SWITCH('RW predict'!C770, "C", "F", "LW","F", "RW", "F", "D", "D", "G", "G", "other")</f>
        <v>F</v>
      </c>
      <c r="E771" s="32">
        <f t="shared" si="22"/>
        <v>168</v>
      </c>
      <c r="F771" s="35">
        <f>E771/assumptions!$B$2</f>
        <v>2.0487804878048781</v>
      </c>
      <c r="G771" s="36">
        <f t="shared" si="23"/>
        <v>850</v>
      </c>
      <c r="H771" s="18">
        <f>IF(NOT(D771="G"),'RW predict'!E770,0)</f>
        <v>2</v>
      </c>
      <c r="I771" s="18">
        <f>'RW predict'!Q770</f>
        <v>7</v>
      </c>
      <c r="J771" s="18">
        <f>'RW predict'!F770</f>
        <v>2</v>
      </c>
      <c r="K771" s="18"/>
      <c r="L771" s="18"/>
      <c r="M771" s="18">
        <f>'RW predict'!P770</f>
        <v>6</v>
      </c>
      <c r="N771" s="18"/>
      <c r="O771" s="18">
        <f>'RW predict'!H770</f>
        <v>1</v>
      </c>
      <c r="P771" s="18">
        <f>'RW predict'!I770</f>
        <v>4</v>
      </c>
      <c r="Q771" s="18">
        <f>'RW predict'!L770</f>
        <v>0</v>
      </c>
      <c r="R771" s="18">
        <f>'RW predict'!N770</f>
        <v>0</v>
      </c>
      <c r="S771" s="76">
        <f>'RW predict'!O770</f>
        <v>0</v>
      </c>
      <c r="T771" s="76">
        <f>'RW predict'!K770</f>
        <v>0</v>
      </c>
      <c r="U771" s="22">
        <f>'RW predict'!J770</f>
        <v>13</v>
      </c>
      <c r="V771" s="32">
        <f>IF(D771="G",'RW predict'!E770,0)</f>
        <v>0</v>
      </c>
      <c r="W771" s="18">
        <f>'RW predict'!R770</f>
        <v>0</v>
      </c>
      <c r="X771" s="18">
        <f>'RW predict'!T770</f>
        <v>0</v>
      </c>
      <c r="Y771" s="18">
        <f>'RW predict'!Y770</f>
        <v>0</v>
      </c>
      <c r="Z771" s="18">
        <f>'RW predict'!U770</f>
        <v>0</v>
      </c>
      <c r="AA771" s="18">
        <f>'RW predict'!W770</f>
        <v>0</v>
      </c>
    </row>
    <row r="772" spans="1:27" x14ac:dyDescent="0.3">
      <c r="A772" s="18">
        <v>769</v>
      </c>
      <c r="B772" s="18" t="str">
        <f>'RW predict'!A771</f>
        <v>Nathan Beaulieu</v>
      </c>
      <c r="C772" s="18" t="str">
        <f>'RW predict'!B771</f>
        <v>ANH</v>
      </c>
      <c r="D772" s="22" t="str" cm="1">
        <f t="array" ref="D772">_xlfn.SWITCH('RW predict'!C771, "C", "F", "LW","F", "RW", "F", "D", "D", "G", "G", "other")</f>
        <v>D</v>
      </c>
      <c r="E772" s="32">
        <f t="shared" si="22"/>
        <v>282</v>
      </c>
      <c r="F772" s="35">
        <f>E772/assumptions!$B$2</f>
        <v>3.4390243902439024</v>
      </c>
      <c r="G772" s="36">
        <f t="shared" si="23"/>
        <v>779</v>
      </c>
      <c r="H772" s="18">
        <f>IF(NOT(D772="G"),'RW predict'!E771,0)</f>
        <v>0</v>
      </c>
      <c r="I772" s="18">
        <f>'RW predict'!Q771</f>
        <v>25</v>
      </c>
      <c r="J772" s="18">
        <f>'RW predict'!F771</f>
        <v>4</v>
      </c>
      <c r="K772" s="18"/>
      <c r="L772" s="18"/>
      <c r="M772" s="18">
        <f>'RW predict'!P771</f>
        <v>28</v>
      </c>
      <c r="N772" s="18"/>
      <c r="O772" s="18">
        <f>'RW predict'!H771</f>
        <v>-4</v>
      </c>
      <c r="P772" s="18">
        <f>'RW predict'!I771</f>
        <v>26</v>
      </c>
      <c r="Q772" s="18">
        <f>'RW predict'!L771</f>
        <v>0</v>
      </c>
      <c r="R772" s="18">
        <f>'RW predict'!N771</f>
        <v>0</v>
      </c>
      <c r="S772" s="76">
        <f>'RW predict'!O771</f>
        <v>1</v>
      </c>
      <c r="T772" s="76">
        <f>'RW predict'!K771</f>
        <v>0</v>
      </c>
      <c r="U772" s="22">
        <f>'RW predict'!J771</f>
        <v>28</v>
      </c>
      <c r="V772" s="32">
        <f>IF(D772="G",'RW predict'!E771,0)</f>
        <v>0</v>
      </c>
      <c r="W772" s="18">
        <f>'RW predict'!R771</f>
        <v>0</v>
      </c>
      <c r="X772" s="18">
        <f>'RW predict'!T771</f>
        <v>0</v>
      </c>
      <c r="Y772" s="18">
        <f>'RW predict'!Y771</f>
        <v>0</v>
      </c>
      <c r="Z772" s="18">
        <f>'RW predict'!U771</f>
        <v>0</v>
      </c>
      <c r="AA772" s="18">
        <f>'RW predict'!W771</f>
        <v>0</v>
      </c>
    </row>
    <row r="773" spans="1:27" x14ac:dyDescent="0.3">
      <c r="A773" s="18">
        <v>770</v>
      </c>
      <c r="B773" s="18" t="str">
        <f>'RW predict'!A772</f>
        <v>Robert Bortuzzo</v>
      </c>
      <c r="C773" s="18" t="str">
        <f>'RW predict'!B772</f>
        <v>STL</v>
      </c>
      <c r="D773" s="22" t="str" cm="1">
        <f t="array" ref="D773">_xlfn.SWITCH('RW predict'!C772, "C", "F", "LW","F", "RW", "F", "D", "D", "G", "G", "other")</f>
        <v>D</v>
      </c>
      <c r="E773" s="32">
        <f t="shared" ref="E773:E836" si="24">H773*$H$3+I773*I$3+K773*K$3+L773*L$3+M773*M$3+N773*N$3+V773*V$3+J773*J$3+O773*$O$3+P773*$P$3+Q773*$Q$3+R773*$R$3+S773*$S$3+T773*$T$3+U773*$U$3+W773*$W$3+X773*$X$3+Y773*$Y$3+Z773*$Z$3+AA773*$AA$3</f>
        <v>489</v>
      </c>
      <c r="F773" s="35">
        <f>E773/assumptions!$B$2</f>
        <v>5.9634146341463419</v>
      </c>
      <c r="G773" s="36">
        <f t="shared" ref="G773:G836" si="25">RANK(E773,$E$4:$E$1100)</f>
        <v>688</v>
      </c>
      <c r="H773" s="18">
        <f>IF(NOT(D773="G"),'RW predict'!E772,0)</f>
        <v>0</v>
      </c>
      <c r="I773" s="18">
        <f>'RW predict'!Q772</f>
        <v>70</v>
      </c>
      <c r="J773" s="18">
        <f>'RW predict'!F772</f>
        <v>4</v>
      </c>
      <c r="K773" s="18"/>
      <c r="L773" s="18"/>
      <c r="M773" s="18">
        <f>'RW predict'!P772</f>
        <v>97</v>
      </c>
      <c r="N773" s="18"/>
      <c r="O773" s="18">
        <f>'RW predict'!H772</f>
        <v>-2</v>
      </c>
      <c r="P773" s="18">
        <f>'RW predict'!I772</f>
        <v>34</v>
      </c>
      <c r="Q773" s="18">
        <f>'RW predict'!L772</f>
        <v>0</v>
      </c>
      <c r="R773" s="18">
        <f>'RW predict'!N772</f>
        <v>0</v>
      </c>
      <c r="S773" s="76">
        <f>'RW predict'!O772</f>
        <v>0</v>
      </c>
      <c r="T773" s="76">
        <f>'RW predict'!K772</f>
        <v>0</v>
      </c>
      <c r="U773" s="22">
        <f>'RW predict'!J772</f>
        <v>35</v>
      </c>
      <c r="V773" s="32">
        <f>IF(D773="G",'RW predict'!E772,0)</f>
        <v>0</v>
      </c>
      <c r="W773" s="18">
        <f>'RW predict'!R772</f>
        <v>0</v>
      </c>
      <c r="X773" s="18">
        <f>'RW predict'!T772</f>
        <v>0</v>
      </c>
      <c r="Y773" s="18">
        <f>'RW predict'!Y772</f>
        <v>0</v>
      </c>
      <c r="Z773" s="18">
        <f>'RW predict'!U772</f>
        <v>0</v>
      </c>
      <c r="AA773" s="18">
        <f>'RW predict'!W772</f>
        <v>0</v>
      </c>
    </row>
    <row r="774" spans="1:27" x14ac:dyDescent="0.3">
      <c r="A774" s="18">
        <v>771</v>
      </c>
      <c r="B774" s="18" t="str">
        <f>'RW predict'!A773</f>
        <v>Jay Beagle</v>
      </c>
      <c r="C774" s="18" t="str">
        <f>'RW predict'!B773</f>
        <v>FA</v>
      </c>
      <c r="D774" s="22" t="str" cm="1">
        <f t="array" ref="D774">_xlfn.SWITCH('RW predict'!C773, "C", "F", "LW","F", "RW", "F", "D", "D", "G", "G", "other")</f>
        <v>F</v>
      </c>
      <c r="E774" s="32">
        <f t="shared" si="24"/>
        <v>162</v>
      </c>
      <c r="F774" s="35">
        <f>E774/assumptions!$B$2</f>
        <v>1.975609756097561</v>
      </c>
      <c r="G774" s="36">
        <f t="shared" si="25"/>
        <v>855</v>
      </c>
      <c r="H774" s="18">
        <f>IF(NOT(D774="G"),'RW predict'!E773,0)</f>
        <v>1</v>
      </c>
      <c r="I774" s="18">
        <f>'RW predict'!Q773</f>
        <v>18</v>
      </c>
      <c r="J774" s="18">
        <f>'RW predict'!F773</f>
        <v>3</v>
      </c>
      <c r="K774" s="18"/>
      <c r="L774" s="18"/>
      <c r="M774" s="18">
        <f>'RW predict'!P773</f>
        <v>52</v>
      </c>
      <c r="N774" s="18"/>
      <c r="O774" s="18">
        <f>'RW predict'!H773</f>
        <v>-16</v>
      </c>
      <c r="P774" s="18">
        <f>'RW predict'!I773</f>
        <v>26</v>
      </c>
      <c r="Q774" s="18">
        <f>'RW predict'!L773</f>
        <v>0</v>
      </c>
      <c r="R774" s="18">
        <f>'RW predict'!N773</f>
        <v>0</v>
      </c>
      <c r="S774" s="76">
        <f>'RW predict'!O773</f>
        <v>0</v>
      </c>
      <c r="T774" s="76">
        <f>'RW predict'!K773</f>
        <v>0</v>
      </c>
      <c r="U774" s="22">
        <f>'RW predict'!J773</f>
        <v>28</v>
      </c>
      <c r="V774" s="32">
        <f>IF(D774="G",'RW predict'!E773,0)</f>
        <v>0</v>
      </c>
      <c r="W774" s="18">
        <f>'RW predict'!R773</f>
        <v>0</v>
      </c>
      <c r="X774" s="18">
        <f>'RW predict'!T773</f>
        <v>0</v>
      </c>
      <c r="Y774" s="18">
        <f>'RW predict'!Y773</f>
        <v>0</v>
      </c>
      <c r="Z774" s="18">
        <f>'RW predict'!U773</f>
        <v>0</v>
      </c>
      <c r="AA774" s="18">
        <f>'RW predict'!W773</f>
        <v>0</v>
      </c>
    </row>
    <row r="775" spans="1:27" x14ac:dyDescent="0.3">
      <c r="A775" s="18">
        <v>772</v>
      </c>
      <c r="B775" s="18" t="str">
        <f>'RW predict'!A774</f>
        <v>Greg Pateryn</v>
      </c>
      <c r="C775" s="18" t="str">
        <f>'RW predict'!B774</f>
        <v>FA</v>
      </c>
      <c r="D775" s="22" t="str" cm="1">
        <f t="array" ref="D775">_xlfn.SWITCH('RW predict'!C774, "C", "F", "LW","F", "RW", "F", "D", "D", "G", "G", "other")</f>
        <v>D</v>
      </c>
      <c r="E775" s="32">
        <f t="shared" si="24"/>
        <v>184</v>
      </c>
      <c r="F775" s="35">
        <f>E775/assumptions!$B$2</f>
        <v>2.2439024390243905</v>
      </c>
      <c r="G775" s="36">
        <f t="shared" si="25"/>
        <v>838</v>
      </c>
      <c r="H775" s="18">
        <f>IF(NOT(D775="G"),'RW predict'!E774,0)</f>
        <v>1</v>
      </c>
      <c r="I775" s="18">
        <f>'RW predict'!Q774</f>
        <v>12</v>
      </c>
      <c r="J775" s="18">
        <f>'RW predict'!F774</f>
        <v>2</v>
      </c>
      <c r="K775" s="18"/>
      <c r="L775" s="18"/>
      <c r="M775" s="18">
        <f>'RW predict'!P774</f>
        <v>21</v>
      </c>
      <c r="N775" s="18"/>
      <c r="O775" s="18">
        <f>'RW predict'!H774</f>
        <v>0</v>
      </c>
      <c r="P775" s="18">
        <f>'RW predict'!I774</f>
        <v>10</v>
      </c>
      <c r="Q775" s="18">
        <f>'RW predict'!L774</f>
        <v>0</v>
      </c>
      <c r="R775" s="18">
        <f>'RW predict'!N774</f>
        <v>0</v>
      </c>
      <c r="S775" s="76">
        <f>'RW predict'!O774</f>
        <v>0</v>
      </c>
      <c r="T775" s="76">
        <f>'RW predict'!K774</f>
        <v>0</v>
      </c>
      <c r="U775" s="22">
        <f>'RW predict'!J774</f>
        <v>17</v>
      </c>
      <c r="V775" s="32">
        <f>IF(D775="G",'RW predict'!E774,0)</f>
        <v>0</v>
      </c>
      <c r="W775" s="18">
        <f>'RW predict'!R774</f>
        <v>0</v>
      </c>
      <c r="X775" s="18">
        <f>'RW predict'!T774</f>
        <v>0</v>
      </c>
      <c r="Y775" s="18">
        <f>'RW predict'!Y774</f>
        <v>0</v>
      </c>
      <c r="Z775" s="18">
        <f>'RW predict'!U774</f>
        <v>0</v>
      </c>
      <c r="AA775" s="18">
        <f>'RW predict'!W774</f>
        <v>0</v>
      </c>
    </row>
    <row r="776" spans="1:27" x14ac:dyDescent="0.3">
      <c r="A776" s="18">
        <v>773</v>
      </c>
      <c r="B776" s="18" t="str">
        <f>'RW predict'!A775</f>
        <v>Nicklas Backstrom</v>
      </c>
      <c r="C776" s="18" t="str">
        <f>'RW predict'!B775</f>
        <v>WAS</v>
      </c>
      <c r="D776" s="22" t="str" cm="1">
        <f t="array" ref="D776">_xlfn.SWITCH('RW predict'!C775, "C", "F", "LW","F", "RW", "F", "D", "D", "G", "G", "other")</f>
        <v>F</v>
      </c>
      <c r="E776" s="32">
        <f t="shared" si="24"/>
        <v>99</v>
      </c>
      <c r="F776" s="35">
        <f>E776/assumptions!$B$2</f>
        <v>1.2073170731707317</v>
      </c>
      <c r="G776" s="36">
        <f t="shared" si="25"/>
        <v>913</v>
      </c>
      <c r="H776" s="18">
        <f>IF(NOT(D776="G"),'RW predict'!E775,0)</f>
        <v>1</v>
      </c>
      <c r="I776" s="18">
        <f>'RW predict'!Q775</f>
        <v>2</v>
      </c>
      <c r="J776" s="18">
        <f>'RW predict'!F775</f>
        <v>2</v>
      </c>
      <c r="K776" s="18"/>
      <c r="L776" s="18"/>
      <c r="M776" s="18">
        <f>'RW predict'!P775</f>
        <v>2</v>
      </c>
      <c r="N776" s="18"/>
      <c r="O776" s="18">
        <f>'RW predict'!H775</f>
        <v>0</v>
      </c>
      <c r="P776" s="18">
        <f>'RW predict'!I775</f>
        <v>2</v>
      </c>
      <c r="Q776" s="18">
        <f>'RW predict'!L775</f>
        <v>0</v>
      </c>
      <c r="R776" s="18">
        <f>'RW predict'!N775</f>
        <v>0</v>
      </c>
      <c r="S776" s="76">
        <f>'RW predict'!O775</f>
        <v>0</v>
      </c>
      <c r="T776" s="76">
        <f>'RW predict'!K775</f>
        <v>0</v>
      </c>
      <c r="U776" s="22">
        <f>'RW predict'!J775</f>
        <v>6</v>
      </c>
      <c r="V776" s="32">
        <f>IF(D776="G",'RW predict'!E775,0)</f>
        <v>0</v>
      </c>
      <c r="W776" s="18">
        <f>'RW predict'!R775</f>
        <v>0</v>
      </c>
      <c r="X776" s="18">
        <f>'RW predict'!T775</f>
        <v>0</v>
      </c>
      <c r="Y776" s="18">
        <f>'RW predict'!Y775</f>
        <v>0</v>
      </c>
      <c r="Z776" s="18">
        <f>'RW predict'!U775</f>
        <v>0</v>
      </c>
      <c r="AA776" s="18">
        <f>'RW predict'!W775</f>
        <v>0</v>
      </c>
    </row>
    <row r="777" spans="1:27" x14ac:dyDescent="0.3">
      <c r="A777" s="18">
        <v>774</v>
      </c>
      <c r="B777" s="18" t="str">
        <f>'RW predict'!A776</f>
        <v>Leo Komarov</v>
      </c>
      <c r="C777" s="18" t="str">
        <f>'RW predict'!B776</f>
        <v>FA</v>
      </c>
      <c r="D777" s="22" t="str" cm="1">
        <f t="array" ref="D777">_xlfn.SWITCH('RW predict'!C776, "C", "F", "LW","F", "RW", "F", "D", "D", "G", "G", "other")</f>
        <v>F</v>
      </c>
      <c r="E777" s="32">
        <f t="shared" si="24"/>
        <v>177</v>
      </c>
      <c r="F777" s="35">
        <f>E777/assumptions!$B$2</f>
        <v>2.1585365853658538</v>
      </c>
      <c r="G777" s="36">
        <f t="shared" si="25"/>
        <v>843</v>
      </c>
      <c r="H777" s="18">
        <f>IF(NOT(D777="G"),'RW predict'!E776,0)</f>
        <v>0</v>
      </c>
      <c r="I777" s="18">
        <f>'RW predict'!Q776</f>
        <v>5</v>
      </c>
      <c r="J777" s="18">
        <f>'RW predict'!F776</f>
        <v>3</v>
      </c>
      <c r="K777" s="18"/>
      <c r="L777" s="18"/>
      <c r="M777" s="18">
        <f>'RW predict'!P776</f>
        <v>32</v>
      </c>
      <c r="N777" s="18"/>
      <c r="O777" s="18">
        <f>'RW predict'!H776</f>
        <v>2</v>
      </c>
      <c r="P777" s="18">
        <f>'RW predict'!I776</f>
        <v>6</v>
      </c>
      <c r="Q777" s="18">
        <f>'RW predict'!L776</f>
        <v>0</v>
      </c>
      <c r="R777" s="18">
        <f>'RW predict'!N776</f>
        <v>0</v>
      </c>
      <c r="S777" s="76">
        <f>'RW predict'!O776</f>
        <v>0</v>
      </c>
      <c r="T777" s="76">
        <f>'RW predict'!K776</f>
        <v>0</v>
      </c>
      <c r="U777" s="22">
        <f>'RW predict'!J776</f>
        <v>11</v>
      </c>
      <c r="V777" s="32">
        <f>IF(D777="G",'RW predict'!E776,0)</f>
        <v>0</v>
      </c>
      <c r="W777" s="18">
        <f>'RW predict'!R776</f>
        <v>0</v>
      </c>
      <c r="X777" s="18">
        <f>'RW predict'!T776</f>
        <v>0</v>
      </c>
      <c r="Y777" s="18">
        <f>'RW predict'!Y776</f>
        <v>0</v>
      </c>
      <c r="Z777" s="18">
        <f>'RW predict'!U776</f>
        <v>0</v>
      </c>
      <c r="AA777" s="18">
        <f>'RW predict'!W776</f>
        <v>0</v>
      </c>
    </row>
    <row r="778" spans="1:27" x14ac:dyDescent="0.3">
      <c r="A778" s="18">
        <v>775</v>
      </c>
      <c r="B778" s="18" t="str">
        <f>'RW predict'!A777</f>
        <v>Logan Shaw</v>
      </c>
      <c r="C778" s="18" t="str">
        <f>'RW predict'!B777</f>
        <v>FA</v>
      </c>
      <c r="D778" s="22" t="str" cm="1">
        <f t="array" ref="D778">_xlfn.SWITCH('RW predict'!C777, "C", "F", "LW","F", "RW", "F", "D", "D", "G", "G", "other")</f>
        <v>F</v>
      </c>
      <c r="E778" s="32">
        <f t="shared" si="24"/>
        <v>110</v>
      </c>
      <c r="F778" s="35">
        <f>E778/assumptions!$B$2</f>
        <v>1.3414634146341464</v>
      </c>
      <c r="G778" s="36">
        <f t="shared" si="25"/>
        <v>895</v>
      </c>
      <c r="H778" s="18">
        <f>IF(NOT(D778="G"),'RW predict'!E777,0)</f>
        <v>1</v>
      </c>
      <c r="I778" s="18">
        <f>'RW predict'!Q777</f>
        <v>6</v>
      </c>
      <c r="J778" s="18">
        <f>'RW predict'!F777</f>
        <v>2</v>
      </c>
      <c r="K778" s="18"/>
      <c r="L778" s="18"/>
      <c r="M778" s="18">
        <f>'RW predict'!P777</f>
        <v>13</v>
      </c>
      <c r="N778" s="18"/>
      <c r="O778" s="18">
        <f>'RW predict'!H777</f>
        <v>-3</v>
      </c>
      <c r="P778" s="18">
        <f>'RW predict'!I777</f>
        <v>2</v>
      </c>
      <c r="Q778" s="18">
        <f>'RW predict'!L777</f>
        <v>0</v>
      </c>
      <c r="R778" s="18">
        <f>'RW predict'!N777</f>
        <v>0</v>
      </c>
      <c r="S778" s="76">
        <f>'RW predict'!O777</f>
        <v>0</v>
      </c>
      <c r="T778" s="76">
        <f>'RW predict'!K777</f>
        <v>0</v>
      </c>
      <c r="U778" s="22">
        <f>'RW predict'!J777</f>
        <v>17</v>
      </c>
      <c r="V778" s="32">
        <f>IF(D778="G",'RW predict'!E777,0)</f>
        <v>0</v>
      </c>
      <c r="W778" s="18">
        <f>'RW predict'!R777</f>
        <v>0</v>
      </c>
      <c r="X778" s="18">
        <f>'RW predict'!T777</f>
        <v>0</v>
      </c>
      <c r="Y778" s="18">
        <f>'RW predict'!Y777</f>
        <v>0</v>
      </c>
      <c r="Z778" s="18">
        <f>'RW predict'!U777</f>
        <v>0</v>
      </c>
      <c r="AA778" s="18">
        <f>'RW predict'!W777</f>
        <v>0</v>
      </c>
    </row>
    <row r="779" spans="1:27" x14ac:dyDescent="0.3">
      <c r="A779" s="18">
        <v>776</v>
      </c>
      <c r="B779" s="18" t="str">
        <f>'RW predict'!A778</f>
        <v>Derrick Pouliot</v>
      </c>
      <c r="C779" s="18" t="str">
        <f>'RW predict'!B778</f>
        <v>FA</v>
      </c>
      <c r="D779" s="22" t="str" cm="1">
        <f t="array" ref="D779">_xlfn.SWITCH('RW predict'!C778, "C", "F", "LW","F", "RW", "F", "D", "D", "G", "G", "other")</f>
        <v>D</v>
      </c>
      <c r="E779" s="32">
        <f t="shared" si="24"/>
        <v>181</v>
      </c>
      <c r="F779" s="35">
        <f>E779/assumptions!$B$2</f>
        <v>2.2073170731707319</v>
      </c>
      <c r="G779" s="36">
        <f t="shared" si="25"/>
        <v>841</v>
      </c>
      <c r="H779" s="18">
        <f>IF(NOT(D779="G"),'RW predict'!E778,0)</f>
        <v>0</v>
      </c>
      <c r="I779" s="18">
        <f>'RW predict'!Q778</f>
        <v>12</v>
      </c>
      <c r="J779" s="18">
        <f>'RW predict'!F778</f>
        <v>3</v>
      </c>
      <c r="K779" s="18"/>
      <c r="L779" s="18"/>
      <c r="M779" s="18">
        <f>'RW predict'!P778</f>
        <v>9</v>
      </c>
      <c r="N779" s="18"/>
      <c r="O779" s="18">
        <f>'RW predict'!H778</f>
        <v>5</v>
      </c>
      <c r="P779" s="18">
        <f>'RW predict'!I778</f>
        <v>3</v>
      </c>
      <c r="Q779" s="18">
        <f>'RW predict'!L778</f>
        <v>0</v>
      </c>
      <c r="R779" s="18">
        <f>'RW predict'!N778</f>
        <v>0</v>
      </c>
      <c r="S779" s="76">
        <f>'RW predict'!O778</f>
        <v>0</v>
      </c>
      <c r="T779" s="76">
        <f>'RW predict'!K778</f>
        <v>0</v>
      </c>
      <c r="U779" s="22">
        <f>'RW predict'!J778</f>
        <v>7</v>
      </c>
      <c r="V779" s="32">
        <f>IF(D779="G",'RW predict'!E778,0)</f>
        <v>0</v>
      </c>
      <c r="W779" s="18">
        <f>'RW predict'!R778</f>
        <v>0</v>
      </c>
      <c r="X779" s="18">
        <f>'RW predict'!T778</f>
        <v>0</v>
      </c>
      <c r="Y779" s="18">
        <f>'RW predict'!Y778</f>
        <v>0</v>
      </c>
      <c r="Z779" s="18">
        <f>'RW predict'!U778</f>
        <v>0</v>
      </c>
      <c r="AA779" s="18">
        <f>'RW predict'!W778</f>
        <v>0</v>
      </c>
    </row>
    <row r="780" spans="1:27" x14ac:dyDescent="0.3">
      <c r="A780" s="18">
        <v>777</v>
      </c>
      <c r="B780" s="18" t="str">
        <f>'RW predict'!A779</f>
        <v>Frederik Andersen</v>
      </c>
      <c r="C780" s="18" t="str">
        <f>'RW predict'!B779</f>
        <v>CAR</v>
      </c>
      <c r="D780" s="22" t="str" cm="1">
        <f t="array" ref="D780">_xlfn.SWITCH('RW predict'!C779, "C", "F", "LW","F", "RW", "F", "D", "D", "G", "G", "other")</f>
        <v>G</v>
      </c>
      <c r="E780" s="32">
        <f t="shared" si="24"/>
        <v>2384</v>
      </c>
      <c r="F780" s="35">
        <f>E780/assumptions!$B$2</f>
        <v>29.073170731707318</v>
      </c>
      <c r="G780" s="36">
        <f t="shared" si="25"/>
        <v>98</v>
      </c>
      <c r="H780" s="18">
        <f>IF(NOT(D780="G"),'RW predict'!E779,0)</f>
        <v>0</v>
      </c>
      <c r="I780" s="18">
        <f>'RW predict'!Q779</f>
        <v>0</v>
      </c>
      <c r="J780" s="18">
        <f>'RW predict'!F779</f>
        <v>3</v>
      </c>
      <c r="K780" s="18"/>
      <c r="L780" s="18"/>
      <c r="M780" s="18">
        <f>'RW predict'!P779</f>
        <v>0</v>
      </c>
      <c r="N780" s="18"/>
      <c r="O780" s="18">
        <f>'RW predict'!H779</f>
        <v>0</v>
      </c>
      <c r="P780" s="18">
        <f>'RW predict'!I779</f>
        <v>0</v>
      </c>
      <c r="Q780" s="18">
        <f>'RW predict'!L779</f>
        <v>0</v>
      </c>
      <c r="R780" s="18">
        <f>'RW predict'!N779</f>
        <v>0</v>
      </c>
      <c r="S780" s="76">
        <f>'RW predict'!O779</f>
        <v>0</v>
      </c>
      <c r="T780" s="76">
        <f>'RW predict'!K779</f>
        <v>0</v>
      </c>
      <c r="U780" s="22">
        <f>'RW predict'!J779</f>
        <v>0</v>
      </c>
      <c r="V780" s="32">
        <f>IF(D780="G",'RW predict'!E779,0)</f>
        <v>0</v>
      </c>
      <c r="W780" s="18">
        <f>'RW predict'!R779</f>
        <v>32</v>
      </c>
      <c r="X780" s="18">
        <f>'RW predict'!T779</f>
        <v>3</v>
      </c>
      <c r="Y780" s="18">
        <f>'RW predict'!Y779</f>
        <v>3</v>
      </c>
      <c r="Z780" s="18">
        <f>'RW predict'!U779</f>
        <v>119</v>
      </c>
      <c r="AA780" s="18">
        <f>'RW predict'!W779</f>
        <v>1302</v>
      </c>
    </row>
    <row r="781" spans="1:27" x14ac:dyDescent="0.3">
      <c r="A781" s="18">
        <v>778</v>
      </c>
      <c r="B781" s="18" t="str">
        <f>'RW predict'!A780</f>
        <v>Jayson Megna</v>
      </c>
      <c r="C781" s="18" t="str">
        <f>'RW predict'!B780</f>
        <v>COL</v>
      </c>
      <c r="D781" s="22" t="str" cm="1">
        <f t="array" ref="D781">_xlfn.SWITCH('RW predict'!C780, "C", "F", "LW","F", "RW", "F", "D", "D", "G", "G", "other")</f>
        <v>F</v>
      </c>
      <c r="E781" s="32">
        <f t="shared" si="24"/>
        <v>171</v>
      </c>
      <c r="F781" s="35">
        <f>E781/assumptions!$B$2</f>
        <v>2.0853658536585367</v>
      </c>
      <c r="G781" s="36">
        <f t="shared" si="25"/>
        <v>847</v>
      </c>
      <c r="H781" s="18">
        <f>IF(NOT(D781="G"),'RW predict'!E780,0)</f>
        <v>0</v>
      </c>
      <c r="I781" s="18">
        <f>'RW predict'!Q780</f>
        <v>12</v>
      </c>
      <c r="J781" s="18">
        <f>'RW predict'!F780</f>
        <v>3</v>
      </c>
      <c r="K781" s="18"/>
      <c r="L781" s="18"/>
      <c r="M781" s="18">
        <f>'RW predict'!P780</f>
        <v>31</v>
      </c>
      <c r="N781" s="18"/>
      <c r="O781" s="18">
        <f>'RW predict'!H780</f>
        <v>-4</v>
      </c>
      <c r="P781" s="18">
        <f>'RW predict'!I780</f>
        <v>7</v>
      </c>
      <c r="Q781" s="18">
        <f>'RW predict'!L780</f>
        <v>0</v>
      </c>
      <c r="R781" s="18">
        <f>'RW predict'!N780</f>
        <v>0</v>
      </c>
      <c r="S781" s="76">
        <f>'RW predict'!O780</f>
        <v>0</v>
      </c>
      <c r="T781" s="76">
        <f>'RW predict'!K780</f>
        <v>0</v>
      </c>
      <c r="U781" s="22">
        <f>'RW predict'!J780</f>
        <v>30</v>
      </c>
      <c r="V781" s="32">
        <f>IF(D781="G",'RW predict'!E780,0)</f>
        <v>0</v>
      </c>
      <c r="W781" s="18">
        <f>'RW predict'!R780</f>
        <v>0</v>
      </c>
      <c r="X781" s="18">
        <f>'RW predict'!T780</f>
        <v>0</v>
      </c>
      <c r="Y781" s="18">
        <f>'RW predict'!Y780</f>
        <v>0</v>
      </c>
      <c r="Z781" s="18">
        <f>'RW predict'!U780</f>
        <v>0</v>
      </c>
      <c r="AA781" s="18">
        <f>'RW predict'!W780</f>
        <v>0</v>
      </c>
    </row>
    <row r="782" spans="1:27" x14ac:dyDescent="0.3">
      <c r="A782" s="18">
        <v>779</v>
      </c>
      <c r="B782" s="18" t="str">
        <f>'RW predict'!A781</f>
        <v>Patrick Brown</v>
      </c>
      <c r="C782" s="18" t="str">
        <f>'RW predict'!B781</f>
        <v>PHI</v>
      </c>
      <c r="D782" s="22" t="str" cm="1">
        <f t="array" ref="D782">_xlfn.SWITCH('RW predict'!C781, "C", "F", "LW","F", "RW", "F", "D", "D", "G", "G", "other")</f>
        <v>F</v>
      </c>
      <c r="E782" s="32">
        <f t="shared" si="24"/>
        <v>109</v>
      </c>
      <c r="F782" s="35">
        <f>E782/assumptions!$B$2</f>
        <v>1.3292682926829269</v>
      </c>
      <c r="G782" s="36">
        <f t="shared" si="25"/>
        <v>896</v>
      </c>
      <c r="H782" s="18">
        <f>IF(NOT(D782="G"),'RW predict'!E781,0)</f>
        <v>1</v>
      </c>
      <c r="I782" s="18">
        <f>'RW predict'!Q781</f>
        <v>12</v>
      </c>
      <c r="J782" s="18">
        <f>'RW predict'!F781</f>
        <v>2</v>
      </c>
      <c r="K782" s="18"/>
      <c r="L782" s="18"/>
      <c r="M782" s="18">
        <f>'RW predict'!P781</f>
        <v>34</v>
      </c>
      <c r="N782" s="18"/>
      <c r="O782" s="18">
        <f>'RW predict'!H781</f>
        <v>-7</v>
      </c>
      <c r="P782" s="18">
        <f>'RW predict'!I781</f>
        <v>4</v>
      </c>
      <c r="Q782" s="18">
        <f>'RW predict'!L781</f>
        <v>0</v>
      </c>
      <c r="R782" s="18">
        <f>'RW predict'!N781</f>
        <v>0</v>
      </c>
      <c r="S782" s="76">
        <f>'RW predict'!O781</f>
        <v>0</v>
      </c>
      <c r="T782" s="76">
        <f>'RW predict'!K781</f>
        <v>0</v>
      </c>
      <c r="U782" s="22">
        <f>'RW predict'!J781</f>
        <v>17</v>
      </c>
      <c r="V782" s="32">
        <f>IF(D782="G",'RW predict'!E781,0)</f>
        <v>0</v>
      </c>
      <c r="W782" s="18">
        <f>'RW predict'!R781</f>
        <v>0</v>
      </c>
      <c r="X782" s="18">
        <f>'RW predict'!T781</f>
        <v>0</v>
      </c>
      <c r="Y782" s="18">
        <f>'RW predict'!Y781</f>
        <v>0</v>
      </c>
      <c r="Z782" s="18">
        <f>'RW predict'!U781</f>
        <v>0</v>
      </c>
      <c r="AA782" s="18">
        <f>'RW predict'!W781</f>
        <v>0</v>
      </c>
    </row>
    <row r="783" spans="1:27" x14ac:dyDescent="0.3">
      <c r="A783" s="18">
        <v>780</v>
      </c>
      <c r="B783" s="18" t="str">
        <f>'RW predict'!A782</f>
        <v>Justin Dowling</v>
      </c>
      <c r="C783" s="18" t="str">
        <f>'RW predict'!B782</f>
        <v>VAN</v>
      </c>
      <c r="D783" s="22" t="str" cm="1">
        <f t="array" ref="D783">_xlfn.SWITCH('RW predict'!C782, "C", "F", "LW","F", "RW", "F", "D", "D", "G", "G", "other")</f>
        <v>F</v>
      </c>
      <c r="E783" s="32">
        <f t="shared" si="24"/>
        <v>129</v>
      </c>
      <c r="F783" s="35">
        <f>E783/assumptions!$B$2</f>
        <v>1.5731707317073171</v>
      </c>
      <c r="G783" s="36">
        <f t="shared" si="25"/>
        <v>878</v>
      </c>
      <c r="H783" s="18">
        <f>IF(NOT(D783="G"),'RW predict'!E782,0)</f>
        <v>1</v>
      </c>
      <c r="I783" s="18">
        <f>'RW predict'!Q782</f>
        <v>7</v>
      </c>
      <c r="J783" s="18">
        <f>'RW predict'!F782</f>
        <v>2</v>
      </c>
      <c r="K783" s="18"/>
      <c r="L783" s="18"/>
      <c r="M783" s="18">
        <f>'RW predict'!P782</f>
        <v>12</v>
      </c>
      <c r="N783" s="18"/>
      <c r="O783" s="18">
        <f>'RW predict'!H782</f>
        <v>-2</v>
      </c>
      <c r="P783" s="18">
        <f>'RW predict'!I782</f>
        <v>4</v>
      </c>
      <c r="Q783" s="18">
        <f>'RW predict'!L782</f>
        <v>0</v>
      </c>
      <c r="R783" s="18">
        <f>'RW predict'!N782</f>
        <v>0</v>
      </c>
      <c r="S783" s="76">
        <f>'RW predict'!O782</f>
        <v>0</v>
      </c>
      <c r="T783" s="76">
        <f>'RW predict'!K782</f>
        <v>0</v>
      </c>
      <c r="U783" s="22">
        <f>'RW predict'!J782</f>
        <v>18</v>
      </c>
      <c r="V783" s="32">
        <f>IF(D783="G",'RW predict'!E782,0)</f>
        <v>0</v>
      </c>
      <c r="W783" s="18">
        <f>'RW predict'!R782</f>
        <v>0</v>
      </c>
      <c r="X783" s="18">
        <f>'RW predict'!T782</f>
        <v>0</v>
      </c>
      <c r="Y783" s="18">
        <f>'RW predict'!Y782</f>
        <v>0</v>
      </c>
      <c r="Z783" s="18">
        <f>'RW predict'!U782</f>
        <v>0</v>
      </c>
      <c r="AA783" s="18">
        <f>'RW predict'!W782</f>
        <v>0</v>
      </c>
    </row>
    <row r="784" spans="1:27" x14ac:dyDescent="0.3">
      <c r="A784" s="18">
        <v>781</v>
      </c>
      <c r="B784" s="18" t="str">
        <f>'RW predict'!A783</f>
        <v>Tristan Jarry</v>
      </c>
      <c r="C784" s="18" t="str">
        <f>'RW predict'!B783</f>
        <v>PIT</v>
      </c>
      <c r="D784" s="22" t="str" cm="1">
        <f t="array" ref="D784">_xlfn.SWITCH('RW predict'!C783, "C", "F", "LW","F", "RW", "F", "D", "D", "G", "G", "other")</f>
        <v>G</v>
      </c>
      <c r="E784" s="32">
        <f t="shared" si="24"/>
        <v>2494</v>
      </c>
      <c r="F784" s="35">
        <f>E784/assumptions!$B$2</f>
        <v>30.414634146341463</v>
      </c>
      <c r="G784" s="36">
        <f t="shared" si="25"/>
        <v>84</v>
      </c>
      <c r="H784" s="18">
        <f>IF(NOT(D784="G"),'RW predict'!E783,0)</f>
        <v>0</v>
      </c>
      <c r="I784" s="18">
        <f>'RW predict'!Q783</f>
        <v>0</v>
      </c>
      <c r="J784" s="18">
        <f>'RW predict'!F783</f>
        <v>3</v>
      </c>
      <c r="K784" s="18"/>
      <c r="L784" s="18"/>
      <c r="M784" s="18">
        <f>'RW predict'!P783</f>
        <v>0</v>
      </c>
      <c r="N784" s="18"/>
      <c r="O784" s="18">
        <f>'RW predict'!H783</f>
        <v>0</v>
      </c>
      <c r="P784" s="18">
        <f>'RW predict'!I783</f>
        <v>7</v>
      </c>
      <c r="Q784" s="18">
        <f>'RW predict'!L783</f>
        <v>0</v>
      </c>
      <c r="R784" s="18">
        <f>'RW predict'!N783</f>
        <v>0</v>
      </c>
      <c r="S784" s="76">
        <f>'RW predict'!O783</f>
        <v>0</v>
      </c>
      <c r="T784" s="76">
        <f>'RW predict'!K783</f>
        <v>0</v>
      </c>
      <c r="U784" s="22">
        <f>'RW predict'!J783</f>
        <v>0</v>
      </c>
      <c r="V784" s="32">
        <f>IF(D784="G",'RW predict'!E783,0)</f>
        <v>0</v>
      </c>
      <c r="W784" s="18">
        <f>'RW predict'!R783</f>
        <v>33</v>
      </c>
      <c r="X784" s="18">
        <f>'RW predict'!T783</f>
        <v>7</v>
      </c>
      <c r="Y784" s="18">
        <f>'RW predict'!Y783</f>
        <v>3</v>
      </c>
      <c r="Z784" s="18">
        <f>'RW predict'!U783</f>
        <v>146</v>
      </c>
      <c r="AA784" s="18">
        <f>'RW predict'!W783</f>
        <v>1489</v>
      </c>
    </row>
    <row r="785" spans="1:27" x14ac:dyDescent="0.3">
      <c r="A785" s="18">
        <v>782</v>
      </c>
      <c r="B785" s="18" t="str">
        <f>'RW predict'!A784</f>
        <v>Nicolas Petan</v>
      </c>
      <c r="C785" s="18" t="str">
        <f>'RW predict'!B784</f>
        <v>MIN</v>
      </c>
      <c r="D785" s="22" t="str" cm="1">
        <f t="array" ref="D785">_xlfn.SWITCH('RW predict'!C784, "C", "F", "LW","F", "RW", "F", "D", "D", "G", "G", "other")</f>
        <v>F</v>
      </c>
      <c r="E785" s="32">
        <f t="shared" si="24"/>
        <v>160</v>
      </c>
      <c r="F785" s="35">
        <f>E785/assumptions!$B$2</f>
        <v>1.9512195121951219</v>
      </c>
      <c r="G785" s="36">
        <f t="shared" si="25"/>
        <v>858</v>
      </c>
      <c r="H785" s="18">
        <f>IF(NOT(D785="G"),'RW predict'!E784,0)</f>
        <v>1</v>
      </c>
      <c r="I785" s="18">
        <f>'RW predict'!Q784</f>
        <v>3</v>
      </c>
      <c r="J785" s="18">
        <f>'RW predict'!F784</f>
        <v>2</v>
      </c>
      <c r="K785" s="18"/>
      <c r="L785" s="18"/>
      <c r="M785" s="18">
        <f>'RW predict'!P784</f>
        <v>13</v>
      </c>
      <c r="N785" s="18"/>
      <c r="O785" s="18">
        <f>'RW predict'!H784</f>
        <v>-3</v>
      </c>
      <c r="P785" s="18">
        <f>'RW predict'!I784</f>
        <v>8</v>
      </c>
      <c r="Q785" s="18">
        <f>'RW predict'!L784</f>
        <v>0</v>
      </c>
      <c r="R785" s="18">
        <f>'RW predict'!N784</f>
        <v>0</v>
      </c>
      <c r="S785" s="76">
        <f>'RW predict'!O784</f>
        <v>0</v>
      </c>
      <c r="T785" s="76">
        <f>'RW predict'!K784</f>
        <v>0</v>
      </c>
      <c r="U785" s="22">
        <f>'RW predict'!J784</f>
        <v>36</v>
      </c>
      <c r="V785" s="32">
        <f>IF(D785="G",'RW predict'!E784,0)</f>
        <v>0</v>
      </c>
      <c r="W785" s="18">
        <f>'RW predict'!R784</f>
        <v>0</v>
      </c>
      <c r="X785" s="18">
        <f>'RW predict'!T784</f>
        <v>0</v>
      </c>
      <c r="Y785" s="18">
        <f>'RW predict'!Y784</f>
        <v>0</v>
      </c>
      <c r="Z785" s="18">
        <f>'RW predict'!U784</f>
        <v>0</v>
      </c>
      <c r="AA785" s="18">
        <f>'RW predict'!W784</f>
        <v>0</v>
      </c>
    </row>
    <row r="786" spans="1:27" x14ac:dyDescent="0.3">
      <c r="A786" s="18">
        <v>783</v>
      </c>
      <c r="B786" s="18" t="str">
        <f>'RW predict'!A785</f>
        <v>Liam O'Brien</v>
      </c>
      <c r="C786" s="18" t="str">
        <f>'RW predict'!B785</f>
        <v>ARI</v>
      </c>
      <c r="D786" s="22" t="str" cm="1">
        <f t="array" ref="D786">_xlfn.SWITCH('RW predict'!C785, "C", "F", "LW","F", "RW", "F", "D", "D", "G", "G", "other")</f>
        <v>F</v>
      </c>
      <c r="E786" s="32">
        <f t="shared" si="24"/>
        <v>566</v>
      </c>
      <c r="F786" s="35">
        <f>E786/assumptions!$B$2</f>
        <v>6.9024390243902438</v>
      </c>
      <c r="G786" s="36">
        <f t="shared" si="25"/>
        <v>648</v>
      </c>
      <c r="H786" s="18">
        <f>IF(NOT(D786="G"),'RW predict'!E785,0)</f>
        <v>1</v>
      </c>
      <c r="I786" s="18">
        <f>'RW predict'!Q785</f>
        <v>9</v>
      </c>
      <c r="J786" s="18">
        <f>'RW predict'!F785</f>
        <v>2</v>
      </c>
      <c r="K786" s="18"/>
      <c r="L786" s="18"/>
      <c r="M786" s="18">
        <f>'RW predict'!P785</f>
        <v>128</v>
      </c>
      <c r="N786" s="18"/>
      <c r="O786" s="18">
        <f>'RW predict'!H785</f>
        <v>1</v>
      </c>
      <c r="P786" s="18">
        <f>'RW predict'!I785</f>
        <v>91</v>
      </c>
      <c r="Q786" s="18">
        <f>'RW predict'!L785</f>
        <v>0</v>
      </c>
      <c r="R786" s="18">
        <f>'RW predict'!N785</f>
        <v>0</v>
      </c>
      <c r="S786" s="76">
        <f>'RW predict'!O785</f>
        <v>0</v>
      </c>
      <c r="T786" s="76">
        <f>'RW predict'!K785</f>
        <v>0</v>
      </c>
      <c r="U786" s="22">
        <f>'RW predict'!J785</f>
        <v>31</v>
      </c>
      <c r="V786" s="32">
        <f>IF(D786="G",'RW predict'!E785,0)</f>
        <v>0</v>
      </c>
      <c r="W786" s="18">
        <f>'RW predict'!R785</f>
        <v>0</v>
      </c>
      <c r="X786" s="18">
        <f>'RW predict'!T785</f>
        <v>0</v>
      </c>
      <c r="Y786" s="18">
        <f>'RW predict'!Y785</f>
        <v>0</v>
      </c>
      <c r="Z786" s="18">
        <f>'RW predict'!U785</f>
        <v>0</v>
      </c>
      <c r="AA786" s="18">
        <f>'RW predict'!W785</f>
        <v>0</v>
      </c>
    </row>
    <row r="787" spans="1:27" x14ac:dyDescent="0.3">
      <c r="A787" s="18">
        <v>784</v>
      </c>
      <c r="B787" s="18" t="str">
        <f>'RW predict'!A786</f>
        <v>Ben Harpur</v>
      </c>
      <c r="C787" s="18" t="str">
        <f>'RW predict'!B786</f>
        <v>CLS</v>
      </c>
      <c r="D787" s="22" t="str" cm="1">
        <f t="array" ref="D787">_xlfn.SWITCH('RW predict'!C786, "C", "F", "LW","F", "RW", "F", "D", "D", "G", "G", "other")</f>
        <v>D</v>
      </c>
      <c r="E787" s="32">
        <f t="shared" si="24"/>
        <v>191</v>
      </c>
      <c r="F787" s="35">
        <f>E787/assumptions!$B$2</f>
        <v>2.3292682926829267</v>
      </c>
      <c r="G787" s="36">
        <f t="shared" si="25"/>
        <v>833</v>
      </c>
      <c r="H787" s="18">
        <f>IF(NOT(D787="G"),'RW predict'!E786,0)</f>
        <v>0</v>
      </c>
      <c r="I787" s="18">
        <f>'RW predict'!Q786</f>
        <v>24</v>
      </c>
      <c r="J787" s="18">
        <f>'RW predict'!F786</f>
        <v>3</v>
      </c>
      <c r="K787" s="18"/>
      <c r="L787" s="18"/>
      <c r="M787" s="18">
        <f>'RW predict'!P786</f>
        <v>41</v>
      </c>
      <c r="N787" s="18"/>
      <c r="O787" s="18">
        <f>'RW predict'!H786</f>
        <v>-9</v>
      </c>
      <c r="P787" s="18">
        <f>'RW predict'!I786</f>
        <v>27</v>
      </c>
      <c r="Q787" s="18">
        <f>'RW predict'!L786</f>
        <v>0</v>
      </c>
      <c r="R787" s="18">
        <f>'RW predict'!N786</f>
        <v>0</v>
      </c>
      <c r="S787" s="76">
        <f>'RW predict'!O786</f>
        <v>0</v>
      </c>
      <c r="T787" s="76">
        <f>'RW predict'!K786</f>
        <v>0</v>
      </c>
      <c r="U787" s="22">
        <f>'RW predict'!J786</f>
        <v>18</v>
      </c>
      <c r="V787" s="32">
        <f>IF(D787="G",'RW predict'!E786,0)</f>
        <v>0</v>
      </c>
      <c r="W787" s="18">
        <f>'RW predict'!R786</f>
        <v>0</v>
      </c>
      <c r="X787" s="18">
        <f>'RW predict'!T786</f>
        <v>0</v>
      </c>
      <c r="Y787" s="18">
        <f>'RW predict'!Y786</f>
        <v>0</v>
      </c>
      <c r="Z787" s="18">
        <f>'RW predict'!U786</f>
        <v>0</v>
      </c>
      <c r="AA787" s="18">
        <f>'RW predict'!W786</f>
        <v>0</v>
      </c>
    </row>
    <row r="788" spans="1:27" x14ac:dyDescent="0.3">
      <c r="A788" s="18">
        <v>785</v>
      </c>
      <c r="B788" s="18" t="str">
        <f>'RW predict'!A787</f>
        <v>Mark Friedman</v>
      </c>
      <c r="C788" s="18" t="str">
        <f>'RW predict'!B787</f>
        <v>PIT</v>
      </c>
      <c r="D788" s="22" t="str" cm="1">
        <f t="array" ref="D788">_xlfn.SWITCH('RW predict'!C787, "C", "F", "LW","F", "RW", "F", "D", "D", "G", "G", "other")</f>
        <v>D</v>
      </c>
      <c r="E788" s="32">
        <f t="shared" si="24"/>
        <v>237</v>
      </c>
      <c r="F788" s="35">
        <f>E788/assumptions!$B$2</f>
        <v>2.8902439024390243</v>
      </c>
      <c r="G788" s="36">
        <f t="shared" si="25"/>
        <v>805</v>
      </c>
      <c r="H788" s="18">
        <f>IF(NOT(D788="G"),'RW predict'!E787,0)</f>
        <v>1</v>
      </c>
      <c r="I788" s="18">
        <f>'RW predict'!Q787</f>
        <v>17</v>
      </c>
      <c r="J788" s="18">
        <f>'RW predict'!F787</f>
        <v>2</v>
      </c>
      <c r="K788" s="18"/>
      <c r="L788" s="18"/>
      <c r="M788" s="18">
        <f>'RW predict'!P787</f>
        <v>19</v>
      </c>
      <c r="N788" s="18"/>
      <c r="O788" s="18">
        <f>'RW predict'!H787</f>
        <v>1</v>
      </c>
      <c r="P788" s="18">
        <f>'RW predict'!I787</f>
        <v>15</v>
      </c>
      <c r="Q788" s="18">
        <f>'RW predict'!L787</f>
        <v>0</v>
      </c>
      <c r="R788" s="18">
        <f>'RW predict'!N787</f>
        <v>0</v>
      </c>
      <c r="S788" s="76">
        <f>'RW predict'!O787</f>
        <v>0</v>
      </c>
      <c r="T788" s="76">
        <f>'RW predict'!K787</f>
        <v>1</v>
      </c>
      <c r="U788" s="22">
        <f>'RW predict'!J787</f>
        <v>17</v>
      </c>
      <c r="V788" s="32">
        <f>IF(D788="G",'RW predict'!E787,0)</f>
        <v>0</v>
      </c>
      <c r="W788" s="18">
        <f>'RW predict'!R787</f>
        <v>0</v>
      </c>
      <c r="X788" s="18">
        <f>'RW predict'!T787</f>
        <v>0</v>
      </c>
      <c r="Y788" s="18">
        <f>'RW predict'!Y787</f>
        <v>0</v>
      </c>
      <c r="Z788" s="18">
        <f>'RW predict'!U787</f>
        <v>0</v>
      </c>
      <c r="AA788" s="18">
        <f>'RW predict'!W787</f>
        <v>0</v>
      </c>
    </row>
    <row r="789" spans="1:27" x14ac:dyDescent="0.3">
      <c r="A789" s="18">
        <v>786</v>
      </c>
      <c r="B789" s="18" t="str">
        <f>'RW predict'!A788</f>
        <v>Mitchell Stephens</v>
      </c>
      <c r="C789" s="18" t="str">
        <f>'RW predict'!B788</f>
        <v>MON</v>
      </c>
      <c r="D789" s="22" t="str" cm="1">
        <f t="array" ref="D789">_xlfn.SWITCH('RW predict'!C788, "C", "F", "LW","F", "RW", "F", "D", "D", "G", "G", "other")</f>
        <v>F</v>
      </c>
      <c r="E789" s="32">
        <f t="shared" si="24"/>
        <v>85</v>
      </c>
      <c r="F789" s="35">
        <f>E789/assumptions!$B$2</f>
        <v>1.0365853658536586</v>
      </c>
      <c r="G789" s="36">
        <f t="shared" si="25"/>
        <v>932</v>
      </c>
      <c r="H789" s="18">
        <f>IF(NOT(D789="G"),'RW predict'!E788,0)</f>
        <v>0</v>
      </c>
      <c r="I789" s="18">
        <f>'RW predict'!Q788</f>
        <v>5</v>
      </c>
      <c r="J789" s="18">
        <f>'RW predict'!F788</f>
        <v>3</v>
      </c>
      <c r="K789" s="18"/>
      <c r="L789" s="18"/>
      <c r="M789" s="18">
        <f>'RW predict'!P788</f>
        <v>14</v>
      </c>
      <c r="N789" s="18"/>
      <c r="O789" s="18">
        <f>'RW predict'!H788</f>
        <v>-5</v>
      </c>
      <c r="P789" s="18">
        <f>'RW predict'!I788</f>
        <v>4</v>
      </c>
      <c r="Q789" s="18">
        <f>'RW predict'!L788</f>
        <v>0</v>
      </c>
      <c r="R789" s="18">
        <f>'RW predict'!N788</f>
        <v>0</v>
      </c>
      <c r="S789" s="76">
        <f>'RW predict'!O788</f>
        <v>0</v>
      </c>
      <c r="T789" s="76">
        <f>'RW predict'!K788</f>
        <v>0</v>
      </c>
      <c r="U789" s="22">
        <f>'RW predict'!J788</f>
        <v>12</v>
      </c>
      <c r="V789" s="32">
        <f>IF(D789="G",'RW predict'!E788,0)</f>
        <v>0</v>
      </c>
      <c r="W789" s="18">
        <f>'RW predict'!R788</f>
        <v>0</v>
      </c>
      <c r="X789" s="18">
        <f>'RW predict'!T788</f>
        <v>0</v>
      </c>
      <c r="Y789" s="18">
        <f>'RW predict'!Y788</f>
        <v>0</v>
      </c>
      <c r="Z789" s="18">
        <f>'RW predict'!U788</f>
        <v>0</v>
      </c>
      <c r="AA789" s="18">
        <f>'RW predict'!W788</f>
        <v>0</v>
      </c>
    </row>
    <row r="790" spans="1:27" x14ac:dyDescent="0.3">
      <c r="A790" s="18">
        <v>787</v>
      </c>
      <c r="B790" s="18" t="str">
        <f>'RW predict'!A789</f>
        <v>Kyle Capobianco</v>
      </c>
      <c r="C790" s="18" t="str">
        <f>'RW predict'!B789</f>
        <v>WPG</v>
      </c>
      <c r="D790" s="22" t="str" cm="1">
        <f t="array" ref="D790">_xlfn.SWITCH('RW predict'!C789, "C", "F", "LW","F", "RW", "F", "D", "D", "G", "G", "other")</f>
        <v>D</v>
      </c>
      <c r="E790" s="32">
        <f t="shared" si="24"/>
        <v>138</v>
      </c>
      <c r="F790" s="35">
        <f>E790/assumptions!$B$2</f>
        <v>1.6829268292682926</v>
      </c>
      <c r="G790" s="36">
        <f t="shared" si="25"/>
        <v>871</v>
      </c>
      <c r="H790" s="18">
        <f>IF(NOT(D790="G"),'RW predict'!E789,0)</f>
        <v>1</v>
      </c>
      <c r="I790" s="18">
        <f>'RW predict'!Q789</f>
        <v>14</v>
      </c>
      <c r="J790" s="18">
        <f>'RW predict'!F789</f>
        <v>2</v>
      </c>
      <c r="K790" s="18"/>
      <c r="L790" s="18"/>
      <c r="M790" s="18">
        <f>'RW predict'!P789</f>
        <v>13</v>
      </c>
      <c r="N790" s="18"/>
      <c r="O790" s="18">
        <f>'RW predict'!H789</f>
        <v>-4</v>
      </c>
      <c r="P790" s="18">
        <f>'RW predict'!I789</f>
        <v>12</v>
      </c>
      <c r="Q790" s="18">
        <f>'RW predict'!L789</f>
        <v>0</v>
      </c>
      <c r="R790" s="18">
        <f>'RW predict'!N789</f>
        <v>0</v>
      </c>
      <c r="S790" s="76">
        <f>'RW predict'!O789</f>
        <v>0</v>
      </c>
      <c r="T790" s="76">
        <f>'RW predict'!K789</f>
        <v>0</v>
      </c>
      <c r="U790" s="22">
        <f>'RW predict'!J789</f>
        <v>13</v>
      </c>
      <c r="V790" s="32">
        <f>IF(D790="G",'RW predict'!E789,0)</f>
        <v>0</v>
      </c>
      <c r="W790" s="18">
        <f>'RW predict'!R789</f>
        <v>0</v>
      </c>
      <c r="X790" s="18">
        <f>'RW predict'!T789</f>
        <v>0</v>
      </c>
      <c r="Y790" s="18">
        <f>'RW predict'!Y789</f>
        <v>0</v>
      </c>
      <c r="Z790" s="18">
        <f>'RW predict'!U789</f>
        <v>0</v>
      </c>
      <c r="AA790" s="18">
        <f>'RW predict'!W789</f>
        <v>0</v>
      </c>
    </row>
    <row r="791" spans="1:27" x14ac:dyDescent="0.3">
      <c r="A791" s="18">
        <v>788</v>
      </c>
      <c r="B791" s="18" t="str">
        <f>'RW predict'!A790</f>
        <v>A.J. Greer</v>
      </c>
      <c r="C791" s="18" t="str">
        <f>'RW predict'!B790</f>
        <v>BOS</v>
      </c>
      <c r="D791" s="22" t="str" cm="1">
        <f t="array" ref="D791">_xlfn.SWITCH('RW predict'!C790, "C", "F", "LW","F", "RW", "F", "D", "D", "G", "G", "other")</f>
        <v>F</v>
      </c>
      <c r="E791" s="32">
        <f t="shared" si="24"/>
        <v>210</v>
      </c>
      <c r="F791" s="35">
        <f>E791/assumptions!$B$2</f>
        <v>2.5609756097560976</v>
      </c>
      <c r="G791" s="36">
        <f t="shared" si="25"/>
        <v>824</v>
      </c>
      <c r="H791" s="18">
        <f>IF(NOT(D791="G"),'RW predict'!E790,0)</f>
        <v>1</v>
      </c>
      <c r="I791" s="18">
        <f>'RW predict'!Q790</f>
        <v>4</v>
      </c>
      <c r="J791" s="18">
        <f>'RW predict'!F790</f>
        <v>2</v>
      </c>
      <c r="K791" s="18"/>
      <c r="L791" s="18"/>
      <c r="M791" s="18">
        <f>'RW predict'!P790</f>
        <v>35</v>
      </c>
      <c r="N791" s="18"/>
      <c r="O791" s="18">
        <f>'RW predict'!H790</f>
        <v>1</v>
      </c>
      <c r="P791" s="18">
        <f>'RW predict'!I790</f>
        <v>12</v>
      </c>
      <c r="Q791" s="18">
        <f>'RW predict'!L790</f>
        <v>0</v>
      </c>
      <c r="R791" s="18">
        <f>'RW predict'!N790</f>
        <v>0</v>
      </c>
      <c r="S791" s="76">
        <f>'RW predict'!O790</f>
        <v>0</v>
      </c>
      <c r="T791" s="76">
        <f>'RW predict'!K790</f>
        <v>0</v>
      </c>
      <c r="U791" s="22">
        <f>'RW predict'!J790</f>
        <v>23</v>
      </c>
      <c r="V791" s="32">
        <f>IF(D791="G",'RW predict'!E790,0)</f>
        <v>0</v>
      </c>
      <c r="W791" s="18">
        <f>'RW predict'!R790</f>
        <v>0</v>
      </c>
      <c r="X791" s="18">
        <f>'RW predict'!T790</f>
        <v>0</v>
      </c>
      <c r="Y791" s="18">
        <f>'RW predict'!Y790</f>
        <v>0</v>
      </c>
      <c r="Z791" s="18">
        <f>'RW predict'!U790</f>
        <v>0</v>
      </c>
      <c r="AA791" s="18">
        <f>'RW predict'!W790</f>
        <v>0</v>
      </c>
    </row>
    <row r="792" spans="1:27" x14ac:dyDescent="0.3">
      <c r="A792" s="18">
        <v>789</v>
      </c>
      <c r="B792" s="18" t="str">
        <f>'RW predict'!A791</f>
        <v>Casey Fitzgerald</v>
      </c>
      <c r="C792" s="18" t="str">
        <f>'RW predict'!B791</f>
        <v>BUF</v>
      </c>
      <c r="D792" s="22" t="str" cm="1">
        <f t="array" ref="D792">_xlfn.SWITCH('RW predict'!C791, "C", "F", "LW","F", "RW", "F", "D", "D", "G", "G", "other")</f>
        <v>D</v>
      </c>
      <c r="E792" s="32">
        <f t="shared" si="24"/>
        <v>172</v>
      </c>
      <c r="F792" s="35">
        <f>E792/assumptions!$B$2</f>
        <v>2.0975609756097562</v>
      </c>
      <c r="G792" s="36">
        <f t="shared" si="25"/>
        <v>846</v>
      </c>
      <c r="H792" s="18">
        <f>IF(NOT(D792="G"),'RW predict'!E791,0)</f>
        <v>0</v>
      </c>
      <c r="I792" s="18">
        <f>'RW predict'!Q791</f>
        <v>19</v>
      </c>
      <c r="J792" s="18">
        <f>'RW predict'!F791</f>
        <v>3</v>
      </c>
      <c r="K792" s="18"/>
      <c r="L792" s="18"/>
      <c r="M792" s="18">
        <f>'RW predict'!P791</f>
        <v>41</v>
      </c>
      <c r="N792" s="18"/>
      <c r="O792" s="18">
        <f>'RW predict'!H791</f>
        <v>-8</v>
      </c>
      <c r="P792" s="18">
        <f>'RW predict'!I791</f>
        <v>20</v>
      </c>
      <c r="Q792" s="18">
        <f>'RW predict'!L791</f>
        <v>0</v>
      </c>
      <c r="R792" s="18">
        <f>'RW predict'!N791</f>
        <v>0</v>
      </c>
      <c r="S792" s="76">
        <f>'RW predict'!O791</f>
        <v>0</v>
      </c>
      <c r="T792" s="76">
        <f>'RW predict'!K791</f>
        <v>0</v>
      </c>
      <c r="U792" s="22">
        <f>'RW predict'!J791</f>
        <v>19</v>
      </c>
      <c r="V792" s="32">
        <f>IF(D792="G",'RW predict'!E791,0)</f>
        <v>0</v>
      </c>
      <c r="W792" s="18">
        <f>'RW predict'!R791</f>
        <v>0</v>
      </c>
      <c r="X792" s="18">
        <f>'RW predict'!T791</f>
        <v>0</v>
      </c>
      <c r="Y792" s="18">
        <f>'RW predict'!Y791</f>
        <v>0</v>
      </c>
      <c r="Z792" s="18">
        <f>'RW predict'!U791</f>
        <v>0</v>
      </c>
      <c r="AA792" s="18">
        <f>'RW predict'!W791</f>
        <v>0</v>
      </c>
    </row>
    <row r="793" spans="1:27" x14ac:dyDescent="0.3">
      <c r="A793" s="18">
        <v>790</v>
      </c>
      <c r="B793" s="18" t="str">
        <f>'RW predict'!A792</f>
        <v>Josh Mahura</v>
      </c>
      <c r="C793" s="18" t="str">
        <f>'RW predict'!B792</f>
        <v>ANH</v>
      </c>
      <c r="D793" s="22" t="str" cm="1">
        <f t="array" ref="D793">_xlfn.SWITCH('RW predict'!C792, "C", "F", "LW","F", "RW", "F", "D", "D", "G", "G", "other")</f>
        <v>D</v>
      </c>
      <c r="E793" s="32">
        <f t="shared" si="24"/>
        <v>119</v>
      </c>
      <c r="F793" s="35">
        <f>E793/assumptions!$B$2</f>
        <v>1.4512195121951219</v>
      </c>
      <c r="G793" s="36">
        <f t="shared" si="25"/>
        <v>886</v>
      </c>
      <c r="H793" s="18">
        <f>IF(NOT(D793="G"),'RW predict'!E792,0)</f>
        <v>1</v>
      </c>
      <c r="I793" s="18">
        <f>'RW predict'!Q792</f>
        <v>19</v>
      </c>
      <c r="J793" s="18">
        <f>'RW predict'!F792</f>
        <v>2</v>
      </c>
      <c r="K793" s="18"/>
      <c r="L793" s="18"/>
      <c r="M793" s="18">
        <f>'RW predict'!P792</f>
        <v>22</v>
      </c>
      <c r="N793" s="18"/>
      <c r="O793" s="18">
        <f>'RW predict'!H792</f>
        <v>-11</v>
      </c>
      <c r="P793" s="18">
        <f>'RW predict'!I792</f>
        <v>10</v>
      </c>
      <c r="Q793" s="18">
        <f>'RW predict'!L792</f>
        <v>0</v>
      </c>
      <c r="R793" s="18">
        <f>'RW predict'!N792</f>
        <v>0</v>
      </c>
      <c r="S793" s="76">
        <f>'RW predict'!O792</f>
        <v>0</v>
      </c>
      <c r="T793" s="76">
        <f>'RW predict'!K792</f>
        <v>0</v>
      </c>
      <c r="U793" s="22">
        <f>'RW predict'!J792</f>
        <v>32</v>
      </c>
      <c r="V793" s="32">
        <f>IF(D793="G",'RW predict'!E792,0)</f>
        <v>0</v>
      </c>
      <c r="W793" s="18">
        <f>'RW predict'!R792</f>
        <v>0</v>
      </c>
      <c r="X793" s="18">
        <f>'RW predict'!T792</f>
        <v>0</v>
      </c>
      <c r="Y793" s="18">
        <f>'RW predict'!Y792</f>
        <v>0</v>
      </c>
      <c r="Z793" s="18">
        <f>'RW predict'!U792</f>
        <v>0</v>
      </c>
      <c r="AA793" s="18">
        <f>'RW predict'!W792</f>
        <v>0</v>
      </c>
    </row>
    <row r="794" spans="1:27" x14ac:dyDescent="0.3">
      <c r="A794" s="18">
        <v>791</v>
      </c>
      <c r="B794" s="18" t="str">
        <f>'RW predict'!A793</f>
        <v>William Lockwood</v>
      </c>
      <c r="C794" s="18" t="str">
        <f>'RW predict'!B793</f>
        <v>VAN</v>
      </c>
      <c r="D794" s="22" t="str" cm="1">
        <f t="array" ref="D794">_xlfn.SWITCH('RW predict'!C793, "C", "F", "LW","F", "RW", "F", "D", "D", "G", "G", "other")</f>
        <v>F</v>
      </c>
      <c r="E794" s="32">
        <f t="shared" si="24"/>
        <v>231</v>
      </c>
      <c r="F794" s="35">
        <f>E794/assumptions!$B$2</f>
        <v>2.8170731707317072</v>
      </c>
      <c r="G794" s="36">
        <f t="shared" si="25"/>
        <v>807</v>
      </c>
      <c r="H794" s="18">
        <f>IF(NOT(D794="G"),'RW predict'!E793,0)</f>
        <v>1</v>
      </c>
      <c r="I794" s="18">
        <f>'RW predict'!Q793</f>
        <v>18</v>
      </c>
      <c r="J794" s="18">
        <f>'RW predict'!F793</f>
        <v>2</v>
      </c>
      <c r="K794" s="18"/>
      <c r="L794" s="18"/>
      <c r="M794" s="18">
        <f>'RW predict'!P793</f>
        <v>90</v>
      </c>
      <c r="N794" s="18"/>
      <c r="O794" s="18">
        <f>'RW predict'!H793</f>
        <v>-7</v>
      </c>
      <c r="P794" s="18">
        <f>'RW predict'!I793</f>
        <v>16</v>
      </c>
      <c r="Q794" s="18">
        <f>'RW predict'!L793</f>
        <v>0</v>
      </c>
      <c r="R794" s="18">
        <f>'RW predict'!N793</f>
        <v>0</v>
      </c>
      <c r="S794" s="76">
        <f>'RW predict'!O793</f>
        <v>0</v>
      </c>
      <c r="T794" s="76">
        <f>'RW predict'!K793</f>
        <v>0</v>
      </c>
      <c r="U794" s="22">
        <f>'RW predict'!J793</f>
        <v>26</v>
      </c>
      <c r="V794" s="32">
        <f>IF(D794="G",'RW predict'!E793,0)</f>
        <v>0</v>
      </c>
      <c r="W794" s="18">
        <f>'RW predict'!R793</f>
        <v>0</v>
      </c>
      <c r="X794" s="18">
        <f>'RW predict'!T793</f>
        <v>0</v>
      </c>
      <c r="Y794" s="18">
        <f>'RW predict'!Y793</f>
        <v>0</v>
      </c>
      <c r="Z794" s="18">
        <f>'RW predict'!U793</f>
        <v>0</v>
      </c>
      <c r="AA794" s="18">
        <f>'RW predict'!W793</f>
        <v>0</v>
      </c>
    </row>
    <row r="795" spans="1:27" x14ac:dyDescent="0.3">
      <c r="A795" s="18">
        <v>792</v>
      </c>
      <c r="B795" s="18" t="str">
        <f>'RW predict'!A794</f>
        <v>Dennis Cholowski</v>
      </c>
      <c r="C795" s="18" t="str">
        <f>'RW predict'!B794</f>
        <v>NYI</v>
      </c>
      <c r="D795" s="22" t="str" cm="1">
        <f t="array" ref="D795">_xlfn.SWITCH('RW predict'!C794, "C", "F", "LW","F", "RW", "F", "D", "D", "G", "G", "other")</f>
        <v>D</v>
      </c>
      <c r="E795" s="32">
        <f t="shared" si="24"/>
        <v>108</v>
      </c>
      <c r="F795" s="35">
        <f>E795/assumptions!$B$2</f>
        <v>1.3170731707317074</v>
      </c>
      <c r="G795" s="36">
        <f t="shared" si="25"/>
        <v>898</v>
      </c>
      <c r="H795" s="18">
        <f>IF(NOT(D795="G"),'RW predict'!E794,0)</f>
        <v>0</v>
      </c>
      <c r="I795" s="18">
        <f>'RW predict'!Q794</f>
        <v>17</v>
      </c>
      <c r="J795" s="18">
        <f>'RW predict'!F794</f>
        <v>3</v>
      </c>
      <c r="K795" s="18"/>
      <c r="L795" s="18"/>
      <c r="M795" s="18">
        <f>'RW predict'!P794</f>
        <v>7</v>
      </c>
      <c r="N795" s="18"/>
      <c r="O795" s="18">
        <f>'RW predict'!H794</f>
        <v>-5</v>
      </c>
      <c r="P795" s="18">
        <f>'RW predict'!I794</f>
        <v>4</v>
      </c>
      <c r="Q795" s="18">
        <f>'RW predict'!L794</f>
        <v>0</v>
      </c>
      <c r="R795" s="18">
        <f>'RW predict'!N794</f>
        <v>0</v>
      </c>
      <c r="S795" s="76">
        <f>'RW predict'!O794</f>
        <v>0</v>
      </c>
      <c r="T795" s="76">
        <f>'RW predict'!K794</f>
        <v>0</v>
      </c>
      <c r="U795" s="22">
        <f>'RW predict'!J794</f>
        <v>15</v>
      </c>
      <c r="V795" s="32">
        <f>IF(D795="G",'RW predict'!E794,0)</f>
        <v>0</v>
      </c>
      <c r="W795" s="18">
        <f>'RW predict'!R794</f>
        <v>0</v>
      </c>
      <c r="X795" s="18">
        <f>'RW predict'!T794</f>
        <v>0</v>
      </c>
      <c r="Y795" s="18">
        <f>'RW predict'!Y794</f>
        <v>0</v>
      </c>
      <c r="Z795" s="18">
        <f>'RW predict'!U794</f>
        <v>0</v>
      </c>
      <c r="AA795" s="18">
        <f>'RW predict'!W794</f>
        <v>0</v>
      </c>
    </row>
    <row r="796" spans="1:27" x14ac:dyDescent="0.3">
      <c r="A796" s="18">
        <v>793</v>
      </c>
      <c r="B796" s="18" t="str">
        <f>'RW predict'!A795</f>
        <v>Jonas Rondbjerg</v>
      </c>
      <c r="C796" s="18" t="str">
        <f>'RW predict'!B795</f>
        <v>VGK</v>
      </c>
      <c r="D796" s="22" t="str" cm="1">
        <f t="array" ref="D796">_xlfn.SWITCH('RW predict'!C795, "C", "F", "LW","F", "RW", "F", "D", "D", "G", "G", "other")</f>
        <v>F</v>
      </c>
      <c r="E796" s="32">
        <f t="shared" si="24"/>
        <v>193</v>
      </c>
      <c r="F796" s="35">
        <f>E796/assumptions!$B$2</f>
        <v>2.3536585365853657</v>
      </c>
      <c r="G796" s="36">
        <f t="shared" si="25"/>
        <v>832</v>
      </c>
      <c r="H796" s="18">
        <f>IF(NOT(D796="G"),'RW predict'!E795,0)</f>
        <v>1</v>
      </c>
      <c r="I796" s="18">
        <f>'RW predict'!Q795</f>
        <v>5</v>
      </c>
      <c r="J796" s="18">
        <f>'RW predict'!F795</f>
        <v>2</v>
      </c>
      <c r="K796" s="18"/>
      <c r="L796" s="18"/>
      <c r="M796" s="18">
        <f>'RW predict'!P795</f>
        <v>6</v>
      </c>
      <c r="N796" s="18"/>
      <c r="O796" s="18">
        <f>'RW predict'!H795</f>
        <v>0</v>
      </c>
      <c r="P796" s="18">
        <f>'RW predict'!I795</f>
        <v>6</v>
      </c>
      <c r="Q796" s="18">
        <f>'RW predict'!L795</f>
        <v>0</v>
      </c>
      <c r="R796" s="18">
        <f>'RW predict'!N795</f>
        <v>0</v>
      </c>
      <c r="S796" s="76">
        <f>'RW predict'!O795</f>
        <v>0</v>
      </c>
      <c r="T796" s="76">
        <f>'RW predict'!K795</f>
        <v>0</v>
      </c>
      <c r="U796" s="22">
        <f>'RW predict'!J795</f>
        <v>42</v>
      </c>
      <c r="V796" s="32">
        <f>IF(D796="G",'RW predict'!E795,0)</f>
        <v>0</v>
      </c>
      <c r="W796" s="18">
        <f>'RW predict'!R795</f>
        <v>0</v>
      </c>
      <c r="X796" s="18">
        <f>'RW predict'!T795</f>
        <v>0</v>
      </c>
      <c r="Y796" s="18">
        <f>'RW predict'!Y795</f>
        <v>0</v>
      </c>
      <c r="Z796" s="18">
        <f>'RW predict'!U795</f>
        <v>0</v>
      </c>
      <c r="AA796" s="18">
        <f>'RW predict'!W795</f>
        <v>0</v>
      </c>
    </row>
    <row r="797" spans="1:27" x14ac:dyDescent="0.3">
      <c r="A797" s="18">
        <v>794</v>
      </c>
      <c r="B797" s="18" t="str">
        <f>'RW predict'!A796</f>
        <v>Kole Lind</v>
      </c>
      <c r="C797" s="18" t="str">
        <f>'RW predict'!B796</f>
        <v>SEA</v>
      </c>
      <c r="D797" s="22" t="str" cm="1">
        <f t="array" ref="D797">_xlfn.SWITCH('RW predict'!C796, "C", "F", "LW","F", "RW", "F", "D", "D", "G", "G", "other")</f>
        <v>F</v>
      </c>
      <c r="E797" s="32">
        <f t="shared" si="24"/>
        <v>106</v>
      </c>
      <c r="F797" s="35">
        <f>E797/assumptions!$B$2</f>
        <v>1.2926829268292683</v>
      </c>
      <c r="G797" s="36">
        <f t="shared" si="25"/>
        <v>901</v>
      </c>
      <c r="H797" s="18">
        <f>IF(NOT(D797="G"),'RW predict'!E796,0)</f>
        <v>1</v>
      </c>
      <c r="I797" s="18">
        <f>'RW predict'!Q796</f>
        <v>3</v>
      </c>
      <c r="J797" s="18">
        <f>'RW predict'!F796</f>
        <v>2</v>
      </c>
      <c r="K797" s="18"/>
      <c r="L797" s="18"/>
      <c r="M797" s="18">
        <f>'RW predict'!P796</f>
        <v>5</v>
      </c>
      <c r="N797" s="18"/>
      <c r="O797" s="18">
        <f>'RW predict'!H796</f>
        <v>-1</v>
      </c>
      <c r="P797" s="18">
        <f>'RW predict'!I796</f>
        <v>4</v>
      </c>
      <c r="Q797" s="18">
        <f>'RW predict'!L796</f>
        <v>0</v>
      </c>
      <c r="R797" s="18">
        <f>'RW predict'!N796</f>
        <v>0</v>
      </c>
      <c r="S797" s="76">
        <f>'RW predict'!O796</f>
        <v>0</v>
      </c>
      <c r="T797" s="76">
        <f>'RW predict'!K796</f>
        <v>0</v>
      </c>
      <c r="U797" s="22">
        <f>'RW predict'!J796</f>
        <v>9</v>
      </c>
      <c r="V797" s="32">
        <f>IF(D797="G",'RW predict'!E796,0)</f>
        <v>0</v>
      </c>
      <c r="W797" s="18">
        <f>'RW predict'!R796</f>
        <v>0</v>
      </c>
      <c r="X797" s="18">
        <f>'RW predict'!T796</f>
        <v>0</v>
      </c>
      <c r="Y797" s="18">
        <f>'RW predict'!Y796</f>
        <v>0</v>
      </c>
      <c r="Z797" s="18">
        <f>'RW predict'!U796</f>
        <v>0</v>
      </c>
      <c r="AA797" s="18">
        <f>'RW predict'!W796</f>
        <v>0</v>
      </c>
    </row>
    <row r="798" spans="1:27" x14ac:dyDescent="0.3">
      <c r="A798" s="18">
        <v>795</v>
      </c>
      <c r="B798" s="18" t="str">
        <f>'RW predict'!A797</f>
        <v>Colton White</v>
      </c>
      <c r="C798" s="18" t="str">
        <f>'RW predict'!B797</f>
        <v>ANH</v>
      </c>
      <c r="D798" s="22" t="str" cm="1">
        <f t="array" ref="D798">_xlfn.SWITCH('RW predict'!C797, "C", "F", "LW","F", "RW", "F", "D", "D", "G", "G", "other")</f>
        <v>D</v>
      </c>
      <c r="E798" s="32">
        <f t="shared" si="24"/>
        <v>141</v>
      </c>
      <c r="F798" s="35">
        <f>E798/assumptions!$B$2</f>
        <v>1.7195121951219512</v>
      </c>
      <c r="G798" s="36">
        <f t="shared" si="25"/>
        <v>867</v>
      </c>
      <c r="H798" s="18">
        <f>IF(NOT(D798="G"),'RW predict'!E797,0)</f>
        <v>0</v>
      </c>
      <c r="I798" s="18">
        <f>'RW predict'!Q797</f>
        <v>11</v>
      </c>
      <c r="J798" s="18">
        <f>'RW predict'!F797</f>
        <v>3</v>
      </c>
      <c r="K798" s="18"/>
      <c r="L798" s="18"/>
      <c r="M798" s="18">
        <f>'RW predict'!P797</f>
        <v>18</v>
      </c>
      <c r="N798" s="18"/>
      <c r="O798" s="18">
        <f>'RW predict'!H797</f>
        <v>-2</v>
      </c>
      <c r="P798" s="18">
        <f>'RW predict'!I797</f>
        <v>6</v>
      </c>
      <c r="Q798" s="18">
        <f>'RW predict'!L797</f>
        <v>0</v>
      </c>
      <c r="R798" s="18">
        <f>'RW predict'!N797</f>
        <v>0</v>
      </c>
      <c r="S798" s="76">
        <f>'RW predict'!O797</f>
        <v>0</v>
      </c>
      <c r="T798" s="76">
        <f>'RW predict'!K797</f>
        <v>0</v>
      </c>
      <c r="U798" s="22">
        <f>'RW predict'!J797</f>
        <v>14</v>
      </c>
      <c r="V798" s="32">
        <f>IF(D798="G",'RW predict'!E797,0)</f>
        <v>0</v>
      </c>
      <c r="W798" s="18">
        <f>'RW predict'!R797</f>
        <v>0</v>
      </c>
      <c r="X798" s="18">
        <f>'RW predict'!T797</f>
        <v>0</v>
      </c>
      <c r="Y798" s="18">
        <f>'RW predict'!Y797</f>
        <v>0</v>
      </c>
      <c r="Z798" s="18">
        <f>'RW predict'!U797</f>
        <v>0</v>
      </c>
      <c r="AA798" s="18">
        <f>'RW predict'!W797</f>
        <v>0</v>
      </c>
    </row>
    <row r="799" spans="1:27" x14ac:dyDescent="0.3">
      <c r="A799" s="18">
        <v>796</v>
      </c>
      <c r="B799" s="18" t="str">
        <f>'RW predict'!A798</f>
        <v>Gavin Bayreuther</v>
      </c>
      <c r="C799" s="18" t="str">
        <f>'RW predict'!B798</f>
        <v>CLS</v>
      </c>
      <c r="D799" s="22" t="str" cm="1">
        <f t="array" ref="D799">_xlfn.SWITCH('RW predict'!C798, "C", "F", "LW","F", "RW", "F", "D", "D", "G", "G", "other")</f>
        <v>D</v>
      </c>
      <c r="E799" s="32">
        <f t="shared" si="24"/>
        <v>213</v>
      </c>
      <c r="F799" s="35">
        <f>E799/assumptions!$B$2</f>
        <v>2.5975609756097562</v>
      </c>
      <c r="G799" s="36">
        <f t="shared" si="25"/>
        <v>820</v>
      </c>
      <c r="H799" s="18">
        <f>IF(NOT(D799="G"),'RW predict'!E798,0)</f>
        <v>0</v>
      </c>
      <c r="I799" s="18">
        <f>'RW predict'!Q798</f>
        <v>24</v>
      </c>
      <c r="J799" s="18">
        <f>'RW predict'!F798</f>
        <v>3</v>
      </c>
      <c r="K799" s="18"/>
      <c r="L799" s="18"/>
      <c r="M799" s="18">
        <f>'RW predict'!P798</f>
        <v>28</v>
      </c>
      <c r="N799" s="18"/>
      <c r="O799" s="18">
        <f>'RW predict'!H798</f>
        <v>-2</v>
      </c>
      <c r="P799" s="18">
        <f>'RW predict'!I798</f>
        <v>12</v>
      </c>
      <c r="Q799" s="18">
        <f>'RW predict'!L798</f>
        <v>0</v>
      </c>
      <c r="R799" s="18">
        <f>'RW predict'!N798</f>
        <v>0</v>
      </c>
      <c r="S799" s="76">
        <f>'RW predict'!O798</f>
        <v>0</v>
      </c>
      <c r="T799" s="76">
        <f>'RW predict'!K798</f>
        <v>0</v>
      </c>
      <c r="U799" s="22">
        <f>'RW predict'!J798</f>
        <v>23</v>
      </c>
      <c r="V799" s="32">
        <f>IF(D799="G",'RW predict'!E798,0)</f>
        <v>0</v>
      </c>
      <c r="W799" s="18">
        <f>'RW predict'!R798</f>
        <v>0</v>
      </c>
      <c r="X799" s="18">
        <f>'RW predict'!T798</f>
        <v>0</v>
      </c>
      <c r="Y799" s="18">
        <f>'RW predict'!Y798</f>
        <v>0</v>
      </c>
      <c r="Z799" s="18">
        <f>'RW predict'!U798</f>
        <v>0</v>
      </c>
      <c r="AA799" s="18">
        <f>'RW predict'!W798</f>
        <v>0</v>
      </c>
    </row>
    <row r="800" spans="1:27" x14ac:dyDescent="0.3">
      <c r="A800" s="18">
        <v>797</v>
      </c>
      <c r="B800" s="18" t="str">
        <f>'RW predict'!A799</f>
        <v>Tucker Poolman</v>
      </c>
      <c r="C800" s="18" t="str">
        <f>'RW predict'!B799</f>
        <v>VAN</v>
      </c>
      <c r="D800" s="22" t="str" cm="1">
        <f t="array" ref="D800">_xlfn.SWITCH('RW predict'!C799, "C", "F", "LW","F", "RW", "F", "D", "D", "G", "G", "other")</f>
        <v>D</v>
      </c>
      <c r="E800" s="32">
        <f t="shared" si="24"/>
        <v>273</v>
      </c>
      <c r="F800" s="35">
        <f>E800/assumptions!$B$2</f>
        <v>3.3292682926829267</v>
      </c>
      <c r="G800" s="36">
        <f t="shared" si="25"/>
        <v>783</v>
      </c>
      <c r="H800" s="18">
        <f>IF(NOT(D800="G"),'RW predict'!E799,0)</f>
        <v>1</v>
      </c>
      <c r="I800" s="18">
        <f>'RW predict'!Q799</f>
        <v>35</v>
      </c>
      <c r="J800" s="18">
        <f>'RW predict'!F799</f>
        <v>2</v>
      </c>
      <c r="K800" s="18"/>
      <c r="L800" s="18"/>
      <c r="M800" s="18">
        <f>'RW predict'!P799</f>
        <v>24</v>
      </c>
      <c r="N800" s="18"/>
      <c r="O800" s="18">
        <f>'RW predict'!H799</f>
        <v>1</v>
      </c>
      <c r="P800" s="18">
        <f>'RW predict'!I799</f>
        <v>8</v>
      </c>
      <c r="Q800" s="18">
        <f>'RW predict'!L799</f>
        <v>0</v>
      </c>
      <c r="R800" s="18">
        <f>'RW predict'!N799</f>
        <v>0</v>
      </c>
      <c r="S800" s="76">
        <f>'RW predict'!O799</f>
        <v>0</v>
      </c>
      <c r="T800" s="76">
        <f>'RW predict'!K799</f>
        <v>0</v>
      </c>
      <c r="U800" s="22">
        <f>'RW predict'!J799</f>
        <v>35</v>
      </c>
      <c r="V800" s="32">
        <f>IF(D800="G",'RW predict'!E799,0)</f>
        <v>0</v>
      </c>
      <c r="W800" s="18">
        <f>'RW predict'!R799</f>
        <v>0</v>
      </c>
      <c r="X800" s="18">
        <f>'RW predict'!T799</f>
        <v>0</v>
      </c>
      <c r="Y800" s="18">
        <f>'RW predict'!Y799</f>
        <v>0</v>
      </c>
      <c r="Z800" s="18">
        <f>'RW predict'!U799</f>
        <v>0</v>
      </c>
      <c r="AA800" s="18">
        <f>'RW predict'!W799</f>
        <v>0</v>
      </c>
    </row>
    <row r="801" spans="1:27" x14ac:dyDescent="0.3">
      <c r="A801" s="18">
        <v>798</v>
      </c>
      <c r="B801" s="18" t="str">
        <f>'RW predict'!A800</f>
        <v>Connor Bunnaman</v>
      </c>
      <c r="C801" s="18" t="str">
        <f>'RW predict'!B800</f>
        <v>FLA</v>
      </c>
      <c r="D801" s="22" t="str" cm="1">
        <f t="array" ref="D801">_xlfn.SWITCH('RW predict'!C800, "C", "F", "LW","F", "RW", "F", "D", "D", "G", "G", "other")</f>
        <v>F</v>
      </c>
      <c r="E801" s="32">
        <f t="shared" si="24"/>
        <v>91</v>
      </c>
      <c r="F801" s="35">
        <f>E801/assumptions!$B$2</f>
        <v>1.1097560975609757</v>
      </c>
      <c r="G801" s="36">
        <f t="shared" si="25"/>
        <v>925</v>
      </c>
      <c r="H801" s="18">
        <f>IF(NOT(D801="G"),'RW predict'!E800,0)</f>
        <v>1</v>
      </c>
      <c r="I801" s="18">
        <f>'RW predict'!Q800</f>
        <v>3</v>
      </c>
      <c r="J801" s="18">
        <f>'RW predict'!F800</f>
        <v>2</v>
      </c>
      <c r="K801" s="18"/>
      <c r="L801" s="18"/>
      <c r="M801" s="18">
        <f>'RW predict'!P800</f>
        <v>26</v>
      </c>
      <c r="N801" s="18"/>
      <c r="O801" s="18">
        <f>'RW predict'!H800</f>
        <v>-6</v>
      </c>
      <c r="P801" s="18">
        <f>'RW predict'!I800</f>
        <v>4</v>
      </c>
      <c r="Q801" s="18">
        <f>'RW predict'!L800</f>
        <v>0</v>
      </c>
      <c r="R801" s="18">
        <f>'RW predict'!N800</f>
        <v>0</v>
      </c>
      <c r="S801" s="76">
        <f>'RW predict'!O800</f>
        <v>0</v>
      </c>
      <c r="T801" s="76">
        <f>'RW predict'!K800</f>
        <v>0</v>
      </c>
      <c r="U801" s="22">
        <f>'RW predict'!J800</f>
        <v>16</v>
      </c>
      <c r="V801" s="32">
        <f>IF(D801="G",'RW predict'!E800,0)</f>
        <v>0</v>
      </c>
      <c r="W801" s="18">
        <f>'RW predict'!R800</f>
        <v>0</v>
      </c>
      <c r="X801" s="18">
        <f>'RW predict'!T800</f>
        <v>0</v>
      </c>
      <c r="Y801" s="18">
        <f>'RW predict'!Y800</f>
        <v>0</v>
      </c>
      <c r="Z801" s="18">
        <f>'RW predict'!U800</f>
        <v>0</v>
      </c>
      <c r="AA801" s="18">
        <f>'RW predict'!W800</f>
        <v>0</v>
      </c>
    </row>
    <row r="802" spans="1:27" x14ac:dyDescent="0.3">
      <c r="A802" s="18">
        <v>799</v>
      </c>
      <c r="B802" s="18" t="str">
        <f>'RW predict'!A801</f>
        <v>Jonny Brodzinski</v>
      </c>
      <c r="C802" s="18" t="str">
        <f>'RW predict'!B801</f>
        <v>NYR</v>
      </c>
      <c r="D802" s="22" t="str" cm="1">
        <f t="array" ref="D802">_xlfn.SWITCH('RW predict'!C801, "C", "F", "LW","F", "RW", "F", "D", "D", "G", "G", "other")</f>
        <v>F</v>
      </c>
      <c r="E802" s="32">
        <f t="shared" si="24"/>
        <v>231</v>
      </c>
      <c r="F802" s="35">
        <f>E802/assumptions!$B$2</f>
        <v>2.8170731707317072</v>
      </c>
      <c r="G802" s="36">
        <f t="shared" si="25"/>
        <v>807</v>
      </c>
      <c r="H802" s="18">
        <f>IF(NOT(D802="G"),'RW predict'!E801,0)</f>
        <v>1</v>
      </c>
      <c r="I802" s="18">
        <f>'RW predict'!Q801</f>
        <v>8</v>
      </c>
      <c r="J802" s="18">
        <f>'RW predict'!F801</f>
        <v>2</v>
      </c>
      <c r="K802" s="18"/>
      <c r="L802" s="18"/>
      <c r="M802" s="18">
        <f>'RW predict'!P801</f>
        <v>10</v>
      </c>
      <c r="N802" s="18"/>
      <c r="O802" s="18">
        <f>'RW predict'!H801</f>
        <v>1</v>
      </c>
      <c r="P802" s="18">
        <f>'RW predict'!I801</f>
        <v>12</v>
      </c>
      <c r="Q802" s="18">
        <f>'RW predict'!L801</f>
        <v>0</v>
      </c>
      <c r="R802" s="18">
        <f>'RW predict'!N801</f>
        <v>0</v>
      </c>
      <c r="S802" s="76">
        <f>'RW predict'!O801</f>
        <v>0</v>
      </c>
      <c r="T802" s="76">
        <f>'RW predict'!K801</f>
        <v>0</v>
      </c>
      <c r="U802" s="22">
        <f>'RW predict'!J801</f>
        <v>42</v>
      </c>
      <c r="V802" s="32">
        <f>IF(D802="G",'RW predict'!E801,0)</f>
        <v>0</v>
      </c>
      <c r="W802" s="18">
        <f>'RW predict'!R801</f>
        <v>0</v>
      </c>
      <c r="X802" s="18">
        <f>'RW predict'!T801</f>
        <v>0</v>
      </c>
      <c r="Y802" s="18">
        <f>'RW predict'!Y801</f>
        <v>0</v>
      </c>
      <c r="Z802" s="18">
        <f>'RW predict'!U801</f>
        <v>0</v>
      </c>
      <c r="AA802" s="18">
        <f>'RW predict'!W801</f>
        <v>0</v>
      </c>
    </row>
    <row r="803" spans="1:27" x14ac:dyDescent="0.3">
      <c r="A803" s="18">
        <v>800</v>
      </c>
      <c r="B803" s="18" t="str">
        <f>'RW predict'!A802</f>
        <v>Nolan Patrick</v>
      </c>
      <c r="C803" s="18" t="str">
        <f>'RW predict'!B802</f>
        <v>VGK</v>
      </c>
      <c r="D803" s="22" t="str" cm="1">
        <f t="array" ref="D803">_xlfn.SWITCH('RW predict'!C802, "C", "F", "LW","F", "RW", "F", "D", "D", "G", "G", "other")</f>
        <v>F</v>
      </c>
      <c r="E803" s="32">
        <f t="shared" si="24"/>
        <v>100</v>
      </c>
      <c r="F803" s="35">
        <f>E803/assumptions!$B$2</f>
        <v>1.2195121951219512</v>
      </c>
      <c r="G803" s="36">
        <f t="shared" si="25"/>
        <v>912</v>
      </c>
      <c r="H803" s="18">
        <f>IF(NOT(D803="G"),'RW predict'!E802,0)</f>
        <v>1</v>
      </c>
      <c r="I803" s="18">
        <f>'RW predict'!Q802</f>
        <v>2</v>
      </c>
      <c r="J803" s="18">
        <f>'RW predict'!F802</f>
        <v>2</v>
      </c>
      <c r="K803" s="18"/>
      <c r="L803" s="18"/>
      <c r="M803" s="18">
        <f>'RW predict'!P802</f>
        <v>7</v>
      </c>
      <c r="N803" s="18"/>
      <c r="O803" s="18">
        <f>'RW predict'!H802</f>
        <v>-2</v>
      </c>
      <c r="P803" s="18">
        <f>'RW predict'!I802</f>
        <v>4</v>
      </c>
      <c r="Q803" s="18">
        <f>'RW predict'!L802</f>
        <v>0</v>
      </c>
      <c r="R803" s="18">
        <f>'RW predict'!N802</f>
        <v>0</v>
      </c>
      <c r="S803" s="76">
        <f>'RW predict'!O802</f>
        <v>0</v>
      </c>
      <c r="T803" s="76">
        <f>'RW predict'!K802</f>
        <v>0</v>
      </c>
      <c r="U803" s="22">
        <f>'RW predict'!J802</f>
        <v>11</v>
      </c>
      <c r="V803" s="32">
        <f>IF(D803="G",'RW predict'!E802,0)</f>
        <v>0</v>
      </c>
      <c r="W803" s="18">
        <f>'RW predict'!R802</f>
        <v>0</v>
      </c>
      <c r="X803" s="18">
        <f>'RW predict'!T802</f>
        <v>0</v>
      </c>
      <c r="Y803" s="18">
        <f>'RW predict'!Y802</f>
        <v>0</v>
      </c>
      <c r="Z803" s="18">
        <f>'RW predict'!U802</f>
        <v>0</v>
      </c>
      <c r="AA803" s="18">
        <f>'RW predict'!W802</f>
        <v>0</v>
      </c>
    </row>
    <row r="804" spans="1:27" x14ac:dyDescent="0.3">
      <c r="A804" s="18">
        <v>801</v>
      </c>
      <c r="B804" s="18" t="str">
        <f>'RW predict'!A803</f>
        <v>Dylan Sikura</v>
      </c>
      <c r="C804" s="18" t="str">
        <f>'RW predict'!B803</f>
        <v>CHI</v>
      </c>
      <c r="D804" s="22" t="str" cm="1">
        <f t="array" ref="D804">_xlfn.SWITCH('RW predict'!C803, "C", "F", "LW","F", "RW", "F", "D", "D", "G", "G", "other")</f>
        <v>F</v>
      </c>
      <c r="E804" s="32">
        <f t="shared" si="24"/>
        <v>103</v>
      </c>
      <c r="F804" s="35">
        <f>E804/assumptions!$B$2</f>
        <v>1.2560975609756098</v>
      </c>
      <c r="G804" s="36">
        <f t="shared" si="25"/>
        <v>905</v>
      </c>
      <c r="H804" s="18">
        <f>IF(NOT(D804="G"),'RW predict'!E803,0)</f>
        <v>1</v>
      </c>
      <c r="I804" s="18">
        <f>'RW predict'!Q803</f>
        <v>4</v>
      </c>
      <c r="J804" s="18">
        <f>'RW predict'!F803</f>
        <v>2</v>
      </c>
      <c r="K804" s="18"/>
      <c r="L804" s="18"/>
      <c r="M804" s="18">
        <f>'RW predict'!P803</f>
        <v>2</v>
      </c>
      <c r="N804" s="18"/>
      <c r="O804" s="18">
        <f>'RW predict'!H803</f>
        <v>0</v>
      </c>
      <c r="P804" s="18">
        <f>'RW predict'!I803</f>
        <v>0</v>
      </c>
      <c r="Q804" s="18">
        <f>'RW predict'!L803</f>
        <v>0</v>
      </c>
      <c r="R804" s="18">
        <f>'RW predict'!N803</f>
        <v>0</v>
      </c>
      <c r="S804" s="76">
        <f>'RW predict'!O803</f>
        <v>0</v>
      </c>
      <c r="T804" s="76">
        <f>'RW predict'!K803</f>
        <v>0</v>
      </c>
      <c r="U804" s="22">
        <f>'RW predict'!J803</f>
        <v>9</v>
      </c>
      <c r="V804" s="32">
        <f>IF(D804="G",'RW predict'!E803,0)</f>
        <v>0</v>
      </c>
      <c r="W804" s="18">
        <f>'RW predict'!R803</f>
        <v>0</v>
      </c>
      <c r="X804" s="18">
        <f>'RW predict'!T803</f>
        <v>0</v>
      </c>
      <c r="Y804" s="18">
        <f>'RW predict'!Y803</f>
        <v>0</v>
      </c>
      <c r="Z804" s="18">
        <f>'RW predict'!U803</f>
        <v>0</v>
      </c>
      <c r="AA804" s="18">
        <f>'RW predict'!W803</f>
        <v>0</v>
      </c>
    </row>
    <row r="805" spans="1:27" x14ac:dyDescent="0.3">
      <c r="A805" s="18">
        <v>802</v>
      </c>
      <c r="B805" s="18" t="str">
        <f>'RW predict'!A804</f>
        <v>Jacob MacDonald</v>
      </c>
      <c r="C805" s="18" t="str">
        <f>'RW predict'!B804</f>
        <v>COL</v>
      </c>
      <c r="D805" s="22" t="str" cm="1">
        <f t="array" ref="D805">_xlfn.SWITCH('RW predict'!C804, "C", "F", "LW","F", "RW", "F", "D", "D", "G", "G", "other")</f>
        <v>D</v>
      </c>
      <c r="E805" s="32">
        <f t="shared" si="24"/>
        <v>278</v>
      </c>
      <c r="F805" s="35">
        <f>E805/assumptions!$B$2</f>
        <v>3.3902439024390243</v>
      </c>
      <c r="G805" s="36">
        <f t="shared" si="25"/>
        <v>782</v>
      </c>
      <c r="H805" s="18">
        <f>IF(NOT(D805="G"),'RW predict'!E804,0)</f>
        <v>0</v>
      </c>
      <c r="I805" s="18">
        <f>'RW predict'!Q804</f>
        <v>23</v>
      </c>
      <c r="J805" s="18">
        <f>'RW predict'!F804</f>
        <v>3</v>
      </c>
      <c r="K805" s="18"/>
      <c r="L805" s="18"/>
      <c r="M805" s="18">
        <f>'RW predict'!P804</f>
        <v>29</v>
      </c>
      <c r="N805" s="18"/>
      <c r="O805" s="18">
        <f>'RW predict'!H804</f>
        <v>3</v>
      </c>
      <c r="P805" s="18">
        <f>'RW predict'!I804</f>
        <v>8</v>
      </c>
      <c r="Q805" s="18">
        <f>'RW predict'!L804</f>
        <v>0</v>
      </c>
      <c r="R805" s="18">
        <f>'RW predict'!N804</f>
        <v>0</v>
      </c>
      <c r="S805" s="76">
        <f>'RW predict'!O804</f>
        <v>0</v>
      </c>
      <c r="T805" s="76">
        <f>'RW predict'!K804</f>
        <v>0</v>
      </c>
      <c r="U805" s="22">
        <f>'RW predict'!J804</f>
        <v>37</v>
      </c>
      <c r="V805" s="32">
        <f>IF(D805="G",'RW predict'!E804,0)</f>
        <v>0</v>
      </c>
      <c r="W805" s="18">
        <f>'RW predict'!R804</f>
        <v>0</v>
      </c>
      <c r="X805" s="18">
        <f>'RW predict'!T804</f>
        <v>0</v>
      </c>
      <c r="Y805" s="18">
        <f>'RW predict'!Y804</f>
        <v>0</v>
      </c>
      <c r="Z805" s="18">
        <f>'RW predict'!U804</f>
        <v>0</v>
      </c>
      <c r="AA805" s="18">
        <f>'RW predict'!W804</f>
        <v>0</v>
      </c>
    </row>
    <row r="806" spans="1:27" x14ac:dyDescent="0.3">
      <c r="A806" s="18">
        <v>803</v>
      </c>
      <c r="B806" s="18" t="str">
        <f>'RW predict'!A805</f>
        <v>Wyatt Kalynuk</v>
      </c>
      <c r="C806" s="18" t="str">
        <f>'RW predict'!B805</f>
        <v>VAN</v>
      </c>
      <c r="D806" s="22" t="str" cm="1">
        <f t="array" ref="D806">_xlfn.SWITCH('RW predict'!C805, "C", "F", "LW","F", "RW", "F", "D", "D", "G", "G", "other")</f>
        <v>D</v>
      </c>
      <c r="E806" s="32">
        <f t="shared" si="24"/>
        <v>116</v>
      </c>
      <c r="F806" s="35">
        <f>E806/assumptions!$B$2</f>
        <v>1.4146341463414633</v>
      </c>
      <c r="G806" s="36">
        <f t="shared" si="25"/>
        <v>888</v>
      </c>
      <c r="H806" s="18">
        <f>IF(NOT(D806="G"),'RW predict'!E805,0)</f>
        <v>1</v>
      </c>
      <c r="I806" s="18">
        <f>'RW predict'!Q805</f>
        <v>11</v>
      </c>
      <c r="J806" s="18">
        <f>'RW predict'!F805</f>
        <v>2</v>
      </c>
      <c r="K806" s="18"/>
      <c r="L806" s="18"/>
      <c r="M806" s="18">
        <f>'RW predict'!P805</f>
        <v>23</v>
      </c>
      <c r="N806" s="18"/>
      <c r="O806" s="18">
        <f>'RW predict'!H805</f>
        <v>-5</v>
      </c>
      <c r="P806" s="18">
        <f>'RW predict'!I805</f>
        <v>6</v>
      </c>
      <c r="Q806" s="18">
        <f>'RW predict'!L805</f>
        <v>0</v>
      </c>
      <c r="R806" s="18">
        <f>'RW predict'!N805</f>
        <v>0</v>
      </c>
      <c r="S806" s="76">
        <f>'RW predict'!O805</f>
        <v>0</v>
      </c>
      <c r="T806" s="76">
        <f>'RW predict'!K805</f>
        <v>0</v>
      </c>
      <c r="U806" s="22">
        <f>'RW predict'!J805</f>
        <v>14</v>
      </c>
      <c r="V806" s="32">
        <f>IF(D806="G",'RW predict'!E805,0)</f>
        <v>0</v>
      </c>
      <c r="W806" s="18">
        <f>'RW predict'!R805</f>
        <v>0</v>
      </c>
      <c r="X806" s="18">
        <f>'RW predict'!T805</f>
        <v>0</v>
      </c>
      <c r="Y806" s="18">
        <f>'RW predict'!Y805</f>
        <v>0</v>
      </c>
      <c r="Z806" s="18">
        <f>'RW predict'!U805</f>
        <v>0</v>
      </c>
      <c r="AA806" s="18">
        <f>'RW predict'!W805</f>
        <v>0</v>
      </c>
    </row>
    <row r="807" spans="1:27" x14ac:dyDescent="0.3">
      <c r="A807" s="18">
        <v>804</v>
      </c>
      <c r="B807" s="18" t="str">
        <f>'RW predict'!A806</f>
        <v>Trey Fix-Wolansky</v>
      </c>
      <c r="C807" s="18" t="str">
        <f>'RW predict'!B806</f>
        <v>CLS</v>
      </c>
      <c r="D807" s="22" t="str" cm="1">
        <f t="array" ref="D807">_xlfn.SWITCH('RW predict'!C806, "C", "F", "LW","F", "RW", "F", "D", "D", "G", "G", "other")</f>
        <v>F</v>
      </c>
      <c r="E807" s="32">
        <f t="shared" si="24"/>
        <v>111</v>
      </c>
      <c r="F807" s="35">
        <f>E807/assumptions!$B$2</f>
        <v>1.3536585365853659</v>
      </c>
      <c r="G807" s="36">
        <f t="shared" si="25"/>
        <v>893</v>
      </c>
      <c r="H807" s="18">
        <f>IF(NOT(D807="G"),'RW predict'!E806,0)</f>
        <v>1</v>
      </c>
      <c r="I807" s="18">
        <f>'RW predict'!Q806</f>
        <v>6</v>
      </c>
      <c r="J807" s="18">
        <f>'RW predict'!F806</f>
        <v>2</v>
      </c>
      <c r="K807" s="18"/>
      <c r="L807" s="18"/>
      <c r="M807" s="18">
        <f>'RW predict'!P806</f>
        <v>16</v>
      </c>
      <c r="N807" s="18"/>
      <c r="O807" s="18">
        <f>'RW predict'!H806</f>
        <v>-3</v>
      </c>
      <c r="P807" s="18">
        <f>'RW predict'!I806</f>
        <v>4</v>
      </c>
      <c r="Q807" s="18">
        <f>'RW predict'!L806</f>
        <v>0</v>
      </c>
      <c r="R807" s="18">
        <f>'RW predict'!N806</f>
        <v>0</v>
      </c>
      <c r="S807" s="76">
        <f>'RW predict'!O806</f>
        <v>0</v>
      </c>
      <c r="T807" s="76">
        <f>'RW predict'!K806</f>
        <v>0</v>
      </c>
      <c r="U807" s="22">
        <f>'RW predict'!J806</f>
        <v>13</v>
      </c>
      <c r="V807" s="32">
        <f>IF(D807="G",'RW predict'!E806,0)</f>
        <v>0</v>
      </c>
      <c r="W807" s="18">
        <f>'RW predict'!R806</f>
        <v>0</v>
      </c>
      <c r="X807" s="18">
        <f>'RW predict'!T806</f>
        <v>0</v>
      </c>
      <c r="Y807" s="18">
        <f>'RW predict'!Y806</f>
        <v>0</v>
      </c>
      <c r="Z807" s="18">
        <f>'RW predict'!U806</f>
        <v>0</v>
      </c>
      <c r="AA807" s="18">
        <f>'RW predict'!W806</f>
        <v>0</v>
      </c>
    </row>
    <row r="808" spans="1:27" x14ac:dyDescent="0.3">
      <c r="A808" s="18">
        <v>805</v>
      </c>
      <c r="B808" s="18" t="str">
        <f>'RW predict'!A807</f>
        <v>Mackenzie MacEachern</v>
      </c>
      <c r="C808" s="18" t="str">
        <f>'RW predict'!B807</f>
        <v>CAR</v>
      </c>
      <c r="D808" s="22" t="str" cm="1">
        <f t="array" ref="D808">_xlfn.SWITCH('RW predict'!C807, "C", "F", "LW","F", "RW", "F", "D", "D", "G", "G", "other")</f>
        <v>F</v>
      </c>
      <c r="E808" s="32">
        <f t="shared" si="24"/>
        <v>303</v>
      </c>
      <c r="F808" s="35">
        <f>E808/assumptions!$B$2</f>
        <v>3.6951219512195124</v>
      </c>
      <c r="G808" s="36">
        <f t="shared" si="25"/>
        <v>769</v>
      </c>
      <c r="H808" s="18">
        <f>IF(NOT(D808="G"),'RW predict'!E807,0)</f>
        <v>1</v>
      </c>
      <c r="I808" s="18">
        <f>'RW predict'!Q807</f>
        <v>2</v>
      </c>
      <c r="J808" s="18">
        <f>'RW predict'!F807</f>
        <v>2</v>
      </c>
      <c r="K808" s="18"/>
      <c r="L808" s="18"/>
      <c r="M808" s="18">
        <f>'RW predict'!P807</f>
        <v>21</v>
      </c>
      <c r="N808" s="18"/>
      <c r="O808" s="18">
        <f>'RW predict'!H807</f>
        <v>4</v>
      </c>
      <c r="P808" s="18">
        <f>'RW predict'!I807</f>
        <v>19</v>
      </c>
      <c r="Q808" s="18">
        <f>'RW predict'!L807</f>
        <v>0</v>
      </c>
      <c r="R808" s="18">
        <f>'RW predict'!N807</f>
        <v>0</v>
      </c>
      <c r="S808" s="76">
        <f>'RW predict'!O807</f>
        <v>0</v>
      </c>
      <c r="T808" s="76">
        <f>'RW predict'!K807</f>
        <v>0</v>
      </c>
      <c r="U808" s="22">
        <f>'RW predict'!J807</f>
        <v>53</v>
      </c>
      <c r="V808" s="32">
        <f>IF(D808="G",'RW predict'!E807,0)</f>
        <v>0</v>
      </c>
      <c r="W808" s="18">
        <f>'RW predict'!R807</f>
        <v>0</v>
      </c>
      <c r="X808" s="18">
        <f>'RW predict'!T807</f>
        <v>0</v>
      </c>
      <c r="Y808" s="18">
        <f>'RW predict'!Y807</f>
        <v>0</v>
      </c>
      <c r="Z808" s="18">
        <f>'RW predict'!U807</f>
        <v>0</v>
      </c>
      <c r="AA808" s="18">
        <f>'RW predict'!W807</f>
        <v>0</v>
      </c>
    </row>
    <row r="809" spans="1:27" x14ac:dyDescent="0.3">
      <c r="A809" s="18">
        <v>806</v>
      </c>
      <c r="B809" s="18" t="str">
        <f>'RW predict'!A808</f>
        <v>Alexander Alexeyev</v>
      </c>
      <c r="C809" s="18" t="str">
        <f>'RW predict'!B808</f>
        <v>WAS</v>
      </c>
      <c r="D809" s="22" t="str" cm="1">
        <f t="array" ref="D809">_xlfn.SWITCH('RW predict'!C808, "C", "F", "LW","F", "RW", "F", "D", "D", "G", "G", "other")</f>
        <v>D</v>
      </c>
      <c r="E809" s="32">
        <f t="shared" si="24"/>
        <v>185</v>
      </c>
      <c r="F809" s="35">
        <f>E809/assumptions!$B$2</f>
        <v>2.2560975609756095</v>
      </c>
      <c r="G809" s="36">
        <f t="shared" si="25"/>
        <v>837</v>
      </c>
      <c r="H809" s="18">
        <f>IF(NOT(D809="G"),'RW predict'!E808,0)</f>
        <v>0</v>
      </c>
      <c r="I809" s="18">
        <f>'RW predict'!Q808</f>
        <v>12</v>
      </c>
      <c r="J809" s="18">
        <f>'RW predict'!F808</f>
        <v>3</v>
      </c>
      <c r="K809" s="18"/>
      <c r="L809" s="18"/>
      <c r="M809" s="18">
        <f>'RW predict'!P808</f>
        <v>14</v>
      </c>
      <c r="N809" s="18"/>
      <c r="O809" s="18">
        <f>'RW predict'!H808</f>
        <v>2</v>
      </c>
      <c r="P809" s="18">
        <f>'RW predict'!I808</f>
        <v>8</v>
      </c>
      <c r="Q809" s="18">
        <f>'RW predict'!L808</f>
        <v>0</v>
      </c>
      <c r="R809" s="18">
        <f>'RW predict'!N808</f>
        <v>0</v>
      </c>
      <c r="S809" s="76">
        <f>'RW predict'!O808</f>
        <v>0</v>
      </c>
      <c r="T809" s="76">
        <f>'RW predict'!K808</f>
        <v>0</v>
      </c>
      <c r="U809" s="22">
        <f>'RW predict'!J808</f>
        <v>14</v>
      </c>
      <c r="V809" s="32">
        <f>IF(D809="G",'RW predict'!E808,0)</f>
        <v>0</v>
      </c>
      <c r="W809" s="18">
        <f>'RW predict'!R808</f>
        <v>0</v>
      </c>
      <c r="X809" s="18">
        <f>'RW predict'!T808</f>
        <v>0</v>
      </c>
      <c r="Y809" s="18">
        <f>'RW predict'!Y808</f>
        <v>0</v>
      </c>
      <c r="Z809" s="18">
        <f>'RW predict'!U808</f>
        <v>0</v>
      </c>
      <c r="AA809" s="18">
        <f>'RW predict'!W808</f>
        <v>0</v>
      </c>
    </row>
    <row r="810" spans="1:27" x14ac:dyDescent="0.3">
      <c r="A810" s="18">
        <v>807</v>
      </c>
      <c r="B810" s="18" t="str">
        <f>'RW predict'!A809</f>
        <v>Gabriel Fortier</v>
      </c>
      <c r="C810" s="18" t="str">
        <f>'RW predict'!B809</f>
        <v>TB</v>
      </c>
      <c r="D810" s="22" t="str" cm="1">
        <f t="array" ref="D810">_xlfn.SWITCH('RW predict'!C809, "C", "F", "LW","F", "RW", "F", "D", "D", "G", "G", "other")</f>
        <v>F</v>
      </c>
      <c r="E810" s="32">
        <f t="shared" si="24"/>
        <v>157</v>
      </c>
      <c r="F810" s="35">
        <f>E810/assumptions!$B$2</f>
        <v>1.9146341463414633</v>
      </c>
      <c r="G810" s="36">
        <f t="shared" si="25"/>
        <v>862</v>
      </c>
      <c r="H810" s="18">
        <f>IF(NOT(D810="G"),'RW predict'!E809,0)</f>
        <v>2</v>
      </c>
      <c r="I810" s="18">
        <f>'RW predict'!Q809</f>
        <v>8</v>
      </c>
      <c r="J810" s="18">
        <f>'RW predict'!F809</f>
        <v>1</v>
      </c>
      <c r="K810" s="18"/>
      <c r="L810" s="18"/>
      <c r="M810" s="18">
        <f>'RW predict'!P809</f>
        <v>38</v>
      </c>
      <c r="N810" s="18"/>
      <c r="O810" s="18">
        <f>'RW predict'!H809</f>
        <v>-3</v>
      </c>
      <c r="P810" s="18">
        <f>'RW predict'!I809</f>
        <v>6</v>
      </c>
      <c r="Q810" s="18">
        <f>'RW predict'!L809</f>
        <v>0</v>
      </c>
      <c r="R810" s="18">
        <f>'RW predict'!N809</f>
        <v>0</v>
      </c>
      <c r="S810" s="76">
        <f>'RW predict'!O809</f>
        <v>0</v>
      </c>
      <c r="T810" s="76">
        <f>'RW predict'!K809</f>
        <v>0</v>
      </c>
      <c r="U810" s="22">
        <f>'RW predict'!J809</f>
        <v>20</v>
      </c>
      <c r="V810" s="32">
        <f>IF(D810="G",'RW predict'!E809,0)</f>
        <v>0</v>
      </c>
      <c r="W810" s="18">
        <f>'RW predict'!R809</f>
        <v>0</v>
      </c>
      <c r="X810" s="18">
        <f>'RW predict'!T809</f>
        <v>0</v>
      </c>
      <c r="Y810" s="18">
        <f>'RW predict'!Y809</f>
        <v>0</v>
      </c>
      <c r="Z810" s="18">
        <f>'RW predict'!U809</f>
        <v>0</v>
      </c>
      <c r="AA810" s="18">
        <f>'RW predict'!W809</f>
        <v>0</v>
      </c>
    </row>
    <row r="811" spans="1:27" x14ac:dyDescent="0.3">
      <c r="A811" s="18">
        <v>808</v>
      </c>
      <c r="B811" s="18" t="str">
        <f>'RW predict'!A810</f>
        <v>Jacob Bernard-Docker</v>
      </c>
      <c r="C811" s="18" t="str">
        <f>'RW predict'!B810</f>
        <v>OTT</v>
      </c>
      <c r="D811" s="22" t="str" cm="1">
        <f t="array" ref="D811">_xlfn.SWITCH('RW predict'!C810, "C", "F", "LW","F", "RW", "F", "D", "D", "G", "G", "other")</f>
        <v>D</v>
      </c>
      <c r="E811" s="32">
        <f t="shared" si="24"/>
        <v>165</v>
      </c>
      <c r="F811" s="35">
        <f>E811/assumptions!$B$2</f>
        <v>2.0121951219512195</v>
      </c>
      <c r="G811" s="36">
        <f t="shared" si="25"/>
        <v>852</v>
      </c>
      <c r="H811" s="18">
        <f>IF(NOT(D811="G"),'RW predict'!E810,0)</f>
        <v>0</v>
      </c>
      <c r="I811" s="18">
        <f>'RW predict'!Q810</f>
        <v>9</v>
      </c>
      <c r="J811" s="18">
        <f>'RW predict'!F810</f>
        <v>3</v>
      </c>
      <c r="K811" s="18"/>
      <c r="L811" s="18"/>
      <c r="M811" s="18">
        <f>'RW predict'!P810</f>
        <v>8</v>
      </c>
      <c r="N811" s="18"/>
      <c r="O811" s="18">
        <f>'RW predict'!H810</f>
        <v>2</v>
      </c>
      <c r="P811" s="18">
        <f>'RW predict'!I810</f>
        <v>6</v>
      </c>
      <c r="Q811" s="18">
        <f>'RW predict'!L810</f>
        <v>0</v>
      </c>
      <c r="R811" s="18">
        <f>'RW predict'!N810</f>
        <v>0</v>
      </c>
      <c r="S811" s="76">
        <f>'RW predict'!O810</f>
        <v>0</v>
      </c>
      <c r="T811" s="76">
        <f>'RW predict'!K810</f>
        <v>0</v>
      </c>
      <c r="U811" s="22">
        <f>'RW predict'!J810</f>
        <v>13</v>
      </c>
      <c r="V811" s="32">
        <f>IF(D811="G",'RW predict'!E810,0)</f>
        <v>0</v>
      </c>
      <c r="W811" s="18">
        <f>'RW predict'!R810</f>
        <v>0</v>
      </c>
      <c r="X811" s="18">
        <f>'RW predict'!T810</f>
        <v>0</v>
      </c>
      <c r="Y811" s="18">
        <f>'RW predict'!Y810</f>
        <v>0</v>
      </c>
      <c r="Z811" s="18">
        <f>'RW predict'!U810</f>
        <v>0</v>
      </c>
      <c r="AA811" s="18">
        <f>'RW predict'!W810</f>
        <v>0</v>
      </c>
    </row>
    <row r="812" spans="1:27" x14ac:dyDescent="0.3">
      <c r="A812" s="18">
        <v>809</v>
      </c>
      <c r="B812" s="18" t="str">
        <f>'RW predict'!A811</f>
        <v>Simon Benoit</v>
      </c>
      <c r="C812" s="18" t="str">
        <f>'RW predict'!B811</f>
        <v>ANH</v>
      </c>
      <c r="D812" s="22" t="str" cm="1">
        <f t="array" ref="D812">_xlfn.SWITCH('RW predict'!C811, "C", "F", "LW","F", "RW", "F", "D", "D", "G", "G", "other")</f>
        <v>D</v>
      </c>
      <c r="E812" s="32">
        <f t="shared" si="24"/>
        <v>282</v>
      </c>
      <c r="F812" s="35">
        <f>E812/assumptions!$B$2</f>
        <v>3.4390243902439024</v>
      </c>
      <c r="G812" s="36">
        <f t="shared" si="25"/>
        <v>779</v>
      </c>
      <c r="H812" s="18">
        <f>IF(NOT(D812="G"),'RW predict'!E811,0)</f>
        <v>1</v>
      </c>
      <c r="I812" s="18">
        <f>'RW predict'!Q811</f>
        <v>21</v>
      </c>
      <c r="J812" s="18">
        <f>'RW predict'!F811</f>
        <v>2</v>
      </c>
      <c r="K812" s="18"/>
      <c r="L812" s="18"/>
      <c r="M812" s="18">
        <f>'RW predict'!P811</f>
        <v>81</v>
      </c>
      <c r="N812" s="18"/>
      <c r="O812" s="18">
        <f>'RW predict'!H811</f>
        <v>-5</v>
      </c>
      <c r="P812" s="18">
        <f>'RW predict'!I811</f>
        <v>20</v>
      </c>
      <c r="Q812" s="18">
        <f>'RW predict'!L811</f>
        <v>0</v>
      </c>
      <c r="R812" s="18">
        <f>'RW predict'!N811</f>
        <v>0</v>
      </c>
      <c r="S812" s="76">
        <f>'RW predict'!O811</f>
        <v>0</v>
      </c>
      <c r="T812" s="76">
        <f>'RW predict'!K811</f>
        <v>0</v>
      </c>
      <c r="U812" s="22">
        <f>'RW predict'!J811</f>
        <v>37</v>
      </c>
      <c r="V812" s="32">
        <f>IF(D812="G",'RW predict'!E811,0)</f>
        <v>0</v>
      </c>
      <c r="W812" s="18">
        <f>'RW predict'!R811</f>
        <v>0</v>
      </c>
      <c r="X812" s="18">
        <f>'RW predict'!T811</f>
        <v>0</v>
      </c>
      <c r="Y812" s="18">
        <f>'RW predict'!Y811</f>
        <v>0</v>
      </c>
      <c r="Z812" s="18">
        <f>'RW predict'!U811</f>
        <v>0</v>
      </c>
      <c r="AA812" s="18">
        <f>'RW predict'!W811</f>
        <v>0</v>
      </c>
    </row>
    <row r="813" spans="1:27" x14ac:dyDescent="0.3">
      <c r="A813" s="18">
        <v>810</v>
      </c>
      <c r="B813" s="18" t="str">
        <f>'RW predict'!A812</f>
        <v>Riley Damiani</v>
      </c>
      <c r="C813" s="18" t="str">
        <f>'RW predict'!B812</f>
        <v>DAL</v>
      </c>
      <c r="D813" s="22" t="str" cm="1">
        <f t="array" ref="D813">_xlfn.SWITCH('RW predict'!C812, "C", "F", "LW","F", "RW", "F", "D", "D", "G", "G", "other")</f>
        <v>F</v>
      </c>
      <c r="E813" s="32">
        <f t="shared" si="24"/>
        <v>127</v>
      </c>
      <c r="F813" s="35">
        <f>E813/assumptions!$B$2</f>
        <v>1.5487804878048781</v>
      </c>
      <c r="G813" s="36">
        <f t="shared" si="25"/>
        <v>880</v>
      </c>
      <c r="H813" s="18">
        <f>IF(NOT(D813="G"),'RW predict'!E812,0)</f>
        <v>1</v>
      </c>
      <c r="I813" s="18">
        <f>'RW predict'!Q812</f>
        <v>2</v>
      </c>
      <c r="J813" s="18">
        <f>'RW predict'!F812</f>
        <v>2</v>
      </c>
      <c r="K813" s="18"/>
      <c r="L813" s="18"/>
      <c r="M813" s="18">
        <f>'RW predict'!P812</f>
        <v>6</v>
      </c>
      <c r="N813" s="18"/>
      <c r="O813" s="18">
        <f>'RW predict'!H812</f>
        <v>1</v>
      </c>
      <c r="P813" s="18">
        <f>'RW predict'!I812</f>
        <v>2</v>
      </c>
      <c r="Q813" s="18">
        <f>'RW predict'!L812</f>
        <v>0</v>
      </c>
      <c r="R813" s="18">
        <f>'RW predict'!N812</f>
        <v>0</v>
      </c>
      <c r="S813" s="76">
        <f>'RW predict'!O812</f>
        <v>0</v>
      </c>
      <c r="T813" s="76">
        <f>'RW predict'!K812</f>
        <v>0</v>
      </c>
      <c r="U813" s="22">
        <f>'RW predict'!J812</f>
        <v>13</v>
      </c>
      <c r="V813" s="32">
        <f>IF(D813="G",'RW predict'!E812,0)</f>
        <v>0</v>
      </c>
      <c r="W813" s="18">
        <f>'RW predict'!R812</f>
        <v>0</v>
      </c>
      <c r="X813" s="18">
        <f>'RW predict'!T812</f>
        <v>0</v>
      </c>
      <c r="Y813" s="18">
        <f>'RW predict'!Y812</f>
        <v>0</v>
      </c>
      <c r="Z813" s="18">
        <f>'RW predict'!U812</f>
        <v>0</v>
      </c>
      <c r="AA813" s="18">
        <f>'RW predict'!W812</f>
        <v>0</v>
      </c>
    </row>
    <row r="814" spans="1:27" x14ac:dyDescent="0.3">
      <c r="A814" s="18">
        <v>811</v>
      </c>
      <c r="B814" s="18" t="str">
        <f>'RW predict'!A813</f>
        <v>Jakub Galvas</v>
      </c>
      <c r="C814" s="18" t="str">
        <f>'RW predict'!B813</f>
        <v>CHI</v>
      </c>
      <c r="D814" s="22" t="str" cm="1">
        <f t="array" ref="D814">_xlfn.SWITCH('RW predict'!C813, "C", "F", "LW","F", "RW", "F", "D", "D", "G", "G", "other")</f>
        <v>D</v>
      </c>
      <c r="E814" s="32">
        <f t="shared" si="24"/>
        <v>148</v>
      </c>
      <c r="F814" s="35">
        <f>E814/assumptions!$B$2</f>
        <v>1.8048780487804879</v>
      </c>
      <c r="G814" s="36">
        <f t="shared" si="25"/>
        <v>865</v>
      </c>
      <c r="H814" s="18">
        <f>IF(NOT(D814="G"),'RW predict'!E813,0)</f>
        <v>0</v>
      </c>
      <c r="I814" s="18">
        <f>'RW predict'!Q813</f>
        <v>33</v>
      </c>
      <c r="J814" s="18">
        <f>'RW predict'!F813</f>
        <v>3</v>
      </c>
      <c r="K814" s="18"/>
      <c r="L814" s="18"/>
      <c r="M814" s="18">
        <f>'RW predict'!P813</f>
        <v>7</v>
      </c>
      <c r="N814" s="18"/>
      <c r="O814" s="18">
        <f>'RW predict'!H813</f>
        <v>-7</v>
      </c>
      <c r="P814" s="18">
        <f>'RW predict'!I813</f>
        <v>4</v>
      </c>
      <c r="Q814" s="18">
        <f>'RW predict'!L813</f>
        <v>0</v>
      </c>
      <c r="R814" s="18">
        <f>'RW predict'!N813</f>
        <v>0</v>
      </c>
      <c r="S814" s="76">
        <f>'RW predict'!O813</f>
        <v>0</v>
      </c>
      <c r="T814" s="76">
        <f>'RW predict'!K813</f>
        <v>0</v>
      </c>
      <c r="U814" s="22">
        <f>'RW predict'!J813</f>
        <v>29</v>
      </c>
      <c r="V814" s="32">
        <f>IF(D814="G",'RW predict'!E813,0)</f>
        <v>0</v>
      </c>
      <c r="W814" s="18">
        <f>'RW predict'!R813</f>
        <v>0</v>
      </c>
      <c r="X814" s="18">
        <f>'RW predict'!T813</f>
        <v>0</v>
      </c>
      <c r="Y814" s="18">
        <f>'RW predict'!Y813</f>
        <v>0</v>
      </c>
      <c r="Z814" s="18">
        <f>'RW predict'!U813</f>
        <v>0</v>
      </c>
      <c r="AA814" s="18">
        <f>'RW predict'!W813</f>
        <v>0</v>
      </c>
    </row>
    <row r="815" spans="1:27" x14ac:dyDescent="0.3">
      <c r="A815" s="18">
        <v>812</v>
      </c>
      <c r="B815" s="18" t="str">
        <f>'RW predict'!A814</f>
        <v>Santeri Hatakka</v>
      </c>
      <c r="C815" s="18" t="str">
        <f>'RW predict'!B814</f>
        <v>SJ</v>
      </c>
      <c r="D815" s="22" t="str" cm="1">
        <f t="array" ref="D815">_xlfn.SWITCH('RW predict'!C814, "C", "F", "LW","F", "RW", "F", "D", "D", "G", "G", "other")</f>
        <v>D</v>
      </c>
      <c r="E815" s="32">
        <f t="shared" si="24"/>
        <v>75</v>
      </c>
      <c r="F815" s="35">
        <f>E815/assumptions!$B$2</f>
        <v>0.91463414634146345</v>
      </c>
      <c r="G815" s="36">
        <f t="shared" si="25"/>
        <v>949</v>
      </c>
      <c r="H815" s="18">
        <f>IF(NOT(D815="G"),'RW predict'!E814,0)</f>
        <v>0</v>
      </c>
      <c r="I815" s="18">
        <f>'RW predict'!Q814</f>
        <v>8</v>
      </c>
      <c r="J815" s="18">
        <f>'RW predict'!F814</f>
        <v>3</v>
      </c>
      <c r="K815" s="18"/>
      <c r="L815" s="18"/>
      <c r="M815" s="18">
        <f>'RW predict'!P814</f>
        <v>6</v>
      </c>
      <c r="N815" s="18"/>
      <c r="O815" s="18">
        <f>'RW predict'!H814</f>
        <v>-4</v>
      </c>
      <c r="P815" s="18">
        <f>'RW predict'!I814</f>
        <v>2</v>
      </c>
      <c r="Q815" s="18">
        <f>'RW predict'!L814</f>
        <v>0</v>
      </c>
      <c r="R815" s="18">
        <f>'RW predict'!N814</f>
        <v>0</v>
      </c>
      <c r="S815" s="76">
        <f>'RW predict'!O814</f>
        <v>0</v>
      </c>
      <c r="T815" s="76">
        <f>'RW predict'!K814</f>
        <v>0</v>
      </c>
      <c r="U815" s="22">
        <f>'RW predict'!J814</f>
        <v>6</v>
      </c>
      <c r="V815" s="32">
        <f>IF(D815="G",'RW predict'!E814,0)</f>
        <v>0</v>
      </c>
      <c r="W815" s="18">
        <f>'RW predict'!R814</f>
        <v>0</v>
      </c>
      <c r="X815" s="18">
        <f>'RW predict'!T814</f>
        <v>0</v>
      </c>
      <c r="Y815" s="18">
        <f>'RW predict'!Y814</f>
        <v>0</v>
      </c>
      <c r="Z815" s="18">
        <f>'RW predict'!U814</f>
        <v>0</v>
      </c>
      <c r="AA815" s="18">
        <f>'RW predict'!W814</f>
        <v>0</v>
      </c>
    </row>
    <row r="816" spans="1:27" x14ac:dyDescent="0.3">
      <c r="A816" s="18">
        <v>813</v>
      </c>
      <c r="B816" s="18" t="str">
        <f>'RW predict'!A815</f>
        <v>Mike Hardman</v>
      </c>
      <c r="C816" s="18" t="str">
        <f>'RW predict'!B815</f>
        <v>CHI</v>
      </c>
      <c r="D816" s="22" t="str" cm="1">
        <f t="array" ref="D816">_xlfn.SWITCH('RW predict'!C815, "C", "F", "LW","F", "RW", "F", "D", "D", "G", "G", "other")</f>
        <v>F</v>
      </c>
      <c r="E816" s="32">
        <f t="shared" si="24"/>
        <v>173</v>
      </c>
      <c r="F816" s="35">
        <f>E816/assumptions!$B$2</f>
        <v>2.1097560975609757</v>
      </c>
      <c r="G816" s="36">
        <f t="shared" si="25"/>
        <v>845</v>
      </c>
      <c r="H816" s="18">
        <f>IF(NOT(D816="G"),'RW predict'!E815,0)</f>
        <v>1</v>
      </c>
      <c r="I816" s="18">
        <f>'RW predict'!Q815</f>
        <v>13</v>
      </c>
      <c r="J816" s="18">
        <f>'RW predict'!F815</f>
        <v>2</v>
      </c>
      <c r="K816" s="18"/>
      <c r="L816" s="18"/>
      <c r="M816" s="18">
        <f>'RW predict'!P815</f>
        <v>68</v>
      </c>
      <c r="N816" s="18"/>
      <c r="O816" s="18">
        <f>'RW predict'!H815</f>
        <v>-7</v>
      </c>
      <c r="P816" s="18">
        <f>'RW predict'!I815</f>
        <v>14</v>
      </c>
      <c r="Q816" s="18">
        <f>'RW predict'!L815</f>
        <v>0</v>
      </c>
      <c r="R816" s="18">
        <f>'RW predict'!N815</f>
        <v>0</v>
      </c>
      <c r="S816" s="76">
        <f>'RW predict'!O815</f>
        <v>0</v>
      </c>
      <c r="T816" s="76">
        <f>'RW predict'!K815</f>
        <v>0</v>
      </c>
      <c r="U816" s="22">
        <f>'RW predict'!J815</f>
        <v>16</v>
      </c>
      <c r="V816" s="32">
        <f>IF(D816="G",'RW predict'!E815,0)</f>
        <v>0</v>
      </c>
      <c r="W816" s="18">
        <f>'RW predict'!R815</f>
        <v>0</v>
      </c>
      <c r="X816" s="18">
        <f>'RW predict'!T815</f>
        <v>0</v>
      </c>
      <c r="Y816" s="18">
        <f>'RW predict'!Y815</f>
        <v>0</v>
      </c>
      <c r="Z816" s="18">
        <f>'RW predict'!U815</f>
        <v>0</v>
      </c>
      <c r="AA816" s="18">
        <f>'RW predict'!W815</f>
        <v>0</v>
      </c>
    </row>
    <row r="817" spans="1:27" x14ac:dyDescent="0.3">
      <c r="A817" s="18">
        <v>814</v>
      </c>
      <c r="B817" s="18" t="str">
        <f>'RW predict'!A816</f>
        <v>Matt Kiersted</v>
      </c>
      <c r="C817" s="18" t="str">
        <f>'RW predict'!B816</f>
        <v>FLA</v>
      </c>
      <c r="D817" s="22" t="str" cm="1">
        <f t="array" ref="D817">_xlfn.SWITCH('RW predict'!C816, "C", "F", "LW","F", "RW", "F", "D", "D", "G", "G", "other")</f>
        <v>D</v>
      </c>
      <c r="E817" s="32">
        <f t="shared" si="24"/>
        <v>105</v>
      </c>
      <c r="F817" s="35">
        <f>E817/assumptions!$B$2</f>
        <v>1.2804878048780488</v>
      </c>
      <c r="G817" s="36">
        <f t="shared" si="25"/>
        <v>903</v>
      </c>
      <c r="H817" s="18">
        <f>IF(NOT(D817="G"),'RW predict'!E816,0)</f>
        <v>1</v>
      </c>
      <c r="I817" s="18">
        <f>'RW predict'!Q816</f>
        <v>17</v>
      </c>
      <c r="J817" s="18">
        <f>'RW predict'!F816</f>
        <v>2</v>
      </c>
      <c r="K817" s="18"/>
      <c r="L817" s="18"/>
      <c r="M817" s="18">
        <f>'RW predict'!P816</f>
        <v>10</v>
      </c>
      <c r="N817" s="18"/>
      <c r="O817" s="18">
        <f>'RW predict'!H816</f>
        <v>-5</v>
      </c>
      <c r="P817" s="18">
        <f>'RW predict'!I816</f>
        <v>4</v>
      </c>
      <c r="Q817" s="18">
        <f>'RW predict'!L816</f>
        <v>0</v>
      </c>
      <c r="R817" s="18">
        <f>'RW predict'!N816</f>
        <v>0</v>
      </c>
      <c r="S817" s="76">
        <f>'RW predict'!O816</f>
        <v>0</v>
      </c>
      <c r="T817" s="76">
        <f>'RW predict'!K816</f>
        <v>0</v>
      </c>
      <c r="U817" s="22">
        <f>'RW predict'!J816</f>
        <v>12</v>
      </c>
      <c r="V817" s="32">
        <f>IF(D817="G",'RW predict'!E816,0)</f>
        <v>0</v>
      </c>
      <c r="W817" s="18">
        <f>'RW predict'!R816</f>
        <v>0</v>
      </c>
      <c r="X817" s="18">
        <f>'RW predict'!T816</f>
        <v>0</v>
      </c>
      <c r="Y817" s="18">
        <f>'RW predict'!Y816</f>
        <v>0</v>
      </c>
      <c r="Z817" s="18">
        <f>'RW predict'!U816</f>
        <v>0</v>
      </c>
      <c r="AA817" s="18">
        <f>'RW predict'!W816</f>
        <v>0</v>
      </c>
    </row>
    <row r="818" spans="1:27" x14ac:dyDescent="0.3">
      <c r="A818" s="18">
        <v>815</v>
      </c>
      <c r="B818" s="18" t="str">
        <f>'RW predict'!A817</f>
        <v>Cole Reinhardt</v>
      </c>
      <c r="C818" s="18" t="str">
        <f>'RW predict'!B817</f>
        <v>OTT</v>
      </c>
      <c r="D818" s="22" t="str" cm="1">
        <f t="array" ref="D818">_xlfn.SWITCH('RW predict'!C817, "C", "F", "LW","F", "RW", "F", "D", "D", "G", "G", "other")</f>
        <v>F</v>
      </c>
      <c r="E818" s="32">
        <f t="shared" si="24"/>
        <v>115</v>
      </c>
      <c r="F818" s="35">
        <f>E818/assumptions!$B$2</f>
        <v>1.4024390243902438</v>
      </c>
      <c r="G818" s="36">
        <f t="shared" si="25"/>
        <v>890</v>
      </c>
      <c r="H818" s="18">
        <f>IF(NOT(D818="G"),'RW predict'!E817,0)</f>
        <v>1</v>
      </c>
      <c r="I818" s="18">
        <f>'RW predict'!Q817</f>
        <v>2</v>
      </c>
      <c r="J818" s="18">
        <f>'RW predict'!F817</f>
        <v>1</v>
      </c>
      <c r="K818" s="18"/>
      <c r="L818" s="18"/>
      <c r="M818" s="18">
        <f>'RW predict'!P817</f>
        <v>21</v>
      </c>
      <c r="N818" s="18"/>
      <c r="O818" s="18">
        <f>'RW predict'!H817</f>
        <v>-4</v>
      </c>
      <c r="P818" s="18">
        <f>'RW predict'!I817</f>
        <v>16</v>
      </c>
      <c r="Q818" s="18">
        <f>'RW predict'!L817</f>
        <v>0</v>
      </c>
      <c r="R818" s="18">
        <f>'RW predict'!N817</f>
        <v>0</v>
      </c>
      <c r="S818" s="76">
        <f>'RW predict'!O817</f>
        <v>0</v>
      </c>
      <c r="T818" s="76">
        <f>'RW predict'!K817</f>
        <v>0</v>
      </c>
      <c r="U818" s="22">
        <f>'RW predict'!J817</f>
        <v>16</v>
      </c>
      <c r="V818" s="32">
        <f>IF(D818="G",'RW predict'!E817,0)</f>
        <v>0</v>
      </c>
      <c r="W818" s="18">
        <f>'RW predict'!R817</f>
        <v>0</v>
      </c>
      <c r="X818" s="18">
        <f>'RW predict'!T817</f>
        <v>0</v>
      </c>
      <c r="Y818" s="18">
        <f>'RW predict'!Y817</f>
        <v>0</v>
      </c>
      <c r="Z818" s="18">
        <f>'RW predict'!U817</f>
        <v>0</v>
      </c>
      <c r="AA818" s="18">
        <f>'RW predict'!W817</f>
        <v>0</v>
      </c>
    </row>
    <row r="819" spans="1:27" x14ac:dyDescent="0.3">
      <c r="A819" s="18">
        <v>816</v>
      </c>
      <c r="B819" s="18" t="str">
        <f>'RW predict'!A818</f>
        <v>Josiah Slavin</v>
      </c>
      <c r="C819" s="18" t="str">
        <f>'RW predict'!B818</f>
        <v>CHI</v>
      </c>
      <c r="D819" s="22" t="str" cm="1">
        <f t="array" ref="D819">_xlfn.SWITCH('RW predict'!C818, "C", "F", "LW","F", "RW", "F", "D", "D", "G", "G", "other")</f>
        <v>F</v>
      </c>
      <c r="E819" s="32">
        <f t="shared" si="24"/>
        <v>135</v>
      </c>
      <c r="F819" s="35">
        <f>E819/assumptions!$B$2</f>
        <v>1.6463414634146341</v>
      </c>
      <c r="G819" s="36">
        <f t="shared" si="25"/>
        <v>872</v>
      </c>
      <c r="H819" s="18">
        <f>IF(NOT(D819="G"),'RW predict'!E818,0)</f>
        <v>0</v>
      </c>
      <c r="I819" s="18">
        <f>'RW predict'!Q818</f>
        <v>7</v>
      </c>
      <c r="J819" s="18">
        <f>'RW predict'!F818</f>
        <v>2</v>
      </c>
      <c r="K819" s="18"/>
      <c r="L819" s="18"/>
      <c r="M819" s="18">
        <f>'RW predict'!P818</f>
        <v>21</v>
      </c>
      <c r="N819" s="18"/>
      <c r="O819" s="18">
        <f>'RW predict'!H818</f>
        <v>-8</v>
      </c>
      <c r="P819" s="18">
        <f>'RW predict'!I818</f>
        <v>12</v>
      </c>
      <c r="Q819" s="18">
        <f>'RW predict'!L818</f>
        <v>0</v>
      </c>
      <c r="R819" s="18">
        <f>'RW predict'!N818</f>
        <v>0</v>
      </c>
      <c r="S819" s="76">
        <f>'RW predict'!O818</f>
        <v>0</v>
      </c>
      <c r="T819" s="76">
        <f>'RW predict'!K818</f>
        <v>0</v>
      </c>
      <c r="U819" s="22">
        <f>'RW predict'!J818</f>
        <v>47</v>
      </c>
      <c r="V819" s="32">
        <f>IF(D819="G",'RW predict'!E818,0)</f>
        <v>0</v>
      </c>
      <c r="W819" s="18">
        <f>'RW predict'!R818</f>
        <v>0</v>
      </c>
      <c r="X819" s="18">
        <f>'RW predict'!T818</f>
        <v>0</v>
      </c>
      <c r="Y819" s="18">
        <f>'RW predict'!Y818</f>
        <v>0</v>
      </c>
      <c r="Z819" s="18">
        <f>'RW predict'!U818</f>
        <v>0</v>
      </c>
      <c r="AA819" s="18">
        <f>'RW predict'!W818</f>
        <v>0</v>
      </c>
    </row>
    <row r="820" spans="1:27" x14ac:dyDescent="0.3">
      <c r="A820" s="18">
        <v>817</v>
      </c>
      <c r="B820" s="18" t="str">
        <f>'RW predict'!A819</f>
        <v>Max Willman</v>
      </c>
      <c r="C820" s="18" t="str">
        <f>'RW predict'!B819</f>
        <v>PHI</v>
      </c>
      <c r="D820" s="22" t="str" cm="1">
        <f t="array" ref="D820">_xlfn.SWITCH('RW predict'!C819, "C", "F", "LW","F", "RW", "F", "D", "D", "G", "G", "other")</f>
        <v>F</v>
      </c>
      <c r="E820" s="32">
        <f t="shared" si="24"/>
        <v>82</v>
      </c>
      <c r="F820" s="35">
        <f>E820/assumptions!$B$2</f>
        <v>1</v>
      </c>
      <c r="G820" s="36">
        <f t="shared" si="25"/>
        <v>937</v>
      </c>
      <c r="H820" s="18">
        <f>IF(NOT(D820="G"),'RW predict'!E819,0)</f>
        <v>1</v>
      </c>
      <c r="I820" s="18">
        <f>'RW predict'!Q819</f>
        <v>3</v>
      </c>
      <c r="J820" s="18">
        <f>'RW predict'!F819</f>
        <v>1</v>
      </c>
      <c r="K820" s="18"/>
      <c r="L820" s="18"/>
      <c r="M820" s="18">
        <f>'RW predict'!P819</f>
        <v>14</v>
      </c>
      <c r="N820" s="18"/>
      <c r="O820" s="18">
        <f>'RW predict'!H819</f>
        <v>-3</v>
      </c>
      <c r="P820" s="18">
        <f>'RW predict'!I819</f>
        <v>4</v>
      </c>
      <c r="Q820" s="18">
        <f>'RW predict'!L819</f>
        <v>0</v>
      </c>
      <c r="R820" s="18">
        <f>'RW predict'!N819</f>
        <v>0</v>
      </c>
      <c r="S820" s="76">
        <f>'RW predict'!O819</f>
        <v>0</v>
      </c>
      <c r="T820" s="76">
        <f>'RW predict'!K819</f>
        <v>0</v>
      </c>
      <c r="U820" s="22">
        <f>'RW predict'!J819</f>
        <v>15</v>
      </c>
      <c r="V820" s="32">
        <f>IF(D820="G",'RW predict'!E819,0)</f>
        <v>0</v>
      </c>
      <c r="W820" s="18">
        <f>'RW predict'!R819</f>
        <v>0</v>
      </c>
      <c r="X820" s="18">
        <f>'RW predict'!T819</f>
        <v>0</v>
      </c>
      <c r="Y820" s="18">
        <f>'RW predict'!Y819</f>
        <v>0</v>
      </c>
      <c r="Z820" s="18">
        <f>'RW predict'!U819</f>
        <v>0</v>
      </c>
      <c r="AA820" s="18">
        <f>'RW predict'!W819</f>
        <v>0</v>
      </c>
    </row>
    <row r="821" spans="1:27" x14ac:dyDescent="0.3">
      <c r="A821" s="18">
        <v>818</v>
      </c>
      <c r="B821" s="18" t="str">
        <f>'RW predict'!A820</f>
        <v>Ben McCartney</v>
      </c>
      <c r="C821" s="18" t="str">
        <f>'RW predict'!B820</f>
        <v>ARI</v>
      </c>
      <c r="D821" s="22" t="str" cm="1">
        <f t="array" ref="D821">_xlfn.SWITCH('RW predict'!C820, "C", "F", "LW","F", "RW", "F", "D", "D", "G", "G", "other")</f>
        <v>F</v>
      </c>
      <c r="E821" s="32">
        <f t="shared" si="24"/>
        <v>67</v>
      </c>
      <c r="F821" s="35">
        <f>E821/assumptions!$B$2</f>
        <v>0.81707317073170727</v>
      </c>
      <c r="G821" s="36">
        <f t="shared" si="25"/>
        <v>961</v>
      </c>
      <c r="H821" s="18">
        <f>IF(NOT(D821="G"),'RW predict'!E820,0)</f>
        <v>0</v>
      </c>
      <c r="I821" s="18">
        <f>'RW predict'!Q820</f>
        <v>2</v>
      </c>
      <c r="J821" s="18">
        <f>'RW predict'!F820</f>
        <v>2</v>
      </c>
      <c r="K821" s="18"/>
      <c r="L821" s="18"/>
      <c r="M821" s="18">
        <f>'RW predict'!P820</f>
        <v>13</v>
      </c>
      <c r="N821" s="18"/>
      <c r="O821" s="18">
        <f>'RW predict'!H820</f>
        <v>-3</v>
      </c>
      <c r="P821" s="18">
        <f>'RW predict'!I820</f>
        <v>4</v>
      </c>
      <c r="Q821" s="18">
        <f>'RW predict'!L820</f>
        <v>0</v>
      </c>
      <c r="R821" s="18">
        <f>'RW predict'!N820</f>
        <v>0</v>
      </c>
      <c r="S821" s="76">
        <f>'RW predict'!O820</f>
        <v>0</v>
      </c>
      <c r="T821" s="76">
        <f>'RW predict'!K820</f>
        <v>0</v>
      </c>
      <c r="U821" s="22">
        <f>'RW predict'!J820</f>
        <v>9</v>
      </c>
      <c r="V821" s="32">
        <f>IF(D821="G",'RW predict'!E820,0)</f>
        <v>0</v>
      </c>
      <c r="W821" s="18">
        <f>'RW predict'!R820</f>
        <v>0</v>
      </c>
      <c r="X821" s="18">
        <f>'RW predict'!T820</f>
        <v>0</v>
      </c>
      <c r="Y821" s="18">
        <f>'RW predict'!Y820</f>
        <v>0</v>
      </c>
      <c r="Z821" s="18">
        <f>'RW predict'!U820</f>
        <v>0</v>
      </c>
      <c r="AA821" s="18">
        <f>'RW predict'!W820</f>
        <v>0</v>
      </c>
    </row>
    <row r="822" spans="1:27" x14ac:dyDescent="0.3">
      <c r="A822" s="18">
        <v>819</v>
      </c>
      <c r="B822" s="18" t="str">
        <f>'RW predict'!A821</f>
        <v>Vladimir Tkachev</v>
      </c>
      <c r="C822" s="18" t="str">
        <f>'RW predict'!B821</f>
        <v>FA</v>
      </c>
      <c r="D822" s="22" t="str" cm="1">
        <f t="array" ref="D822">_xlfn.SWITCH('RW predict'!C821, "C", "F", "LW","F", "RW", "F", "D", "D", "G", "G", "other")</f>
        <v>F</v>
      </c>
      <c r="E822" s="32">
        <f t="shared" si="24"/>
        <v>39</v>
      </c>
      <c r="F822" s="35">
        <f>E822/assumptions!$B$2</f>
        <v>0.47560975609756095</v>
      </c>
      <c r="G822" s="36">
        <f t="shared" si="25"/>
        <v>1005</v>
      </c>
      <c r="H822" s="18">
        <f>IF(NOT(D822="G"),'RW predict'!E821,0)</f>
        <v>0</v>
      </c>
      <c r="I822" s="18">
        <f>'RW predict'!Q821</f>
        <v>0</v>
      </c>
      <c r="J822" s="18">
        <f>'RW predict'!F821</f>
        <v>2</v>
      </c>
      <c r="K822" s="18"/>
      <c r="L822" s="18"/>
      <c r="M822" s="18">
        <f>'RW predict'!P821</f>
        <v>1</v>
      </c>
      <c r="N822" s="18"/>
      <c r="O822" s="18">
        <f>'RW predict'!H821</f>
        <v>-2</v>
      </c>
      <c r="P822" s="18">
        <f>'RW predict'!I821</f>
        <v>2</v>
      </c>
      <c r="Q822" s="18">
        <f>'RW predict'!L821</f>
        <v>0</v>
      </c>
      <c r="R822" s="18">
        <f>'RW predict'!N821</f>
        <v>0</v>
      </c>
      <c r="S822" s="76">
        <f>'RW predict'!O821</f>
        <v>0</v>
      </c>
      <c r="T822" s="76">
        <f>'RW predict'!K821</f>
        <v>0</v>
      </c>
      <c r="U822" s="22">
        <f>'RW predict'!J821</f>
        <v>1</v>
      </c>
      <c r="V822" s="32">
        <f>IF(D822="G",'RW predict'!E821,0)</f>
        <v>0</v>
      </c>
      <c r="W822" s="18">
        <f>'RW predict'!R821</f>
        <v>0</v>
      </c>
      <c r="X822" s="18">
        <f>'RW predict'!T821</f>
        <v>0</v>
      </c>
      <c r="Y822" s="18">
        <f>'RW predict'!Y821</f>
        <v>0</v>
      </c>
      <c r="Z822" s="18">
        <f>'RW predict'!U821</f>
        <v>0</v>
      </c>
      <c r="AA822" s="18">
        <f>'RW predict'!W821</f>
        <v>0</v>
      </c>
    </row>
    <row r="823" spans="1:27" x14ac:dyDescent="0.3">
      <c r="A823" s="18">
        <v>820</v>
      </c>
      <c r="B823" s="18" t="str">
        <f>'RW predict'!A822</f>
        <v>Brandon Biro</v>
      </c>
      <c r="C823" s="18" t="str">
        <f>'RW predict'!B822</f>
        <v>BUF</v>
      </c>
      <c r="D823" s="22" t="str" cm="1">
        <f t="array" ref="D823">_xlfn.SWITCH('RW predict'!C822, "C", "F", "LW","F", "RW", "F", "D", "D", "G", "G", "other")</f>
        <v>F</v>
      </c>
      <c r="E823" s="32">
        <f t="shared" si="24"/>
        <v>87</v>
      </c>
      <c r="F823" s="35">
        <f>E823/assumptions!$B$2</f>
        <v>1.0609756097560976</v>
      </c>
      <c r="G823" s="36">
        <f t="shared" si="25"/>
        <v>929</v>
      </c>
      <c r="H823" s="18">
        <f>IF(NOT(D823="G"),'RW predict'!E822,0)</f>
        <v>0</v>
      </c>
      <c r="I823" s="18">
        <f>'RW predict'!Q822</f>
        <v>5</v>
      </c>
      <c r="J823" s="18">
        <f>'RW predict'!F822</f>
        <v>2</v>
      </c>
      <c r="K823" s="18"/>
      <c r="L823" s="18"/>
      <c r="M823" s="18">
        <f>'RW predict'!P822</f>
        <v>15</v>
      </c>
      <c r="N823" s="18"/>
      <c r="O823" s="18">
        <f>'RW predict'!H822</f>
        <v>-4</v>
      </c>
      <c r="P823" s="18">
        <f>'RW predict'!I822</f>
        <v>8</v>
      </c>
      <c r="Q823" s="18">
        <f>'RW predict'!L822</f>
        <v>0</v>
      </c>
      <c r="R823" s="18">
        <f>'RW predict'!N822</f>
        <v>0</v>
      </c>
      <c r="S823" s="76">
        <f>'RW predict'!O822</f>
        <v>0</v>
      </c>
      <c r="T823" s="76">
        <f>'RW predict'!K822</f>
        <v>0</v>
      </c>
      <c r="U823" s="22">
        <f>'RW predict'!J822</f>
        <v>14</v>
      </c>
      <c r="V823" s="32">
        <f>IF(D823="G",'RW predict'!E822,0)</f>
        <v>0</v>
      </c>
      <c r="W823" s="18">
        <f>'RW predict'!R822</f>
        <v>0</v>
      </c>
      <c r="X823" s="18">
        <f>'RW predict'!T822</f>
        <v>0</v>
      </c>
      <c r="Y823" s="18">
        <f>'RW predict'!Y822</f>
        <v>0</v>
      </c>
      <c r="Z823" s="18">
        <f>'RW predict'!U822</f>
        <v>0</v>
      </c>
      <c r="AA823" s="18">
        <f>'RW predict'!W822</f>
        <v>0</v>
      </c>
    </row>
    <row r="824" spans="1:27" x14ac:dyDescent="0.3">
      <c r="A824" s="18">
        <v>821</v>
      </c>
      <c r="B824" s="18" t="str">
        <f>'RW predict'!A823</f>
        <v>Jeffrey Viel</v>
      </c>
      <c r="C824" s="18" t="str">
        <f>'RW predict'!B823</f>
        <v>SJ</v>
      </c>
      <c r="D824" s="22" t="str" cm="1">
        <f t="array" ref="D824">_xlfn.SWITCH('RW predict'!C823, "C", "F", "LW","F", "RW", "F", "D", "D", "G", "G", "other")</f>
        <v>F</v>
      </c>
      <c r="E824" s="32">
        <f t="shared" si="24"/>
        <v>266</v>
      </c>
      <c r="F824" s="35">
        <f>E824/assumptions!$B$2</f>
        <v>3.2439024390243905</v>
      </c>
      <c r="G824" s="36">
        <f t="shared" si="25"/>
        <v>788</v>
      </c>
      <c r="H824" s="18">
        <f>IF(NOT(D824="G"),'RW predict'!E823,0)</f>
        <v>1</v>
      </c>
      <c r="I824" s="18">
        <f>'RW predict'!Q823</f>
        <v>4</v>
      </c>
      <c r="J824" s="18">
        <f>'RW predict'!F823</f>
        <v>1</v>
      </c>
      <c r="K824" s="18"/>
      <c r="L824" s="18"/>
      <c r="M824" s="18">
        <f>'RW predict'!P823</f>
        <v>30</v>
      </c>
      <c r="N824" s="18"/>
      <c r="O824" s="18">
        <f>'RW predict'!H823</f>
        <v>-2</v>
      </c>
      <c r="P824" s="18">
        <f>'RW predict'!I823</f>
        <v>56</v>
      </c>
      <c r="Q824" s="18">
        <f>'RW predict'!L823</f>
        <v>0</v>
      </c>
      <c r="R824" s="18">
        <f>'RW predict'!N823</f>
        <v>0</v>
      </c>
      <c r="S824" s="76">
        <f>'RW predict'!O823</f>
        <v>0</v>
      </c>
      <c r="T824" s="76">
        <f>'RW predict'!K823</f>
        <v>0</v>
      </c>
      <c r="U824" s="22">
        <f>'RW predict'!J823</f>
        <v>15</v>
      </c>
      <c r="V824" s="32">
        <f>IF(D824="G",'RW predict'!E823,0)</f>
        <v>0</v>
      </c>
      <c r="W824" s="18">
        <f>'RW predict'!R823</f>
        <v>0</v>
      </c>
      <c r="X824" s="18">
        <f>'RW predict'!T823</f>
        <v>0</v>
      </c>
      <c r="Y824" s="18">
        <f>'RW predict'!Y823</f>
        <v>0</v>
      </c>
      <c r="Z824" s="18">
        <f>'RW predict'!U823</f>
        <v>0</v>
      </c>
      <c r="AA824" s="18">
        <f>'RW predict'!W823</f>
        <v>0</v>
      </c>
    </row>
    <row r="825" spans="1:27" x14ac:dyDescent="0.3">
      <c r="A825" s="18">
        <v>822</v>
      </c>
      <c r="B825" s="18" t="str">
        <f>'RW predict'!A824</f>
        <v>Nick Abruzzese</v>
      </c>
      <c r="C825" s="18" t="str">
        <f>'RW predict'!B824</f>
        <v>TOR</v>
      </c>
      <c r="D825" s="22" t="str" cm="1">
        <f t="array" ref="D825">_xlfn.SWITCH('RW predict'!C824, "C", "F", "LW","F", "RW", "F", "D", "D", "G", "G", "other")</f>
        <v>F</v>
      </c>
      <c r="E825" s="32">
        <f t="shared" si="24"/>
        <v>91</v>
      </c>
      <c r="F825" s="35">
        <f>E825/assumptions!$B$2</f>
        <v>1.1097560975609757</v>
      </c>
      <c r="G825" s="36">
        <f t="shared" si="25"/>
        <v>925</v>
      </c>
      <c r="H825" s="18">
        <f>IF(NOT(D825="G"),'RW predict'!E824,0)</f>
        <v>1</v>
      </c>
      <c r="I825" s="18">
        <f>'RW predict'!Q824</f>
        <v>4</v>
      </c>
      <c r="J825" s="18">
        <f>'RW predict'!F824</f>
        <v>1</v>
      </c>
      <c r="K825" s="18"/>
      <c r="L825" s="18"/>
      <c r="M825" s="18">
        <f>'RW predict'!P824</f>
        <v>9</v>
      </c>
      <c r="N825" s="18"/>
      <c r="O825" s="18">
        <f>'RW predict'!H824</f>
        <v>-1</v>
      </c>
      <c r="P825" s="18">
        <f>'RW predict'!I824</f>
        <v>4</v>
      </c>
      <c r="Q825" s="18">
        <f>'RW predict'!L824</f>
        <v>0</v>
      </c>
      <c r="R825" s="18">
        <f>'RW predict'!N824</f>
        <v>0</v>
      </c>
      <c r="S825" s="76">
        <f>'RW predict'!O824</f>
        <v>0</v>
      </c>
      <c r="T825" s="76">
        <f>'RW predict'!K824</f>
        <v>0</v>
      </c>
      <c r="U825" s="22">
        <f>'RW predict'!J824</f>
        <v>11</v>
      </c>
      <c r="V825" s="32">
        <f>IF(D825="G",'RW predict'!E824,0)</f>
        <v>0</v>
      </c>
      <c r="W825" s="18">
        <f>'RW predict'!R824</f>
        <v>0</v>
      </c>
      <c r="X825" s="18">
        <f>'RW predict'!T824</f>
        <v>0</v>
      </c>
      <c r="Y825" s="18">
        <f>'RW predict'!Y824</f>
        <v>0</v>
      </c>
      <c r="Z825" s="18">
        <f>'RW predict'!U824</f>
        <v>0</v>
      </c>
      <c r="AA825" s="18">
        <f>'RW predict'!W824</f>
        <v>0</v>
      </c>
    </row>
    <row r="826" spans="1:27" x14ac:dyDescent="0.3">
      <c r="A826" s="18">
        <v>823</v>
      </c>
      <c r="B826" s="18" t="str">
        <f>'RW predict'!A825</f>
        <v>Jasper Weatherby</v>
      </c>
      <c r="C826" s="18" t="str">
        <f>'RW predict'!B825</f>
        <v>SJ</v>
      </c>
      <c r="D826" s="22" t="str" cm="1">
        <f t="array" ref="D826">_xlfn.SWITCH('RW predict'!C825, "C", "F", "LW","F", "RW", "F", "D", "D", "G", "G", "other")</f>
        <v>F</v>
      </c>
      <c r="E826" s="32">
        <f t="shared" si="24"/>
        <v>70</v>
      </c>
      <c r="F826" s="35">
        <f>E826/assumptions!$B$2</f>
        <v>0.85365853658536583</v>
      </c>
      <c r="G826" s="36">
        <f t="shared" si="25"/>
        <v>955</v>
      </c>
      <c r="H826" s="18">
        <f>IF(NOT(D826="G"),'RW predict'!E825,0)</f>
        <v>1</v>
      </c>
      <c r="I826" s="18">
        <f>'RW predict'!Q825</f>
        <v>4</v>
      </c>
      <c r="J826" s="18">
        <f>'RW predict'!F825</f>
        <v>1</v>
      </c>
      <c r="K826" s="18"/>
      <c r="L826" s="18"/>
      <c r="M826" s="18">
        <f>'RW predict'!P825</f>
        <v>9</v>
      </c>
      <c r="N826" s="18"/>
      <c r="O826" s="18">
        <f>'RW predict'!H825</f>
        <v>-4</v>
      </c>
      <c r="P826" s="18">
        <f>'RW predict'!I825</f>
        <v>5</v>
      </c>
      <c r="Q826" s="18">
        <f>'RW predict'!L825</f>
        <v>0</v>
      </c>
      <c r="R826" s="18">
        <f>'RW predict'!N825</f>
        <v>0</v>
      </c>
      <c r="S826" s="76">
        <f>'RW predict'!O825</f>
        <v>0</v>
      </c>
      <c r="T826" s="76">
        <f>'RW predict'!K825</f>
        <v>0</v>
      </c>
      <c r="U826" s="22">
        <f>'RW predict'!J825</f>
        <v>14</v>
      </c>
      <c r="V826" s="32">
        <f>IF(D826="G",'RW predict'!E825,0)</f>
        <v>0</v>
      </c>
      <c r="W826" s="18">
        <f>'RW predict'!R825</f>
        <v>0</v>
      </c>
      <c r="X826" s="18">
        <f>'RW predict'!T825</f>
        <v>0</v>
      </c>
      <c r="Y826" s="18">
        <f>'RW predict'!Y825</f>
        <v>0</v>
      </c>
      <c r="Z826" s="18">
        <f>'RW predict'!U825</f>
        <v>0</v>
      </c>
      <c r="AA826" s="18">
        <f>'RW predict'!W825</f>
        <v>0</v>
      </c>
    </row>
    <row r="827" spans="1:27" x14ac:dyDescent="0.3">
      <c r="A827" s="18">
        <v>824</v>
      </c>
      <c r="B827" s="18" t="str">
        <f>'RW predict'!A826</f>
        <v>Jeremy Davies</v>
      </c>
      <c r="C827" s="18" t="str">
        <f>'RW predict'!B826</f>
        <v>BUF</v>
      </c>
      <c r="D827" s="22" t="str" cm="1">
        <f t="array" ref="D827">_xlfn.SWITCH('RW predict'!C826, "C", "F", "LW","F", "RW", "F", "D", "D", "G", "G", "other")</f>
        <v>D</v>
      </c>
      <c r="E827" s="32">
        <f t="shared" si="24"/>
        <v>68</v>
      </c>
      <c r="F827" s="35">
        <f>E827/assumptions!$B$2</f>
        <v>0.82926829268292679</v>
      </c>
      <c r="G827" s="36">
        <f t="shared" si="25"/>
        <v>959</v>
      </c>
      <c r="H827" s="18">
        <f>IF(NOT(D827="G"),'RW predict'!E826,0)</f>
        <v>0</v>
      </c>
      <c r="I827" s="18">
        <f>'RW predict'!Q826</f>
        <v>4</v>
      </c>
      <c r="J827" s="18">
        <f>'RW predict'!F826</f>
        <v>2</v>
      </c>
      <c r="K827" s="18"/>
      <c r="L827" s="18"/>
      <c r="M827" s="18">
        <f>'RW predict'!P826</f>
        <v>8</v>
      </c>
      <c r="N827" s="18"/>
      <c r="O827" s="18">
        <f>'RW predict'!H826</f>
        <v>-3</v>
      </c>
      <c r="P827" s="18">
        <f>'RW predict'!I826</f>
        <v>4</v>
      </c>
      <c r="Q827" s="18">
        <f>'RW predict'!L826</f>
        <v>0</v>
      </c>
      <c r="R827" s="18">
        <f>'RW predict'!N826</f>
        <v>0</v>
      </c>
      <c r="S827" s="76">
        <f>'RW predict'!O826</f>
        <v>0</v>
      </c>
      <c r="T827" s="76">
        <f>'RW predict'!K826</f>
        <v>0</v>
      </c>
      <c r="U827" s="22">
        <f>'RW predict'!J826</f>
        <v>10</v>
      </c>
      <c r="V827" s="32">
        <f>IF(D827="G",'RW predict'!E826,0)</f>
        <v>0</v>
      </c>
      <c r="W827" s="18">
        <f>'RW predict'!R826</f>
        <v>0</v>
      </c>
      <c r="X827" s="18">
        <f>'RW predict'!T826</f>
        <v>0</v>
      </c>
      <c r="Y827" s="18">
        <f>'RW predict'!Y826</f>
        <v>0</v>
      </c>
      <c r="Z827" s="18">
        <f>'RW predict'!U826</f>
        <v>0</v>
      </c>
      <c r="AA827" s="18">
        <f>'RW predict'!W826</f>
        <v>0</v>
      </c>
    </row>
    <row r="828" spans="1:27" x14ac:dyDescent="0.3">
      <c r="A828" s="18">
        <v>825</v>
      </c>
      <c r="B828" s="18" t="str">
        <f>'RW predict'!A827</f>
        <v>Nolan Foote</v>
      </c>
      <c r="C828" s="18" t="str">
        <f>'RW predict'!B827</f>
        <v>NJ</v>
      </c>
      <c r="D828" s="22" t="str" cm="1">
        <f t="array" ref="D828">_xlfn.SWITCH('RW predict'!C827, "C", "F", "LW","F", "RW", "F", "D", "D", "G", "G", "other")</f>
        <v>F</v>
      </c>
      <c r="E828" s="32">
        <f t="shared" si="24"/>
        <v>98</v>
      </c>
      <c r="F828" s="35">
        <f>E828/assumptions!$B$2</f>
        <v>1.1951219512195121</v>
      </c>
      <c r="G828" s="36">
        <f t="shared" si="25"/>
        <v>917</v>
      </c>
      <c r="H828" s="18">
        <f>IF(NOT(D828="G"),'RW predict'!E827,0)</f>
        <v>1</v>
      </c>
      <c r="I828" s="18">
        <f>'RW predict'!Q827</f>
        <v>1</v>
      </c>
      <c r="J828" s="18">
        <f>'RW predict'!F827</f>
        <v>1</v>
      </c>
      <c r="K828" s="18"/>
      <c r="L828" s="18"/>
      <c r="M828" s="18">
        <f>'RW predict'!P827</f>
        <v>6</v>
      </c>
      <c r="N828" s="18"/>
      <c r="O828" s="18">
        <f>'RW predict'!H827</f>
        <v>2</v>
      </c>
      <c r="P828" s="18">
        <f>'RW predict'!I827</f>
        <v>2</v>
      </c>
      <c r="Q828" s="18">
        <f>'RW predict'!L827</f>
        <v>0</v>
      </c>
      <c r="R828" s="18">
        <f>'RW predict'!N827</f>
        <v>0</v>
      </c>
      <c r="S828" s="76">
        <f>'RW predict'!O827</f>
        <v>0</v>
      </c>
      <c r="T828" s="76">
        <f>'RW predict'!K827</f>
        <v>0</v>
      </c>
      <c r="U828" s="22">
        <f>'RW predict'!J827</f>
        <v>7</v>
      </c>
      <c r="V828" s="32">
        <f>IF(D828="G",'RW predict'!E827,0)</f>
        <v>0</v>
      </c>
      <c r="W828" s="18">
        <f>'RW predict'!R827</f>
        <v>0</v>
      </c>
      <c r="X828" s="18">
        <f>'RW predict'!T827</f>
        <v>0</v>
      </c>
      <c r="Y828" s="18">
        <f>'RW predict'!Y827</f>
        <v>0</v>
      </c>
      <c r="Z828" s="18">
        <f>'RW predict'!U827</f>
        <v>0</v>
      </c>
      <c r="AA828" s="18">
        <f>'RW predict'!W827</f>
        <v>0</v>
      </c>
    </row>
    <row r="829" spans="1:27" x14ac:dyDescent="0.3">
      <c r="A829" s="18">
        <v>826</v>
      </c>
      <c r="B829" s="18" t="str">
        <f>'RW predict'!A828</f>
        <v>Vladislav Kolyachonok</v>
      </c>
      <c r="C829" s="18" t="str">
        <f>'RW predict'!B828</f>
        <v>ARI</v>
      </c>
      <c r="D829" s="22" t="str" cm="1">
        <f t="array" ref="D829">_xlfn.SWITCH('RW predict'!C828, "C", "F", "LW","F", "RW", "F", "D", "D", "G", "G", "other")</f>
        <v>D</v>
      </c>
      <c r="E829" s="32">
        <f t="shared" si="24"/>
        <v>127</v>
      </c>
      <c r="F829" s="35">
        <f>E829/assumptions!$B$2</f>
        <v>1.5487804878048781</v>
      </c>
      <c r="G829" s="36">
        <f t="shared" si="25"/>
        <v>880</v>
      </c>
      <c r="H829" s="18">
        <f>IF(NOT(D829="G"),'RW predict'!E828,0)</f>
        <v>0</v>
      </c>
      <c r="I829" s="18">
        <f>'RW predict'!Q828</f>
        <v>17</v>
      </c>
      <c r="J829" s="18">
        <f>'RW predict'!F828</f>
        <v>2</v>
      </c>
      <c r="K829" s="18"/>
      <c r="L829" s="18"/>
      <c r="M829" s="18">
        <f>'RW predict'!P828</f>
        <v>17</v>
      </c>
      <c r="N829" s="18"/>
      <c r="O829" s="18">
        <f>'RW predict'!H828</f>
        <v>-1</v>
      </c>
      <c r="P829" s="18">
        <f>'RW predict'!I828</f>
        <v>4</v>
      </c>
      <c r="Q829" s="18">
        <f>'RW predict'!L828</f>
        <v>0</v>
      </c>
      <c r="R829" s="18">
        <f>'RW predict'!N828</f>
        <v>0</v>
      </c>
      <c r="S829" s="76">
        <f>'RW predict'!O828</f>
        <v>0</v>
      </c>
      <c r="T829" s="76">
        <f>'RW predict'!K828</f>
        <v>0</v>
      </c>
      <c r="U829" s="22">
        <f>'RW predict'!J828</f>
        <v>12</v>
      </c>
      <c r="V829" s="32">
        <f>IF(D829="G",'RW predict'!E828,0)</f>
        <v>0</v>
      </c>
      <c r="W829" s="18">
        <f>'RW predict'!R828</f>
        <v>0</v>
      </c>
      <c r="X829" s="18">
        <f>'RW predict'!T828</f>
        <v>0</v>
      </c>
      <c r="Y829" s="18">
        <f>'RW predict'!Y828</f>
        <v>0</v>
      </c>
      <c r="Z829" s="18">
        <f>'RW predict'!U828</f>
        <v>0</v>
      </c>
      <c r="AA829" s="18">
        <f>'RW predict'!W828</f>
        <v>0</v>
      </c>
    </row>
    <row r="830" spans="1:27" x14ac:dyDescent="0.3">
      <c r="A830" s="18">
        <v>827</v>
      </c>
      <c r="B830" s="18" t="str">
        <f>'RW predict'!A829</f>
        <v>Ronnie Attard</v>
      </c>
      <c r="C830" s="18" t="str">
        <f>'RW predict'!B829</f>
        <v>PHI</v>
      </c>
      <c r="D830" s="22" t="str" cm="1">
        <f t="array" ref="D830">_xlfn.SWITCH('RW predict'!C829, "C", "F", "LW","F", "RW", "F", "D", "D", "G", "G", "other")</f>
        <v>D</v>
      </c>
      <c r="E830" s="32">
        <f t="shared" si="24"/>
        <v>86</v>
      </c>
      <c r="F830" s="35">
        <f>E830/assumptions!$B$2</f>
        <v>1.0487804878048781</v>
      </c>
      <c r="G830" s="36">
        <f t="shared" si="25"/>
        <v>930</v>
      </c>
      <c r="H830" s="18">
        <f>IF(NOT(D830="G"),'RW predict'!E829,0)</f>
        <v>1</v>
      </c>
      <c r="I830" s="18">
        <f>'RW predict'!Q829</f>
        <v>6</v>
      </c>
      <c r="J830" s="18">
        <f>'RW predict'!F829</f>
        <v>1</v>
      </c>
      <c r="K830" s="18"/>
      <c r="L830" s="18"/>
      <c r="M830" s="18">
        <f>'RW predict'!P829</f>
        <v>8</v>
      </c>
      <c r="N830" s="18"/>
      <c r="O830" s="18">
        <f>'RW predict'!H829</f>
        <v>-1</v>
      </c>
      <c r="P830" s="18">
        <f>'RW predict'!I829</f>
        <v>4</v>
      </c>
      <c r="Q830" s="18">
        <f>'RW predict'!L829</f>
        <v>0</v>
      </c>
      <c r="R830" s="18">
        <f>'RW predict'!N829</f>
        <v>0</v>
      </c>
      <c r="S830" s="76">
        <f>'RW predict'!O829</f>
        <v>0</v>
      </c>
      <c r="T830" s="76">
        <f>'RW predict'!K829</f>
        <v>0</v>
      </c>
      <c r="U830" s="22">
        <f>'RW predict'!J829</f>
        <v>7</v>
      </c>
      <c r="V830" s="32">
        <f>IF(D830="G",'RW predict'!E829,0)</f>
        <v>0</v>
      </c>
      <c r="W830" s="18">
        <f>'RW predict'!R829</f>
        <v>0</v>
      </c>
      <c r="X830" s="18">
        <f>'RW predict'!T829</f>
        <v>0</v>
      </c>
      <c r="Y830" s="18">
        <f>'RW predict'!Y829</f>
        <v>0</v>
      </c>
      <c r="Z830" s="18">
        <f>'RW predict'!U829</f>
        <v>0</v>
      </c>
      <c r="AA830" s="18">
        <f>'RW predict'!W829</f>
        <v>0</v>
      </c>
    </row>
    <row r="831" spans="1:27" x14ac:dyDescent="0.3">
      <c r="A831" s="18">
        <v>828</v>
      </c>
      <c r="B831" s="18" t="str">
        <f>'RW predict'!A830</f>
        <v>Nikita Okhotyuk</v>
      </c>
      <c r="C831" s="18" t="str">
        <f>'RW predict'!B830</f>
        <v>NJ</v>
      </c>
      <c r="D831" s="22" t="str" cm="1">
        <f t="array" ref="D831">_xlfn.SWITCH('RW predict'!C830, "C", "F", "LW","F", "RW", "F", "D", "D", "G", "G", "other")</f>
        <v>D</v>
      </c>
      <c r="E831" s="32">
        <f t="shared" si="24"/>
        <v>86</v>
      </c>
      <c r="F831" s="35">
        <f>E831/assumptions!$B$2</f>
        <v>1.0487804878048781</v>
      </c>
      <c r="G831" s="36">
        <f t="shared" si="25"/>
        <v>930</v>
      </c>
      <c r="H831" s="18">
        <f>IF(NOT(D831="G"),'RW predict'!E830,0)</f>
        <v>1</v>
      </c>
      <c r="I831" s="18">
        <f>'RW predict'!Q830</f>
        <v>7</v>
      </c>
      <c r="J831" s="18">
        <f>'RW predict'!F830</f>
        <v>1</v>
      </c>
      <c r="K831" s="18"/>
      <c r="L831" s="18"/>
      <c r="M831" s="18">
        <f>'RW predict'!P830</f>
        <v>28</v>
      </c>
      <c r="N831" s="18"/>
      <c r="O831" s="18">
        <f>'RW predict'!H830</f>
        <v>-4</v>
      </c>
      <c r="P831" s="18">
        <f>'RW predict'!I830</f>
        <v>4</v>
      </c>
      <c r="Q831" s="18">
        <f>'RW predict'!L830</f>
        <v>0</v>
      </c>
      <c r="R831" s="18">
        <f>'RW predict'!N830</f>
        <v>0</v>
      </c>
      <c r="S831" s="76">
        <f>'RW predict'!O830</f>
        <v>0</v>
      </c>
      <c r="T831" s="76">
        <f>'RW predict'!K830</f>
        <v>0</v>
      </c>
      <c r="U831" s="22">
        <f>'RW predict'!J830</f>
        <v>11</v>
      </c>
      <c r="V831" s="32">
        <f>IF(D831="G",'RW predict'!E830,0)</f>
        <v>0</v>
      </c>
      <c r="W831" s="18">
        <f>'RW predict'!R830</f>
        <v>0</v>
      </c>
      <c r="X831" s="18">
        <f>'RW predict'!T830</f>
        <v>0</v>
      </c>
      <c r="Y831" s="18">
        <f>'RW predict'!Y830</f>
        <v>0</v>
      </c>
      <c r="Z831" s="18">
        <f>'RW predict'!U830</f>
        <v>0</v>
      </c>
      <c r="AA831" s="18">
        <f>'RW predict'!W830</f>
        <v>0</v>
      </c>
    </row>
    <row r="832" spans="1:27" x14ac:dyDescent="0.3">
      <c r="A832" s="18">
        <v>829</v>
      </c>
      <c r="B832" s="18" t="str">
        <f>'RW predict'!A831</f>
        <v>Adam Beckman</v>
      </c>
      <c r="C832" s="18" t="str">
        <f>'RW predict'!B831</f>
        <v>MIN</v>
      </c>
      <c r="D832" s="22" t="str" cm="1">
        <f t="array" ref="D832">_xlfn.SWITCH('RW predict'!C831, "C", "F", "LW","F", "RW", "F", "D", "D", "G", "G", "other")</f>
        <v>F</v>
      </c>
      <c r="E832" s="32">
        <f t="shared" si="24"/>
        <v>69</v>
      </c>
      <c r="F832" s="35">
        <f>E832/assumptions!$B$2</f>
        <v>0.84146341463414631</v>
      </c>
      <c r="G832" s="36">
        <f t="shared" si="25"/>
        <v>958</v>
      </c>
      <c r="H832" s="18">
        <f>IF(NOT(D832="G"),'RW predict'!E831,0)</f>
        <v>0</v>
      </c>
      <c r="I832" s="18">
        <f>'RW predict'!Q831</f>
        <v>2</v>
      </c>
      <c r="J832" s="18">
        <f>'RW predict'!F831</f>
        <v>2</v>
      </c>
      <c r="K832" s="18"/>
      <c r="L832" s="18"/>
      <c r="M832" s="18">
        <f>'RW predict'!P831</f>
        <v>3</v>
      </c>
      <c r="N832" s="18"/>
      <c r="O832" s="18">
        <f>'RW predict'!H831</f>
        <v>-2</v>
      </c>
      <c r="P832" s="18">
        <f>'RW predict'!I831</f>
        <v>4</v>
      </c>
      <c r="Q832" s="18">
        <f>'RW predict'!L831</f>
        <v>0</v>
      </c>
      <c r="R832" s="18">
        <f>'RW predict'!N831</f>
        <v>0</v>
      </c>
      <c r="S832" s="76">
        <f>'RW predict'!O831</f>
        <v>0</v>
      </c>
      <c r="T832" s="76">
        <f>'RW predict'!K831</f>
        <v>0</v>
      </c>
      <c r="U832" s="22">
        <f>'RW predict'!J831</f>
        <v>10</v>
      </c>
      <c r="V832" s="32">
        <f>IF(D832="G",'RW predict'!E831,0)</f>
        <v>0</v>
      </c>
      <c r="W832" s="18">
        <f>'RW predict'!R831</f>
        <v>0</v>
      </c>
      <c r="X832" s="18">
        <f>'RW predict'!T831</f>
        <v>0</v>
      </c>
      <c r="Y832" s="18">
        <f>'RW predict'!Y831</f>
        <v>0</v>
      </c>
      <c r="Z832" s="18">
        <f>'RW predict'!U831</f>
        <v>0</v>
      </c>
      <c r="AA832" s="18">
        <f>'RW predict'!W831</f>
        <v>0</v>
      </c>
    </row>
    <row r="833" spans="1:27" x14ac:dyDescent="0.3">
      <c r="A833" s="18">
        <v>830</v>
      </c>
      <c r="B833" s="18" t="str">
        <f>'RW predict'!A832</f>
        <v>Alex Steeves</v>
      </c>
      <c r="C833" s="18" t="str">
        <f>'RW predict'!B832</f>
        <v>TOR</v>
      </c>
      <c r="D833" s="22" t="str" cm="1">
        <f t="array" ref="D833">_xlfn.SWITCH('RW predict'!C832, "C", "F", "LW","F", "RW", "F", "D", "D", "G", "G", "other")</f>
        <v>F</v>
      </c>
      <c r="E833" s="32">
        <f t="shared" si="24"/>
        <v>51</v>
      </c>
      <c r="F833" s="35">
        <f>E833/assumptions!$B$2</f>
        <v>0.62195121951219512</v>
      </c>
      <c r="G833" s="36">
        <f t="shared" si="25"/>
        <v>986</v>
      </c>
      <c r="H833" s="18">
        <f>IF(NOT(D833="G"),'RW predict'!E832,0)</f>
        <v>0</v>
      </c>
      <c r="I833" s="18">
        <f>'RW predict'!Q832</f>
        <v>3</v>
      </c>
      <c r="J833" s="18">
        <f>'RW predict'!F832</f>
        <v>2</v>
      </c>
      <c r="K833" s="18"/>
      <c r="L833" s="18"/>
      <c r="M833" s="18">
        <f>'RW predict'!P832</f>
        <v>3</v>
      </c>
      <c r="N833" s="18"/>
      <c r="O833" s="18">
        <f>'RW predict'!H832</f>
        <v>-2</v>
      </c>
      <c r="P833" s="18">
        <f>'RW predict'!I832</f>
        <v>0</v>
      </c>
      <c r="Q833" s="18">
        <f>'RW predict'!L832</f>
        <v>0</v>
      </c>
      <c r="R833" s="18">
        <f>'RW predict'!N832</f>
        <v>0</v>
      </c>
      <c r="S833" s="76">
        <f>'RW predict'!O832</f>
        <v>0</v>
      </c>
      <c r="T833" s="76">
        <f>'RW predict'!K832</f>
        <v>0</v>
      </c>
      <c r="U833" s="22">
        <f>'RW predict'!J832</f>
        <v>6</v>
      </c>
      <c r="V833" s="32">
        <f>IF(D833="G",'RW predict'!E832,0)</f>
        <v>0</v>
      </c>
      <c r="W833" s="18">
        <f>'RW predict'!R832</f>
        <v>0</v>
      </c>
      <c r="X833" s="18">
        <f>'RW predict'!T832</f>
        <v>0</v>
      </c>
      <c r="Y833" s="18">
        <f>'RW predict'!Y832</f>
        <v>0</v>
      </c>
      <c r="Z833" s="18">
        <f>'RW predict'!U832</f>
        <v>0</v>
      </c>
      <c r="AA833" s="18">
        <f>'RW predict'!W832</f>
        <v>0</v>
      </c>
    </row>
    <row r="834" spans="1:27" x14ac:dyDescent="0.3">
      <c r="A834" s="18">
        <v>831</v>
      </c>
      <c r="B834" s="18" t="str">
        <f>'RW predict'!A833</f>
        <v>Jesse Ylonen</v>
      </c>
      <c r="C834" s="18" t="str">
        <f>'RW predict'!B833</f>
        <v>MON</v>
      </c>
      <c r="D834" s="22" t="str" cm="1">
        <f t="array" ref="D834">_xlfn.SWITCH('RW predict'!C833, "C", "F", "LW","F", "RW", "F", "D", "D", "G", "G", "other")</f>
        <v>F</v>
      </c>
      <c r="E834" s="32">
        <f t="shared" si="24"/>
        <v>79</v>
      </c>
      <c r="F834" s="35">
        <f>E834/assumptions!$B$2</f>
        <v>0.96341463414634143</v>
      </c>
      <c r="G834" s="36">
        <f t="shared" si="25"/>
        <v>942</v>
      </c>
      <c r="H834" s="18">
        <f>IF(NOT(D834="G"),'RW predict'!E833,0)</f>
        <v>0</v>
      </c>
      <c r="I834" s="18">
        <f>'RW predict'!Q833</f>
        <v>2</v>
      </c>
      <c r="J834" s="18">
        <f>'RW predict'!F833</f>
        <v>2</v>
      </c>
      <c r="K834" s="18"/>
      <c r="L834" s="18"/>
      <c r="M834" s="18">
        <f>'RW predict'!P833</f>
        <v>3</v>
      </c>
      <c r="N834" s="18"/>
      <c r="O834" s="18">
        <f>'RW predict'!H833</f>
        <v>0</v>
      </c>
      <c r="P834" s="18">
        <f>'RW predict'!I833</f>
        <v>2</v>
      </c>
      <c r="Q834" s="18">
        <f>'RW predict'!L833</f>
        <v>0</v>
      </c>
      <c r="R834" s="18">
        <f>'RW predict'!N833</f>
        <v>0</v>
      </c>
      <c r="S834" s="76">
        <f>'RW predict'!O833</f>
        <v>0</v>
      </c>
      <c r="T834" s="76">
        <f>'RW predict'!K833</f>
        <v>0</v>
      </c>
      <c r="U834" s="22">
        <f>'RW predict'!J833</f>
        <v>8</v>
      </c>
      <c r="V834" s="32">
        <f>IF(D834="G",'RW predict'!E833,0)</f>
        <v>0</v>
      </c>
      <c r="W834" s="18">
        <f>'RW predict'!R833</f>
        <v>0</v>
      </c>
      <c r="X834" s="18">
        <f>'RW predict'!T833</f>
        <v>0</v>
      </c>
      <c r="Y834" s="18">
        <f>'RW predict'!Y833</f>
        <v>0</v>
      </c>
      <c r="Z834" s="18">
        <f>'RW predict'!U833</f>
        <v>0</v>
      </c>
      <c r="AA834" s="18">
        <f>'RW predict'!W833</f>
        <v>0</v>
      </c>
    </row>
    <row r="835" spans="1:27" x14ac:dyDescent="0.3">
      <c r="A835" s="18">
        <v>832</v>
      </c>
      <c r="B835" s="18" t="str">
        <f>'RW predict'!A834</f>
        <v>Paul Cotter</v>
      </c>
      <c r="C835" s="18" t="str">
        <f>'RW predict'!B834</f>
        <v>VGK</v>
      </c>
      <c r="D835" s="22" t="str" cm="1">
        <f t="array" ref="D835">_xlfn.SWITCH('RW predict'!C834, "C", "F", "LW","F", "RW", "F", "D", "D", "G", "G", "other")</f>
        <v>F</v>
      </c>
      <c r="E835" s="32">
        <f t="shared" si="24"/>
        <v>108</v>
      </c>
      <c r="F835" s="35">
        <f>E835/assumptions!$B$2</f>
        <v>1.3170731707317074</v>
      </c>
      <c r="G835" s="36">
        <f t="shared" si="25"/>
        <v>898</v>
      </c>
      <c r="H835" s="18">
        <f>IF(NOT(D835="G"),'RW predict'!E834,0)</f>
        <v>1</v>
      </c>
      <c r="I835" s="18">
        <f>'RW predict'!Q834</f>
        <v>2</v>
      </c>
      <c r="J835" s="18">
        <f>'RW predict'!F834</f>
        <v>1</v>
      </c>
      <c r="K835" s="18"/>
      <c r="L835" s="18"/>
      <c r="M835" s="18">
        <f>'RW predict'!P834</f>
        <v>14</v>
      </c>
      <c r="N835" s="18"/>
      <c r="O835" s="18">
        <f>'RW predict'!H834</f>
        <v>1</v>
      </c>
      <c r="P835" s="18">
        <f>'RW predict'!I834</f>
        <v>4</v>
      </c>
      <c r="Q835" s="18">
        <f>'RW predict'!L834</f>
        <v>0</v>
      </c>
      <c r="R835" s="18">
        <f>'RW predict'!N834</f>
        <v>0</v>
      </c>
      <c r="S835" s="76">
        <f>'RW predict'!O834</f>
        <v>0</v>
      </c>
      <c r="T835" s="76">
        <f>'RW predict'!K834</f>
        <v>0</v>
      </c>
      <c r="U835" s="22">
        <f>'RW predict'!J834</f>
        <v>9</v>
      </c>
      <c r="V835" s="32">
        <f>IF(D835="G",'RW predict'!E834,0)</f>
        <v>0</v>
      </c>
      <c r="W835" s="18">
        <f>'RW predict'!R834</f>
        <v>0</v>
      </c>
      <c r="X835" s="18">
        <f>'RW predict'!T834</f>
        <v>0</v>
      </c>
      <c r="Y835" s="18">
        <f>'RW predict'!Y834</f>
        <v>0</v>
      </c>
      <c r="Z835" s="18">
        <f>'RW predict'!U834</f>
        <v>0</v>
      </c>
      <c r="AA835" s="18">
        <f>'RW predict'!W834</f>
        <v>0</v>
      </c>
    </row>
    <row r="836" spans="1:27" x14ac:dyDescent="0.3">
      <c r="A836" s="18">
        <v>833</v>
      </c>
      <c r="B836" s="18" t="str">
        <f>'RW predict'!A835</f>
        <v>Liam Foudy</v>
      </c>
      <c r="C836" s="18" t="str">
        <f>'RW predict'!B835</f>
        <v>CLS</v>
      </c>
      <c r="D836" s="22" t="str" cm="1">
        <f t="array" ref="D836">_xlfn.SWITCH('RW predict'!C835, "C", "F", "LW","F", "RW", "F", "D", "D", "G", "G", "other")</f>
        <v>F</v>
      </c>
      <c r="E836" s="32">
        <f t="shared" si="24"/>
        <v>78</v>
      </c>
      <c r="F836" s="35">
        <f>E836/assumptions!$B$2</f>
        <v>0.95121951219512191</v>
      </c>
      <c r="G836" s="36">
        <f t="shared" si="25"/>
        <v>943</v>
      </c>
      <c r="H836" s="18">
        <f>IF(NOT(D836="G"),'RW predict'!E835,0)</f>
        <v>0</v>
      </c>
      <c r="I836" s="18">
        <f>'RW predict'!Q835</f>
        <v>2</v>
      </c>
      <c r="J836" s="18">
        <f>'RW predict'!F835</f>
        <v>2</v>
      </c>
      <c r="K836" s="18"/>
      <c r="L836" s="18"/>
      <c r="M836" s="18">
        <f>'RW predict'!P835</f>
        <v>8</v>
      </c>
      <c r="N836" s="18"/>
      <c r="O836" s="18">
        <f>'RW predict'!H835</f>
        <v>-1</v>
      </c>
      <c r="P836" s="18">
        <f>'RW predict'!I835</f>
        <v>2</v>
      </c>
      <c r="Q836" s="18">
        <f>'RW predict'!L835</f>
        <v>0</v>
      </c>
      <c r="R836" s="18">
        <f>'RW predict'!N835</f>
        <v>0</v>
      </c>
      <c r="S836" s="76">
        <f>'RW predict'!O835</f>
        <v>0</v>
      </c>
      <c r="T836" s="76">
        <f>'RW predict'!K835</f>
        <v>0</v>
      </c>
      <c r="U836" s="22">
        <f>'RW predict'!J835</f>
        <v>10</v>
      </c>
      <c r="V836" s="32">
        <f>IF(D836="G",'RW predict'!E835,0)</f>
        <v>0</v>
      </c>
      <c r="W836" s="18">
        <f>'RW predict'!R835</f>
        <v>0</v>
      </c>
      <c r="X836" s="18">
        <f>'RW predict'!T835</f>
        <v>0</v>
      </c>
      <c r="Y836" s="18">
        <f>'RW predict'!Y835</f>
        <v>0</v>
      </c>
      <c r="Z836" s="18">
        <f>'RW predict'!U835</f>
        <v>0</v>
      </c>
      <c r="AA836" s="18">
        <f>'RW predict'!W835</f>
        <v>0</v>
      </c>
    </row>
    <row r="837" spans="1:27" x14ac:dyDescent="0.3">
      <c r="A837" s="18">
        <v>834</v>
      </c>
      <c r="B837" s="18" t="str">
        <f>'RW predict'!A836</f>
        <v>Egor Sokolov</v>
      </c>
      <c r="C837" s="18" t="str">
        <f>'RW predict'!B836</f>
        <v>OTT</v>
      </c>
      <c r="D837" s="22" t="str" cm="1">
        <f t="array" ref="D837">_xlfn.SWITCH('RW predict'!C836, "C", "F", "LW","F", "RW", "F", "D", "D", "G", "G", "other")</f>
        <v>F</v>
      </c>
      <c r="E837" s="32">
        <f t="shared" ref="E837:E900" si="26">H837*$H$3+I837*I$3+K837*K$3+L837*L$3+M837*M$3+N837*N$3+V837*V$3+J837*J$3+O837*$O$3+P837*$P$3+Q837*$Q$3+R837*$R$3+S837*$S$3+T837*$T$3+U837*$U$3+W837*$W$3+X837*$X$3+Y837*$Y$3+Z837*$Z$3+AA837*$AA$3</f>
        <v>77</v>
      </c>
      <c r="F837" s="35">
        <f>E837/assumptions!$B$2</f>
        <v>0.93902439024390238</v>
      </c>
      <c r="G837" s="36">
        <f t="shared" ref="G837:G900" si="27">RANK(E837,$E$4:$E$1100)</f>
        <v>945</v>
      </c>
      <c r="H837" s="18">
        <f>IF(NOT(D837="G"),'RW predict'!E836,0)</f>
        <v>0</v>
      </c>
      <c r="I837" s="18">
        <f>'RW predict'!Q836</f>
        <v>8</v>
      </c>
      <c r="J837" s="18">
        <f>'RW predict'!F836</f>
        <v>2</v>
      </c>
      <c r="K837" s="18"/>
      <c r="L837" s="18"/>
      <c r="M837" s="18">
        <f>'RW predict'!P836</f>
        <v>21</v>
      </c>
      <c r="N837" s="18"/>
      <c r="O837" s="18">
        <f>'RW predict'!H836</f>
        <v>-6</v>
      </c>
      <c r="P837" s="18">
        <f>'RW predict'!I836</f>
        <v>8</v>
      </c>
      <c r="Q837" s="18">
        <f>'RW predict'!L836</f>
        <v>0</v>
      </c>
      <c r="R837" s="18">
        <f>'RW predict'!N836</f>
        <v>0</v>
      </c>
      <c r="S837" s="76">
        <f>'RW predict'!O836</f>
        <v>0</v>
      </c>
      <c r="T837" s="76">
        <f>'RW predict'!K836</f>
        <v>0</v>
      </c>
      <c r="U837" s="22">
        <f>'RW predict'!J836</f>
        <v>13</v>
      </c>
      <c r="V837" s="32">
        <f>IF(D837="G",'RW predict'!E836,0)</f>
        <v>0</v>
      </c>
      <c r="W837" s="18">
        <f>'RW predict'!R836</f>
        <v>0</v>
      </c>
      <c r="X837" s="18">
        <f>'RW predict'!T836</f>
        <v>0</v>
      </c>
      <c r="Y837" s="18">
        <f>'RW predict'!Y836</f>
        <v>0</v>
      </c>
      <c r="Z837" s="18">
        <f>'RW predict'!U836</f>
        <v>0</v>
      </c>
      <c r="AA837" s="18">
        <f>'RW predict'!W836</f>
        <v>0</v>
      </c>
    </row>
    <row r="838" spans="1:27" x14ac:dyDescent="0.3">
      <c r="A838" s="18">
        <v>835</v>
      </c>
      <c r="B838" s="18" t="str">
        <f>'RW predict'!A837</f>
        <v>Juuso Riikola</v>
      </c>
      <c r="C838" s="18" t="str">
        <f>'RW predict'!B837</f>
        <v>FA</v>
      </c>
      <c r="D838" s="22" t="str" cm="1">
        <f t="array" ref="D838">_xlfn.SWITCH('RW predict'!C837, "C", "F", "LW","F", "RW", "F", "D", "D", "G", "G", "other")</f>
        <v>D</v>
      </c>
      <c r="E838" s="32">
        <f t="shared" si="26"/>
        <v>123</v>
      </c>
      <c r="F838" s="35">
        <f>E838/assumptions!$B$2</f>
        <v>1.5</v>
      </c>
      <c r="G838" s="36">
        <f t="shared" si="27"/>
        <v>883</v>
      </c>
      <c r="H838" s="18">
        <f>IF(NOT(D838="G"),'RW predict'!E837,0)</f>
        <v>0</v>
      </c>
      <c r="I838" s="18">
        <f>'RW predict'!Q837</f>
        <v>4</v>
      </c>
      <c r="J838" s="18">
        <f>'RW predict'!F837</f>
        <v>2</v>
      </c>
      <c r="K838" s="18"/>
      <c r="L838" s="18"/>
      <c r="M838" s="18">
        <f>'RW predict'!P837</f>
        <v>18</v>
      </c>
      <c r="N838" s="18"/>
      <c r="O838" s="18">
        <f>'RW predict'!H837</f>
        <v>2</v>
      </c>
      <c r="P838" s="18">
        <f>'RW predict'!I837</f>
        <v>3</v>
      </c>
      <c r="Q838" s="18">
        <f>'RW predict'!L837</f>
        <v>0</v>
      </c>
      <c r="R838" s="18">
        <f>'RW predict'!N837</f>
        <v>0</v>
      </c>
      <c r="S838" s="76">
        <f>'RW predict'!O837</f>
        <v>0</v>
      </c>
      <c r="T838" s="76">
        <f>'RW predict'!K837</f>
        <v>0</v>
      </c>
      <c r="U838" s="22">
        <f>'RW predict'!J837</f>
        <v>9</v>
      </c>
      <c r="V838" s="32">
        <f>IF(D838="G",'RW predict'!E837,0)</f>
        <v>0</v>
      </c>
      <c r="W838" s="18">
        <f>'RW predict'!R837</f>
        <v>0</v>
      </c>
      <c r="X838" s="18">
        <f>'RW predict'!T837</f>
        <v>0</v>
      </c>
      <c r="Y838" s="18">
        <f>'RW predict'!Y837</f>
        <v>0</v>
      </c>
      <c r="Z838" s="18">
        <f>'RW predict'!U837</f>
        <v>0</v>
      </c>
      <c r="AA838" s="18">
        <f>'RW predict'!W837</f>
        <v>0</v>
      </c>
    </row>
    <row r="839" spans="1:27" x14ac:dyDescent="0.3">
      <c r="A839" s="18">
        <v>836</v>
      </c>
      <c r="B839" s="18" t="str">
        <f>'RW predict'!A838</f>
        <v>Cooper Marody</v>
      </c>
      <c r="C839" s="18" t="str">
        <f>'RW predict'!B838</f>
        <v>PHI</v>
      </c>
      <c r="D839" s="22" t="str" cm="1">
        <f t="array" ref="D839">_xlfn.SWITCH('RW predict'!C838, "C", "F", "LW","F", "RW", "F", "D", "D", "G", "G", "other")</f>
        <v>F</v>
      </c>
      <c r="E839" s="32">
        <f t="shared" si="26"/>
        <v>58</v>
      </c>
      <c r="F839" s="35">
        <f>E839/assumptions!$B$2</f>
        <v>0.70731707317073167</v>
      </c>
      <c r="G839" s="36">
        <f t="shared" si="27"/>
        <v>972</v>
      </c>
      <c r="H839" s="18">
        <f>IF(NOT(D839="G"),'RW predict'!E838,0)</f>
        <v>0</v>
      </c>
      <c r="I839" s="18">
        <f>'RW predict'!Q838</f>
        <v>0</v>
      </c>
      <c r="J839" s="18">
        <f>'RW predict'!F838</f>
        <v>2</v>
      </c>
      <c r="K839" s="18"/>
      <c r="L839" s="18"/>
      <c r="M839" s="18">
        <f>'RW predict'!P838</f>
        <v>0</v>
      </c>
      <c r="N839" s="18"/>
      <c r="O839" s="18">
        <f>'RW predict'!H838</f>
        <v>0</v>
      </c>
      <c r="P839" s="18">
        <f>'RW predict'!I838</f>
        <v>0</v>
      </c>
      <c r="Q839" s="18">
        <f>'RW predict'!L838</f>
        <v>0</v>
      </c>
      <c r="R839" s="18">
        <f>'RW predict'!N838</f>
        <v>0</v>
      </c>
      <c r="S839" s="76">
        <f>'RW predict'!O838</f>
        <v>0</v>
      </c>
      <c r="T839" s="76">
        <f>'RW predict'!K838</f>
        <v>0</v>
      </c>
      <c r="U839" s="22">
        <f>'RW predict'!J838</f>
        <v>4</v>
      </c>
      <c r="V839" s="32">
        <f>IF(D839="G",'RW predict'!E838,0)</f>
        <v>0</v>
      </c>
      <c r="W839" s="18">
        <f>'RW predict'!R838</f>
        <v>0</v>
      </c>
      <c r="X839" s="18">
        <f>'RW predict'!T838</f>
        <v>0</v>
      </c>
      <c r="Y839" s="18">
        <f>'RW predict'!Y838</f>
        <v>0</v>
      </c>
      <c r="Z839" s="18">
        <f>'RW predict'!U838</f>
        <v>0</v>
      </c>
      <c r="AA839" s="18">
        <f>'RW predict'!W838</f>
        <v>0</v>
      </c>
    </row>
    <row r="840" spans="1:27" x14ac:dyDescent="0.3">
      <c r="A840" s="18">
        <v>837</v>
      </c>
      <c r="B840" s="18" t="str">
        <f>'RW predict'!A839</f>
        <v>Jonah Gadjovich</v>
      </c>
      <c r="C840" s="18" t="str">
        <f>'RW predict'!B839</f>
        <v>SJ</v>
      </c>
      <c r="D840" s="22" t="str" cm="1">
        <f t="array" ref="D840">_xlfn.SWITCH('RW predict'!C839, "C", "F", "LW","F", "RW", "F", "D", "D", "G", "G", "other")</f>
        <v>F</v>
      </c>
      <c r="E840" s="32">
        <f t="shared" si="26"/>
        <v>134</v>
      </c>
      <c r="F840" s="35">
        <f>E840/assumptions!$B$2</f>
        <v>1.6341463414634145</v>
      </c>
      <c r="G840" s="36">
        <f t="shared" si="27"/>
        <v>874</v>
      </c>
      <c r="H840" s="18">
        <f>IF(NOT(D840="G"),'RW predict'!E839,0)</f>
        <v>1</v>
      </c>
      <c r="I840" s="18">
        <f>'RW predict'!Q839</f>
        <v>3</v>
      </c>
      <c r="J840" s="18">
        <f>'RW predict'!F839</f>
        <v>1</v>
      </c>
      <c r="K840" s="18"/>
      <c r="L840" s="18"/>
      <c r="M840" s="18">
        <f>'RW predict'!P839</f>
        <v>21</v>
      </c>
      <c r="N840" s="18"/>
      <c r="O840" s="18">
        <f>'RW predict'!H839</f>
        <v>-4</v>
      </c>
      <c r="P840" s="18">
        <f>'RW predict'!I839</f>
        <v>25</v>
      </c>
      <c r="Q840" s="18">
        <f>'RW predict'!L839</f>
        <v>0</v>
      </c>
      <c r="R840" s="18">
        <f>'RW predict'!N839</f>
        <v>0</v>
      </c>
      <c r="S840" s="76">
        <f>'RW predict'!O839</f>
        <v>0</v>
      </c>
      <c r="T840" s="76">
        <f>'RW predict'!K839</f>
        <v>0</v>
      </c>
      <c r="U840" s="22">
        <f>'RW predict'!J839</f>
        <v>11</v>
      </c>
      <c r="V840" s="32">
        <f>IF(D840="G",'RW predict'!E839,0)</f>
        <v>0</v>
      </c>
      <c r="W840" s="18">
        <f>'RW predict'!R839</f>
        <v>0</v>
      </c>
      <c r="X840" s="18">
        <f>'RW predict'!T839</f>
        <v>0</v>
      </c>
      <c r="Y840" s="18">
        <f>'RW predict'!Y839</f>
        <v>0</v>
      </c>
      <c r="Z840" s="18">
        <f>'RW predict'!U839</f>
        <v>0</v>
      </c>
      <c r="AA840" s="18">
        <f>'RW predict'!W839</f>
        <v>0</v>
      </c>
    </row>
    <row r="841" spans="1:27" x14ac:dyDescent="0.3">
      <c r="A841" s="18">
        <v>838</v>
      </c>
      <c r="B841" s="18" t="str">
        <f>'RW predict'!A840</f>
        <v>Jake Oettinger</v>
      </c>
      <c r="C841" s="18" t="str">
        <f>'RW predict'!B840</f>
        <v>DAL</v>
      </c>
      <c r="D841" s="22" t="str" cm="1">
        <f t="array" ref="D841">_xlfn.SWITCH('RW predict'!C840, "C", "F", "LW","F", "RW", "F", "D", "D", "G", "G", "other")</f>
        <v>G</v>
      </c>
      <c r="E841" s="32">
        <f t="shared" si="26"/>
        <v>2740</v>
      </c>
      <c r="F841" s="35">
        <f>E841/assumptions!$B$2</f>
        <v>33.414634146341463</v>
      </c>
      <c r="G841" s="36">
        <f t="shared" si="27"/>
        <v>55</v>
      </c>
      <c r="H841" s="18">
        <f>IF(NOT(D841="G"),'RW predict'!E840,0)</f>
        <v>0</v>
      </c>
      <c r="I841" s="18">
        <f>'RW predict'!Q840</f>
        <v>0</v>
      </c>
      <c r="J841" s="18">
        <f>'RW predict'!F840</f>
        <v>2</v>
      </c>
      <c r="K841" s="18"/>
      <c r="L841" s="18"/>
      <c r="M841" s="18">
        <f>'RW predict'!P840</f>
        <v>0</v>
      </c>
      <c r="N841" s="18"/>
      <c r="O841" s="18">
        <f>'RW predict'!H840</f>
        <v>0</v>
      </c>
      <c r="P841" s="18">
        <f>'RW predict'!I840</f>
        <v>1</v>
      </c>
      <c r="Q841" s="18">
        <f>'RW predict'!L840</f>
        <v>0</v>
      </c>
      <c r="R841" s="18">
        <f>'RW predict'!N840</f>
        <v>0</v>
      </c>
      <c r="S841" s="76">
        <f>'RW predict'!O840</f>
        <v>0</v>
      </c>
      <c r="T841" s="76">
        <f>'RW predict'!K840</f>
        <v>0</v>
      </c>
      <c r="U841" s="22">
        <f>'RW predict'!J840</f>
        <v>0</v>
      </c>
      <c r="V841" s="32">
        <f>IF(D841="G",'RW predict'!E840,0)</f>
        <v>0</v>
      </c>
      <c r="W841" s="18">
        <f>'RW predict'!R840</f>
        <v>34</v>
      </c>
      <c r="X841" s="18">
        <f>'RW predict'!T840</f>
        <v>4</v>
      </c>
      <c r="Y841" s="18">
        <f>'RW predict'!Y840</f>
        <v>3</v>
      </c>
      <c r="Z841" s="18">
        <f>'RW predict'!U840</f>
        <v>145</v>
      </c>
      <c r="AA841" s="18">
        <f>'RW predict'!W840</f>
        <v>1636</v>
      </c>
    </row>
    <row r="842" spans="1:27" x14ac:dyDescent="0.3">
      <c r="A842" s="18">
        <v>839</v>
      </c>
      <c r="B842" s="18" t="str">
        <f>'RW predict'!A841</f>
        <v>William Lagesson</v>
      </c>
      <c r="C842" s="18" t="str">
        <f>'RW predict'!B841</f>
        <v>CAR</v>
      </c>
      <c r="D842" s="22" t="str" cm="1">
        <f t="array" ref="D842">_xlfn.SWITCH('RW predict'!C841, "C", "F", "LW","F", "RW", "F", "D", "D", "G", "G", "other")</f>
        <v>D</v>
      </c>
      <c r="E842" s="32">
        <f t="shared" si="26"/>
        <v>128</v>
      </c>
      <c r="F842" s="35">
        <f>E842/assumptions!$B$2</f>
        <v>1.5609756097560976</v>
      </c>
      <c r="G842" s="36">
        <f t="shared" si="27"/>
        <v>879</v>
      </c>
      <c r="H842" s="18">
        <f>IF(NOT(D842="G"),'RW predict'!E841,0)</f>
        <v>0</v>
      </c>
      <c r="I842" s="18">
        <f>'RW predict'!Q841</f>
        <v>11</v>
      </c>
      <c r="J842" s="18">
        <f>'RW predict'!F841</f>
        <v>2</v>
      </c>
      <c r="K842" s="18"/>
      <c r="L842" s="18"/>
      <c r="M842" s="18">
        <f>'RW predict'!P841</f>
        <v>14</v>
      </c>
      <c r="N842" s="18"/>
      <c r="O842" s="18">
        <f>'RW predict'!H841</f>
        <v>1</v>
      </c>
      <c r="P842" s="18">
        <f>'RW predict'!I841</f>
        <v>4</v>
      </c>
      <c r="Q842" s="18">
        <f>'RW predict'!L841</f>
        <v>0</v>
      </c>
      <c r="R842" s="18">
        <f>'RW predict'!N841</f>
        <v>0</v>
      </c>
      <c r="S842" s="76">
        <f>'RW predict'!O841</f>
        <v>0</v>
      </c>
      <c r="T842" s="76">
        <f>'RW predict'!K841</f>
        <v>0</v>
      </c>
      <c r="U842" s="22">
        <f>'RW predict'!J841</f>
        <v>10</v>
      </c>
      <c r="V842" s="32">
        <f>IF(D842="G",'RW predict'!E841,0)</f>
        <v>0</v>
      </c>
      <c r="W842" s="18">
        <f>'RW predict'!R841</f>
        <v>0</v>
      </c>
      <c r="X842" s="18">
        <f>'RW predict'!T841</f>
        <v>0</v>
      </c>
      <c r="Y842" s="18">
        <f>'RW predict'!Y841</f>
        <v>0</v>
      </c>
      <c r="Z842" s="18">
        <f>'RW predict'!U841</f>
        <v>0</v>
      </c>
      <c r="AA842" s="18">
        <f>'RW predict'!W841</f>
        <v>0</v>
      </c>
    </row>
    <row r="843" spans="1:27" x14ac:dyDescent="0.3">
      <c r="A843" s="18">
        <v>840</v>
      </c>
      <c r="B843" s="18" t="str">
        <f>'RW predict'!A842</f>
        <v>Matt Luff</v>
      </c>
      <c r="C843" s="18" t="str">
        <f>'RW predict'!B842</f>
        <v>DET</v>
      </c>
      <c r="D843" s="22" t="str" cm="1">
        <f t="array" ref="D843">_xlfn.SWITCH('RW predict'!C842, "C", "F", "LW","F", "RW", "F", "D", "D", "G", "G", "other")</f>
        <v>F</v>
      </c>
      <c r="E843" s="32">
        <f t="shared" si="26"/>
        <v>103</v>
      </c>
      <c r="F843" s="35">
        <f>E843/assumptions!$B$2</f>
        <v>1.2560975609756098</v>
      </c>
      <c r="G843" s="36">
        <f t="shared" si="27"/>
        <v>905</v>
      </c>
      <c r="H843" s="18">
        <f>IF(NOT(D843="G"),'RW predict'!E842,0)</f>
        <v>1</v>
      </c>
      <c r="I843" s="18">
        <f>'RW predict'!Q842</f>
        <v>3</v>
      </c>
      <c r="J843" s="18">
        <f>'RW predict'!F842</f>
        <v>1</v>
      </c>
      <c r="K843" s="18"/>
      <c r="L843" s="18"/>
      <c r="M843" s="18">
        <f>'RW predict'!P842</f>
        <v>9</v>
      </c>
      <c r="N843" s="18"/>
      <c r="O843" s="18">
        <f>'RW predict'!H842</f>
        <v>1</v>
      </c>
      <c r="P843" s="18">
        <f>'RW predict'!I842</f>
        <v>2</v>
      </c>
      <c r="Q843" s="18">
        <f>'RW predict'!L842</f>
        <v>0</v>
      </c>
      <c r="R843" s="18">
        <f>'RW predict'!N842</f>
        <v>0</v>
      </c>
      <c r="S843" s="76">
        <f>'RW predict'!O842</f>
        <v>0</v>
      </c>
      <c r="T843" s="76">
        <f>'RW predict'!K842</f>
        <v>0</v>
      </c>
      <c r="U843" s="22">
        <f>'RW predict'!J842</f>
        <v>11</v>
      </c>
      <c r="V843" s="32">
        <f>IF(D843="G",'RW predict'!E842,0)</f>
        <v>0</v>
      </c>
      <c r="W843" s="18">
        <f>'RW predict'!R842</f>
        <v>0</v>
      </c>
      <c r="X843" s="18">
        <f>'RW predict'!T842</f>
        <v>0</v>
      </c>
      <c r="Y843" s="18">
        <f>'RW predict'!Y842</f>
        <v>0</v>
      </c>
      <c r="Z843" s="18">
        <f>'RW predict'!U842</f>
        <v>0</v>
      </c>
      <c r="AA843" s="18">
        <f>'RW predict'!W842</f>
        <v>0</v>
      </c>
    </row>
    <row r="844" spans="1:27" x14ac:dyDescent="0.3">
      <c r="A844" s="18">
        <v>841</v>
      </c>
      <c r="B844" s="18" t="str">
        <f>'RW predict'!A843</f>
        <v>Axel Jonsson-Fjallby</v>
      </c>
      <c r="C844" s="18" t="str">
        <f>'RW predict'!B843</f>
        <v>WAS</v>
      </c>
      <c r="D844" s="22" t="str" cm="1">
        <f t="array" ref="D844">_xlfn.SWITCH('RW predict'!C843, "C", "F", "LW","F", "RW", "F", "D", "D", "G", "G", "other")</f>
        <v>F</v>
      </c>
      <c r="E844" s="32">
        <f t="shared" si="26"/>
        <v>111</v>
      </c>
      <c r="F844" s="35">
        <f>E844/assumptions!$B$2</f>
        <v>1.3536585365853659</v>
      </c>
      <c r="G844" s="36">
        <f t="shared" si="27"/>
        <v>893</v>
      </c>
      <c r="H844" s="18">
        <f>IF(NOT(D844="G"),'RW predict'!E843,0)</f>
        <v>1</v>
      </c>
      <c r="I844" s="18">
        <f>'RW predict'!Q843</f>
        <v>5</v>
      </c>
      <c r="J844" s="18">
        <f>'RW predict'!F843</f>
        <v>1</v>
      </c>
      <c r="K844" s="18"/>
      <c r="L844" s="18"/>
      <c r="M844" s="18">
        <f>'RW predict'!P843</f>
        <v>11</v>
      </c>
      <c r="N844" s="18"/>
      <c r="O844" s="18">
        <f>'RW predict'!H843</f>
        <v>0</v>
      </c>
      <c r="P844" s="18">
        <f>'RW predict'!I843</f>
        <v>2</v>
      </c>
      <c r="Q844" s="18">
        <f>'RW predict'!L843</f>
        <v>0</v>
      </c>
      <c r="R844" s="18">
        <f>'RW predict'!N843</f>
        <v>0</v>
      </c>
      <c r="S844" s="76">
        <f>'RW predict'!O843</f>
        <v>0</v>
      </c>
      <c r="T844" s="76">
        <f>'RW predict'!K843</f>
        <v>0</v>
      </c>
      <c r="U844" s="22">
        <f>'RW predict'!J843</f>
        <v>17</v>
      </c>
      <c r="V844" s="32">
        <f>IF(D844="G",'RW predict'!E843,0)</f>
        <v>0</v>
      </c>
      <c r="W844" s="18">
        <f>'RW predict'!R843</f>
        <v>0</v>
      </c>
      <c r="X844" s="18">
        <f>'RW predict'!T843</f>
        <v>0</v>
      </c>
      <c r="Y844" s="18">
        <f>'RW predict'!Y843</f>
        <v>0</v>
      </c>
      <c r="Z844" s="18">
        <f>'RW predict'!U843</f>
        <v>0</v>
      </c>
      <c r="AA844" s="18">
        <f>'RW predict'!W843</f>
        <v>0</v>
      </c>
    </row>
    <row r="845" spans="1:27" x14ac:dyDescent="0.3">
      <c r="A845" s="18">
        <v>842</v>
      </c>
      <c r="B845" s="18" t="str">
        <f>'RW predict'!A844</f>
        <v>Cale Fleury</v>
      </c>
      <c r="C845" s="18" t="str">
        <f>'RW predict'!B844</f>
        <v>SEA</v>
      </c>
      <c r="D845" s="22" t="str" cm="1">
        <f t="array" ref="D845">_xlfn.SWITCH('RW predict'!C844, "C", "F", "LW","F", "RW", "F", "D", "D", "G", "G", "other")</f>
        <v>D</v>
      </c>
      <c r="E845" s="32">
        <f t="shared" si="26"/>
        <v>113</v>
      </c>
      <c r="F845" s="35">
        <f>E845/assumptions!$B$2</f>
        <v>1.3780487804878048</v>
      </c>
      <c r="G845" s="36">
        <f t="shared" si="27"/>
        <v>892</v>
      </c>
      <c r="H845" s="18">
        <f>IF(NOT(D845="G"),'RW predict'!E844,0)</f>
        <v>0</v>
      </c>
      <c r="I845" s="18">
        <f>'RW predict'!Q844</f>
        <v>19</v>
      </c>
      <c r="J845" s="18">
        <f>'RW predict'!F844</f>
        <v>2</v>
      </c>
      <c r="K845" s="18"/>
      <c r="L845" s="18"/>
      <c r="M845" s="18">
        <f>'RW predict'!P844</f>
        <v>31</v>
      </c>
      <c r="N845" s="18"/>
      <c r="O845" s="18">
        <f>'RW predict'!H844</f>
        <v>-4</v>
      </c>
      <c r="P845" s="18">
        <f>'RW predict'!I844</f>
        <v>2</v>
      </c>
      <c r="Q845" s="18">
        <f>'RW predict'!L844</f>
        <v>0</v>
      </c>
      <c r="R845" s="18">
        <f>'RW predict'!N844</f>
        <v>0</v>
      </c>
      <c r="S845" s="76">
        <f>'RW predict'!O844</f>
        <v>0</v>
      </c>
      <c r="T845" s="76">
        <f>'RW predict'!K844</f>
        <v>0</v>
      </c>
      <c r="U845" s="22">
        <f>'RW predict'!J844</f>
        <v>14</v>
      </c>
      <c r="V845" s="32">
        <f>IF(D845="G",'RW predict'!E844,0)</f>
        <v>0</v>
      </c>
      <c r="W845" s="18">
        <f>'RW predict'!R844</f>
        <v>0</v>
      </c>
      <c r="X845" s="18">
        <f>'RW predict'!T844</f>
        <v>0</v>
      </c>
      <c r="Y845" s="18">
        <f>'RW predict'!Y844</f>
        <v>0</v>
      </c>
      <c r="Z845" s="18">
        <f>'RW predict'!U844</f>
        <v>0</v>
      </c>
      <c r="AA845" s="18">
        <f>'RW predict'!W844</f>
        <v>0</v>
      </c>
    </row>
    <row r="846" spans="1:27" x14ac:dyDescent="0.3">
      <c r="A846" s="18">
        <v>843</v>
      </c>
      <c r="B846" s="18" t="str">
        <f>'RW predict'!A845</f>
        <v>Scott Reedy</v>
      </c>
      <c r="C846" s="18" t="str">
        <f>'RW predict'!B845</f>
        <v>SJ</v>
      </c>
      <c r="D846" s="22" t="str" cm="1">
        <f t="array" ref="D846">_xlfn.SWITCH('RW predict'!C845, "C", "F", "LW","F", "RW", "F", "D", "D", "G", "G", "other")</f>
        <v>F</v>
      </c>
      <c r="E846" s="32">
        <f t="shared" si="26"/>
        <v>106</v>
      </c>
      <c r="F846" s="35">
        <f>E846/assumptions!$B$2</f>
        <v>1.2926829268292683</v>
      </c>
      <c r="G846" s="36">
        <f t="shared" si="27"/>
        <v>901</v>
      </c>
      <c r="H846" s="18">
        <f>IF(NOT(D846="G"),'RW predict'!E845,0)</f>
        <v>1</v>
      </c>
      <c r="I846" s="18">
        <f>'RW predict'!Q845</f>
        <v>5</v>
      </c>
      <c r="J846" s="18">
        <f>'RW predict'!F845</f>
        <v>1</v>
      </c>
      <c r="K846" s="18"/>
      <c r="L846" s="18"/>
      <c r="M846" s="18">
        <f>'RW predict'!P845</f>
        <v>3</v>
      </c>
      <c r="N846" s="18"/>
      <c r="O846" s="18">
        <f>'RW predict'!H845</f>
        <v>-3</v>
      </c>
      <c r="P846" s="18">
        <f>'RW predict'!I845</f>
        <v>5</v>
      </c>
      <c r="Q846" s="18">
        <f>'RW predict'!L845</f>
        <v>1</v>
      </c>
      <c r="R846" s="18">
        <f>'RW predict'!N845</f>
        <v>0</v>
      </c>
      <c r="S846" s="76">
        <f>'RW predict'!O845</f>
        <v>0</v>
      </c>
      <c r="T846" s="76">
        <f>'RW predict'!K845</f>
        <v>1</v>
      </c>
      <c r="U846" s="22">
        <f>'RW predict'!J845</f>
        <v>14</v>
      </c>
      <c r="V846" s="32">
        <f>IF(D846="G",'RW predict'!E845,0)</f>
        <v>0</v>
      </c>
      <c r="W846" s="18">
        <f>'RW predict'!R845</f>
        <v>0</v>
      </c>
      <c r="X846" s="18">
        <f>'RW predict'!T845</f>
        <v>0</v>
      </c>
      <c r="Y846" s="18">
        <f>'RW predict'!Y845</f>
        <v>0</v>
      </c>
      <c r="Z846" s="18">
        <f>'RW predict'!U845</f>
        <v>0</v>
      </c>
      <c r="AA846" s="18">
        <f>'RW predict'!W845</f>
        <v>0</v>
      </c>
    </row>
    <row r="847" spans="1:27" x14ac:dyDescent="0.3">
      <c r="A847" s="18">
        <v>844</v>
      </c>
      <c r="B847" s="18" t="str">
        <f>'RW predict'!A846</f>
        <v>Lias Andersson</v>
      </c>
      <c r="C847" s="18" t="str">
        <f>'RW predict'!B846</f>
        <v>LA</v>
      </c>
      <c r="D847" s="22" t="str" cm="1">
        <f t="array" ref="D847">_xlfn.SWITCH('RW predict'!C846, "C", "F", "LW","F", "RW", "F", "D", "D", "G", "G", "other")</f>
        <v>F</v>
      </c>
      <c r="E847" s="32">
        <f t="shared" si="26"/>
        <v>70</v>
      </c>
      <c r="F847" s="35">
        <f>E847/assumptions!$B$2</f>
        <v>0.85365853658536583</v>
      </c>
      <c r="G847" s="36">
        <f t="shared" si="27"/>
        <v>955</v>
      </c>
      <c r="H847" s="18">
        <f>IF(NOT(D847="G"),'RW predict'!E846,0)</f>
        <v>1</v>
      </c>
      <c r="I847" s="18">
        <f>'RW predict'!Q846</f>
        <v>2</v>
      </c>
      <c r="J847" s="18">
        <f>'RW predict'!F846</f>
        <v>1</v>
      </c>
      <c r="K847" s="18"/>
      <c r="L847" s="18"/>
      <c r="M847" s="18">
        <f>'RW predict'!P846</f>
        <v>8</v>
      </c>
      <c r="N847" s="18"/>
      <c r="O847" s="18">
        <f>'RW predict'!H846</f>
        <v>-3</v>
      </c>
      <c r="P847" s="18">
        <f>'RW predict'!I846</f>
        <v>6</v>
      </c>
      <c r="Q847" s="18">
        <f>'RW predict'!L846</f>
        <v>0</v>
      </c>
      <c r="R847" s="18">
        <f>'RW predict'!N846</f>
        <v>0</v>
      </c>
      <c r="S847" s="76">
        <f>'RW predict'!O846</f>
        <v>0</v>
      </c>
      <c r="T847" s="76">
        <f>'RW predict'!K846</f>
        <v>0</v>
      </c>
      <c r="U847" s="22">
        <f>'RW predict'!J846</f>
        <v>10</v>
      </c>
      <c r="V847" s="32">
        <f>IF(D847="G",'RW predict'!E846,0)</f>
        <v>0</v>
      </c>
      <c r="W847" s="18">
        <f>'RW predict'!R846</f>
        <v>0</v>
      </c>
      <c r="X847" s="18">
        <f>'RW predict'!T846</f>
        <v>0</v>
      </c>
      <c r="Y847" s="18">
        <f>'RW predict'!Y846</f>
        <v>0</v>
      </c>
      <c r="Z847" s="18">
        <f>'RW predict'!U846</f>
        <v>0</v>
      </c>
      <c r="AA847" s="18">
        <f>'RW predict'!W846</f>
        <v>0</v>
      </c>
    </row>
    <row r="848" spans="1:27" x14ac:dyDescent="0.3">
      <c r="A848" s="18">
        <v>845</v>
      </c>
      <c r="B848" s="18" t="str">
        <f>'RW predict'!A847</f>
        <v>Riley Tufte</v>
      </c>
      <c r="C848" s="18" t="str">
        <f>'RW predict'!B847</f>
        <v>DAL</v>
      </c>
      <c r="D848" s="22" t="str" cm="1">
        <f t="array" ref="D848">_xlfn.SWITCH('RW predict'!C847, "C", "F", "LW","F", "RW", "F", "D", "D", "G", "G", "other")</f>
        <v>F</v>
      </c>
      <c r="E848" s="32">
        <f t="shared" si="26"/>
        <v>73</v>
      </c>
      <c r="F848" s="35">
        <f>E848/assumptions!$B$2</f>
        <v>0.8902439024390244</v>
      </c>
      <c r="G848" s="36">
        <f t="shared" si="27"/>
        <v>951</v>
      </c>
      <c r="H848" s="18">
        <f>IF(NOT(D848="G"),'RW predict'!E847,0)</f>
        <v>1</v>
      </c>
      <c r="I848" s="18">
        <f>'RW predict'!Q847</f>
        <v>5</v>
      </c>
      <c r="J848" s="18">
        <f>'RW predict'!F847</f>
        <v>1</v>
      </c>
      <c r="K848" s="18"/>
      <c r="L848" s="18"/>
      <c r="M848" s="18">
        <f>'RW predict'!P847</f>
        <v>11</v>
      </c>
      <c r="N848" s="18"/>
      <c r="O848" s="18">
        <f>'RW predict'!H847</f>
        <v>-3</v>
      </c>
      <c r="P848" s="18">
        <f>'RW predict'!I847</f>
        <v>6</v>
      </c>
      <c r="Q848" s="18">
        <f>'RW predict'!L847</f>
        <v>0</v>
      </c>
      <c r="R848" s="18">
        <f>'RW predict'!N847</f>
        <v>0</v>
      </c>
      <c r="S848" s="76">
        <f>'RW predict'!O847</f>
        <v>0</v>
      </c>
      <c r="T848" s="76">
        <f>'RW predict'!K847</f>
        <v>0</v>
      </c>
      <c r="U848" s="22">
        <f>'RW predict'!J847</f>
        <v>7</v>
      </c>
      <c r="V848" s="32">
        <f>IF(D848="G",'RW predict'!E847,0)</f>
        <v>0</v>
      </c>
      <c r="W848" s="18">
        <f>'RW predict'!R847</f>
        <v>0</v>
      </c>
      <c r="X848" s="18">
        <f>'RW predict'!T847</f>
        <v>0</v>
      </c>
      <c r="Y848" s="18">
        <f>'RW predict'!Y847</f>
        <v>0</v>
      </c>
      <c r="Z848" s="18">
        <f>'RW predict'!U847</f>
        <v>0</v>
      </c>
      <c r="AA848" s="18">
        <f>'RW predict'!W847</f>
        <v>0</v>
      </c>
    </row>
    <row r="849" spans="1:27" x14ac:dyDescent="0.3">
      <c r="A849" s="18">
        <v>846</v>
      </c>
      <c r="B849" s="18" t="str">
        <f>'RW predict'!A848</f>
        <v>Fredrik Karlstrom</v>
      </c>
      <c r="C849" s="18" t="str">
        <f>'RW predict'!B848</f>
        <v>DAL</v>
      </c>
      <c r="D849" s="22" t="str" cm="1">
        <f t="array" ref="D849">_xlfn.SWITCH('RW predict'!C848, "C", "F", "LW","F", "RW", "F", "D", "D", "G", "G", "other")</f>
        <v>F</v>
      </c>
      <c r="E849" s="32">
        <f t="shared" si="26"/>
        <v>101</v>
      </c>
      <c r="F849" s="35">
        <f>E849/assumptions!$B$2</f>
        <v>1.2317073170731707</v>
      </c>
      <c r="G849" s="36">
        <f t="shared" si="27"/>
        <v>910</v>
      </c>
      <c r="H849" s="18">
        <f>IF(NOT(D849="G"),'RW predict'!E848,0)</f>
        <v>0</v>
      </c>
      <c r="I849" s="18">
        <f>'RW predict'!Q848</f>
        <v>1</v>
      </c>
      <c r="J849" s="18">
        <f>'RW predict'!F848</f>
        <v>2</v>
      </c>
      <c r="K849" s="18"/>
      <c r="L849" s="18"/>
      <c r="M849" s="18">
        <f>'RW predict'!P848</f>
        <v>1</v>
      </c>
      <c r="N849" s="18"/>
      <c r="O849" s="18">
        <f>'RW predict'!H848</f>
        <v>3</v>
      </c>
      <c r="P849" s="18">
        <f>'RW predict'!I848</f>
        <v>2</v>
      </c>
      <c r="Q849" s="18">
        <f>'RW predict'!L848</f>
        <v>0</v>
      </c>
      <c r="R849" s="18">
        <f>'RW predict'!N848</f>
        <v>0</v>
      </c>
      <c r="S849" s="76">
        <f>'RW predict'!O848</f>
        <v>0</v>
      </c>
      <c r="T849" s="76">
        <f>'RW predict'!K848</f>
        <v>0</v>
      </c>
      <c r="U849" s="22">
        <f>'RW predict'!J848</f>
        <v>6</v>
      </c>
      <c r="V849" s="32">
        <f>IF(D849="G",'RW predict'!E848,0)</f>
        <v>0</v>
      </c>
      <c r="W849" s="18">
        <f>'RW predict'!R848</f>
        <v>0</v>
      </c>
      <c r="X849" s="18">
        <f>'RW predict'!T848</f>
        <v>0</v>
      </c>
      <c r="Y849" s="18">
        <f>'RW predict'!Y848</f>
        <v>0</v>
      </c>
      <c r="Z849" s="18">
        <f>'RW predict'!U848</f>
        <v>0</v>
      </c>
      <c r="AA849" s="18">
        <f>'RW predict'!W848</f>
        <v>0</v>
      </c>
    </row>
    <row r="850" spans="1:27" x14ac:dyDescent="0.3">
      <c r="A850" s="18">
        <v>847</v>
      </c>
      <c r="B850" s="18" t="str">
        <f>'RW predict'!A849</f>
        <v>Wade Allison</v>
      </c>
      <c r="C850" s="18" t="str">
        <f>'RW predict'!B849</f>
        <v>PHI</v>
      </c>
      <c r="D850" s="22" t="str" cm="1">
        <f t="array" ref="D850">_xlfn.SWITCH('RW predict'!C849, "C", "F", "LW","F", "RW", "F", "D", "D", "G", "G", "other")</f>
        <v>F</v>
      </c>
      <c r="E850" s="32">
        <f t="shared" si="26"/>
        <v>76</v>
      </c>
      <c r="F850" s="35">
        <f>E850/assumptions!$B$2</f>
        <v>0.92682926829268297</v>
      </c>
      <c r="G850" s="36">
        <f t="shared" si="27"/>
        <v>947</v>
      </c>
      <c r="H850" s="18">
        <f>IF(NOT(D850="G"),'RW predict'!E849,0)</f>
        <v>1</v>
      </c>
      <c r="I850" s="18">
        <f>'RW predict'!Q849</f>
        <v>4</v>
      </c>
      <c r="J850" s="18">
        <f>'RW predict'!F849</f>
        <v>1</v>
      </c>
      <c r="K850" s="18"/>
      <c r="L850" s="18"/>
      <c r="M850" s="18">
        <f>'RW predict'!P849</f>
        <v>14</v>
      </c>
      <c r="N850" s="18"/>
      <c r="O850" s="18">
        <f>'RW predict'!H849</f>
        <v>-3</v>
      </c>
      <c r="P850" s="18">
        <f>'RW predict'!I849</f>
        <v>2</v>
      </c>
      <c r="Q850" s="18">
        <f>'RW predict'!L849</f>
        <v>0</v>
      </c>
      <c r="R850" s="18">
        <f>'RW predict'!N849</f>
        <v>0</v>
      </c>
      <c r="S850" s="76">
        <f>'RW predict'!O849</f>
        <v>0</v>
      </c>
      <c r="T850" s="76">
        <f>'RW predict'!K849</f>
        <v>0</v>
      </c>
      <c r="U850" s="22">
        <f>'RW predict'!J849</f>
        <v>14</v>
      </c>
      <c r="V850" s="32">
        <f>IF(D850="G",'RW predict'!E849,0)</f>
        <v>0</v>
      </c>
      <c r="W850" s="18">
        <f>'RW predict'!R849</f>
        <v>0</v>
      </c>
      <c r="X850" s="18">
        <f>'RW predict'!T849</f>
        <v>0</v>
      </c>
      <c r="Y850" s="18">
        <f>'RW predict'!Y849</f>
        <v>0</v>
      </c>
      <c r="Z850" s="18">
        <f>'RW predict'!U849</f>
        <v>0</v>
      </c>
      <c r="AA850" s="18">
        <f>'RW predict'!W849</f>
        <v>0</v>
      </c>
    </row>
    <row r="851" spans="1:27" x14ac:dyDescent="0.3">
      <c r="A851" s="18">
        <v>848</v>
      </c>
      <c r="B851" s="18" t="str">
        <f>'RW predict'!A850</f>
        <v>Brendan Guhle</v>
      </c>
      <c r="C851" s="18" t="str">
        <f>'RW predict'!B850</f>
        <v>FA</v>
      </c>
      <c r="D851" s="22" t="str" cm="1">
        <f t="array" ref="D851">_xlfn.SWITCH('RW predict'!C850, "C", "F", "LW","F", "RW", "F", "D", "D", "G", "G", "other")</f>
        <v>D</v>
      </c>
      <c r="E851" s="32">
        <f t="shared" si="26"/>
        <v>108</v>
      </c>
      <c r="F851" s="35">
        <f>E851/assumptions!$B$2</f>
        <v>1.3170731707317074</v>
      </c>
      <c r="G851" s="36">
        <f t="shared" si="27"/>
        <v>898</v>
      </c>
      <c r="H851" s="18">
        <f>IF(NOT(D851="G"),'RW predict'!E850,0)</f>
        <v>1</v>
      </c>
      <c r="I851" s="18">
        <f>'RW predict'!Q850</f>
        <v>9</v>
      </c>
      <c r="J851" s="18">
        <f>'RW predict'!F850</f>
        <v>1</v>
      </c>
      <c r="K851" s="18"/>
      <c r="L851" s="18"/>
      <c r="M851" s="18">
        <f>'RW predict'!P850</f>
        <v>12</v>
      </c>
      <c r="N851" s="18"/>
      <c r="O851" s="18">
        <f>'RW predict'!H850</f>
        <v>0</v>
      </c>
      <c r="P851" s="18">
        <f>'RW predict'!I850</f>
        <v>2</v>
      </c>
      <c r="Q851" s="18">
        <f>'RW predict'!L850</f>
        <v>0</v>
      </c>
      <c r="R851" s="18">
        <f>'RW predict'!N850</f>
        <v>0</v>
      </c>
      <c r="S851" s="76">
        <f>'RW predict'!O850</f>
        <v>0</v>
      </c>
      <c r="T851" s="76">
        <f>'RW predict'!K850</f>
        <v>0</v>
      </c>
      <c r="U851" s="22">
        <f>'RW predict'!J850</f>
        <v>11</v>
      </c>
      <c r="V851" s="32">
        <f>IF(D851="G",'RW predict'!E850,0)</f>
        <v>0</v>
      </c>
      <c r="W851" s="18">
        <f>'RW predict'!R850</f>
        <v>0</v>
      </c>
      <c r="X851" s="18">
        <f>'RW predict'!T850</f>
        <v>0</v>
      </c>
      <c r="Y851" s="18">
        <f>'RW predict'!Y850</f>
        <v>0</v>
      </c>
      <c r="Z851" s="18">
        <f>'RW predict'!U850</f>
        <v>0</v>
      </c>
      <c r="AA851" s="18">
        <f>'RW predict'!W850</f>
        <v>0</v>
      </c>
    </row>
    <row r="852" spans="1:27" x14ac:dyDescent="0.3">
      <c r="A852" s="18">
        <v>849</v>
      </c>
      <c r="B852" s="18" t="str">
        <f>'RW predict'!A851</f>
        <v>Elvis Merzlikins</v>
      </c>
      <c r="C852" s="18" t="str">
        <f>'RW predict'!B851</f>
        <v>CLS</v>
      </c>
      <c r="D852" s="22" t="str" cm="1">
        <f t="array" ref="D852">_xlfn.SWITCH('RW predict'!C851, "C", "F", "LW","F", "RW", "F", "D", "D", "G", "G", "other")</f>
        <v>G</v>
      </c>
      <c r="E852" s="32">
        <f t="shared" si="26"/>
        <v>2185</v>
      </c>
      <c r="F852" s="35">
        <f>E852/assumptions!$B$2</f>
        <v>26.646341463414632</v>
      </c>
      <c r="G852" s="36">
        <f t="shared" si="27"/>
        <v>128</v>
      </c>
      <c r="H852" s="18">
        <f>IF(NOT(D852="G"),'RW predict'!E851,0)</f>
        <v>0</v>
      </c>
      <c r="I852" s="18">
        <f>'RW predict'!Q851</f>
        <v>0</v>
      </c>
      <c r="J852" s="18">
        <f>'RW predict'!F851</f>
        <v>2</v>
      </c>
      <c r="K852" s="18"/>
      <c r="L852" s="18"/>
      <c r="M852" s="18">
        <f>'RW predict'!P851</f>
        <v>2</v>
      </c>
      <c r="N852" s="18"/>
      <c r="O852" s="18">
        <f>'RW predict'!H851</f>
        <v>0</v>
      </c>
      <c r="P852" s="18">
        <f>'RW predict'!I851</f>
        <v>6</v>
      </c>
      <c r="Q852" s="18">
        <f>'RW predict'!L851</f>
        <v>0</v>
      </c>
      <c r="R852" s="18">
        <f>'RW predict'!N851</f>
        <v>0</v>
      </c>
      <c r="S852" s="76">
        <f>'RW predict'!O851</f>
        <v>0</v>
      </c>
      <c r="T852" s="76">
        <f>'RW predict'!K851</f>
        <v>0</v>
      </c>
      <c r="U852" s="22">
        <f>'RW predict'!J851</f>
        <v>1</v>
      </c>
      <c r="V852" s="32">
        <f>IF(D852="G",'RW predict'!E851,0)</f>
        <v>0</v>
      </c>
      <c r="W852" s="18">
        <f>'RW predict'!R851</f>
        <v>27</v>
      </c>
      <c r="X852" s="18">
        <f>'RW predict'!T851</f>
        <v>5</v>
      </c>
      <c r="Y852" s="18">
        <f>'RW predict'!Y851</f>
        <v>2</v>
      </c>
      <c r="Z852" s="18">
        <f>'RW predict'!U851</f>
        <v>149</v>
      </c>
      <c r="AA852" s="18">
        <f>'RW predict'!W851</f>
        <v>1534</v>
      </c>
    </row>
    <row r="853" spans="1:27" x14ac:dyDescent="0.3">
      <c r="A853" s="18">
        <v>850</v>
      </c>
      <c r="B853" s="18" t="str">
        <f>'RW predict'!A852</f>
        <v>Haydn Fleury</v>
      </c>
      <c r="C853" s="18" t="str">
        <f>'RW predict'!B852</f>
        <v>TB</v>
      </c>
      <c r="D853" s="22" t="str" cm="1">
        <f t="array" ref="D853">_xlfn.SWITCH('RW predict'!C852, "C", "F", "LW","F", "RW", "F", "D", "D", "G", "G", "other")</f>
        <v>D</v>
      </c>
      <c r="E853" s="32">
        <f t="shared" si="26"/>
        <v>189</v>
      </c>
      <c r="F853" s="35">
        <f>E853/assumptions!$B$2</f>
        <v>2.3048780487804876</v>
      </c>
      <c r="G853" s="36">
        <f t="shared" si="27"/>
        <v>835</v>
      </c>
      <c r="H853" s="18">
        <f>IF(NOT(D853="G"),'RW predict'!E852,0)</f>
        <v>1</v>
      </c>
      <c r="I853" s="18">
        <f>'RW predict'!Q852</f>
        <v>27</v>
      </c>
      <c r="J853" s="18">
        <f>'RW predict'!F852</f>
        <v>1</v>
      </c>
      <c r="K853" s="18"/>
      <c r="L853" s="18"/>
      <c r="M853" s="18">
        <f>'RW predict'!P852</f>
        <v>25</v>
      </c>
      <c r="N853" s="18"/>
      <c r="O853" s="18">
        <f>'RW predict'!H852</f>
        <v>-1</v>
      </c>
      <c r="P853" s="18">
        <f>'RW predict'!I852</f>
        <v>6</v>
      </c>
      <c r="Q853" s="18">
        <f>'RW predict'!L852</f>
        <v>0</v>
      </c>
      <c r="R853" s="18">
        <f>'RW predict'!N852</f>
        <v>0</v>
      </c>
      <c r="S853" s="76">
        <f>'RW predict'!O852</f>
        <v>0</v>
      </c>
      <c r="T853" s="76">
        <f>'RW predict'!K852</f>
        <v>0</v>
      </c>
      <c r="U853" s="22">
        <f>'RW predict'!J852</f>
        <v>26</v>
      </c>
      <c r="V853" s="32">
        <f>IF(D853="G",'RW predict'!E852,0)</f>
        <v>0</v>
      </c>
      <c r="W853" s="18">
        <f>'RW predict'!R852</f>
        <v>0</v>
      </c>
      <c r="X853" s="18">
        <f>'RW predict'!T852</f>
        <v>0</v>
      </c>
      <c r="Y853" s="18">
        <f>'RW predict'!Y852</f>
        <v>0</v>
      </c>
      <c r="Z853" s="18">
        <f>'RW predict'!U852</f>
        <v>0</v>
      </c>
      <c r="AA853" s="18">
        <f>'RW predict'!W852</f>
        <v>0</v>
      </c>
    </row>
    <row r="854" spans="1:27" x14ac:dyDescent="0.3">
      <c r="A854" s="18">
        <v>851</v>
      </c>
      <c r="B854" s="18" t="str">
        <f>'RW predict'!A853</f>
        <v>Thatcher Demko</v>
      </c>
      <c r="C854" s="18" t="str">
        <f>'RW predict'!B853</f>
        <v>VAN</v>
      </c>
      <c r="D854" s="22" t="str" cm="1">
        <f t="array" ref="D854">_xlfn.SWITCH('RW predict'!C853, "C", "F", "LW","F", "RW", "F", "D", "D", "G", "G", "other")</f>
        <v>G</v>
      </c>
      <c r="E854" s="32">
        <f t="shared" si="26"/>
        <v>3004</v>
      </c>
      <c r="F854" s="35">
        <f>E854/assumptions!$B$2</f>
        <v>36.634146341463413</v>
      </c>
      <c r="G854" s="36">
        <f t="shared" si="27"/>
        <v>37</v>
      </c>
      <c r="H854" s="18">
        <f>IF(NOT(D854="G"),'RW predict'!E853,0)</f>
        <v>0</v>
      </c>
      <c r="I854" s="18">
        <f>'RW predict'!Q853</f>
        <v>0</v>
      </c>
      <c r="J854" s="18">
        <f>'RW predict'!F853</f>
        <v>2</v>
      </c>
      <c r="K854" s="18"/>
      <c r="L854" s="18"/>
      <c r="M854" s="18">
        <f>'RW predict'!P853</f>
        <v>0</v>
      </c>
      <c r="N854" s="18"/>
      <c r="O854" s="18">
        <f>'RW predict'!H853</f>
        <v>0</v>
      </c>
      <c r="P854" s="18">
        <f>'RW predict'!I853</f>
        <v>2</v>
      </c>
      <c r="Q854" s="18">
        <f>'RW predict'!L853</f>
        <v>0</v>
      </c>
      <c r="R854" s="18">
        <f>'RW predict'!N853</f>
        <v>0</v>
      </c>
      <c r="S854" s="76">
        <f>'RW predict'!O853</f>
        <v>0</v>
      </c>
      <c r="T854" s="76">
        <f>'RW predict'!K853</f>
        <v>0</v>
      </c>
      <c r="U854" s="22">
        <f>'RW predict'!J853</f>
        <v>0</v>
      </c>
      <c r="V854" s="32">
        <f>IF(D854="G",'RW predict'!E853,0)</f>
        <v>0</v>
      </c>
      <c r="W854" s="18">
        <f>'RW predict'!R853</f>
        <v>36</v>
      </c>
      <c r="X854" s="18">
        <f>'RW predict'!T853</f>
        <v>6</v>
      </c>
      <c r="Y854" s="18">
        <f>'RW predict'!Y853</f>
        <v>5</v>
      </c>
      <c r="Z854" s="18">
        <f>'RW predict'!U853</f>
        <v>160</v>
      </c>
      <c r="AA854" s="18">
        <f>'RW predict'!W853</f>
        <v>1769</v>
      </c>
    </row>
    <row r="855" spans="1:27" x14ac:dyDescent="0.3">
      <c r="A855" s="18">
        <v>852</v>
      </c>
      <c r="B855" s="18" t="str">
        <f>'RW predict'!A854</f>
        <v>Alex Nedeljkovic</v>
      </c>
      <c r="C855" s="18" t="str">
        <f>'RW predict'!B854</f>
        <v>DET</v>
      </c>
      <c r="D855" s="22" t="str" cm="1">
        <f t="array" ref="D855">_xlfn.SWITCH('RW predict'!C854, "C", "F", "LW","F", "RW", "F", "D", "D", "G", "G", "other")</f>
        <v>G</v>
      </c>
      <c r="E855" s="32">
        <f t="shared" si="26"/>
        <v>1908</v>
      </c>
      <c r="F855" s="35">
        <f>E855/assumptions!$B$2</f>
        <v>23.26829268292683</v>
      </c>
      <c r="G855" s="36">
        <f t="shared" si="27"/>
        <v>178</v>
      </c>
      <c r="H855" s="18">
        <f>IF(NOT(D855="G"),'RW predict'!E854,0)</f>
        <v>0</v>
      </c>
      <c r="I855" s="18">
        <f>'RW predict'!Q854</f>
        <v>0</v>
      </c>
      <c r="J855" s="18">
        <f>'RW predict'!F854</f>
        <v>2</v>
      </c>
      <c r="K855" s="18"/>
      <c r="L855" s="18"/>
      <c r="M855" s="18">
        <f>'RW predict'!P854</f>
        <v>0</v>
      </c>
      <c r="N855" s="18"/>
      <c r="O855" s="18">
        <f>'RW predict'!H854</f>
        <v>0</v>
      </c>
      <c r="P855" s="18">
        <f>'RW predict'!I854</f>
        <v>2</v>
      </c>
      <c r="Q855" s="18">
        <f>'RW predict'!L854</f>
        <v>0</v>
      </c>
      <c r="R855" s="18">
        <f>'RW predict'!N854</f>
        <v>0</v>
      </c>
      <c r="S855" s="76">
        <f>'RW predict'!O854</f>
        <v>0</v>
      </c>
      <c r="T855" s="76">
        <f>'RW predict'!K854</f>
        <v>0</v>
      </c>
      <c r="U855" s="22">
        <f>'RW predict'!J854</f>
        <v>0</v>
      </c>
      <c r="V855" s="32">
        <f>IF(D855="G",'RW predict'!E854,0)</f>
        <v>0</v>
      </c>
      <c r="W855" s="18">
        <f>'RW predict'!R854</f>
        <v>20</v>
      </c>
      <c r="X855" s="18">
        <f>'RW predict'!T854</f>
        <v>7</v>
      </c>
      <c r="Y855" s="18">
        <f>'RW predict'!Y854</f>
        <v>4</v>
      </c>
      <c r="Z855" s="18">
        <f>'RW predict'!U854</f>
        <v>140</v>
      </c>
      <c r="AA855" s="18">
        <f>'RW predict'!W854</f>
        <v>1406</v>
      </c>
    </row>
    <row r="856" spans="1:27" x14ac:dyDescent="0.3">
      <c r="A856" s="18">
        <v>853</v>
      </c>
      <c r="B856" s="18" t="str">
        <f>'RW predict'!A855</f>
        <v>Austin Czarnik</v>
      </c>
      <c r="C856" s="18" t="str">
        <f>'RW predict'!B855</f>
        <v>DET</v>
      </c>
      <c r="D856" s="22" t="str" cm="1">
        <f t="array" ref="D856">_xlfn.SWITCH('RW predict'!C855, "C", "F", "LW","F", "RW", "F", "D", "D", "G", "G", "other")</f>
        <v>F</v>
      </c>
      <c r="E856" s="32">
        <f t="shared" si="26"/>
        <v>71</v>
      </c>
      <c r="F856" s="35">
        <f>E856/assumptions!$B$2</f>
        <v>0.86585365853658536</v>
      </c>
      <c r="G856" s="36">
        <f t="shared" si="27"/>
        <v>954</v>
      </c>
      <c r="H856" s="18">
        <f>IF(NOT(D856="G"),'RW predict'!E855,0)</f>
        <v>1</v>
      </c>
      <c r="I856" s="18">
        <f>'RW predict'!Q855</f>
        <v>1</v>
      </c>
      <c r="J856" s="18">
        <f>'RW predict'!F855</f>
        <v>1</v>
      </c>
      <c r="K856" s="18"/>
      <c r="L856" s="18"/>
      <c r="M856" s="18">
        <f>'RW predict'!P855</f>
        <v>1</v>
      </c>
      <c r="N856" s="18"/>
      <c r="O856" s="18">
        <f>'RW predict'!H855</f>
        <v>1</v>
      </c>
      <c r="P856" s="18">
        <f>'RW predict'!I855</f>
        <v>0</v>
      </c>
      <c r="Q856" s="18">
        <f>'RW predict'!L855</f>
        <v>0</v>
      </c>
      <c r="R856" s="18">
        <f>'RW predict'!N855</f>
        <v>0</v>
      </c>
      <c r="S856" s="76">
        <f>'RW predict'!O855</f>
        <v>0</v>
      </c>
      <c r="T856" s="76">
        <f>'RW predict'!K855</f>
        <v>0</v>
      </c>
      <c r="U856" s="22">
        <f>'RW predict'!J855</f>
        <v>4</v>
      </c>
      <c r="V856" s="32">
        <f>IF(D856="G",'RW predict'!E855,0)</f>
        <v>0</v>
      </c>
      <c r="W856" s="18">
        <f>'RW predict'!R855</f>
        <v>0</v>
      </c>
      <c r="X856" s="18">
        <f>'RW predict'!T855</f>
        <v>0</v>
      </c>
      <c r="Y856" s="18">
        <f>'RW predict'!Y855</f>
        <v>0</v>
      </c>
      <c r="Z856" s="18">
        <f>'RW predict'!U855</f>
        <v>0</v>
      </c>
      <c r="AA856" s="18">
        <f>'RW predict'!W855</f>
        <v>0</v>
      </c>
    </row>
    <row r="857" spans="1:27" x14ac:dyDescent="0.3">
      <c r="A857" s="18">
        <v>854</v>
      </c>
      <c r="B857" s="18" t="str">
        <f>'RW predict'!A856</f>
        <v>Adin Hill</v>
      </c>
      <c r="C857" s="18" t="str">
        <f>'RW predict'!B856</f>
        <v>VGK</v>
      </c>
      <c r="D857" s="22" t="str" cm="1">
        <f t="array" ref="D857">_xlfn.SWITCH('RW predict'!C856, "C", "F", "LW","F", "RW", "F", "D", "D", "G", "G", "other")</f>
        <v>G</v>
      </c>
      <c r="E857" s="32">
        <f t="shared" si="26"/>
        <v>183</v>
      </c>
      <c r="F857" s="35">
        <f>E857/assumptions!$B$2</f>
        <v>2.2317073170731709</v>
      </c>
      <c r="G857" s="36">
        <f t="shared" si="27"/>
        <v>839</v>
      </c>
      <c r="H857" s="18">
        <f>IF(NOT(D857="G"),'RW predict'!E856,0)</f>
        <v>0</v>
      </c>
      <c r="I857" s="18">
        <f>'RW predict'!Q856</f>
        <v>0</v>
      </c>
      <c r="J857" s="18">
        <f>'RW predict'!F856</f>
        <v>2</v>
      </c>
      <c r="K857" s="18"/>
      <c r="L857" s="18"/>
      <c r="M857" s="18">
        <f>'RW predict'!P856</f>
        <v>0</v>
      </c>
      <c r="N857" s="18"/>
      <c r="O857" s="18">
        <f>'RW predict'!H856</f>
        <v>0</v>
      </c>
      <c r="P857" s="18">
        <f>'RW predict'!I856</f>
        <v>0</v>
      </c>
      <c r="Q857" s="18">
        <f>'RW predict'!L856</f>
        <v>0</v>
      </c>
      <c r="R857" s="18">
        <f>'RW predict'!N856</f>
        <v>0</v>
      </c>
      <c r="S857" s="76">
        <f>'RW predict'!O856</f>
        <v>0</v>
      </c>
      <c r="T857" s="76">
        <f>'RW predict'!K856</f>
        <v>0</v>
      </c>
      <c r="U857" s="22">
        <f>'RW predict'!J856</f>
        <v>0</v>
      </c>
      <c r="V857" s="32">
        <f>IF(D857="G",'RW predict'!E856,0)</f>
        <v>0</v>
      </c>
      <c r="W857" s="18">
        <f>'RW predict'!R856</f>
        <v>2</v>
      </c>
      <c r="X857" s="18">
        <f>'RW predict'!T856</f>
        <v>0</v>
      </c>
      <c r="Y857" s="18">
        <f>'RW predict'!Y856</f>
        <v>0</v>
      </c>
      <c r="Z857" s="18">
        <f>'RW predict'!U856</f>
        <v>21</v>
      </c>
      <c r="AA857" s="18">
        <f>'RW predict'!W856</f>
        <v>184</v>
      </c>
    </row>
    <row r="858" spans="1:27" x14ac:dyDescent="0.3">
      <c r="A858" s="18">
        <v>855</v>
      </c>
      <c r="B858" s="18" t="str">
        <f>'RW predict'!A857</f>
        <v>Frederik Gauthier</v>
      </c>
      <c r="C858" s="18" t="str">
        <f>'RW predict'!B857</f>
        <v>FA</v>
      </c>
      <c r="D858" s="22" t="str" cm="1">
        <f t="array" ref="D858">_xlfn.SWITCH('RW predict'!C857, "C", "F", "LW","F", "RW", "F", "D", "D", "G", "G", "other")</f>
        <v>F</v>
      </c>
      <c r="E858" s="32">
        <f t="shared" si="26"/>
        <v>84</v>
      </c>
      <c r="F858" s="35">
        <f>E858/assumptions!$B$2</f>
        <v>1.024390243902439</v>
      </c>
      <c r="G858" s="36">
        <f t="shared" si="27"/>
        <v>933</v>
      </c>
      <c r="H858" s="18">
        <f>IF(NOT(D858="G"),'RW predict'!E857,0)</f>
        <v>1</v>
      </c>
      <c r="I858" s="18">
        <f>'RW predict'!Q857</f>
        <v>4</v>
      </c>
      <c r="J858" s="18">
        <f>'RW predict'!F857</f>
        <v>1</v>
      </c>
      <c r="K858" s="18"/>
      <c r="L858" s="18"/>
      <c r="M858" s="18">
        <f>'RW predict'!P857</f>
        <v>19</v>
      </c>
      <c r="N858" s="18"/>
      <c r="O858" s="18">
        <f>'RW predict'!H857</f>
        <v>-1</v>
      </c>
      <c r="P858" s="18">
        <f>'RW predict'!I857</f>
        <v>1</v>
      </c>
      <c r="Q858" s="18">
        <f>'RW predict'!L857</f>
        <v>0</v>
      </c>
      <c r="R858" s="18">
        <f>'RW predict'!N857</f>
        <v>0</v>
      </c>
      <c r="S858" s="76">
        <f>'RW predict'!O857</f>
        <v>0</v>
      </c>
      <c r="T858" s="76">
        <f>'RW predict'!K857</f>
        <v>0</v>
      </c>
      <c r="U858" s="22">
        <f>'RW predict'!J857</f>
        <v>7</v>
      </c>
      <c r="V858" s="32">
        <f>IF(D858="G",'RW predict'!E857,0)</f>
        <v>0</v>
      </c>
      <c r="W858" s="18">
        <f>'RW predict'!R857</f>
        <v>0</v>
      </c>
      <c r="X858" s="18">
        <f>'RW predict'!T857</f>
        <v>0</v>
      </c>
      <c r="Y858" s="18">
        <f>'RW predict'!Y857</f>
        <v>0</v>
      </c>
      <c r="Z858" s="18">
        <f>'RW predict'!U857</f>
        <v>0</v>
      </c>
      <c r="AA858" s="18">
        <f>'RW predict'!W857</f>
        <v>0</v>
      </c>
    </row>
    <row r="859" spans="1:27" x14ac:dyDescent="0.3">
      <c r="A859" s="18">
        <v>856</v>
      </c>
      <c r="B859" s="18" t="str">
        <f>'RW predict'!A858</f>
        <v>Connor Hellebuyck</v>
      </c>
      <c r="C859" s="18" t="str">
        <f>'RW predict'!B858</f>
        <v>WPG</v>
      </c>
      <c r="D859" s="22" t="str" cm="1">
        <f t="array" ref="D859">_xlfn.SWITCH('RW predict'!C858, "C", "F", "LW","F", "RW", "F", "D", "D", "G", "G", "other")</f>
        <v>G</v>
      </c>
      <c r="E859" s="32">
        <f t="shared" si="26"/>
        <v>2734</v>
      </c>
      <c r="F859" s="35">
        <f>E859/assumptions!$B$2</f>
        <v>33.341463414634148</v>
      </c>
      <c r="G859" s="36">
        <f t="shared" si="27"/>
        <v>57</v>
      </c>
      <c r="H859" s="18">
        <f>IF(NOT(D859="G"),'RW predict'!E858,0)</f>
        <v>0</v>
      </c>
      <c r="I859" s="18">
        <f>'RW predict'!Q858</f>
        <v>0</v>
      </c>
      <c r="J859" s="18">
        <f>'RW predict'!F858</f>
        <v>2</v>
      </c>
      <c r="K859" s="18"/>
      <c r="L859" s="18"/>
      <c r="M859" s="18">
        <f>'RW predict'!P858</f>
        <v>0</v>
      </c>
      <c r="N859" s="18"/>
      <c r="O859" s="18">
        <f>'RW predict'!H858</f>
        <v>0</v>
      </c>
      <c r="P859" s="18">
        <f>'RW predict'!I858</f>
        <v>0</v>
      </c>
      <c r="Q859" s="18">
        <f>'RW predict'!L858</f>
        <v>0</v>
      </c>
      <c r="R859" s="18">
        <f>'RW predict'!N858</f>
        <v>0</v>
      </c>
      <c r="S859" s="76">
        <f>'RW predict'!O858</f>
        <v>1</v>
      </c>
      <c r="T859" s="76">
        <f>'RW predict'!K858</f>
        <v>0</v>
      </c>
      <c r="U859" s="22">
        <f>'RW predict'!J858</f>
        <v>0</v>
      </c>
      <c r="V859" s="32">
        <f>IF(D859="G",'RW predict'!E858,0)</f>
        <v>0</v>
      </c>
      <c r="W859" s="18">
        <f>'RW predict'!R858</f>
        <v>30</v>
      </c>
      <c r="X859" s="18">
        <f>'RW predict'!T858</f>
        <v>6</v>
      </c>
      <c r="Y859" s="18">
        <f>'RW predict'!Y858</f>
        <v>4</v>
      </c>
      <c r="Z859" s="18">
        <f>'RW predict'!U858</f>
        <v>174</v>
      </c>
      <c r="AA859" s="18">
        <f>'RW predict'!W858</f>
        <v>1882</v>
      </c>
    </row>
    <row r="860" spans="1:27" x14ac:dyDescent="0.3">
      <c r="A860" s="18">
        <v>857</v>
      </c>
      <c r="B860" s="18" t="str">
        <f>'RW predict'!A859</f>
        <v>Michael Dal Colle</v>
      </c>
      <c r="C860" s="18" t="str">
        <f>'RW predict'!B859</f>
        <v>OTT</v>
      </c>
      <c r="D860" s="22" t="str" cm="1">
        <f t="array" ref="D860">_xlfn.SWITCH('RW predict'!C859, "C", "F", "LW","F", "RW", "F", "D", "D", "G", "G", "other")</f>
        <v>F</v>
      </c>
      <c r="E860" s="32">
        <f t="shared" si="26"/>
        <v>103</v>
      </c>
      <c r="F860" s="35">
        <f>E860/assumptions!$B$2</f>
        <v>1.2560975609756098</v>
      </c>
      <c r="G860" s="36">
        <f t="shared" si="27"/>
        <v>905</v>
      </c>
      <c r="H860" s="18">
        <f>IF(NOT(D860="G"),'RW predict'!E859,0)</f>
        <v>0</v>
      </c>
      <c r="I860" s="18">
        <f>'RW predict'!Q859</f>
        <v>4</v>
      </c>
      <c r="J860" s="18">
        <f>'RW predict'!F859</f>
        <v>2</v>
      </c>
      <c r="K860" s="18"/>
      <c r="L860" s="18"/>
      <c r="M860" s="18">
        <f>'RW predict'!P859</f>
        <v>15</v>
      </c>
      <c r="N860" s="18"/>
      <c r="O860" s="18">
        <f>'RW predict'!H859</f>
        <v>0</v>
      </c>
      <c r="P860" s="18">
        <f>'RW predict'!I859</f>
        <v>2</v>
      </c>
      <c r="Q860" s="18">
        <f>'RW predict'!L859</f>
        <v>0</v>
      </c>
      <c r="R860" s="18">
        <f>'RW predict'!N859</f>
        <v>0</v>
      </c>
      <c r="S860" s="76">
        <f>'RW predict'!O859</f>
        <v>0</v>
      </c>
      <c r="T860" s="76">
        <f>'RW predict'!K859</f>
        <v>0</v>
      </c>
      <c r="U860" s="22">
        <f>'RW predict'!J859</f>
        <v>12</v>
      </c>
      <c r="V860" s="32">
        <f>IF(D860="G",'RW predict'!E859,0)</f>
        <v>0</v>
      </c>
      <c r="W860" s="18">
        <f>'RW predict'!R859</f>
        <v>0</v>
      </c>
      <c r="X860" s="18">
        <f>'RW predict'!T859</f>
        <v>0</v>
      </c>
      <c r="Y860" s="18">
        <f>'RW predict'!Y859</f>
        <v>0</v>
      </c>
      <c r="Z860" s="18">
        <f>'RW predict'!U859</f>
        <v>0</v>
      </c>
      <c r="AA860" s="18">
        <f>'RW predict'!W859</f>
        <v>0</v>
      </c>
    </row>
    <row r="861" spans="1:27" x14ac:dyDescent="0.3">
      <c r="A861" s="18">
        <v>858</v>
      </c>
      <c r="B861" s="18" t="str">
        <f>'RW predict'!A860</f>
        <v>Andrej Sustr</v>
      </c>
      <c r="C861" s="18" t="str">
        <f>'RW predict'!B860</f>
        <v>MIN</v>
      </c>
      <c r="D861" s="22" t="str" cm="1">
        <f t="array" ref="D861">_xlfn.SWITCH('RW predict'!C860, "C", "F", "LW","F", "RW", "F", "D", "D", "G", "G", "other")</f>
        <v>D</v>
      </c>
      <c r="E861" s="32">
        <f t="shared" si="26"/>
        <v>125</v>
      </c>
      <c r="F861" s="35">
        <f>E861/assumptions!$B$2</f>
        <v>1.524390243902439</v>
      </c>
      <c r="G861" s="36">
        <f t="shared" si="27"/>
        <v>882</v>
      </c>
      <c r="H861" s="18">
        <f>IF(NOT(D861="G"),'RW predict'!E860,0)</f>
        <v>0</v>
      </c>
      <c r="I861" s="18">
        <f>'RW predict'!Q860</f>
        <v>10</v>
      </c>
      <c r="J861" s="18">
        <f>'RW predict'!F860</f>
        <v>2</v>
      </c>
      <c r="K861" s="18"/>
      <c r="L861" s="18"/>
      <c r="M861" s="18">
        <f>'RW predict'!P860</f>
        <v>7</v>
      </c>
      <c r="N861" s="18"/>
      <c r="O861" s="18">
        <f>'RW predict'!H860</f>
        <v>2</v>
      </c>
      <c r="P861" s="18">
        <f>'RW predict'!I860</f>
        <v>4</v>
      </c>
      <c r="Q861" s="18">
        <f>'RW predict'!L860</f>
        <v>0</v>
      </c>
      <c r="R861" s="18">
        <f>'RW predict'!N860</f>
        <v>0</v>
      </c>
      <c r="S861" s="76">
        <f>'RW predict'!O860</f>
        <v>0</v>
      </c>
      <c r="T861" s="76">
        <f>'RW predict'!K860</f>
        <v>0</v>
      </c>
      <c r="U861" s="22">
        <f>'RW predict'!J860</f>
        <v>8</v>
      </c>
      <c r="V861" s="32">
        <f>IF(D861="G",'RW predict'!E860,0)</f>
        <v>0</v>
      </c>
      <c r="W861" s="18">
        <f>'RW predict'!R860</f>
        <v>0</v>
      </c>
      <c r="X861" s="18">
        <f>'RW predict'!T860</f>
        <v>0</v>
      </c>
      <c r="Y861" s="18">
        <f>'RW predict'!Y860</f>
        <v>0</v>
      </c>
      <c r="Z861" s="18">
        <f>'RW predict'!U860</f>
        <v>0</v>
      </c>
      <c r="AA861" s="18">
        <f>'RW predict'!W860</f>
        <v>0</v>
      </c>
    </row>
    <row r="862" spans="1:27" x14ac:dyDescent="0.3">
      <c r="A862" s="18">
        <v>859</v>
      </c>
      <c r="B862" s="18" t="str">
        <f>'RW predict'!A861</f>
        <v>Martin Frk</v>
      </c>
      <c r="C862" s="18" t="str">
        <f>'RW predict'!B861</f>
        <v>STL</v>
      </c>
      <c r="D862" s="22" t="str" cm="1">
        <f t="array" ref="D862">_xlfn.SWITCH('RW predict'!C861, "C", "F", "LW","F", "RW", "F", "D", "D", "G", "G", "other")</f>
        <v>F</v>
      </c>
      <c r="E862" s="32">
        <f t="shared" si="26"/>
        <v>57</v>
      </c>
      <c r="F862" s="35">
        <f>E862/assumptions!$B$2</f>
        <v>0.69512195121951215</v>
      </c>
      <c r="G862" s="36">
        <f t="shared" si="27"/>
        <v>974</v>
      </c>
      <c r="H862" s="18">
        <f>IF(NOT(D862="G"),'RW predict'!E861,0)</f>
        <v>1</v>
      </c>
      <c r="I862" s="18">
        <f>'RW predict'!Q861</f>
        <v>0</v>
      </c>
      <c r="J862" s="18">
        <f>'RW predict'!F861</f>
        <v>1</v>
      </c>
      <c r="K862" s="18"/>
      <c r="L862" s="18"/>
      <c r="M862" s="18">
        <f>'RW predict'!P861</f>
        <v>9</v>
      </c>
      <c r="N862" s="18"/>
      <c r="O862" s="18">
        <f>'RW predict'!H861</f>
        <v>-3</v>
      </c>
      <c r="P862" s="18">
        <f>'RW predict'!I861</f>
        <v>2</v>
      </c>
      <c r="Q862" s="18">
        <f>'RW predict'!L861</f>
        <v>0</v>
      </c>
      <c r="R862" s="18">
        <f>'RW predict'!N861</f>
        <v>0</v>
      </c>
      <c r="S862" s="76">
        <f>'RW predict'!O861</f>
        <v>0</v>
      </c>
      <c r="T862" s="76">
        <f>'RW predict'!K861</f>
        <v>0</v>
      </c>
      <c r="U862" s="22">
        <f>'RW predict'!J861</f>
        <v>11</v>
      </c>
      <c r="V862" s="32">
        <f>IF(D862="G",'RW predict'!E861,0)</f>
        <v>0</v>
      </c>
      <c r="W862" s="18">
        <f>'RW predict'!R861</f>
        <v>0</v>
      </c>
      <c r="X862" s="18">
        <f>'RW predict'!T861</f>
        <v>0</v>
      </c>
      <c r="Y862" s="18">
        <f>'RW predict'!Y861</f>
        <v>0</v>
      </c>
      <c r="Z862" s="18">
        <f>'RW predict'!U861</f>
        <v>0</v>
      </c>
      <c r="AA862" s="18">
        <f>'RW predict'!W861</f>
        <v>0</v>
      </c>
    </row>
    <row r="863" spans="1:27" x14ac:dyDescent="0.3">
      <c r="A863" s="18">
        <v>860</v>
      </c>
      <c r="B863" s="18" t="str">
        <f>'RW predict'!A862</f>
        <v>Gemel Smith</v>
      </c>
      <c r="C863" s="18" t="str">
        <f>'RW predict'!B862</f>
        <v>TB</v>
      </c>
      <c r="D863" s="22" t="str" cm="1">
        <f t="array" ref="D863">_xlfn.SWITCH('RW predict'!C862, "C", "F", "LW","F", "RW", "F", "D", "D", "G", "G", "other")</f>
        <v>F</v>
      </c>
      <c r="E863" s="32">
        <f t="shared" si="26"/>
        <v>84</v>
      </c>
      <c r="F863" s="35">
        <f>E863/assumptions!$B$2</f>
        <v>1.024390243902439</v>
      </c>
      <c r="G863" s="36">
        <f t="shared" si="27"/>
        <v>933</v>
      </c>
      <c r="H863" s="18">
        <f>IF(NOT(D863="G"),'RW predict'!E862,0)</f>
        <v>0</v>
      </c>
      <c r="I863" s="18">
        <f>'RW predict'!Q862</f>
        <v>3</v>
      </c>
      <c r="J863" s="18">
        <f>'RW predict'!F862</f>
        <v>2</v>
      </c>
      <c r="K863" s="18"/>
      <c r="L863" s="18"/>
      <c r="M863" s="18">
        <f>'RW predict'!P862</f>
        <v>6</v>
      </c>
      <c r="N863" s="18"/>
      <c r="O863" s="18">
        <f>'RW predict'!H862</f>
        <v>-3</v>
      </c>
      <c r="P863" s="18">
        <f>'RW predict'!I862</f>
        <v>14</v>
      </c>
      <c r="Q863" s="18">
        <f>'RW predict'!L862</f>
        <v>0</v>
      </c>
      <c r="R863" s="18">
        <f>'RW predict'!N862</f>
        <v>0</v>
      </c>
      <c r="S863" s="76">
        <f>'RW predict'!O862</f>
        <v>0</v>
      </c>
      <c r="T863" s="76">
        <f>'RW predict'!K862</f>
        <v>0</v>
      </c>
      <c r="U863" s="22">
        <f>'RW predict'!J862</f>
        <v>5</v>
      </c>
      <c r="V863" s="32">
        <f>IF(D863="G",'RW predict'!E862,0)</f>
        <v>0</v>
      </c>
      <c r="W863" s="18">
        <f>'RW predict'!R862</f>
        <v>0</v>
      </c>
      <c r="X863" s="18">
        <f>'RW predict'!T862</f>
        <v>0</v>
      </c>
      <c r="Y863" s="18">
        <f>'RW predict'!Y862</f>
        <v>0</v>
      </c>
      <c r="Z863" s="18">
        <f>'RW predict'!U862</f>
        <v>0</v>
      </c>
      <c r="AA863" s="18">
        <f>'RW predict'!W862</f>
        <v>0</v>
      </c>
    </row>
    <row r="864" spans="1:27" x14ac:dyDescent="0.3">
      <c r="A864" s="18">
        <v>861</v>
      </c>
      <c r="B864" s="18" t="str">
        <f>'RW predict'!A863</f>
        <v>Andrei Vasilevskiy</v>
      </c>
      <c r="C864" s="18" t="str">
        <f>'RW predict'!B863</f>
        <v>TB</v>
      </c>
      <c r="D864" s="22" t="str" cm="1">
        <f t="array" ref="D864">_xlfn.SWITCH('RW predict'!C863, "C", "F", "LW","F", "RW", "F", "D", "D", "G", "G", "other")</f>
        <v>G</v>
      </c>
      <c r="E864" s="32">
        <f t="shared" si="26"/>
        <v>3451</v>
      </c>
      <c r="F864" s="35">
        <f>E864/assumptions!$B$2</f>
        <v>42.085365853658537</v>
      </c>
      <c r="G864" s="36">
        <f t="shared" si="27"/>
        <v>17</v>
      </c>
      <c r="H864" s="18">
        <f>IF(NOT(D864="G"),'RW predict'!E863,0)</f>
        <v>0</v>
      </c>
      <c r="I864" s="18">
        <f>'RW predict'!Q863</f>
        <v>0</v>
      </c>
      <c r="J864" s="18">
        <f>'RW predict'!F863</f>
        <v>2</v>
      </c>
      <c r="K864" s="18"/>
      <c r="L864" s="18"/>
      <c r="M864" s="18">
        <f>'RW predict'!P863</f>
        <v>1</v>
      </c>
      <c r="N864" s="18"/>
      <c r="O864" s="18">
        <f>'RW predict'!H863</f>
        <v>0</v>
      </c>
      <c r="P864" s="18">
        <f>'RW predict'!I863</f>
        <v>5</v>
      </c>
      <c r="Q864" s="18">
        <f>'RW predict'!L863</f>
        <v>0</v>
      </c>
      <c r="R864" s="18">
        <f>'RW predict'!N863</f>
        <v>0</v>
      </c>
      <c r="S864" s="76">
        <f>'RW predict'!O863</f>
        <v>0</v>
      </c>
      <c r="T864" s="76">
        <f>'RW predict'!K863</f>
        <v>0</v>
      </c>
      <c r="U864" s="22">
        <f>'RW predict'!J863</f>
        <v>0</v>
      </c>
      <c r="V864" s="32">
        <f>IF(D864="G",'RW predict'!E863,0)</f>
        <v>0</v>
      </c>
      <c r="W864" s="18">
        <f>'RW predict'!R863</f>
        <v>44</v>
      </c>
      <c r="X864" s="18">
        <f>'RW predict'!T863</f>
        <v>4</v>
      </c>
      <c r="Y864" s="18">
        <f>'RW predict'!Y863</f>
        <v>6</v>
      </c>
      <c r="Z864" s="18">
        <f>'RW predict'!U863</f>
        <v>149</v>
      </c>
      <c r="AA864" s="18">
        <f>'RW predict'!W863</f>
        <v>1740</v>
      </c>
    </row>
    <row r="865" spans="1:27" x14ac:dyDescent="0.3">
      <c r="A865" s="18">
        <v>862</v>
      </c>
      <c r="B865" s="18" t="str">
        <f>'RW predict'!A864</f>
        <v>Brendan Gaunce</v>
      </c>
      <c r="C865" s="18" t="str">
        <f>'RW predict'!B864</f>
        <v>CLS</v>
      </c>
      <c r="D865" s="22" t="str" cm="1">
        <f t="array" ref="D865">_xlfn.SWITCH('RW predict'!C864, "C", "F", "LW","F", "RW", "F", "D", "D", "G", "G", "other")</f>
        <v>F</v>
      </c>
      <c r="E865" s="32">
        <f t="shared" si="26"/>
        <v>103</v>
      </c>
      <c r="F865" s="35">
        <f>E865/assumptions!$B$2</f>
        <v>1.2560975609756098</v>
      </c>
      <c r="G865" s="36">
        <f t="shared" si="27"/>
        <v>905</v>
      </c>
      <c r="H865" s="18">
        <f>IF(NOT(D865="G"),'RW predict'!E864,0)</f>
        <v>1</v>
      </c>
      <c r="I865" s="18">
        <f>'RW predict'!Q864</f>
        <v>2</v>
      </c>
      <c r="J865" s="18">
        <f>'RW predict'!F864</f>
        <v>1</v>
      </c>
      <c r="K865" s="18"/>
      <c r="L865" s="18"/>
      <c r="M865" s="18">
        <f>'RW predict'!P864</f>
        <v>9</v>
      </c>
      <c r="N865" s="18"/>
      <c r="O865" s="18">
        <f>'RW predict'!H864</f>
        <v>1</v>
      </c>
      <c r="P865" s="18">
        <f>'RW predict'!I864</f>
        <v>4</v>
      </c>
      <c r="Q865" s="18">
        <f>'RW predict'!L864</f>
        <v>0</v>
      </c>
      <c r="R865" s="18">
        <f>'RW predict'!N864</f>
        <v>0</v>
      </c>
      <c r="S865" s="76">
        <f>'RW predict'!O864</f>
        <v>0</v>
      </c>
      <c r="T865" s="76">
        <f>'RW predict'!K864</f>
        <v>0</v>
      </c>
      <c r="U865" s="22">
        <f>'RW predict'!J864</f>
        <v>9</v>
      </c>
      <c r="V865" s="32">
        <f>IF(D865="G",'RW predict'!E864,0)</f>
        <v>0</v>
      </c>
      <c r="W865" s="18">
        <f>'RW predict'!R864</f>
        <v>0</v>
      </c>
      <c r="X865" s="18">
        <f>'RW predict'!T864</f>
        <v>0</v>
      </c>
      <c r="Y865" s="18">
        <f>'RW predict'!Y864</f>
        <v>0</v>
      </c>
      <c r="Z865" s="18">
        <f>'RW predict'!U864</f>
        <v>0</v>
      </c>
      <c r="AA865" s="18">
        <f>'RW predict'!W864</f>
        <v>0</v>
      </c>
    </row>
    <row r="866" spans="1:27" x14ac:dyDescent="0.3">
      <c r="A866" s="18">
        <v>863</v>
      </c>
      <c r="B866" s="18" t="str">
        <f>'RW predict'!A865</f>
        <v>Scott Harrington</v>
      </c>
      <c r="C866" s="18" t="str">
        <f>'RW predict'!B865</f>
        <v>SJ</v>
      </c>
      <c r="D866" s="22" t="str" cm="1">
        <f t="array" ref="D866">_xlfn.SWITCH('RW predict'!C865, "C", "F", "LW","F", "RW", "F", "D", "D", "G", "G", "other")</f>
        <v>D</v>
      </c>
      <c r="E866" s="32">
        <f t="shared" si="26"/>
        <v>99</v>
      </c>
      <c r="F866" s="35">
        <f>E866/assumptions!$B$2</f>
        <v>1.2073170731707317</v>
      </c>
      <c r="G866" s="36">
        <f t="shared" si="27"/>
        <v>913</v>
      </c>
      <c r="H866" s="18">
        <f>IF(NOT(D866="G"),'RW predict'!E865,0)</f>
        <v>0</v>
      </c>
      <c r="I866" s="18">
        <f>'RW predict'!Q865</f>
        <v>16</v>
      </c>
      <c r="J866" s="18">
        <f>'RW predict'!F865</f>
        <v>2</v>
      </c>
      <c r="K866" s="18"/>
      <c r="L866" s="18"/>
      <c r="M866" s="18">
        <f>'RW predict'!P865</f>
        <v>13</v>
      </c>
      <c r="N866" s="18"/>
      <c r="O866" s="18">
        <f>'RW predict'!H865</f>
        <v>-4</v>
      </c>
      <c r="P866" s="18">
        <f>'RW predict'!I865</f>
        <v>8</v>
      </c>
      <c r="Q866" s="18">
        <f>'RW predict'!L865</f>
        <v>0</v>
      </c>
      <c r="R866" s="18">
        <f>'RW predict'!N865</f>
        <v>0</v>
      </c>
      <c r="S866" s="76">
        <f>'RW predict'!O865</f>
        <v>0</v>
      </c>
      <c r="T866" s="76">
        <f>'RW predict'!K865</f>
        <v>0</v>
      </c>
      <c r="U866" s="22">
        <f>'RW predict'!J865</f>
        <v>10</v>
      </c>
      <c r="V866" s="32">
        <f>IF(D866="G",'RW predict'!E865,0)</f>
        <v>0</v>
      </c>
      <c r="W866" s="18">
        <f>'RW predict'!R865</f>
        <v>0</v>
      </c>
      <c r="X866" s="18">
        <f>'RW predict'!T865</f>
        <v>0</v>
      </c>
      <c r="Y866" s="18">
        <f>'RW predict'!Y865</f>
        <v>0</v>
      </c>
      <c r="Z866" s="18">
        <f>'RW predict'!U865</f>
        <v>0</v>
      </c>
      <c r="AA866" s="18">
        <f>'RW predict'!W865</f>
        <v>0</v>
      </c>
    </row>
    <row r="867" spans="1:27" x14ac:dyDescent="0.3">
      <c r="A867" s="18">
        <v>864</v>
      </c>
      <c r="B867" s="18" t="str">
        <f>'RW predict'!A866</f>
        <v>Jordie Benn</v>
      </c>
      <c r="C867" s="18" t="str">
        <f>'RW predict'!B866</f>
        <v>TOR</v>
      </c>
      <c r="D867" s="22" t="str" cm="1">
        <f t="array" ref="D867">_xlfn.SWITCH('RW predict'!C866, "C", "F", "LW","F", "RW", "F", "D", "D", "G", "G", "other")</f>
        <v>D</v>
      </c>
      <c r="E867" s="32">
        <f t="shared" si="26"/>
        <v>139</v>
      </c>
      <c r="F867" s="35">
        <f>E867/assumptions!$B$2</f>
        <v>1.6951219512195121</v>
      </c>
      <c r="G867" s="36">
        <f t="shared" si="27"/>
        <v>869</v>
      </c>
      <c r="H867" s="18">
        <f>IF(NOT(D867="G"),'RW predict'!E866,0)</f>
        <v>0</v>
      </c>
      <c r="I867" s="18">
        <f>'RW predict'!Q866</f>
        <v>14</v>
      </c>
      <c r="J867" s="18">
        <f>'RW predict'!F866</f>
        <v>2</v>
      </c>
      <c r="K867" s="18"/>
      <c r="L867" s="18"/>
      <c r="M867" s="18">
        <f>'RW predict'!P866</f>
        <v>13</v>
      </c>
      <c r="N867" s="18"/>
      <c r="O867" s="18">
        <f>'RW predict'!H866</f>
        <v>1</v>
      </c>
      <c r="P867" s="18">
        <f>'RW predict'!I866</f>
        <v>4</v>
      </c>
      <c r="Q867" s="18">
        <f>'RW predict'!L866</f>
        <v>0</v>
      </c>
      <c r="R867" s="18">
        <f>'RW predict'!N866</f>
        <v>0</v>
      </c>
      <c r="S867" s="76">
        <f>'RW predict'!O866</f>
        <v>0</v>
      </c>
      <c r="T867" s="76">
        <f>'RW predict'!K866</f>
        <v>0</v>
      </c>
      <c r="U867" s="22">
        <f>'RW predict'!J866</f>
        <v>13</v>
      </c>
      <c r="V867" s="32">
        <f>IF(D867="G",'RW predict'!E866,0)</f>
        <v>0</v>
      </c>
      <c r="W867" s="18">
        <f>'RW predict'!R866</f>
        <v>0</v>
      </c>
      <c r="X867" s="18">
        <f>'RW predict'!T866</f>
        <v>0</v>
      </c>
      <c r="Y867" s="18">
        <f>'RW predict'!Y866</f>
        <v>0</v>
      </c>
      <c r="Z867" s="18">
        <f>'RW predict'!U866</f>
        <v>0</v>
      </c>
      <c r="AA867" s="18">
        <f>'RW predict'!W866</f>
        <v>0</v>
      </c>
    </row>
    <row r="868" spans="1:27" x14ac:dyDescent="0.3">
      <c r="A868" s="18">
        <v>865</v>
      </c>
      <c r="B868" s="18" t="str">
        <f>'RW predict'!A867</f>
        <v>Chris Wagner</v>
      </c>
      <c r="C868" s="18" t="str">
        <f>'RW predict'!B867</f>
        <v>BOS</v>
      </c>
      <c r="D868" s="22" t="str" cm="1">
        <f t="array" ref="D868">_xlfn.SWITCH('RW predict'!C867, "C", "F", "LW","F", "RW", "F", "D", "D", "G", "G", "other")</f>
        <v>F</v>
      </c>
      <c r="E868" s="32">
        <f t="shared" si="26"/>
        <v>135</v>
      </c>
      <c r="F868" s="35">
        <f>E868/assumptions!$B$2</f>
        <v>1.6463414634146341</v>
      </c>
      <c r="G868" s="36">
        <f t="shared" si="27"/>
        <v>872</v>
      </c>
      <c r="H868" s="18">
        <f>IF(NOT(D868="G"),'RW predict'!E867,0)</f>
        <v>0</v>
      </c>
      <c r="I868" s="18">
        <f>'RW predict'!Q867</f>
        <v>7</v>
      </c>
      <c r="J868" s="18">
        <f>'RW predict'!F867</f>
        <v>2</v>
      </c>
      <c r="K868" s="18"/>
      <c r="L868" s="18"/>
      <c r="M868" s="18">
        <f>'RW predict'!P867</f>
        <v>39</v>
      </c>
      <c r="N868" s="18"/>
      <c r="O868" s="18">
        <f>'RW predict'!H867</f>
        <v>-2</v>
      </c>
      <c r="P868" s="18">
        <f>'RW predict'!I867</f>
        <v>10</v>
      </c>
      <c r="Q868" s="18">
        <f>'RW predict'!L867</f>
        <v>0</v>
      </c>
      <c r="R868" s="18">
        <f>'RW predict'!N867</f>
        <v>0</v>
      </c>
      <c r="S868" s="76">
        <f>'RW predict'!O867</f>
        <v>0</v>
      </c>
      <c r="T868" s="76">
        <f>'RW predict'!K867</f>
        <v>0</v>
      </c>
      <c r="U868" s="22">
        <f>'RW predict'!J867</f>
        <v>11</v>
      </c>
      <c r="V868" s="32">
        <f>IF(D868="G",'RW predict'!E867,0)</f>
        <v>0</v>
      </c>
      <c r="W868" s="18">
        <f>'RW predict'!R867</f>
        <v>0</v>
      </c>
      <c r="X868" s="18">
        <f>'RW predict'!T867</f>
        <v>0</v>
      </c>
      <c r="Y868" s="18">
        <f>'RW predict'!Y867</f>
        <v>0</v>
      </c>
      <c r="Z868" s="18">
        <f>'RW predict'!U867</f>
        <v>0</v>
      </c>
      <c r="AA868" s="18">
        <f>'RW predict'!W867</f>
        <v>0</v>
      </c>
    </row>
    <row r="869" spans="1:27" x14ac:dyDescent="0.3">
      <c r="A869" s="18">
        <v>866</v>
      </c>
      <c r="B869" s="18" t="str">
        <f>'RW predict'!A868</f>
        <v>Matt Tennyson</v>
      </c>
      <c r="C869" s="18" t="str">
        <f>'RW predict'!B868</f>
        <v>FA</v>
      </c>
      <c r="D869" s="22" t="str" cm="1">
        <f t="array" ref="D869">_xlfn.SWITCH('RW predict'!C868, "C", "F", "LW","F", "RW", "F", "D", "D", "G", "G", "other")</f>
        <v>D</v>
      </c>
      <c r="E869" s="32">
        <f t="shared" si="26"/>
        <v>117</v>
      </c>
      <c r="F869" s="35">
        <f>E869/assumptions!$B$2</f>
        <v>1.4268292682926829</v>
      </c>
      <c r="G869" s="36">
        <f t="shared" si="27"/>
        <v>887</v>
      </c>
      <c r="H869" s="18">
        <f>IF(NOT(D869="G"),'RW predict'!E868,0)</f>
        <v>0</v>
      </c>
      <c r="I869" s="18">
        <f>'RW predict'!Q868</f>
        <v>10</v>
      </c>
      <c r="J869" s="18">
        <f>'RW predict'!F868</f>
        <v>2</v>
      </c>
      <c r="K869" s="18"/>
      <c r="L869" s="18"/>
      <c r="M869" s="18">
        <f>'RW predict'!P868</f>
        <v>19</v>
      </c>
      <c r="N869" s="18"/>
      <c r="O869" s="18">
        <f>'RW predict'!H868</f>
        <v>0</v>
      </c>
      <c r="P869" s="18">
        <f>'RW predict'!I868</f>
        <v>4</v>
      </c>
      <c r="Q869" s="18">
        <f>'RW predict'!L868</f>
        <v>0</v>
      </c>
      <c r="R869" s="18">
        <f>'RW predict'!N868</f>
        <v>0</v>
      </c>
      <c r="S869" s="76">
        <f>'RW predict'!O868</f>
        <v>0</v>
      </c>
      <c r="T869" s="76">
        <f>'RW predict'!K868</f>
        <v>0</v>
      </c>
      <c r="U869" s="22">
        <f>'RW predict'!J868</f>
        <v>8</v>
      </c>
      <c r="V869" s="32">
        <f>IF(D869="G",'RW predict'!E868,0)</f>
        <v>0</v>
      </c>
      <c r="W869" s="18">
        <f>'RW predict'!R868</f>
        <v>0</v>
      </c>
      <c r="X869" s="18">
        <f>'RW predict'!T868</f>
        <v>0</v>
      </c>
      <c r="Y869" s="18">
        <f>'RW predict'!Y868</f>
        <v>0</v>
      </c>
      <c r="Z869" s="18">
        <f>'RW predict'!U868</f>
        <v>0</v>
      </c>
      <c r="AA869" s="18">
        <f>'RW predict'!W868</f>
        <v>0</v>
      </c>
    </row>
    <row r="870" spans="1:27" x14ac:dyDescent="0.3">
      <c r="A870" s="18">
        <v>867</v>
      </c>
      <c r="B870" s="18" t="str">
        <f>'RW predict'!A869</f>
        <v>Stefan Noesen</v>
      </c>
      <c r="C870" s="18" t="str">
        <f>'RW predict'!B869</f>
        <v>CAR</v>
      </c>
      <c r="D870" s="22" t="str" cm="1">
        <f t="array" ref="D870">_xlfn.SWITCH('RW predict'!C869, "C", "F", "LW","F", "RW", "F", "D", "D", "G", "G", "other")</f>
        <v>F</v>
      </c>
      <c r="E870" s="32">
        <f t="shared" si="26"/>
        <v>97</v>
      </c>
      <c r="F870" s="35">
        <f>E870/assumptions!$B$2</f>
        <v>1.1829268292682926</v>
      </c>
      <c r="G870" s="36">
        <f t="shared" si="27"/>
        <v>918</v>
      </c>
      <c r="H870" s="18">
        <f>IF(NOT(D870="G"),'RW predict'!E869,0)</f>
        <v>1</v>
      </c>
      <c r="I870" s="18">
        <f>'RW predict'!Q869</f>
        <v>3</v>
      </c>
      <c r="J870" s="18">
        <f>'RW predict'!F869</f>
        <v>1</v>
      </c>
      <c r="K870" s="18"/>
      <c r="L870" s="18"/>
      <c r="M870" s="18">
        <f>'RW predict'!P869</f>
        <v>9</v>
      </c>
      <c r="N870" s="18"/>
      <c r="O870" s="18">
        <f>'RW predict'!H869</f>
        <v>1</v>
      </c>
      <c r="P870" s="18">
        <f>'RW predict'!I869</f>
        <v>2</v>
      </c>
      <c r="Q870" s="18">
        <f>'RW predict'!L869</f>
        <v>0</v>
      </c>
      <c r="R870" s="18">
        <f>'RW predict'!N869</f>
        <v>0</v>
      </c>
      <c r="S870" s="76">
        <f>'RW predict'!O869</f>
        <v>0</v>
      </c>
      <c r="T870" s="76">
        <f>'RW predict'!K869</f>
        <v>0</v>
      </c>
      <c r="U870" s="22">
        <f>'RW predict'!J869</f>
        <v>8</v>
      </c>
      <c r="V870" s="32">
        <f>IF(D870="G",'RW predict'!E869,0)</f>
        <v>0</v>
      </c>
      <c r="W870" s="18">
        <f>'RW predict'!R869</f>
        <v>0</v>
      </c>
      <c r="X870" s="18">
        <f>'RW predict'!T869</f>
        <v>0</v>
      </c>
      <c r="Y870" s="18">
        <f>'RW predict'!Y869</f>
        <v>0</v>
      </c>
      <c r="Z870" s="18">
        <f>'RW predict'!U869</f>
        <v>0</v>
      </c>
      <c r="AA870" s="18">
        <f>'RW predict'!W869</f>
        <v>0</v>
      </c>
    </row>
    <row r="871" spans="1:27" x14ac:dyDescent="0.3">
      <c r="A871" s="18">
        <v>868</v>
      </c>
      <c r="B871" s="18" t="str">
        <f>'RW predict'!A870</f>
        <v>Matt Irwin</v>
      </c>
      <c r="C871" s="18" t="str">
        <f>'RW predict'!B870</f>
        <v>WAS</v>
      </c>
      <c r="D871" s="22" t="str" cm="1">
        <f t="array" ref="D871">_xlfn.SWITCH('RW predict'!C870, "C", "F", "LW","F", "RW", "F", "D", "D", "G", "G", "other")</f>
        <v>D</v>
      </c>
      <c r="E871" s="32">
        <f t="shared" si="26"/>
        <v>146</v>
      </c>
      <c r="F871" s="35">
        <f>E871/assumptions!$B$2</f>
        <v>1.7804878048780488</v>
      </c>
      <c r="G871" s="36">
        <f t="shared" si="27"/>
        <v>866</v>
      </c>
      <c r="H871" s="18">
        <f>IF(NOT(D871="G"),'RW predict'!E870,0)</f>
        <v>1</v>
      </c>
      <c r="I871" s="18">
        <f>'RW predict'!Q870</f>
        <v>19</v>
      </c>
      <c r="J871" s="18">
        <f>'RW predict'!F870</f>
        <v>1</v>
      </c>
      <c r="K871" s="18"/>
      <c r="L871" s="18"/>
      <c r="M871" s="18">
        <f>'RW predict'!P870</f>
        <v>30</v>
      </c>
      <c r="N871" s="18"/>
      <c r="O871" s="18">
        <f>'RW predict'!H870</f>
        <v>-3</v>
      </c>
      <c r="P871" s="18">
        <f>'RW predict'!I870</f>
        <v>6</v>
      </c>
      <c r="Q871" s="18">
        <f>'RW predict'!L870</f>
        <v>0</v>
      </c>
      <c r="R871" s="18">
        <f>'RW predict'!N870</f>
        <v>0</v>
      </c>
      <c r="S871" s="76">
        <f>'RW predict'!O870</f>
        <v>0</v>
      </c>
      <c r="T871" s="76">
        <f>'RW predict'!K870</f>
        <v>0</v>
      </c>
      <c r="U871" s="22">
        <f>'RW predict'!J870</f>
        <v>20</v>
      </c>
      <c r="V871" s="32">
        <f>IF(D871="G",'RW predict'!E870,0)</f>
        <v>0</v>
      </c>
      <c r="W871" s="18">
        <f>'RW predict'!R870</f>
        <v>0</v>
      </c>
      <c r="X871" s="18">
        <f>'RW predict'!T870</f>
        <v>0</v>
      </c>
      <c r="Y871" s="18">
        <f>'RW predict'!Y870</f>
        <v>0</v>
      </c>
      <c r="Z871" s="18">
        <f>'RW predict'!U870</f>
        <v>0</v>
      </c>
      <c r="AA871" s="18">
        <f>'RW predict'!W870</f>
        <v>0</v>
      </c>
    </row>
    <row r="872" spans="1:27" x14ac:dyDescent="0.3">
      <c r="A872" s="18">
        <v>869</v>
      </c>
      <c r="B872" s="18" t="str">
        <f>'RW predict'!A871</f>
        <v>Marc-Andre Fleury</v>
      </c>
      <c r="C872" s="18" t="str">
        <f>'RW predict'!B871</f>
        <v>MIN</v>
      </c>
      <c r="D872" s="22" t="str" cm="1">
        <f t="array" ref="D872">_xlfn.SWITCH('RW predict'!C871, "C", "F", "LW","F", "RW", "F", "D", "D", "G", "G", "other")</f>
        <v>G</v>
      </c>
      <c r="E872" s="32">
        <f t="shared" si="26"/>
        <v>2621</v>
      </c>
      <c r="F872" s="35">
        <f>E872/assumptions!$B$2</f>
        <v>31.963414634146343</v>
      </c>
      <c r="G872" s="36">
        <f t="shared" si="27"/>
        <v>67</v>
      </c>
      <c r="H872" s="18">
        <f>IF(NOT(D872="G"),'RW predict'!E871,0)</f>
        <v>0</v>
      </c>
      <c r="I872" s="18">
        <f>'RW predict'!Q871</f>
        <v>0</v>
      </c>
      <c r="J872" s="18">
        <f>'RW predict'!F871</f>
        <v>2</v>
      </c>
      <c r="K872" s="18"/>
      <c r="L872" s="18"/>
      <c r="M872" s="18">
        <f>'RW predict'!P871</f>
        <v>0</v>
      </c>
      <c r="N872" s="18"/>
      <c r="O872" s="18">
        <f>'RW predict'!H871</f>
        <v>0</v>
      </c>
      <c r="P872" s="18">
        <f>'RW predict'!I871</f>
        <v>3</v>
      </c>
      <c r="Q872" s="18">
        <f>'RW predict'!L871</f>
        <v>0</v>
      </c>
      <c r="R872" s="18">
        <f>'RW predict'!N871</f>
        <v>0</v>
      </c>
      <c r="S872" s="76">
        <f>'RW predict'!O871</f>
        <v>0</v>
      </c>
      <c r="T872" s="76">
        <f>'RW predict'!K871</f>
        <v>0</v>
      </c>
      <c r="U872" s="22">
        <f>'RW predict'!J871</f>
        <v>0</v>
      </c>
      <c r="V872" s="32">
        <f>IF(D872="G",'RW predict'!E871,0)</f>
        <v>0</v>
      </c>
      <c r="W872" s="18">
        <f>'RW predict'!R871</f>
        <v>35</v>
      </c>
      <c r="X872" s="18">
        <f>'RW predict'!T871</f>
        <v>5</v>
      </c>
      <c r="Y872" s="18">
        <f>'RW predict'!Y871</f>
        <v>4</v>
      </c>
      <c r="Z872" s="18">
        <f>'RW predict'!U871</f>
        <v>150</v>
      </c>
      <c r="AA872" s="18">
        <f>'RW predict'!W871</f>
        <v>1556</v>
      </c>
    </row>
    <row r="873" spans="1:27" x14ac:dyDescent="0.3">
      <c r="A873" s="18">
        <v>870</v>
      </c>
      <c r="B873" s="18" t="str">
        <f>'RW predict'!A872</f>
        <v>Jacob Markstrom</v>
      </c>
      <c r="C873" s="18" t="str">
        <f>'RW predict'!B872</f>
        <v>CGY</v>
      </c>
      <c r="D873" s="22" t="str" cm="1">
        <f t="array" ref="D873">_xlfn.SWITCH('RW predict'!C872, "C", "F", "LW","F", "RW", "F", "D", "D", "G", "G", "other")</f>
        <v>G</v>
      </c>
      <c r="E873" s="32">
        <f t="shared" si="26"/>
        <v>2916</v>
      </c>
      <c r="F873" s="35">
        <f>E873/assumptions!$B$2</f>
        <v>35.560975609756099</v>
      </c>
      <c r="G873" s="36">
        <f t="shared" si="27"/>
        <v>42</v>
      </c>
      <c r="H873" s="18">
        <f>IF(NOT(D873="G"),'RW predict'!E872,0)</f>
        <v>0</v>
      </c>
      <c r="I873" s="18">
        <f>'RW predict'!Q872</f>
        <v>1</v>
      </c>
      <c r="J873" s="18">
        <f>'RW predict'!F872</f>
        <v>2</v>
      </c>
      <c r="K873" s="18"/>
      <c r="L873" s="18"/>
      <c r="M873" s="18">
        <f>'RW predict'!P872</f>
        <v>0</v>
      </c>
      <c r="N873" s="18"/>
      <c r="O873" s="18">
        <f>'RW predict'!H872</f>
        <v>0</v>
      </c>
      <c r="P873" s="18">
        <f>'RW predict'!I872</f>
        <v>8</v>
      </c>
      <c r="Q873" s="18">
        <f>'RW predict'!L872</f>
        <v>0</v>
      </c>
      <c r="R873" s="18">
        <f>'RW predict'!N872</f>
        <v>0</v>
      </c>
      <c r="S873" s="76">
        <f>'RW predict'!O872</f>
        <v>1</v>
      </c>
      <c r="T873" s="76">
        <f>'RW predict'!K872</f>
        <v>0</v>
      </c>
      <c r="U873" s="22">
        <f>'RW predict'!J872</f>
        <v>0</v>
      </c>
      <c r="V873" s="32">
        <f>IF(D873="G",'RW predict'!E872,0)</f>
        <v>0</v>
      </c>
      <c r="W873" s="18">
        <f>'RW predict'!R872</f>
        <v>33</v>
      </c>
      <c r="X873" s="18">
        <f>'RW predict'!T872</f>
        <v>8</v>
      </c>
      <c r="Y873" s="18">
        <f>'RW predict'!Y872</f>
        <v>6</v>
      </c>
      <c r="Z873" s="18">
        <f>'RW predict'!U872</f>
        <v>144</v>
      </c>
      <c r="AA873" s="18">
        <f>'RW predict'!W872</f>
        <v>1605</v>
      </c>
    </row>
    <row r="874" spans="1:27" x14ac:dyDescent="0.3">
      <c r="A874" s="18">
        <v>871</v>
      </c>
      <c r="B874" s="18" t="str">
        <f>'RW predict'!A873</f>
        <v>Robin Lehner</v>
      </c>
      <c r="C874" s="18" t="str">
        <f>'RW predict'!B873</f>
        <v>VGK</v>
      </c>
      <c r="D874" s="22" t="str" cm="1">
        <f t="array" ref="D874">_xlfn.SWITCH('RW predict'!C873, "C", "F", "LW","F", "RW", "F", "D", "D", "G", "G", "other")</f>
        <v>G</v>
      </c>
      <c r="E874" s="32">
        <f t="shared" si="26"/>
        <v>51</v>
      </c>
      <c r="F874" s="35">
        <f>E874/assumptions!$B$2</f>
        <v>0.62195121951219512</v>
      </c>
      <c r="G874" s="36">
        <f t="shared" si="27"/>
        <v>986</v>
      </c>
      <c r="H874" s="18">
        <f>IF(NOT(D874="G"),'RW predict'!E873,0)</f>
        <v>0</v>
      </c>
      <c r="I874" s="18">
        <f>'RW predict'!Q873</f>
        <v>0</v>
      </c>
      <c r="J874" s="18">
        <f>'RW predict'!F873</f>
        <v>1</v>
      </c>
      <c r="K874" s="18"/>
      <c r="L874" s="18"/>
      <c r="M874" s="18">
        <f>'RW predict'!P873</f>
        <v>0</v>
      </c>
      <c r="N874" s="18"/>
      <c r="O874" s="18">
        <f>'RW predict'!H873</f>
        <v>0</v>
      </c>
      <c r="P874" s="18">
        <f>'RW predict'!I873</f>
        <v>8</v>
      </c>
      <c r="Q874" s="18">
        <f>'RW predict'!L873</f>
        <v>0</v>
      </c>
      <c r="R874" s="18">
        <f>'RW predict'!N873</f>
        <v>0</v>
      </c>
      <c r="S874" s="76">
        <f>'RW predict'!O873</f>
        <v>0</v>
      </c>
      <c r="T874" s="76">
        <f>'RW predict'!K873</f>
        <v>0</v>
      </c>
      <c r="U874" s="22">
        <f>'RW predict'!J873</f>
        <v>1</v>
      </c>
      <c r="V874" s="32">
        <f>IF(D874="G",'RW predict'!E873,0)</f>
        <v>0</v>
      </c>
      <c r="W874" s="18">
        <f>'RW predict'!R873</f>
        <v>0</v>
      </c>
      <c r="X874" s="18">
        <f>'RW predict'!T873</f>
        <v>0</v>
      </c>
      <c r="Y874" s="18">
        <f>'RW predict'!Y873</f>
        <v>0</v>
      </c>
      <c r="Z874" s="18">
        <f>'RW predict'!U873</f>
        <v>0</v>
      </c>
      <c r="AA874" s="18">
        <f>'RW predict'!W873</f>
        <v>0</v>
      </c>
    </row>
    <row r="875" spans="1:27" x14ac:dyDescent="0.3">
      <c r="A875" s="18">
        <v>872</v>
      </c>
      <c r="B875" s="18" t="str">
        <f>'RW predict'!A874</f>
        <v>Jean-Francois Berube</v>
      </c>
      <c r="C875" s="18" t="str">
        <f>'RW predict'!B874</f>
        <v>FLA</v>
      </c>
      <c r="D875" s="22" t="str" cm="1">
        <f t="array" ref="D875">_xlfn.SWITCH('RW predict'!C874, "C", "F", "LW","F", "RW", "F", "D", "D", "G", "G", "other")</f>
        <v>G</v>
      </c>
      <c r="E875" s="32">
        <f t="shared" si="26"/>
        <v>206</v>
      </c>
      <c r="F875" s="35">
        <f>E875/assumptions!$B$2</f>
        <v>2.5121951219512195</v>
      </c>
      <c r="G875" s="36">
        <f t="shared" si="27"/>
        <v>828</v>
      </c>
      <c r="H875" s="18">
        <f>IF(NOT(D875="G"),'RW predict'!E874,0)</f>
        <v>0</v>
      </c>
      <c r="I875" s="18">
        <f>'RW predict'!Q874</f>
        <v>0</v>
      </c>
      <c r="J875" s="18">
        <f>'RW predict'!F874</f>
        <v>1</v>
      </c>
      <c r="K875" s="18"/>
      <c r="L875" s="18"/>
      <c r="M875" s="18">
        <f>'RW predict'!P874</f>
        <v>0</v>
      </c>
      <c r="N875" s="18"/>
      <c r="O875" s="18">
        <f>'RW predict'!H874</f>
        <v>0</v>
      </c>
      <c r="P875" s="18">
        <f>'RW predict'!I874</f>
        <v>0</v>
      </c>
      <c r="Q875" s="18">
        <f>'RW predict'!L874</f>
        <v>0</v>
      </c>
      <c r="R875" s="18">
        <f>'RW predict'!N874</f>
        <v>0</v>
      </c>
      <c r="S875" s="76">
        <f>'RW predict'!O874</f>
        <v>0</v>
      </c>
      <c r="T875" s="76">
        <f>'RW predict'!K874</f>
        <v>0</v>
      </c>
      <c r="U875" s="22">
        <f>'RW predict'!J874</f>
        <v>0</v>
      </c>
      <c r="V875" s="32">
        <f>IF(D875="G",'RW predict'!E874,0)</f>
        <v>0</v>
      </c>
      <c r="W875" s="18">
        <f>'RW predict'!R874</f>
        <v>3</v>
      </c>
      <c r="X875" s="18">
        <f>'RW predict'!T874</f>
        <v>0</v>
      </c>
      <c r="Y875" s="18">
        <f>'RW predict'!Y874</f>
        <v>0</v>
      </c>
      <c r="Z875" s="18">
        <f>'RW predict'!U874</f>
        <v>21</v>
      </c>
      <c r="AA875" s="18">
        <f>'RW predict'!W874</f>
        <v>188</v>
      </c>
    </row>
    <row r="876" spans="1:27" x14ac:dyDescent="0.3">
      <c r="A876" s="18">
        <v>873</v>
      </c>
      <c r="B876" s="18" t="str">
        <f>'RW predict'!A875</f>
        <v>Craig Anderson</v>
      </c>
      <c r="C876" s="18" t="str">
        <f>'RW predict'!B875</f>
        <v>BUF</v>
      </c>
      <c r="D876" s="22" t="str" cm="1">
        <f t="array" ref="D876">_xlfn.SWITCH('RW predict'!C875, "C", "F", "LW","F", "RW", "F", "D", "D", "G", "G", "other")</f>
        <v>G</v>
      </c>
      <c r="E876" s="32">
        <f t="shared" si="26"/>
        <v>1033</v>
      </c>
      <c r="F876" s="35">
        <f>E876/assumptions!$B$2</f>
        <v>12.597560975609756</v>
      </c>
      <c r="G876" s="36">
        <f t="shared" si="27"/>
        <v>471</v>
      </c>
      <c r="H876" s="18">
        <f>IF(NOT(D876="G"),'RW predict'!E875,0)</f>
        <v>0</v>
      </c>
      <c r="I876" s="18">
        <f>'RW predict'!Q875</f>
        <v>0</v>
      </c>
      <c r="J876" s="18">
        <f>'RW predict'!F875</f>
        <v>1</v>
      </c>
      <c r="K876" s="18"/>
      <c r="L876" s="18"/>
      <c r="M876" s="18">
        <f>'RW predict'!P875</f>
        <v>0</v>
      </c>
      <c r="N876" s="18"/>
      <c r="O876" s="18">
        <f>'RW predict'!H875</f>
        <v>0</v>
      </c>
      <c r="P876" s="18">
        <f>'RW predict'!I875</f>
        <v>0</v>
      </c>
      <c r="Q876" s="18">
        <f>'RW predict'!L875</f>
        <v>0</v>
      </c>
      <c r="R876" s="18">
        <f>'RW predict'!N875</f>
        <v>0</v>
      </c>
      <c r="S876" s="76">
        <f>'RW predict'!O875</f>
        <v>1</v>
      </c>
      <c r="T876" s="76">
        <f>'RW predict'!K875</f>
        <v>0</v>
      </c>
      <c r="U876" s="22">
        <f>'RW predict'!J875</f>
        <v>0</v>
      </c>
      <c r="V876" s="32">
        <f>IF(D876="G",'RW predict'!E875,0)</f>
        <v>0</v>
      </c>
      <c r="W876" s="18">
        <f>'RW predict'!R875</f>
        <v>14</v>
      </c>
      <c r="X876" s="18">
        <f>'RW predict'!T875</f>
        <v>4</v>
      </c>
      <c r="Y876" s="18">
        <f>'RW predict'!Y875</f>
        <v>1</v>
      </c>
      <c r="Z876" s="18">
        <f>'RW predict'!U875</f>
        <v>120</v>
      </c>
      <c r="AA876" s="18">
        <f>'RW predict'!W875</f>
        <v>1054</v>
      </c>
    </row>
    <row r="877" spans="1:27" x14ac:dyDescent="0.3">
      <c r="A877" s="18">
        <v>874</v>
      </c>
      <c r="B877" s="18" t="str">
        <f>'RW predict'!A876</f>
        <v>Mike Smith</v>
      </c>
      <c r="C877" s="18" t="str">
        <f>'RW predict'!B876</f>
        <v>EDM</v>
      </c>
      <c r="D877" s="22" t="str" cm="1">
        <f t="array" ref="D877">_xlfn.SWITCH('RW predict'!C876, "C", "F", "LW","F", "RW", "F", "D", "D", "G", "G", "other")</f>
        <v>G</v>
      </c>
      <c r="E877" s="32">
        <f t="shared" si="26"/>
        <v>51</v>
      </c>
      <c r="F877" s="35">
        <f>E877/assumptions!$B$2</f>
        <v>0.62195121951219512</v>
      </c>
      <c r="G877" s="36">
        <f t="shared" si="27"/>
        <v>986</v>
      </c>
      <c r="H877" s="18">
        <f>IF(NOT(D877="G"),'RW predict'!E876,0)</f>
        <v>0</v>
      </c>
      <c r="I877" s="18">
        <f>'RW predict'!Q876</f>
        <v>0</v>
      </c>
      <c r="J877" s="18">
        <f>'RW predict'!F876</f>
        <v>1</v>
      </c>
      <c r="K877" s="18"/>
      <c r="L877" s="18"/>
      <c r="M877" s="18">
        <f>'RW predict'!P876</f>
        <v>0</v>
      </c>
      <c r="N877" s="18"/>
      <c r="O877" s="18">
        <f>'RW predict'!H876</f>
        <v>0</v>
      </c>
      <c r="P877" s="18">
        <f>'RW predict'!I876</f>
        <v>8</v>
      </c>
      <c r="Q877" s="18">
        <f>'RW predict'!L876</f>
        <v>0</v>
      </c>
      <c r="R877" s="18">
        <f>'RW predict'!N876</f>
        <v>0</v>
      </c>
      <c r="S877" s="76">
        <f>'RW predict'!O876</f>
        <v>0</v>
      </c>
      <c r="T877" s="76">
        <f>'RW predict'!K876</f>
        <v>0</v>
      </c>
      <c r="U877" s="22">
        <f>'RW predict'!J876</f>
        <v>1</v>
      </c>
      <c r="V877" s="32">
        <f>IF(D877="G",'RW predict'!E876,0)</f>
        <v>0</v>
      </c>
      <c r="W877" s="18">
        <f>'RW predict'!R876</f>
        <v>0</v>
      </c>
      <c r="X877" s="18">
        <f>'RW predict'!T876</f>
        <v>0</v>
      </c>
      <c r="Y877" s="18">
        <f>'RW predict'!Y876</f>
        <v>0</v>
      </c>
      <c r="Z877" s="18">
        <f>'RW predict'!U876</f>
        <v>0</v>
      </c>
      <c r="AA877" s="18">
        <f>'RW predict'!W876</f>
        <v>0</v>
      </c>
    </row>
    <row r="878" spans="1:27" x14ac:dyDescent="0.3">
      <c r="A878" s="18">
        <v>875</v>
      </c>
      <c r="B878" s="18" t="str">
        <f>'RW predict'!A877</f>
        <v>Jonathan Quick</v>
      </c>
      <c r="C878" s="18" t="str">
        <f>'RW predict'!B877</f>
        <v>LA</v>
      </c>
      <c r="D878" s="22" t="str" cm="1">
        <f t="array" ref="D878">_xlfn.SWITCH('RW predict'!C877, "C", "F", "LW","F", "RW", "F", "D", "D", "G", "G", "other")</f>
        <v>G</v>
      </c>
      <c r="E878" s="32">
        <f t="shared" si="26"/>
        <v>1682</v>
      </c>
      <c r="F878" s="35">
        <f>E878/assumptions!$B$2</f>
        <v>20.512195121951219</v>
      </c>
      <c r="G878" s="36">
        <f t="shared" si="27"/>
        <v>233</v>
      </c>
      <c r="H878" s="18">
        <f>IF(NOT(D878="G"),'RW predict'!E877,0)</f>
        <v>0</v>
      </c>
      <c r="I878" s="18">
        <f>'RW predict'!Q877</f>
        <v>0</v>
      </c>
      <c r="J878" s="18">
        <f>'RW predict'!F877</f>
        <v>1</v>
      </c>
      <c r="K878" s="18"/>
      <c r="L878" s="18"/>
      <c r="M878" s="18">
        <f>'RW predict'!P877</f>
        <v>0</v>
      </c>
      <c r="N878" s="18"/>
      <c r="O878" s="18">
        <f>'RW predict'!H877</f>
        <v>0</v>
      </c>
      <c r="P878" s="18">
        <f>'RW predict'!I877</f>
        <v>5</v>
      </c>
      <c r="Q878" s="18">
        <f>'RW predict'!L877</f>
        <v>0</v>
      </c>
      <c r="R878" s="18">
        <f>'RW predict'!N877</f>
        <v>0</v>
      </c>
      <c r="S878" s="76">
        <f>'RW predict'!O877</f>
        <v>0</v>
      </c>
      <c r="T878" s="76">
        <f>'RW predict'!K877</f>
        <v>0</v>
      </c>
      <c r="U878" s="22">
        <f>'RW predict'!J877</f>
        <v>0</v>
      </c>
      <c r="V878" s="32">
        <f>IF(D878="G",'RW predict'!E877,0)</f>
        <v>0</v>
      </c>
      <c r="W878" s="18">
        <f>'RW predict'!R877</f>
        <v>23</v>
      </c>
      <c r="X878" s="18">
        <f>'RW predict'!T877</f>
        <v>6</v>
      </c>
      <c r="Y878" s="18">
        <f>'RW predict'!Y877</f>
        <v>2</v>
      </c>
      <c r="Z878" s="18">
        <f>'RW predict'!U877</f>
        <v>118</v>
      </c>
      <c r="AA878" s="18">
        <f>'RW predict'!W877</f>
        <v>1136</v>
      </c>
    </row>
    <row r="879" spans="1:27" x14ac:dyDescent="0.3">
      <c r="A879" s="18">
        <v>876</v>
      </c>
      <c r="B879" s="18" t="str">
        <f>'RW predict'!A878</f>
        <v>Thomas Greiss</v>
      </c>
      <c r="C879" s="18" t="str">
        <f>'RW predict'!B878</f>
        <v>STL</v>
      </c>
      <c r="D879" s="22" t="str" cm="1">
        <f t="array" ref="D879">_xlfn.SWITCH('RW predict'!C878, "C", "F", "LW","F", "RW", "F", "D", "D", "G", "G", "other")</f>
        <v>G</v>
      </c>
      <c r="E879" s="32">
        <f t="shared" si="26"/>
        <v>1137</v>
      </c>
      <c r="F879" s="35">
        <f>E879/assumptions!$B$2</f>
        <v>13.865853658536585</v>
      </c>
      <c r="G879" s="36">
        <f t="shared" si="27"/>
        <v>429</v>
      </c>
      <c r="H879" s="18">
        <f>IF(NOT(D879="G"),'RW predict'!E878,0)</f>
        <v>0</v>
      </c>
      <c r="I879" s="18">
        <f>'RW predict'!Q878</f>
        <v>0</v>
      </c>
      <c r="J879" s="18">
        <f>'RW predict'!F878</f>
        <v>1</v>
      </c>
      <c r="K879" s="18"/>
      <c r="L879" s="18"/>
      <c r="M879" s="18">
        <f>'RW predict'!P878</f>
        <v>0</v>
      </c>
      <c r="N879" s="18"/>
      <c r="O879" s="18">
        <f>'RW predict'!H878</f>
        <v>0</v>
      </c>
      <c r="P879" s="18">
        <f>'RW predict'!I878</f>
        <v>2</v>
      </c>
      <c r="Q879" s="18">
        <f>'RW predict'!L878</f>
        <v>0</v>
      </c>
      <c r="R879" s="18">
        <f>'RW predict'!N878</f>
        <v>0</v>
      </c>
      <c r="S879" s="76">
        <f>'RW predict'!O878</f>
        <v>0</v>
      </c>
      <c r="T879" s="76">
        <f>'RW predict'!K878</f>
        <v>0</v>
      </c>
      <c r="U879" s="22">
        <f>'RW predict'!J878</f>
        <v>0</v>
      </c>
      <c r="V879" s="32">
        <f>IF(D879="G",'RW predict'!E878,0)</f>
        <v>0</v>
      </c>
      <c r="W879" s="18">
        <f>'RW predict'!R878</f>
        <v>16</v>
      </c>
      <c r="X879" s="18">
        <f>'RW predict'!T878</f>
        <v>3</v>
      </c>
      <c r="Y879" s="18">
        <f>'RW predict'!Y878</f>
        <v>1</v>
      </c>
      <c r="Z879" s="18">
        <f>'RW predict'!U878</f>
        <v>94</v>
      </c>
      <c r="AA879" s="18">
        <f>'RW predict'!W878</f>
        <v>883</v>
      </c>
    </row>
    <row r="880" spans="1:27" x14ac:dyDescent="0.3">
      <c r="A880" s="18">
        <v>877</v>
      </c>
      <c r="B880" s="18" t="str">
        <f>'RW predict'!A879</f>
        <v>Cam Talbot</v>
      </c>
      <c r="C880" s="18" t="str">
        <f>'RW predict'!B879</f>
        <v>OTT</v>
      </c>
      <c r="D880" s="22" t="str" cm="1">
        <f t="array" ref="D880">_xlfn.SWITCH('RW predict'!C879, "C", "F", "LW","F", "RW", "F", "D", "D", "G", "G", "other")</f>
        <v>G</v>
      </c>
      <c r="E880" s="32">
        <f t="shared" si="26"/>
        <v>1931</v>
      </c>
      <c r="F880" s="35">
        <f>E880/assumptions!$B$2</f>
        <v>23.548780487804876</v>
      </c>
      <c r="G880" s="36">
        <f t="shared" si="27"/>
        <v>175</v>
      </c>
      <c r="H880" s="18">
        <f>IF(NOT(D880="G"),'RW predict'!E879,0)</f>
        <v>0</v>
      </c>
      <c r="I880" s="18">
        <f>'RW predict'!Q879</f>
        <v>0</v>
      </c>
      <c r="J880" s="18">
        <f>'RW predict'!F879</f>
        <v>1</v>
      </c>
      <c r="K880" s="18"/>
      <c r="L880" s="18"/>
      <c r="M880" s="18">
        <f>'RW predict'!P879</f>
        <v>0</v>
      </c>
      <c r="N880" s="18"/>
      <c r="O880" s="18">
        <f>'RW predict'!H879</f>
        <v>0</v>
      </c>
      <c r="P880" s="18">
        <f>'RW predict'!I879</f>
        <v>4</v>
      </c>
      <c r="Q880" s="18">
        <f>'RW predict'!L879</f>
        <v>0</v>
      </c>
      <c r="R880" s="18">
        <f>'RW predict'!N879</f>
        <v>0</v>
      </c>
      <c r="S880" s="76">
        <f>'RW predict'!O879</f>
        <v>0</v>
      </c>
      <c r="T880" s="76">
        <f>'RW predict'!K879</f>
        <v>0</v>
      </c>
      <c r="U880" s="22">
        <f>'RW predict'!J879</f>
        <v>0</v>
      </c>
      <c r="V880" s="32">
        <f>IF(D880="G",'RW predict'!E879,0)</f>
        <v>0</v>
      </c>
      <c r="W880" s="18">
        <f>'RW predict'!R879</f>
        <v>21</v>
      </c>
      <c r="X880" s="18">
        <f>'RW predict'!T879</f>
        <v>6</v>
      </c>
      <c r="Y880" s="18">
        <f>'RW predict'!Y879</f>
        <v>3</v>
      </c>
      <c r="Z880" s="18">
        <f>'RW predict'!U879</f>
        <v>126</v>
      </c>
      <c r="AA880" s="18">
        <f>'RW predict'!W879</f>
        <v>1337</v>
      </c>
    </row>
    <row r="881" spans="1:27" x14ac:dyDescent="0.3">
      <c r="A881" s="18">
        <v>878</v>
      </c>
      <c r="B881" s="18" t="str">
        <f>'RW predict'!A880</f>
        <v>Philipp Grubauer</v>
      </c>
      <c r="C881" s="18" t="str">
        <f>'RW predict'!B880</f>
        <v>SEA</v>
      </c>
      <c r="D881" s="22" t="str" cm="1">
        <f t="array" ref="D881">_xlfn.SWITCH('RW predict'!C880, "C", "F", "LW","F", "RW", "F", "D", "D", "G", "G", "other")</f>
        <v>G</v>
      </c>
      <c r="E881" s="32">
        <f t="shared" si="26"/>
        <v>1763</v>
      </c>
      <c r="F881" s="35">
        <f>E881/assumptions!$B$2</f>
        <v>21.5</v>
      </c>
      <c r="G881" s="36">
        <f t="shared" si="27"/>
        <v>210</v>
      </c>
      <c r="H881" s="18">
        <f>IF(NOT(D881="G"),'RW predict'!E880,0)</f>
        <v>0</v>
      </c>
      <c r="I881" s="18">
        <f>'RW predict'!Q880</f>
        <v>0</v>
      </c>
      <c r="J881" s="18">
        <f>'RW predict'!F880</f>
        <v>1</v>
      </c>
      <c r="K881" s="18"/>
      <c r="L881" s="18"/>
      <c r="M881" s="18">
        <f>'RW predict'!P880</f>
        <v>1</v>
      </c>
      <c r="N881" s="18"/>
      <c r="O881" s="18">
        <f>'RW predict'!H880</f>
        <v>0</v>
      </c>
      <c r="P881" s="18">
        <f>'RW predict'!I880</f>
        <v>0</v>
      </c>
      <c r="Q881" s="18">
        <f>'RW predict'!L880</f>
        <v>0</v>
      </c>
      <c r="R881" s="18">
        <f>'RW predict'!N880</f>
        <v>0</v>
      </c>
      <c r="S881" s="76">
        <f>'RW predict'!O880</f>
        <v>0</v>
      </c>
      <c r="T881" s="76">
        <f>'RW predict'!K880</f>
        <v>0</v>
      </c>
      <c r="U881" s="22">
        <f>'RW predict'!J880</f>
        <v>0</v>
      </c>
      <c r="V881" s="32">
        <f>IF(D881="G",'RW predict'!E880,0)</f>
        <v>0</v>
      </c>
      <c r="W881" s="18">
        <f>'RW predict'!R880</f>
        <v>22</v>
      </c>
      <c r="X881" s="18">
        <f>'RW predict'!T880</f>
        <v>6</v>
      </c>
      <c r="Y881" s="18">
        <f>'RW predict'!Y880</f>
        <v>3</v>
      </c>
      <c r="Z881" s="18">
        <f>'RW predict'!U880</f>
        <v>145</v>
      </c>
      <c r="AA881" s="18">
        <f>'RW predict'!W880</f>
        <v>1381</v>
      </c>
    </row>
    <row r="882" spans="1:27" x14ac:dyDescent="0.3">
      <c r="A882" s="18">
        <v>879</v>
      </c>
      <c r="B882" s="18" t="str">
        <f>'RW predict'!A881</f>
        <v>Jack Campbell</v>
      </c>
      <c r="C882" s="18" t="str">
        <f>'RW predict'!B881</f>
        <v>EDM</v>
      </c>
      <c r="D882" s="22" t="str" cm="1">
        <f t="array" ref="D882">_xlfn.SWITCH('RW predict'!C881, "C", "F", "LW","F", "RW", "F", "D", "D", "G", "G", "other")</f>
        <v>G</v>
      </c>
      <c r="E882" s="32">
        <f t="shared" si="26"/>
        <v>2678</v>
      </c>
      <c r="F882" s="35">
        <f>E882/assumptions!$B$2</f>
        <v>32.658536585365852</v>
      </c>
      <c r="G882" s="36">
        <f t="shared" si="27"/>
        <v>64</v>
      </c>
      <c r="H882" s="18">
        <f>IF(NOT(D882="G"),'RW predict'!E881,0)</f>
        <v>0</v>
      </c>
      <c r="I882" s="18">
        <f>'RW predict'!Q881</f>
        <v>0</v>
      </c>
      <c r="J882" s="18">
        <f>'RW predict'!F881</f>
        <v>1</v>
      </c>
      <c r="K882" s="18"/>
      <c r="L882" s="18"/>
      <c r="M882" s="18">
        <f>'RW predict'!P881</f>
        <v>0</v>
      </c>
      <c r="N882" s="18"/>
      <c r="O882" s="18">
        <f>'RW predict'!H881</f>
        <v>0</v>
      </c>
      <c r="P882" s="18">
        <f>'RW predict'!I881</f>
        <v>0</v>
      </c>
      <c r="Q882" s="18">
        <f>'RW predict'!L881</f>
        <v>0</v>
      </c>
      <c r="R882" s="18">
        <f>'RW predict'!N881</f>
        <v>0</v>
      </c>
      <c r="S882" s="76">
        <f>'RW predict'!O881</f>
        <v>0</v>
      </c>
      <c r="T882" s="76">
        <f>'RW predict'!K881</f>
        <v>0</v>
      </c>
      <c r="U882" s="22">
        <f>'RW predict'!J881</f>
        <v>0</v>
      </c>
      <c r="V882" s="32">
        <f>IF(D882="G",'RW predict'!E881,0)</f>
        <v>0</v>
      </c>
      <c r="W882" s="18">
        <f>'RW predict'!R881</f>
        <v>34</v>
      </c>
      <c r="X882" s="18">
        <f>'RW predict'!T881</f>
        <v>7</v>
      </c>
      <c r="Y882" s="18">
        <f>'RW predict'!Y881</f>
        <v>4</v>
      </c>
      <c r="Z882" s="18">
        <f>'RW predict'!U881</f>
        <v>133</v>
      </c>
      <c r="AA882" s="18">
        <f>'RW predict'!W881</f>
        <v>1474</v>
      </c>
    </row>
    <row r="883" spans="1:27" x14ac:dyDescent="0.3">
      <c r="A883" s="18">
        <v>880</v>
      </c>
      <c r="B883" s="18" t="str">
        <f>'RW predict'!A882</f>
        <v>Kevin Connauton</v>
      </c>
      <c r="C883" s="18" t="str">
        <f>'RW predict'!B882</f>
        <v>PHI</v>
      </c>
      <c r="D883" s="22" t="str" cm="1">
        <f t="array" ref="D883">_xlfn.SWITCH('RW predict'!C882, "C", "F", "LW","F", "RW", "F", "D", "D", "G", "G", "other")</f>
        <v>D</v>
      </c>
      <c r="E883" s="32">
        <f t="shared" si="26"/>
        <v>31</v>
      </c>
      <c r="F883" s="35">
        <f>E883/assumptions!$B$2</f>
        <v>0.37804878048780488</v>
      </c>
      <c r="G883" s="36">
        <f t="shared" si="27"/>
        <v>1014</v>
      </c>
      <c r="H883" s="18">
        <f>IF(NOT(D883="G"),'RW predict'!E882,0)</f>
        <v>0</v>
      </c>
      <c r="I883" s="18">
        <f>'RW predict'!Q882</f>
        <v>3</v>
      </c>
      <c r="J883" s="18">
        <f>'RW predict'!F882</f>
        <v>1</v>
      </c>
      <c r="K883" s="18"/>
      <c r="L883" s="18"/>
      <c r="M883" s="18">
        <f>'RW predict'!P882</f>
        <v>8</v>
      </c>
      <c r="N883" s="18"/>
      <c r="O883" s="18">
        <f>'RW predict'!H882</f>
        <v>-2</v>
      </c>
      <c r="P883" s="18">
        <f>'RW predict'!I882</f>
        <v>2</v>
      </c>
      <c r="Q883" s="18">
        <f>'RW predict'!L882</f>
        <v>0</v>
      </c>
      <c r="R883" s="18">
        <f>'RW predict'!N882</f>
        <v>0</v>
      </c>
      <c r="S883" s="76">
        <f>'RW predict'!O882</f>
        <v>0</v>
      </c>
      <c r="T883" s="76">
        <f>'RW predict'!K882</f>
        <v>0</v>
      </c>
      <c r="U883" s="22">
        <f>'RW predict'!J882</f>
        <v>3</v>
      </c>
      <c r="V883" s="32">
        <f>IF(D883="G",'RW predict'!E882,0)</f>
        <v>0</v>
      </c>
      <c r="W883" s="18">
        <f>'RW predict'!R882</f>
        <v>0</v>
      </c>
      <c r="X883" s="18">
        <f>'RW predict'!T882</f>
        <v>0</v>
      </c>
      <c r="Y883" s="18">
        <f>'RW predict'!Y882</f>
        <v>0</v>
      </c>
      <c r="Z883" s="18">
        <f>'RW predict'!U882</f>
        <v>0</v>
      </c>
      <c r="AA883" s="18">
        <f>'RW predict'!W882</f>
        <v>0</v>
      </c>
    </row>
    <row r="884" spans="1:27" x14ac:dyDescent="0.3">
      <c r="A884" s="18">
        <v>881</v>
      </c>
      <c r="B884" s="18" t="str">
        <f>'RW predict'!A883</f>
        <v>John Gibson</v>
      </c>
      <c r="C884" s="18" t="str">
        <f>'RW predict'!B883</f>
        <v>ANH</v>
      </c>
      <c r="D884" s="22" t="str" cm="1">
        <f t="array" ref="D884">_xlfn.SWITCH('RW predict'!C883, "C", "F", "LW","F", "RW", "F", "D", "D", "G", "G", "other")</f>
        <v>G</v>
      </c>
      <c r="E884" s="32">
        <f t="shared" si="26"/>
        <v>1795</v>
      </c>
      <c r="F884" s="35">
        <f>E884/assumptions!$B$2</f>
        <v>21.890243902439025</v>
      </c>
      <c r="G884" s="36">
        <f t="shared" si="27"/>
        <v>202</v>
      </c>
      <c r="H884" s="18">
        <f>IF(NOT(D884="G"),'RW predict'!E883,0)</f>
        <v>0</v>
      </c>
      <c r="I884" s="18">
        <f>'RW predict'!Q883</f>
        <v>0</v>
      </c>
      <c r="J884" s="18">
        <f>'RW predict'!F883</f>
        <v>1</v>
      </c>
      <c r="K884" s="18"/>
      <c r="L884" s="18"/>
      <c r="M884" s="18">
        <f>'RW predict'!P883</f>
        <v>0</v>
      </c>
      <c r="N884" s="18"/>
      <c r="O884" s="18">
        <f>'RW predict'!H883</f>
        <v>0</v>
      </c>
      <c r="P884" s="18">
        <f>'RW predict'!I883</f>
        <v>10</v>
      </c>
      <c r="Q884" s="18">
        <f>'RW predict'!L883</f>
        <v>0</v>
      </c>
      <c r="R884" s="18">
        <f>'RW predict'!N883</f>
        <v>0</v>
      </c>
      <c r="S884" s="76">
        <f>'RW predict'!O883</f>
        <v>0</v>
      </c>
      <c r="T884" s="76">
        <f>'RW predict'!K883</f>
        <v>0</v>
      </c>
      <c r="U884" s="22">
        <f>'RW predict'!J883</f>
        <v>0</v>
      </c>
      <c r="V884" s="32">
        <f>IF(D884="G",'RW predict'!E883,0)</f>
        <v>0</v>
      </c>
      <c r="W884" s="18">
        <f>'RW predict'!R883</f>
        <v>19</v>
      </c>
      <c r="X884" s="18">
        <f>'RW predict'!T883</f>
        <v>11</v>
      </c>
      <c r="Y884" s="18">
        <f>'RW predict'!Y883</f>
        <v>2</v>
      </c>
      <c r="Z884" s="18">
        <f>'RW predict'!U883</f>
        <v>168</v>
      </c>
      <c r="AA884" s="18">
        <f>'RW predict'!W883</f>
        <v>1590</v>
      </c>
    </row>
    <row r="885" spans="1:27" x14ac:dyDescent="0.3">
      <c r="A885" s="18">
        <v>882</v>
      </c>
      <c r="B885" s="18" t="str">
        <f>'RW predict'!A884</f>
        <v>Dmitrij Jaskin</v>
      </c>
      <c r="C885" s="18" t="str">
        <f>'RW predict'!B884</f>
        <v>FA</v>
      </c>
      <c r="D885" s="22" t="str" cm="1">
        <f t="array" ref="D885">_xlfn.SWITCH('RW predict'!C884, "C", "F", "LW","F", "RW", "F", "D", "D", "G", "G", "other")</f>
        <v>F</v>
      </c>
      <c r="E885" s="32">
        <f t="shared" si="26"/>
        <v>88</v>
      </c>
      <c r="F885" s="35">
        <f>E885/assumptions!$B$2</f>
        <v>1.0731707317073171</v>
      </c>
      <c r="G885" s="36">
        <f t="shared" si="27"/>
        <v>928</v>
      </c>
      <c r="H885" s="18">
        <f>IF(NOT(D885="G"),'RW predict'!E884,0)</f>
        <v>0</v>
      </c>
      <c r="I885" s="18">
        <f>'RW predict'!Q884</f>
        <v>9</v>
      </c>
      <c r="J885" s="18">
        <f>'RW predict'!F884</f>
        <v>1</v>
      </c>
      <c r="K885" s="18"/>
      <c r="L885" s="18"/>
      <c r="M885" s="18">
        <f>'RW predict'!P884</f>
        <v>47</v>
      </c>
      <c r="N885" s="18"/>
      <c r="O885" s="18">
        <f>'RW predict'!H884</f>
        <v>-6</v>
      </c>
      <c r="P885" s="18">
        <f>'RW predict'!I884</f>
        <v>4</v>
      </c>
      <c r="Q885" s="18">
        <f>'RW predict'!L884</f>
        <v>0</v>
      </c>
      <c r="R885" s="18">
        <f>'RW predict'!N884</f>
        <v>0</v>
      </c>
      <c r="S885" s="76">
        <f>'RW predict'!O884</f>
        <v>0</v>
      </c>
      <c r="T885" s="76">
        <f>'RW predict'!K884</f>
        <v>0</v>
      </c>
      <c r="U885" s="22">
        <f>'RW predict'!J884</f>
        <v>23</v>
      </c>
      <c r="V885" s="32">
        <f>IF(D885="G",'RW predict'!E884,0)</f>
        <v>0</v>
      </c>
      <c r="W885" s="18">
        <f>'RW predict'!R884</f>
        <v>0</v>
      </c>
      <c r="X885" s="18">
        <f>'RW predict'!T884</f>
        <v>0</v>
      </c>
      <c r="Y885" s="18">
        <f>'RW predict'!Y884</f>
        <v>0</v>
      </c>
      <c r="Z885" s="18">
        <f>'RW predict'!U884</f>
        <v>0</v>
      </c>
      <c r="AA885" s="18">
        <f>'RW predict'!W884</f>
        <v>0</v>
      </c>
    </row>
    <row r="886" spans="1:27" x14ac:dyDescent="0.3">
      <c r="A886" s="18">
        <v>883</v>
      </c>
      <c r="B886" s="18" t="str">
        <f>'RW predict'!A885</f>
        <v>Brad Malone</v>
      </c>
      <c r="C886" s="18" t="str">
        <f>'RW predict'!B885</f>
        <v>EDM</v>
      </c>
      <c r="D886" s="22" t="str" cm="1">
        <f t="array" ref="D886">_xlfn.SWITCH('RW predict'!C885, "C", "F", "LW","F", "RW", "F", "D", "D", "G", "G", "other")</f>
        <v>F</v>
      </c>
      <c r="E886" s="32">
        <f t="shared" si="26"/>
        <v>43</v>
      </c>
      <c r="F886" s="35">
        <f>E886/assumptions!$B$2</f>
        <v>0.52439024390243905</v>
      </c>
      <c r="G886" s="36">
        <f t="shared" si="27"/>
        <v>1002</v>
      </c>
      <c r="H886" s="18">
        <f>IF(NOT(D886="G"),'RW predict'!E885,0)</f>
        <v>0</v>
      </c>
      <c r="I886" s="18">
        <f>'RW predict'!Q885</f>
        <v>1</v>
      </c>
      <c r="J886" s="18">
        <f>'RW predict'!F885</f>
        <v>1</v>
      </c>
      <c r="K886" s="18"/>
      <c r="L886" s="18"/>
      <c r="M886" s="18">
        <f>'RW predict'!P885</f>
        <v>12</v>
      </c>
      <c r="N886" s="18"/>
      <c r="O886" s="18">
        <f>'RW predict'!H885</f>
        <v>-1</v>
      </c>
      <c r="P886" s="18">
        <f>'RW predict'!I885</f>
        <v>2</v>
      </c>
      <c r="Q886" s="18">
        <f>'RW predict'!L885</f>
        <v>0</v>
      </c>
      <c r="R886" s="18">
        <f>'RW predict'!N885</f>
        <v>0</v>
      </c>
      <c r="S886" s="76">
        <f>'RW predict'!O885</f>
        <v>0</v>
      </c>
      <c r="T886" s="76">
        <f>'RW predict'!K885</f>
        <v>0</v>
      </c>
      <c r="U886" s="22">
        <f>'RW predict'!J885</f>
        <v>4</v>
      </c>
      <c r="V886" s="32">
        <f>IF(D886="G",'RW predict'!E885,0)</f>
        <v>0</v>
      </c>
      <c r="W886" s="18">
        <f>'RW predict'!R885</f>
        <v>0</v>
      </c>
      <c r="X886" s="18">
        <f>'RW predict'!T885</f>
        <v>0</v>
      </c>
      <c r="Y886" s="18">
        <f>'RW predict'!Y885</f>
        <v>0</v>
      </c>
      <c r="Z886" s="18">
        <f>'RW predict'!U885</f>
        <v>0</v>
      </c>
      <c r="AA886" s="18">
        <f>'RW predict'!W885</f>
        <v>0</v>
      </c>
    </row>
    <row r="887" spans="1:27" x14ac:dyDescent="0.3">
      <c r="A887" s="18">
        <v>884</v>
      </c>
      <c r="B887" s="18" t="str">
        <f>'RW predict'!A886</f>
        <v>Joseph Cramarossa</v>
      </c>
      <c r="C887" s="18" t="str">
        <f>'RW predict'!B886</f>
        <v>MIN</v>
      </c>
      <c r="D887" s="22" t="str" cm="1">
        <f t="array" ref="D887">_xlfn.SWITCH('RW predict'!C886, "C", "F", "LW","F", "RW", "F", "D", "D", "G", "G", "other")</f>
        <v>F</v>
      </c>
      <c r="E887" s="32">
        <f t="shared" si="26"/>
        <v>48</v>
      </c>
      <c r="F887" s="35">
        <f>E887/assumptions!$B$2</f>
        <v>0.58536585365853655</v>
      </c>
      <c r="G887" s="36">
        <f t="shared" si="27"/>
        <v>992</v>
      </c>
      <c r="H887" s="18">
        <f>IF(NOT(D887="G"),'RW predict'!E886,0)</f>
        <v>0</v>
      </c>
      <c r="I887" s="18">
        <f>'RW predict'!Q886</f>
        <v>0</v>
      </c>
      <c r="J887" s="18">
        <f>'RW predict'!F886</f>
        <v>1</v>
      </c>
      <c r="K887" s="18"/>
      <c r="L887" s="18"/>
      <c r="M887" s="18">
        <f>'RW predict'!P886</f>
        <v>4</v>
      </c>
      <c r="N887" s="18"/>
      <c r="O887" s="18">
        <f>'RW predict'!H886</f>
        <v>0</v>
      </c>
      <c r="P887" s="18">
        <f>'RW predict'!I886</f>
        <v>5</v>
      </c>
      <c r="Q887" s="18">
        <f>'RW predict'!L886</f>
        <v>0</v>
      </c>
      <c r="R887" s="18">
        <f>'RW predict'!N886</f>
        <v>0</v>
      </c>
      <c r="S887" s="76">
        <f>'RW predict'!O886</f>
        <v>0</v>
      </c>
      <c r="T887" s="76">
        <f>'RW predict'!K886</f>
        <v>0</v>
      </c>
      <c r="U887" s="22">
        <f>'RW predict'!J886</f>
        <v>2</v>
      </c>
      <c r="V887" s="32">
        <f>IF(D887="G",'RW predict'!E886,0)</f>
        <v>0</v>
      </c>
      <c r="W887" s="18">
        <f>'RW predict'!R886</f>
        <v>0</v>
      </c>
      <c r="X887" s="18">
        <f>'RW predict'!T886</f>
        <v>0</v>
      </c>
      <c r="Y887" s="18">
        <f>'RW predict'!Y886</f>
        <v>0</v>
      </c>
      <c r="Z887" s="18">
        <f>'RW predict'!U886</f>
        <v>0</v>
      </c>
      <c r="AA887" s="18">
        <f>'RW predict'!W886</f>
        <v>0</v>
      </c>
    </row>
    <row r="888" spans="1:27" x14ac:dyDescent="0.3">
      <c r="A888" s="18">
        <v>885</v>
      </c>
      <c r="B888" s="18" t="str">
        <f>'RW predict'!A887</f>
        <v>Phil Di Giuseppe</v>
      </c>
      <c r="C888" s="18" t="str">
        <f>'RW predict'!B887</f>
        <v>VAN</v>
      </c>
      <c r="D888" s="22" t="str" cm="1">
        <f t="array" ref="D888">_xlfn.SWITCH('RW predict'!C887, "C", "F", "LW","F", "RW", "F", "D", "D", "G", "G", "other")</f>
        <v>F</v>
      </c>
      <c r="E888" s="32">
        <f t="shared" si="26"/>
        <v>42</v>
      </c>
      <c r="F888" s="35">
        <f>E888/assumptions!$B$2</f>
        <v>0.51219512195121952</v>
      </c>
      <c r="G888" s="36">
        <f t="shared" si="27"/>
        <v>1003</v>
      </c>
      <c r="H888" s="18">
        <f>IF(NOT(D888="G"),'RW predict'!E887,0)</f>
        <v>0</v>
      </c>
      <c r="I888" s="18">
        <f>'RW predict'!Q887</f>
        <v>3</v>
      </c>
      <c r="J888" s="18">
        <f>'RW predict'!F887</f>
        <v>1</v>
      </c>
      <c r="K888" s="18"/>
      <c r="L888" s="18"/>
      <c r="M888" s="18">
        <f>'RW predict'!P887</f>
        <v>11</v>
      </c>
      <c r="N888" s="18"/>
      <c r="O888" s="18">
        <f>'RW predict'!H887</f>
        <v>-2</v>
      </c>
      <c r="P888" s="18">
        <f>'RW predict'!I887</f>
        <v>2</v>
      </c>
      <c r="Q888" s="18">
        <f>'RW predict'!L887</f>
        <v>0</v>
      </c>
      <c r="R888" s="18">
        <f>'RW predict'!N887</f>
        <v>0</v>
      </c>
      <c r="S888" s="76">
        <f>'RW predict'!O887</f>
        <v>0</v>
      </c>
      <c r="T888" s="76">
        <f>'RW predict'!K887</f>
        <v>0</v>
      </c>
      <c r="U888" s="22">
        <f>'RW predict'!J887</f>
        <v>7</v>
      </c>
      <c r="V888" s="32">
        <f>IF(D888="G",'RW predict'!E887,0)</f>
        <v>0</v>
      </c>
      <c r="W888" s="18">
        <f>'RW predict'!R887</f>
        <v>0</v>
      </c>
      <c r="X888" s="18">
        <f>'RW predict'!T887</f>
        <v>0</v>
      </c>
      <c r="Y888" s="18">
        <f>'RW predict'!Y887</f>
        <v>0</v>
      </c>
      <c r="Z888" s="18">
        <f>'RW predict'!U887</f>
        <v>0</v>
      </c>
      <c r="AA888" s="18">
        <f>'RW predict'!W887</f>
        <v>0</v>
      </c>
    </row>
    <row r="889" spans="1:27" x14ac:dyDescent="0.3">
      <c r="A889" s="18">
        <v>886</v>
      </c>
      <c r="B889" s="18" t="str">
        <f>'RW predict'!A888</f>
        <v>Anthony Stolarz</v>
      </c>
      <c r="C889" s="18" t="str">
        <f>'RW predict'!B888</f>
        <v>ANH</v>
      </c>
      <c r="D889" s="22" t="str" cm="1">
        <f t="array" ref="D889">_xlfn.SWITCH('RW predict'!C888, "C", "F", "LW","F", "RW", "F", "D", "D", "G", "G", "other")</f>
        <v>G</v>
      </c>
      <c r="E889" s="32">
        <f t="shared" si="26"/>
        <v>1079</v>
      </c>
      <c r="F889" s="35">
        <f>E889/assumptions!$B$2</f>
        <v>13.158536585365853</v>
      </c>
      <c r="G889" s="36">
        <f t="shared" si="27"/>
        <v>459</v>
      </c>
      <c r="H889" s="18">
        <f>IF(NOT(D889="G"),'RW predict'!E888,0)</f>
        <v>0</v>
      </c>
      <c r="I889" s="18">
        <f>'RW predict'!Q888</f>
        <v>0</v>
      </c>
      <c r="J889" s="18">
        <f>'RW predict'!F888</f>
        <v>1</v>
      </c>
      <c r="K889" s="18"/>
      <c r="L889" s="18"/>
      <c r="M889" s="18">
        <f>'RW predict'!P888</f>
        <v>0</v>
      </c>
      <c r="N889" s="18"/>
      <c r="O889" s="18">
        <f>'RW predict'!H888</f>
        <v>0</v>
      </c>
      <c r="P889" s="18">
        <f>'RW predict'!I888</f>
        <v>2</v>
      </c>
      <c r="Q889" s="18">
        <f>'RW predict'!L888</f>
        <v>0</v>
      </c>
      <c r="R889" s="18">
        <f>'RW predict'!N888</f>
        <v>0</v>
      </c>
      <c r="S889" s="76">
        <f>'RW predict'!O888</f>
        <v>0</v>
      </c>
      <c r="T889" s="76">
        <f>'RW predict'!K888</f>
        <v>0</v>
      </c>
      <c r="U889" s="22">
        <f>'RW predict'!J888</f>
        <v>0</v>
      </c>
      <c r="V889" s="32">
        <f>IF(D889="G",'RW predict'!E888,0)</f>
        <v>0</v>
      </c>
      <c r="W889" s="18">
        <f>'RW predict'!R888</f>
        <v>11</v>
      </c>
      <c r="X889" s="18">
        <f>'RW predict'!T888</f>
        <v>3</v>
      </c>
      <c r="Y889" s="18">
        <f>'RW predict'!Y888</f>
        <v>2</v>
      </c>
      <c r="Z889" s="18">
        <f>'RW predict'!U888</f>
        <v>62</v>
      </c>
      <c r="AA889" s="18">
        <f>'RW predict'!W888</f>
        <v>689</v>
      </c>
    </row>
    <row r="890" spans="1:27" x14ac:dyDescent="0.3">
      <c r="A890" s="18">
        <v>887</v>
      </c>
      <c r="B890" s="18" t="str">
        <f>'RW predict'!A889</f>
        <v>Alex Biega</v>
      </c>
      <c r="C890" s="18" t="str">
        <f>'RW predict'!B889</f>
        <v>FA</v>
      </c>
      <c r="D890" s="22" t="str" cm="1">
        <f t="array" ref="D890">_xlfn.SWITCH('RW predict'!C889, "C", "F", "LW","F", "RW", "F", "D", "D", "G", "G", "other")</f>
        <v>D</v>
      </c>
      <c r="E890" s="32">
        <f t="shared" si="26"/>
        <v>59</v>
      </c>
      <c r="F890" s="35">
        <f>E890/assumptions!$B$2</f>
        <v>0.71951219512195119</v>
      </c>
      <c r="G890" s="36">
        <f t="shared" si="27"/>
        <v>970</v>
      </c>
      <c r="H890" s="18">
        <f>IF(NOT(D890="G"),'RW predict'!E889,0)</f>
        <v>0</v>
      </c>
      <c r="I890" s="18">
        <f>'RW predict'!Q889</f>
        <v>8</v>
      </c>
      <c r="J890" s="18">
        <f>'RW predict'!F889</f>
        <v>1</v>
      </c>
      <c r="K890" s="18"/>
      <c r="L890" s="18"/>
      <c r="M890" s="18">
        <f>'RW predict'!P889</f>
        <v>21</v>
      </c>
      <c r="N890" s="18"/>
      <c r="O890" s="18">
        <f>'RW predict'!H889</f>
        <v>-3</v>
      </c>
      <c r="P890" s="18">
        <f>'RW predict'!I889</f>
        <v>3</v>
      </c>
      <c r="Q890" s="18">
        <f>'RW predict'!L889</f>
        <v>0</v>
      </c>
      <c r="R890" s="18">
        <f>'RW predict'!N889</f>
        <v>0</v>
      </c>
      <c r="S890" s="76">
        <f>'RW predict'!O889</f>
        <v>0</v>
      </c>
      <c r="T890" s="76">
        <f>'RW predict'!K889</f>
        <v>0</v>
      </c>
      <c r="U890" s="22">
        <f>'RW predict'!J889</f>
        <v>9</v>
      </c>
      <c r="V890" s="32">
        <f>IF(D890="G",'RW predict'!E889,0)</f>
        <v>0</v>
      </c>
      <c r="W890" s="18">
        <f>'RW predict'!R889</f>
        <v>0</v>
      </c>
      <c r="X890" s="18">
        <f>'RW predict'!T889</f>
        <v>0</v>
      </c>
      <c r="Y890" s="18">
        <f>'RW predict'!Y889</f>
        <v>0</v>
      </c>
      <c r="Z890" s="18">
        <f>'RW predict'!U889</f>
        <v>0</v>
      </c>
      <c r="AA890" s="18">
        <f>'RW predict'!W889</f>
        <v>0</v>
      </c>
    </row>
    <row r="891" spans="1:27" x14ac:dyDescent="0.3">
      <c r="A891" s="18">
        <v>888</v>
      </c>
      <c r="B891" s="18" t="str">
        <f>'RW predict'!A890</f>
        <v>Linus Ullmark</v>
      </c>
      <c r="C891" s="18" t="str">
        <f>'RW predict'!B890</f>
        <v>BOS</v>
      </c>
      <c r="D891" s="22" t="str" cm="1">
        <f t="array" ref="D891">_xlfn.SWITCH('RW predict'!C890, "C", "F", "LW","F", "RW", "F", "D", "D", "G", "G", "other")</f>
        <v>G</v>
      </c>
      <c r="E891" s="32">
        <f t="shared" si="26"/>
        <v>1808</v>
      </c>
      <c r="F891" s="35">
        <f>E891/assumptions!$B$2</f>
        <v>22.048780487804876</v>
      </c>
      <c r="G891" s="36">
        <f t="shared" si="27"/>
        <v>201</v>
      </c>
      <c r="H891" s="18">
        <f>IF(NOT(D891="G"),'RW predict'!E890,0)</f>
        <v>0</v>
      </c>
      <c r="I891" s="18">
        <f>'RW predict'!Q890</f>
        <v>0</v>
      </c>
      <c r="J891" s="18">
        <f>'RW predict'!F890</f>
        <v>1</v>
      </c>
      <c r="K891" s="18"/>
      <c r="L891" s="18"/>
      <c r="M891" s="18">
        <f>'RW predict'!P890</f>
        <v>0</v>
      </c>
      <c r="N891" s="18"/>
      <c r="O891" s="18">
        <f>'RW predict'!H890</f>
        <v>0</v>
      </c>
      <c r="P891" s="18">
        <f>'RW predict'!I890</f>
        <v>3</v>
      </c>
      <c r="Q891" s="18">
        <f>'RW predict'!L890</f>
        <v>0</v>
      </c>
      <c r="R891" s="18">
        <f>'RW predict'!N890</f>
        <v>0</v>
      </c>
      <c r="S891" s="76">
        <f>'RW predict'!O890</f>
        <v>0</v>
      </c>
      <c r="T891" s="76">
        <f>'RW predict'!K890</f>
        <v>0</v>
      </c>
      <c r="U891" s="22">
        <f>'RW predict'!J890</f>
        <v>0</v>
      </c>
      <c r="V891" s="32">
        <f>IF(D891="G",'RW predict'!E890,0)</f>
        <v>0</v>
      </c>
      <c r="W891" s="18">
        <f>'RW predict'!R890</f>
        <v>24</v>
      </c>
      <c r="X891" s="18">
        <f>'RW predict'!T890</f>
        <v>3</v>
      </c>
      <c r="Y891" s="18">
        <f>'RW predict'!Y890</f>
        <v>2</v>
      </c>
      <c r="Z891" s="18">
        <f>'RW predict'!U890</f>
        <v>98</v>
      </c>
      <c r="AA891" s="18">
        <f>'RW predict'!W890</f>
        <v>1062</v>
      </c>
    </row>
    <row r="892" spans="1:27" x14ac:dyDescent="0.3">
      <c r="A892" s="18">
        <v>889</v>
      </c>
      <c r="B892" s="18" t="str">
        <f>'RW predict'!A891</f>
        <v>Jon Gillies</v>
      </c>
      <c r="C892" s="18" t="str">
        <f>'RW predict'!B891</f>
        <v>ARI</v>
      </c>
      <c r="D892" s="22" t="str" cm="1">
        <f t="array" ref="D892">_xlfn.SWITCH('RW predict'!C891, "C", "F", "LW","F", "RW", "F", "D", "D", "G", "G", "other")</f>
        <v>G</v>
      </c>
      <c r="E892" s="32">
        <f t="shared" si="26"/>
        <v>474</v>
      </c>
      <c r="F892" s="35">
        <f>E892/assumptions!$B$2</f>
        <v>5.7804878048780486</v>
      </c>
      <c r="G892" s="36">
        <f t="shared" si="27"/>
        <v>696</v>
      </c>
      <c r="H892" s="18">
        <f>IF(NOT(D892="G"),'RW predict'!E891,0)</f>
        <v>0</v>
      </c>
      <c r="I892" s="18">
        <f>'RW predict'!Q891</f>
        <v>0</v>
      </c>
      <c r="J892" s="18">
        <f>'RW predict'!F891</f>
        <v>1</v>
      </c>
      <c r="K892" s="18"/>
      <c r="L892" s="18"/>
      <c r="M892" s="18">
        <f>'RW predict'!P891</f>
        <v>0</v>
      </c>
      <c r="N892" s="18"/>
      <c r="O892" s="18">
        <f>'RW predict'!H891</f>
        <v>0</v>
      </c>
      <c r="P892" s="18">
        <f>'RW predict'!I891</f>
        <v>0</v>
      </c>
      <c r="Q892" s="18">
        <f>'RW predict'!L891</f>
        <v>0</v>
      </c>
      <c r="R892" s="18">
        <f>'RW predict'!N891</f>
        <v>0</v>
      </c>
      <c r="S892" s="76">
        <f>'RW predict'!O891</f>
        <v>0</v>
      </c>
      <c r="T892" s="76">
        <f>'RW predict'!K891</f>
        <v>0</v>
      </c>
      <c r="U892" s="22">
        <f>'RW predict'!J891</f>
        <v>0</v>
      </c>
      <c r="V892" s="32">
        <f>IF(D892="G",'RW predict'!E891,0)</f>
        <v>0</v>
      </c>
      <c r="W892" s="18">
        <f>'RW predict'!R891</f>
        <v>3</v>
      </c>
      <c r="X892" s="18">
        <f>'RW predict'!T891</f>
        <v>4</v>
      </c>
      <c r="Y892" s="18">
        <f>'RW predict'!Y891</f>
        <v>0</v>
      </c>
      <c r="Z892" s="18">
        <f>'RW predict'!U891</f>
        <v>81</v>
      </c>
      <c r="AA892" s="18">
        <f>'RW predict'!W891</f>
        <v>732</v>
      </c>
    </row>
    <row r="893" spans="1:27" x14ac:dyDescent="0.3">
      <c r="A893" s="18">
        <v>890</v>
      </c>
      <c r="B893" s="18" t="str">
        <f>'RW predict'!A892</f>
        <v>Riley Barber</v>
      </c>
      <c r="C893" s="18" t="str">
        <f>'RW predict'!B892</f>
        <v>DAL</v>
      </c>
      <c r="D893" s="22" t="str" cm="1">
        <f t="array" ref="D893">_xlfn.SWITCH('RW predict'!C892, "C", "F", "LW","F", "RW", "F", "D", "D", "G", "G", "other")</f>
        <v>F</v>
      </c>
      <c r="E893" s="32">
        <f t="shared" si="26"/>
        <v>9</v>
      </c>
      <c r="F893" s="35">
        <f>E893/assumptions!$B$2</f>
        <v>0.10975609756097561</v>
      </c>
      <c r="G893" s="36">
        <f t="shared" si="27"/>
        <v>1049</v>
      </c>
      <c r="H893" s="18">
        <f>IF(NOT(D893="G"),'RW predict'!E892,0)</f>
        <v>0</v>
      </c>
      <c r="I893" s="18">
        <f>'RW predict'!Q892</f>
        <v>3</v>
      </c>
      <c r="J893" s="18">
        <f>'RW predict'!F892</f>
        <v>1</v>
      </c>
      <c r="K893" s="18"/>
      <c r="L893" s="18"/>
      <c r="M893" s="18">
        <f>'RW predict'!P892</f>
        <v>16</v>
      </c>
      <c r="N893" s="18"/>
      <c r="O893" s="18">
        <f>'RW predict'!H892</f>
        <v>-8</v>
      </c>
      <c r="P893" s="18">
        <f>'RW predict'!I892</f>
        <v>6</v>
      </c>
      <c r="Q893" s="18">
        <f>'RW predict'!L892</f>
        <v>0</v>
      </c>
      <c r="R893" s="18">
        <f>'RW predict'!N892</f>
        <v>0</v>
      </c>
      <c r="S893" s="76">
        <f>'RW predict'!O892</f>
        <v>0</v>
      </c>
      <c r="T893" s="76">
        <f>'RW predict'!K892</f>
        <v>0</v>
      </c>
      <c r="U893" s="22">
        <f>'RW predict'!J892</f>
        <v>12</v>
      </c>
      <c r="V893" s="32">
        <f>IF(D893="G",'RW predict'!E892,0)</f>
        <v>0</v>
      </c>
      <c r="W893" s="18">
        <f>'RW predict'!R892</f>
        <v>0</v>
      </c>
      <c r="X893" s="18">
        <f>'RW predict'!T892</f>
        <v>0</v>
      </c>
      <c r="Y893" s="18">
        <f>'RW predict'!Y892</f>
        <v>0</v>
      </c>
      <c r="Z893" s="18">
        <f>'RW predict'!U892</f>
        <v>0</v>
      </c>
      <c r="AA893" s="18">
        <f>'RW predict'!W892</f>
        <v>0</v>
      </c>
    </row>
    <row r="894" spans="1:27" x14ac:dyDescent="0.3">
      <c r="A894" s="18">
        <v>891</v>
      </c>
      <c r="B894" s="18" t="str">
        <f>'RW predict'!A893</f>
        <v>Petteri Lindbohm</v>
      </c>
      <c r="C894" s="18" t="str">
        <f>'RW predict'!B893</f>
        <v>FLA</v>
      </c>
      <c r="D894" s="22" t="str" cm="1">
        <f t="array" ref="D894">_xlfn.SWITCH('RW predict'!C893, "C", "F", "LW","F", "RW", "F", "D", "D", "G", "G", "other")</f>
        <v>D</v>
      </c>
      <c r="E894" s="32">
        <f t="shared" si="26"/>
        <v>96</v>
      </c>
      <c r="F894" s="35">
        <f>E894/assumptions!$B$2</f>
        <v>1.1707317073170731</v>
      </c>
      <c r="G894" s="36">
        <f t="shared" si="27"/>
        <v>920</v>
      </c>
      <c r="H894" s="18">
        <f>IF(NOT(D894="G"),'RW predict'!E893,0)</f>
        <v>0</v>
      </c>
      <c r="I894" s="18">
        <f>'RW predict'!Q893</f>
        <v>9</v>
      </c>
      <c r="J894" s="18">
        <f>'RW predict'!F893</f>
        <v>1</v>
      </c>
      <c r="K894" s="18"/>
      <c r="L894" s="18"/>
      <c r="M894" s="18">
        <f>'RW predict'!P893</f>
        <v>23</v>
      </c>
      <c r="N894" s="18"/>
      <c r="O894" s="18">
        <f>'RW predict'!H893</f>
        <v>0</v>
      </c>
      <c r="P894" s="18">
        <f>'RW predict'!I893</f>
        <v>4</v>
      </c>
      <c r="Q894" s="18">
        <f>'RW predict'!L893</f>
        <v>0</v>
      </c>
      <c r="R894" s="18">
        <f>'RW predict'!N893</f>
        <v>0</v>
      </c>
      <c r="S894" s="76">
        <f>'RW predict'!O893</f>
        <v>0</v>
      </c>
      <c r="T894" s="76">
        <f>'RW predict'!K893</f>
        <v>0</v>
      </c>
      <c r="U894" s="22">
        <f>'RW predict'!J893</f>
        <v>9</v>
      </c>
      <c r="V894" s="32">
        <f>IF(D894="G",'RW predict'!E893,0)</f>
        <v>0</v>
      </c>
      <c r="W894" s="18">
        <f>'RW predict'!R893</f>
        <v>0</v>
      </c>
      <c r="X894" s="18">
        <f>'RW predict'!T893</f>
        <v>0</v>
      </c>
      <c r="Y894" s="18">
        <f>'RW predict'!Y893</f>
        <v>0</v>
      </c>
      <c r="Z894" s="18">
        <f>'RW predict'!U893</f>
        <v>0</v>
      </c>
      <c r="AA894" s="18">
        <f>'RW predict'!W893</f>
        <v>0</v>
      </c>
    </row>
    <row r="895" spans="1:27" x14ac:dyDescent="0.3">
      <c r="A895" s="18">
        <v>892</v>
      </c>
      <c r="B895" s="18" t="str">
        <f>'RW predict'!A894</f>
        <v>Eric Comrie</v>
      </c>
      <c r="C895" s="18" t="str">
        <f>'RW predict'!B894</f>
        <v>BUF</v>
      </c>
      <c r="D895" s="22" t="str" cm="1">
        <f t="array" ref="D895">_xlfn.SWITCH('RW predict'!C894, "C", "F", "LW","F", "RW", "F", "D", "D", "G", "G", "other")</f>
        <v>G</v>
      </c>
      <c r="E895" s="32">
        <f t="shared" si="26"/>
        <v>674</v>
      </c>
      <c r="F895" s="35">
        <f>E895/assumptions!$B$2</f>
        <v>8.2195121951219505</v>
      </c>
      <c r="G895" s="36">
        <f t="shared" si="27"/>
        <v>613</v>
      </c>
      <c r="H895" s="18">
        <f>IF(NOT(D895="G"),'RW predict'!E894,0)</f>
        <v>0</v>
      </c>
      <c r="I895" s="18">
        <f>'RW predict'!Q894</f>
        <v>0</v>
      </c>
      <c r="J895" s="18">
        <f>'RW predict'!F894</f>
        <v>1</v>
      </c>
      <c r="K895" s="18"/>
      <c r="L895" s="18"/>
      <c r="M895" s="18">
        <f>'RW predict'!P894</f>
        <v>0</v>
      </c>
      <c r="N895" s="18"/>
      <c r="O895" s="18">
        <f>'RW predict'!H894</f>
        <v>0</v>
      </c>
      <c r="P895" s="18">
        <f>'RW predict'!I894</f>
        <v>0</v>
      </c>
      <c r="Q895" s="18">
        <f>'RW predict'!L894</f>
        <v>0</v>
      </c>
      <c r="R895" s="18">
        <f>'RW predict'!N894</f>
        <v>0</v>
      </c>
      <c r="S895" s="76">
        <f>'RW predict'!O894</f>
        <v>0</v>
      </c>
      <c r="T895" s="76">
        <f>'RW predict'!K894</f>
        <v>0</v>
      </c>
      <c r="U895" s="22">
        <f>'RW predict'!J894</f>
        <v>0</v>
      </c>
      <c r="V895" s="32">
        <f>IF(D895="G",'RW predict'!E894,0)</f>
        <v>0</v>
      </c>
      <c r="W895" s="18">
        <f>'RW predict'!R894</f>
        <v>8</v>
      </c>
      <c r="X895" s="18">
        <f>'RW predict'!T894</f>
        <v>1</v>
      </c>
      <c r="Y895" s="18">
        <f>'RW predict'!Y894</f>
        <v>1</v>
      </c>
      <c r="Z895" s="18">
        <f>'RW predict'!U894</f>
        <v>35</v>
      </c>
      <c r="AA895" s="18">
        <f>'RW predict'!W894</f>
        <v>392</v>
      </c>
    </row>
    <row r="896" spans="1:27" x14ac:dyDescent="0.3">
      <c r="A896" s="18">
        <v>893</v>
      </c>
      <c r="B896" s="18" t="str">
        <f>'RW predict'!A895</f>
        <v>Carl Dahlstrom</v>
      </c>
      <c r="C896" s="18" t="str">
        <f>'RW predict'!B895</f>
        <v>TOR</v>
      </c>
      <c r="D896" s="22" t="str" cm="1">
        <f t="array" ref="D896">_xlfn.SWITCH('RW predict'!C895, "C", "F", "LW","F", "RW", "F", "D", "D", "G", "G", "other")</f>
        <v>D</v>
      </c>
      <c r="E896" s="32">
        <f t="shared" si="26"/>
        <v>55</v>
      </c>
      <c r="F896" s="35">
        <f>E896/assumptions!$B$2</f>
        <v>0.67073170731707321</v>
      </c>
      <c r="G896" s="36">
        <f t="shared" si="27"/>
        <v>979</v>
      </c>
      <c r="H896" s="18">
        <f>IF(NOT(D896="G"),'RW predict'!E895,0)</f>
        <v>0</v>
      </c>
      <c r="I896" s="18">
        <f>'RW predict'!Q895</f>
        <v>3</v>
      </c>
      <c r="J896" s="18">
        <f>'RW predict'!F895</f>
        <v>1</v>
      </c>
      <c r="K896" s="18"/>
      <c r="L896" s="18"/>
      <c r="M896" s="18">
        <f>'RW predict'!P895</f>
        <v>2</v>
      </c>
      <c r="N896" s="18"/>
      <c r="O896" s="18">
        <f>'RW predict'!H895</f>
        <v>1</v>
      </c>
      <c r="P896" s="18">
        <f>'RW predict'!I895</f>
        <v>2</v>
      </c>
      <c r="Q896" s="18">
        <f>'RW predict'!L895</f>
        <v>0</v>
      </c>
      <c r="R896" s="18">
        <f>'RW predict'!N895</f>
        <v>0</v>
      </c>
      <c r="S896" s="76">
        <f>'RW predict'!O895</f>
        <v>0</v>
      </c>
      <c r="T896" s="76">
        <f>'RW predict'!K895</f>
        <v>0</v>
      </c>
      <c r="U896" s="22">
        <f>'RW predict'!J895</f>
        <v>3</v>
      </c>
      <c r="V896" s="32">
        <f>IF(D896="G",'RW predict'!E895,0)</f>
        <v>0</v>
      </c>
      <c r="W896" s="18">
        <f>'RW predict'!R895</f>
        <v>0</v>
      </c>
      <c r="X896" s="18">
        <f>'RW predict'!T895</f>
        <v>0</v>
      </c>
      <c r="Y896" s="18">
        <f>'RW predict'!Y895</f>
        <v>0</v>
      </c>
      <c r="Z896" s="18">
        <f>'RW predict'!U895</f>
        <v>0</v>
      </c>
      <c r="AA896" s="18">
        <f>'RW predict'!W895</f>
        <v>0</v>
      </c>
    </row>
    <row r="897" spans="1:27" x14ac:dyDescent="0.3">
      <c r="A897" s="18">
        <v>894</v>
      </c>
      <c r="B897" s="18" t="str">
        <f>'RW predict'!A896</f>
        <v>John Hayden</v>
      </c>
      <c r="C897" s="18" t="str">
        <f>'RW predict'!B896</f>
        <v>SEA</v>
      </c>
      <c r="D897" s="22" t="str" cm="1">
        <f t="array" ref="D897">_xlfn.SWITCH('RW predict'!C896, "C", "F", "LW","F", "RW", "F", "D", "D", "G", "G", "other")</f>
        <v>F</v>
      </c>
      <c r="E897" s="32">
        <f t="shared" si="26"/>
        <v>75</v>
      </c>
      <c r="F897" s="35">
        <f>E897/assumptions!$B$2</f>
        <v>0.91463414634146345</v>
      </c>
      <c r="G897" s="36">
        <f t="shared" si="27"/>
        <v>949</v>
      </c>
      <c r="H897" s="18">
        <f>IF(NOT(D897="G"),'RW predict'!E896,0)</f>
        <v>0</v>
      </c>
      <c r="I897" s="18">
        <f>'RW predict'!Q896</f>
        <v>3</v>
      </c>
      <c r="J897" s="18">
        <f>'RW predict'!F896</f>
        <v>1</v>
      </c>
      <c r="K897" s="18"/>
      <c r="L897" s="18"/>
      <c r="M897" s="18">
        <f>'RW predict'!P896</f>
        <v>13</v>
      </c>
      <c r="N897" s="18"/>
      <c r="O897" s="18">
        <f>'RW predict'!H896</f>
        <v>-1</v>
      </c>
      <c r="P897" s="18">
        <f>'RW predict'!I896</f>
        <v>9</v>
      </c>
      <c r="Q897" s="18">
        <f>'RW predict'!L896</f>
        <v>0</v>
      </c>
      <c r="R897" s="18">
        <f>'RW predict'!N896</f>
        <v>0</v>
      </c>
      <c r="S897" s="76">
        <f>'RW predict'!O896</f>
        <v>0</v>
      </c>
      <c r="T897" s="76">
        <f>'RW predict'!K896</f>
        <v>0</v>
      </c>
      <c r="U897" s="22">
        <f>'RW predict'!J896</f>
        <v>7</v>
      </c>
      <c r="V897" s="32">
        <f>IF(D897="G",'RW predict'!E896,0)</f>
        <v>0</v>
      </c>
      <c r="W897" s="18">
        <f>'RW predict'!R896</f>
        <v>0</v>
      </c>
      <c r="X897" s="18">
        <f>'RW predict'!T896</f>
        <v>0</v>
      </c>
      <c r="Y897" s="18">
        <f>'RW predict'!Y896</f>
        <v>0</v>
      </c>
      <c r="Z897" s="18">
        <f>'RW predict'!U896</f>
        <v>0</v>
      </c>
      <c r="AA897" s="18">
        <f>'RW predict'!W896</f>
        <v>0</v>
      </c>
    </row>
    <row r="898" spans="1:27" x14ac:dyDescent="0.3">
      <c r="A898" s="18">
        <v>895</v>
      </c>
      <c r="B898" s="18" t="str">
        <f>'RW predict'!A897</f>
        <v>Jacob Larsson</v>
      </c>
      <c r="C898" s="18" t="str">
        <f>'RW predict'!B897</f>
        <v>OTT</v>
      </c>
      <c r="D898" s="22" t="str" cm="1">
        <f t="array" ref="D898">_xlfn.SWITCH('RW predict'!C897, "C", "F", "LW","F", "RW", "F", "D", "D", "G", "G", "other")</f>
        <v>D</v>
      </c>
      <c r="E898" s="32">
        <f t="shared" si="26"/>
        <v>54</v>
      </c>
      <c r="F898" s="35">
        <f>E898/assumptions!$B$2</f>
        <v>0.65853658536585369</v>
      </c>
      <c r="G898" s="36">
        <f t="shared" si="27"/>
        <v>982</v>
      </c>
      <c r="H898" s="18">
        <f>IF(NOT(D898="G"),'RW predict'!E897,0)</f>
        <v>0</v>
      </c>
      <c r="I898" s="18">
        <f>'RW predict'!Q897</f>
        <v>12</v>
      </c>
      <c r="J898" s="18">
        <f>'RW predict'!F897</f>
        <v>1</v>
      </c>
      <c r="K898" s="18"/>
      <c r="L898" s="18"/>
      <c r="M898" s="18">
        <f>'RW predict'!P897</f>
        <v>5</v>
      </c>
      <c r="N898" s="18"/>
      <c r="O898" s="18">
        <f>'RW predict'!H897</f>
        <v>-3</v>
      </c>
      <c r="P898" s="18">
        <f>'RW predict'!I897</f>
        <v>4</v>
      </c>
      <c r="Q898" s="18">
        <f>'RW predict'!L897</f>
        <v>0</v>
      </c>
      <c r="R898" s="18">
        <f>'RW predict'!N897</f>
        <v>0</v>
      </c>
      <c r="S898" s="76">
        <f>'RW predict'!O897</f>
        <v>0</v>
      </c>
      <c r="T898" s="76">
        <f>'RW predict'!K897</f>
        <v>0</v>
      </c>
      <c r="U898" s="22">
        <f>'RW predict'!J897</f>
        <v>9</v>
      </c>
      <c r="V898" s="32">
        <f>IF(D898="G",'RW predict'!E897,0)</f>
        <v>0</v>
      </c>
      <c r="W898" s="18">
        <f>'RW predict'!R897</f>
        <v>0</v>
      </c>
      <c r="X898" s="18">
        <f>'RW predict'!T897</f>
        <v>0</v>
      </c>
      <c r="Y898" s="18">
        <f>'RW predict'!Y897</f>
        <v>0</v>
      </c>
      <c r="Z898" s="18">
        <f>'RW predict'!U897</f>
        <v>0</v>
      </c>
      <c r="AA898" s="18">
        <f>'RW predict'!W897</f>
        <v>0</v>
      </c>
    </row>
    <row r="899" spans="1:27" x14ac:dyDescent="0.3">
      <c r="A899" s="18">
        <v>896</v>
      </c>
      <c r="B899" s="18" t="str">
        <f>'RW predict'!A898</f>
        <v>Noah Juulsen</v>
      </c>
      <c r="C899" s="18" t="str">
        <f>'RW predict'!B898</f>
        <v>VAN</v>
      </c>
      <c r="D899" s="22" t="str" cm="1">
        <f t="array" ref="D899">_xlfn.SWITCH('RW predict'!C898, "C", "F", "LW","F", "RW", "F", "D", "D", "G", "G", "other")</f>
        <v>D</v>
      </c>
      <c r="E899" s="32">
        <f t="shared" si="26"/>
        <v>50</v>
      </c>
      <c r="F899" s="35">
        <f>E899/assumptions!$B$2</f>
        <v>0.6097560975609756</v>
      </c>
      <c r="G899" s="36">
        <f t="shared" si="27"/>
        <v>990</v>
      </c>
      <c r="H899" s="18">
        <f>IF(NOT(D899="G"),'RW predict'!E898,0)</f>
        <v>0</v>
      </c>
      <c r="I899" s="18">
        <f>'RW predict'!Q898</f>
        <v>11</v>
      </c>
      <c r="J899" s="18">
        <f>'RW predict'!F898</f>
        <v>1</v>
      </c>
      <c r="K899" s="18"/>
      <c r="L899" s="18"/>
      <c r="M899" s="18">
        <f>'RW predict'!P898</f>
        <v>19</v>
      </c>
      <c r="N899" s="18"/>
      <c r="O899" s="18">
        <f>'RW predict'!H898</f>
        <v>-3</v>
      </c>
      <c r="P899" s="18">
        <f>'RW predict'!I898</f>
        <v>0</v>
      </c>
      <c r="Q899" s="18">
        <f>'RW predict'!L898</f>
        <v>0</v>
      </c>
      <c r="R899" s="18">
        <f>'RW predict'!N898</f>
        <v>0</v>
      </c>
      <c r="S899" s="76">
        <f>'RW predict'!O898</f>
        <v>0</v>
      </c>
      <c r="T899" s="76">
        <f>'RW predict'!K898</f>
        <v>0</v>
      </c>
      <c r="U899" s="22">
        <f>'RW predict'!J898</f>
        <v>7</v>
      </c>
      <c r="V899" s="32">
        <f>IF(D899="G",'RW predict'!E898,0)</f>
        <v>0</v>
      </c>
      <c r="W899" s="18">
        <f>'RW predict'!R898</f>
        <v>0</v>
      </c>
      <c r="X899" s="18">
        <f>'RW predict'!T898</f>
        <v>0</v>
      </c>
      <c r="Y899" s="18">
        <f>'RW predict'!Y898</f>
        <v>0</v>
      </c>
      <c r="Z899" s="18">
        <f>'RW predict'!U898</f>
        <v>0</v>
      </c>
      <c r="AA899" s="18">
        <f>'RW predict'!W898</f>
        <v>0</v>
      </c>
    </row>
    <row r="900" spans="1:27" x14ac:dyDescent="0.3">
      <c r="A900" s="18">
        <v>897</v>
      </c>
      <c r="B900" s="18" t="str">
        <f>'RW predict'!A899</f>
        <v>Dan Vladar</v>
      </c>
      <c r="C900" s="18" t="str">
        <f>'RW predict'!B899</f>
        <v>CGY</v>
      </c>
      <c r="D900" s="22" t="str" cm="1">
        <f t="array" ref="D900">_xlfn.SWITCH('RW predict'!C899, "C", "F", "LW","F", "RW", "F", "D", "D", "G", "G", "other")</f>
        <v>G</v>
      </c>
      <c r="E900" s="32">
        <f t="shared" si="26"/>
        <v>864</v>
      </c>
      <c r="F900" s="35">
        <f>E900/assumptions!$B$2</f>
        <v>10.536585365853659</v>
      </c>
      <c r="G900" s="36">
        <f t="shared" si="27"/>
        <v>545</v>
      </c>
      <c r="H900" s="18">
        <f>IF(NOT(D900="G"),'RW predict'!E899,0)</f>
        <v>0</v>
      </c>
      <c r="I900" s="18">
        <f>'RW predict'!Q899</f>
        <v>0</v>
      </c>
      <c r="J900" s="18">
        <f>'RW predict'!F899</f>
        <v>1</v>
      </c>
      <c r="K900" s="18"/>
      <c r="L900" s="18"/>
      <c r="M900" s="18">
        <f>'RW predict'!P899</f>
        <v>0</v>
      </c>
      <c r="N900" s="18"/>
      <c r="O900" s="18">
        <f>'RW predict'!H899</f>
        <v>0</v>
      </c>
      <c r="P900" s="18">
        <f>'RW predict'!I899</f>
        <v>0</v>
      </c>
      <c r="Q900" s="18">
        <f>'RW predict'!L899</f>
        <v>0</v>
      </c>
      <c r="R900" s="18">
        <f>'RW predict'!N899</f>
        <v>0</v>
      </c>
      <c r="S900" s="76">
        <f>'RW predict'!O899</f>
        <v>0</v>
      </c>
      <c r="T900" s="76">
        <f>'RW predict'!K899</f>
        <v>0</v>
      </c>
      <c r="U900" s="22">
        <f>'RW predict'!J899</f>
        <v>0</v>
      </c>
      <c r="V900" s="32">
        <f>IF(D900="G",'RW predict'!E899,0)</f>
        <v>0</v>
      </c>
      <c r="W900" s="18">
        <f>'RW predict'!R899</f>
        <v>12</v>
      </c>
      <c r="X900" s="18">
        <f>'RW predict'!T899</f>
        <v>2</v>
      </c>
      <c r="Y900" s="18">
        <f>'RW predict'!Y899</f>
        <v>2</v>
      </c>
      <c r="Z900" s="18">
        <f>'RW predict'!U899</f>
        <v>57</v>
      </c>
      <c r="AA900" s="18">
        <f>'RW predict'!W899</f>
        <v>537</v>
      </c>
    </row>
    <row r="901" spans="1:27" x14ac:dyDescent="0.3">
      <c r="A901" s="18">
        <v>898</v>
      </c>
      <c r="B901" s="18" t="str">
        <f>'RW predict'!A900</f>
        <v>Nicolas Meloche</v>
      </c>
      <c r="C901" s="18" t="str">
        <f>'RW predict'!B900</f>
        <v>CGY</v>
      </c>
      <c r="D901" s="22" t="str" cm="1">
        <f t="array" ref="D901">_xlfn.SWITCH('RW predict'!C900, "C", "F", "LW","F", "RW", "F", "D", "D", "G", "G", "other")</f>
        <v>D</v>
      </c>
      <c r="E901" s="32">
        <f t="shared" ref="E901:E964" si="28">H901*$H$3+I901*I$3+K901*K$3+L901*L$3+M901*M$3+N901*N$3+V901*V$3+J901*J$3+O901*$O$3+P901*$P$3+Q901*$Q$3+R901*$R$3+S901*$S$3+T901*$T$3+U901*$U$3+W901*$W$3+X901*$X$3+Y901*$Y$3+Z901*$Z$3+AA901*$AA$3</f>
        <v>81</v>
      </c>
      <c r="F901" s="35">
        <f>E901/assumptions!$B$2</f>
        <v>0.98780487804878048</v>
      </c>
      <c r="G901" s="36">
        <f t="shared" ref="G901:G964" si="29">RANK(E901,$E$4:$E$1100)</f>
        <v>939</v>
      </c>
      <c r="H901" s="18">
        <f>IF(NOT(D901="G"),'RW predict'!E900,0)</f>
        <v>0</v>
      </c>
      <c r="I901" s="18">
        <f>'RW predict'!Q900</f>
        <v>9</v>
      </c>
      <c r="J901" s="18">
        <f>'RW predict'!F900</f>
        <v>1</v>
      </c>
      <c r="K901" s="18"/>
      <c r="L901" s="18"/>
      <c r="M901" s="18">
        <f>'RW predict'!P900</f>
        <v>26</v>
      </c>
      <c r="N901" s="18"/>
      <c r="O901" s="18">
        <f>'RW predict'!H900</f>
        <v>-2</v>
      </c>
      <c r="P901" s="18">
        <f>'RW predict'!I900</f>
        <v>6</v>
      </c>
      <c r="Q901" s="18">
        <f>'RW predict'!L900</f>
        <v>0</v>
      </c>
      <c r="R901" s="18">
        <f>'RW predict'!N900</f>
        <v>0</v>
      </c>
      <c r="S901" s="76">
        <f>'RW predict'!O900</f>
        <v>0</v>
      </c>
      <c r="T901" s="76">
        <f>'RW predict'!K900</f>
        <v>0</v>
      </c>
      <c r="U901" s="22">
        <f>'RW predict'!J900</f>
        <v>7</v>
      </c>
      <c r="V901" s="32">
        <f>IF(D901="G",'RW predict'!E900,0)</f>
        <v>0</v>
      </c>
      <c r="W901" s="18">
        <f>'RW predict'!R900</f>
        <v>0</v>
      </c>
      <c r="X901" s="18">
        <f>'RW predict'!T900</f>
        <v>0</v>
      </c>
      <c r="Y901" s="18">
        <f>'RW predict'!Y900</f>
        <v>0</v>
      </c>
      <c r="Z901" s="18">
        <f>'RW predict'!U900</f>
        <v>0</v>
      </c>
      <c r="AA901" s="18">
        <f>'RW predict'!W900</f>
        <v>0</v>
      </c>
    </row>
    <row r="902" spans="1:27" x14ac:dyDescent="0.3">
      <c r="A902" s="18">
        <v>899</v>
      </c>
      <c r="B902" s="18" t="str">
        <f>'RW predict'!A901</f>
        <v>Kaapo Kahkonen</v>
      </c>
      <c r="C902" s="18" t="str">
        <f>'RW predict'!B901</f>
        <v>SJ</v>
      </c>
      <c r="D902" s="22" t="str" cm="1">
        <f t="array" ref="D902">_xlfn.SWITCH('RW predict'!C901, "C", "F", "LW","F", "RW", "F", "D", "D", "G", "G", "other")</f>
        <v>G</v>
      </c>
      <c r="E902" s="32">
        <f t="shared" si="28"/>
        <v>1260</v>
      </c>
      <c r="F902" s="35">
        <f>E902/assumptions!$B$2</f>
        <v>15.365853658536585</v>
      </c>
      <c r="G902" s="36">
        <f t="shared" si="29"/>
        <v>382</v>
      </c>
      <c r="H902" s="18">
        <f>IF(NOT(D902="G"),'RW predict'!E901,0)</f>
        <v>0</v>
      </c>
      <c r="I902" s="18">
        <f>'RW predict'!Q901</f>
        <v>0</v>
      </c>
      <c r="J902" s="18">
        <f>'RW predict'!F901</f>
        <v>1</v>
      </c>
      <c r="K902" s="18"/>
      <c r="L902" s="18"/>
      <c r="M902" s="18">
        <f>'RW predict'!P901</f>
        <v>0</v>
      </c>
      <c r="N902" s="18"/>
      <c r="O902" s="18">
        <f>'RW predict'!H901</f>
        <v>0</v>
      </c>
      <c r="P902" s="18">
        <f>'RW predict'!I901</f>
        <v>2</v>
      </c>
      <c r="Q902" s="18">
        <f>'RW predict'!L901</f>
        <v>0</v>
      </c>
      <c r="R902" s="18">
        <f>'RW predict'!N901</f>
        <v>0</v>
      </c>
      <c r="S902" s="76">
        <f>'RW predict'!O901</f>
        <v>0</v>
      </c>
      <c r="T902" s="76">
        <f>'RW predict'!K901</f>
        <v>0</v>
      </c>
      <c r="U902" s="22">
        <f>'RW predict'!J901</f>
        <v>0</v>
      </c>
      <c r="V902" s="32">
        <f>IF(D902="G",'RW predict'!E901,0)</f>
        <v>0</v>
      </c>
      <c r="W902" s="18">
        <f>'RW predict'!R901</f>
        <v>13</v>
      </c>
      <c r="X902" s="18">
        <f>'RW predict'!T901</f>
        <v>4</v>
      </c>
      <c r="Y902" s="18">
        <f>'RW predict'!Y901</f>
        <v>2</v>
      </c>
      <c r="Z902" s="18">
        <f>'RW predict'!U901</f>
        <v>89</v>
      </c>
      <c r="AA902" s="18">
        <f>'RW predict'!W901</f>
        <v>932</v>
      </c>
    </row>
    <row r="903" spans="1:27" x14ac:dyDescent="0.3">
      <c r="A903" s="18">
        <v>900</v>
      </c>
      <c r="B903" s="18" t="str">
        <f>'RW predict'!A902</f>
        <v>Hayden Hodgson</v>
      </c>
      <c r="C903" s="18" t="str">
        <f>'RW predict'!B902</f>
        <v>PHI</v>
      </c>
      <c r="D903" s="22" t="str" cm="1">
        <f t="array" ref="D903">_xlfn.SWITCH('RW predict'!C902, "C", "F", "LW","F", "RW", "F", "D", "D", "G", "G", "other")</f>
        <v>F</v>
      </c>
      <c r="E903" s="32">
        <f t="shared" si="28"/>
        <v>51</v>
      </c>
      <c r="F903" s="35">
        <f>E903/assumptions!$B$2</f>
        <v>0.62195121951219512</v>
      </c>
      <c r="G903" s="36">
        <f t="shared" si="29"/>
        <v>986</v>
      </c>
      <c r="H903" s="18">
        <f>IF(NOT(D903="G"),'RW predict'!E902,0)</f>
        <v>0</v>
      </c>
      <c r="I903" s="18">
        <f>'RW predict'!Q902</f>
        <v>1</v>
      </c>
      <c r="J903" s="18">
        <f>'RW predict'!F902</f>
        <v>1</v>
      </c>
      <c r="K903" s="18"/>
      <c r="L903" s="18"/>
      <c r="M903" s="18">
        <f>'RW predict'!P902</f>
        <v>4</v>
      </c>
      <c r="N903" s="18"/>
      <c r="O903" s="18">
        <f>'RW predict'!H902</f>
        <v>0</v>
      </c>
      <c r="P903" s="18">
        <f>'RW predict'!I902</f>
        <v>4</v>
      </c>
      <c r="Q903" s="18">
        <f>'RW predict'!L902</f>
        <v>0</v>
      </c>
      <c r="R903" s="18">
        <f>'RW predict'!N902</f>
        <v>0</v>
      </c>
      <c r="S903" s="76">
        <f>'RW predict'!O902</f>
        <v>0</v>
      </c>
      <c r="T903" s="76">
        <f>'RW predict'!K902</f>
        <v>0</v>
      </c>
      <c r="U903" s="22">
        <f>'RW predict'!J902</f>
        <v>4</v>
      </c>
      <c r="V903" s="32">
        <f>IF(D903="G",'RW predict'!E902,0)</f>
        <v>0</v>
      </c>
      <c r="W903" s="18">
        <f>'RW predict'!R902</f>
        <v>0</v>
      </c>
      <c r="X903" s="18">
        <f>'RW predict'!T902</f>
        <v>0</v>
      </c>
      <c r="Y903" s="18">
        <f>'RW predict'!Y902</f>
        <v>0</v>
      </c>
      <c r="Z903" s="18">
        <f>'RW predict'!U902</f>
        <v>0</v>
      </c>
      <c r="AA903" s="18">
        <f>'RW predict'!W902</f>
        <v>0</v>
      </c>
    </row>
    <row r="904" spans="1:27" x14ac:dyDescent="0.3">
      <c r="A904" s="18">
        <v>901</v>
      </c>
      <c r="B904" s="18" t="str">
        <f>'RW predict'!A903</f>
        <v>Kyle Burroughs</v>
      </c>
      <c r="C904" s="18" t="str">
        <f>'RW predict'!B903</f>
        <v>VAN</v>
      </c>
      <c r="D904" s="22" t="str" cm="1">
        <f t="array" ref="D904">_xlfn.SWITCH('RW predict'!C903, "C", "F", "LW","F", "RW", "F", "D", "D", "G", "G", "other")</f>
        <v>D</v>
      </c>
      <c r="E904" s="32">
        <f t="shared" si="28"/>
        <v>140</v>
      </c>
      <c r="F904" s="35">
        <f>E904/assumptions!$B$2</f>
        <v>1.7073170731707317</v>
      </c>
      <c r="G904" s="36">
        <f t="shared" si="29"/>
        <v>868</v>
      </c>
      <c r="H904" s="18">
        <f>IF(NOT(D904="G"),'RW predict'!E903,0)</f>
        <v>0</v>
      </c>
      <c r="I904" s="18">
        <f>'RW predict'!Q903</f>
        <v>12</v>
      </c>
      <c r="J904" s="18">
        <f>'RW predict'!F903</f>
        <v>1</v>
      </c>
      <c r="K904" s="18"/>
      <c r="L904" s="18"/>
      <c r="M904" s="18">
        <f>'RW predict'!P903</f>
        <v>26</v>
      </c>
      <c r="N904" s="18"/>
      <c r="O904" s="18">
        <f>'RW predict'!H903</f>
        <v>-1</v>
      </c>
      <c r="P904" s="18">
        <f>'RW predict'!I903</f>
        <v>15</v>
      </c>
      <c r="Q904" s="18">
        <f>'RW predict'!L903</f>
        <v>0</v>
      </c>
      <c r="R904" s="18">
        <f>'RW predict'!N903</f>
        <v>0</v>
      </c>
      <c r="S904" s="76">
        <f>'RW predict'!O903</f>
        <v>0</v>
      </c>
      <c r="T904" s="76">
        <f>'RW predict'!K903</f>
        <v>0</v>
      </c>
      <c r="U904" s="22">
        <f>'RW predict'!J903</f>
        <v>15</v>
      </c>
      <c r="V904" s="32">
        <f>IF(D904="G",'RW predict'!E903,0)</f>
        <v>0</v>
      </c>
      <c r="W904" s="18">
        <f>'RW predict'!R903</f>
        <v>0</v>
      </c>
      <c r="X904" s="18">
        <f>'RW predict'!T903</f>
        <v>0</v>
      </c>
      <c r="Y904" s="18">
        <f>'RW predict'!Y903</f>
        <v>0</v>
      </c>
      <c r="Z904" s="18">
        <f>'RW predict'!U903</f>
        <v>0</v>
      </c>
      <c r="AA904" s="18">
        <f>'RW predict'!W903</f>
        <v>0</v>
      </c>
    </row>
    <row r="905" spans="1:27" x14ac:dyDescent="0.3">
      <c r="A905" s="18">
        <v>902</v>
      </c>
      <c r="B905" s="18" t="str">
        <f>'RW predict'!A904</f>
        <v>Austin Strand</v>
      </c>
      <c r="C905" s="18" t="str">
        <f>'RW predict'!B904</f>
        <v>ANH</v>
      </c>
      <c r="D905" s="22" t="str" cm="1">
        <f t="array" ref="D905">_xlfn.SWITCH('RW predict'!C904, "C", "F", "LW","F", "RW", "F", "D", "D", "G", "G", "other")</f>
        <v>D</v>
      </c>
      <c r="E905" s="32">
        <f t="shared" si="28"/>
        <v>45</v>
      </c>
      <c r="F905" s="35">
        <f>E905/assumptions!$B$2</f>
        <v>0.54878048780487809</v>
      </c>
      <c r="G905" s="36">
        <f t="shared" si="29"/>
        <v>998</v>
      </c>
      <c r="H905" s="18">
        <f>IF(NOT(D905="G"),'RW predict'!E904,0)</f>
        <v>0</v>
      </c>
      <c r="I905" s="18">
        <f>'RW predict'!Q904</f>
        <v>3</v>
      </c>
      <c r="J905" s="18">
        <f>'RW predict'!F904</f>
        <v>1</v>
      </c>
      <c r="K905" s="18"/>
      <c r="L905" s="18"/>
      <c r="M905" s="18">
        <f>'RW predict'!P904</f>
        <v>4</v>
      </c>
      <c r="N905" s="18"/>
      <c r="O905" s="18">
        <f>'RW predict'!H904</f>
        <v>-2</v>
      </c>
      <c r="P905" s="18">
        <f>'RW predict'!I904</f>
        <v>2</v>
      </c>
      <c r="Q905" s="18">
        <f>'RW predict'!L904</f>
        <v>0</v>
      </c>
      <c r="R905" s="18">
        <f>'RW predict'!N904</f>
        <v>0</v>
      </c>
      <c r="S905" s="76">
        <f>'RW predict'!O904</f>
        <v>0</v>
      </c>
      <c r="T905" s="76">
        <f>'RW predict'!K904</f>
        <v>0</v>
      </c>
      <c r="U905" s="22">
        <f>'RW predict'!J904</f>
        <v>12</v>
      </c>
      <c r="V905" s="32">
        <f>IF(D905="G",'RW predict'!E904,0)</f>
        <v>0</v>
      </c>
      <c r="W905" s="18">
        <f>'RW predict'!R904</f>
        <v>0</v>
      </c>
      <c r="X905" s="18">
        <f>'RW predict'!T904</f>
        <v>0</v>
      </c>
      <c r="Y905" s="18">
        <f>'RW predict'!Y904</f>
        <v>0</v>
      </c>
      <c r="Z905" s="18">
        <f>'RW predict'!U904</f>
        <v>0</v>
      </c>
      <c r="AA905" s="18">
        <f>'RW predict'!W904</f>
        <v>0</v>
      </c>
    </row>
    <row r="906" spans="1:27" x14ac:dyDescent="0.3">
      <c r="A906" s="18">
        <v>903</v>
      </c>
      <c r="B906" s="18" t="str">
        <f>'RW predict'!A905</f>
        <v>Olli Juolevi</v>
      </c>
      <c r="C906" s="18" t="str">
        <f>'RW predict'!B905</f>
        <v>ANH</v>
      </c>
      <c r="D906" s="22" t="str" cm="1">
        <f t="array" ref="D906">_xlfn.SWITCH('RW predict'!C905, "C", "F", "LW","F", "RW", "F", "D", "D", "G", "G", "other")</f>
        <v>D</v>
      </c>
      <c r="E906" s="32">
        <f t="shared" si="28"/>
        <v>101</v>
      </c>
      <c r="F906" s="35">
        <f>E906/assumptions!$B$2</f>
        <v>1.2317073170731707</v>
      </c>
      <c r="G906" s="36">
        <f t="shared" si="29"/>
        <v>910</v>
      </c>
      <c r="H906" s="18">
        <f>IF(NOT(D906="G"),'RW predict'!E905,0)</f>
        <v>0</v>
      </c>
      <c r="I906" s="18">
        <f>'RW predict'!Q905</f>
        <v>15</v>
      </c>
      <c r="J906" s="18">
        <f>'RW predict'!F905</f>
        <v>1</v>
      </c>
      <c r="K906" s="18"/>
      <c r="L906" s="18"/>
      <c r="M906" s="18">
        <f>'RW predict'!P905</f>
        <v>16</v>
      </c>
      <c r="N906" s="18"/>
      <c r="O906" s="18">
        <f>'RW predict'!H905</f>
        <v>-2</v>
      </c>
      <c r="P906" s="18">
        <f>'RW predict'!I905</f>
        <v>4</v>
      </c>
      <c r="Q906" s="18">
        <f>'RW predict'!L905</f>
        <v>0</v>
      </c>
      <c r="R906" s="18">
        <f>'RW predict'!N905</f>
        <v>0</v>
      </c>
      <c r="S906" s="76">
        <f>'RW predict'!O905</f>
        <v>0</v>
      </c>
      <c r="T906" s="76">
        <f>'RW predict'!K905</f>
        <v>0</v>
      </c>
      <c r="U906" s="22">
        <f>'RW predict'!J905</f>
        <v>19</v>
      </c>
      <c r="V906" s="32">
        <f>IF(D906="G",'RW predict'!E905,0)</f>
        <v>0</v>
      </c>
      <c r="W906" s="18">
        <f>'RW predict'!R905</f>
        <v>0</v>
      </c>
      <c r="X906" s="18">
        <f>'RW predict'!T905</f>
        <v>0</v>
      </c>
      <c r="Y906" s="18">
        <f>'RW predict'!Y905</f>
        <v>0</v>
      </c>
      <c r="Z906" s="18">
        <f>'RW predict'!U905</f>
        <v>0</v>
      </c>
      <c r="AA906" s="18">
        <f>'RW predict'!W905</f>
        <v>0</v>
      </c>
    </row>
    <row r="907" spans="1:27" x14ac:dyDescent="0.3">
      <c r="A907" s="18">
        <v>904</v>
      </c>
      <c r="B907" s="18" t="str">
        <f>'RW predict'!A906</f>
        <v>Igor Shesterkin</v>
      </c>
      <c r="C907" s="18" t="str">
        <f>'RW predict'!B906</f>
        <v>NYR</v>
      </c>
      <c r="D907" s="22" t="str" cm="1">
        <f t="array" ref="D907">_xlfn.SWITCH('RW predict'!C906, "C", "F", "LW","F", "RW", "F", "D", "D", "G", "G", "other")</f>
        <v>G</v>
      </c>
      <c r="E907" s="32">
        <f t="shared" si="28"/>
        <v>3491</v>
      </c>
      <c r="F907" s="35">
        <f>E907/assumptions!$B$2</f>
        <v>42.573170731707314</v>
      </c>
      <c r="G907" s="36">
        <f t="shared" si="29"/>
        <v>15</v>
      </c>
      <c r="H907" s="18">
        <f>IF(NOT(D907="G"),'RW predict'!E906,0)</f>
        <v>0</v>
      </c>
      <c r="I907" s="18">
        <f>'RW predict'!Q906</f>
        <v>0</v>
      </c>
      <c r="J907" s="18">
        <f>'RW predict'!F906</f>
        <v>1</v>
      </c>
      <c r="K907" s="18"/>
      <c r="L907" s="18"/>
      <c r="M907" s="18">
        <f>'RW predict'!P906</f>
        <v>0</v>
      </c>
      <c r="N907" s="18"/>
      <c r="O907" s="18">
        <f>'RW predict'!H906</f>
        <v>0</v>
      </c>
      <c r="P907" s="18">
        <f>'RW predict'!I906</f>
        <v>2</v>
      </c>
      <c r="Q907" s="18">
        <f>'RW predict'!L906</f>
        <v>0</v>
      </c>
      <c r="R907" s="18">
        <f>'RW predict'!N906</f>
        <v>0</v>
      </c>
      <c r="S907" s="76">
        <f>'RW predict'!O906</f>
        <v>0</v>
      </c>
      <c r="T907" s="76">
        <f>'RW predict'!K906</f>
        <v>0</v>
      </c>
      <c r="U907" s="22">
        <f>'RW predict'!J906</f>
        <v>0</v>
      </c>
      <c r="V907" s="32">
        <f>IF(D907="G",'RW predict'!E906,0)</f>
        <v>0</v>
      </c>
      <c r="W907" s="18">
        <f>'RW predict'!R906</f>
        <v>37</v>
      </c>
      <c r="X907" s="18">
        <f>'RW predict'!T906</f>
        <v>4</v>
      </c>
      <c r="Y907" s="18">
        <f>'RW predict'!Y906</f>
        <v>7</v>
      </c>
      <c r="Z907" s="18">
        <f>'RW predict'!U906</f>
        <v>122</v>
      </c>
      <c r="AA907" s="18">
        <f>'RW predict'!W906</f>
        <v>1690</v>
      </c>
    </row>
    <row r="908" spans="1:27" x14ac:dyDescent="0.3">
      <c r="A908" s="18">
        <v>905</v>
      </c>
      <c r="B908" s="18" t="str">
        <f>'RW predict'!A907</f>
        <v>Nick Seeler</v>
      </c>
      <c r="C908" s="18" t="str">
        <f>'RW predict'!B907</f>
        <v>PHI</v>
      </c>
      <c r="D908" s="22" t="str" cm="1">
        <f t="array" ref="D908">_xlfn.SWITCH('RW predict'!C907, "C", "F", "LW","F", "RW", "F", "D", "D", "G", "G", "other")</f>
        <v>D</v>
      </c>
      <c r="E908" s="32">
        <f t="shared" si="28"/>
        <v>77</v>
      </c>
      <c r="F908" s="35">
        <f>E908/assumptions!$B$2</f>
        <v>0.93902439024390238</v>
      </c>
      <c r="G908" s="36">
        <f t="shared" si="29"/>
        <v>945</v>
      </c>
      <c r="H908" s="18">
        <f>IF(NOT(D908="G"),'RW predict'!E907,0)</f>
        <v>0</v>
      </c>
      <c r="I908" s="18">
        <f>'RW predict'!Q907</f>
        <v>11</v>
      </c>
      <c r="J908" s="18">
        <f>'RW predict'!F907</f>
        <v>1</v>
      </c>
      <c r="K908" s="18"/>
      <c r="L908" s="18"/>
      <c r="M908" s="18">
        <f>'RW predict'!P907</f>
        <v>12</v>
      </c>
      <c r="N908" s="18"/>
      <c r="O908" s="18">
        <f>'RW predict'!H907</f>
        <v>-1</v>
      </c>
      <c r="P908" s="18">
        <f>'RW predict'!I907</f>
        <v>6</v>
      </c>
      <c r="Q908" s="18">
        <f>'RW predict'!L907</f>
        <v>0</v>
      </c>
      <c r="R908" s="18">
        <f>'RW predict'!N907</f>
        <v>0</v>
      </c>
      <c r="S908" s="76">
        <f>'RW predict'!O907</f>
        <v>0</v>
      </c>
      <c r="T908" s="76">
        <f>'RW predict'!K907</f>
        <v>0</v>
      </c>
      <c r="U908" s="22">
        <f>'RW predict'!J907</f>
        <v>5</v>
      </c>
      <c r="V908" s="32">
        <f>IF(D908="G",'RW predict'!E907,0)</f>
        <v>0</v>
      </c>
      <c r="W908" s="18">
        <f>'RW predict'!R907</f>
        <v>0</v>
      </c>
      <c r="X908" s="18">
        <f>'RW predict'!T907</f>
        <v>0</v>
      </c>
      <c r="Y908" s="18">
        <f>'RW predict'!Y907</f>
        <v>0</v>
      </c>
      <c r="Z908" s="18">
        <f>'RW predict'!U907</f>
        <v>0</v>
      </c>
      <c r="AA908" s="18">
        <f>'RW predict'!W907</f>
        <v>0</v>
      </c>
    </row>
    <row r="909" spans="1:27" x14ac:dyDescent="0.3">
      <c r="A909" s="18">
        <v>906</v>
      </c>
      <c r="B909" s="18" t="str">
        <f>'RW predict'!A908</f>
        <v>Ethan Prow</v>
      </c>
      <c r="C909" s="18" t="str">
        <f>'RW predict'!B908</f>
        <v>FA</v>
      </c>
      <c r="D909" s="22" t="str" cm="1">
        <f t="array" ref="D909">_xlfn.SWITCH('RW predict'!C908, "C", "F", "LW","F", "RW", "F", "D", "D", "G", "G", "other")</f>
        <v>D</v>
      </c>
      <c r="E909" s="32">
        <f t="shared" si="28"/>
        <v>27</v>
      </c>
      <c r="F909" s="35">
        <f>E909/assumptions!$B$2</f>
        <v>0.32926829268292684</v>
      </c>
      <c r="G909" s="36">
        <f t="shared" si="29"/>
        <v>1021</v>
      </c>
      <c r="H909" s="18">
        <f>IF(NOT(D909="G"),'RW predict'!E908,0)</f>
        <v>1</v>
      </c>
      <c r="I909" s="18">
        <f>'RW predict'!Q908</f>
        <v>3</v>
      </c>
      <c r="J909" s="18">
        <f>'RW predict'!F908</f>
        <v>0</v>
      </c>
      <c r="K909" s="18"/>
      <c r="L909" s="18"/>
      <c r="M909" s="18">
        <f>'RW predict'!P908</f>
        <v>2</v>
      </c>
      <c r="N909" s="18"/>
      <c r="O909" s="18">
        <f>'RW predict'!H908</f>
        <v>-1</v>
      </c>
      <c r="P909" s="18">
        <f>'RW predict'!I908</f>
        <v>0</v>
      </c>
      <c r="Q909" s="18">
        <f>'RW predict'!L908</f>
        <v>0</v>
      </c>
      <c r="R909" s="18">
        <f>'RW predict'!N908</f>
        <v>0</v>
      </c>
      <c r="S909" s="76">
        <f>'RW predict'!O908</f>
        <v>0</v>
      </c>
      <c r="T909" s="76">
        <f>'RW predict'!K908</f>
        <v>0</v>
      </c>
      <c r="U909" s="22">
        <f>'RW predict'!J908</f>
        <v>2</v>
      </c>
      <c r="V909" s="32">
        <f>IF(D909="G",'RW predict'!E908,0)</f>
        <v>0</v>
      </c>
      <c r="W909" s="18">
        <f>'RW predict'!R908</f>
        <v>0</v>
      </c>
      <c r="X909" s="18">
        <f>'RW predict'!T908</f>
        <v>0</v>
      </c>
      <c r="Y909" s="18">
        <f>'RW predict'!Y908</f>
        <v>0</v>
      </c>
      <c r="Z909" s="18">
        <f>'RW predict'!U908</f>
        <v>0</v>
      </c>
      <c r="AA909" s="18">
        <f>'RW predict'!W908</f>
        <v>0</v>
      </c>
    </row>
    <row r="910" spans="1:27" x14ac:dyDescent="0.3">
      <c r="A910" s="18">
        <v>907</v>
      </c>
      <c r="B910" s="18" t="str">
        <f>'RW predict'!A909</f>
        <v>Tanner Laczynski</v>
      </c>
      <c r="C910" s="18" t="str">
        <f>'RW predict'!B909</f>
        <v>PHI</v>
      </c>
      <c r="D910" s="22" t="str" cm="1">
        <f t="array" ref="D910">_xlfn.SWITCH('RW predict'!C909, "C", "F", "LW","F", "RW", "F", "D", "D", "G", "G", "other")</f>
        <v>F</v>
      </c>
      <c r="E910" s="32">
        <f t="shared" si="28"/>
        <v>28</v>
      </c>
      <c r="F910" s="35">
        <f>E910/assumptions!$B$2</f>
        <v>0.34146341463414637</v>
      </c>
      <c r="G910" s="36">
        <f t="shared" si="29"/>
        <v>1017</v>
      </c>
      <c r="H910" s="18">
        <f>IF(NOT(D910="G"),'RW predict'!E909,0)</f>
        <v>0</v>
      </c>
      <c r="I910" s="18">
        <f>'RW predict'!Q909</f>
        <v>5</v>
      </c>
      <c r="J910" s="18">
        <f>'RW predict'!F909</f>
        <v>1</v>
      </c>
      <c r="K910" s="18"/>
      <c r="L910" s="18"/>
      <c r="M910" s="18">
        <f>'RW predict'!P909</f>
        <v>17</v>
      </c>
      <c r="N910" s="18"/>
      <c r="O910" s="18">
        <f>'RW predict'!H909</f>
        <v>-4</v>
      </c>
      <c r="P910" s="18">
        <f>'RW predict'!I909</f>
        <v>0</v>
      </c>
      <c r="Q910" s="18">
        <f>'RW predict'!L909</f>
        <v>0</v>
      </c>
      <c r="R910" s="18">
        <f>'RW predict'!N909</f>
        <v>0</v>
      </c>
      <c r="S910" s="76">
        <f>'RW predict'!O909</f>
        <v>0</v>
      </c>
      <c r="T910" s="76">
        <f>'RW predict'!K909</f>
        <v>0</v>
      </c>
      <c r="U910" s="22">
        <f>'RW predict'!J909</f>
        <v>8</v>
      </c>
      <c r="V910" s="32">
        <f>IF(D910="G",'RW predict'!E909,0)</f>
        <v>0</v>
      </c>
      <c r="W910" s="18">
        <f>'RW predict'!R909</f>
        <v>0</v>
      </c>
      <c r="X910" s="18">
        <f>'RW predict'!T909</f>
        <v>0</v>
      </c>
      <c r="Y910" s="18">
        <f>'RW predict'!Y909</f>
        <v>0</v>
      </c>
      <c r="Z910" s="18">
        <f>'RW predict'!U909</f>
        <v>0</v>
      </c>
      <c r="AA910" s="18">
        <f>'RW predict'!W909</f>
        <v>0</v>
      </c>
    </row>
    <row r="911" spans="1:27" x14ac:dyDescent="0.3">
      <c r="A911" s="18">
        <v>908</v>
      </c>
      <c r="B911" s="18" t="str">
        <f>'RW predict'!A910</f>
        <v>Jacob Moverare</v>
      </c>
      <c r="C911" s="18" t="str">
        <f>'RW predict'!B910</f>
        <v>LA</v>
      </c>
      <c r="D911" s="22" t="str" cm="1">
        <f t="array" ref="D911">_xlfn.SWITCH('RW predict'!C910, "C", "F", "LW","F", "RW", "F", "D", "D", "G", "G", "other")</f>
        <v>D</v>
      </c>
      <c r="E911" s="32">
        <f t="shared" si="28"/>
        <v>80</v>
      </c>
      <c r="F911" s="35">
        <f>E911/assumptions!$B$2</f>
        <v>0.97560975609756095</v>
      </c>
      <c r="G911" s="36">
        <f t="shared" si="29"/>
        <v>941</v>
      </c>
      <c r="H911" s="18">
        <f>IF(NOT(D911="G"),'RW predict'!E910,0)</f>
        <v>0</v>
      </c>
      <c r="I911" s="18">
        <f>'RW predict'!Q910</f>
        <v>9</v>
      </c>
      <c r="J911" s="18">
        <f>'RW predict'!F910</f>
        <v>1</v>
      </c>
      <c r="K911" s="18"/>
      <c r="L911" s="18"/>
      <c r="M911" s="18">
        <f>'RW predict'!P910</f>
        <v>7</v>
      </c>
      <c r="N911" s="18"/>
      <c r="O911" s="18">
        <f>'RW predict'!H910</f>
        <v>1</v>
      </c>
      <c r="P911" s="18">
        <f>'RW predict'!I910</f>
        <v>2</v>
      </c>
      <c r="Q911" s="18">
        <f>'RW predict'!L910</f>
        <v>0</v>
      </c>
      <c r="R911" s="18">
        <f>'RW predict'!N910</f>
        <v>0</v>
      </c>
      <c r="S911" s="76">
        <f>'RW predict'!O910</f>
        <v>0</v>
      </c>
      <c r="T911" s="76">
        <f>'RW predict'!K910</f>
        <v>0</v>
      </c>
      <c r="U911" s="22">
        <f>'RW predict'!J910</f>
        <v>7</v>
      </c>
      <c r="V911" s="32">
        <f>IF(D911="G",'RW predict'!E910,0)</f>
        <v>0</v>
      </c>
      <c r="W911" s="18">
        <f>'RW predict'!R910</f>
        <v>0</v>
      </c>
      <c r="X911" s="18">
        <f>'RW predict'!T910</f>
        <v>0</v>
      </c>
      <c r="Y911" s="18">
        <f>'RW predict'!Y910</f>
        <v>0</v>
      </c>
      <c r="Z911" s="18">
        <f>'RW predict'!U910</f>
        <v>0</v>
      </c>
      <c r="AA911" s="18">
        <f>'RW predict'!W910</f>
        <v>0</v>
      </c>
    </row>
    <row r="912" spans="1:27" x14ac:dyDescent="0.3">
      <c r="A912" s="18">
        <v>909</v>
      </c>
      <c r="B912" s="18" t="str">
        <f>'RW predict'!A911</f>
        <v>Beck Malenstyn</v>
      </c>
      <c r="C912" s="18" t="str">
        <f>'RW predict'!B911</f>
        <v>WAS</v>
      </c>
      <c r="D912" s="22" t="str" cm="1">
        <f t="array" ref="D912">_xlfn.SWITCH('RW predict'!C911, "C", "F", "LW","F", "RW", "F", "D", "D", "G", "G", "other")</f>
        <v>F</v>
      </c>
      <c r="E912" s="32">
        <f t="shared" si="28"/>
        <v>72</v>
      </c>
      <c r="F912" s="35">
        <f>E912/assumptions!$B$2</f>
        <v>0.87804878048780488</v>
      </c>
      <c r="G912" s="36">
        <f t="shared" si="29"/>
        <v>953</v>
      </c>
      <c r="H912" s="18">
        <f>IF(NOT(D912="G"),'RW predict'!E911,0)</f>
        <v>1</v>
      </c>
      <c r="I912" s="18">
        <f>'RW predict'!Q911</f>
        <v>2</v>
      </c>
      <c r="J912" s="18">
        <f>'RW predict'!F911</f>
        <v>0</v>
      </c>
      <c r="K912" s="18"/>
      <c r="L912" s="18"/>
      <c r="M912" s="18">
        <f>'RW predict'!P911</f>
        <v>11</v>
      </c>
      <c r="N912" s="18"/>
      <c r="O912" s="18">
        <f>'RW predict'!H911</f>
        <v>1</v>
      </c>
      <c r="P912" s="18">
        <f>'RW predict'!I911</f>
        <v>4</v>
      </c>
      <c r="Q912" s="18">
        <f>'RW predict'!L911</f>
        <v>0</v>
      </c>
      <c r="R912" s="18">
        <f>'RW predict'!N911</f>
        <v>0</v>
      </c>
      <c r="S912" s="76">
        <f>'RW predict'!O911</f>
        <v>0</v>
      </c>
      <c r="T912" s="76">
        <f>'RW predict'!K911</f>
        <v>0</v>
      </c>
      <c r="U912" s="22">
        <f>'RW predict'!J911</f>
        <v>5</v>
      </c>
      <c r="V912" s="32">
        <f>IF(D912="G",'RW predict'!E911,0)</f>
        <v>0</v>
      </c>
      <c r="W912" s="18">
        <f>'RW predict'!R911</f>
        <v>0</v>
      </c>
      <c r="X912" s="18">
        <f>'RW predict'!T911</f>
        <v>0</v>
      </c>
      <c r="Y912" s="18">
        <f>'RW predict'!Y911</f>
        <v>0</v>
      </c>
      <c r="Z912" s="18">
        <f>'RW predict'!U911</f>
        <v>0</v>
      </c>
      <c r="AA912" s="18">
        <f>'RW predict'!W911</f>
        <v>0</v>
      </c>
    </row>
    <row r="913" spans="1:27" x14ac:dyDescent="0.3">
      <c r="A913" s="18">
        <v>910</v>
      </c>
      <c r="B913" s="18" t="str">
        <f>'RW predict'!A912</f>
        <v>Kasper Bjorkqvist</v>
      </c>
      <c r="C913" s="18" t="str">
        <f>'RW predict'!B912</f>
        <v>PIT</v>
      </c>
      <c r="D913" s="22" t="str" cm="1">
        <f t="array" ref="D913">_xlfn.SWITCH('RW predict'!C912, "C", "F", "LW","F", "RW", "F", "D", "D", "G", "G", "other")</f>
        <v>F</v>
      </c>
      <c r="E913" s="32">
        <f t="shared" si="28"/>
        <v>50</v>
      </c>
      <c r="F913" s="35">
        <f>E913/assumptions!$B$2</f>
        <v>0.6097560975609756</v>
      </c>
      <c r="G913" s="36">
        <f t="shared" si="29"/>
        <v>990</v>
      </c>
      <c r="H913" s="18">
        <f>IF(NOT(D913="G"),'RW predict'!E912,0)</f>
        <v>1</v>
      </c>
      <c r="I913" s="18">
        <f>'RW predict'!Q912</f>
        <v>2</v>
      </c>
      <c r="J913" s="18">
        <f>'RW predict'!F912</f>
        <v>0</v>
      </c>
      <c r="K913" s="18"/>
      <c r="L913" s="18"/>
      <c r="M913" s="18">
        <f>'RW predict'!P912</f>
        <v>9</v>
      </c>
      <c r="N913" s="18"/>
      <c r="O913" s="18">
        <f>'RW predict'!H912</f>
        <v>-1</v>
      </c>
      <c r="P913" s="18">
        <f>'RW predict'!I912</f>
        <v>2</v>
      </c>
      <c r="Q913" s="18">
        <f>'RW predict'!L912</f>
        <v>0</v>
      </c>
      <c r="R913" s="18">
        <f>'RW predict'!N912</f>
        <v>0</v>
      </c>
      <c r="S913" s="76">
        <f>'RW predict'!O912</f>
        <v>0</v>
      </c>
      <c r="T913" s="76">
        <f>'RW predict'!K912</f>
        <v>0</v>
      </c>
      <c r="U913" s="22">
        <f>'RW predict'!J912</f>
        <v>8</v>
      </c>
      <c r="V913" s="32">
        <f>IF(D913="G",'RW predict'!E912,0)</f>
        <v>0</v>
      </c>
      <c r="W913" s="18">
        <f>'RW predict'!R912</f>
        <v>0</v>
      </c>
      <c r="X913" s="18">
        <f>'RW predict'!T912</f>
        <v>0</v>
      </c>
      <c r="Y913" s="18">
        <f>'RW predict'!Y912</f>
        <v>0</v>
      </c>
      <c r="Z913" s="18">
        <f>'RW predict'!U912</f>
        <v>0</v>
      </c>
      <c r="AA913" s="18">
        <f>'RW predict'!W912</f>
        <v>0</v>
      </c>
    </row>
    <row r="914" spans="1:27" x14ac:dyDescent="0.3">
      <c r="A914" s="18">
        <v>911</v>
      </c>
      <c r="B914" s="18" t="str">
        <f>'RW predict'!A913</f>
        <v>Markus Niemelainen</v>
      </c>
      <c r="C914" s="18" t="str">
        <f>'RW predict'!B913</f>
        <v>EDM</v>
      </c>
      <c r="D914" s="22" t="str" cm="1">
        <f t="array" ref="D914">_xlfn.SWITCH('RW predict'!C913, "C", "F", "LW","F", "RW", "F", "D", "D", "G", "G", "other")</f>
        <v>D</v>
      </c>
      <c r="E914" s="32">
        <f t="shared" si="28"/>
        <v>52</v>
      </c>
      <c r="F914" s="35">
        <f>E914/assumptions!$B$2</f>
        <v>0.63414634146341464</v>
      </c>
      <c r="G914" s="36">
        <f t="shared" si="29"/>
        <v>985</v>
      </c>
      <c r="H914" s="18">
        <f>IF(NOT(D914="G"),'RW predict'!E913,0)</f>
        <v>0</v>
      </c>
      <c r="I914" s="18">
        <f>'RW predict'!Q913</f>
        <v>6</v>
      </c>
      <c r="J914" s="18">
        <f>'RW predict'!F913</f>
        <v>1</v>
      </c>
      <c r="K914" s="18"/>
      <c r="L914" s="18"/>
      <c r="M914" s="18">
        <f>'RW predict'!P913</f>
        <v>21</v>
      </c>
      <c r="N914" s="18"/>
      <c r="O914" s="18">
        <f>'RW predict'!H913</f>
        <v>-2</v>
      </c>
      <c r="P914" s="18">
        <f>'RW predict'!I913</f>
        <v>2</v>
      </c>
      <c r="Q914" s="18">
        <f>'RW predict'!L913</f>
        <v>0</v>
      </c>
      <c r="R914" s="18">
        <f>'RW predict'!N913</f>
        <v>0</v>
      </c>
      <c r="S914" s="76">
        <f>'RW predict'!O913</f>
        <v>0</v>
      </c>
      <c r="T914" s="76">
        <f>'RW predict'!K913</f>
        <v>0</v>
      </c>
      <c r="U914" s="22">
        <f>'RW predict'!J913</f>
        <v>4</v>
      </c>
      <c r="V914" s="32">
        <f>IF(D914="G",'RW predict'!E913,0)</f>
        <v>0</v>
      </c>
      <c r="W914" s="18">
        <f>'RW predict'!R913</f>
        <v>0</v>
      </c>
      <c r="X914" s="18">
        <f>'RW predict'!T913</f>
        <v>0</v>
      </c>
      <c r="Y914" s="18">
        <f>'RW predict'!Y913</f>
        <v>0</v>
      </c>
      <c r="Z914" s="18">
        <f>'RW predict'!U913</f>
        <v>0</v>
      </c>
      <c r="AA914" s="18">
        <f>'RW predict'!W913</f>
        <v>0</v>
      </c>
    </row>
    <row r="915" spans="1:27" x14ac:dyDescent="0.3">
      <c r="A915" s="18">
        <v>912</v>
      </c>
      <c r="B915" s="18" t="str">
        <f>'RW predict'!A914</f>
        <v>Lucas Johansen</v>
      </c>
      <c r="C915" s="18" t="str">
        <f>'RW predict'!B914</f>
        <v>WAS</v>
      </c>
      <c r="D915" s="22" t="str" cm="1">
        <f t="array" ref="D915">_xlfn.SWITCH('RW predict'!C914, "C", "F", "LW","F", "RW", "F", "D", "D", "G", "G", "other")</f>
        <v>D</v>
      </c>
      <c r="E915" s="32">
        <f t="shared" si="28"/>
        <v>53</v>
      </c>
      <c r="F915" s="35">
        <f>E915/assumptions!$B$2</f>
        <v>0.64634146341463417</v>
      </c>
      <c r="G915" s="36">
        <f t="shared" si="29"/>
        <v>983</v>
      </c>
      <c r="H915" s="18">
        <f>IF(NOT(D915="G"),'RW predict'!E914,0)</f>
        <v>0</v>
      </c>
      <c r="I915" s="18">
        <f>'RW predict'!Q914</f>
        <v>3</v>
      </c>
      <c r="J915" s="18">
        <f>'RW predict'!F914</f>
        <v>1</v>
      </c>
      <c r="K915" s="18"/>
      <c r="L915" s="18"/>
      <c r="M915" s="18">
        <f>'RW predict'!P914</f>
        <v>2</v>
      </c>
      <c r="N915" s="18"/>
      <c r="O915" s="18">
        <f>'RW predict'!H914</f>
        <v>1</v>
      </c>
      <c r="P915" s="18">
        <f>'RW predict'!I914</f>
        <v>2</v>
      </c>
      <c r="Q915" s="18">
        <f>'RW predict'!L914</f>
        <v>0</v>
      </c>
      <c r="R915" s="18">
        <f>'RW predict'!N914</f>
        <v>0</v>
      </c>
      <c r="S915" s="76">
        <f>'RW predict'!O914</f>
        <v>0</v>
      </c>
      <c r="T915" s="76">
        <f>'RW predict'!K914</f>
        <v>0</v>
      </c>
      <c r="U915" s="22">
        <f>'RW predict'!J914</f>
        <v>2</v>
      </c>
      <c r="V915" s="32">
        <f>IF(D915="G",'RW predict'!E914,0)</f>
        <v>0</v>
      </c>
      <c r="W915" s="18">
        <f>'RW predict'!R914</f>
        <v>0</v>
      </c>
      <c r="X915" s="18">
        <f>'RW predict'!T914</f>
        <v>0</v>
      </c>
      <c r="Y915" s="18">
        <f>'RW predict'!Y914</f>
        <v>0</v>
      </c>
      <c r="Z915" s="18">
        <f>'RW predict'!U914</f>
        <v>0</v>
      </c>
      <c r="AA915" s="18">
        <f>'RW predict'!W914</f>
        <v>0</v>
      </c>
    </row>
    <row r="916" spans="1:27" x14ac:dyDescent="0.3">
      <c r="A916" s="18">
        <v>913</v>
      </c>
      <c r="B916" s="18" t="str">
        <f>'RW predict'!A915</f>
        <v>Libor Hajek</v>
      </c>
      <c r="C916" s="18" t="str">
        <f>'RW predict'!B915</f>
        <v>NYR</v>
      </c>
      <c r="D916" s="22" t="str" cm="1">
        <f t="array" ref="D916">_xlfn.SWITCH('RW predict'!C915, "C", "F", "LW","F", "RW", "F", "D", "D", "G", "G", "other")</f>
        <v>D</v>
      </c>
      <c r="E916" s="32">
        <f t="shared" si="28"/>
        <v>63</v>
      </c>
      <c r="F916" s="35">
        <f>E916/assumptions!$B$2</f>
        <v>0.76829268292682928</v>
      </c>
      <c r="G916" s="36">
        <f t="shared" si="29"/>
        <v>965</v>
      </c>
      <c r="H916" s="18">
        <f>IF(NOT(D916="G"),'RW predict'!E915,0)</f>
        <v>0</v>
      </c>
      <c r="I916" s="18">
        <f>'RW predict'!Q915</f>
        <v>16</v>
      </c>
      <c r="J916" s="18">
        <f>'RW predict'!F915</f>
        <v>1</v>
      </c>
      <c r="K916" s="18"/>
      <c r="L916" s="18"/>
      <c r="M916" s="18">
        <f>'RW predict'!P915</f>
        <v>8</v>
      </c>
      <c r="N916" s="18"/>
      <c r="O916" s="18">
        <f>'RW predict'!H915</f>
        <v>-3</v>
      </c>
      <c r="P916" s="18">
        <f>'RW predict'!I915</f>
        <v>4</v>
      </c>
      <c r="Q916" s="18">
        <f>'RW predict'!L915</f>
        <v>0</v>
      </c>
      <c r="R916" s="18">
        <f>'RW predict'!N915</f>
        <v>0</v>
      </c>
      <c r="S916" s="76">
        <f>'RW predict'!O915</f>
        <v>0</v>
      </c>
      <c r="T916" s="76">
        <f>'RW predict'!K915</f>
        <v>0</v>
      </c>
      <c r="U916" s="22">
        <f>'RW predict'!J915</f>
        <v>8</v>
      </c>
      <c r="V916" s="32">
        <f>IF(D916="G",'RW predict'!E915,0)</f>
        <v>0</v>
      </c>
      <c r="W916" s="18">
        <f>'RW predict'!R915</f>
        <v>0</v>
      </c>
      <c r="X916" s="18">
        <f>'RW predict'!T915</f>
        <v>0</v>
      </c>
      <c r="Y916" s="18">
        <f>'RW predict'!Y915</f>
        <v>0</v>
      </c>
      <c r="Z916" s="18">
        <f>'RW predict'!U915</f>
        <v>0</v>
      </c>
      <c r="AA916" s="18">
        <f>'RW predict'!W915</f>
        <v>0</v>
      </c>
    </row>
    <row r="917" spans="1:27" x14ac:dyDescent="0.3">
      <c r="A917" s="18">
        <v>914</v>
      </c>
      <c r="B917" s="18" t="str">
        <f>'RW predict'!A916</f>
        <v>Carter Hart</v>
      </c>
      <c r="C917" s="18" t="str">
        <f>'RW predict'!B916</f>
        <v>PHI</v>
      </c>
      <c r="D917" s="22" t="str" cm="1">
        <f t="array" ref="D917">_xlfn.SWITCH('RW predict'!C916, "C", "F", "LW","F", "RW", "F", "D", "D", "G", "G", "other")</f>
        <v>G</v>
      </c>
      <c r="E917" s="32">
        <f t="shared" si="28"/>
        <v>1755</v>
      </c>
      <c r="F917" s="35">
        <f>E917/assumptions!$B$2</f>
        <v>21.402439024390244</v>
      </c>
      <c r="G917" s="36">
        <f t="shared" si="29"/>
        <v>213</v>
      </c>
      <c r="H917" s="18">
        <f>IF(NOT(D917="G"),'RW predict'!E916,0)</f>
        <v>0</v>
      </c>
      <c r="I917" s="18">
        <f>'RW predict'!Q916</f>
        <v>0</v>
      </c>
      <c r="J917" s="18">
        <f>'RW predict'!F916</f>
        <v>1</v>
      </c>
      <c r="K917" s="18"/>
      <c r="L917" s="18"/>
      <c r="M917" s="18">
        <f>'RW predict'!P916</f>
        <v>0</v>
      </c>
      <c r="N917" s="18"/>
      <c r="O917" s="18">
        <f>'RW predict'!H916</f>
        <v>0</v>
      </c>
      <c r="P917" s="18">
        <f>'RW predict'!I916</f>
        <v>0</v>
      </c>
      <c r="Q917" s="18">
        <f>'RW predict'!L916</f>
        <v>0</v>
      </c>
      <c r="R917" s="18">
        <f>'RW predict'!N916</f>
        <v>0</v>
      </c>
      <c r="S917" s="76">
        <f>'RW predict'!O916</f>
        <v>0</v>
      </c>
      <c r="T917" s="76">
        <f>'RW predict'!K916</f>
        <v>0</v>
      </c>
      <c r="U917" s="22">
        <f>'RW predict'!J916</f>
        <v>0</v>
      </c>
      <c r="V917" s="32">
        <f>IF(D917="G",'RW predict'!E916,0)</f>
        <v>0</v>
      </c>
      <c r="W917" s="18">
        <f>'RW predict'!R916</f>
        <v>18</v>
      </c>
      <c r="X917" s="18">
        <f>'RW predict'!T916</f>
        <v>7</v>
      </c>
      <c r="Y917" s="18">
        <f>'RW predict'!Y916</f>
        <v>2</v>
      </c>
      <c r="Z917" s="18">
        <f>'RW predict'!U916</f>
        <v>152</v>
      </c>
      <c r="AA917" s="18">
        <f>'RW predict'!W916</f>
        <v>1525</v>
      </c>
    </row>
    <row r="918" spans="1:27" x14ac:dyDescent="0.3">
      <c r="A918" s="18">
        <v>915</v>
      </c>
      <c r="B918" s="18" t="str">
        <f>'RW predict'!A917</f>
        <v>Victor Mete</v>
      </c>
      <c r="C918" s="18" t="str">
        <f>'RW predict'!B917</f>
        <v>TOR</v>
      </c>
      <c r="D918" s="22" t="str" cm="1">
        <f t="array" ref="D918">_xlfn.SWITCH('RW predict'!C917, "C", "F", "LW","F", "RW", "F", "D", "D", "G", "G", "other")</f>
        <v>D</v>
      </c>
      <c r="E918" s="32">
        <f t="shared" si="28"/>
        <v>37</v>
      </c>
      <c r="F918" s="35">
        <f>E918/assumptions!$B$2</f>
        <v>0.45121951219512196</v>
      </c>
      <c r="G918" s="36">
        <f t="shared" si="29"/>
        <v>1008</v>
      </c>
      <c r="H918" s="18">
        <f>IF(NOT(D918="G"),'RW predict'!E917,0)</f>
        <v>0</v>
      </c>
      <c r="I918" s="18">
        <f>'RW predict'!Q917</f>
        <v>7</v>
      </c>
      <c r="J918" s="18">
        <f>'RW predict'!F917</f>
        <v>1</v>
      </c>
      <c r="K918" s="18"/>
      <c r="L918" s="18"/>
      <c r="M918" s="18">
        <f>'RW predict'!P917</f>
        <v>2</v>
      </c>
      <c r="N918" s="18"/>
      <c r="O918" s="18">
        <f>'RW predict'!H917</f>
        <v>-2</v>
      </c>
      <c r="P918" s="18">
        <f>'RW predict'!I917</f>
        <v>2</v>
      </c>
      <c r="Q918" s="18">
        <f>'RW predict'!L917</f>
        <v>0</v>
      </c>
      <c r="R918" s="18">
        <f>'RW predict'!N917</f>
        <v>0</v>
      </c>
      <c r="S918" s="76">
        <f>'RW predict'!O917</f>
        <v>0</v>
      </c>
      <c r="T918" s="76">
        <f>'RW predict'!K917</f>
        <v>0</v>
      </c>
      <c r="U918" s="22">
        <f>'RW predict'!J917</f>
        <v>5</v>
      </c>
      <c r="V918" s="32">
        <f>IF(D918="G",'RW predict'!E917,0)</f>
        <v>0</v>
      </c>
      <c r="W918" s="18">
        <f>'RW predict'!R917</f>
        <v>0</v>
      </c>
      <c r="X918" s="18">
        <f>'RW predict'!T917</f>
        <v>0</v>
      </c>
      <c r="Y918" s="18">
        <f>'RW predict'!Y917</f>
        <v>0</v>
      </c>
      <c r="Z918" s="18">
        <f>'RW predict'!U917</f>
        <v>0</v>
      </c>
      <c r="AA918" s="18">
        <f>'RW predict'!W917</f>
        <v>0</v>
      </c>
    </row>
    <row r="919" spans="1:27" x14ac:dyDescent="0.3">
      <c r="A919" s="18">
        <v>916</v>
      </c>
      <c r="B919" s="18" t="str">
        <f>'RW predict'!A918</f>
        <v>Calle Rosen</v>
      </c>
      <c r="C919" s="18" t="str">
        <f>'RW predict'!B918</f>
        <v>STL</v>
      </c>
      <c r="D919" s="22" t="str" cm="1">
        <f t="array" ref="D919">_xlfn.SWITCH('RW predict'!C918, "C", "F", "LW","F", "RW", "F", "D", "D", "G", "G", "other")</f>
        <v>D</v>
      </c>
      <c r="E919" s="32">
        <f t="shared" si="28"/>
        <v>44</v>
      </c>
      <c r="F919" s="35">
        <f>E919/assumptions!$B$2</f>
        <v>0.53658536585365857</v>
      </c>
      <c r="G919" s="36">
        <f t="shared" si="29"/>
        <v>1001</v>
      </c>
      <c r="H919" s="18">
        <f>IF(NOT(D919="G"),'RW predict'!E918,0)</f>
        <v>0</v>
      </c>
      <c r="I919" s="18">
        <f>'RW predict'!Q918</f>
        <v>3</v>
      </c>
      <c r="J919" s="18">
        <f>'RW predict'!F918</f>
        <v>1</v>
      </c>
      <c r="K919" s="18"/>
      <c r="L919" s="18"/>
      <c r="M919" s="18">
        <f>'RW predict'!P918</f>
        <v>1</v>
      </c>
      <c r="N919" s="18"/>
      <c r="O919" s="18">
        <f>'RW predict'!H918</f>
        <v>0</v>
      </c>
      <c r="P919" s="18">
        <f>'RW predict'!I918</f>
        <v>2</v>
      </c>
      <c r="Q919" s="18">
        <f>'RW predict'!L918</f>
        <v>0</v>
      </c>
      <c r="R919" s="18">
        <f>'RW predict'!N918</f>
        <v>0</v>
      </c>
      <c r="S919" s="76">
        <f>'RW predict'!O918</f>
        <v>0</v>
      </c>
      <c r="T919" s="76">
        <f>'RW predict'!K918</f>
        <v>0</v>
      </c>
      <c r="U919" s="22">
        <f>'RW predict'!J918</f>
        <v>3</v>
      </c>
      <c r="V919" s="32">
        <f>IF(D919="G",'RW predict'!E918,0)</f>
        <v>0</v>
      </c>
      <c r="W919" s="18">
        <f>'RW predict'!R918</f>
        <v>0</v>
      </c>
      <c r="X919" s="18">
        <f>'RW predict'!T918</f>
        <v>0</v>
      </c>
      <c r="Y919" s="18">
        <f>'RW predict'!Y918</f>
        <v>0</v>
      </c>
      <c r="Z919" s="18">
        <f>'RW predict'!U918</f>
        <v>0</v>
      </c>
      <c r="AA919" s="18">
        <f>'RW predict'!W918</f>
        <v>0</v>
      </c>
    </row>
    <row r="920" spans="1:27" x14ac:dyDescent="0.3">
      <c r="A920" s="18">
        <v>917</v>
      </c>
      <c r="B920" s="18" t="str">
        <f>'RW predict'!A919</f>
        <v>Aleksi Heponiemi</v>
      </c>
      <c r="C920" s="18" t="str">
        <f>'RW predict'!B919</f>
        <v>FLA</v>
      </c>
      <c r="D920" s="22" t="str" cm="1">
        <f t="array" ref="D920">_xlfn.SWITCH('RW predict'!C919, "C", "F", "LW","F", "RW", "F", "D", "D", "G", "G", "other")</f>
        <v>F</v>
      </c>
      <c r="E920" s="32">
        <f t="shared" si="28"/>
        <v>27</v>
      </c>
      <c r="F920" s="35">
        <f>E920/assumptions!$B$2</f>
        <v>0.32926829268292684</v>
      </c>
      <c r="G920" s="36">
        <f t="shared" si="29"/>
        <v>1021</v>
      </c>
      <c r="H920" s="18">
        <f>IF(NOT(D920="G"),'RW predict'!E919,0)</f>
        <v>0</v>
      </c>
      <c r="I920" s="18">
        <f>'RW predict'!Q919</f>
        <v>1</v>
      </c>
      <c r="J920" s="18">
        <f>'RW predict'!F919</f>
        <v>1</v>
      </c>
      <c r="K920" s="18"/>
      <c r="L920" s="18"/>
      <c r="M920" s="18">
        <f>'RW predict'!P919</f>
        <v>0</v>
      </c>
      <c r="N920" s="18"/>
      <c r="O920" s="18">
        <f>'RW predict'!H919</f>
        <v>-2</v>
      </c>
      <c r="P920" s="18">
        <f>'RW predict'!I919</f>
        <v>2</v>
      </c>
      <c r="Q920" s="18">
        <f>'RW predict'!L919</f>
        <v>0</v>
      </c>
      <c r="R920" s="18">
        <f>'RW predict'!N919</f>
        <v>0</v>
      </c>
      <c r="S920" s="76">
        <f>'RW predict'!O919</f>
        <v>0</v>
      </c>
      <c r="T920" s="76">
        <f>'RW predict'!K919</f>
        <v>0</v>
      </c>
      <c r="U920" s="22">
        <f>'RW predict'!J919</f>
        <v>7</v>
      </c>
      <c r="V920" s="32">
        <f>IF(D920="G",'RW predict'!E919,0)</f>
        <v>0</v>
      </c>
      <c r="W920" s="18">
        <f>'RW predict'!R919</f>
        <v>0</v>
      </c>
      <c r="X920" s="18">
        <f>'RW predict'!T919</f>
        <v>0</v>
      </c>
      <c r="Y920" s="18">
        <f>'RW predict'!Y919</f>
        <v>0</v>
      </c>
      <c r="Z920" s="18">
        <f>'RW predict'!U919</f>
        <v>0</v>
      </c>
      <c r="AA920" s="18">
        <f>'RW predict'!W919</f>
        <v>0</v>
      </c>
    </row>
    <row r="921" spans="1:27" x14ac:dyDescent="0.3">
      <c r="A921" s="18">
        <v>918</v>
      </c>
      <c r="B921" s="18" t="str">
        <f>'RW predict'!A920</f>
        <v>Grant Mismash</v>
      </c>
      <c r="C921" s="18" t="str">
        <f>'RW predict'!B920</f>
        <v>TB</v>
      </c>
      <c r="D921" s="22" t="str" cm="1">
        <f t="array" ref="D921">_xlfn.SWITCH('RW predict'!C920, "C", "F", "LW","F", "RW", "F", "D", "D", "G", "G", "other")</f>
        <v>F</v>
      </c>
      <c r="E921" s="32">
        <f t="shared" si="28"/>
        <v>48</v>
      </c>
      <c r="F921" s="35">
        <f>E921/assumptions!$B$2</f>
        <v>0.58536585365853655</v>
      </c>
      <c r="G921" s="36">
        <f t="shared" si="29"/>
        <v>992</v>
      </c>
      <c r="H921" s="18">
        <f>IF(NOT(D921="G"),'RW predict'!E920,0)</f>
        <v>0</v>
      </c>
      <c r="I921" s="18">
        <f>'RW predict'!Q920</f>
        <v>3</v>
      </c>
      <c r="J921" s="18">
        <f>'RW predict'!F920</f>
        <v>1</v>
      </c>
      <c r="K921" s="18"/>
      <c r="L921" s="18"/>
      <c r="M921" s="18">
        <f>'RW predict'!P920</f>
        <v>17</v>
      </c>
      <c r="N921" s="18"/>
      <c r="O921" s="18">
        <f>'RW predict'!H920</f>
        <v>-3</v>
      </c>
      <c r="P921" s="18">
        <f>'RW predict'!I920</f>
        <v>6</v>
      </c>
      <c r="Q921" s="18">
        <f>'RW predict'!L920</f>
        <v>0</v>
      </c>
      <c r="R921" s="18">
        <f>'RW predict'!N920</f>
        <v>0</v>
      </c>
      <c r="S921" s="76">
        <f>'RW predict'!O920</f>
        <v>0</v>
      </c>
      <c r="T921" s="76">
        <f>'RW predict'!K920</f>
        <v>0</v>
      </c>
      <c r="U921" s="22">
        <f>'RW predict'!J920</f>
        <v>6</v>
      </c>
      <c r="V921" s="32">
        <f>IF(D921="G",'RW predict'!E920,0)</f>
        <v>0</v>
      </c>
      <c r="W921" s="18">
        <f>'RW predict'!R920</f>
        <v>0</v>
      </c>
      <c r="X921" s="18">
        <f>'RW predict'!T920</f>
        <v>0</v>
      </c>
      <c r="Y921" s="18">
        <f>'RW predict'!Y920</f>
        <v>0</v>
      </c>
      <c r="Z921" s="18">
        <f>'RW predict'!U920</f>
        <v>0</v>
      </c>
      <c r="AA921" s="18">
        <f>'RW predict'!W920</f>
        <v>0</v>
      </c>
    </row>
    <row r="922" spans="1:27" x14ac:dyDescent="0.3">
      <c r="A922" s="18">
        <v>919</v>
      </c>
      <c r="B922" s="18" t="str">
        <f>'RW predict'!A921</f>
        <v>Christian Wolanin</v>
      </c>
      <c r="C922" s="18" t="str">
        <f>'RW predict'!B921</f>
        <v>VAN</v>
      </c>
      <c r="D922" s="22" t="str" cm="1">
        <f t="array" ref="D922">_xlfn.SWITCH('RW predict'!C921, "C", "F", "LW","F", "RW", "F", "D", "D", "G", "G", "other")</f>
        <v>D</v>
      </c>
      <c r="E922" s="32">
        <f t="shared" si="28"/>
        <v>59</v>
      </c>
      <c r="F922" s="35">
        <f>E922/assumptions!$B$2</f>
        <v>0.71951219512195119</v>
      </c>
      <c r="G922" s="36">
        <f t="shared" si="29"/>
        <v>970</v>
      </c>
      <c r="H922" s="18">
        <f>IF(NOT(D922="G"),'RW predict'!E921,0)</f>
        <v>0</v>
      </c>
      <c r="I922" s="18">
        <f>'RW predict'!Q921</f>
        <v>8</v>
      </c>
      <c r="J922" s="18">
        <f>'RW predict'!F921</f>
        <v>1</v>
      </c>
      <c r="K922" s="18"/>
      <c r="L922" s="18"/>
      <c r="M922" s="18">
        <f>'RW predict'!P921</f>
        <v>4</v>
      </c>
      <c r="N922" s="18"/>
      <c r="O922" s="18">
        <f>'RW predict'!H921</f>
        <v>-1</v>
      </c>
      <c r="P922" s="18">
        <f>'RW predict'!I921</f>
        <v>4</v>
      </c>
      <c r="Q922" s="18">
        <f>'RW predict'!L921</f>
        <v>0</v>
      </c>
      <c r="R922" s="18">
        <f>'RW predict'!N921</f>
        <v>0</v>
      </c>
      <c r="S922" s="76">
        <f>'RW predict'!O921</f>
        <v>0</v>
      </c>
      <c r="T922" s="76">
        <f>'RW predict'!K921</f>
        <v>0</v>
      </c>
      <c r="U922" s="22">
        <f>'RW predict'!J921</f>
        <v>6</v>
      </c>
      <c r="V922" s="32">
        <f>IF(D922="G",'RW predict'!E921,0)</f>
        <v>0</v>
      </c>
      <c r="W922" s="18">
        <f>'RW predict'!R921</f>
        <v>0</v>
      </c>
      <c r="X922" s="18">
        <f>'RW predict'!T921</f>
        <v>0</v>
      </c>
      <c r="Y922" s="18">
        <f>'RW predict'!Y921</f>
        <v>0</v>
      </c>
      <c r="Z922" s="18">
        <f>'RW predict'!U921</f>
        <v>0</v>
      </c>
      <c r="AA922" s="18">
        <f>'RW predict'!W921</f>
        <v>0</v>
      </c>
    </row>
    <row r="923" spans="1:27" x14ac:dyDescent="0.3">
      <c r="A923" s="18">
        <v>920</v>
      </c>
      <c r="B923" s="18" t="str">
        <f>'RW predict'!A922</f>
        <v>Jordan Gross</v>
      </c>
      <c r="C923" s="18" t="str">
        <f>'RW predict'!B922</f>
        <v>NSH</v>
      </c>
      <c r="D923" s="22" t="str" cm="1">
        <f t="array" ref="D923">_xlfn.SWITCH('RW predict'!C922, "C", "F", "LW","F", "RW", "F", "D", "D", "G", "G", "other")</f>
        <v>D</v>
      </c>
      <c r="E923" s="32">
        <f t="shared" si="28"/>
        <v>34</v>
      </c>
      <c r="F923" s="35">
        <f>E923/assumptions!$B$2</f>
        <v>0.41463414634146339</v>
      </c>
      <c r="G923" s="36">
        <f t="shared" si="29"/>
        <v>1011</v>
      </c>
      <c r="H923" s="18">
        <f>IF(NOT(D923="G"),'RW predict'!E922,0)</f>
        <v>0</v>
      </c>
      <c r="I923" s="18">
        <f>'RW predict'!Q922</f>
        <v>3</v>
      </c>
      <c r="J923" s="18">
        <f>'RW predict'!F922</f>
        <v>1</v>
      </c>
      <c r="K923" s="18"/>
      <c r="L923" s="18"/>
      <c r="M923" s="18">
        <f>'RW predict'!P922</f>
        <v>3</v>
      </c>
      <c r="N923" s="18"/>
      <c r="O923" s="18">
        <f>'RW predict'!H922</f>
        <v>-2</v>
      </c>
      <c r="P923" s="18">
        <f>'RW predict'!I922</f>
        <v>4</v>
      </c>
      <c r="Q923" s="18">
        <f>'RW predict'!L922</f>
        <v>0</v>
      </c>
      <c r="R923" s="18">
        <f>'RW predict'!N922</f>
        <v>0</v>
      </c>
      <c r="S923" s="76">
        <f>'RW predict'!O922</f>
        <v>0</v>
      </c>
      <c r="T923" s="76">
        <f>'RW predict'!K922</f>
        <v>0</v>
      </c>
      <c r="U923" s="22">
        <f>'RW predict'!J922</f>
        <v>4</v>
      </c>
      <c r="V923" s="32">
        <f>IF(D923="G",'RW predict'!E922,0)</f>
        <v>0</v>
      </c>
      <c r="W923" s="18">
        <f>'RW predict'!R922</f>
        <v>0</v>
      </c>
      <c r="X923" s="18">
        <f>'RW predict'!T922</f>
        <v>0</v>
      </c>
      <c r="Y923" s="18">
        <f>'RW predict'!Y922</f>
        <v>0</v>
      </c>
      <c r="Z923" s="18">
        <f>'RW predict'!U922</f>
        <v>0</v>
      </c>
      <c r="AA923" s="18">
        <f>'RW predict'!W922</f>
        <v>0</v>
      </c>
    </row>
    <row r="924" spans="1:27" x14ac:dyDescent="0.3">
      <c r="A924" s="18">
        <v>921</v>
      </c>
      <c r="B924" s="18" t="str">
        <f>'RW predict'!A923</f>
        <v>Jayden Halbgewachs</v>
      </c>
      <c r="C924" s="18" t="str">
        <f>'RW predict'!B923</f>
        <v>FA</v>
      </c>
      <c r="D924" s="22" t="str" cm="1">
        <f t="array" ref="D924">_xlfn.SWITCH('RW predict'!C923, "C", "F", "LW","F", "RW", "F", "D", "D", "G", "G", "other")</f>
        <v>F</v>
      </c>
      <c r="E924" s="32">
        <f t="shared" si="28"/>
        <v>64</v>
      </c>
      <c r="F924" s="35">
        <f>E924/assumptions!$B$2</f>
        <v>0.78048780487804881</v>
      </c>
      <c r="G924" s="36">
        <f t="shared" si="29"/>
        <v>964</v>
      </c>
      <c r="H924" s="18">
        <f>IF(NOT(D924="G"),'RW predict'!E923,0)</f>
        <v>0</v>
      </c>
      <c r="I924" s="18">
        <f>'RW predict'!Q923</f>
        <v>0</v>
      </c>
      <c r="J924" s="18">
        <f>'RW predict'!F923</f>
        <v>1</v>
      </c>
      <c r="K924" s="18"/>
      <c r="L924" s="18"/>
      <c r="M924" s="18">
        <f>'RW predict'!P923</f>
        <v>3</v>
      </c>
      <c r="N924" s="18"/>
      <c r="O924" s="18">
        <f>'RW predict'!H923</f>
        <v>1</v>
      </c>
      <c r="P924" s="18">
        <f>'RW predict'!I923</f>
        <v>4</v>
      </c>
      <c r="Q924" s="18">
        <f>'RW predict'!L923</f>
        <v>0</v>
      </c>
      <c r="R924" s="18">
        <f>'RW predict'!N923</f>
        <v>0</v>
      </c>
      <c r="S924" s="76">
        <f>'RW predict'!O923</f>
        <v>0</v>
      </c>
      <c r="T924" s="76">
        <f>'RW predict'!K923</f>
        <v>0</v>
      </c>
      <c r="U924" s="22">
        <f>'RW predict'!J923</f>
        <v>7</v>
      </c>
      <c r="V924" s="32">
        <f>IF(D924="G",'RW predict'!E923,0)</f>
        <v>0</v>
      </c>
      <c r="W924" s="18">
        <f>'RW predict'!R923</f>
        <v>0</v>
      </c>
      <c r="X924" s="18">
        <f>'RW predict'!T923</f>
        <v>0</v>
      </c>
      <c r="Y924" s="18">
        <f>'RW predict'!Y923</f>
        <v>0</v>
      </c>
      <c r="Z924" s="18">
        <f>'RW predict'!U923</f>
        <v>0</v>
      </c>
      <c r="AA924" s="18">
        <f>'RW predict'!W923</f>
        <v>0</v>
      </c>
    </row>
    <row r="925" spans="1:27" x14ac:dyDescent="0.3">
      <c r="A925" s="18">
        <v>922</v>
      </c>
      <c r="B925" s="18" t="str">
        <f>'RW predict'!A924</f>
        <v>Kevin Lankinen</v>
      </c>
      <c r="C925" s="18" t="str">
        <f>'RW predict'!B924</f>
        <v>NSH</v>
      </c>
      <c r="D925" s="22" t="str" cm="1">
        <f t="array" ref="D925">_xlfn.SWITCH('RW predict'!C924, "C", "F", "LW","F", "RW", "F", "D", "D", "G", "G", "other")</f>
        <v>G</v>
      </c>
      <c r="E925" s="32">
        <f t="shared" si="28"/>
        <v>627</v>
      </c>
      <c r="F925" s="35">
        <f>E925/assumptions!$B$2</f>
        <v>7.6463414634146343</v>
      </c>
      <c r="G925" s="36">
        <f t="shared" si="29"/>
        <v>625</v>
      </c>
      <c r="H925" s="18">
        <f>IF(NOT(D925="G"),'RW predict'!E924,0)</f>
        <v>0</v>
      </c>
      <c r="I925" s="18">
        <f>'RW predict'!Q924</f>
        <v>0</v>
      </c>
      <c r="J925" s="18">
        <f>'RW predict'!F924</f>
        <v>1</v>
      </c>
      <c r="K925" s="18"/>
      <c r="L925" s="18"/>
      <c r="M925" s="18">
        <f>'RW predict'!P924</f>
        <v>0</v>
      </c>
      <c r="N925" s="18"/>
      <c r="O925" s="18">
        <f>'RW predict'!H924</f>
        <v>0</v>
      </c>
      <c r="P925" s="18">
        <f>'RW predict'!I924</f>
        <v>0</v>
      </c>
      <c r="Q925" s="18">
        <f>'RW predict'!L924</f>
        <v>0</v>
      </c>
      <c r="R925" s="18">
        <f>'RW predict'!N924</f>
        <v>0</v>
      </c>
      <c r="S925" s="76">
        <f>'RW predict'!O924</f>
        <v>0</v>
      </c>
      <c r="T925" s="76">
        <f>'RW predict'!K924</f>
        <v>0</v>
      </c>
      <c r="U925" s="22">
        <f>'RW predict'!J924</f>
        <v>0</v>
      </c>
      <c r="V925" s="32">
        <f>IF(D925="G",'RW predict'!E924,0)</f>
        <v>0</v>
      </c>
      <c r="W925" s="18">
        <f>'RW predict'!R924</f>
        <v>8</v>
      </c>
      <c r="X925" s="18">
        <f>'RW predict'!T924</f>
        <v>2</v>
      </c>
      <c r="Y925" s="18">
        <f>'RW predict'!Y924</f>
        <v>1</v>
      </c>
      <c r="Z925" s="18">
        <f>'RW predict'!U924</f>
        <v>66</v>
      </c>
      <c r="AA925" s="18">
        <f>'RW predict'!W924</f>
        <v>591</v>
      </c>
    </row>
    <row r="926" spans="1:27" x14ac:dyDescent="0.3">
      <c r="A926" s="18">
        <v>923</v>
      </c>
      <c r="B926" s="18" t="str">
        <f>'RW predict'!A925</f>
        <v>Declan Chisholm</v>
      </c>
      <c r="C926" s="18" t="str">
        <f>'RW predict'!B925</f>
        <v>WPG</v>
      </c>
      <c r="D926" s="22" t="str" cm="1">
        <f t="array" ref="D926">_xlfn.SWITCH('RW predict'!C925, "C", "F", "LW","F", "RW", "F", "D", "D", "G", "G", "other")</f>
        <v>D</v>
      </c>
      <c r="E926" s="32">
        <f t="shared" si="28"/>
        <v>95</v>
      </c>
      <c r="F926" s="35">
        <f>E926/assumptions!$B$2</f>
        <v>1.1585365853658536</v>
      </c>
      <c r="G926" s="36">
        <f t="shared" si="29"/>
        <v>921</v>
      </c>
      <c r="H926" s="18">
        <f>IF(NOT(D926="G"),'RW predict'!E925,0)</f>
        <v>0</v>
      </c>
      <c r="I926" s="18">
        <f>'RW predict'!Q925</f>
        <v>5</v>
      </c>
      <c r="J926" s="18">
        <f>'RW predict'!F925</f>
        <v>1</v>
      </c>
      <c r="K926" s="18"/>
      <c r="L926" s="18"/>
      <c r="M926" s="18">
        <f>'RW predict'!P925</f>
        <v>5</v>
      </c>
      <c r="N926" s="18"/>
      <c r="O926" s="18">
        <f>'RW predict'!H925</f>
        <v>1</v>
      </c>
      <c r="P926" s="18">
        <f>'RW predict'!I925</f>
        <v>3</v>
      </c>
      <c r="Q926" s="18">
        <f>'RW predict'!L925</f>
        <v>0</v>
      </c>
      <c r="R926" s="18">
        <f>'RW predict'!N925</f>
        <v>0</v>
      </c>
      <c r="S926" s="76">
        <f>'RW predict'!O925</f>
        <v>0</v>
      </c>
      <c r="T926" s="76">
        <f>'RW predict'!K925</f>
        <v>0</v>
      </c>
      <c r="U926" s="22">
        <f>'RW predict'!J925</f>
        <v>18</v>
      </c>
      <c r="V926" s="32">
        <f>IF(D926="G",'RW predict'!E925,0)</f>
        <v>0</v>
      </c>
      <c r="W926" s="18">
        <f>'RW predict'!R925</f>
        <v>0</v>
      </c>
      <c r="X926" s="18">
        <f>'RW predict'!T925</f>
        <v>0</v>
      </c>
      <c r="Y926" s="18">
        <f>'RW predict'!Y925</f>
        <v>0</v>
      </c>
      <c r="Z926" s="18">
        <f>'RW predict'!U925</f>
        <v>0</v>
      </c>
      <c r="AA926" s="18">
        <f>'RW predict'!W925</f>
        <v>0</v>
      </c>
    </row>
    <row r="927" spans="1:27" x14ac:dyDescent="0.3">
      <c r="A927" s="18">
        <v>924</v>
      </c>
      <c r="B927" s="18" t="str">
        <f>'RW predict'!A926</f>
        <v>Jalen Chatfield</v>
      </c>
      <c r="C927" s="18" t="str">
        <f>'RW predict'!B926</f>
        <v>CAR</v>
      </c>
      <c r="D927" s="22" t="str" cm="1">
        <f t="array" ref="D927">_xlfn.SWITCH('RW predict'!C926, "C", "F", "LW","F", "RW", "F", "D", "D", "G", "G", "other")</f>
        <v>D</v>
      </c>
      <c r="E927" s="32">
        <f t="shared" si="28"/>
        <v>82</v>
      </c>
      <c r="F927" s="35">
        <f>E927/assumptions!$B$2</f>
        <v>1</v>
      </c>
      <c r="G927" s="36">
        <f t="shared" si="29"/>
        <v>937</v>
      </c>
      <c r="H927" s="18">
        <f>IF(NOT(D927="G"),'RW predict'!E926,0)</f>
        <v>0</v>
      </c>
      <c r="I927" s="18">
        <f>'RW predict'!Q926</f>
        <v>7</v>
      </c>
      <c r="J927" s="18">
        <f>'RW predict'!F926</f>
        <v>1</v>
      </c>
      <c r="K927" s="18"/>
      <c r="L927" s="18"/>
      <c r="M927" s="18">
        <f>'RW predict'!P926</f>
        <v>13</v>
      </c>
      <c r="N927" s="18"/>
      <c r="O927" s="18">
        <f>'RW predict'!H926</f>
        <v>0</v>
      </c>
      <c r="P927" s="18">
        <f>'RW predict'!I926</f>
        <v>4</v>
      </c>
      <c r="Q927" s="18">
        <f>'RW predict'!L926</f>
        <v>0</v>
      </c>
      <c r="R927" s="18">
        <f>'RW predict'!N926</f>
        <v>0</v>
      </c>
      <c r="S927" s="76">
        <f>'RW predict'!O926</f>
        <v>0</v>
      </c>
      <c r="T927" s="76">
        <f>'RW predict'!K926</f>
        <v>0</v>
      </c>
      <c r="U927" s="22">
        <f>'RW predict'!J926</f>
        <v>9</v>
      </c>
      <c r="V927" s="32">
        <f>IF(D927="G",'RW predict'!E926,0)</f>
        <v>0</v>
      </c>
      <c r="W927" s="18">
        <f>'RW predict'!R926</f>
        <v>0</v>
      </c>
      <c r="X927" s="18">
        <f>'RW predict'!T926</f>
        <v>0</v>
      </c>
      <c r="Y927" s="18">
        <f>'RW predict'!Y926</f>
        <v>0</v>
      </c>
      <c r="Z927" s="18">
        <f>'RW predict'!U926</f>
        <v>0</v>
      </c>
      <c r="AA927" s="18">
        <f>'RW predict'!W926</f>
        <v>0</v>
      </c>
    </row>
    <row r="928" spans="1:27" x14ac:dyDescent="0.3">
      <c r="A928" s="18">
        <v>925</v>
      </c>
      <c r="B928" s="18" t="str">
        <f>'RW predict'!A927</f>
        <v>Sheldon Dries</v>
      </c>
      <c r="C928" s="18" t="str">
        <f>'RW predict'!B927</f>
        <v>VAN</v>
      </c>
      <c r="D928" s="22" t="str" cm="1">
        <f t="array" ref="D928">_xlfn.SWITCH('RW predict'!C927, "C", "F", "LW","F", "RW", "F", "D", "D", "G", "G", "other")</f>
        <v>F</v>
      </c>
      <c r="E928" s="32">
        <f t="shared" si="28"/>
        <v>39</v>
      </c>
      <c r="F928" s="35">
        <f>E928/assumptions!$B$2</f>
        <v>0.47560975609756095</v>
      </c>
      <c r="G928" s="36">
        <f t="shared" si="29"/>
        <v>1005</v>
      </c>
      <c r="H928" s="18">
        <f>IF(NOT(D928="G"),'RW predict'!E927,0)</f>
        <v>1</v>
      </c>
      <c r="I928" s="18">
        <f>'RW predict'!Q927</f>
        <v>2</v>
      </c>
      <c r="J928" s="18">
        <f>'RW predict'!F927</f>
        <v>0</v>
      </c>
      <c r="K928" s="18"/>
      <c r="L928" s="18"/>
      <c r="M928" s="18">
        <f>'RW predict'!P927</f>
        <v>4</v>
      </c>
      <c r="N928" s="18"/>
      <c r="O928" s="18">
        <f>'RW predict'!H927</f>
        <v>-1</v>
      </c>
      <c r="P928" s="18">
        <f>'RW predict'!I927</f>
        <v>2</v>
      </c>
      <c r="Q928" s="18">
        <f>'RW predict'!L927</f>
        <v>0</v>
      </c>
      <c r="R928" s="18">
        <f>'RW predict'!N927</f>
        <v>0</v>
      </c>
      <c r="S928" s="76">
        <f>'RW predict'!O927</f>
        <v>0</v>
      </c>
      <c r="T928" s="76">
        <f>'RW predict'!K927</f>
        <v>0</v>
      </c>
      <c r="U928" s="22">
        <f>'RW predict'!J927</f>
        <v>5</v>
      </c>
      <c r="V928" s="32">
        <f>IF(D928="G",'RW predict'!E927,0)</f>
        <v>0</v>
      </c>
      <c r="W928" s="18">
        <f>'RW predict'!R927</f>
        <v>0</v>
      </c>
      <c r="X928" s="18">
        <f>'RW predict'!T927</f>
        <v>0</v>
      </c>
      <c r="Y928" s="18">
        <f>'RW predict'!Y927</f>
        <v>0</v>
      </c>
      <c r="Z928" s="18">
        <f>'RW predict'!U927</f>
        <v>0</v>
      </c>
      <c r="AA928" s="18">
        <f>'RW predict'!W927</f>
        <v>0</v>
      </c>
    </row>
    <row r="929" spans="1:27" x14ac:dyDescent="0.3">
      <c r="A929" s="18">
        <v>926</v>
      </c>
      <c r="B929" s="18" t="str">
        <f>'RW predict'!A928</f>
        <v>Grigori Denisenko</v>
      </c>
      <c r="C929" s="18" t="str">
        <f>'RW predict'!B928</f>
        <v>FLA</v>
      </c>
      <c r="D929" s="22" t="str" cm="1">
        <f t="array" ref="D929">_xlfn.SWITCH('RW predict'!C928, "C", "F", "LW","F", "RW", "F", "D", "D", "G", "G", "other")</f>
        <v>F</v>
      </c>
      <c r="E929" s="32">
        <f t="shared" si="28"/>
        <v>55</v>
      </c>
      <c r="F929" s="35">
        <f>E929/assumptions!$B$2</f>
        <v>0.67073170731707321</v>
      </c>
      <c r="G929" s="36">
        <f t="shared" si="29"/>
        <v>979</v>
      </c>
      <c r="H929" s="18">
        <f>IF(NOT(D929="G"),'RW predict'!E928,0)</f>
        <v>0</v>
      </c>
      <c r="I929" s="18">
        <f>'RW predict'!Q928</f>
        <v>1</v>
      </c>
      <c r="J929" s="18">
        <f>'RW predict'!F928</f>
        <v>1</v>
      </c>
      <c r="K929" s="18"/>
      <c r="L929" s="18"/>
      <c r="M929" s="18">
        <f>'RW predict'!P928</f>
        <v>4</v>
      </c>
      <c r="N929" s="18"/>
      <c r="O929" s="18">
        <f>'RW predict'!H928</f>
        <v>1</v>
      </c>
      <c r="P929" s="18">
        <f>'RW predict'!I928</f>
        <v>2</v>
      </c>
      <c r="Q929" s="18">
        <f>'RW predict'!L928</f>
        <v>0</v>
      </c>
      <c r="R929" s="18">
        <f>'RW predict'!N928</f>
        <v>0</v>
      </c>
      <c r="S929" s="76">
        <f>'RW predict'!O928</f>
        <v>0</v>
      </c>
      <c r="T929" s="76">
        <f>'RW predict'!K928</f>
        <v>0</v>
      </c>
      <c r="U929" s="22">
        <f>'RW predict'!J928</f>
        <v>4</v>
      </c>
      <c r="V929" s="32">
        <f>IF(D929="G",'RW predict'!E928,0)</f>
        <v>0</v>
      </c>
      <c r="W929" s="18">
        <f>'RW predict'!R928</f>
        <v>0</v>
      </c>
      <c r="X929" s="18">
        <f>'RW predict'!T928</f>
        <v>0</v>
      </c>
      <c r="Y929" s="18">
        <f>'RW predict'!Y928</f>
        <v>0</v>
      </c>
      <c r="Z929" s="18">
        <f>'RW predict'!U928</f>
        <v>0</v>
      </c>
      <c r="AA929" s="18">
        <f>'RW predict'!W928</f>
        <v>0</v>
      </c>
    </row>
    <row r="930" spans="1:27" x14ac:dyDescent="0.3">
      <c r="A930" s="18">
        <v>927</v>
      </c>
      <c r="B930" s="18" t="str">
        <f>'RW predict'!A929</f>
        <v>Victor Soderstrom</v>
      </c>
      <c r="C930" s="18" t="str">
        <f>'RW predict'!B929</f>
        <v>ARI</v>
      </c>
      <c r="D930" s="22" t="str" cm="1">
        <f t="array" ref="D930">_xlfn.SWITCH('RW predict'!C929, "C", "F", "LW","F", "RW", "F", "D", "D", "G", "G", "other")</f>
        <v>D</v>
      </c>
      <c r="E930" s="32">
        <f t="shared" si="28"/>
        <v>46</v>
      </c>
      <c r="F930" s="35">
        <f>E930/assumptions!$B$2</f>
        <v>0.56097560975609762</v>
      </c>
      <c r="G930" s="36">
        <f t="shared" si="29"/>
        <v>997</v>
      </c>
      <c r="H930" s="18">
        <f>IF(NOT(D930="G"),'RW predict'!E929,0)</f>
        <v>0</v>
      </c>
      <c r="I930" s="18">
        <f>'RW predict'!Q929</f>
        <v>8</v>
      </c>
      <c r="J930" s="18">
        <f>'RW predict'!F929</f>
        <v>1</v>
      </c>
      <c r="K930" s="18"/>
      <c r="L930" s="18"/>
      <c r="M930" s="18">
        <f>'RW predict'!P929</f>
        <v>5</v>
      </c>
      <c r="N930" s="18"/>
      <c r="O930" s="18">
        <f>'RW predict'!H929</f>
        <v>-2</v>
      </c>
      <c r="P930" s="18">
        <f>'RW predict'!I929</f>
        <v>2</v>
      </c>
      <c r="Q930" s="18">
        <f>'RW predict'!L929</f>
        <v>0</v>
      </c>
      <c r="R930" s="18">
        <f>'RW predict'!N929</f>
        <v>0</v>
      </c>
      <c r="S930" s="76">
        <f>'RW predict'!O929</f>
        <v>0</v>
      </c>
      <c r="T930" s="76">
        <f>'RW predict'!K929</f>
        <v>0</v>
      </c>
      <c r="U930" s="22">
        <f>'RW predict'!J929</f>
        <v>7</v>
      </c>
      <c r="V930" s="32">
        <f>IF(D930="G",'RW predict'!E929,0)</f>
        <v>0</v>
      </c>
      <c r="W930" s="18">
        <f>'RW predict'!R929</f>
        <v>0</v>
      </c>
      <c r="X930" s="18">
        <f>'RW predict'!T929</f>
        <v>0</v>
      </c>
      <c r="Y930" s="18">
        <f>'RW predict'!Y929</f>
        <v>0</v>
      </c>
      <c r="Z930" s="18">
        <f>'RW predict'!U929</f>
        <v>0</v>
      </c>
      <c r="AA930" s="18">
        <f>'RW predict'!W929</f>
        <v>0</v>
      </c>
    </row>
    <row r="931" spans="1:27" x14ac:dyDescent="0.3">
      <c r="A931" s="18">
        <v>928</v>
      </c>
      <c r="B931" s="18" t="str">
        <f>'RW predict'!A930</f>
        <v>Cole Schwindt</v>
      </c>
      <c r="C931" s="18" t="str">
        <f>'RW predict'!B930</f>
        <v>CGY</v>
      </c>
      <c r="D931" s="22" t="str" cm="1">
        <f t="array" ref="D931">_xlfn.SWITCH('RW predict'!C930, "C", "F", "LW","F", "RW", "F", "D", "D", "G", "G", "other")</f>
        <v>F</v>
      </c>
      <c r="E931" s="32">
        <f t="shared" si="28"/>
        <v>34</v>
      </c>
      <c r="F931" s="35">
        <f>E931/assumptions!$B$2</f>
        <v>0.41463414634146339</v>
      </c>
      <c r="G931" s="36">
        <f t="shared" si="29"/>
        <v>1011</v>
      </c>
      <c r="H931" s="18">
        <f>IF(NOT(D931="G"),'RW predict'!E930,0)</f>
        <v>0</v>
      </c>
      <c r="I931" s="18">
        <f>'RW predict'!Q930</f>
        <v>3</v>
      </c>
      <c r="J931" s="18">
        <f>'RW predict'!F930</f>
        <v>1</v>
      </c>
      <c r="K931" s="18"/>
      <c r="L931" s="18"/>
      <c r="M931" s="18">
        <f>'RW predict'!P930</f>
        <v>13</v>
      </c>
      <c r="N931" s="18"/>
      <c r="O931" s="18">
        <f>'RW predict'!H930</f>
        <v>-4</v>
      </c>
      <c r="P931" s="18">
        <f>'RW predict'!I930</f>
        <v>4</v>
      </c>
      <c r="Q931" s="18">
        <f>'RW predict'!L930</f>
        <v>0</v>
      </c>
      <c r="R931" s="18">
        <f>'RW predict'!N930</f>
        <v>0</v>
      </c>
      <c r="S931" s="76">
        <f>'RW predict'!O930</f>
        <v>0</v>
      </c>
      <c r="T931" s="76">
        <f>'RW predict'!K930</f>
        <v>0</v>
      </c>
      <c r="U931" s="22">
        <f>'RW predict'!J930</f>
        <v>9</v>
      </c>
      <c r="V931" s="32">
        <f>IF(D931="G",'RW predict'!E930,0)</f>
        <v>0</v>
      </c>
      <c r="W931" s="18">
        <f>'RW predict'!R930</f>
        <v>0</v>
      </c>
      <c r="X931" s="18">
        <f>'RW predict'!T930</f>
        <v>0</v>
      </c>
      <c r="Y931" s="18">
        <f>'RW predict'!Y930</f>
        <v>0</v>
      </c>
      <c r="Z931" s="18">
        <f>'RW predict'!U930</f>
        <v>0</v>
      </c>
      <c r="AA931" s="18">
        <f>'RW predict'!W930</f>
        <v>0</v>
      </c>
    </row>
    <row r="932" spans="1:27" x14ac:dyDescent="0.3">
      <c r="A932" s="18">
        <v>929</v>
      </c>
      <c r="B932" s="18" t="str">
        <f>'RW predict'!A931</f>
        <v>Nikolai Knyzhov</v>
      </c>
      <c r="C932" s="18" t="str">
        <f>'RW predict'!B931</f>
        <v>SJ</v>
      </c>
      <c r="D932" s="22" t="str" cm="1">
        <f t="array" ref="D932">_xlfn.SWITCH('RW predict'!C931, "C", "F", "LW","F", "RW", "F", "D", "D", "G", "G", "other")</f>
        <v>D</v>
      </c>
      <c r="E932" s="32">
        <f t="shared" si="28"/>
        <v>53</v>
      </c>
      <c r="F932" s="35">
        <f>E932/assumptions!$B$2</f>
        <v>0.64634146341463417</v>
      </c>
      <c r="G932" s="36">
        <f t="shared" si="29"/>
        <v>983</v>
      </c>
      <c r="H932" s="18">
        <f>IF(NOT(D932="G"),'RW predict'!E931,0)</f>
        <v>0</v>
      </c>
      <c r="I932" s="18">
        <f>'RW predict'!Q931</f>
        <v>7</v>
      </c>
      <c r="J932" s="18">
        <f>'RW predict'!F931</f>
        <v>1</v>
      </c>
      <c r="K932" s="18"/>
      <c r="L932" s="18"/>
      <c r="M932" s="18">
        <f>'RW predict'!P931</f>
        <v>10</v>
      </c>
      <c r="N932" s="18"/>
      <c r="O932" s="18">
        <f>'RW predict'!H931</f>
        <v>-2</v>
      </c>
      <c r="P932" s="18">
        <f>'RW predict'!I931</f>
        <v>4</v>
      </c>
      <c r="Q932" s="18">
        <f>'RW predict'!L931</f>
        <v>0</v>
      </c>
      <c r="R932" s="18">
        <f>'RW predict'!N931</f>
        <v>0</v>
      </c>
      <c r="S932" s="76">
        <f>'RW predict'!O931</f>
        <v>0</v>
      </c>
      <c r="T932" s="76">
        <f>'RW predict'!K931</f>
        <v>0</v>
      </c>
      <c r="U932" s="22">
        <f>'RW predict'!J931</f>
        <v>6</v>
      </c>
      <c r="V932" s="32">
        <f>IF(D932="G",'RW predict'!E931,0)</f>
        <v>0</v>
      </c>
      <c r="W932" s="18">
        <f>'RW predict'!R931</f>
        <v>0</v>
      </c>
      <c r="X932" s="18">
        <f>'RW predict'!T931</f>
        <v>0</v>
      </c>
      <c r="Y932" s="18">
        <f>'RW predict'!Y931</f>
        <v>0</v>
      </c>
      <c r="Z932" s="18">
        <f>'RW predict'!U931</f>
        <v>0</v>
      </c>
      <c r="AA932" s="18">
        <f>'RW predict'!W931</f>
        <v>0</v>
      </c>
    </row>
    <row r="933" spans="1:27" x14ac:dyDescent="0.3">
      <c r="A933" s="18">
        <v>930</v>
      </c>
      <c r="B933" s="18" t="str">
        <f>'RW predict'!A932</f>
        <v>Taro Hirose</v>
      </c>
      <c r="C933" s="18" t="str">
        <f>'RW predict'!B932</f>
        <v>DET</v>
      </c>
      <c r="D933" s="22" t="str" cm="1">
        <f t="array" ref="D933">_xlfn.SWITCH('RW predict'!C932, "C", "F", "LW","F", "RW", "F", "D", "D", "G", "G", "other")</f>
        <v>F</v>
      </c>
      <c r="E933" s="32">
        <f t="shared" si="28"/>
        <v>18</v>
      </c>
      <c r="F933" s="35">
        <f>E933/assumptions!$B$2</f>
        <v>0.21951219512195122</v>
      </c>
      <c r="G933" s="36">
        <f t="shared" si="29"/>
        <v>1040</v>
      </c>
      <c r="H933" s="18">
        <f>IF(NOT(D933="G"),'RW predict'!E932,0)</f>
        <v>0</v>
      </c>
      <c r="I933" s="18">
        <f>'RW predict'!Q932</f>
        <v>1</v>
      </c>
      <c r="J933" s="18">
        <f>'RW predict'!F932</f>
        <v>1</v>
      </c>
      <c r="K933" s="18"/>
      <c r="L933" s="18"/>
      <c r="M933" s="18">
        <f>'RW predict'!P932</f>
        <v>3</v>
      </c>
      <c r="N933" s="18"/>
      <c r="O933" s="18">
        <f>'RW predict'!H932</f>
        <v>-2</v>
      </c>
      <c r="P933" s="18">
        <f>'RW predict'!I932</f>
        <v>0</v>
      </c>
      <c r="Q933" s="18">
        <f>'RW predict'!L932</f>
        <v>0</v>
      </c>
      <c r="R933" s="18">
        <f>'RW predict'!N932</f>
        <v>0</v>
      </c>
      <c r="S933" s="76">
        <f>'RW predict'!O932</f>
        <v>0</v>
      </c>
      <c r="T933" s="76">
        <f>'RW predict'!K932</f>
        <v>0</v>
      </c>
      <c r="U933" s="22">
        <f>'RW predict'!J932</f>
        <v>4</v>
      </c>
      <c r="V933" s="32">
        <f>IF(D933="G",'RW predict'!E932,0)</f>
        <v>0</v>
      </c>
      <c r="W933" s="18">
        <f>'RW predict'!R932</f>
        <v>0</v>
      </c>
      <c r="X933" s="18">
        <f>'RW predict'!T932</f>
        <v>0</v>
      </c>
      <c r="Y933" s="18">
        <f>'RW predict'!Y932</f>
        <v>0</v>
      </c>
      <c r="Z933" s="18">
        <f>'RW predict'!U932</f>
        <v>0</v>
      </c>
      <c r="AA933" s="18">
        <f>'RW predict'!W932</f>
        <v>0</v>
      </c>
    </row>
    <row r="934" spans="1:27" x14ac:dyDescent="0.3">
      <c r="A934" s="18">
        <v>931</v>
      </c>
      <c r="B934" s="18" t="str">
        <f>'RW predict'!A933</f>
        <v>Joe Snively</v>
      </c>
      <c r="C934" s="18" t="str">
        <f>'RW predict'!B933</f>
        <v>WAS</v>
      </c>
      <c r="D934" s="22" t="str" cm="1">
        <f t="array" ref="D934">_xlfn.SWITCH('RW predict'!C933, "C", "F", "LW","F", "RW", "F", "D", "D", "G", "G", "other")</f>
        <v>F</v>
      </c>
      <c r="E934" s="32">
        <f t="shared" si="28"/>
        <v>55</v>
      </c>
      <c r="F934" s="35">
        <f>E934/assumptions!$B$2</f>
        <v>0.67073170731707321</v>
      </c>
      <c r="G934" s="36">
        <f t="shared" si="29"/>
        <v>979</v>
      </c>
      <c r="H934" s="18">
        <f>IF(NOT(D934="G"),'RW predict'!E933,0)</f>
        <v>0</v>
      </c>
      <c r="I934" s="18">
        <f>'RW predict'!Q933</f>
        <v>1</v>
      </c>
      <c r="J934" s="18">
        <f>'RW predict'!F933</f>
        <v>1</v>
      </c>
      <c r="K934" s="18"/>
      <c r="L934" s="18"/>
      <c r="M934" s="18">
        <f>'RW predict'!P933</f>
        <v>2</v>
      </c>
      <c r="N934" s="18"/>
      <c r="O934" s="18">
        <f>'RW predict'!H933</f>
        <v>1</v>
      </c>
      <c r="P934" s="18">
        <f>'RW predict'!I933</f>
        <v>2</v>
      </c>
      <c r="Q934" s="18">
        <f>'RW predict'!L933</f>
        <v>0</v>
      </c>
      <c r="R934" s="18">
        <f>'RW predict'!N933</f>
        <v>0</v>
      </c>
      <c r="S934" s="76">
        <f>'RW predict'!O933</f>
        <v>0</v>
      </c>
      <c r="T934" s="76">
        <f>'RW predict'!K933</f>
        <v>0</v>
      </c>
      <c r="U934" s="22">
        <f>'RW predict'!J933</f>
        <v>5</v>
      </c>
      <c r="V934" s="32">
        <f>IF(D934="G",'RW predict'!E933,0)</f>
        <v>0</v>
      </c>
      <c r="W934" s="18">
        <f>'RW predict'!R933</f>
        <v>0</v>
      </c>
      <c r="X934" s="18">
        <f>'RW predict'!T933</f>
        <v>0</v>
      </c>
      <c r="Y934" s="18">
        <f>'RW predict'!Y933</f>
        <v>0</v>
      </c>
      <c r="Z934" s="18">
        <f>'RW predict'!U933</f>
        <v>0</v>
      </c>
      <c r="AA934" s="18">
        <f>'RW predict'!W933</f>
        <v>0</v>
      </c>
    </row>
    <row r="935" spans="1:27" x14ac:dyDescent="0.3">
      <c r="A935" s="18">
        <v>932</v>
      </c>
      <c r="B935" s="18" t="str">
        <f>'RW predict'!A934</f>
        <v>Rhett Gardner</v>
      </c>
      <c r="C935" s="18" t="str">
        <f>'RW predict'!B934</f>
        <v>DAL</v>
      </c>
      <c r="D935" s="22" t="str" cm="1">
        <f t="array" ref="D935">_xlfn.SWITCH('RW predict'!C934, "C", "F", "LW","F", "RW", "F", "D", "D", "G", "G", "other")</f>
        <v>F</v>
      </c>
      <c r="E935" s="32">
        <f t="shared" si="28"/>
        <v>27</v>
      </c>
      <c r="F935" s="35">
        <f>E935/assumptions!$B$2</f>
        <v>0.32926829268292684</v>
      </c>
      <c r="G935" s="36">
        <f t="shared" si="29"/>
        <v>1021</v>
      </c>
      <c r="H935" s="18">
        <f>IF(NOT(D935="G"),'RW predict'!E934,0)</f>
        <v>0</v>
      </c>
      <c r="I935" s="18">
        <f>'RW predict'!Q934</f>
        <v>3</v>
      </c>
      <c r="J935" s="18">
        <f>'RW predict'!F934</f>
        <v>1</v>
      </c>
      <c r="K935" s="18"/>
      <c r="L935" s="18"/>
      <c r="M935" s="18">
        <f>'RW predict'!P934</f>
        <v>18</v>
      </c>
      <c r="N935" s="18"/>
      <c r="O935" s="18">
        <f>'RW predict'!H934</f>
        <v>-5</v>
      </c>
      <c r="P935" s="18">
        <f>'RW predict'!I934</f>
        <v>4</v>
      </c>
      <c r="Q935" s="18">
        <f>'RW predict'!L934</f>
        <v>0</v>
      </c>
      <c r="R935" s="18">
        <f>'RW predict'!N934</f>
        <v>0</v>
      </c>
      <c r="S935" s="76">
        <f>'RW predict'!O934</f>
        <v>0</v>
      </c>
      <c r="T935" s="76">
        <f>'RW predict'!K934</f>
        <v>0</v>
      </c>
      <c r="U935" s="22">
        <f>'RW predict'!J934</f>
        <v>8</v>
      </c>
      <c r="V935" s="32">
        <f>IF(D935="G",'RW predict'!E934,0)</f>
        <v>0</v>
      </c>
      <c r="W935" s="18">
        <f>'RW predict'!R934</f>
        <v>0</v>
      </c>
      <c r="X935" s="18">
        <f>'RW predict'!T934</f>
        <v>0</v>
      </c>
      <c r="Y935" s="18">
        <f>'RW predict'!Y934</f>
        <v>0</v>
      </c>
      <c r="Z935" s="18">
        <f>'RW predict'!U934</f>
        <v>0</v>
      </c>
      <c r="AA935" s="18">
        <f>'RW predict'!W934</f>
        <v>0</v>
      </c>
    </row>
    <row r="936" spans="1:27" x14ac:dyDescent="0.3">
      <c r="A936" s="18">
        <v>933</v>
      </c>
      <c r="B936" s="18" t="str">
        <f>'RW predict'!A935</f>
        <v>Grant Hutton</v>
      </c>
      <c r="C936" s="18" t="str">
        <f>'RW predict'!B935</f>
        <v>NYI</v>
      </c>
      <c r="D936" s="22" t="str" cm="1">
        <f t="array" ref="D936">_xlfn.SWITCH('RW predict'!C935, "C", "F", "LW","F", "RW", "F", "D", "D", "G", "G", "other")</f>
        <v>D</v>
      </c>
      <c r="E936" s="32">
        <f t="shared" si="28"/>
        <v>97</v>
      </c>
      <c r="F936" s="35">
        <f>E936/assumptions!$B$2</f>
        <v>1.1829268292682926</v>
      </c>
      <c r="G936" s="36">
        <f t="shared" si="29"/>
        <v>918</v>
      </c>
      <c r="H936" s="18">
        <f>IF(NOT(D936="G"),'RW predict'!E935,0)</f>
        <v>0</v>
      </c>
      <c r="I936" s="18">
        <f>'RW predict'!Q935</f>
        <v>15</v>
      </c>
      <c r="J936" s="18">
        <f>'RW predict'!F935</f>
        <v>1</v>
      </c>
      <c r="K936" s="18"/>
      <c r="L936" s="18"/>
      <c r="M936" s="18">
        <f>'RW predict'!P935</f>
        <v>18</v>
      </c>
      <c r="N936" s="18"/>
      <c r="O936" s="18">
        <f>'RW predict'!H935</f>
        <v>-4</v>
      </c>
      <c r="P936" s="18">
        <f>'RW predict'!I935</f>
        <v>4</v>
      </c>
      <c r="Q936" s="18">
        <f>'RW predict'!L935</f>
        <v>0</v>
      </c>
      <c r="R936" s="18">
        <f>'RW predict'!N935</f>
        <v>0</v>
      </c>
      <c r="S936" s="76">
        <f>'RW predict'!O935</f>
        <v>0</v>
      </c>
      <c r="T936" s="76">
        <f>'RW predict'!K935</f>
        <v>0</v>
      </c>
      <c r="U936" s="22">
        <f>'RW predict'!J935</f>
        <v>26</v>
      </c>
      <c r="V936" s="32">
        <f>IF(D936="G",'RW predict'!E935,0)</f>
        <v>0</v>
      </c>
      <c r="W936" s="18">
        <f>'RW predict'!R935</f>
        <v>0</v>
      </c>
      <c r="X936" s="18">
        <f>'RW predict'!T935</f>
        <v>0</v>
      </c>
      <c r="Y936" s="18">
        <f>'RW predict'!Y935</f>
        <v>0</v>
      </c>
      <c r="Z936" s="18">
        <f>'RW predict'!U935</f>
        <v>0</v>
      </c>
      <c r="AA936" s="18">
        <f>'RW predict'!W935</f>
        <v>0</v>
      </c>
    </row>
    <row r="937" spans="1:27" x14ac:dyDescent="0.3">
      <c r="A937" s="18">
        <v>934</v>
      </c>
      <c r="B937" s="18" t="str">
        <f>'RW predict'!A936</f>
        <v>Joel Hofer</v>
      </c>
      <c r="C937" s="18" t="str">
        <f>'RW predict'!B936</f>
        <v>STL</v>
      </c>
      <c r="D937" s="22" t="str" cm="1">
        <f t="array" ref="D937">_xlfn.SWITCH('RW predict'!C936, "C", "F", "LW","F", "RW", "F", "D", "D", "G", "G", "other")</f>
        <v>G</v>
      </c>
      <c r="E937" s="32">
        <f t="shared" si="28"/>
        <v>84</v>
      </c>
      <c r="F937" s="35">
        <f>E937/assumptions!$B$2</f>
        <v>1.024390243902439</v>
      </c>
      <c r="G937" s="36">
        <f t="shared" si="29"/>
        <v>933</v>
      </c>
      <c r="H937" s="18">
        <f>IF(NOT(D937="G"),'RW predict'!E936,0)</f>
        <v>0</v>
      </c>
      <c r="I937" s="18">
        <f>'RW predict'!Q936</f>
        <v>0</v>
      </c>
      <c r="J937" s="18">
        <f>'RW predict'!F936</f>
        <v>1</v>
      </c>
      <c r="K937" s="18"/>
      <c r="L937" s="18"/>
      <c r="M937" s="18">
        <f>'RW predict'!P936</f>
        <v>0</v>
      </c>
      <c r="N937" s="18"/>
      <c r="O937" s="18">
        <f>'RW predict'!H936</f>
        <v>0</v>
      </c>
      <c r="P937" s="18">
        <f>'RW predict'!I936</f>
        <v>0</v>
      </c>
      <c r="Q937" s="18">
        <f>'RW predict'!L936</f>
        <v>0</v>
      </c>
      <c r="R937" s="18">
        <f>'RW predict'!N936</f>
        <v>0</v>
      </c>
      <c r="S937" s="76">
        <f>'RW predict'!O936</f>
        <v>0</v>
      </c>
      <c r="T937" s="76">
        <f>'RW predict'!K936</f>
        <v>0</v>
      </c>
      <c r="U937" s="22">
        <f>'RW predict'!J936</f>
        <v>0</v>
      </c>
      <c r="V937" s="32">
        <f>IF(D937="G",'RW predict'!E936,0)</f>
        <v>0</v>
      </c>
      <c r="W937" s="18">
        <f>'RW predict'!R936</f>
        <v>1</v>
      </c>
      <c r="X937" s="18">
        <f>'RW predict'!T936</f>
        <v>0</v>
      </c>
      <c r="Y937" s="18">
        <f>'RW predict'!Y936</f>
        <v>0</v>
      </c>
      <c r="Z937" s="18">
        <f>'RW predict'!U936</f>
        <v>5</v>
      </c>
      <c r="AA937" s="18">
        <f>'RW predict'!W936</f>
        <v>47</v>
      </c>
    </row>
    <row r="938" spans="1:27" x14ac:dyDescent="0.3">
      <c r="A938" s="18">
        <v>935</v>
      </c>
      <c r="B938" s="18" t="str">
        <f>'RW predict'!A937</f>
        <v>Viktor Lodin</v>
      </c>
      <c r="C938" s="18" t="str">
        <f>'RW predict'!B937</f>
        <v>OTT</v>
      </c>
      <c r="D938" s="22" t="str" cm="1">
        <f t="array" ref="D938">_xlfn.SWITCH('RW predict'!C937, "C", "F", "LW","F", "RW", "F", "D", "D", "G", "G", "other")</f>
        <v>F</v>
      </c>
      <c r="E938" s="32">
        <f t="shared" si="28"/>
        <v>78</v>
      </c>
      <c r="F938" s="35">
        <f>E938/assumptions!$B$2</f>
        <v>0.95121951219512191</v>
      </c>
      <c r="G938" s="36">
        <f t="shared" si="29"/>
        <v>943</v>
      </c>
      <c r="H938" s="18">
        <f>IF(NOT(D938="G"),'RW predict'!E937,0)</f>
        <v>0</v>
      </c>
      <c r="I938" s="18">
        <f>'RW predict'!Q937</f>
        <v>0</v>
      </c>
      <c r="J938" s="18">
        <f>'RW predict'!F937</f>
        <v>1</v>
      </c>
      <c r="K938" s="18"/>
      <c r="L938" s="18"/>
      <c r="M938" s="18">
        <f>'RW predict'!P937</f>
        <v>4</v>
      </c>
      <c r="N938" s="18"/>
      <c r="O938" s="18">
        <f>'RW predict'!H937</f>
        <v>1</v>
      </c>
      <c r="P938" s="18">
        <f>'RW predict'!I937</f>
        <v>3</v>
      </c>
      <c r="Q938" s="18">
        <f>'RW predict'!L937</f>
        <v>0</v>
      </c>
      <c r="R938" s="18">
        <f>'RW predict'!N937</f>
        <v>0</v>
      </c>
      <c r="S938" s="76">
        <f>'RW predict'!O937</f>
        <v>0</v>
      </c>
      <c r="T938" s="76">
        <f>'RW predict'!K937</f>
        <v>0</v>
      </c>
      <c r="U938" s="22">
        <f>'RW predict'!J937</f>
        <v>15</v>
      </c>
      <c r="V938" s="32">
        <f>IF(D938="G",'RW predict'!E937,0)</f>
        <v>0</v>
      </c>
      <c r="W938" s="18">
        <f>'RW predict'!R937</f>
        <v>0</v>
      </c>
      <c r="X938" s="18">
        <f>'RW predict'!T937</f>
        <v>0</v>
      </c>
      <c r="Y938" s="18">
        <f>'RW predict'!Y937</f>
        <v>0</v>
      </c>
      <c r="Z938" s="18">
        <f>'RW predict'!U937</f>
        <v>0</v>
      </c>
      <c r="AA938" s="18">
        <f>'RW predict'!W937</f>
        <v>0</v>
      </c>
    </row>
    <row r="939" spans="1:27" x14ac:dyDescent="0.3">
      <c r="A939" s="18">
        <v>936</v>
      </c>
      <c r="B939" s="18" t="str">
        <f>'RW predict'!A938</f>
        <v>Owen Pickering</v>
      </c>
      <c r="C939" s="18" t="str">
        <f>'RW predict'!B938</f>
        <v>PIT</v>
      </c>
      <c r="D939" s="22" t="str" cm="1">
        <f t="array" ref="D939">_xlfn.SWITCH('RW predict'!C938, "C", "F", "LW","F", "RW", "F", "D", "D", "G", "G", "other")</f>
        <v>D</v>
      </c>
      <c r="E939" s="32">
        <f t="shared" si="28"/>
        <v>83</v>
      </c>
      <c r="F939" s="35">
        <f>E939/assumptions!$B$2</f>
        <v>1.0121951219512195</v>
      </c>
      <c r="G939" s="36">
        <f t="shared" si="29"/>
        <v>936</v>
      </c>
      <c r="H939" s="18">
        <f>IF(NOT(D939="G"),'RW predict'!E938,0)</f>
        <v>0</v>
      </c>
      <c r="I939" s="18">
        <f>'RW predict'!Q938</f>
        <v>3</v>
      </c>
      <c r="J939" s="18">
        <f>'RW predict'!F938</f>
        <v>1</v>
      </c>
      <c r="K939" s="18"/>
      <c r="L939" s="18"/>
      <c r="M939" s="18">
        <f>'RW predict'!P938</f>
        <v>6</v>
      </c>
      <c r="N939" s="18"/>
      <c r="O939" s="18">
        <f>'RW predict'!H938</f>
        <v>3</v>
      </c>
      <c r="P939" s="18">
        <f>'RW predict'!I938</f>
        <v>2</v>
      </c>
      <c r="Q939" s="18">
        <f>'RW predict'!L938</f>
        <v>0</v>
      </c>
      <c r="R939" s="18">
        <f>'RW predict'!N938</f>
        <v>0</v>
      </c>
      <c r="S939" s="76">
        <f>'RW predict'!O938</f>
        <v>0</v>
      </c>
      <c r="T939" s="76">
        <f>'RW predict'!K938</f>
        <v>0</v>
      </c>
      <c r="U939" s="22">
        <f>'RW predict'!J938</f>
        <v>5</v>
      </c>
      <c r="V939" s="32">
        <f>IF(D939="G",'RW predict'!E938,0)</f>
        <v>0</v>
      </c>
      <c r="W939" s="18">
        <f>'RW predict'!R938</f>
        <v>0</v>
      </c>
      <c r="X939" s="18">
        <f>'RW predict'!T938</f>
        <v>0</v>
      </c>
      <c r="Y939" s="18">
        <f>'RW predict'!Y938</f>
        <v>0</v>
      </c>
      <c r="Z939" s="18">
        <f>'RW predict'!U938</f>
        <v>0</v>
      </c>
      <c r="AA939" s="18">
        <f>'RW predict'!W938</f>
        <v>0</v>
      </c>
    </row>
    <row r="940" spans="1:27" x14ac:dyDescent="0.3">
      <c r="A940" s="18">
        <v>937</v>
      </c>
      <c r="B940" s="18" t="str">
        <f>'RW predict'!A939</f>
        <v>Alexander Holtz</v>
      </c>
      <c r="C940" s="18" t="str">
        <f>'RW predict'!B939</f>
        <v>NJ</v>
      </c>
      <c r="D940" s="22" t="str" cm="1">
        <f t="array" ref="D940">_xlfn.SWITCH('RW predict'!C939, "C", "F", "LW","F", "RW", "F", "D", "D", "G", "G", "other")</f>
        <v>F</v>
      </c>
      <c r="E940" s="32">
        <f t="shared" si="28"/>
        <v>33</v>
      </c>
      <c r="F940" s="35">
        <f>E940/assumptions!$B$2</f>
        <v>0.40243902439024393</v>
      </c>
      <c r="G940" s="36">
        <f t="shared" si="29"/>
        <v>1013</v>
      </c>
      <c r="H940" s="18">
        <f>IF(NOT(D940="G"),'RW predict'!E939,0)</f>
        <v>0</v>
      </c>
      <c r="I940" s="18">
        <f>'RW predict'!Q939</f>
        <v>1</v>
      </c>
      <c r="J940" s="18">
        <f>'RW predict'!F939</f>
        <v>1</v>
      </c>
      <c r="K940" s="18"/>
      <c r="L940" s="18"/>
      <c r="M940" s="18">
        <f>'RW predict'!P939</f>
        <v>4</v>
      </c>
      <c r="N940" s="18"/>
      <c r="O940" s="18">
        <f>'RW predict'!H939</f>
        <v>-2</v>
      </c>
      <c r="P940" s="18">
        <f>'RW predict'!I939</f>
        <v>2</v>
      </c>
      <c r="Q940" s="18">
        <f>'RW predict'!L939</f>
        <v>0</v>
      </c>
      <c r="R940" s="18">
        <f>'RW predict'!N939</f>
        <v>0</v>
      </c>
      <c r="S940" s="76">
        <f>'RW predict'!O939</f>
        <v>0</v>
      </c>
      <c r="T940" s="76">
        <f>'RW predict'!K939</f>
        <v>0</v>
      </c>
      <c r="U940" s="22">
        <f>'RW predict'!J939</f>
        <v>8</v>
      </c>
      <c r="V940" s="32">
        <f>IF(D940="G",'RW predict'!E939,0)</f>
        <v>0</v>
      </c>
      <c r="W940" s="18">
        <f>'RW predict'!R939</f>
        <v>0</v>
      </c>
      <c r="X940" s="18">
        <f>'RW predict'!T939</f>
        <v>0</v>
      </c>
      <c r="Y940" s="18">
        <f>'RW predict'!Y939</f>
        <v>0</v>
      </c>
      <c r="Z940" s="18">
        <f>'RW predict'!U939</f>
        <v>0</v>
      </c>
      <c r="AA940" s="18">
        <f>'RW predict'!W939</f>
        <v>0</v>
      </c>
    </row>
    <row r="941" spans="1:27" x14ac:dyDescent="0.3">
      <c r="A941" s="18">
        <v>938</v>
      </c>
      <c r="B941" s="18" t="str">
        <f>'RW predict'!A940</f>
        <v>Connor Mackey</v>
      </c>
      <c r="C941" s="18" t="str">
        <f>'RW predict'!B940</f>
        <v>CGY</v>
      </c>
      <c r="D941" s="22" t="str" cm="1">
        <f t="array" ref="D941">_xlfn.SWITCH('RW predict'!C940, "C", "F", "LW","F", "RW", "F", "D", "D", "G", "G", "other")</f>
        <v>D</v>
      </c>
      <c r="E941" s="32">
        <f t="shared" si="28"/>
        <v>68</v>
      </c>
      <c r="F941" s="35">
        <f>E941/assumptions!$B$2</f>
        <v>0.82926829268292679</v>
      </c>
      <c r="G941" s="36">
        <f t="shared" si="29"/>
        <v>959</v>
      </c>
      <c r="H941" s="18">
        <f>IF(NOT(D941="G"),'RW predict'!E940,0)</f>
        <v>0</v>
      </c>
      <c r="I941" s="18">
        <f>'RW predict'!Q940</f>
        <v>3</v>
      </c>
      <c r="J941" s="18">
        <f>'RW predict'!F940</f>
        <v>1</v>
      </c>
      <c r="K941" s="18"/>
      <c r="L941" s="18"/>
      <c r="M941" s="18">
        <f>'RW predict'!P940</f>
        <v>5</v>
      </c>
      <c r="N941" s="18"/>
      <c r="O941" s="18">
        <f>'RW predict'!H940</f>
        <v>1</v>
      </c>
      <c r="P941" s="18">
        <f>'RW predict'!I940</f>
        <v>4</v>
      </c>
      <c r="Q941" s="18">
        <f>'RW predict'!L940</f>
        <v>0</v>
      </c>
      <c r="R941" s="18">
        <f>'RW predict'!N940</f>
        <v>0</v>
      </c>
      <c r="S941" s="76">
        <f>'RW predict'!O940</f>
        <v>0</v>
      </c>
      <c r="T941" s="76">
        <f>'RW predict'!K940</f>
        <v>0</v>
      </c>
      <c r="U941" s="22">
        <f>'RW predict'!J940</f>
        <v>5</v>
      </c>
      <c r="V941" s="32">
        <f>IF(D941="G",'RW predict'!E940,0)</f>
        <v>0</v>
      </c>
      <c r="W941" s="18">
        <f>'RW predict'!R940</f>
        <v>0</v>
      </c>
      <c r="X941" s="18">
        <f>'RW predict'!T940</f>
        <v>0</v>
      </c>
      <c r="Y941" s="18">
        <f>'RW predict'!Y940</f>
        <v>0</v>
      </c>
      <c r="Z941" s="18">
        <f>'RW predict'!U940</f>
        <v>0</v>
      </c>
      <c r="AA941" s="18">
        <f>'RW predict'!W940</f>
        <v>0</v>
      </c>
    </row>
    <row r="942" spans="1:27" x14ac:dyDescent="0.3">
      <c r="A942" s="18">
        <v>939</v>
      </c>
      <c r="B942" s="18" t="str">
        <f>'RW predict'!A941</f>
        <v>Jack Ahcan</v>
      </c>
      <c r="C942" s="18" t="str">
        <f>'RW predict'!B941</f>
        <v>BOS</v>
      </c>
      <c r="D942" s="22" t="str" cm="1">
        <f t="array" ref="D942">_xlfn.SWITCH('RW predict'!C941, "C", "F", "LW","F", "RW", "F", "D", "D", "G", "G", "other")</f>
        <v>D</v>
      </c>
      <c r="E942" s="32">
        <f t="shared" si="28"/>
        <v>27</v>
      </c>
      <c r="F942" s="35">
        <f>E942/assumptions!$B$2</f>
        <v>0.32926829268292684</v>
      </c>
      <c r="G942" s="36">
        <f t="shared" si="29"/>
        <v>1021</v>
      </c>
      <c r="H942" s="18">
        <f>IF(NOT(D942="G"),'RW predict'!E941,0)</f>
        <v>0</v>
      </c>
      <c r="I942" s="18">
        <f>'RW predict'!Q941</f>
        <v>6</v>
      </c>
      <c r="J942" s="18">
        <f>'RW predict'!F941</f>
        <v>1</v>
      </c>
      <c r="K942" s="18"/>
      <c r="L942" s="18"/>
      <c r="M942" s="18">
        <f>'RW predict'!P941</f>
        <v>8</v>
      </c>
      <c r="N942" s="18"/>
      <c r="O942" s="18">
        <f>'RW predict'!H941</f>
        <v>-3</v>
      </c>
      <c r="P942" s="18">
        <f>'RW predict'!I941</f>
        <v>0</v>
      </c>
      <c r="Q942" s="18">
        <f>'RW predict'!L941</f>
        <v>0</v>
      </c>
      <c r="R942" s="18">
        <f>'RW predict'!N941</f>
        <v>0</v>
      </c>
      <c r="S942" s="76">
        <f>'RW predict'!O941</f>
        <v>0</v>
      </c>
      <c r="T942" s="76">
        <f>'RW predict'!K941</f>
        <v>0</v>
      </c>
      <c r="U942" s="22">
        <f>'RW predict'!J941</f>
        <v>6</v>
      </c>
      <c r="V942" s="32">
        <f>IF(D942="G",'RW predict'!E941,0)</f>
        <v>0</v>
      </c>
      <c r="W942" s="18">
        <f>'RW predict'!R941</f>
        <v>0</v>
      </c>
      <c r="X942" s="18">
        <f>'RW predict'!T941</f>
        <v>0</v>
      </c>
      <c r="Y942" s="18">
        <f>'RW predict'!Y941</f>
        <v>0</v>
      </c>
      <c r="Z942" s="18">
        <f>'RW predict'!U941</f>
        <v>0</v>
      </c>
      <c r="AA942" s="18">
        <f>'RW predict'!W941</f>
        <v>0</v>
      </c>
    </row>
    <row r="943" spans="1:27" x14ac:dyDescent="0.3">
      <c r="A943" s="18">
        <v>940</v>
      </c>
      <c r="B943" s="18" t="str">
        <f>'RW predict'!A942</f>
        <v>Jake Christiansen</v>
      </c>
      <c r="C943" s="18" t="str">
        <f>'RW predict'!B942</f>
        <v>CLS</v>
      </c>
      <c r="D943" s="22" t="str" cm="1">
        <f t="array" ref="D943">_xlfn.SWITCH('RW predict'!C942, "C", "F", "LW","F", "RW", "F", "D", "D", "G", "G", "other")</f>
        <v>D</v>
      </c>
      <c r="E943" s="32">
        <f t="shared" si="28"/>
        <v>76</v>
      </c>
      <c r="F943" s="35">
        <f>E943/assumptions!$B$2</f>
        <v>0.92682926829268297</v>
      </c>
      <c r="G943" s="36">
        <f t="shared" si="29"/>
        <v>947</v>
      </c>
      <c r="H943" s="18">
        <f>IF(NOT(D943="G"),'RW predict'!E942,0)</f>
        <v>0</v>
      </c>
      <c r="I943" s="18">
        <f>'RW predict'!Q942</f>
        <v>8</v>
      </c>
      <c r="J943" s="18">
        <f>'RW predict'!F942</f>
        <v>1</v>
      </c>
      <c r="K943" s="18"/>
      <c r="L943" s="18"/>
      <c r="M943" s="18">
        <f>'RW predict'!P942</f>
        <v>9</v>
      </c>
      <c r="N943" s="18"/>
      <c r="O943" s="18">
        <f>'RW predict'!H942</f>
        <v>1</v>
      </c>
      <c r="P943" s="18">
        <f>'RW predict'!I942</f>
        <v>2</v>
      </c>
      <c r="Q943" s="18">
        <f>'RW predict'!L942</f>
        <v>0</v>
      </c>
      <c r="R943" s="18">
        <f>'RW predict'!N942</f>
        <v>0</v>
      </c>
      <c r="S943" s="76">
        <f>'RW predict'!O942</f>
        <v>0</v>
      </c>
      <c r="T943" s="76">
        <f>'RW predict'!K942</f>
        <v>0</v>
      </c>
      <c r="U943" s="22">
        <f>'RW predict'!J942</f>
        <v>5</v>
      </c>
      <c r="V943" s="32">
        <f>IF(D943="G",'RW predict'!E942,0)</f>
        <v>0</v>
      </c>
      <c r="W943" s="18">
        <f>'RW predict'!R942</f>
        <v>0</v>
      </c>
      <c r="X943" s="18">
        <f>'RW predict'!T942</f>
        <v>0</v>
      </c>
      <c r="Y943" s="18">
        <f>'RW predict'!Y942</f>
        <v>0</v>
      </c>
      <c r="Z943" s="18">
        <f>'RW predict'!U942</f>
        <v>0</v>
      </c>
      <c r="AA943" s="18">
        <f>'RW predict'!W942</f>
        <v>0</v>
      </c>
    </row>
    <row r="944" spans="1:27" x14ac:dyDescent="0.3">
      <c r="A944" s="18">
        <v>941</v>
      </c>
      <c r="B944" s="18" t="str">
        <f>'RW predict'!A943</f>
        <v>Adam Raska</v>
      </c>
      <c r="C944" s="18" t="str">
        <f>'RW predict'!B943</f>
        <v>SJ</v>
      </c>
      <c r="D944" s="22" t="str" cm="1">
        <f t="array" ref="D944">_xlfn.SWITCH('RW predict'!C943, "C", "F", "LW","F", "RW", "F", "D", "D", "G", "G", "other")</f>
        <v>F</v>
      </c>
      <c r="E944" s="32">
        <f t="shared" si="28"/>
        <v>42</v>
      </c>
      <c r="F944" s="35">
        <f>E944/assumptions!$B$2</f>
        <v>0.51219512195121952</v>
      </c>
      <c r="G944" s="36">
        <f t="shared" si="29"/>
        <v>1003</v>
      </c>
      <c r="H944" s="18">
        <f>IF(NOT(D944="G"),'RW predict'!E943,0)</f>
        <v>0</v>
      </c>
      <c r="I944" s="18">
        <f>'RW predict'!Q943</f>
        <v>0</v>
      </c>
      <c r="J944" s="18">
        <f>'RW predict'!F943</f>
        <v>1</v>
      </c>
      <c r="K944" s="18"/>
      <c r="L944" s="18"/>
      <c r="M944" s="18">
        <f>'RW predict'!P943</f>
        <v>13</v>
      </c>
      <c r="N944" s="18"/>
      <c r="O944" s="18">
        <f>'RW predict'!H943</f>
        <v>-2</v>
      </c>
      <c r="P944" s="18">
        <f>'RW predict'!I943</f>
        <v>6</v>
      </c>
      <c r="Q944" s="18">
        <f>'RW predict'!L943</f>
        <v>0</v>
      </c>
      <c r="R944" s="18">
        <f>'RW predict'!N943</f>
        <v>0</v>
      </c>
      <c r="S944" s="76">
        <f>'RW predict'!O943</f>
        <v>0</v>
      </c>
      <c r="T944" s="76">
        <f>'RW predict'!K943</f>
        <v>0</v>
      </c>
      <c r="U944" s="22">
        <f>'RW predict'!J943</f>
        <v>3</v>
      </c>
      <c r="V944" s="32">
        <f>IF(D944="G",'RW predict'!E943,0)</f>
        <v>0</v>
      </c>
      <c r="W944" s="18">
        <f>'RW predict'!R943</f>
        <v>0</v>
      </c>
      <c r="X944" s="18">
        <f>'RW predict'!T943</f>
        <v>0</v>
      </c>
      <c r="Y944" s="18">
        <f>'RW predict'!Y943</f>
        <v>0</v>
      </c>
      <c r="Z944" s="18">
        <f>'RW predict'!U943</f>
        <v>0</v>
      </c>
      <c r="AA944" s="18">
        <f>'RW predict'!W943</f>
        <v>0</v>
      </c>
    </row>
    <row r="945" spans="1:27" x14ac:dyDescent="0.3">
      <c r="A945" s="18">
        <v>942</v>
      </c>
      <c r="B945" s="18" t="str">
        <f>'RW predict'!A944</f>
        <v>Brayden Pachal</v>
      </c>
      <c r="C945" s="18" t="str">
        <f>'RW predict'!B944</f>
        <v>VGK</v>
      </c>
      <c r="D945" s="22" t="str" cm="1">
        <f t="array" ref="D945">_xlfn.SWITCH('RW predict'!C944, "C", "F", "LW","F", "RW", "F", "D", "D", "G", "G", "other")</f>
        <v>D</v>
      </c>
      <c r="E945" s="32">
        <f t="shared" si="28"/>
        <v>37</v>
      </c>
      <c r="F945" s="35">
        <f>E945/assumptions!$B$2</f>
        <v>0.45121951219512196</v>
      </c>
      <c r="G945" s="36">
        <f t="shared" si="29"/>
        <v>1008</v>
      </c>
      <c r="H945" s="18">
        <f>IF(NOT(D945="G"),'RW predict'!E944,0)</f>
        <v>0</v>
      </c>
      <c r="I945" s="18">
        <f>'RW predict'!Q944</f>
        <v>6</v>
      </c>
      <c r="J945" s="18">
        <f>'RW predict'!F944</f>
        <v>1</v>
      </c>
      <c r="K945" s="18"/>
      <c r="L945" s="18"/>
      <c r="M945" s="18">
        <f>'RW predict'!P944</f>
        <v>8</v>
      </c>
      <c r="N945" s="18"/>
      <c r="O945" s="18">
        <f>'RW predict'!H944</f>
        <v>-3</v>
      </c>
      <c r="P945" s="18">
        <f>'RW predict'!I944</f>
        <v>2</v>
      </c>
      <c r="Q945" s="18">
        <f>'RW predict'!L944</f>
        <v>0</v>
      </c>
      <c r="R945" s="18">
        <f>'RW predict'!N944</f>
        <v>0</v>
      </c>
      <c r="S945" s="76">
        <f>'RW predict'!O944</f>
        <v>0</v>
      </c>
      <c r="T945" s="76">
        <f>'RW predict'!K944</f>
        <v>0</v>
      </c>
      <c r="U945" s="22">
        <f>'RW predict'!J944</f>
        <v>8</v>
      </c>
      <c r="V945" s="32">
        <f>IF(D945="G",'RW predict'!E944,0)</f>
        <v>0</v>
      </c>
      <c r="W945" s="18">
        <f>'RW predict'!R944</f>
        <v>0</v>
      </c>
      <c r="X945" s="18">
        <f>'RW predict'!T944</f>
        <v>0</v>
      </c>
      <c r="Y945" s="18">
        <f>'RW predict'!Y944</f>
        <v>0</v>
      </c>
      <c r="Z945" s="18">
        <f>'RW predict'!U944</f>
        <v>0</v>
      </c>
      <c r="AA945" s="18">
        <f>'RW predict'!W944</f>
        <v>0</v>
      </c>
    </row>
    <row r="946" spans="1:27" x14ac:dyDescent="0.3">
      <c r="A946" s="18">
        <v>943</v>
      </c>
      <c r="B946" s="18" t="str">
        <f>'RW predict'!A945</f>
        <v>Valtteri Puustinen</v>
      </c>
      <c r="C946" s="18" t="str">
        <f>'RW predict'!B945</f>
        <v>PIT</v>
      </c>
      <c r="D946" s="22" t="str" cm="1">
        <f t="array" ref="D946">_xlfn.SWITCH('RW predict'!C945, "C", "F", "LW","F", "RW", "F", "D", "D", "G", "G", "other")</f>
        <v>F</v>
      </c>
      <c r="E946" s="32">
        <f t="shared" si="28"/>
        <v>48</v>
      </c>
      <c r="F946" s="35">
        <f>E946/assumptions!$B$2</f>
        <v>0.58536585365853655</v>
      </c>
      <c r="G946" s="36">
        <f t="shared" si="29"/>
        <v>992</v>
      </c>
      <c r="H946" s="18">
        <f>IF(NOT(D946="G"),'RW predict'!E945,0)</f>
        <v>0</v>
      </c>
      <c r="I946" s="18">
        <f>'RW predict'!Q945</f>
        <v>0</v>
      </c>
      <c r="J946" s="18">
        <f>'RW predict'!F945</f>
        <v>1</v>
      </c>
      <c r="K946" s="18"/>
      <c r="L946" s="18"/>
      <c r="M946" s="18">
        <f>'RW predict'!P945</f>
        <v>1</v>
      </c>
      <c r="N946" s="18"/>
      <c r="O946" s="18">
        <f>'RW predict'!H945</f>
        <v>2</v>
      </c>
      <c r="P946" s="18">
        <f>'RW predict'!I945</f>
        <v>0</v>
      </c>
      <c r="Q946" s="18">
        <f>'RW predict'!L945</f>
        <v>0</v>
      </c>
      <c r="R946" s="18">
        <f>'RW predict'!N945</f>
        <v>0</v>
      </c>
      <c r="S946" s="76">
        <f>'RW predict'!O945</f>
        <v>0</v>
      </c>
      <c r="T946" s="76">
        <f>'RW predict'!K945</f>
        <v>0</v>
      </c>
      <c r="U946" s="22">
        <f>'RW predict'!J945</f>
        <v>1</v>
      </c>
      <c r="V946" s="32">
        <f>IF(D946="G",'RW predict'!E945,0)</f>
        <v>0</v>
      </c>
      <c r="W946" s="18">
        <f>'RW predict'!R945</f>
        <v>0</v>
      </c>
      <c r="X946" s="18">
        <f>'RW predict'!T945</f>
        <v>0</v>
      </c>
      <c r="Y946" s="18">
        <f>'RW predict'!Y945</f>
        <v>0</v>
      </c>
      <c r="Z946" s="18">
        <f>'RW predict'!U945</f>
        <v>0</v>
      </c>
      <c r="AA946" s="18">
        <f>'RW predict'!W945</f>
        <v>0</v>
      </c>
    </row>
    <row r="947" spans="1:27" x14ac:dyDescent="0.3">
      <c r="A947" s="18">
        <v>944</v>
      </c>
      <c r="B947" s="18" t="str">
        <f>'RW predict'!A946</f>
        <v>Daniil Miromanov</v>
      </c>
      <c r="C947" s="18" t="str">
        <f>'RW predict'!B946</f>
        <v>VGK</v>
      </c>
      <c r="D947" s="22" t="str" cm="1">
        <f t="array" ref="D947">_xlfn.SWITCH('RW predict'!C946, "C", "F", "LW","F", "RW", "F", "D", "D", "G", "G", "other")</f>
        <v>D</v>
      </c>
      <c r="E947" s="32">
        <f t="shared" si="28"/>
        <v>67</v>
      </c>
      <c r="F947" s="35">
        <f>E947/assumptions!$B$2</f>
        <v>0.81707317073170727</v>
      </c>
      <c r="G947" s="36">
        <f t="shared" si="29"/>
        <v>961</v>
      </c>
      <c r="H947" s="18">
        <f>IF(NOT(D947="G"),'RW predict'!E946,0)</f>
        <v>0</v>
      </c>
      <c r="I947" s="18">
        <f>'RW predict'!Q946</f>
        <v>5</v>
      </c>
      <c r="J947" s="18">
        <f>'RW predict'!F946</f>
        <v>1</v>
      </c>
      <c r="K947" s="18"/>
      <c r="L947" s="18"/>
      <c r="M947" s="18">
        <f>'RW predict'!P946</f>
        <v>4</v>
      </c>
      <c r="N947" s="18"/>
      <c r="O947" s="18">
        <f>'RW predict'!H946</f>
        <v>0</v>
      </c>
      <c r="P947" s="18">
        <f>'RW predict'!I946</f>
        <v>2</v>
      </c>
      <c r="Q947" s="18">
        <f>'RW predict'!L946</f>
        <v>0</v>
      </c>
      <c r="R947" s="18">
        <f>'RW predict'!N946</f>
        <v>0</v>
      </c>
      <c r="S947" s="76">
        <f>'RW predict'!O946</f>
        <v>0</v>
      </c>
      <c r="T947" s="76">
        <f>'RW predict'!K946</f>
        <v>0</v>
      </c>
      <c r="U947" s="22">
        <f>'RW predict'!J946</f>
        <v>11</v>
      </c>
      <c r="V947" s="32">
        <f>IF(D947="G",'RW predict'!E946,0)</f>
        <v>0</v>
      </c>
      <c r="W947" s="18">
        <f>'RW predict'!R946</f>
        <v>0</v>
      </c>
      <c r="X947" s="18">
        <f>'RW predict'!T946</f>
        <v>0</v>
      </c>
      <c r="Y947" s="18">
        <f>'RW predict'!Y946</f>
        <v>0</v>
      </c>
      <c r="Z947" s="18">
        <f>'RW predict'!U946</f>
        <v>0</v>
      </c>
      <c r="AA947" s="18">
        <f>'RW predict'!W946</f>
        <v>0</v>
      </c>
    </row>
    <row r="948" spans="1:27" x14ac:dyDescent="0.3">
      <c r="A948" s="18">
        <v>945</v>
      </c>
      <c r="B948" s="18" t="str">
        <f>'RW predict'!A947</f>
        <v>Carson Meyer</v>
      </c>
      <c r="C948" s="18" t="str">
        <f>'RW predict'!B947</f>
        <v>CLS</v>
      </c>
      <c r="D948" s="22" t="str" cm="1">
        <f t="array" ref="D948">_xlfn.SWITCH('RW predict'!C947, "C", "F", "LW","F", "RW", "F", "D", "D", "G", "G", "other")</f>
        <v>F</v>
      </c>
      <c r="E948" s="32">
        <f t="shared" si="28"/>
        <v>48</v>
      </c>
      <c r="F948" s="35">
        <f>E948/assumptions!$B$2</f>
        <v>0.58536585365853655</v>
      </c>
      <c r="G948" s="36">
        <f t="shared" si="29"/>
        <v>992</v>
      </c>
      <c r="H948" s="18">
        <f>IF(NOT(D948="G"),'RW predict'!E947,0)</f>
        <v>0</v>
      </c>
      <c r="I948" s="18">
        <f>'RW predict'!Q947</f>
        <v>2</v>
      </c>
      <c r="J948" s="18">
        <f>'RW predict'!F947</f>
        <v>1</v>
      </c>
      <c r="K948" s="18"/>
      <c r="L948" s="18"/>
      <c r="M948" s="18">
        <f>'RW predict'!P947</f>
        <v>11</v>
      </c>
      <c r="N948" s="18"/>
      <c r="O948" s="18">
        <f>'RW predict'!H947</f>
        <v>-1</v>
      </c>
      <c r="P948" s="18">
        <f>'RW predict'!I947</f>
        <v>2</v>
      </c>
      <c r="Q948" s="18">
        <f>'RW predict'!L947</f>
        <v>0</v>
      </c>
      <c r="R948" s="18">
        <f>'RW predict'!N947</f>
        <v>0</v>
      </c>
      <c r="S948" s="76">
        <f>'RW predict'!O947</f>
        <v>0</v>
      </c>
      <c r="T948" s="76">
        <f>'RW predict'!K947</f>
        <v>0</v>
      </c>
      <c r="U948" s="22">
        <f>'RW predict'!J947</f>
        <v>6</v>
      </c>
      <c r="V948" s="32">
        <f>IF(D948="G",'RW predict'!E947,0)</f>
        <v>0</v>
      </c>
      <c r="W948" s="18">
        <f>'RW predict'!R947</f>
        <v>0</v>
      </c>
      <c r="X948" s="18">
        <f>'RW predict'!T947</f>
        <v>0</v>
      </c>
      <c r="Y948" s="18">
        <f>'RW predict'!Y947</f>
        <v>0</v>
      </c>
      <c r="Z948" s="18">
        <f>'RW predict'!U947</f>
        <v>0</v>
      </c>
      <c r="AA948" s="18">
        <f>'RW predict'!W947</f>
        <v>0</v>
      </c>
    </row>
    <row r="949" spans="1:27" x14ac:dyDescent="0.3">
      <c r="A949" s="18">
        <v>946</v>
      </c>
      <c r="B949" s="18" t="str">
        <f>'RW predict'!A948</f>
        <v>Jackson Cates</v>
      </c>
      <c r="C949" s="18" t="str">
        <f>'RW predict'!B948</f>
        <v>PHI</v>
      </c>
      <c r="D949" s="22" t="str" cm="1">
        <f t="array" ref="D949">_xlfn.SWITCH('RW predict'!C948, "C", "F", "LW","F", "RW", "F", "D", "D", "G", "G", "other")</f>
        <v>F</v>
      </c>
      <c r="E949" s="32">
        <f t="shared" si="28"/>
        <v>21</v>
      </c>
      <c r="F949" s="35">
        <f>E949/assumptions!$B$2</f>
        <v>0.25609756097560976</v>
      </c>
      <c r="G949" s="36">
        <f t="shared" si="29"/>
        <v>1034</v>
      </c>
      <c r="H949" s="18">
        <f>IF(NOT(D949="G"),'RW predict'!E948,0)</f>
        <v>1</v>
      </c>
      <c r="I949" s="18">
        <f>'RW predict'!Q948</f>
        <v>2</v>
      </c>
      <c r="J949" s="18">
        <f>'RW predict'!F948</f>
        <v>0</v>
      </c>
      <c r="K949" s="18"/>
      <c r="L949" s="18"/>
      <c r="M949" s="18">
        <f>'RW predict'!P948</f>
        <v>2</v>
      </c>
      <c r="N949" s="18"/>
      <c r="O949" s="18">
        <f>'RW predict'!H948</f>
        <v>-2</v>
      </c>
      <c r="P949" s="18">
        <f>'RW predict'!I948</f>
        <v>0</v>
      </c>
      <c r="Q949" s="18">
        <f>'RW predict'!L948</f>
        <v>0</v>
      </c>
      <c r="R949" s="18">
        <f>'RW predict'!N948</f>
        <v>0</v>
      </c>
      <c r="S949" s="76">
        <f>'RW predict'!O948</f>
        <v>0</v>
      </c>
      <c r="T949" s="76">
        <f>'RW predict'!K948</f>
        <v>0</v>
      </c>
      <c r="U949" s="22">
        <f>'RW predict'!J948</f>
        <v>5</v>
      </c>
      <c r="V949" s="32">
        <f>IF(D949="G",'RW predict'!E948,0)</f>
        <v>0</v>
      </c>
      <c r="W949" s="18">
        <f>'RW predict'!R948</f>
        <v>0</v>
      </c>
      <c r="X949" s="18">
        <f>'RW predict'!T948</f>
        <v>0</v>
      </c>
      <c r="Y949" s="18">
        <f>'RW predict'!Y948</f>
        <v>0</v>
      </c>
      <c r="Z949" s="18">
        <f>'RW predict'!U948</f>
        <v>0</v>
      </c>
      <c r="AA949" s="18">
        <f>'RW predict'!W948</f>
        <v>0</v>
      </c>
    </row>
    <row r="950" spans="1:27" x14ac:dyDescent="0.3">
      <c r="A950" s="18">
        <v>947</v>
      </c>
      <c r="B950" s="18" t="str">
        <f>'RW predict'!A949</f>
        <v>Isaak Phillips</v>
      </c>
      <c r="C950" s="18" t="str">
        <f>'RW predict'!B949</f>
        <v>CHI</v>
      </c>
      <c r="D950" s="22" t="str" cm="1">
        <f t="array" ref="D950">_xlfn.SWITCH('RW predict'!C949, "C", "F", "LW","F", "RW", "F", "D", "D", "G", "G", "other")</f>
        <v>D</v>
      </c>
      <c r="E950" s="32">
        <f t="shared" si="28"/>
        <v>99</v>
      </c>
      <c r="F950" s="35">
        <f>E950/assumptions!$B$2</f>
        <v>1.2073170731707317</v>
      </c>
      <c r="G950" s="36">
        <f t="shared" si="29"/>
        <v>913</v>
      </c>
      <c r="H950" s="18">
        <f>IF(NOT(D950="G"),'RW predict'!E949,0)</f>
        <v>0</v>
      </c>
      <c r="I950" s="18">
        <f>'RW predict'!Q949</f>
        <v>5</v>
      </c>
      <c r="J950" s="18">
        <f>'RW predict'!F949</f>
        <v>1</v>
      </c>
      <c r="K950" s="18"/>
      <c r="L950" s="18"/>
      <c r="M950" s="18">
        <f>'RW predict'!P949</f>
        <v>14</v>
      </c>
      <c r="N950" s="18"/>
      <c r="O950" s="18">
        <f>'RW predict'!H949</f>
        <v>-4</v>
      </c>
      <c r="P950" s="18">
        <f>'RW predict'!I949</f>
        <v>18</v>
      </c>
      <c r="Q950" s="18">
        <f>'RW predict'!L949</f>
        <v>0</v>
      </c>
      <c r="R950" s="18">
        <f>'RW predict'!N949</f>
        <v>0</v>
      </c>
      <c r="S950" s="76">
        <f>'RW predict'!O949</f>
        <v>0</v>
      </c>
      <c r="T950" s="76">
        <f>'RW predict'!K949</f>
        <v>0</v>
      </c>
      <c r="U950" s="22">
        <f>'RW predict'!J949</f>
        <v>18</v>
      </c>
      <c r="V950" s="32">
        <f>IF(D950="G",'RW predict'!E949,0)</f>
        <v>0</v>
      </c>
      <c r="W950" s="18">
        <f>'RW predict'!R949</f>
        <v>0</v>
      </c>
      <c r="X950" s="18">
        <f>'RW predict'!T949</f>
        <v>0</v>
      </c>
      <c r="Y950" s="18">
        <f>'RW predict'!Y949</f>
        <v>0</v>
      </c>
      <c r="Z950" s="18">
        <f>'RW predict'!U949</f>
        <v>0</v>
      </c>
      <c r="AA950" s="18">
        <f>'RW predict'!W949</f>
        <v>0</v>
      </c>
    </row>
    <row r="951" spans="1:27" x14ac:dyDescent="0.3">
      <c r="A951" s="18">
        <v>948</v>
      </c>
      <c r="B951" s="18" t="str">
        <f>'RW predict'!A950</f>
        <v>Zack Hayes</v>
      </c>
      <c r="C951" s="18" t="str">
        <f>'RW predict'!B950</f>
        <v>VGK</v>
      </c>
      <c r="D951" s="22" t="str" cm="1">
        <f t="array" ref="D951">_xlfn.SWITCH('RW predict'!C950, "C", "F", "LW","F", "RW", "F", "D", "D", "G", "G", "other")</f>
        <v>D</v>
      </c>
      <c r="E951" s="32">
        <f t="shared" si="28"/>
        <v>8</v>
      </c>
      <c r="F951" s="35">
        <f>E951/assumptions!$B$2</f>
        <v>9.7560975609756101E-2</v>
      </c>
      <c r="G951" s="36">
        <f t="shared" si="29"/>
        <v>1050</v>
      </c>
      <c r="H951" s="18">
        <f>IF(NOT(D951="G"),'RW predict'!E950,0)</f>
        <v>0</v>
      </c>
      <c r="I951" s="18">
        <f>'RW predict'!Q950</f>
        <v>3</v>
      </c>
      <c r="J951" s="18">
        <f>'RW predict'!F950</f>
        <v>0</v>
      </c>
      <c r="K951" s="18"/>
      <c r="L951" s="18"/>
      <c r="M951" s="18">
        <f>'RW predict'!P950</f>
        <v>16</v>
      </c>
      <c r="N951" s="18"/>
      <c r="O951" s="18">
        <f>'RW predict'!H950</f>
        <v>-2</v>
      </c>
      <c r="P951" s="18">
        <f>'RW predict'!I950</f>
        <v>0</v>
      </c>
      <c r="Q951" s="18">
        <f>'RW predict'!L950</f>
        <v>0</v>
      </c>
      <c r="R951" s="18">
        <f>'RW predict'!N950</f>
        <v>0</v>
      </c>
      <c r="S951" s="76">
        <f>'RW predict'!O950</f>
        <v>0</v>
      </c>
      <c r="T951" s="76">
        <f>'RW predict'!K950</f>
        <v>0</v>
      </c>
      <c r="U951" s="22">
        <f>'RW predict'!J950</f>
        <v>3</v>
      </c>
      <c r="V951" s="32">
        <f>IF(D951="G",'RW predict'!E950,0)</f>
        <v>0</v>
      </c>
      <c r="W951" s="18">
        <f>'RW predict'!R950</f>
        <v>0</v>
      </c>
      <c r="X951" s="18">
        <f>'RW predict'!T950</f>
        <v>0</v>
      </c>
      <c r="Y951" s="18">
        <f>'RW predict'!Y950</f>
        <v>0</v>
      </c>
      <c r="Z951" s="18">
        <f>'RW predict'!U950</f>
        <v>0</v>
      </c>
      <c r="AA951" s="18">
        <f>'RW predict'!W950</f>
        <v>0</v>
      </c>
    </row>
    <row r="952" spans="1:27" x14ac:dyDescent="0.3">
      <c r="A952" s="18">
        <v>949</v>
      </c>
      <c r="B952" s="18" t="str">
        <f>'RW predict'!A951</f>
        <v>Peter Diliberatore</v>
      </c>
      <c r="C952" s="18" t="str">
        <f>'RW predict'!B951</f>
        <v>VGK</v>
      </c>
      <c r="D952" s="22" t="str" cm="1">
        <f t="array" ref="D952">_xlfn.SWITCH('RW predict'!C951, "C", "F", "LW","F", "RW", "F", "D", "D", "G", "G", "other")</f>
        <v>D</v>
      </c>
      <c r="E952" s="32">
        <f t="shared" si="28"/>
        <v>-1</v>
      </c>
      <c r="F952" s="35">
        <f>E952/assumptions!$B$2</f>
        <v>-1.2195121951219513E-2</v>
      </c>
      <c r="G952" s="36">
        <f t="shared" si="29"/>
        <v>1065</v>
      </c>
      <c r="H952" s="18">
        <f>IF(NOT(D952="G"),'RW predict'!E951,0)</f>
        <v>0</v>
      </c>
      <c r="I952" s="18">
        <f>'RW predict'!Q951</f>
        <v>2</v>
      </c>
      <c r="J952" s="18">
        <f>'RW predict'!F951</f>
        <v>0</v>
      </c>
      <c r="K952" s="18"/>
      <c r="L952" s="18"/>
      <c r="M952" s="18">
        <f>'RW predict'!P951</f>
        <v>1</v>
      </c>
      <c r="N952" s="18"/>
      <c r="O952" s="18">
        <f>'RW predict'!H951</f>
        <v>-1</v>
      </c>
      <c r="P952" s="18">
        <f>'RW predict'!I951</f>
        <v>0</v>
      </c>
      <c r="Q952" s="18">
        <f>'RW predict'!L951</f>
        <v>0</v>
      </c>
      <c r="R952" s="18">
        <f>'RW predict'!N951</f>
        <v>0</v>
      </c>
      <c r="S952" s="76">
        <f>'RW predict'!O951</f>
        <v>0</v>
      </c>
      <c r="T952" s="76">
        <f>'RW predict'!K951</f>
        <v>0</v>
      </c>
      <c r="U952" s="22">
        <f>'RW predict'!J951</f>
        <v>2</v>
      </c>
      <c r="V952" s="32">
        <f>IF(D952="G",'RW predict'!E951,0)</f>
        <v>0</v>
      </c>
      <c r="W952" s="18">
        <f>'RW predict'!R951</f>
        <v>0</v>
      </c>
      <c r="X952" s="18">
        <f>'RW predict'!T951</f>
        <v>0</v>
      </c>
      <c r="Y952" s="18">
        <f>'RW predict'!Y951</f>
        <v>0</v>
      </c>
      <c r="Z952" s="18">
        <f>'RW predict'!U951</f>
        <v>0</v>
      </c>
      <c r="AA952" s="18">
        <f>'RW predict'!W951</f>
        <v>0</v>
      </c>
    </row>
    <row r="953" spans="1:27" x14ac:dyDescent="0.3">
      <c r="A953" s="18">
        <v>950</v>
      </c>
      <c r="B953" s="18" t="str">
        <f>'RW predict'!A952</f>
        <v>Logan Thompson</v>
      </c>
      <c r="C953" s="18" t="str">
        <f>'RW predict'!B952</f>
        <v>VGK</v>
      </c>
      <c r="D953" s="22" t="str" cm="1">
        <f t="array" ref="D953">_xlfn.SWITCH('RW predict'!C952, "C", "F", "LW","F", "RW", "F", "D", "D", "G", "G", "other")</f>
        <v>G</v>
      </c>
      <c r="E953" s="32">
        <f t="shared" si="28"/>
        <v>2138</v>
      </c>
      <c r="F953" s="35">
        <f>E953/assumptions!$B$2</f>
        <v>26.073170731707318</v>
      </c>
      <c r="G953" s="36">
        <f t="shared" si="29"/>
        <v>138</v>
      </c>
      <c r="H953" s="18">
        <f>IF(NOT(D953="G"),'RW predict'!E952,0)</f>
        <v>0</v>
      </c>
      <c r="I953" s="18">
        <f>'RW predict'!Q952</f>
        <v>0</v>
      </c>
      <c r="J953" s="18">
        <f>'RW predict'!F952</f>
        <v>0</v>
      </c>
      <c r="K953" s="18"/>
      <c r="L953" s="18"/>
      <c r="M953" s="18">
        <f>'RW predict'!P952</f>
        <v>0</v>
      </c>
      <c r="N953" s="18"/>
      <c r="O953" s="18">
        <f>'RW predict'!H952</f>
        <v>0</v>
      </c>
      <c r="P953" s="18">
        <f>'RW predict'!I952</f>
        <v>0</v>
      </c>
      <c r="Q953" s="18">
        <f>'RW predict'!L952</f>
        <v>0</v>
      </c>
      <c r="R953" s="18">
        <f>'RW predict'!N952</f>
        <v>0</v>
      </c>
      <c r="S953" s="76">
        <f>'RW predict'!O952</f>
        <v>0</v>
      </c>
      <c r="T953" s="76">
        <f>'RW predict'!K952</f>
        <v>0</v>
      </c>
      <c r="U953" s="22">
        <f>'RW predict'!J952</f>
        <v>0</v>
      </c>
      <c r="V953" s="32">
        <f>IF(D953="G",'RW predict'!E952,0)</f>
        <v>0</v>
      </c>
      <c r="W953" s="18">
        <f>'RW predict'!R952</f>
        <v>27</v>
      </c>
      <c r="X953" s="18">
        <f>'RW predict'!T952</f>
        <v>5</v>
      </c>
      <c r="Y953" s="18">
        <f>'RW predict'!Y952</f>
        <v>3</v>
      </c>
      <c r="Z953" s="18">
        <f>'RW predict'!U952</f>
        <v>134</v>
      </c>
      <c r="AA953" s="18">
        <f>'RW predict'!W952</f>
        <v>1409</v>
      </c>
    </row>
    <row r="954" spans="1:27" x14ac:dyDescent="0.3">
      <c r="A954" s="18">
        <v>951</v>
      </c>
      <c r="B954" s="18" t="str">
        <f>'RW predict'!A953</f>
        <v>Rafael Harvey-Pinard</v>
      </c>
      <c r="C954" s="18" t="str">
        <f>'RW predict'!B953</f>
        <v>MON</v>
      </c>
      <c r="D954" s="22" t="str" cm="1">
        <f t="array" ref="D954">_xlfn.SWITCH('RW predict'!C953, "C", "F", "LW","F", "RW", "F", "D", "D", "G", "G", "other")</f>
        <v>F</v>
      </c>
      <c r="E954" s="32">
        <f t="shared" si="28"/>
        <v>10</v>
      </c>
      <c r="F954" s="35">
        <f>E954/assumptions!$B$2</f>
        <v>0.12195121951219512</v>
      </c>
      <c r="G954" s="36">
        <f t="shared" si="29"/>
        <v>1048</v>
      </c>
      <c r="H954" s="18">
        <f>IF(NOT(D954="G"),'RW predict'!E953,0)</f>
        <v>0</v>
      </c>
      <c r="I954" s="18">
        <f>'RW predict'!Q953</f>
        <v>2</v>
      </c>
      <c r="J954" s="18">
        <f>'RW predict'!F953</f>
        <v>0</v>
      </c>
      <c r="K954" s="18"/>
      <c r="L954" s="18"/>
      <c r="M954" s="18">
        <f>'RW predict'!P953</f>
        <v>10</v>
      </c>
      <c r="N954" s="18"/>
      <c r="O954" s="18">
        <f>'RW predict'!H953</f>
        <v>-2</v>
      </c>
      <c r="P954" s="18">
        <f>'RW predict'!I953</f>
        <v>2</v>
      </c>
      <c r="Q954" s="18">
        <f>'RW predict'!L953</f>
        <v>0</v>
      </c>
      <c r="R954" s="18">
        <f>'RW predict'!N953</f>
        <v>0</v>
      </c>
      <c r="S954" s="76">
        <f>'RW predict'!O953</f>
        <v>0</v>
      </c>
      <c r="T954" s="76">
        <f>'RW predict'!K953</f>
        <v>0</v>
      </c>
      <c r="U954" s="22">
        <f>'RW predict'!J953</f>
        <v>5</v>
      </c>
      <c r="V954" s="32">
        <f>IF(D954="G",'RW predict'!E953,0)</f>
        <v>0</v>
      </c>
      <c r="W954" s="18">
        <f>'RW predict'!R953</f>
        <v>0</v>
      </c>
      <c r="X954" s="18">
        <f>'RW predict'!T953</f>
        <v>0</v>
      </c>
      <c r="Y954" s="18">
        <f>'RW predict'!Y953</f>
        <v>0</v>
      </c>
      <c r="Z954" s="18">
        <f>'RW predict'!U953</f>
        <v>0</v>
      </c>
      <c r="AA954" s="18">
        <f>'RW predict'!W953</f>
        <v>0</v>
      </c>
    </row>
    <row r="955" spans="1:27" x14ac:dyDescent="0.3">
      <c r="A955" s="18">
        <v>952</v>
      </c>
      <c r="B955" s="18" t="str">
        <f>'RW predict'!A954</f>
        <v>Karel Vejmelka</v>
      </c>
      <c r="C955" s="18" t="str">
        <f>'RW predict'!B954</f>
        <v>ARI</v>
      </c>
      <c r="D955" s="22" t="str" cm="1">
        <f t="array" ref="D955">_xlfn.SWITCH('RW predict'!C954, "C", "F", "LW","F", "RW", "F", "D", "D", "G", "G", "other")</f>
        <v>G</v>
      </c>
      <c r="E955" s="32">
        <f t="shared" si="28"/>
        <v>1483</v>
      </c>
      <c r="F955" s="35">
        <f>E955/assumptions!$B$2</f>
        <v>18.085365853658537</v>
      </c>
      <c r="G955" s="36">
        <f t="shared" si="29"/>
        <v>297</v>
      </c>
      <c r="H955" s="18">
        <f>IF(NOT(D955="G"),'RW predict'!E954,0)</f>
        <v>0</v>
      </c>
      <c r="I955" s="18">
        <f>'RW predict'!Q954</f>
        <v>0</v>
      </c>
      <c r="J955" s="18">
        <f>'RW predict'!F954</f>
        <v>0</v>
      </c>
      <c r="K955" s="18"/>
      <c r="L955" s="18"/>
      <c r="M955" s="18">
        <f>'RW predict'!P954</f>
        <v>0</v>
      </c>
      <c r="N955" s="18"/>
      <c r="O955" s="18">
        <f>'RW predict'!H954</f>
        <v>0</v>
      </c>
      <c r="P955" s="18">
        <f>'RW predict'!I954</f>
        <v>0</v>
      </c>
      <c r="Q955" s="18">
        <f>'RW predict'!L954</f>
        <v>0</v>
      </c>
      <c r="R955" s="18">
        <f>'RW predict'!N954</f>
        <v>0</v>
      </c>
      <c r="S955" s="76">
        <f>'RW predict'!O954</f>
        <v>0</v>
      </c>
      <c r="T955" s="76">
        <f>'RW predict'!K954</f>
        <v>0</v>
      </c>
      <c r="U955" s="22">
        <f>'RW predict'!J954</f>
        <v>0</v>
      </c>
      <c r="V955" s="32">
        <f>IF(D955="G",'RW predict'!E954,0)</f>
        <v>0</v>
      </c>
      <c r="W955" s="18">
        <f>'RW predict'!R954</f>
        <v>13</v>
      </c>
      <c r="X955" s="18">
        <f>'RW predict'!T954</f>
        <v>4</v>
      </c>
      <c r="Y955" s="18">
        <f>'RW predict'!Y954</f>
        <v>1</v>
      </c>
      <c r="Z955" s="18">
        <f>'RW predict'!U954</f>
        <v>173</v>
      </c>
      <c r="AA955" s="18">
        <f>'RW predict'!W954</f>
        <v>1714</v>
      </c>
    </row>
    <row r="956" spans="1:27" x14ac:dyDescent="0.3">
      <c r="A956" s="18">
        <v>953</v>
      </c>
      <c r="B956" s="18" t="str">
        <f>'RW predict'!A955</f>
        <v>Kirill Semyonov</v>
      </c>
      <c r="C956" s="18" t="str">
        <f>'RW predict'!B955</f>
        <v>FA</v>
      </c>
      <c r="D956" s="22" t="str" cm="1">
        <f t="array" ref="D956">_xlfn.SWITCH('RW predict'!C955, "C", "F", "LW","F", "RW", "F", "D", "D", "G", "G", "other")</f>
        <v>F</v>
      </c>
      <c r="E956" s="32">
        <f t="shared" si="28"/>
        <v>-14</v>
      </c>
      <c r="F956" s="35">
        <f>E956/assumptions!$B$2</f>
        <v>-0.17073170731707318</v>
      </c>
      <c r="G956" s="36">
        <f t="shared" si="29"/>
        <v>1073</v>
      </c>
      <c r="H956" s="18">
        <f>IF(NOT(D956="G"),'RW predict'!E955,0)</f>
        <v>0</v>
      </c>
      <c r="I956" s="18">
        <f>'RW predict'!Q955</f>
        <v>0</v>
      </c>
      <c r="J956" s="18">
        <f>'RW predict'!F955</f>
        <v>0</v>
      </c>
      <c r="K956" s="18"/>
      <c r="L956" s="18"/>
      <c r="M956" s="18">
        <f>'RW predict'!P955</f>
        <v>4</v>
      </c>
      <c r="N956" s="18"/>
      <c r="O956" s="18">
        <f>'RW predict'!H955</f>
        <v>-2</v>
      </c>
      <c r="P956" s="18">
        <f>'RW predict'!I955</f>
        <v>0</v>
      </c>
      <c r="Q956" s="18">
        <f>'RW predict'!L955</f>
        <v>0</v>
      </c>
      <c r="R956" s="18">
        <f>'RW predict'!N955</f>
        <v>0</v>
      </c>
      <c r="S956" s="76">
        <f>'RW predict'!O955</f>
        <v>0</v>
      </c>
      <c r="T956" s="76">
        <f>'RW predict'!K955</f>
        <v>0</v>
      </c>
      <c r="U956" s="22">
        <f>'RW predict'!J955</f>
        <v>1</v>
      </c>
      <c r="V956" s="32">
        <f>IF(D956="G",'RW predict'!E955,0)</f>
        <v>0</v>
      </c>
      <c r="W956" s="18">
        <f>'RW predict'!R955</f>
        <v>0</v>
      </c>
      <c r="X956" s="18">
        <f>'RW predict'!T955</f>
        <v>0</v>
      </c>
      <c r="Y956" s="18">
        <f>'RW predict'!Y955</f>
        <v>0</v>
      </c>
      <c r="Z956" s="18">
        <f>'RW predict'!U955</f>
        <v>0</v>
      </c>
      <c r="AA956" s="18">
        <f>'RW predict'!W955</f>
        <v>0</v>
      </c>
    </row>
    <row r="957" spans="1:27" x14ac:dyDescent="0.3">
      <c r="A957" s="18">
        <v>954</v>
      </c>
      <c r="B957" s="18" t="str">
        <f>'RW predict'!A956</f>
        <v>Arvid Soderblom</v>
      </c>
      <c r="C957" s="18" t="str">
        <f>'RW predict'!B956</f>
        <v>CHI</v>
      </c>
      <c r="D957" s="22" t="str" cm="1">
        <f t="array" ref="D957">_xlfn.SWITCH('RW predict'!C956, "C", "F", "LW","F", "RW", "F", "D", "D", "G", "G", "other")</f>
        <v>G</v>
      </c>
      <c r="E957" s="32">
        <f t="shared" si="28"/>
        <v>-57</v>
      </c>
      <c r="F957" s="35">
        <f>E957/assumptions!$B$2</f>
        <v>-0.69512195121951215</v>
      </c>
      <c r="G957" s="36">
        <f t="shared" si="29"/>
        <v>1081</v>
      </c>
      <c r="H957" s="18">
        <f>IF(NOT(D957="G"),'RW predict'!E956,0)</f>
        <v>0</v>
      </c>
      <c r="I957" s="18">
        <f>'RW predict'!Q956</f>
        <v>0</v>
      </c>
      <c r="J957" s="18">
        <f>'RW predict'!F956</f>
        <v>0</v>
      </c>
      <c r="K957" s="18"/>
      <c r="L957" s="18"/>
      <c r="M957" s="18">
        <f>'RW predict'!P956</f>
        <v>0</v>
      </c>
      <c r="N957" s="18"/>
      <c r="O957" s="18">
        <f>'RW predict'!H956</f>
        <v>0</v>
      </c>
      <c r="P957" s="18">
        <f>'RW predict'!I956</f>
        <v>0</v>
      </c>
      <c r="Q957" s="18">
        <f>'RW predict'!L956</f>
        <v>0</v>
      </c>
      <c r="R957" s="18">
        <f>'RW predict'!N956</f>
        <v>0</v>
      </c>
      <c r="S957" s="76">
        <f>'RW predict'!O956</f>
        <v>0</v>
      </c>
      <c r="T957" s="76">
        <f>'RW predict'!K956</f>
        <v>0</v>
      </c>
      <c r="U957" s="22">
        <f>'RW predict'!J956</f>
        <v>0</v>
      </c>
      <c r="V957" s="32">
        <f>IF(D957="G",'RW predict'!E956,0)</f>
        <v>0</v>
      </c>
      <c r="W957" s="18">
        <f>'RW predict'!R956</f>
        <v>0</v>
      </c>
      <c r="X957" s="18">
        <f>'RW predict'!T956</f>
        <v>1</v>
      </c>
      <c r="Y957" s="18">
        <f>'RW predict'!Y956</f>
        <v>0</v>
      </c>
      <c r="Z957" s="18">
        <f>'RW predict'!U956</f>
        <v>43</v>
      </c>
      <c r="AA957" s="18">
        <f>'RW predict'!W956</f>
        <v>284</v>
      </c>
    </row>
    <row r="958" spans="1:27" x14ac:dyDescent="0.3">
      <c r="A958" s="18">
        <v>955</v>
      </c>
      <c r="B958" s="18" t="str">
        <f>'RW predict'!A957</f>
        <v>Jeff Malott</v>
      </c>
      <c r="C958" s="18" t="str">
        <f>'RW predict'!B957</f>
        <v>WPG</v>
      </c>
      <c r="D958" s="22" t="str" cm="1">
        <f t="array" ref="D958">_xlfn.SWITCH('RW predict'!C957, "C", "F", "LW","F", "RW", "F", "D", "D", "G", "G", "other")</f>
        <v>F</v>
      </c>
      <c r="E958" s="32">
        <f t="shared" si="28"/>
        <v>18</v>
      </c>
      <c r="F958" s="35">
        <f>E958/assumptions!$B$2</f>
        <v>0.21951219512195122</v>
      </c>
      <c r="G958" s="36">
        <f t="shared" si="29"/>
        <v>1040</v>
      </c>
      <c r="H958" s="18">
        <f>IF(NOT(D958="G"),'RW predict'!E957,0)</f>
        <v>0</v>
      </c>
      <c r="I958" s="18">
        <f>'RW predict'!Q957</f>
        <v>0</v>
      </c>
      <c r="J958" s="18">
        <f>'RW predict'!F957</f>
        <v>0</v>
      </c>
      <c r="K958" s="18"/>
      <c r="L958" s="18"/>
      <c r="M958" s="18">
        <f>'RW predict'!P957</f>
        <v>6</v>
      </c>
      <c r="N958" s="18"/>
      <c r="O958" s="18">
        <f>'RW predict'!H957</f>
        <v>0</v>
      </c>
      <c r="P958" s="18">
        <f>'RW predict'!I957</f>
        <v>4</v>
      </c>
      <c r="Q958" s="18">
        <f>'RW predict'!L957</f>
        <v>0</v>
      </c>
      <c r="R958" s="18">
        <f>'RW predict'!N957</f>
        <v>0</v>
      </c>
      <c r="S958" s="76">
        <f>'RW predict'!O957</f>
        <v>0</v>
      </c>
      <c r="T958" s="76">
        <f>'RW predict'!K957</f>
        <v>0</v>
      </c>
      <c r="U958" s="22">
        <f>'RW predict'!J957</f>
        <v>0</v>
      </c>
      <c r="V958" s="32">
        <f>IF(D958="G",'RW predict'!E957,0)</f>
        <v>0</v>
      </c>
      <c r="W958" s="18">
        <f>'RW predict'!R957</f>
        <v>0</v>
      </c>
      <c r="X958" s="18">
        <f>'RW predict'!T957</f>
        <v>0</v>
      </c>
      <c r="Y958" s="18">
        <f>'RW predict'!Y957</f>
        <v>0</v>
      </c>
      <c r="Z958" s="18">
        <f>'RW predict'!U957</f>
        <v>0</v>
      </c>
      <c r="AA958" s="18">
        <f>'RW predict'!W957</f>
        <v>0</v>
      </c>
    </row>
    <row r="959" spans="1:27" x14ac:dyDescent="0.3">
      <c r="A959" s="18">
        <v>956</v>
      </c>
      <c r="B959" s="18" t="str">
        <f>'RW predict'!A958</f>
        <v>Bryce Kindopp</v>
      </c>
      <c r="C959" s="18" t="str">
        <f>'RW predict'!B958</f>
        <v>ANH</v>
      </c>
      <c r="D959" s="22" t="str" cm="1">
        <f t="array" ref="D959">_xlfn.SWITCH('RW predict'!C958, "C", "F", "LW","F", "RW", "F", "D", "D", "G", "G", "other")</f>
        <v>F</v>
      </c>
      <c r="E959" s="32">
        <f t="shared" si="28"/>
        <v>-54</v>
      </c>
      <c r="F959" s="35">
        <f>E959/assumptions!$B$2</f>
        <v>-0.65853658536585369</v>
      </c>
      <c r="G959" s="36">
        <f t="shared" si="29"/>
        <v>1080</v>
      </c>
      <c r="H959" s="18">
        <f>IF(NOT(D959="G"),'RW predict'!E958,0)</f>
        <v>0</v>
      </c>
      <c r="I959" s="18">
        <f>'RW predict'!Q958</f>
        <v>0</v>
      </c>
      <c r="J959" s="18">
        <f>'RW predict'!F958</f>
        <v>0</v>
      </c>
      <c r="K959" s="18"/>
      <c r="L959" s="18"/>
      <c r="M959" s="18">
        <f>'RW predict'!P958</f>
        <v>0</v>
      </c>
      <c r="N959" s="18"/>
      <c r="O959" s="18">
        <f>'RW predict'!H958</f>
        <v>-9</v>
      </c>
      <c r="P959" s="18">
        <f>'RW predict'!I958</f>
        <v>0</v>
      </c>
      <c r="Q959" s="18">
        <f>'RW predict'!L958</f>
        <v>0</v>
      </c>
      <c r="R959" s="18">
        <f>'RW predict'!N958</f>
        <v>0</v>
      </c>
      <c r="S959" s="76">
        <f>'RW predict'!O958</f>
        <v>0</v>
      </c>
      <c r="T959" s="76">
        <f>'RW predict'!K958</f>
        <v>0</v>
      </c>
      <c r="U959" s="22">
        <f>'RW predict'!J958</f>
        <v>18</v>
      </c>
      <c r="V959" s="32">
        <f>IF(D959="G",'RW predict'!E958,0)</f>
        <v>0</v>
      </c>
      <c r="W959" s="18">
        <f>'RW predict'!R958</f>
        <v>0</v>
      </c>
      <c r="X959" s="18">
        <f>'RW predict'!T958</f>
        <v>0</v>
      </c>
      <c r="Y959" s="18">
        <f>'RW predict'!Y958</f>
        <v>0</v>
      </c>
      <c r="Z959" s="18">
        <f>'RW predict'!U958</f>
        <v>0</v>
      </c>
      <c r="AA959" s="18">
        <f>'RW predict'!W958</f>
        <v>0</v>
      </c>
    </row>
    <row r="960" spans="1:27" x14ac:dyDescent="0.3">
      <c r="A960" s="18">
        <v>957</v>
      </c>
      <c r="B960" s="18" t="str">
        <f>'RW predict'!A959</f>
        <v>Hunter Drew</v>
      </c>
      <c r="C960" s="18" t="str">
        <f>'RW predict'!B959</f>
        <v>ANH</v>
      </c>
      <c r="D960" s="22" t="str" cm="1">
        <f t="array" ref="D960">_xlfn.SWITCH('RW predict'!C959, "C", "F", "LW","F", "RW", "F", "D", "D", "G", "G", "other")</f>
        <v>D</v>
      </c>
      <c r="E960" s="32">
        <f t="shared" si="28"/>
        <v>0</v>
      </c>
      <c r="F960" s="35">
        <f>E960/assumptions!$B$2</f>
        <v>0</v>
      </c>
      <c r="G960" s="36">
        <f t="shared" si="29"/>
        <v>1061</v>
      </c>
      <c r="H960" s="18">
        <f>IF(NOT(D960="G"),'RW predict'!E959,0)</f>
        <v>0</v>
      </c>
      <c r="I960" s="18">
        <f>'RW predict'!Q959</f>
        <v>0</v>
      </c>
      <c r="J960" s="18">
        <f>'RW predict'!F959</f>
        <v>0</v>
      </c>
      <c r="K960" s="18"/>
      <c r="L960" s="18"/>
      <c r="M960" s="18">
        <f>'RW predict'!P959</f>
        <v>0</v>
      </c>
      <c r="N960" s="18"/>
      <c r="O960" s="18">
        <f>'RW predict'!H959</f>
        <v>0</v>
      </c>
      <c r="P960" s="18">
        <f>'RW predict'!I959</f>
        <v>0</v>
      </c>
      <c r="Q960" s="18">
        <f>'RW predict'!L959</f>
        <v>0</v>
      </c>
      <c r="R960" s="18">
        <f>'RW predict'!N959</f>
        <v>0</v>
      </c>
      <c r="S960" s="76">
        <f>'RW predict'!O959</f>
        <v>0</v>
      </c>
      <c r="T960" s="76">
        <f>'RW predict'!K959</f>
        <v>0</v>
      </c>
      <c r="U960" s="22">
        <f>'RW predict'!J959</f>
        <v>0</v>
      </c>
      <c r="V960" s="32">
        <f>IF(D960="G",'RW predict'!E959,0)</f>
        <v>0</v>
      </c>
      <c r="W960" s="18">
        <f>'RW predict'!R959</f>
        <v>0</v>
      </c>
      <c r="X960" s="18">
        <f>'RW predict'!T959</f>
        <v>0</v>
      </c>
      <c r="Y960" s="18">
        <f>'RW predict'!Y959</f>
        <v>0</v>
      </c>
      <c r="Z960" s="18">
        <f>'RW predict'!U959</f>
        <v>0</v>
      </c>
      <c r="AA960" s="18">
        <f>'RW predict'!W959</f>
        <v>0</v>
      </c>
    </row>
    <row r="961" spans="1:27" x14ac:dyDescent="0.3">
      <c r="A961" s="18">
        <v>958</v>
      </c>
      <c r="B961" s="18" t="str">
        <f>'RW predict'!A960</f>
        <v>Nico Daws</v>
      </c>
      <c r="C961" s="18" t="str">
        <f>'RW predict'!B960</f>
        <v>NJ</v>
      </c>
      <c r="D961" s="22" t="str" cm="1">
        <f t="array" ref="D961">_xlfn.SWITCH('RW predict'!C960, "C", "F", "LW","F", "RW", "F", "D", "D", "G", "G", "other")</f>
        <v>G</v>
      </c>
      <c r="E961" s="32">
        <f t="shared" si="28"/>
        <v>223</v>
      </c>
      <c r="F961" s="35">
        <f>E961/assumptions!$B$2</f>
        <v>2.7195121951219514</v>
      </c>
      <c r="G961" s="36">
        <f t="shared" si="29"/>
        <v>813</v>
      </c>
      <c r="H961" s="18">
        <f>IF(NOT(D961="G"),'RW predict'!E960,0)</f>
        <v>0</v>
      </c>
      <c r="I961" s="18">
        <f>'RW predict'!Q960</f>
        <v>0</v>
      </c>
      <c r="J961" s="18">
        <f>'RW predict'!F960</f>
        <v>0</v>
      </c>
      <c r="K961" s="18"/>
      <c r="L961" s="18"/>
      <c r="M961" s="18">
        <f>'RW predict'!P960</f>
        <v>0</v>
      </c>
      <c r="N961" s="18"/>
      <c r="O961" s="18">
        <f>'RW predict'!H960</f>
        <v>0</v>
      </c>
      <c r="P961" s="18">
        <f>'RW predict'!I960</f>
        <v>0</v>
      </c>
      <c r="Q961" s="18">
        <f>'RW predict'!L960</f>
        <v>0</v>
      </c>
      <c r="R961" s="18">
        <f>'RW predict'!N960</f>
        <v>0</v>
      </c>
      <c r="S961" s="76">
        <f>'RW predict'!O960</f>
        <v>0</v>
      </c>
      <c r="T961" s="76">
        <f>'RW predict'!K960</f>
        <v>0</v>
      </c>
      <c r="U961" s="22">
        <f>'RW predict'!J960</f>
        <v>0</v>
      </c>
      <c r="V961" s="32">
        <f>IF(D961="G",'RW predict'!E960,0)</f>
        <v>0</v>
      </c>
      <c r="W961" s="18">
        <f>'RW predict'!R960</f>
        <v>3</v>
      </c>
      <c r="X961" s="18">
        <f>'RW predict'!T960</f>
        <v>1</v>
      </c>
      <c r="Y961" s="18">
        <f>'RW predict'!Y960</f>
        <v>0</v>
      </c>
      <c r="Z961" s="18">
        <f>'RW predict'!U960</f>
        <v>27</v>
      </c>
      <c r="AA961" s="18">
        <f>'RW predict'!W960</f>
        <v>244</v>
      </c>
    </row>
    <row r="962" spans="1:27" x14ac:dyDescent="0.3">
      <c r="A962" s="18">
        <v>959</v>
      </c>
      <c r="B962" s="18" t="str">
        <f>'RW predict'!A961</f>
        <v>Mitchell Chaffee</v>
      </c>
      <c r="C962" s="18" t="str">
        <f>'RW predict'!B961</f>
        <v>MIN</v>
      </c>
      <c r="D962" s="22" t="str" cm="1">
        <f t="array" ref="D962">_xlfn.SWITCH('RW predict'!C961, "C", "F", "LW","F", "RW", "F", "D", "D", "G", "G", "other")</f>
        <v>F</v>
      </c>
      <c r="E962" s="32">
        <f t="shared" si="28"/>
        <v>15</v>
      </c>
      <c r="F962" s="35">
        <f>E962/assumptions!$B$2</f>
        <v>0.18292682926829268</v>
      </c>
      <c r="G962" s="36">
        <f t="shared" si="29"/>
        <v>1043</v>
      </c>
      <c r="H962" s="18">
        <f>IF(NOT(D962="G"),'RW predict'!E961,0)</f>
        <v>0</v>
      </c>
      <c r="I962" s="18">
        <f>'RW predict'!Q961</f>
        <v>0</v>
      </c>
      <c r="J962" s="18">
        <f>'RW predict'!F961</f>
        <v>0</v>
      </c>
      <c r="K962" s="18"/>
      <c r="L962" s="18"/>
      <c r="M962" s="18">
        <f>'RW predict'!P961</f>
        <v>3</v>
      </c>
      <c r="N962" s="18"/>
      <c r="O962" s="18">
        <f>'RW predict'!H961</f>
        <v>1</v>
      </c>
      <c r="P962" s="18">
        <f>'RW predict'!I961</f>
        <v>0</v>
      </c>
      <c r="Q962" s="18">
        <f>'RW predict'!L961</f>
        <v>0</v>
      </c>
      <c r="R962" s="18">
        <f>'RW predict'!N961</f>
        <v>0</v>
      </c>
      <c r="S962" s="76">
        <f>'RW predict'!O961</f>
        <v>0</v>
      </c>
      <c r="T962" s="76">
        <f>'RW predict'!K961</f>
        <v>0</v>
      </c>
      <c r="U962" s="22">
        <f>'RW predict'!J961</f>
        <v>1</v>
      </c>
      <c r="V962" s="32">
        <f>IF(D962="G",'RW predict'!E961,0)</f>
        <v>0</v>
      </c>
      <c r="W962" s="18">
        <f>'RW predict'!R961</f>
        <v>0</v>
      </c>
      <c r="X962" s="18">
        <f>'RW predict'!T961</f>
        <v>0</v>
      </c>
      <c r="Y962" s="18">
        <f>'RW predict'!Y961</f>
        <v>0</v>
      </c>
      <c r="Z962" s="18">
        <f>'RW predict'!U961</f>
        <v>0</v>
      </c>
      <c r="AA962" s="18">
        <f>'RW predict'!W961</f>
        <v>0</v>
      </c>
    </row>
    <row r="963" spans="1:27" x14ac:dyDescent="0.3">
      <c r="A963" s="18">
        <v>960</v>
      </c>
      <c r="B963" s="18" t="str">
        <f>'RW predict'!A962</f>
        <v>Jacob Perreault</v>
      </c>
      <c r="C963" s="18" t="str">
        <f>'RW predict'!B962</f>
        <v>ANH</v>
      </c>
      <c r="D963" s="22" t="str" cm="1">
        <f t="array" ref="D963">_xlfn.SWITCH('RW predict'!C962, "C", "F", "LW","F", "RW", "F", "D", "D", "G", "G", "other")</f>
        <v>F</v>
      </c>
      <c r="E963" s="32">
        <f t="shared" si="28"/>
        <v>-51</v>
      </c>
      <c r="F963" s="35">
        <f>E963/assumptions!$B$2</f>
        <v>-0.62195121951219512</v>
      </c>
      <c r="G963" s="36">
        <f t="shared" si="29"/>
        <v>1079</v>
      </c>
      <c r="H963" s="18">
        <f>IF(NOT(D963="G"),'RW predict'!E962,0)</f>
        <v>0</v>
      </c>
      <c r="I963" s="18">
        <f>'RW predict'!Q962</f>
        <v>6</v>
      </c>
      <c r="J963" s="18">
        <f>'RW predict'!F962</f>
        <v>0</v>
      </c>
      <c r="K963" s="18"/>
      <c r="L963" s="18"/>
      <c r="M963" s="18">
        <f>'RW predict'!P962</f>
        <v>3</v>
      </c>
      <c r="N963" s="18"/>
      <c r="O963" s="18">
        <f>'RW predict'!H962</f>
        <v>-9</v>
      </c>
      <c r="P963" s="18">
        <f>'RW predict'!I962</f>
        <v>0</v>
      </c>
      <c r="Q963" s="18">
        <f>'RW predict'!L962</f>
        <v>0</v>
      </c>
      <c r="R963" s="18">
        <f>'RW predict'!N962</f>
        <v>0</v>
      </c>
      <c r="S963" s="76">
        <f>'RW predict'!O962</f>
        <v>0</v>
      </c>
      <c r="T963" s="76">
        <f>'RW predict'!K962</f>
        <v>0</v>
      </c>
      <c r="U963" s="22">
        <f>'RW predict'!J962</f>
        <v>12</v>
      </c>
      <c r="V963" s="32">
        <f>IF(D963="G",'RW predict'!E962,0)</f>
        <v>0</v>
      </c>
      <c r="W963" s="18">
        <f>'RW predict'!R962</f>
        <v>0</v>
      </c>
      <c r="X963" s="18">
        <f>'RW predict'!T962</f>
        <v>0</v>
      </c>
      <c r="Y963" s="18">
        <f>'RW predict'!Y962</f>
        <v>0</v>
      </c>
      <c r="Z963" s="18">
        <f>'RW predict'!U962</f>
        <v>0</v>
      </c>
      <c r="AA963" s="18">
        <f>'RW predict'!W962</f>
        <v>0</v>
      </c>
    </row>
    <row r="964" spans="1:27" x14ac:dyDescent="0.3">
      <c r="A964" s="18">
        <v>961</v>
      </c>
      <c r="B964" s="18" t="str">
        <f>'RW predict'!A963</f>
        <v>Tyce Thompson</v>
      </c>
      <c r="C964" s="18" t="str">
        <f>'RW predict'!B963</f>
        <v>NJ</v>
      </c>
      <c r="D964" s="22" t="str" cm="1">
        <f t="array" ref="D964">_xlfn.SWITCH('RW predict'!C963, "C", "F", "LW","F", "RW", "F", "D", "D", "G", "G", "other")</f>
        <v>F</v>
      </c>
      <c r="E964" s="32">
        <f t="shared" si="28"/>
        <v>4</v>
      </c>
      <c r="F964" s="35">
        <f>E964/assumptions!$B$2</f>
        <v>4.878048780487805E-2</v>
      </c>
      <c r="G964" s="36">
        <f t="shared" si="29"/>
        <v>1055</v>
      </c>
      <c r="H964" s="18">
        <f>IF(NOT(D964="G"),'RW predict'!E963,0)</f>
        <v>0</v>
      </c>
      <c r="I964" s="18">
        <f>'RW predict'!Q963</f>
        <v>0</v>
      </c>
      <c r="J964" s="18">
        <f>'RW predict'!F963</f>
        <v>0</v>
      </c>
      <c r="K964" s="18"/>
      <c r="L964" s="18"/>
      <c r="M964" s="18">
        <f>'RW predict'!P963</f>
        <v>4</v>
      </c>
      <c r="N964" s="18"/>
      <c r="O964" s="18">
        <f>'RW predict'!H963</f>
        <v>-1</v>
      </c>
      <c r="P964" s="18">
        <f>'RW predict'!I963</f>
        <v>0</v>
      </c>
      <c r="Q964" s="18">
        <f>'RW predict'!L963</f>
        <v>0</v>
      </c>
      <c r="R964" s="18">
        <f>'RW predict'!N963</f>
        <v>0</v>
      </c>
      <c r="S964" s="76">
        <f>'RW predict'!O963</f>
        <v>0</v>
      </c>
      <c r="T964" s="76">
        <f>'RW predict'!K963</f>
        <v>0</v>
      </c>
      <c r="U964" s="22">
        <f>'RW predict'!J963</f>
        <v>5</v>
      </c>
      <c r="V964" s="32">
        <f>IF(D964="G",'RW predict'!E963,0)</f>
        <v>0</v>
      </c>
      <c r="W964" s="18">
        <f>'RW predict'!R963</f>
        <v>0</v>
      </c>
      <c r="X964" s="18">
        <f>'RW predict'!T963</f>
        <v>0</v>
      </c>
      <c r="Y964" s="18">
        <f>'RW predict'!Y963</f>
        <v>0</v>
      </c>
      <c r="Z964" s="18">
        <f>'RW predict'!U963</f>
        <v>0</v>
      </c>
      <c r="AA964" s="18">
        <f>'RW predict'!W963</f>
        <v>0</v>
      </c>
    </row>
    <row r="965" spans="1:27" x14ac:dyDescent="0.3">
      <c r="A965" s="18">
        <v>962</v>
      </c>
      <c r="B965" s="18" t="str">
        <f>'RW predict'!A964</f>
        <v>Jon Lizotte</v>
      </c>
      <c r="C965" s="18" t="str">
        <f>'RW predict'!B964</f>
        <v>PIT</v>
      </c>
      <c r="D965" s="22" t="str" cm="1">
        <f t="array" ref="D965">_xlfn.SWITCH('RW predict'!C964, "C", "F", "LW","F", "RW", "F", "D", "D", "G", "G", "other")</f>
        <v>D</v>
      </c>
      <c r="E965" s="32">
        <f t="shared" ref="E965:E1028" si="30">H965*$H$3+I965*I$3+K965*K$3+L965*L$3+M965*M$3+N965*N$3+V965*V$3+J965*J$3+O965*$O$3+P965*$P$3+Q965*$Q$3+R965*$R$3+S965*$S$3+T965*$T$3+U965*$U$3+W965*$W$3+X965*$X$3+Y965*$Y$3+Z965*$Z$3+AA965*$AA$3</f>
        <v>19</v>
      </c>
      <c r="F965" s="35">
        <f>E965/assumptions!$B$2</f>
        <v>0.23170731707317074</v>
      </c>
      <c r="G965" s="36">
        <f t="shared" ref="G965:G1028" si="31">RANK(E965,$E$4:$E$1100)</f>
        <v>1038</v>
      </c>
      <c r="H965" s="18">
        <f>IF(NOT(D965="G"),'RW predict'!E964,0)</f>
        <v>0</v>
      </c>
      <c r="I965" s="18">
        <f>'RW predict'!Q964</f>
        <v>4</v>
      </c>
      <c r="J965" s="18">
        <f>'RW predict'!F964</f>
        <v>0</v>
      </c>
      <c r="K965" s="18"/>
      <c r="L965" s="18"/>
      <c r="M965" s="18">
        <f>'RW predict'!P964</f>
        <v>3</v>
      </c>
      <c r="N965" s="18"/>
      <c r="O965" s="18">
        <f>'RW predict'!H964</f>
        <v>0</v>
      </c>
      <c r="P965" s="18">
        <f>'RW predict'!I964</f>
        <v>2</v>
      </c>
      <c r="Q965" s="18">
        <f>'RW predict'!L964</f>
        <v>0</v>
      </c>
      <c r="R965" s="18">
        <f>'RW predict'!N964</f>
        <v>0</v>
      </c>
      <c r="S965" s="76">
        <f>'RW predict'!O964</f>
        <v>0</v>
      </c>
      <c r="T965" s="76">
        <f>'RW predict'!K964</f>
        <v>0</v>
      </c>
      <c r="U965" s="22">
        <f>'RW predict'!J964</f>
        <v>1</v>
      </c>
      <c r="V965" s="32">
        <f>IF(D965="G",'RW predict'!E964,0)</f>
        <v>0</v>
      </c>
      <c r="W965" s="18">
        <f>'RW predict'!R964</f>
        <v>0</v>
      </c>
      <c r="X965" s="18">
        <f>'RW predict'!T964</f>
        <v>0</v>
      </c>
      <c r="Y965" s="18">
        <f>'RW predict'!Y964</f>
        <v>0</v>
      </c>
      <c r="Z965" s="18">
        <f>'RW predict'!U964</f>
        <v>0</v>
      </c>
      <c r="AA965" s="18">
        <f>'RW predict'!W964</f>
        <v>0</v>
      </c>
    </row>
    <row r="966" spans="1:27" x14ac:dyDescent="0.3">
      <c r="A966" s="18">
        <v>963</v>
      </c>
      <c r="B966" s="18" t="str">
        <f>'RW predict'!A965</f>
        <v>Erik Kallgren</v>
      </c>
      <c r="C966" s="18" t="str">
        <f>'RW predict'!B965</f>
        <v>TOR</v>
      </c>
      <c r="D966" s="22" t="str" cm="1">
        <f t="array" ref="D966">_xlfn.SWITCH('RW predict'!C965, "C", "F", "LW","F", "RW", "F", "D", "D", "G", "G", "other")</f>
        <v>G</v>
      </c>
      <c r="E966" s="32">
        <f t="shared" si="30"/>
        <v>114</v>
      </c>
      <c r="F966" s="35">
        <f>E966/assumptions!$B$2</f>
        <v>1.3902439024390243</v>
      </c>
      <c r="G966" s="36">
        <f t="shared" si="31"/>
        <v>891</v>
      </c>
      <c r="H966" s="18">
        <f>IF(NOT(D966="G"),'RW predict'!E965,0)</f>
        <v>0</v>
      </c>
      <c r="I966" s="18">
        <f>'RW predict'!Q965</f>
        <v>0</v>
      </c>
      <c r="J966" s="18">
        <f>'RW predict'!F965</f>
        <v>0</v>
      </c>
      <c r="K966" s="18"/>
      <c r="L966" s="18"/>
      <c r="M966" s="18">
        <f>'RW predict'!P965</f>
        <v>0</v>
      </c>
      <c r="N966" s="18"/>
      <c r="O966" s="18">
        <f>'RW predict'!H965</f>
        <v>0</v>
      </c>
      <c r="P966" s="18">
        <f>'RW predict'!I965</f>
        <v>2</v>
      </c>
      <c r="Q966" s="18">
        <f>'RW predict'!L965</f>
        <v>0</v>
      </c>
      <c r="R966" s="18">
        <f>'RW predict'!N965</f>
        <v>0</v>
      </c>
      <c r="S966" s="76">
        <f>'RW predict'!O965</f>
        <v>0</v>
      </c>
      <c r="T966" s="76">
        <f>'RW predict'!K965</f>
        <v>0</v>
      </c>
      <c r="U966" s="22">
        <f>'RW predict'!J965</f>
        <v>0</v>
      </c>
      <c r="V966" s="32">
        <f>IF(D966="G",'RW predict'!E965,0)</f>
        <v>0</v>
      </c>
      <c r="W966" s="18">
        <f>'RW predict'!R965</f>
        <v>2</v>
      </c>
      <c r="X966" s="18">
        <f>'RW predict'!T965</f>
        <v>0</v>
      </c>
      <c r="Y966" s="18">
        <f>'RW predict'!Y965</f>
        <v>0</v>
      </c>
      <c r="Z966" s="18">
        <f>'RW predict'!U965</f>
        <v>14</v>
      </c>
      <c r="AA966" s="18">
        <f>'RW predict'!W965</f>
        <v>119</v>
      </c>
    </row>
    <row r="967" spans="1:27" x14ac:dyDescent="0.3">
      <c r="A967" s="18">
        <v>964</v>
      </c>
      <c r="B967" s="18" t="str">
        <f>'RW predict'!A966</f>
        <v>Spencer Knight</v>
      </c>
      <c r="C967" s="18" t="str">
        <f>'RW predict'!B966</f>
        <v>FLA</v>
      </c>
      <c r="D967" s="22" t="str" cm="1">
        <f t="array" ref="D967">_xlfn.SWITCH('RW predict'!C966, "C", "F", "LW","F", "RW", "F", "D", "D", "G", "G", "other")</f>
        <v>G</v>
      </c>
      <c r="E967" s="32">
        <f t="shared" si="30"/>
        <v>1230</v>
      </c>
      <c r="F967" s="35">
        <f>E967/assumptions!$B$2</f>
        <v>15</v>
      </c>
      <c r="G967" s="36">
        <f t="shared" si="31"/>
        <v>389</v>
      </c>
      <c r="H967" s="18">
        <f>IF(NOT(D967="G"),'RW predict'!E966,0)</f>
        <v>0</v>
      </c>
      <c r="I967" s="18">
        <f>'RW predict'!Q966</f>
        <v>0</v>
      </c>
      <c r="J967" s="18">
        <f>'RW predict'!F966</f>
        <v>0</v>
      </c>
      <c r="K967" s="18"/>
      <c r="L967" s="18"/>
      <c r="M967" s="18">
        <f>'RW predict'!P966</f>
        <v>0</v>
      </c>
      <c r="N967" s="18"/>
      <c r="O967" s="18">
        <f>'RW predict'!H966</f>
        <v>0</v>
      </c>
      <c r="P967" s="18">
        <f>'RW predict'!I966</f>
        <v>0</v>
      </c>
      <c r="Q967" s="18">
        <f>'RW predict'!L966</f>
        <v>0</v>
      </c>
      <c r="R967" s="18">
        <f>'RW predict'!N966</f>
        <v>0</v>
      </c>
      <c r="S967" s="76">
        <f>'RW predict'!O966</f>
        <v>0</v>
      </c>
      <c r="T967" s="76">
        <f>'RW predict'!K966</f>
        <v>0</v>
      </c>
      <c r="U967" s="22">
        <f>'RW predict'!J966</f>
        <v>0</v>
      </c>
      <c r="V967" s="32">
        <f>IF(D967="G",'RW predict'!E966,0)</f>
        <v>0</v>
      </c>
      <c r="W967" s="18">
        <f>'RW predict'!R966</f>
        <v>18</v>
      </c>
      <c r="X967" s="18">
        <f>'RW predict'!T966</f>
        <v>2</v>
      </c>
      <c r="Y967" s="18">
        <f>'RW predict'!Y966</f>
        <v>2</v>
      </c>
      <c r="Z967" s="18">
        <f>'RW predict'!U966</f>
        <v>84</v>
      </c>
      <c r="AA967" s="18">
        <f>'RW predict'!W966</f>
        <v>815</v>
      </c>
    </row>
    <row r="968" spans="1:27" x14ac:dyDescent="0.3">
      <c r="A968" s="18">
        <v>965</v>
      </c>
      <c r="B968" s="18" t="str">
        <f>'RW predict'!A967</f>
        <v>Mads Sogaard</v>
      </c>
      <c r="C968" s="18" t="str">
        <f>'RW predict'!B967</f>
        <v>OTT</v>
      </c>
      <c r="D968" s="22" t="str" cm="1">
        <f t="array" ref="D968">_xlfn.SWITCH('RW predict'!C967, "C", "F", "LW","F", "RW", "F", "D", "D", "G", "G", "other")</f>
        <v>G</v>
      </c>
      <c r="E968" s="32">
        <f t="shared" si="30"/>
        <v>45</v>
      </c>
      <c r="F968" s="35">
        <f>E968/assumptions!$B$2</f>
        <v>0.54878048780487809</v>
      </c>
      <c r="G968" s="36">
        <f t="shared" si="31"/>
        <v>998</v>
      </c>
      <c r="H968" s="18">
        <f>IF(NOT(D968="G"),'RW predict'!E967,0)</f>
        <v>0</v>
      </c>
      <c r="I968" s="18">
        <f>'RW predict'!Q967</f>
        <v>0</v>
      </c>
      <c r="J968" s="18">
        <f>'RW predict'!F967</f>
        <v>0</v>
      </c>
      <c r="K968" s="18"/>
      <c r="L968" s="18"/>
      <c r="M968" s="18">
        <f>'RW predict'!P967</f>
        <v>0</v>
      </c>
      <c r="N968" s="18"/>
      <c r="O968" s="18">
        <f>'RW predict'!H967</f>
        <v>0</v>
      </c>
      <c r="P968" s="18">
        <f>'RW predict'!I967</f>
        <v>0</v>
      </c>
      <c r="Q968" s="18">
        <f>'RW predict'!L967</f>
        <v>0</v>
      </c>
      <c r="R968" s="18">
        <f>'RW predict'!N967</f>
        <v>0</v>
      </c>
      <c r="S968" s="76">
        <f>'RW predict'!O967</f>
        <v>0</v>
      </c>
      <c r="T968" s="76">
        <f>'RW predict'!K967</f>
        <v>0</v>
      </c>
      <c r="U968" s="22">
        <f>'RW predict'!J967</f>
        <v>0</v>
      </c>
      <c r="V968" s="32">
        <f>IF(D968="G",'RW predict'!E967,0)</f>
        <v>0</v>
      </c>
      <c r="W968" s="18">
        <f>'RW predict'!R967</f>
        <v>1</v>
      </c>
      <c r="X968" s="18">
        <f>'RW predict'!T967</f>
        <v>0</v>
      </c>
      <c r="Y968" s="18">
        <f>'RW predict'!Y967</f>
        <v>0</v>
      </c>
      <c r="Z968" s="18">
        <f>'RW predict'!U967</f>
        <v>7</v>
      </c>
      <c r="AA968" s="18">
        <f>'RW predict'!W967</f>
        <v>55</v>
      </c>
    </row>
    <row r="969" spans="1:27" x14ac:dyDescent="0.3">
      <c r="A969" s="18">
        <v>966</v>
      </c>
      <c r="B969" s="18" t="str">
        <f>'RW predict'!A968</f>
        <v>Pyotr Kochetkov</v>
      </c>
      <c r="C969" s="18" t="str">
        <f>'RW predict'!B968</f>
        <v>CAR</v>
      </c>
      <c r="D969" s="22" t="str" cm="1">
        <f t="array" ref="D969">_xlfn.SWITCH('RW predict'!C968, "C", "F", "LW","F", "RW", "F", "D", "D", "G", "G", "other")</f>
        <v>G</v>
      </c>
      <c r="E969" s="32">
        <f t="shared" si="30"/>
        <v>169</v>
      </c>
      <c r="F969" s="35">
        <f>E969/assumptions!$B$2</f>
        <v>2.0609756097560976</v>
      </c>
      <c r="G969" s="36">
        <f t="shared" si="31"/>
        <v>849</v>
      </c>
      <c r="H969" s="18">
        <f>IF(NOT(D969="G"),'RW predict'!E968,0)</f>
        <v>0</v>
      </c>
      <c r="I969" s="18">
        <f>'RW predict'!Q968</f>
        <v>0</v>
      </c>
      <c r="J969" s="18">
        <f>'RW predict'!F968</f>
        <v>0</v>
      </c>
      <c r="K969" s="18"/>
      <c r="L969" s="18"/>
      <c r="M969" s="18">
        <f>'RW predict'!P968</f>
        <v>0</v>
      </c>
      <c r="N969" s="18"/>
      <c r="O969" s="18">
        <f>'RW predict'!H968</f>
        <v>0</v>
      </c>
      <c r="P969" s="18">
        <f>'RW predict'!I968</f>
        <v>0</v>
      </c>
      <c r="Q969" s="18">
        <f>'RW predict'!L968</f>
        <v>0</v>
      </c>
      <c r="R969" s="18">
        <f>'RW predict'!N968</f>
        <v>0</v>
      </c>
      <c r="S969" s="76">
        <f>'RW predict'!O968</f>
        <v>0</v>
      </c>
      <c r="T969" s="76">
        <f>'RW predict'!K968</f>
        <v>0</v>
      </c>
      <c r="U969" s="22">
        <f>'RW predict'!J968</f>
        <v>0</v>
      </c>
      <c r="V969" s="32">
        <f>IF(D969="G",'RW predict'!E968,0)</f>
        <v>0</v>
      </c>
      <c r="W969" s="18">
        <f>'RW predict'!R968</f>
        <v>3</v>
      </c>
      <c r="X969" s="18">
        <f>'RW predict'!T968</f>
        <v>0</v>
      </c>
      <c r="Y969" s="18">
        <f>'RW predict'!Y968</f>
        <v>0</v>
      </c>
      <c r="Z969" s="18">
        <f>'RW predict'!U968</f>
        <v>13</v>
      </c>
      <c r="AA969" s="18">
        <f>'RW predict'!W968</f>
        <v>122</v>
      </c>
    </row>
    <row r="970" spans="1:27" x14ac:dyDescent="0.3">
      <c r="A970" s="18">
        <v>967</v>
      </c>
      <c r="B970" s="18" t="str">
        <f>'RW predict'!A969</f>
        <v>Alex Turcotte</v>
      </c>
      <c r="C970" s="18" t="str">
        <f>'RW predict'!B969</f>
        <v>LA</v>
      </c>
      <c r="D970" s="22" t="str" cm="1">
        <f t="array" ref="D970">_xlfn.SWITCH('RW predict'!C969, "C", "F", "LW","F", "RW", "F", "D", "D", "G", "G", "other")</f>
        <v>F</v>
      </c>
      <c r="E970" s="32">
        <f t="shared" si="30"/>
        <v>24</v>
      </c>
      <c r="F970" s="35">
        <f>E970/assumptions!$B$2</f>
        <v>0.29268292682926828</v>
      </c>
      <c r="G970" s="36">
        <f t="shared" si="31"/>
        <v>1029</v>
      </c>
      <c r="H970" s="18">
        <f>IF(NOT(D970="G"),'RW predict'!E969,0)</f>
        <v>0</v>
      </c>
      <c r="I970" s="18">
        <f>'RW predict'!Q969</f>
        <v>1</v>
      </c>
      <c r="J970" s="18">
        <f>'RW predict'!F969</f>
        <v>0</v>
      </c>
      <c r="K970" s="18"/>
      <c r="L970" s="18"/>
      <c r="M970" s="18">
        <f>'RW predict'!P969</f>
        <v>4</v>
      </c>
      <c r="N970" s="18"/>
      <c r="O970" s="18">
        <f>'RW predict'!H969</f>
        <v>0</v>
      </c>
      <c r="P970" s="18">
        <f>'RW predict'!I969</f>
        <v>2</v>
      </c>
      <c r="Q970" s="18">
        <f>'RW predict'!L969</f>
        <v>0</v>
      </c>
      <c r="R970" s="18">
        <f>'RW predict'!N969</f>
        <v>0</v>
      </c>
      <c r="S970" s="76">
        <f>'RW predict'!O969</f>
        <v>0</v>
      </c>
      <c r="T970" s="76">
        <f>'RW predict'!K969</f>
        <v>0</v>
      </c>
      <c r="U970" s="22">
        <f>'RW predict'!J969</f>
        <v>6</v>
      </c>
      <c r="V970" s="32">
        <f>IF(D970="G",'RW predict'!E969,0)</f>
        <v>0</v>
      </c>
      <c r="W970" s="18">
        <f>'RW predict'!R969</f>
        <v>0</v>
      </c>
      <c r="X970" s="18">
        <f>'RW predict'!T969</f>
        <v>0</v>
      </c>
      <c r="Y970" s="18">
        <f>'RW predict'!Y969</f>
        <v>0</v>
      </c>
      <c r="Z970" s="18">
        <f>'RW predict'!U969</f>
        <v>0</v>
      </c>
      <c r="AA970" s="18">
        <f>'RW predict'!W969</f>
        <v>0</v>
      </c>
    </row>
    <row r="971" spans="1:27" x14ac:dyDescent="0.3">
      <c r="A971" s="18">
        <v>968</v>
      </c>
      <c r="B971" s="18" t="str">
        <f>'RW predict'!A970</f>
        <v>Alex Belzile</v>
      </c>
      <c r="C971" s="18" t="str">
        <f>'RW predict'!B970</f>
        <v>MON</v>
      </c>
      <c r="D971" s="22" t="str" cm="1">
        <f t="array" ref="D971">_xlfn.SWITCH('RW predict'!C970, "C", "F", "LW","F", "RW", "F", "D", "D", "G", "G", "other")</f>
        <v>F</v>
      </c>
      <c r="E971" s="32">
        <f t="shared" si="30"/>
        <v>20</v>
      </c>
      <c r="F971" s="35">
        <f>E971/assumptions!$B$2</f>
        <v>0.24390243902439024</v>
      </c>
      <c r="G971" s="36">
        <f t="shared" si="31"/>
        <v>1035</v>
      </c>
      <c r="H971" s="18">
        <f>IF(NOT(D971="G"),'RW predict'!E970,0)</f>
        <v>0</v>
      </c>
      <c r="I971" s="18">
        <f>'RW predict'!Q970</f>
        <v>2</v>
      </c>
      <c r="J971" s="18">
        <f>'RW predict'!F970</f>
        <v>0</v>
      </c>
      <c r="K971" s="18"/>
      <c r="L971" s="18"/>
      <c r="M971" s="18">
        <f>'RW predict'!P970</f>
        <v>8</v>
      </c>
      <c r="N971" s="18"/>
      <c r="O971" s="18">
        <f>'RW predict'!H970</f>
        <v>-1</v>
      </c>
      <c r="P971" s="18">
        <f>'RW predict'!I970</f>
        <v>2</v>
      </c>
      <c r="Q971" s="18">
        <f>'RW predict'!L970</f>
        <v>0</v>
      </c>
      <c r="R971" s="18">
        <f>'RW predict'!N970</f>
        <v>0</v>
      </c>
      <c r="S971" s="76">
        <f>'RW predict'!O970</f>
        <v>0</v>
      </c>
      <c r="T971" s="76">
        <f>'RW predict'!K970</f>
        <v>0</v>
      </c>
      <c r="U971" s="22">
        <f>'RW predict'!J970</f>
        <v>6</v>
      </c>
      <c r="V971" s="32">
        <f>IF(D971="G",'RW predict'!E970,0)</f>
        <v>0</v>
      </c>
      <c r="W971" s="18">
        <f>'RW predict'!R970</f>
        <v>0</v>
      </c>
      <c r="X971" s="18">
        <f>'RW predict'!T970</f>
        <v>0</v>
      </c>
      <c r="Y971" s="18">
        <f>'RW predict'!Y970</f>
        <v>0</v>
      </c>
      <c r="Z971" s="18">
        <f>'RW predict'!U970</f>
        <v>0</v>
      </c>
      <c r="AA971" s="18">
        <f>'RW predict'!W970</f>
        <v>0</v>
      </c>
    </row>
    <row r="972" spans="1:27" x14ac:dyDescent="0.3">
      <c r="A972" s="18">
        <v>969</v>
      </c>
      <c r="B972" s="18" t="str">
        <f>'RW predict'!A971</f>
        <v>Brayden Tracey</v>
      </c>
      <c r="C972" s="18" t="str">
        <f>'RW predict'!B971</f>
        <v>ANH</v>
      </c>
      <c r="D972" s="22" t="str" cm="1">
        <f t="array" ref="D972">_xlfn.SWITCH('RW predict'!C971, "C", "F", "LW","F", "RW", "F", "D", "D", "G", "G", "other")</f>
        <v>F</v>
      </c>
      <c r="E972" s="32">
        <f t="shared" si="30"/>
        <v>-66</v>
      </c>
      <c r="F972" s="35">
        <f>E972/assumptions!$B$2</f>
        <v>-0.80487804878048785</v>
      </c>
      <c r="G972" s="36">
        <f t="shared" si="31"/>
        <v>1082</v>
      </c>
      <c r="H972" s="18">
        <f>IF(NOT(D972="G"),'RW predict'!E971,0)</f>
        <v>0</v>
      </c>
      <c r="I972" s="18">
        <f>'RW predict'!Q971</f>
        <v>0</v>
      </c>
      <c r="J972" s="18">
        <f>'RW predict'!F971</f>
        <v>0</v>
      </c>
      <c r="K972" s="18"/>
      <c r="L972" s="18"/>
      <c r="M972" s="18">
        <f>'RW predict'!P971</f>
        <v>0</v>
      </c>
      <c r="N972" s="18"/>
      <c r="O972" s="18">
        <f>'RW predict'!H971</f>
        <v>-11</v>
      </c>
      <c r="P972" s="18">
        <f>'RW predict'!I971</f>
        <v>0</v>
      </c>
      <c r="Q972" s="18">
        <f>'RW predict'!L971</f>
        <v>0</v>
      </c>
      <c r="R972" s="18">
        <f>'RW predict'!N971</f>
        <v>0</v>
      </c>
      <c r="S972" s="76">
        <f>'RW predict'!O971</f>
        <v>0</v>
      </c>
      <c r="T972" s="76">
        <f>'RW predict'!K971</f>
        <v>0</v>
      </c>
      <c r="U972" s="22">
        <f>'RW predict'!J971</f>
        <v>22</v>
      </c>
      <c r="V972" s="32">
        <f>IF(D972="G",'RW predict'!E971,0)</f>
        <v>0</v>
      </c>
      <c r="W972" s="18">
        <f>'RW predict'!R971</f>
        <v>0</v>
      </c>
      <c r="X972" s="18">
        <f>'RW predict'!T971</f>
        <v>0</v>
      </c>
      <c r="Y972" s="18">
        <f>'RW predict'!Y971</f>
        <v>0</v>
      </c>
      <c r="Z972" s="18">
        <f>'RW predict'!U971</f>
        <v>0</v>
      </c>
      <c r="AA972" s="18">
        <f>'RW predict'!W971</f>
        <v>0</v>
      </c>
    </row>
    <row r="973" spans="1:27" x14ac:dyDescent="0.3">
      <c r="A973" s="18">
        <v>970</v>
      </c>
      <c r="B973" s="18" t="str">
        <f>'RW predict'!A972</f>
        <v>Ivan Prosvetov</v>
      </c>
      <c r="C973" s="18" t="str">
        <f>'RW predict'!B972</f>
        <v>ARI</v>
      </c>
      <c r="D973" s="22" t="str" cm="1">
        <f t="array" ref="D973">_xlfn.SWITCH('RW predict'!C972, "C", "F", "LW","F", "RW", "F", "D", "D", "G", "G", "other")</f>
        <v>G</v>
      </c>
      <c r="E973" s="32">
        <f t="shared" si="30"/>
        <v>4</v>
      </c>
      <c r="F973" s="35">
        <f>E973/assumptions!$B$2</f>
        <v>4.878048780487805E-2</v>
      </c>
      <c r="G973" s="36">
        <f t="shared" si="31"/>
        <v>1055</v>
      </c>
      <c r="H973" s="18">
        <f>IF(NOT(D973="G"),'RW predict'!E972,0)</f>
        <v>0</v>
      </c>
      <c r="I973" s="18">
        <f>'RW predict'!Q972</f>
        <v>0</v>
      </c>
      <c r="J973" s="18">
        <f>'RW predict'!F972</f>
        <v>0</v>
      </c>
      <c r="K973" s="18"/>
      <c r="L973" s="18"/>
      <c r="M973" s="18">
        <f>'RW predict'!P972</f>
        <v>0</v>
      </c>
      <c r="N973" s="18"/>
      <c r="O973" s="18">
        <f>'RW predict'!H972</f>
        <v>0</v>
      </c>
      <c r="P973" s="18">
        <f>'RW predict'!I972</f>
        <v>0</v>
      </c>
      <c r="Q973" s="18">
        <f>'RW predict'!L972</f>
        <v>0</v>
      </c>
      <c r="R973" s="18">
        <f>'RW predict'!N972</f>
        <v>0</v>
      </c>
      <c r="S973" s="76">
        <f>'RW predict'!O972</f>
        <v>0</v>
      </c>
      <c r="T973" s="76">
        <f>'RW predict'!K972</f>
        <v>0</v>
      </c>
      <c r="U973" s="22">
        <f>'RW predict'!J972</f>
        <v>0</v>
      </c>
      <c r="V973" s="32">
        <f>IF(D973="G",'RW predict'!E972,0)</f>
        <v>0</v>
      </c>
      <c r="W973" s="18">
        <f>'RW predict'!R972</f>
        <v>0</v>
      </c>
      <c r="X973" s="18">
        <f>'RW predict'!T972</f>
        <v>1</v>
      </c>
      <c r="Y973" s="18">
        <f>'RW predict'!Y972</f>
        <v>0</v>
      </c>
      <c r="Z973" s="18">
        <f>'RW predict'!U972</f>
        <v>14</v>
      </c>
      <c r="AA973" s="18">
        <f>'RW predict'!W972</f>
        <v>97</v>
      </c>
    </row>
    <row r="974" spans="1:27" x14ac:dyDescent="0.3">
      <c r="A974" s="18">
        <v>971</v>
      </c>
      <c r="B974" s="18" t="str">
        <f>'RW predict'!A973</f>
        <v>Kaedan Korczak</v>
      </c>
      <c r="C974" s="18" t="str">
        <f>'RW predict'!B973</f>
        <v>VGK</v>
      </c>
      <c r="D974" s="22" t="str" cm="1">
        <f t="array" ref="D974">_xlfn.SWITCH('RW predict'!C973, "C", "F", "LW","F", "RW", "F", "D", "D", "G", "G", "other")</f>
        <v>D</v>
      </c>
      <c r="E974" s="32">
        <f t="shared" si="30"/>
        <v>6</v>
      </c>
      <c r="F974" s="35">
        <f>E974/assumptions!$B$2</f>
        <v>7.3170731707317069E-2</v>
      </c>
      <c r="G974" s="36">
        <f t="shared" si="31"/>
        <v>1052</v>
      </c>
      <c r="H974" s="18">
        <f>IF(NOT(D974="G"),'RW predict'!E973,0)</f>
        <v>0</v>
      </c>
      <c r="I974" s="18">
        <f>'RW predict'!Q973</f>
        <v>2</v>
      </c>
      <c r="J974" s="18">
        <f>'RW predict'!F973</f>
        <v>0</v>
      </c>
      <c r="K974" s="18"/>
      <c r="L974" s="18"/>
      <c r="M974" s="18">
        <f>'RW predict'!P973</f>
        <v>0</v>
      </c>
      <c r="N974" s="18"/>
      <c r="O974" s="18">
        <f>'RW predict'!H973</f>
        <v>0</v>
      </c>
      <c r="P974" s="18">
        <f>'RW predict'!I973</f>
        <v>0</v>
      </c>
      <c r="Q974" s="18">
        <f>'RW predict'!L973</f>
        <v>0</v>
      </c>
      <c r="R974" s="18">
        <f>'RW predict'!N973</f>
        <v>0</v>
      </c>
      <c r="S974" s="76">
        <f>'RW predict'!O973</f>
        <v>0</v>
      </c>
      <c r="T974" s="76">
        <f>'RW predict'!K973</f>
        <v>0</v>
      </c>
      <c r="U974" s="22">
        <f>'RW predict'!J973</f>
        <v>1</v>
      </c>
      <c r="V974" s="32">
        <f>IF(D974="G",'RW predict'!E973,0)</f>
        <v>0</v>
      </c>
      <c r="W974" s="18">
        <f>'RW predict'!R973</f>
        <v>0</v>
      </c>
      <c r="X974" s="18">
        <f>'RW predict'!T973</f>
        <v>0</v>
      </c>
      <c r="Y974" s="18">
        <f>'RW predict'!Y973</f>
        <v>0</v>
      </c>
      <c r="Z974" s="18">
        <f>'RW predict'!U973</f>
        <v>0</v>
      </c>
      <c r="AA974" s="18">
        <f>'RW predict'!W973</f>
        <v>0</v>
      </c>
    </row>
    <row r="975" spans="1:27" x14ac:dyDescent="0.3">
      <c r="A975" s="18">
        <v>972</v>
      </c>
      <c r="B975" s="18" t="str">
        <f>'RW predict'!A974</f>
        <v>Samuel Fagemo</v>
      </c>
      <c r="C975" s="18" t="str">
        <f>'RW predict'!B974</f>
        <v>LA</v>
      </c>
      <c r="D975" s="22" t="str" cm="1">
        <f t="array" ref="D975">_xlfn.SWITCH('RW predict'!C974, "C", "F", "LW","F", "RW", "F", "D", "D", "G", "G", "other")</f>
        <v>F</v>
      </c>
      <c r="E975" s="32">
        <f t="shared" si="30"/>
        <v>-2</v>
      </c>
      <c r="F975" s="35">
        <f>E975/assumptions!$B$2</f>
        <v>-2.4390243902439025E-2</v>
      </c>
      <c r="G975" s="36">
        <f t="shared" si="31"/>
        <v>1067</v>
      </c>
      <c r="H975" s="18">
        <f>IF(NOT(D975="G"),'RW predict'!E974,0)</f>
        <v>0</v>
      </c>
      <c r="I975" s="18">
        <f>'RW predict'!Q974</f>
        <v>2</v>
      </c>
      <c r="J975" s="18">
        <f>'RW predict'!F974</f>
        <v>0</v>
      </c>
      <c r="K975" s="18"/>
      <c r="L975" s="18"/>
      <c r="M975" s="18">
        <f>'RW predict'!P974</f>
        <v>2</v>
      </c>
      <c r="N975" s="18"/>
      <c r="O975" s="18">
        <f>'RW predict'!H974</f>
        <v>-2</v>
      </c>
      <c r="P975" s="18">
        <f>'RW predict'!I974</f>
        <v>0</v>
      </c>
      <c r="Q975" s="18">
        <f>'RW predict'!L974</f>
        <v>0</v>
      </c>
      <c r="R975" s="18">
        <f>'RW predict'!N974</f>
        <v>0</v>
      </c>
      <c r="S975" s="76">
        <f>'RW predict'!O974</f>
        <v>0</v>
      </c>
      <c r="T975" s="76">
        <f>'RW predict'!K974</f>
        <v>0</v>
      </c>
      <c r="U975" s="22">
        <f>'RW predict'!J974</f>
        <v>6</v>
      </c>
      <c r="V975" s="32">
        <f>IF(D975="G",'RW predict'!E974,0)</f>
        <v>0</v>
      </c>
      <c r="W975" s="18">
        <f>'RW predict'!R974</f>
        <v>0</v>
      </c>
      <c r="X975" s="18">
        <f>'RW predict'!T974</f>
        <v>0</v>
      </c>
      <c r="Y975" s="18">
        <f>'RW predict'!Y974</f>
        <v>0</v>
      </c>
      <c r="Z975" s="18">
        <f>'RW predict'!U974</f>
        <v>0</v>
      </c>
      <c r="AA975" s="18">
        <f>'RW predict'!W974</f>
        <v>0</v>
      </c>
    </row>
    <row r="976" spans="1:27" x14ac:dyDescent="0.3">
      <c r="A976" s="18">
        <v>973</v>
      </c>
      <c r="B976" s="18" t="str">
        <f>'RW predict'!A975</f>
        <v>David Gustafsson</v>
      </c>
      <c r="C976" s="18" t="str">
        <f>'RW predict'!B975</f>
        <v>WPG</v>
      </c>
      <c r="D976" s="22" t="str" cm="1">
        <f t="array" ref="D976">_xlfn.SWITCH('RW predict'!C975, "C", "F", "LW","F", "RW", "F", "D", "D", "G", "G", "other")</f>
        <v>F</v>
      </c>
      <c r="E976" s="32">
        <f t="shared" si="30"/>
        <v>39</v>
      </c>
      <c r="F976" s="35">
        <f>E976/assumptions!$B$2</f>
        <v>0.47560975609756095</v>
      </c>
      <c r="G976" s="36">
        <f t="shared" si="31"/>
        <v>1005</v>
      </c>
      <c r="H976" s="18">
        <f>IF(NOT(D976="G"),'RW predict'!E975,0)</f>
        <v>0</v>
      </c>
      <c r="I976" s="18">
        <f>'RW predict'!Q975</f>
        <v>13</v>
      </c>
      <c r="J976" s="18">
        <f>'RW predict'!F975</f>
        <v>0</v>
      </c>
      <c r="K976" s="18"/>
      <c r="L976" s="18"/>
      <c r="M976" s="18">
        <f>'RW predict'!P975</f>
        <v>13</v>
      </c>
      <c r="N976" s="18"/>
      <c r="O976" s="18">
        <f>'RW predict'!H975</f>
        <v>0</v>
      </c>
      <c r="P976" s="18">
        <f>'RW predict'!I975</f>
        <v>0</v>
      </c>
      <c r="Q976" s="18">
        <f>'RW predict'!L975</f>
        <v>0</v>
      </c>
      <c r="R976" s="18">
        <f>'RW predict'!N975</f>
        <v>0</v>
      </c>
      <c r="S976" s="76">
        <f>'RW predict'!O975</f>
        <v>0</v>
      </c>
      <c r="T976" s="76">
        <f>'RW predict'!K975</f>
        <v>0</v>
      </c>
      <c r="U976" s="22">
        <f>'RW predict'!J975</f>
        <v>0</v>
      </c>
      <c r="V976" s="32">
        <f>IF(D976="G",'RW predict'!E975,0)</f>
        <v>0</v>
      </c>
      <c r="W976" s="18">
        <f>'RW predict'!R975</f>
        <v>0</v>
      </c>
      <c r="X976" s="18">
        <f>'RW predict'!T975</f>
        <v>0</v>
      </c>
      <c r="Y976" s="18">
        <f>'RW predict'!Y975</f>
        <v>0</v>
      </c>
      <c r="Z976" s="18">
        <f>'RW predict'!U975</f>
        <v>0</v>
      </c>
      <c r="AA976" s="18">
        <f>'RW predict'!W975</f>
        <v>0</v>
      </c>
    </row>
    <row r="977" spans="1:27" x14ac:dyDescent="0.3">
      <c r="A977" s="18">
        <v>974</v>
      </c>
      <c r="B977" s="18" t="str">
        <f>'RW predict'!A976</f>
        <v>Filip Hallander</v>
      </c>
      <c r="C977" s="18" t="str">
        <f>'RW predict'!B976</f>
        <v>PIT</v>
      </c>
      <c r="D977" s="22" t="str" cm="1">
        <f t="array" ref="D977">_xlfn.SWITCH('RW predict'!C976, "C", "F", "LW","F", "RW", "F", "D", "D", "G", "G", "other")</f>
        <v>F</v>
      </c>
      <c r="E977" s="32">
        <f t="shared" si="30"/>
        <v>0</v>
      </c>
      <c r="F977" s="35">
        <f>E977/assumptions!$B$2</f>
        <v>0</v>
      </c>
      <c r="G977" s="36">
        <f t="shared" si="31"/>
        <v>1061</v>
      </c>
      <c r="H977" s="18">
        <f>IF(NOT(D977="G"),'RW predict'!E976,0)</f>
        <v>0</v>
      </c>
      <c r="I977" s="18">
        <f>'RW predict'!Q976</f>
        <v>0</v>
      </c>
      <c r="J977" s="18">
        <f>'RW predict'!F976</f>
        <v>0</v>
      </c>
      <c r="K977" s="18"/>
      <c r="L977" s="18"/>
      <c r="M977" s="18">
        <f>'RW predict'!P976</f>
        <v>0</v>
      </c>
      <c r="N977" s="18"/>
      <c r="O977" s="18">
        <f>'RW predict'!H976</f>
        <v>0</v>
      </c>
      <c r="P977" s="18">
        <f>'RW predict'!I976</f>
        <v>0</v>
      </c>
      <c r="Q977" s="18">
        <f>'RW predict'!L976</f>
        <v>0</v>
      </c>
      <c r="R977" s="18">
        <f>'RW predict'!N976</f>
        <v>0</v>
      </c>
      <c r="S977" s="76">
        <f>'RW predict'!O976</f>
        <v>0</v>
      </c>
      <c r="T977" s="76">
        <f>'RW predict'!K976</f>
        <v>0</v>
      </c>
      <c r="U977" s="22">
        <f>'RW predict'!J976</f>
        <v>0</v>
      </c>
      <c r="V977" s="32">
        <f>IF(D977="G",'RW predict'!E976,0)</f>
        <v>0</v>
      </c>
      <c r="W977" s="18">
        <f>'RW predict'!R976</f>
        <v>0</v>
      </c>
      <c r="X977" s="18">
        <f>'RW predict'!T976</f>
        <v>0</v>
      </c>
      <c r="Y977" s="18">
        <f>'RW predict'!Y976</f>
        <v>0</v>
      </c>
      <c r="Z977" s="18">
        <f>'RW predict'!U976</f>
        <v>0</v>
      </c>
      <c r="AA977" s="18">
        <f>'RW predict'!W976</f>
        <v>0</v>
      </c>
    </row>
    <row r="978" spans="1:27" x14ac:dyDescent="0.3">
      <c r="A978" s="18">
        <v>975</v>
      </c>
      <c r="B978" s="18" t="str">
        <f>'RW predict'!A977</f>
        <v>Alex True</v>
      </c>
      <c r="C978" s="18" t="str">
        <f>'RW predict'!B977</f>
        <v>SEA</v>
      </c>
      <c r="D978" s="22" t="str" cm="1">
        <f t="array" ref="D978">_xlfn.SWITCH('RW predict'!C977, "C", "F", "LW","F", "RW", "F", "D", "D", "G", "G", "other")</f>
        <v>F</v>
      </c>
      <c r="E978" s="32">
        <f t="shared" si="30"/>
        <v>14</v>
      </c>
      <c r="F978" s="35">
        <f>E978/assumptions!$B$2</f>
        <v>0.17073170731707318</v>
      </c>
      <c r="G978" s="36">
        <f t="shared" si="31"/>
        <v>1044</v>
      </c>
      <c r="H978" s="18">
        <f>IF(NOT(D978="G"),'RW predict'!E977,0)</f>
        <v>0</v>
      </c>
      <c r="I978" s="18">
        <f>'RW predict'!Q977</f>
        <v>1</v>
      </c>
      <c r="J978" s="18">
        <f>'RW predict'!F977</f>
        <v>0</v>
      </c>
      <c r="K978" s="18"/>
      <c r="L978" s="18"/>
      <c r="M978" s="18">
        <f>'RW predict'!P977</f>
        <v>8</v>
      </c>
      <c r="N978" s="18"/>
      <c r="O978" s="18">
        <f>'RW predict'!H977</f>
        <v>-1</v>
      </c>
      <c r="P978" s="18">
        <f>'RW predict'!I977</f>
        <v>2</v>
      </c>
      <c r="Q978" s="18">
        <f>'RW predict'!L977</f>
        <v>0</v>
      </c>
      <c r="R978" s="18">
        <f>'RW predict'!N977</f>
        <v>0</v>
      </c>
      <c r="S978" s="76">
        <f>'RW predict'!O977</f>
        <v>0</v>
      </c>
      <c r="T978" s="76">
        <f>'RW predict'!K977</f>
        <v>0</v>
      </c>
      <c r="U978" s="22">
        <f>'RW predict'!J977</f>
        <v>4</v>
      </c>
      <c r="V978" s="32">
        <f>IF(D978="G",'RW predict'!E977,0)</f>
        <v>0</v>
      </c>
      <c r="W978" s="18">
        <f>'RW predict'!R977</f>
        <v>0</v>
      </c>
      <c r="X978" s="18">
        <f>'RW predict'!T977</f>
        <v>0</v>
      </c>
      <c r="Y978" s="18">
        <f>'RW predict'!Y977</f>
        <v>0</v>
      </c>
      <c r="Z978" s="18">
        <f>'RW predict'!U977</f>
        <v>0</v>
      </c>
      <c r="AA978" s="18">
        <f>'RW predict'!W977</f>
        <v>0</v>
      </c>
    </row>
    <row r="979" spans="1:27" x14ac:dyDescent="0.3">
      <c r="A979" s="18">
        <v>976</v>
      </c>
      <c r="B979" s="18" t="str">
        <f>'RW predict'!A978</f>
        <v>Cayden Primeau</v>
      </c>
      <c r="C979" s="18" t="str">
        <f>'RW predict'!B978</f>
        <v>MON</v>
      </c>
      <c r="D979" s="22" t="str" cm="1">
        <f t="array" ref="D979">_xlfn.SWITCH('RW predict'!C978, "C", "F", "LW","F", "RW", "F", "D", "D", "G", "G", "other")</f>
        <v>G</v>
      </c>
      <c r="E979" s="32">
        <f t="shared" si="30"/>
        <v>93</v>
      </c>
      <c r="F979" s="35">
        <f>E979/assumptions!$B$2</f>
        <v>1.1341463414634145</v>
      </c>
      <c r="G979" s="36">
        <f t="shared" si="31"/>
        <v>923</v>
      </c>
      <c r="H979" s="18">
        <f>IF(NOT(D979="G"),'RW predict'!E978,0)</f>
        <v>0</v>
      </c>
      <c r="I979" s="18">
        <f>'RW predict'!Q978</f>
        <v>0</v>
      </c>
      <c r="J979" s="18">
        <f>'RW predict'!F978</f>
        <v>0</v>
      </c>
      <c r="K979" s="18"/>
      <c r="L979" s="18"/>
      <c r="M979" s="18">
        <f>'RW predict'!P978</f>
        <v>0</v>
      </c>
      <c r="N979" s="18"/>
      <c r="O979" s="18">
        <f>'RW predict'!H978</f>
        <v>0</v>
      </c>
      <c r="P979" s="18">
        <f>'RW predict'!I978</f>
        <v>0</v>
      </c>
      <c r="Q979" s="18">
        <f>'RW predict'!L978</f>
        <v>0</v>
      </c>
      <c r="R979" s="18">
        <f>'RW predict'!N978</f>
        <v>0</v>
      </c>
      <c r="S979" s="76">
        <f>'RW predict'!O978</f>
        <v>0</v>
      </c>
      <c r="T979" s="76">
        <f>'RW predict'!K978</f>
        <v>0</v>
      </c>
      <c r="U979" s="22">
        <f>'RW predict'!J978</f>
        <v>0</v>
      </c>
      <c r="V979" s="32">
        <f>IF(D979="G",'RW predict'!E978,0)</f>
        <v>0</v>
      </c>
      <c r="W979" s="18">
        <f>'RW predict'!R978</f>
        <v>1</v>
      </c>
      <c r="X979" s="18">
        <f>'RW predict'!T978</f>
        <v>0</v>
      </c>
      <c r="Y979" s="18">
        <f>'RW predict'!Y978</f>
        <v>0</v>
      </c>
      <c r="Z979" s="18">
        <f>'RW predict'!U978</f>
        <v>19</v>
      </c>
      <c r="AA979" s="18">
        <f>'RW predict'!W978</f>
        <v>169</v>
      </c>
    </row>
    <row r="980" spans="1:27" x14ac:dyDescent="0.3">
      <c r="A980" s="18">
        <v>977</v>
      </c>
      <c r="B980" s="18" t="str">
        <f>'RW predict'!A979</f>
        <v>Lukas Dostal</v>
      </c>
      <c r="C980" s="18" t="str">
        <f>'RW predict'!B979</f>
        <v>ANH</v>
      </c>
      <c r="D980" s="22" t="str" cm="1">
        <f t="array" ref="D980">_xlfn.SWITCH('RW predict'!C979, "C", "F", "LW","F", "RW", "F", "D", "D", "G", "G", "other")</f>
        <v>G</v>
      </c>
      <c r="E980" s="32">
        <f t="shared" si="30"/>
        <v>99</v>
      </c>
      <c r="F980" s="35">
        <f>E980/assumptions!$B$2</f>
        <v>1.2073170731707317</v>
      </c>
      <c r="G980" s="36">
        <f t="shared" si="31"/>
        <v>913</v>
      </c>
      <c r="H980" s="18">
        <f>IF(NOT(D980="G"),'RW predict'!E979,0)</f>
        <v>0</v>
      </c>
      <c r="I980" s="18">
        <f>'RW predict'!Q979</f>
        <v>0</v>
      </c>
      <c r="J980" s="18">
        <f>'RW predict'!F979</f>
        <v>0</v>
      </c>
      <c r="K980" s="18"/>
      <c r="L980" s="18"/>
      <c r="M980" s="18">
        <f>'RW predict'!P979</f>
        <v>0</v>
      </c>
      <c r="N980" s="18"/>
      <c r="O980" s="18">
        <f>'RW predict'!H979</f>
        <v>0</v>
      </c>
      <c r="P980" s="18">
        <f>'RW predict'!I979</f>
        <v>0</v>
      </c>
      <c r="Q980" s="18">
        <f>'RW predict'!L979</f>
        <v>0</v>
      </c>
      <c r="R980" s="18">
        <f>'RW predict'!N979</f>
        <v>0</v>
      </c>
      <c r="S980" s="76">
        <f>'RW predict'!O979</f>
        <v>0</v>
      </c>
      <c r="T980" s="76">
        <f>'RW predict'!K979</f>
        <v>0</v>
      </c>
      <c r="U980" s="22">
        <f>'RW predict'!J979</f>
        <v>0</v>
      </c>
      <c r="V980" s="32">
        <f>IF(D980="G",'RW predict'!E979,0)</f>
        <v>0</v>
      </c>
      <c r="W980" s="18">
        <f>'RW predict'!R979</f>
        <v>1</v>
      </c>
      <c r="X980" s="18">
        <f>'RW predict'!T979</f>
        <v>0</v>
      </c>
      <c r="Y980" s="18">
        <f>'RW predict'!Y979</f>
        <v>0</v>
      </c>
      <c r="Z980" s="18">
        <f>'RW predict'!U979</f>
        <v>13</v>
      </c>
      <c r="AA980" s="18">
        <f>'RW predict'!W979</f>
        <v>127</v>
      </c>
    </row>
    <row r="981" spans="1:27" x14ac:dyDescent="0.3">
      <c r="A981" s="18">
        <v>978</v>
      </c>
      <c r="B981" s="18" t="str">
        <f>'RW predict'!A980</f>
        <v>Darren Raddysh</v>
      </c>
      <c r="C981" s="18" t="str">
        <f>'RW predict'!B980</f>
        <v>TB</v>
      </c>
      <c r="D981" s="22" t="str" cm="1">
        <f t="array" ref="D981">_xlfn.SWITCH('RW predict'!C980, "C", "F", "LW","F", "RW", "F", "D", "D", "G", "G", "other")</f>
        <v>D</v>
      </c>
      <c r="E981" s="32">
        <f t="shared" si="30"/>
        <v>63</v>
      </c>
      <c r="F981" s="35">
        <f>E981/assumptions!$B$2</f>
        <v>0.76829268292682928</v>
      </c>
      <c r="G981" s="36">
        <f t="shared" si="31"/>
        <v>965</v>
      </c>
      <c r="H981" s="18">
        <f>IF(NOT(D981="G"),'RW predict'!E980,0)</f>
        <v>0</v>
      </c>
      <c r="I981" s="18">
        <f>'RW predict'!Q980</f>
        <v>12</v>
      </c>
      <c r="J981" s="18">
        <f>'RW predict'!F980</f>
        <v>0</v>
      </c>
      <c r="K981" s="18"/>
      <c r="L981" s="18"/>
      <c r="M981" s="18">
        <f>'RW predict'!P980</f>
        <v>9</v>
      </c>
      <c r="N981" s="18"/>
      <c r="O981" s="18">
        <f>'RW predict'!H980</f>
        <v>2</v>
      </c>
      <c r="P981" s="18">
        <f>'RW predict'!I980</f>
        <v>0</v>
      </c>
      <c r="Q981" s="18">
        <f>'RW predict'!L980</f>
        <v>0</v>
      </c>
      <c r="R981" s="18">
        <f>'RW predict'!N980</f>
        <v>0</v>
      </c>
      <c r="S981" s="76">
        <f>'RW predict'!O980</f>
        <v>0</v>
      </c>
      <c r="T981" s="76">
        <f>'RW predict'!K980</f>
        <v>0</v>
      </c>
      <c r="U981" s="22">
        <f>'RW predict'!J980</f>
        <v>5</v>
      </c>
      <c r="V981" s="32">
        <f>IF(D981="G",'RW predict'!E980,0)</f>
        <v>0</v>
      </c>
      <c r="W981" s="18">
        <f>'RW predict'!R980</f>
        <v>0</v>
      </c>
      <c r="X981" s="18">
        <f>'RW predict'!T980</f>
        <v>0</v>
      </c>
      <c r="Y981" s="18">
        <f>'RW predict'!Y980</f>
        <v>0</v>
      </c>
      <c r="Z981" s="18">
        <f>'RW predict'!U980</f>
        <v>0</v>
      </c>
      <c r="AA981" s="18">
        <f>'RW predict'!W980</f>
        <v>0</v>
      </c>
    </row>
    <row r="982" spans="1:27" x14ac:dyDescent="0.3">
      <c r="A982" s="18">
        <v>979</v>
      </c>
      <c r="B982" s="18" t="str">
        <f>'RW predict'!A981</f>
        <v>Brett Seney</v>
      </c>
      <c r="C982" s="18" t="str">
        <f>'RW predict'!B981</f>
        <v>CHI</v>
      </c>
      <c r="D982" s="22" t="str" cm="1">
        <f t="array" ref="D982">_xlfn.SWITCH('RW predict'!C981, "C", "F", "LW","F", "RW", "F", "D", "D", "G", "G", "other")</f>
        <v>F</v>
      </c>
      <c r="E982" s="32">
        <f t="shared" si="30"/>
        <v>24</v>
      </c>
      <c r="F982" s="35">
        <f>E982/assumptions!$B$2</f>
        <v>0.29268292682926828</v>
      </c>
      <c r="G982" s="36">
        <f t="shared" si="31"/>
        <v>1029</v>
      </c>
      <c r="H982" s="18">
        <f>IF(NOT(D982="G"),'RW predict'!E981,0)</f>
        <v>0</v>
      </c>
      <c r="I982" s="18">
        <f>'RW predict'!Q981</f>
        <v>5</v>
      </c>
      <c r="J982" s="18">
        <f>'RW predict'!F981</f>
        <v>0</v>
      </c>
      <c r="K982" s="18"/>
      <c r="L982" s="18"/>
      <c r="M982" s="18">
        <f>'RW predict'!P981</f>
        <v>8</v>
      </c>
      <c r="N982" s="18"/>
      <c r="O982" s="18">
        <f>'RW predict'!H981</f>
        <v>0</v>
      </c>
      <c r="P982" s="18">
        <f>'RW predict'!I981</f>
        <v>0</v>
      </c>
      <c r="Q982" s="18">
        <f>'RW predict'!L981</f>
        <v>0</v>
      </c>
      <c r="R982" s="18">
        <f>'RW predict'!N981</f>
        <v>0</v>
      </c>
      <c r="S982" s="76">
        <f>'RW predict'!O981</f>
        <v>0</v>
      </c>
      <c r="T982" s="76">
        <f>'RW predict'!K981</f>
        <v>0</v>
      </c>
      <c r="U982" s="22">
        <f>'RW predict'!J981</f>
        <v>3</v>
      </c>
      <c r="V982" s="32">
        <f>IF(D982="G",'RW predict'!E981,0)</f>
        <v>0</v>
      </c>
      <c r="W982" s="18">
        <f>'RW predict'!R981</f>
        <v>0</v>
      </c>
      <c r="X982" s="18">
        <f>'RW predict'!T981</f>
        <v>0</v>
      </c>
      <c r="Y982" s="18">
        <f>'RW predict'!Y981</f>
        <v>0</v>
      </c>
      <c r="Z982" s="18">
        <f>'RW predict'!U981</f>
        <v>0</v>
      </c>
      <c r="AA982" s="18">
        <f>'RW predict'!W981</f>
        <v>0</v>
      </c>
    </row>
    <row r="983" spans="1:27" x14ac:dyDescent="0.3">
      <c r="A983" s="18">
        <v>980</v>
      </c>
      <c r="B983" s="18" t="str">
        <f>'RW predict'!A982</f>
        <v>Jeremy Swayman</v>
      </c>
      <c r="C983" s="18" t="str">
        <f>'RW predict'!B982</f>
        <v>BOS</v>
      </c>
      <c r="D983" s="22" t="str" cm="1">
        <f t="array" ref="D983">_xlfn.SWITCH('RW predict'!C982, "C", "F", "LW","F", "RW", "F", "D", "D", "G", "G", "other")</f>
        <v>G</v>
      </c>
      <c r="E983" s="32">
        <f t="shared" si="30"/>
        <v>1521</v>
      </c>
      <c r="F983" s="35">
        <f>E983/assumptions!$B$2</f>
        <v>18.548780487804876</v>
      </c>
      <c r="G983" s="36">
        <f t="shared" si="31"/>
        <v>285</v>
      </c>
      <c r="H983" s="18">
        <f>IF(NOT(D983="G"),'RW predict'!E982,0)</f>
        <v>0</v>
      </c>
      <c r="I983" s="18">
        <f>'RW predict'!Q982</f>
        <v>0</v>
      </c>
      <c r="J983" s="18">
        <f>'RW predict'!F982</f>
        <v>0</v>
      </c>
      <c r="K983" s="18"/>
      <c r="L983" s="18"/>
      <c r="M983" s="18">
        <f>'RW predict'!P982</f>
        <v>0</v>
      </c>
      <c r="N983" s="18"/>
      <c r="O983" s="18">
        <f>'RW predict'!H982</f>
        <v>0</v>
      </c>
      <c r="P983" s="18">
        <f>'RW predict'!I982</f>
        <v>5</v>
      </c>
      <c r="Q983" s="18">
        <f>'RW predict'!L982</f>
        <v>0</v>
      </c>
      <c r="R983" s="18">
        <f>'RW predict'!N982</f>
        <v>0</v>
      </c>
      <c r="S983" s="76">
        <f>'RW predict'!O982</f>
        <v>0</v>
      </c>
      <c r="T983" s="76">
        <f>'RW predict'!K982</f>
        <v>0</v>
      </c>
      <c r="U983" s="22">
        <f>'RW predict'!J982</f>
        <v>0</v>
      </c>
      <c r="V983" s="32">
        <f>IF(D983="G",'RW predict'!E982,0)</f>
        <v>0</v>
      </c>
      <c r="W983" s="18">
        <f>'RW predict'!R982</f>
        <v>22</v>
      </c>
      <c r="X983" s="18">
        <f>'RW predict'!T982</f>
        <v>4</v>
      </c>
      <c r="Y983" s="18">
        <f>'RW predict'!Y982</f>
        <v>3</v>
      </c>
      <c r="Z983" s="18">
        <f>'RW predict'!U982</f>
        <v>96</v>
      </c>
      <c r="AA983" s="18">
        <f>'RW predict'!W982</f>
        <v>918</v>
      </c>
    </row>
    <row r="984" spans="1:27" x14ac:dyDescent="0.3">
      <c r="A984" s="18">
        <v>981</v>
      </c>
      <c r="B984" s="18" t="str">
        <f>'RW predict'!A983</f>
        <v>Pavel Francouz</v>
      </c>
      <c r="C984" s="18" t="str">
        <f>'RW predict'!B983</f>
        <v>COL</v>
      </c>
      <c r="D984" s="22" t="str" cm="1">
        <f t="array" ref="D984">_xlfn.SWITCH('RW predict'!C983, "C", "F", "LW","F", "RW", "F", "D", "D", "G", "G", "other")</f>
        <v>G</v>
      </c>
      <c r="E984" s="32">
        <f t="shared" si="30"/>
        <v>1471</v>
      </c>
      <c r="F984" s="35">
        <f>E984/assumptions!$B$2</f>
        <v>17.939024390243901</v>
      </c>
      <c r="G984" s="36">
        <f t="shared" si="31"/>
        <v>304</v>
      </c>
      <c r="H984" s="18">
        <f>IF(NOT(D984="G"),'RW predict'!E983,0)</f>
        <v>0</v>
      </c>
      <c r="I984" s="18">
        <f>'RW predict'!Q983</f>
        <v>0</v>
      </c>
      <c r="J984" s="18">
        <f>'RW predict'!F983</f>
        <v>0</v>
      </c>
      <c r="K984" s="18"/>
      <c r="L984" s="18"/>
      <c r="M984" s="18">
        <f>'RW predict'!P983</f>
        <v>0</v>
      </c>
      <c r="N984" s="18"/>
      <c r="O984" s="18">
        <f>'RW predict'!H983</f>
        <v>0</v>
      </c>
      <c r="P984" s="18">
        <f>'RW predict'!I983</f>
        <v>0</v>
      </c>
      <c r="Q984" s="18">
        <f>'RW predict'!L983</f>
        <v>0</v>
      </c>
      <c r="R984" s="18">
        <f>'RW predict'!N983</f>
        <v>0</v>
      </c>
      <c r="S984" s="76">
        <f>'RW predict'!O983</f>
        <v>0</v>
      </c>
      <c r="T984" s="76">
        <f>'RW predict'!K983</f>
        <v>0</v>
      </c>
      <c r="U984" s="22">
        <f>'RW predict'!J983</f>
        <v>1</v>
      </c>
      <c r="V984" s="32">
        <f>IF(D984="G",'RW predict'!E983,0)</f>
        <v>0</v>
      </c>
      <c r="W984" s="18">
        <f>'RW predict'!R983</f>
        <v>16</v>
      </c>
      <c r="X984" s="18">
        <f>'RW predict'!T983</f>
        <v>2</v>
      </c>
      <c r="Y984" s="18">
        <f>'RW predict'!Y983</f>
        <v>2</v>
      </c>
      <c r="Z984" s="18">
        <f>'RW predict'!U983</f>
        <v>89</v>
      </c>
      <c r="AA984" s="18">
        <f>'RW predict'!W983</f>
        <v>1012</v>
      </c>
    </row>
    <row r="985" spans="1:27" x14ac:dyDescent="0.3">
      <c r="A985" s="18">
        <v>982</v>
      </c>
      <c r="B985" s="18" t="str">
        <f>'RW predict'!A984</f>
        <v>Anthony Angello</v>
      </c>
      <c r="C985" s="18" t="str">
        <f>'RW predict'!B984</f>
        <v>STL</v>
      </c>
      <c r="D985" s="22" t="str" cm="1">
        <f t="array" ref="D985">_xlfn.SWITCH('RW predict'!C984, "C", "F", "LW","F", "RW", "F", "D", "D", "G", "G", "other")</f>
        <v>F</v>
      </c>
      <c r="E985" s="32">
        <f t="shared" si="30"/>
        <v>26</v>
      </c>
      <c r="F985" s="35">
        <f>E985/assumptions!$B$2</f>
        <v>0.31707317073170732</v>
      </c>
      <c r="G985" s="36">
        <f t="shared" si="31"/>
        <v>1026</v>
      </c>
      <c r="H985" s="18">
        <f>IF(NOT(D985="G"),'RW predict'!E984,0)</f>
        <v>0</v>
      </c>
      <c r="I985" s="18">
        <f>'RW predict'!Q984</f>
        <v>1</v>
      </c>
      <c r="J985" s="18">
        <f>'RW predict'!F984</f>
        <v>0</v>
      </c>
      <c r="K985" s="18"/>
      <c r="L985" s="18"/>
      <c r="M985" s="18">
        <f>'RW predict'!P984</f>
        <v>20</v>
      </c>
      <c r="N985" s="18"/>
      <c r="O985" s="18">
        <f>'RW predict'!H984</f>
        <v>-2</v>
      </c>
      <c r="P985" s="18">
        <f>'RW predict'!I984</f>
        <v>4</v>
      </c>
      <c r="Q985" s="18">
        <f>'RW predict'!L984</f>
        <v>0</v>
      </c>
      <c r="R985" s="18">
        <f>'RW predict'!N984</f>
        <v>0</v>
      </c>
      <c r="S985" s="76">
        <f>'RW predict'!O984</f>
        <v>0</v>
      </c>
      <c r="T985" s="76">
        <f>'RW predict'!K984</f>
        <v>0</v>
      </c>
      <c r="U985" s="22">
        <f>'RW predict'!J984</f>
        <v>6</v>
      </c>
      <c r="V985" s="32">
        <f>IF(D985="G",'RW predict'!E984,0)</f>
        <v>0</v>
      </c>
      <c r="W985" s="18">
        <f>'RW predict'!R984</f>
        <v>0</v>
      </c>
      <c r="X985" s="18">
        <f>'RW predict'!T984</f>
        <v>0</v>
      </c>
      <c r="Y985" s="18">
        <f>'RW predict'!Y984</f>
        <v>0</v>
      </c>
      <c r="Z985" s="18">
        <f>'RW predict'!U984</f>
        <v>0</v>
      </c>
      <c r="AA985" s="18">
        <f>'RW predict'!W984</f>
        <v>0</v>
      </c>
    </row>
    <row r="986" spans="1:27" x14ac:dyDescent="0.3">
      <c r="A986" s="18">
        <v>983</v>
      </c>
      <c r="B986" s="18" t="str">
        <f>'RW predict'!A985</f>
        <v>Mikey Eyssimont</v>
      </c>
      <c r="C986" s="18" t="str">
        <f>'RW predict'!B985</f>
        <v>WPG</v>
      </c>
      <c r="D986" s="22" t="str" cm="1">
        <f t="array" ref="D986">_xlfn.SWITCH('RW predict'!C985, "C", "F", "LW","F", "RW", "F", "D", "D", "G", "G", "other")</f>
        <v>F</v>
      </c>
      <c r="E986" s="32">
        <f t="shared" si="30"/>
        <v>22</v>
      </c>
      <c r="F986" s="35">
        <f>E986/assumptions!$B$2</f>
        <v>0.26829268292682928</v>
      </c>
      <c r="G986" s="36">
        <f t="shared" si="31"/>
        <v>1033</v>
      </c>
      <c r="H986" s="18">
        <f>IF(NOT(D986="G"),'RW predict'!E985,0)</f>
        <v>0</v>
      </c>
      <c r="I986" s="18">
        <f>'RW predict'!Q985</f>
        <v>0</v>
      </c>
      <c r="J986" s="18">
        <f>'RW predict'!F985</f>
        <v>0</v>
      </c>
      <c r="K986" s="18"/>
      <c r="L986" s="18"/>
      <c r="M986" s="18">
        <f>'RW predict'!P985</f>
        <v>0</v>
      </c>
      <c r="N986" s="18"/>
      <c r="O986" s="18">
        <f>'RW predict'!H985</f>
        <v>0</v>
      </c>
      <c r="P986" s="18">
        <f>'RW predict'!I985</f>
        <v>0</v>
      </c>
      <c r="Q986" s="18">
        <f>'RW predict'!L985</f>
        <v>0</v>
      </c>
      <c r="R986" s="18">
        <f>'RW predict'!N985</f>
        <v>0</v>
      </c>
      <c r="S986" s="76">
        <f>'RW predict'!O985</f>
        <v>0</v>
      </c>
      <c r="T986" s="76">
        <f>'RW predict'!K985</f>
        <v>0</v>
      </c>
      <c r="U986" s="22">
        <f>'RW predict'!J985</f>
        <v>11</v>
      </c>
      <c r="V986" s="32">
        <f>IF(D986="G",'RW predict'!E985,0)</f>
        <v>0</v>
      </c>
      <c r="W986" s="18">
        <f>'RW predict'!R985</f>
        <v>0</v>
      </c>
      <c r="X986" s="18">
        <f>'RW predict'!T985</f>
        <v>0</v>
      </c>
      <c r="Y986" s="18">
        <f>'RW predict'!Y985</f>
        <v>0</v>
      </c>
      <c r="Z986" s="18">
        <f>'RW predict'!U985</f>
        <v>0</v>
      </c>
      <c r="AA986" s="18">
        <f>'RW predict'!W985</f>
        <v>0</v>
      </c>
    </row>
    <row r="987" spans="1:27" x14ac:dyDescent="0.3">
      <c r="A987" s="18">
        <v>984</v>
      </c>
      <c r="B987" s="18" t="str">
        <f>'RW predict'!A986</f>
        <v>Christian Jaros</v>
      </c>
      <c r="C987" s="18" t="str">
        <f>'RW predict'!B986</f>
        <v>FA</v>
      </c>
      <c r="D987" s="22" t="str" cm="1">
        <f t="array" ref="D987">_xlfn.SWITCH('RW predict'!C986, "C", "F", "LW","F", "RW", "F", "D", "D", "G", "G", "other")</f>
        <v>D</v>
      </c>
      <c r="E987" s="32">
        <f t="shared" si="30"/>
        <v>28</v>
      </c>
      <c r="F987" s="35">
        <f>E987/assumptions!$B$2</f>
        <v>0.34146341463414637</v>
      </c>
      <c r="G987" s="36">
        <f t="shared" si="31"/>
        <v>1017</v>
      </c>
      <c r="H987" s="18">
        <f>IF(NOT(D987="G"),'RW predict'!E986,0)</f>
        <v>0</v>
      </c>
      <c r="I987" s="18">
        <f>'RW predict'!Q986</f>
        <v>11</v>
      </c>
      <c r="J987" s="18">
        <f>'RW predict'!F986</f>
        <v>0</v>
      </c>
      <c r="K987" s="18"/>
      <c r="L987" s="18"/>
      <c r="M987" s="18">
        <f>'RW predict'!P986</f>
        <v>19</v>
      </c>
      <c r="N987" s="18"/>
      <c r="O987" s="18">
        <f>'RW predict'!H986</f>
        <v>-4</v>
      </c>
      <c r="P987" s="18">
        <f>'RW predict'!I986</f>
        <v>3</v>
      </c>
      <c r="Q987" s="18">
        <f>'RW predict'!L986</f>
        <v>0</v>
      </c>
      <c r="R987" s="18">
        <f>'RW predict'!N986</f>
        <v>0</v>
      </c>
      <c r="S987" s="76">
        <f>'RW predict'!O986</f>
        <v>0</v>
      </c>
      <c r="T987" s="76">
        <f>'RW predict'!K986</f>
        <v>0</v>
      </c>
      <c r="U987" s="22">
        <f>'RW predict'!J986</f>
        <v>9</v>
      </c>
      <c r="V987" s="32">
        <f>IF(D987="G",'RW predict'!E986,0)</f>
        <v>0</v>
      </c>
      <c r="W987" s="18">
        <f>'RW predict'!R986</f>
        <v>0</v>
      </c>
      <c r="X987" s="18">
        <f>'RW predict'!T986</f>
        <v>0</v>
      </c>
      <c r="Y987" s="18">
        <f>'RW predict'!Y986</f>
        <v>0</v>
      </c>
      <c r="Z987" s="18">
        <f>'RW predict'!U986</f>
        <v>0</v>
      </c>
      <c r="AA987" s="18">
        <f>'RW predict'!W986</f>
        <v>0</v>
      </c>
    </row>
    <row r="988" spans="1:27" x14ac:dyDescent="0.3">
      <c r="A988" s="18">
        <v>985</v>
      </c>
      <c r="B988" s="18" t="str">
        <f>'RW predict'!A987</f>
        <v>Bokondji Imama</v>
      </c>
      <c r="C988" s="18" t="str">
        <f>'RW predict'!B987</f>
        <v>ARI</v>
      </c>
      <c r="D988" s="22" t="str" cm="1">
        <f t="array" ref="D988">_xlfn.SWITCH('RW predict'!C987, "C", "F", "LW","F", "RW", "F", "D", "D", "G", "G", "other")</f>
        <v>F</v>
      </c>
      <c r="E988" s="32">
        <f t="shared" si="30"/>
        <v>30</v>
      </c>
      <c r="F988" s="35">
        <f>E988/assumptions!$B$2</f>
        <v>0.36585365853658536</v>
      </c>
      <c r="G988" s="36">
        <f t="shared" si="31"/>
        <v>1015</v>
      </c>
      <c r="H988" s="18">
        <f>IF(NOT(D988="G"),'RW predict'!E987,0)</f>
        <v>0</v>
      </c>
      <c r="I988" s="18">
        <f>'RW predict'!Q987</f>
        <v>0</v>
      </c>
      <c r="J988" s="18">
        <f>'RW predict'!F987</f>
        <v>0</v>
      </c>
      <c r="K988" s="18"/>
      <c r="L988" s="18"/>
      <c r="M988" s="18">
        <f>'RW predict'!P987</f>
        <v>21</v>
      </c>
      <c r="N988" s="18"/>
      <c r="O988" s="18">
        <f>'RW predict'!H987</f>
        <v>-2</v>
      </c>
      <c r="P988" s="18">
        <f>'RW predict'!I987</f>
        <v>7</v>
      </c>
      <c r="Q988" s="18">
        <f>'RW predict'!L987</f>
        <v>0</v>
      </c>
      <c r="R988" s="18">
        <f>'RW predict'!N987</f>
        <v>0</v>
      </c>
      <c r="S988" s="76">
        <f>'RW predict'!O987</f>
        <v>0</v>
      </c>
      <c r="T988" s="76">
        <f>'RW predict'!K987</f>
        <v>0</v>
      </c>
      <c r="U988" s="22">
        <f>'RW predict'!J987</f>
        <v>4</v>
      </c>
      <c r="V988" s="32">
        <f>IF(D988="G",'RW predict'!E987,0)</f>
        <v>0</v>
      </c>
      <c r="W988" s="18">
        <f>'RW predict'!R987</f>
        <v>0</v>
      </c>
      <c r="X988" s="18">
        <f>'RW predict'!T987</f>
        <v>0</v>
      </c>
      <c r="Y988" s="18">
        <f>'RW predict'!Y987</f>
        <v>0</v>
      </c>
      <c r="Z988" s="18">
        <f>'RW predict'!U987</f>
        <v>0</v>
      </c>
      <c r="AA988" s="18">
        <f>'RW predict'!W987</f>
        <v>0</v>
      </c>
    </row>
    <row r="989" spans="1:27" x14ac:dyDescent="0.3">
      <c r="A989" s="18">
        <v>986</v>
      </c>
      <c r="B989" s="18" t="str">
        <f>'RW predict'!A988</f>
        <v>Ukko-Pekka Luukkonen</v>
      </c>
      <c r="C989" s="18" t="str">
        <f>'RW predict'!B988</f>
        <v>BUF</v>
      </c>
      <c r="D989" s="22" t="str" cm="1">
        <f t="array" ref="D989">_xlfn.SWITCH('RW predict'!C988, "C", "F", "LW","F", "RW", "F", "D", "D", "G", "G", "other")</f>
        <v>G</v>
      </c>
      <c r="E989" s="32">
        <f t="shared" si="30"/>
        <v>323</v>
      </c>
      <c r="F989" s="35">
        <f>E989/assumptions!$B$2</f>
        <v>3.9390243902439024</v>
      </c>
      <c r="G989" s="36">
        <f t="shared" si="31"/>
        <v>759</v>
      </c>
      <c r="H989" s="18">
        <f>IF(NOT(D989="G"),'RW predict'!E988,0)</f>
        <v>0</v>
      </c>
      <c r="I989" s="18">
        <f>'RW predict'!Q988</f>
        <v>0</v>
      </c>
      <c r="J989" s="18">
        <f>'RW predict'!F988</f>
        <v>0</v>
      </c>
      <c r="K989" s="18"/>
      <c r="L989" s="18"/>
      <c r="M989" s="18">
        <f>'RW predict'!P988</f>
        <v>0</v>
      </c>
      <c r="N989" s="18"/>
      <c r="O989" s="18">
        <f>'RW predict'!H988</f>
        <v>0</v>
      </c>
      <c r="P989" s="18">
        <f>'RW predict'!I988</f>
        <v>0</v>
      </c>
      <c r="Q989" s="18">
        <f>'RW predict'!L988</f>
        <v>0</v>
      </c>
      <c r="R989" s="18">
        <f>'RW predict'!N988</f>
        <v>0</v>
      </c>
      <c r="S989" s="76">
        <f>'RW predict'!O988</f>
        <v>0</v>
      </c>
      <c r="T989" s="76">
        <f>'RW predict'!K988</f>
        <v>0</v>
      </c>
      <c r="U989" s="22">
        <f>'RW predict'!J988</f>
        <v>0</v>
      </c>
      <c r="V989" s="32">
        <f>IF(D989="G",'RW predict'!E988,0)</f>
        <v>0</v>
      </c>
      <c r="W989" s="18">
        <f>'RW predict'!R988</f>
        <v>2</v>
      </c>
      <c r="X989" s="18">
        <f>'RW predict'!T988</f>
        <v>3</v>
      </c>
      <c r="Y989" s="18">
        <f>'RW predict'!Y988</f>
        <v>0</v>
      </c>
      <c r="Z989" s="18">
        <f>'RW predict'!U988</f>
        <v>33</v>
      </c>
      <c r="AA989" s="18">
        <f>'RW predict'!W988</f>
        <v>339</v>
      </c>
    </row>
    <row r="990" spans="1:27" x14ac:dyDescent="0.3">
      <c r="A990" s="18">
        <v>987</v>
      </c>
      <c r="B990" s="18" t="str">
        <f>'RW predict'!A989</f>
        <v>Dmitri Samorukov</v>
      </c>
      <c r="C990" s="18" t="str">
        <f>'RW predict'!B989</f>
        <v>EDM</v>
      </c>
      <c r="D990" s="22" t="str" cm="1">
        <f t="array" ref="D990">_xlfn.SWITCH('RW predict'!C989, "C", "F", "LW","F", "RW", "F", "D", "D", "G", "G", "other")</f>
        <v>D</v>
      </c>
      <c r="E990" s="32">
        <f t="shared" si="30"/>
        <v>-5</v>
      </c>
      <c r="F990" s="35">
        <f>E990/assumptions!$B$2</f>
        <v>-6.097560975609756E-2</v>
      </c>
      <c r="G990" s="36">
        <f t="shared" si="31"/>
        <v>1070</v>
      </c>
      <c r="H990" s="18">
        <f>IF(NOT(D990="G"),'RW predict'!E989,0)</f>
        <v>0</v>
      </c>
      <c r="I990" s="18">
        <f>'RW predict'!Q989</f>
        <v>1</v>
      </c>
      <c r="J990" s="18">
        <f>'RW predict'!F989</f>
        <v>0</v>
      </c>
      <c r="K990" s="18"/>
      <c r="L990" s="18"/>
      <c r="M990" s="18">
        <f>'RW predict'!P989</f>
        <v>1</v>
      </c>
      <c r="N990" s="18"/>
      <c r="O990" s="18">
        <f>'RW predict'!H989</f>
        <v>-1</v>
      </c>
      <c r="P990" s="18">
        <f>'RW predict'!I989</f>
        <v>0</v>
      </c>
      <c r="Q990" s="18">
        <f>'RW predict'!L989</f>
        <v>0</v>
      </c>
      <c r="R990" s="18">
        <f>'RW predict'!N989</f>
        <v>0</v>
      </c>
      <c r="S990" s="76">
        <f>'RW predict'!O989</f>
        <v>0</v>
      </c>
      <c r="T990" s="76">
        <f>'RW predict'!K989</f>
        <v>0</v>
      </c>
      <c r="U990" s="22">
        <f>'RW predict'!J989</f>
        <v>1</v>
      </c>
      <c r="V990" s="32">
        <f>IF(D990="G",'RW predict'!E989,0)</f>
        <v>0</v>
      </c>
      <c r="W990" s="18">
        <f>'RW predict'!R989</f>
        <v>0</v>
      </c>
      <c r="X990" s="18">
        <f>'RW predict'!T989</f>
        <v>0</v>
      </c>
      <c r="Y990" s="18">
        <f>'RW predict'!Y989</f>
        <v>0</v>
      </c>
      <c r="Z990" s="18">
        <f>'RW predict'!U989</f>
        <v>0</v>
      </c>
      <c r="AA990" s="18">
        <f>'RW predict'!W989</f>
        <v>0</v>
      </c>
    </row>
    <row r="991" spans="1:27" x14ac:dyDescent="0.3">
      <c r="A991" s="18">
        <v>988</v>
      </c>
      <c r="B991" s="18" t="str">
        <f>'RW predict'!A990</f>
        <v>Reilly Walsh</v>
      </c>
      <c r="C991" s="18" t="str">
        <f>'RW predict'!B990</f>
        <v>NJ</v>
      </c>
      <c r="D991" s="22" t="str" cm="1">
        <f t="array" ref="D991">_xlfn.SWITCH('RW predict'!C990, "C", "F", "LW","F", "RW", "F", "D", "D", "G", "G", "other")</f>
        <v>D</v>
      </c>
      <c r="E991" s="32">
        <f t="shared" si="30"/>
        <v>26</v>
      </c>
      <c r="F991" s="35">
        <f>E991/assumptions!$B$2</f>
        <v>0.31707317073170732</v>
      </c>
      <c r="G991" s="36">
        <f t="shared" si="31"/>
        <v>1026</v>
      </c>
      <c r="H991" s="18">
        <f>IF(NOT(D991="G"),'RW predict'!E990,0)</f>
        <v>0</v>
      </c>
      <c r="I991" s="18">
        <f>'RW predict'!Q990</f>
        <v>5</v>
      </c>
      <c r="J991" s="18">
        <f>'RW predict'!F990</f>
        <v>0</v>
      </c>
      <c r="K991" s="18"/>
      <c r="L991" s="18"/>
      <c r="M991" s="18">
        <f>'RW predict'!P990</f>
        <v>2</v>
      </c>
      <c r="N991" s="18"/>
      <c r="O991" s="18">
        <f>'RW predict'!H990</f>
        <v>-4</v>
      </c>
      <c r="P991" s="18">
        <f>'RW predict'!I990</f>
        <v>6</v>
      </c>
      <c r="Q991" s="18">
        <f>'RW predict'!L990</f>
        <v>0</v>
      </c>
      <c r="R991" s="18">
        <f>'RW predict'!N990</f>
        <v>0</v>
      </c>
      <c r="S991" s="76">
        <f>'RW predict'!O990</f>
        <v>0</v>
      </c>
      <c r="T991" s="76">
        <f>'RW predict'!K990</f>
        <v>0</v>
      </c>
      <c r="U991" s="22">
        <f>'RW predict'!J990</f>
        <v>18</v>
      </c>
      <c r="V991" s="32">
        <f>IF(D991="G",'RW predict'!E990,0)</f>
        <v>0</v>
      </c>
      <c r="W991" s="18">
        <f>'RW predict'!R990</f>
        <v>0</v>
      </c>
      <c r="X991" s="18">
        <f>'RW predict'!T990</f>
        <v>0</v>
      </c>
      <c r="Y991" s="18">
        <f>'RW predict'!Y990</f>
        <v>0</v>
      </c>
      <c r="Z991" s="18">
        <f>'RW predict'!U990</f>
        <v>0</v>
      </c>
      <c r="AA991" s="18">
        <f>'RW predict'!W990</f>
        <v>0</v>
      </c>
    </row>
    <row r="992" spans="1:27" x14ac:dyDescent="0.3">
      <c r="A992" s="18">
        <v>989</v>
      </c>
      <c r="B992" s="18" t="str">
        <f>'RW predict'!A991</f>
        <v>Johnny Kovacevic</v>
      </c>
      <c r="C992" s="18" t="str">
        <f>'RW predict'!B991</f>
        <v>WPG</v>
      </c>
      <c r="D992" s="22" t="str" cm="1">
        <f t="array" ref="D992">_xlfn.SWITCH('RW predict'!C991, "C", "F", "LW","F", "RW", "F", "D", "D", "G", "G", "other")</f>
        <v>D</v>
      </c>
      <c r="E992" s="32">
        <f t="shared" si="30"/>
        <v>61</v>
      </c>
      <c r="F992" s="35">
        <f>E992/assumptions!$B$2</f>
        <v>0.74390243902439024</v>
      </c>
      <c r="G992" s="36">
        <f t="shared" si="31"/>
        <v>968</v>
      </c>
      <c r="H992" s="18">
        <f>IF(NOT(D992="G"),'RW predict'!E991,0)</f>
        <v>0</v>
      </c>
      <c r="I992" s="18">
        <f>'RW predict'!Q991</f>
        <v>5</v>
      </c>
      <c r="J992" s="18">
        <f>'RW predict'!F991</f>
        <v>0</v>
      </c>
      <c r="K992" s="18"/>
      <c r="L992" s="18"/>
      <c r="M992" s="18">
        <f>'RW predict'!P991</f>
        <v>0</v>
      </c>
      <c r="N992" s="18"/>
      <c r="O992" s="18">
        <f>'RW predict'!H991</f>
        <v>2</v>
      </c>
      <c r="P992" s="18">
        <f>'RW predict'!I991</f>
        <v>3</v>
      </c>
      <c r="Q992" s="18">
        <f>'RW predict'!L991</f>
        <v>0</v>
      </c>
      <c r="R992" s="18">
        <f>'RW predict'!N991</f>
        <v>0</v>
      </c>
      <c r="S992" s="76">
        <f>'RW predict'!O991</f>
        <v>0</v>
      </c>
      <c r="T992" s="76">
        <f>'RW predict'!K991</f>
        <v>0</v>
      </c>
      <c r="U992" s="22">
        <f>'RW predict'!J991</f>
        <v>11</v>
      </c>
      <c r="V992" s="32">
        <f>IF(D992="G",'RW predict'!E991,0)</f>
        <v>0</v>
      </c>
      <c r="W992" s="18">
        <f>'RW predict'!R991</f>
        <v>0</v>
      </c>
      <c r="X992" s="18">
        <f>'RW predict'!T991</f>
        <v>0</v>
      </c>
      <c r="Y992" s="18">
        <f>'RW predict'!Y991</f>
        <v>0</v>
      </c>
      <c r="Z992" s="18">
        <f>'RW predict'!U991</f>
        <v>0</v>
      </c>
      <c r="AA992" s="18">
        <f>'RW predict'!W991</f>
        <v>0</v>
      </c>
    </row>
    <row r="993" spans="1:27" x14ac:dyDescent="0.3">
      <c r="A993" s="18">
        <v>990</v>
      </c>
      <c r="B993" s="18" t="str">
        <f>'RW predict'!A992</f>
        <v>Stuart Skinner</v>
      </c>
      <c r="C993" s="18" t="str">
        <f>'RW predict'!B992</f>
        <v>EDM</v>
      </c>
      <c r="D993" s="22" t="str" cm="1">
        <f t="array" ref="D993">_xlfn.SWITCH('RW predict'!C992, "C", "F", "LW","F", "RW", "F", "D", "D", "G", "G", "other")</f>
        <v>G</v>
      </c>
      <c r="E993" s="32">
        <f t="shared" si="30"/>
        <v>1190</v>
      </c>
      <c r="F993" s="35">
        <f>E993/assumptions!$B$2</f>
        <v>14.512195121951219</v>
      </c>
      <c r="G993" s="36">
        <f t="shared" si="31"/>
        <v>407</v>
      </c>
      <c r="H993" s="18">
        <f>IF(NOT(D993="G"),'RW predict'!E992,0)</f>
        <v>0</v>
      </c>
      <c r="I993" s="18">
        <f>'RW predict'!Q992</f>
        <v>0</v>
      </c>
      <c r="J993" s="18">
        <f>'RW predict'!F992</f>
        <v>0</v>
      </c>
      <c r="K993" s="18"/>
      <c r="L993" s="18"/>
      <c r="M993" s="18">
        <f>'RW predict'!P992</f>
        <v>0</v>
      </c>
      <c r="N993" s="18"/>
      <c r="O993" s="18">
        <f>'RW predict'!H992</f>
        <v>0</v>
      </c>
      <c r="P993" s="18">
        <f>'RW predict'!I992</f>
        <v>0</v>
      </c>
      <c r="Q993" s="18">
        <f>'RW predict'!L992</f>
        <v>0</v>
      </c>
      <c r="R993" s="18">
        <f>'RW predict'!N992</f>
        <v>0</v>
      </c>
      <c r="S993" s="76">
        <f>'RW predict'!O992</f>
        <v>0</v>
      </c>
      <c r="T993" s="76">
        <f>'RW predict'!K992</f>
        <v>0</v>
      </c>
      <c r="U993" s="22">
        <f>'RW predict'!J992</f>
        <v>0</v>
      </c>
      <c r="V993" s="32">
        <f>IF(D993="G",'RW predict'!E992,0)</f>
        <v>0</v>
      </c>
      <c r="W993" s="18">
        <f>'RW predict'!R992</f>
        <v>17</v>
      </c>
      <c r="X993" s="18">
        <f>'RW predict'!T992</f>
        <v>1</v>
      </c>
      <c r="Y993" s="18">
        <f>'RW predict'!Y992</f>
        <v>2</v>
      </c>
      <c r="Z993" s="18">
        <f>'RW predict'!U992</f>
        <v>78</v>
      </c>
      <c r="AA993" s="18">
        <f>'RW predict'!W992</f>
        <v>780</v>
      </c>
    </row>
    <row r="994" spans="1:27" x14ac:dyDescent="0.3">
      <c r="A994" s="18">
        <v>991</v>
      </c>
      <c r="B994" s="18" t="str">
        <f>'RW predict'!A993</f>
        <v>Daniil Tarasov</v>
      </c>
      <c r="C994" s="18" t="str">
        <f>'RW predict'!B993</f>
        <v>CLS</v>
      </c>
      <c r="D994" s="22" t="str" cm="1">
        <f t="array" ref="D994">_xlfn.SWITCH('RW predict'!C993, "C", "F", "LW","F", "RW", "F", "D", "D", "G", "G", "other")</f>
        <v>G</v>
      </c>
      <c r="E994" s="32">
        <f t="shared" si="30"/>
        <v>109</v>
      </c>
      <c r="F994" s="35">
        <f>E994/assumptions!$B$2</f>
        <v>1.3292682926829269</v>
      </c>
      <c r="G994" s="36">
        <f t="shared" si="31"/>
        <v>896</v>
      </c>
      <c r="H994" s="18">
        <f>IF(NOT(D994="G"),'RW predict'!E993,0)</f>
        <v>0</v>
      </c>
      <c r="I994" s="18">
        <f>'RW predict'!Q993</f>
        <v>0</v>
      </c>
      <c r="J994" s="18">
        <f>'RW predict'!F993</f>
        <v>0</v>
      </c>
      <c r="K994" s="18"/>
      <c r="L994" s="18"/>
      <c r="M994" s="18">
        <f>'RW predict'!P993</f>
        <v>0</v>
      </c>
      <c r="N994" s="18"/>
      <c r="O994" s="18">
        <f>'RW predict'!H993</f>
        <v>0</v>
      </c>
      <c r="P994" s="18">
        <f>'RW predict'!I993</f>
        <v>0</v>
      </c>
      <c r="Q994" s="18">
        <f>'RW predict'!L993</f>
        <v>0</v>
      </c>
      <c r="R994" s="18">
        <f>'RW predict'!N993</f>
        <v>0</v>
      </c>
      <c r="S994" s="76">
        <f>'RW predict'!O993</f>
        <v>0</v>
      </c>
      <c r="T994" s="76">
        <f>'RW predict'!K993</f>
        <v>0</v>
      </c>
      <c r="U994" s="22">
        <f>'RW predict'!J993</f>
        <v>0</v>
      </c>
      <c r="V994" s="32">
        <f>IF(D994="G",'RW predict'!E993,0)</f>
        <v>0</v>
      </c>
      <c r="W994" s="18">
        <f>'RW predict'!R993</f>
        <v>1</v>
      </c>
      <c r="X994" s="18">
        <f>'RW predict'!T993</f>
        <v>0</v>
      </c>
      <c r="Y994" s="18">
        <f>'RW predict'!Y993</f>
        <v>0</v>
      </c>
      <c r="Z994" s="18">
        <f>'RW predict'!U993</f>
        <v>9</v>
      </c>
      <c r="AA994" s="18">
        <f>'RW predict'!W993</f>
        <v>102</v>
      </c>
    </row>
    <row r="995" spans="1:27" x14ac:dyDescent="0.3">
      <c r="A995" s="18">
        <v>992</v>
      </c>
      <c r="B995" s="18" t="str">
        <f>'RW predict'!A994</f>
        <v>Collin Delia</v>
      </c>
      <c r="C995" s="18" t="str">
        <f>'RW predict'!B994</f>
        <v>VAN</v>
      </c>
      <c r="D995" s="22" t="str" cm="1">
        <f t="array" ref="D995">_xlfn.SWITCH('RW predict'!C994, "C", "F", "LW","F", "RW", "F", "D", "D", "G", "G", "other")</f>
        <v>G</v>
      </c>
      <c r="E995" s="32">
        <f t="shared" si="30"/>
        <v>286</v>
      </c>
      <c r="F995" s="35">
        <f>E995/assumptions!$B$2</f>
        <v>3.4878048780487805</v>
      </c>
      <c r="G995" s="36">
        <f t="shared" si="31"/>
        <v>776</v>
      </c>
      <c r="H995" s="18">
        <f>IF(NOT(D995="G"),'RW predict'!E994,0)</f>
        <v>0</v>
      </c>
      <c r="I995" s="18">
        <f>'RW predict'!Q994</f>
        <v>0</v>
      </c>
      <c r="J995" s="18">
        <f>'RW predict'!F994</f>
        <v>0</v>
      </c>
      <c r="K995" s="18"/>
      <c r="L995" s="18"/>
      <c r="M995" s="18">
        <f>'RW predict'!P994</f>
        <v>0</v>
      </c>
      <c r="N995" s="18"/>
      <c r="O995" s="18">
        <f>'RW predict'!H994</f>
        <v>0</v>
      </c>
      <c r="P995" s="18">
        <f>'RW predict'!I994</f>
        <v>0</v>
      </c>
      <c r="Q995" s="18">
        <f>'RW predict'!L994</f>
        <v>0</v>
      </c>
      <c r="R995" s="18">
        <f>'RW predict'!N994</f>
        <v>0</v>
      </c>
      <c r="S995" s="76">
        <f>'RW predict'!O994</f>
        <v>0</v>
      </c>
      <c r="T995" s="76">
        <f>'RW predict'!K994</f>
        <v>0</v>
      </c>
      <c r="U995" s="22">
        <f>'RW predict'!J994</f>
        <v>0</v>
      </c>
      <c r="V995" s="32">
        <f>IF(D995="G",'RW predict'!E994,0)</f>
        <v>0</v>
      </c>
      <c r="W995" s="18">
        <f>'RW predict'!R994</f>
        <v>4</v>
      </c>
      <c r="X995" s="18">
        <f>'RW predict'!T994</f>
        <v>2</v>
      </c>
      <c r="Y995" s="18">
        <f>'RW predict'!Y994</f>
        <v>0</v>
      </c>
      <c r="Z995" s="18">
        <f>'RW predict'!U994</f>
        <v>32</v>
      </c>
      <c r="AA995" s="18">
        <f>'RW predict'!W994</f>
        <v>283</v>
      </c>
    </row>
    <row r="996" spans="1:27" x14ac:dyDescent="0.3">
      <c r="A996" s="18">
        <v>993</v>
      </c>
      <c r="B996" s="18" t="str">
        <f>'RW predict'!A995</f>
        <v>Josef Korenar</v>
      </c>
      <c r="C996" s="18" t="str">
        <f>'RW predict'!B995</f>
        <v>FA</v>
      </c>
      <c r="D996" s="22" t="str" cm="1">
        <f t="array" ref="D996">_xlfn.SWITCH('RW predict'!C995, "C", "F", "LW","F", "RW", "F", "D", "D", "G", "G", "other")</f>
        <v>G</v>
      </c>
      <c r="E996" s="32">
        <f t="shared" si="30"/>
        <v>61</v>
      </c>
      <c r="F996" s="35">
        <f>E996/assumptions!$B$2</f>
        <v>0.74390243902439024</v>
      </c>
      <c r="G996" s="36">
        <f t="shared" si="31"/>
        <v>968</v>
      </c>
      <c r="H996" s="18">
        <f>IF(NOT(D996="G"),'RW predict'!E995,0)</f>
        <v>0</v>
      </c>
      <c r="I996" s="18">
        <f>'RW predict'!Q995</f>
        <v>0</v>
      </c>
      <c r="J996" s="18">
        <f>'RW predict'!F995</f>
        <v>0</v>
      </c>
      <c r="K996" s="18"/>
      <c r="L996" s="18"/>
      <c r="M996" s="18">
        <f>'RW predict'!P995</f>
        <v>0</v>
      </c>
      <c r="N996" s="18"/>
      <c r="O996" s="18">
        <f>'RW predict'!H995</f>
        <v>0</v>
      </c>
      <c r="P996" s="18">
        <f>'RW predict'!I995</f>
        <v>0</v>
      </c>
      <c r="Q996" s="18">
        <f>'RW predict'!L995</f>
        <v>0</v>
      </c>
      <c r="R996" s="18">
        <f>'RW predict'!N995</f>
        <v>0</v>
      </c>
      <c r="S996" s="76">
        <f>'RW predict'!O995</f>
        <v>0</v>
      </c>
      <c r="T996" s="76">
        <f>'RW predict'!K995</f>
        <v>0</v>
      </c>
      <c r="U996" s="22">
        <f>'RW predict'!J995</f>
        <v>0</v>
      </c>
      <c r="V996" s="32">
        <f>IF(D996="G",'RW predict'!E995,0)</f>
        <v>0</v>
      </c>
      <c r="W996" s="18">
        <f>'RW predict'!R995</f>
        <v>1</v>
      </c>
      <c r="X996" s="18">
        <f>'RW predict'!T995</f>
        <v>0</v>
      </c>
      <c r="Y996" s="18">
        <f>'RW predict'!Y995</f>
        <v>0</v>
      </c>
      <c r="Z996" s="18">
        <f>'RW predict'!U995</f>
        <v>9</v>
      </c>
      <c r="AA996" s="18">
        <f>'RW predict'!W995</f>
        <v>78</v>
      </c>
    </row>
    <row r="997" spans="1:27" x14ac:dyDescent="0.3">
      <c r="A997" s="18">
        <v>994</v>
      </c>
      <c r="B997" s="18" t="str">
        <f>'RW predict'!A996</f>
        <v>Alexandar Georgiev</v>
      </c>
      <c r="C997" s="18" t="str">
        <f>'RW predict'!B996</f>
        <v>COL</v>
      </c>
      <c r="D997" s="22" t="str" cm="1">
        <f t="array" ref="D997">_xlfn.SWITCH('RW predict'!C996, "C", "F", "LW","F", "RW", "F", "D", "D", "G", "G", "other")</f>
        <v>G</v>
      </c>
      <c r="E997" s="32">
        <f t="shared" si="30"/>
        <v>1617</v>
      </c>
      <c r="F997" s="35">
        <f>E997/assumptions!$B$2</f>
        <v>19.719512195121951</v>
      </c>
      <c r="G997" s="36">
        <f t="shared" si="31"/>
        <v>256</v>
      </c>
      <c r="H997" s="18">
        <f>IF(NOT(D997="G"),'RW predict'!E996,0)</f>
        <v>0</v>
      </c>
      <c r="I997" s="18">
        <f>'RW predict'!Q996</f>
        <v>0</v>
      </c>
      <c r="J997" s="18">
        <f>'RW predict'!F996</f>
        <v>0</v>
      </c>
      <c r="K997" s="18"/>
      <c r="L997" s="18"/>
      <c r="M997" s="18">
        <f>'RW predict'!P996</f>
        <v>0</v>
      </c>
      <c r="N997" s="18"/>
      <c r="O997" s="18">
        <f>'RW predict'!H996</f>
        <v>0</v>
      </c>
      <c r="P997" s="18">
        <f>'RW predict'!I996</f>
        <v>0</v>
      </c>
      <c r="Q997" s="18">
        <f>'RW predict'!L996</f>
        <v>0</v>
      </c>
      <c r="R997" s="18">
        <f>'RW predict'!N996</f>
        <v>0</v>
      </c>
      <c r="S997" s="76">
        <f>'RW predict'!O996</f>
        <v>0</v>
      </c>
      <c r="T997" s="76">
        <f>'RW predict'!K996</f>
        <v>0</v>
      </c>
      <c r="U997" s="22">
        <f>'RW predict'!J996</f>
        <v>0</v>
      </c>
      <c r="V997" s="32">
        <f>IF(D997="G",'RW predict'!E996,0)</f>
        <v>0</v>
      </c>
      <c r="W997" s="18">
        <f>'RW predict'!R996</f>
        <v>15</v>
      </c>
      <c r="X997" s="18">
        <f>'RW predict'!T996</f>
        <v>3</v>
      </c>
      <c r="Y997" s="18">
        <f>'RW predict'!Y996</f>
        <v>3</v>
      </c>
      <c r="Z997" s="18">
        <f>'RW predict'!U996</f>
        <v>121</v>
      </c>
      <c r="AA997" s="18">
        <f>'RW predict'!W996</f>
        <v>1311</v>
      </c>
    </row>
    <row r="998" spans="1:27" x14ac:dyDescent="0.3">
      <c r="A998" s="18">
        <v>995</v>
      </c>
      <c r="B998" s="18" t="str">
        <f>'RW predict'!A997</f>
        <v>Alexandre Texier</v>
      </c>
      <c r="C998" s="18" t="str">
        <f>'RW predict'!B997</f>
        <v>CLS</v>
      </c>
      <c r="D998" s="22" t="str" cm="1">
        <f t="array" ref="D998">_xlfn.SWITCH('RW predict'!C997, "C", "F", "LW","F", "RW", "F", "D", "D", "G", "G", "other")</f>
        <v>F</v>
      </c>
      <c r="E998" s="32">
        <f t="shared" si="30"/>
        <v>226</v>
      </c>
      <c r="F998" s="35">
        <f>E998/assumptions!$B$2</f>
        <v>2.7560975609756095</v>
      </c>
      <c r="G998" s="36">
        <f t="shared" si="31"/>
        <v>810</v>
      </c>
      <c r="H998" s="18">
        <f>IF(NOT(D998="G"),'RW predict'!E997,0)</f>
        <v>0</v>
      </c>
      <c r="I998" s="18">
        <f>'RW predict'!Q997</f>
        <v>0</v>
      </c>
      <c r="J998" s="18">
        <f>'RW predict'!F997</f>
        <v>0</v>
      </c>
      <c r="K998" s="18"/>
      <c r="L998" s="18"/>
      <c r="M998" s="18">
        <f>'RW predict'!P997</f>
        <v>0</v>
      </c>
      <c r="N998" s="18"/>
      <c r="O998" s="18">
        <f>'RW predict'!H997</f>
        <v>-4</v>
      </c>
      <c r="P998" s="18">
        <f>'RW predict'!I997</f>
        <v>20</v>
      </c>
      <c r="Q998" s="18">
        <f>'RW predict'!L997</f>
        <v>0</v>
      </c>
      <c r="R998" s="18">
        <f>'RW predict'!N997</f>
        <v>1</v>
      </c>
      <c r="S998" s="76">
        <f>'RW predict'!O997</f>
        <v>1</v>
      </c>
      <c r="T998" s="76">
        <f>'RW predict'!K997</f>
        <v>0</v>
      </c>
      <c r="U998" s="22">
        <f>'RW predict'!J997</f>
        <v>88</v>
      </c>
      <c r="V998" s="32">
        <f>IF(D998="G",'RW predict'!E997,0)</f>
        <v>0</v>
      </c>
      <c r="W998" s="18">
        <f>'RW predict'!R997</f>
        <v>0</v>
      </c>
      <c r="X998" s="18">
        <f>'RW predict'!T997</f>
        <v>0</v>
      </c>
      <c r="Y998" s="18">
        <f>'RW predict'!Y997</f>
        <v>0</v>
      </c>
      <c r="Z998" s="18">
        <f>'RW predict'!U997</f>
        <v>0</v>
      </c>
      <c r="AA998" s="18">
        <f>'RW predict'!W997</f>
        <v>0</v>
      </c>
    </row>
    <row r="999" spans="1:27" x14ac:dyDescent="0.3">
      <c r="A999" s="18">
        <v>996</v>
      </c>
      <c r="B999" s="18" t="str">
        <f>'RW predict'!A998</f>
        <v>Casey DeSmith</v>
      </c>
      <c r="C999" s="18" t="str">
        <f>'RW predict'!B998</f>
        <v>PIT</v>
      </c>
      <c r="D999" s="22" t="str" cm="1">
        <f t="array" ref="D999">_xlfn.SWITCH('RW predict'!C998, "C", "F", "LW","F", "RW", "F", "D", "D", "G", "G", "other")</f>
        <v>G</v>
      </c>
      <c r="E999" s="32">
        <f t="shared" si="30"/>
        <v>809</v>
      </c>
      <c r="F999" s="35">
        <f>E999/assumptions!$B$2</f>
        <v>9.8658536585365848</v>
      </c>
      <c r="G999" s="36">
        <f t="shared" si="31"/>
        <v>570</v>
      </c>
      <c r="H999" s="18">
        <f>IF(NOT(D999="G"),'RW predict'!E998,0)</f>
        <v>0</v>
      </c>
      <c r="I999" s="18">
        <f>'RW predict'!Q998</f>
        <v>0</v>
      </c>
      <c r="J999" s="18">
        <f>'RW predict'!F998</f>
        <v>0</v>
      </c>
      <c r="K999" s="18"/>
      <c r="L999" s="18"/>
      <c r="M999" s="18">
        <f>'RW predict'!P998</f>
        <v>0</v>
      </c>
      <c r="N999" s="18"/>
      <c r="O999" s="18">
        <f>'RW predict'!H998</f>
        <v>0</v>
      </c>
      <c r="P999" s="18">
        <f>'RW predict'!I998</f>
        <v>0</v>
      </c>
      <c r="Q999" s="18">
        <f>'RW predict'!L998</f>
        <v>0</v>
      </c>
      <c r="R999" s="18">
        <f>'RW predict'!N998</f>
        <v>0</v>
      </c>
      <c r="S999" s="76">
        <f>'RW predict'!O998</f>
        <v>0</v>
      </c>
      <c r="T999" s="76">
        <f>'RW predict'!K998</f>
        <v>0</v>
      </c>
      <c r="U999" s="22">
        <f>'RW predict'!J998</f>
        <v>0</v>
      </c>
      <c r="V999" s="32">
        <f>IF(D999="G",'RW predict'!E998,0)</f>
        <v>0</v>
      </c>
      <c r="W999" s="18">
        <f>'RW predict'!R998</f>
        <v>11</v>
      </c>
      <c r="X999" s="18">
        <f>'RW predict'!T998</f>
        <v>2</v>
      </c>
      <c r="Y999" s="18">
        <f>'RW predict'!Y998</f>
        <v>2</v>
      </c>
      <c r="Z999" s="18">
        <f>'RW predict'!U998</f>
        <v>39</v>
      </c>
      <c r="AA999" s="18">
        <f>'RW predict'!W998</f>
        <v>407</v>
      </c>
    </row>
    <row r="1000" spans="1:27" x14ac:dyDescent="0.3">
      <c r="A1000" s="18">
        <v>997</v>
      </c>
      <c r="B1000" s="18" t="str">
        <f>'RW predict'!A999</f>
        <v>Chase Priskie</v>
      </c>
      <c r="C1000" s="18" t="str">
        <f>'RW predict'!B999</f>
        <v>BUF</v>
      </c>
      <c r="D1000" s="22" t="str" cm="1">
        <f t="array" ref="D1000">_xlfn.SWITCH('RW predict'!C999, "C", "F", "LW","F", "RW", "F", "D", "D", "G", "G", "other")</f>
        <v>D</v>
      </c>
      <c r="E1000" s="32">
        <f t="shared" si="30"/>
        <v>1</v>
      </c>
      <c r="F1000" s="35">
        <f>E1000/assumptions!$B$2</f>
        <v>1.2195121951219513E-2</v>
      </c>
      <c r="G1000" s="36">
        <f t="shared" si="31"/>
        <v>1060</v>
      </c>
      <c r="H1000" s="18">
        <f>IF(NOT(D1000="G"),'RW predict'!E999,0)</f>
        <v>0</v>
      </c>
      <c r="I1000" s="18">
        <f>'RW predict'!Q999</f>
        <v>3</v>
      </c>
      <c r="J1000" s="18">
        <f>'RW predict'!F999</f>
        <v>0</v>
      </c>
      <c r="K1000" s="18"/>
      <c r="L1000" s="18"/>
      <c r="M1000" s="18">
        <f>'RW predict'!P999</f>
        <v>3</v>
      </c>
      <c r="N1000" s="18"/>
      <c r="O1000" s="18">
        <f>'RW predict'!H999</f>
        <v>-2</v>
      </c>
      <c r="P1000" s="18">
        <f>'RW predict'!I999</f>
        <v>2</v>
      </c>
      <c r="Q1000" s="18">
        <f>'RW predict'!L999</f>
        <v>0</v>
      </c>
      <c r="R1000" s="18">
        <f>'RW predict'!N999</f>
        <v>0</v>
      </c>
      <c r="S1000" s="76">
        <f>'RW predict'!O999</f>
        <v>0</v>
      </c>
      <c r="T1000" s="76">
        <f>'RW predict'!K999</f>
        <v>0</v>
      </c>
      <c r="U1000" s="22">
        <f>'RW predict'!J999</f>
        <v>3</v>
      </c>
      <c r="V1000" s="32">
        <f>IF(D1000="G",'RW predict'!E999,0)</f>
        <v>0</v>
      </c>
      <c r="W1000" s="18">
        <f>'RW predict'!R999</f>
        <v>0</v>
      </c>
      <c r="X1000" s="18">
        <f>'RW predict'!T999</f>
        <v>0</v>
      </c>
      <c r="Y1000" s="18">
        <f>'RW predict'!Y999</f>
        <v>0</v>
      </c>
      <c r="Z1000" s="18">
        <f>'RW predict'!U999</f>
        <v>0</v>
      </c>
      <c r="AA1000" s="18">
        <f>'RW predict'!W999</f>
        <v>0</v>
      </c>
    </row>
    <row r="1001" spans="1:27" x14ac:dyDescent="0.3">
      <c r="A1001" s="18">
        <v>998</v>
      </c>
      <c r="B1001" s="18" t="str">
        <f>'RW predict'!A1000</f>
        <v>Cal Petersen</v>
      </c>
      <c r="C1001" s="18" t="str">
        <f>'RW predict'!B1000</f>
        <v>LA</v>
      </c>
      <c r="D1001" s="22" t="str" cm="1">
        <f t="array" ref="D1001">_xlfn.SWITCH('RW predict'!C1000, "C", "F", "LW","F", "RW", "F", "D", "D", "G", "G", "other")</f>
        <v>G</v>
      </c>
      <c r="E1001" s="32">
        <f t="shared" si="30"/>
        <v>1453</v>
      </c>
      <c r="F1001" s="35">
        <f>E1001/assumptions!$B$2</f>
        <v>17.719512195121951</v>
      </c>
      <c r="G1001" s="36">
        <f t="shared" si="31"/>
        <v>310</v>
      </c>
      <c r="H1001" s="18">
        <f>IF(NOT(D1001="G"),'RW predict'!E1000,0)</f>
        <v>0</v>
      </c>
      <c r="I1001" s="18">
        <f>'RW predict'!Q1000</f>
        <v>0</v>
      </c>
      <c r="J1001" s="18">
        <f>'RW predict'!F1000</f>
        <v>0</v>
      </c>
      <c r="K1001" s="18"/>
      <c r="L1001" s="18"/>
      <c r="M1001" s="18">
        <f>'RW predict'!P1000</f>
        <v>0</v>
      </c>
      <c r="N1001" s="18"/>
      <c r="O1001" s="18">
        <f>'RW predict'!H1000</f>
        <v>0</v>
      </c>
      <c r="P1001" s="18">
        <f>'RW predict'!I1000</f>
        <v>2</v>
      </c>
      <c r="Q1001" s="18">
        <f>'RW predict'!L1000</f>
        <v>0</v>
      </c>
      <c r="R1001" s="18">
        <f>'RW predict'!N1000</f>
        <v>0</v>
      </c>
      <c r="S1001" s="76">
        <f>'RW predict'!O1000</f>
        <v>0</v>
      </c>
      <c r="T1001" s="76">
        <f>'RW predict'!K1000</f>
        <v>0</v>
      </c>
      <c r="U1001" s="22">
        <f>'RW predict'!J1000</f>
        <v>0</v>
      </c>
      <c r="V1001" s="32">
        <f>IF(D1001="G",'RW predict'!E1000,0)</f>
        <v>0</v>
      </c>
      <c r="W1001" s="18">
        <f>'RW predict'!R1000</f>
        <v>19</v>
      </c>
      <c r="X1001" s="18">
        <f>'RW predict'!T1000</f>
        <v>3</v>
      </c>
      <c r="Y1001" s="18">
        <f>'RW predict'!Y1000</f>
        <v>3</v>
      </c>
      <c r="Z1001" s="18">
        <f>'RW predict'!U1000</f>
        <v>97</v>
      </c>
      <c r="AA1001" s="18">
        <f>'RW predict'!W1000</f>
        <v>966</v>
      </c>
    </row>
    <row r="1002" spans="1:27" x14ac:dyDescent="0.3">
      <c r="A1002" s="18">
        <v>999</v>
      </c>
      <c r="B1002" s="18" t="str">
        <f>'RW predict'!A1001</f>
        <v>Filip Gustavsson</v>
      </c>
      <c r="C1002" s="18" t="str">
        <f>'RW predict'!B1001</f>
        <v>MIN</v>
      </c>
      <c r="D1002" s="22" t="str" cm="1">
        <f t="array" ref="D1002">_xlfn.SWITCH('RW predict'!C1001, "C", "F", "LW","F", "RW", "F", "D", "D", "G", "G", "other")</f>
        <v>G</v>
      </c>
      <c r="E1002" s="32">
        <f t="shared" si="30"/>
        <v>910</v>
      </c>
      <c r="F1002" s="35">
        <f>E1002/assumptions!$B$2</f>
        <v>11.097560975609756</v>
      </c>
      <c r="G1002" s="36">
        <f t="shared" si="31"/>
        <v>527</v>
      </c>
      <c r="H1002" s="18">
        <f>IF(NOT(D1002="G"),'RW predict'!E1001,0)</f>
        <v>0</v>
      </c>
      <c r="I1002" s="18">
        <f>'RW predict'!Q1001</f>
        <v>0</v>
      </c>
      <c r="J1002" s="18">
        <f>'RW predict'!F1001</f>
        <v>0</v>
      </c>
      <c r="K1002" s="18"/>
      <c r="L1002" s="18"/>
      <c r="M1002" s="18">
        <f>'RW predict'!P1001</f>
        <v>0</v>
      </c>
      <c r="N1002" s="18"/>
      <c r="O1002" s="18">
        <f>'RW predict'!H1001</f>
        <v>0</v>
      </c>
      <c r="P1002" s="18">
        <f>'RW predict'!I1001</f>
        <v>0</v>
      </c>
      <c r="Q1002" s="18">
        <f>'RW predict'!L1001</f>
        <v>0</v>
      </c>
      <c r="R1002" s="18">
        <f>'RW predict'!N1001</f>
        <v>0</v>
      </c>
      <c r="S1002" s="76">
        <f>'RW predict'!O1001</f>
        <v>0</v>
      </c>
      <c r="T1002" s="76">
        <f>'RW predict'!K1001</f>
        <v>0</v>
      </c>
      <c r="U1002" s="22">
        <f>'RW predict'!J1001</f>
        <v>0</v>
      </c>
      <c r="V1002" s="32">
        <f>IF(D1002="G",'RW predict'!E1001,0)</f>
        <v>0</v>
      </c>
      <c r="W1002" s="18">
        <f>'RW predict'!R1001</f>
        <v>14</v>
      </c>
      <c r="X1002" s="18">
        <f>'RW predict'!T1001</f>
        <v>1</v>
      </c>
      <c r="Y1002" s="18">
        <f>'RW predict'!Y1001</f>
        <v>1</v>
      </c>
      <c r="Z1002" s="18">
        <f>'RW predict'!U1001</f>
        <v>68</v>
      </c>
      <c r="AA1002" s="18">
        <f>'RW predict'!W1001</f>
        <v>650</v>
      </c>
    </row>
    <row r="1003" spans="1:27" x14ac:dyDescent="0.3">
      <c r="A1003" s="18">
        <v>1000</v>
      </c>
      <c r="B1003" s="18" t="str">
        <f>'RW predict'!A1002</f>
        <v>David Rittich</v>
      </c>
      <c r="C1003" s="18" t="str">
        <f>'RW predict'!B1002</f>
        <v>WPG</v>
      </c>
      <c r="D1003" s="22" t="str" cm="1">
        <f t="array" ref="D1003">_xlfn.SWITCH('RW predict'!C1002, "C", "F", "LW","F", "RW", "F", "D", "D", "G", "G", "other")</f>
        <v>G</v>
      </c>
      <c r="E1003" s="32">
        <f t="shared" si="30"/>
        <v>438</v>
      </c>
      <c r="F1003" s="35">
        <f>E1003/assumptions!$B$2</f>
        <v>5.3414634146341466</v>
      </c>
      <c r="G1003" s="36">
        <f t="shared" si="31"/>
        <v>710</v>
      </c>
      <c r="H1003" s="18">
        <f>IF(NOT(D1003="G"),'RW predict'!E1002,0)</f>
        <v>0</v>
      </c>
      <c r="I1003" s="18">
        <f>'RW predict'!Q1002</f>
        <v>0</v>
      </c>
      <c r="J1003" s="18">
        <f>'RW predict'!F1002</f>
        <v>0</v>
      </c>
      <c r="K1003" s="18"/>
      <c r="L1003" s="18"/>
      <c r="M1003" s="18">
        <f>'RW predict'!P1002</f>
        <v>0</v>
      </c>
      <c r="N1003" s="18"/>
      <c r="O1003" s="18">
        <f>'RW predict'!H1002</f>
        <v>0</v>
      </c>
      <c r="P1003" s="18">
        <f>'RW predict'!I1002</f>
        <v>3</v>
      </c>
      <c r="Q1003" s="18">
        <f>'RW predict'!L1002</f>
        <v>0</v>
      </c>
      <c r="R1003" s="18">
        <f>'RW predict'!N1002</f>
        <v>0</v>
      </c>
      <c r="S1003" s="76">
        <f>'RW predict'!O1002</f>
        <v>0</v>
      </c>
      <c r="T1003" s="76">
        <f>'RW predict'!K1002</f>
        <v>0</v>
      </c>
      <c r="U1003" s="22">
        <f>'RW predict'!J1002</f>
        <v>1</v>
      </c>
      <c r="V1003" s="32">
        <f>IF(D1003="G",'RW predict'!E1002,0)</f>
        <v>0</v>
      </c>
      <c r="W1003" s="18">
        <f>'RW predict'!R1002</f>
        <v>8</v>
      </c>
      <c r="X1003" s="18">
        <f>'RW predict'!T1002</f>
        <v>3</v>
      </c>
      <c r="Y1003" s="18">
        <f>'RW predict'!Y1002</f>
        <v>1</v>
      </c>
      <c r="Z1003" s="18">
        <f>'RW predict'!U1002</f>
        <v>71</v>
      </c>
      <c r="AA1003" s="18">
        <f>'RW predict'!W1002</f>
        <v>531</v>
      </c>
    </row>
    <row r="1004" spans="1:27" x14ac:dyDescent="0.3">
      <c r="A1004" s="18">
        <v>1001</v>
      </c>
      <c r="B1004" s="18" t="str">
        <f>'RW predict'!A1003</f>
        <v>Max Lajoie</v>
      </c>
      <c r="C1004" s="18" t="str">
        <f>'RW predict'!B1003</f>
        <v>CAR</v>
      </c>
      <c r="D1004" s="22" t="str" cm="1">
        <f t="array" ref="D1004">_xlfn.SWITCH('RW predict'!C1003, "C", "F", "LW","F", "RW", "F", "D", "D", "G", "G", "other")</f>
        <v>D</v>
      </c>
      <c r="E1004" s="32">
        <f t="shared" si="30"/>
        <v>0</v>
      </c>
      <c r="F1004" s="35">
        <f>E1004/assumptions!$B$2</f>
        <v>0</v>
      </c>
      <c r="G1004" s="36">
        <f t="shared" si="31"/>
        <v>1061</v>
      </c>
      <c r="H1004" s="18">
        <f>IF(NOT(D1004="G"),'RW predict'!E1003,0)</f>
        <v>0</v>
      </c>
      <c r="I1004" s="18">
        <f>'RW predict'!Q1003</f>
        <v>0</v>
      </c>
      <c r="J1004" s="18">
        <f>'RW predict'!F1003</f>
        <v>0</v>
      </c>
      <c r="K1004" s="18"/>
      <c r="L1004" s="18"/>
      <c r="M1004" s="18">
        <f>'RW predict'!P1003</f>
        <v>0</v>
      </c>
      <c r="N1004" s="18"/>
      <c r="O1004" s="18">
        <f>'RW predict'!H1003</f>
        <v>0</v>
      </c>
      <c r="P1004" s="18">
        <f>'RW predict'!I1003</f>
        <v>0</v>
      </c>
      <c r="Q1004" s="18">
        <f>'RW predict'!L1003</f>
        <v>0</v>
      </c>
      <c r="R1004" s="18">
        <f>'RW predict'!N1003</f>
        <v>0</v>
      </c>
      <c r="S1004" s="76">
        <f>'RW predict'!O1003</f>
        <v>0</v>
      </c>
      <c r="T1004" s="76">
        <f>'RW predict'!K1003</f>
        <v>0</v>
      </c>
      <c r="U1004" s="22">
        <f>'RW predict'!J1003</f>
        <v>0</v>
      </c>
      <c r="V1004" s="32">
        <f>IF(D1004="G",'RW predict'!E1003,0)</f>
        <v>0</v>
      </c>
      <c r="W1004" s="18">
        <f>'RW predict'!R1003</f>
        <v>0</v>
      </c>
      <c r="X1004" s="18">
        <f>'RW predict'!T1003</f>
        <v>0</v>
      </c>
      <c r="Y1004" s="18">
        <f>'RW predict'!Y1003</f>
        <v>0</v>
      </c>
      <c r="Z1004" s="18">
        <f>'RW predict'!U1003</f>
        <v>0</v>
      </c>
      <c r="AA1004" s="18">
        <f>'RW predict'!W1003</f>
        <v>0</v>
      </c>
    </row>
    <row r="1005" spans="1:27" x14ac:dyDescent="0.3">
      <c r="A1005" s="18">
        <v>1002</v>
      </c>
      <c r="B1005" s="18" t="str">
        <f>'RW predict'!A1004</f>
        <v>Joey Anderson</v>
      </c>
      <c r="C1005" s="18" t="str">
        <f>'RW predict'!B1004</f>
        <v>TOR</v>
      </c>
      <c r="D1005" s="22" t="str" cm="1">
        <f t="array" ref="D1005">_xlfn.SWITCH('RW predict'!C1004, "C", "F", "LW","F", "RW", "F", "D", "D", "G", "G", "other")</f>
        <v>F</v>
      </c>
      <c r="E1005" s="32">
        <f t="shared" si="30"/>
        <v>28</v>
      </c>
      <c r="F1005" s="35">
        <f>E1005/assumptions!$B$2</f>
        <v>0.34146341463414637</v>
      </c>
      <c r="G1005" s="36">
        <f t="shared" si="31"/>
        <v>1017</v>
      </c>
      <c r="H1005" s="18">
        <f>IF(NOT(D1005="G"),'RW predict'!E1004,0)</f>
        <v>0</v>
      </c>
      <c r="I1005" s="18">
        <f>'RW predict'!Q1004</f>
        <v>2</v>
      </c>
      <c r="J1005" s="18">
        <f>'RW predict'!F1004</f>
        <v>0</v>
      </c>
      <c r="K1005" s="18"/>
      <c r="L1005" s="18"/>
      <c r="M1005" s="18">
        <f>'RW predict'!P1004</f>
        <v>4</v>
      </c>
      <c r="N1005" s="18"/>
      <c r="O1005" s="18">
        <f>'RW predict'!H1004</f>
        <v>0</v>
      </c>
      <c r="P1005" s="18">
        <f>'RW predict'!I1004</f>
        <v>0</v>
      </c>
      <c r="Q1005" s="18">
        <f>'RW predict'!L1004</f>
        <v>0</v>
      </c>
      <c r="R1005" s="18">
        <f>'RW predict'!N1004</f>
        <v>0</v>
      </c>
      <c r="S1005" s="76">
        <f>'RW predict'!O1004</f>
        <v>0</v>
      </c>
      <c r="T1005" s="76">
        <f>'RW predict'!K1004</f>
        <v>0</v>
      </c>
      <c r="U1005" s="22">
        <f>'RW predict'!J1004</f>
        <v>10</v>
      </c>
      <c r="V1005" s="32">
        <f>IF(D1005="G",'RW predict'!E1004,0)</f>
        <v>0</v>
      </c>
      <c r="W1005" s="18">
        <f>'RW predict'!R1004</f>
        <v>0</v>
      </c>
      <c r="X1005" s="18">
        <f>'RW predict'!T1004</f>
        <v>0</v>
      </c>
      <c r="Y1005" s="18">
        <f>'RW predict'!Y1004</f>
        <v>0</v>
      </c>
      <c r="Z1005" s="18">
        <f>'RW predict'!U1004</f>
        <v>0</v>
      </c>
      <c r="AA1005" s="18">
        <f>'RW predict'!W1004</f>
        <v>0</v>
      </c>
    </row>
    <row r="1006" spans="1:27" x14ac:dyDescent="0.3">
      <c r="A1006" s="18">
        <v>1003</v>
      </c>
      <c r="B1006" s="18" t="str">
        <f>'RW predict'!A1005</f>
        <v>Garrett Pilon</v>
      </c>
      <c r="C1006" s="18" t="str">
        <f>'RW predict'!B1005</f>
        <v>WAS</v>
      </c>
      <c r="D1006" s="22" t="str" cm="1">
        <f t="array" ref="D1006">_xlfn.SWITCH('RW predict'!C1005, "C", "F", "LW","F", "RW", "F", "D", "D", "G", "G", "other")</f>
        <v>F</v>
      </c>
      <c r="E1006" s="32">
        <f t="shared" si="30"/>
        <v>20</v>
      </c>
      <c r="F1006" s="35">
        <f>E1006/assumptions!$B$2</f>
        <v>0.24390243902439024</v>
      </c>
      <c r="G1006" s="36">
        <f t="shared" si="31"/>
        <v>1035</v>
      </c>
      <c r="H1006" s="18">
        <f>IF(NOT(D1006="G"),'RW predict'!E1005,0)</f>
        <v>0</v>
      </c>
      <c r="I1006" s="18">
        <f>'RW predict'!Q1005</f>
        <v>0</v>
      </c>
      <c r="J1006" s="18">
        <f>'RW predict'!F1005</f>
        <v>0</v>
      </c>
      <c r="K1006" s="18"/>
      <c r="L1006" s="18"/>
      <c r="M1006" s="18">
        <f>'RW predict'!P1005</f>
        <v>4</v>
      </c>
      <c r="N1006" s="18"/>
      <c r="O1006" s="18">
        <f>'RW predict'!H1005</f>
        <v>1</v>
      </c>
      <c r="P1006" s="18">
        <f>'RW predict'!I1005</f>
        <v>0</v>
      </c>
      <c r="Q1006" s="18">
        <f>'RW predict'!L1005</f>
        <v>0</v>
      </c>
      <c r="R1006" s="18">
        <f>'RW predict'!N1005</f>
        <v>0</v>
      </c>
      <c r="S1006" s="76">
        <f>'RW predict'!O1005</f>
        <v>0</v>
      </c>
      <c r="T1006" s="76">
        <f>'RW predict'!K1005</f>
        <v>0</v>
      </c>
      <c r="U1006" s="22">
        <f>'RW predict'!J1005</f>
        <v>3</v>
      </c>
      <c r="V1006" s="32">
        <f>IF(D1006="G",'RW predict'!E1005,0)</f>
        <v>0</v>
      </c>
      <c r="W1006" s="18">
        <f>'RW predict'!R1005</f>
        <v>0</v>
      </c>
      <c r="X1006" s="18">
        <f>'RW predict'!T1005</f>
        <v>0</v>
      </c>
      <c r="Y1006" s="18">
        <f>'RW predict'!Y1005</f>
        <v>0</v>
      </c>
      <c r="Z1006" s="18">
        <f>'RW predict'!U1005</f>
        <v>0</v>
      </c>
      <c r="AA1006" s="18">
        <f>'RW predict'!W1005</f>
        <v>0</v>
      </c>
    </row>
    <row r="1007" spans="1:27" x14ac:dyDescent="0.3">
      <c r="A1007" s="18">
        <v>1004</v>
      </c>
      <c r="B1007" s="18" t="str">
        <f>'RW predict'!A1006</f>
        <v>Connor Ingram</v>
      </c>
      <c r="C1007" s="18" t="str">
        <f>'RW predict'!B1006</f>
        <v>NSH</v>
      </c>
      <c r="D1007" s="22" t="str" cm="1">
        <f t="array" ref="D1007">_xlfn.SWITCH('RW predict'!C1006, "C", "F", "LW","F", "RW", "F", "D", "D", "G", "G", "other")</f>
        <v>G</v>
      </c>
      <c r="E1007" s="32">
        <f t="shared" si="30"/>
        <v>57</v>
      </c>
      <c r="F1007" s="35">
        <f>E1007/assumptions!$B$2</f>
        <v>0.69512195121951215</v>
      </c>
      <c r="G1007" s="36">
        <f t="shared" si="31"/>
        <v>974</v>
      </c>
      <c r="H1007" s="18">
        <f>IF(NOT(D1007="G"),'RW predict'!E1006,0)</f>
        <v>0</v>
      </c>
      <c r="I1007" s="18">
        <f>'RW predict'!Q1006</f>
        <v>0</v>
      </c>
      <c r="J1007" s="18">
        <f>'RW predict'!F1006</f>
        <v>0</v>
      </c>
      <c r="K1007" s="18"/>
      <c r="L1007" s="18"/>
      <c r="M1007" s="18">
        <f>'RW predict'!P1006</f>
        <v>0</v>
      </c>
      <c r="N1007" s="18"/>
      <c r="O1007" s="18">
        <f>'RW predict'!H1006</f>
        <v>0</v>
      </c>
      <c r="P1007" s="18">
        <f>'RW predict'!I1006</f>
        <v>0</v>
      </c>
      <c r="Q1007" s="18">
        <f>'RW predict'!L1006</f>
        <v>0</v>
      </c>
      <c r="R1007" s="18">
        <f>'RW predict'!N1006</f>
        <v>0</v>
      </c>
      <c r="S1007" s="76">
        <f>'RW predict'!O1006</f>
        <v>0</v>
      </c>
      <c r="T1007" s="76">
        <f>'RW predict'!K1006</f>
        <v>0</v>
      </c>
      <c r="U1007" s="22">
        <f>'RW predict'!J1006</f>
        <v>0</v>
      </c>
      <c r="V1007" s="32">
        <f>IF(D1007="G",'RW predict'!E1006,0)</f>
        <v>0</v>
      </c>
      <c r="W1007" s="18">
        <f>'RW predict'!R1006</f>
        <v>1</v>
      </c>
      <c r="X1007" s="18">
        <f>'RW predict'!T1006</f>
        <v>0</v>
      </c>
      <c r="Y1007" s="18">
        <f>'RW predict'!Y1006</f>
        <v>0</v>
      </c>
      <c r="Z1007" s="18">
        <f>'RW predict'!U1006</f>
        <v>3</v>
      </c>
      <c r="AA1007" s="18">
        <f>'RW predict'!W1006</f>
        <v>31</v>
      </c>
    </row>
    <row r="1008" spans="1:27" x14ac:dyDescent="0.3">
      <c r="A1008" s="18">
        <v>1005</v>
      </c>
      <c r="B1008" s="18" t="str">
        <f>'RW predict'!A1007</f>
        <v>Joseph Woll</v>
      </c>
      <c r="C1008" s="18" t="str">
        <f>'RW predict'!B1007</f>
        <v>TOR</v>
      </c>
      <c r="D1008" s="22" t="str" cm="1">
        <f t="array" ref="D1008">_xlfn.SWITCH('RW predict'!C1007, "C", "F", "LW","F", "RW", "F", "D", "D", "G", "G", "other")</f>
        <v>G</v>
      </c>
      <c r="E1008" s="32">
        <f t="shared" si="30"/>
        <v>70</v>
      </c>
      <c r="F1008" s="35">
        <f>E1008/assumptions!$B$2</f>
        <v>0.85365853658536583</v>
      </c>
      <c r="G1008" s="36">
        <f t="shared" si="31"/>
        <v>955</v>
      </c>
      <c r="H1008" s="18">
        <f>IF(NOT(D1008="G"),'RW predict'!E1007,0)</f>
        <v>0</v>
      </c>
      <c r="I1008" s="18">
        <f>'RW predict'!Q1007</f>
        <v>0</v>
      </c>
      <c r="J1008" s="18">
        <f>'RW predict'!F1007</f>
        <v>0</v>
      </c>
      <c r="K1008" s="18"/>
      <c r="L1008" s="18"/>
      <c r="M1008" s="18">
        <f>'RW predict'!P1007</f>
        <v>0</v>
      </c>
      <c r="N1008" s="18"/>
      <c r="O1008" s="18">
        <f>'RW predict'!H1007</f>
        <v>0</v>
      </c>
      <c r="P1008" s="18">
        <f>'RW predict'!I1007</f>
        <v>2</v>
      </c>
      <c r="Q1008" s="18">
        <f>'RW predict'!L1007</f>
        <v>0</v>
      </c>
      <c r="R1008" s="18">
        <f>'RW predict'!N1007</f>
        <v>0</v>
      </c>
      <c r="S1008" s="76">
        <f>'RW predict'!O1007</f>
        <v>0</v>
      </c>
      <c r="T1008" s="76">
        <f>'RW predict'!K1007</f>
        <v>0</v>
      </c>
      <c r="U1008" s="22">
        <f>'RW predict'!J1007</f>
        <v>0</v>
      </c>
      <c r="V1008" s="32">
        <f>IF(D1008="G",'RW predict'!E1007,0)</f>
        <v>0</v>
      </c>
      <c r="W1008" s="18">
        <f>'RW predict'!R1007</f>
        <v>1</v>
      </c>
      <c r="X1008" s="18">
        <f>'RW predict'!T1007</f>
        <v>0</v>
      </c>
      <c r="Y1008" s="18">
        <f>'RW predict'!Y1007</f>
        <v>0</v>
      </c>
      <c r="Z1008" s="18">
        <f>'RW predict'!U1007</f>
        <v>6</v>
      </c>
      <c r="AA1008" s="18">
        <f>'RW predict'!W1007</f>
        <v>57</v>
      </c>
    </row>
    <row r="1009" spans="1:27" x14ac:dyDescent="0.3">
      <c r="A1009" s="18">
        <v>1006</v>
      </c>
      <c r="B1009" s="18" t="str">
        <f>'RW predict'!A1008</f>
        <v>Sean Day</v>
      </c>
      <c r="C1009" s="18" t="str">
        <f>'RW predict'!B1008</f>
        <v>TB</v>
      </c>
      <c r="D1009" s="22" t="str" cm="1">
        <f t="array" ref="D1009">_xlfn.SWITCH('RW predict'!C1008, "C", "F", "LW","F", "RW", "F", "D", "D", "G", "G", "other")</f>
        <v>D</v>
      </c>
      <c r="E1009" s="32">
        <f t="shared" si="30"/>
        <v>16</v>
      </c>
      <c r="F1009" s="35">
        <f>E1009/assumptions!$B$2</f>
        <v>0.1951219512195122</v>
      </c>
      <c r="G1009" s="36">
        <f t="shared" si="31"/>
        <v>1042</v>
      </c>
      <c r="H1009" s="18">
        <f>IF(NOT(D1009="G"),'RW predict'!E1008,0)</f>
        <v>0</v>
      </c>
      <c r="I1009" s="18">
        <f>'RW predict'!Q1008</f>
        <v>3</v>
      </c>
      <c r="J1009" s="18">
        <f>'RW predict'!F1008</f>
        <v>0</v>
      </c>
      <c r="K1009" s="18"/>
      <c r="L1009" s="18"/>
      <c r="M1009" s="18">
        <f>'RW predict'!P1008</f>
        <v>4</v>
      </c>
      <c r="N1009" s="18"/>
      <c r="O1009" s="18">
        <f>'RW predict'!H1008</f>
        <v>0</v>
      </c>
      <c r="P1009" s="18">
        <f>'RW predict'!I1008</f>
        <v>0</v>
      </c>
      <c r="Q1009" s="18">
        <f>'RW predict'!L1008</f>
        <v>0</v>
      </c>
      <c r="R1009" s="18">
        <f>'RW predict'!N1008</f>
        <v>0</v>
      </c>
      <c r="S1009" s="76">
        <f>'RW predict'!O1008</f>
        <v>0</v>
      </c>
      <c r="T1009" s="76">
        <f>'RW predict'!K1008</f>
        <v>0</v>
      </c>
      <c r="U1009" s="22">
        <f>'RW predict'!J1008</f>
        <v>3</v>
      </c>
      <c r="V1009" s="32">
        <f>IF(D1009="G",'RW predict'!E1008,0)</f>
        <v>0</v>
      </c>
      <c r="W1009" s="18">
        <f>'RW predict'!R1008</f>
        <v>0</v>
      </c>
      <c r="X1009" s="18">
        <f>'RW predict'!T1008</f>
        <v>0</v>
      </c>
      <c r="Y1009" s="18">
        <f>'RW predict'!Y1008</f>
        <v>0</v>
      </c>
      <c r="Z1009" s="18">
        <f>'RW predict'!U1008</f>
        <v>0</v>
      </c>
      <c r="AA1009" s="18">
        <f>'RW predict'!W1008</f>
        <v>0</v>
      </c>
    </row>
    <row r="1010" spans="1:27" x14ac:dyDescent="0.3">
      <c r="A1010" s="18">
        <v>1007</v>
      </c>
      <c r="B1010" s="18" t="str">
        <f>'RW predict'!A1009</f>
        <v>Tim Gettinger</v>
      </c>
      <c r="C1010" s="18" t="str">
        <f>'RW predict'!B1009</f>
        <v>NYR</v>
      </c>
      <c r="D1010" s="22" t="str" cm="1">
        <f t="array" ref="D1010">_xlfn.SWITCH('RW predict'!C1009, "C", "F", "LW","F", "RW", "F", "D", "D", "G", "G", "other")</f>
        <v>F</v>
      </c>
      <c r="E1010" s="32">
        <f t="shared" si="30"/>
        <v>62</v>
      </c>
      <c r="F1010" s="35">
        <f>E1010/assumptions!$B$2</f>
        <v>0.75609756097560976</v>
      </c>
      <c r="G1010" s="36">
        <f t="shared" si="31"/>
        <v>967</v>
      </c>
      <c r="H1010" s="18">
        <f>IF(NOT(D1010="G"),'RW predict'!E1009,0)</f>
        <v>0</v>
      </c>
      <c r="I1010" s="18">
        <f>'RW predict'!Q1009</f>
        <v>9</v>
      </c>
      <c r="J1010" s="18">
        <f>'RW predict'!F1009</f>
        <v>0</v>
      </c>
      <c r="K1010" s="18"/>
      <c r="L1010" s="18"/>
      <c r="M1010" s="18">
        <f>'RW predict'!P1009</f>
        <v>30</v>
      </c>
      <c r="N1010" s="18"/>
      <c r="O1010" s="18">
        <f>'RW predict'!H1009</f>
        <v>0</v>
      </c>
      <c r="P1010" s="18">
        <f>'RW predict'!I1009</f>
        <v>0</v>
      </c>
      <c r="Q1010" s="18">
        <f>'RW predict'!L1009</f>
        <v>0</v>
      </c>
      <c r="R1010" s="18">
        <f>'RW predict'!N1009</f>
        <v>0</v>
      </c>
      <c r="S1010" s="76">
        <f>'RW predict'!O1009</f>
        <v>0</v>
      </c>
      <c r="T1010" s="76">
        <f>'RW predict'!K1009</f>
        <v>0</v>
      </c>
      <c r="U1010" s="22">
        <f>'RW predict'!J1009</f>
        <v>7</v>
      </c>
      <c r="V1010" s="32">
        <f>IF(D1010="G",'RW predict'!E1009,0)</f>
        <v>0</v>
      </c>
      <c r="W1010" s="18">
        <f>'RW predict'!R1009</f>
        <v>0</v>
      </c>
      <c r="X1010" s="18">
        <f>'RW predict'!T1009</f>
        <v>0</v>
      </c>
      <c r="Y1010" s="18">
        <f>'RW predict'!Y1009</f>
        <v>0</v>
      </c>
      <c r="Z1010" s="18">
        <f>'RW predict'!U1009</f>
        <v>0</v>
      </c>
      <c r="AA1010" s="18">
        <f>'RW predict'!W1009</f>
        <v>0</v>
      </c>
    </row>
    <row r="1011" spans="1:27" x14ac:dyDescent="0.3">
      <c r="A1011" s="18">
        <v>1008</v>
      </c>
      <c r="B1011" s="18" t="str">
        <f>'RW predict'!A1010</f>
        <v>Zach Sawchenko</v>
      </c>
      <c r="C1011" s="18" t="str">
        <f>'RW predict'!B1010</f>
        <v>CAR</v>
      </c>
      <c r="D1011" s="22" t="str" cm="1">
        <f t="array" ref="D1011">_xlfn.SWITCH('RW predict'!C1010, "C", "F", "LW","F", "RW", "F", "D", "D", "G", "G", "other")</f>
        <v>G</v>
      </c>
      <c r="E1011" s="32">
        <f t="shared" si="30"/>
        <v>47</v>
      </c>
      <c r="F1011" s="35">
        <f>E1011/assumptions!$B$2</f>
        <v>0.57317073170731703</v>
      </c>
      <c r="G1011" s="36">
        <f t="shared" si="31"/>
        <v>996</v>
      </c>
      <c r="H1011" s="18">
        <f>IF(NOT(D1011="G"),'RW predict'!E1010,0)</f>
        <v>0</v>
      </c>
      <c r="I1011" s="18">
        <f>'RW predict'!Q1010</f>
        <v>0</v>
      </c>
      <c r="J1011" s="18">
        <f>'RW predict'!F1010</f>
        <v>0</v>
      </c>
      <c r="K1011" s="18"/>
      <c r="L1011" s="18"/>
      <c r="M1011" s="18">
        <f>'RW predict'!P1010</f>
        <v>0</v>
      </c>
      <c r="N1011" s="18"/>
      <c r="O1011" s="18">
        <f>'RW predict'!H1010</f>
        <v>0</v>
      </c>
      <c r="P1011" s="18">
        <f>'RW predict'!I1010</f>
        <v>0</v>
      </c>
      <c r="Q1011" s="18">
        <f>'RW predict'!L1010</f>
        <v>0</v>
      </c>
      <c r="R1011" s="18">
        <f>'RW predict'!N1010</f>
        <v>0</v>
      </c>
      <c r="S1011" s="76">
        <f>'RW predict'!O1010</f>
        <v>0</v>
      </c>
      <c r="T1011" s="76">
        <f>'RW predict'!K1010</f>
        <v>0</v>
      </c>
      <c r="U1011" s="22">
        <f>'RW predict'!J1010</f>
        <v>0</v>
      </c>
      <c r="V1011" s="32">
        <f>IF(D1011="G",'RW predict'!E1010,0)</f>
        <v>0</v>
      </c>
      <c r="W1011" s="18">
        <f>'RW predict'!R1010</f>
        <v>1</v>
      </c>
      <c r="X1011" s="18">
        <f>'RW predict'!T1010</f>
        <v>0</v>
      </c>
      <c r="Y1011" s="18">
        <f>'RW predict'!Y1010</f>
        <v>0</v>
      </c>
      <c r="Z1011" s="18">
        <f>'RW predict'!U1010</f>
        <v>5</v>
      </c>
      <c r="AA1011" s="18">
        <f>'RW predict'!W1010</f>
        <v>41</v>
      </c>
    </row>
    <row r="1012" spans="1:27" x14ac:dyDescent="0.3">
      <c r="A1012" s="18">
        <v>1009</v>
      </c>
      <c r="B1012" s="18" t="str">
        <f>'RW predict'!A1011</f>
        <v>Jack LaFontaine</v>
      </c>
      <c r="C1012" s="18" t="str">
        <f>'RW predict'!B1011</f>
        <v>FA</v>
      </c>
      <c r="D1012" s="22" t="str" cm="1">
        <f t="array" ref="D1012">_xlfn.SWITCH('RW predict'!C1011, "C", "F", "LW","F", "RW", "F", "D", "D", "G", "G", "other")</f>
        <v>G</v>
      </c>
      <c r="E1012" s="32">
        <f t="shared" si="30"/>
        <v>-71</v>
      </c>
      <c r="F1012" s="35">
        <f>E1012/assumptions!$B$2</f>
        <v>-0.86585365853658536</v>
      </c>
      <c r="G1012" s="36">
        <f t="shared" si="31"/>
        <v>1083</v>
      </c>
      <c r="H1012" s="18">
        <f>IF(NOT(D1012="G"),'RW predict'!E1011,0)</f>
        <v>0</v>
      </c>
      <c r="I1012" s="18">
        <f>'RW predict'!Q1011</f>
        <v>0</v>
      </c>
      <c r="J1012" s="18">
        <f>'RW predict'!F1011</f>
        <v>0</v>
      </c>
      <c r="K1012" s="18"/>
      <c r="L1012" s="18"/>
      <c r="M1012" s="18">
        <f>'RW predict'!P1011</f>
        <v>0</v>
      </c>
      <c r="N1012" s="18"/>
      <c r="O1012" s="18">
        <f>'RW predict'!H1011</f>
        <v>0</v>
      </c>
      <c r="P1012" s="18">
        <f>'RW predict'!I1011</f>
        <v>0</v>
      </c>
      <c r="Q1012" s="18">
        <f>'RW predict'!L1011</f>
        <v>0</v>
      </c>
      <c r="R1012" s="18">
        <f>'RW predict'!N1011</f>
        <v>0</v>
      </c>
      <c r="S1012" s="76">
        <f>'RW predict'!O1011</f>
        <v>0</v>
      </c>
      <c r="T1012" s="76">
        <f>'RW predict'!K1011</f>
        <v>0</v>
      </c>
      <c r="U1012" s="22">
        <f>'RW predict'!J1011</f>
        <v>0</v>
      </c>
      <c r="V1012" s="32">
        <f>IF(D1012="G",'RW predict'!E1011,0)</f>
        <v>0</v>
      </c>
      <c r="W1012" s="18">
        <f>'RW predict'!R1011</f>
        <v>0</v>
      </c>
      <c r="X1012" s="18">
        <f>'RW predict'!T1011</f>
        <v>0</v>
      </c>
      <c r="Y1012" s="18">
        <f>'RW predict'!Y1011</f>
        <v>0</v>
      </c>
      <c r="Z1012" s="18">
        <f>'RW predict'!U1011</f>
        <v>9</v>
      </c>
      <c r="AA1012" s="18">
        <f>'RW predict'!W1011</f>
        <v>32</v>
      </c>
    </row>
    <row r="1013" spans="1:27" x14ac:dyDescent="0.3">
      <c r="A1013" s="18">
        <v>1010</v>
      </c>
      <c r="B1013" s="18" t="str">
        <f>'RW predict'!A1012</f>
        <v>Charlie Lindgren</v>
      </c>
      <c r="C1013" s="18" t="str">
        <f>'RW predict'!B1012</f>
        <v>WAS</v>
      </c>
      <c r="D1013" s="22" t="str" cm="1">
        <f t="array" ref="D1013">_xlfn.SWITCH('RW predict'!C1012, "C", "F", "LW","F", "RW", "F", "D", "D", "G", "G", "other")</f>
        <v>G</v>
      </c>
      <c r="E1013" s="32">
        <f t="shared" si="30"/>
        <v>859</v>
      </c>
      <c r="F1013" s="35">
        <f>E1013/assumptions!$B$2</f>
        <v>10.475609756097562</v>
      </c>
      <c r="G1013" s="36">
        <f t="shared" si="31"/>
        <v>547</v>
      </c>
      <c r="H1013" s="18">
        <f>IF(NOT(D1013="G"),'RW predict'!E1012,0)</f>
        <v>0</v>
      </c>
      <c r="I1013" s="18">
        <f>'RW predict'!Q1012</f>
        <v>0</v>
      </c>
      <c r="J1013" s="18">
        <f>'RW predict'!F1012</f>
        <v>0</v>
      </c>
      <c r="K1013" s="18"/>
      <c r="L1013" s="18"/>
      <c r="M1013" s="18">
        <f>'RW predict'!P1012</f>
        <v>0</v>
      </c>
      <c r="N1013" s="18"/>
      <c r="O1013" s="18">
        <f>'RW predict'!H1012</f>
        <v>0</v>
      </c>
      <c r="P1013" s="18">
        <f>'RW predict'!I1012</f>
        <v>0</v>
      </c>
      <c r="Q1013" s="18">
        <f>'RW predict'!L1012</f>
        <v>0</v>
      </c>
      <c r="R1013" s="18">
        <f>'RW predict'!N1012</f>
        <v>0</v>
      </c>
      <c r="S1013" s="76">
        <f>'RW predict'!O1012</f>
        <v>0</v>
      </c>
      <c r="T1013" s="76">
        <f>'RW predict'!K1012</f>
        <v>0</v>
      </c>
      <c r="U1013" s="22">
        <f>'RW predict'!J1012</f>
        <v>0</v>
      </c>
      <c r="V1013" s="32">
        <f>IF(D1013="G",'RW predict'!E1012,0)</f>
        <v>0</v>
      </c>
      <c r="W1013" s="18">
        <f>'RW predict'!R1012</f>
        <v>11</v>
      </c>
      <c r="X1013" s="18">
        <f>'RW predict'!T1012</f>
        <v>3</v>
      </c>
      <c r="Y1013" s="18">
        <f>'RW predict'!Y1012</f>
        <v>2</v>
      </c>
      <c r="Z1013" s="18">
        <f>'RW predict'!U1012</f>
        <v>55</v>
      </c>
      <c r="AA1013" s="18">
        <f>'RW predict'!W1012</f>
        <v>542</v>
      </c>
    </row>
    <row r="1014" spans="1:27" x14ac:dyDescent="0.3">
      <c r="A1014" s="18">
        <v>1011</v>
      </c>
      <c r="B1014" s="18" t="str">
        <f>'RW predict'!A1013</f>
        <v>Dan Renouf</v>
      </c>
      <c r="C1014" s="18" t="str">
        <f>'RW predict'!B1013</f>
        <v>BOS</v>
      </c>
      <c r="D1014" s="22" t="str" cm="1">
        <f t="array" ref="D1014">_xlfn.SWITCH('RW predict'!C1013, "C", "F", "LW","F", "RW", "F", "D", "D", "G", "G", "other")</f>
        <v>D</v>
      </c>
      <c r="E1014" s="32">
        <f t="shared" si="30"/>
        <v>0</v>
      </c>
      <c r="F1014" s="35">
        <f>E1014/assumptions!$B$2</f>
        <v>0</v>
      </c>
      <c r="G1014" s="36">
        <f t="shared" si="31"/>
        <v>1061</v>
      </c>
      <c r="H1014" s="18">
        <f>IF(NOT(D1014="G"),'RW predict'!E1013,0)</f>
        <v>0</v>
      </c>
      <c r="I1014" s="18">
        <f>'RW predict'!Q1013</f>
        <v>0</v>
      </c>
      <c r="J1014" s="18">
        <f>'RW predict'!F1013</f>
        <v>0</v>
      </c>
      <c r="K1014" s="18"/>
      <c r="L1014" s="18"/>
      <c r="M1014" s="18">
        <f>'RW predict'!P1013</f>
        <v>0</v>
      </c>
      <c r="N1014" s="18"/>
      <c r="O1014" s="18">
        <f>'RW predict'!H1013</f>
        <v>0</v>
      </c>
      <c r="P1014" s="18">
        <f>'RW predict'!I1013</f>
        <v>0</v>
      </c>
      <c r="Q1014" s="18">
        <f>'RW predict'!L1013</f>
        <v>0</v>
      </c>
      <c r="R1014" s="18">
        <f>'RW predict'!N1013</f>
        <v>0</v>
      </c>
      <c r="S1014" s="76">
        <f>'RW predict'!O1013</f>
        <v>0</v>
      </c>
      <c r="T1014" s="76">
        <f>'RW predict'!K1013</f>
        <v>0</v>
      </c>
      <c r="U1014" s="22">
        <f>'RW predict'!J1013</f>
        <v>0</v>
      </c>
      <c r="V1014" s="32">
        <f>IF(D1014="G",'RW predict'!E1013,0)</f>
        <v>0</v>
      </c>
      <c r="W1014" s="18">
        <f>'RW predict'!R1013</f>
        <v>0</v>
      </c>
      <c r="X1014" s="18">
        <f>'RW predict'!T1013</f>
        <v>0</v>
      </c>
      <c r="Y1014" s="18">
        <f>'RW predict'!Y1013</f>
        <v>0</v>
      </c>
      <c r="Z1014" s="18">
        <f>'RW predict'!U1013</f>
        <v>0</v>
      </c>
      <c r="AA1014" s="18">
        <f>'RW predict'!W1013</f>
        <v>0</v>
      </c>
    </row>
    <row r="1015" spans="1:27" x14ac:dyDescent="0.3">
      <c r="A1015" s="18">
        <v>1012</v>
      </c>
      <c r="B1015" s="18" t="str">
        <f>'RW predict'!A1014</f>
        <v>Garret Sparks</v>
      </c>
      <c r="C1015" s="18" t="str">
        <f>'RW predict'!B1014</f>
        <v>FA</v>
      </c>
      <c r="D1015" s="22" t="str" cm="1">
        <f t="array" ref="D1015">_xlfn.SWITCH('RW predict'!C1014, "C", "F", "LW","F", "RW", "F", "D", "D", "G", "G", "other")</f>
        <v>G</v>
      </c>
      <c r="E1015" s="32">
        <f t="shared" si="30"/>
        <v>73</v>
      </c>
      <c r="F1015" s="35">
        <f>E1015/assumptions!$B$2</f>
        <v>0.8902439024390244</v>
      </c>
      <c r="G1015" s="36">
        <f t="shared" si="31"/>
        <v>951</v>
      </c>
      <c r="H1015" s="18">
        <f>IF(NOT(D1015="G"),'RW predict'!E1014,0)</f>
        <v>0</v>
      </c>
      <c r="I1015" s="18">
        <f>'RW predict'!Q1014</f>
        <v>0</v>
      </c>
      <c r="J1015" s="18">
        <f>'RW predict'!F1014</f>
        <v>0</v>
      </c>
      <c r="K1015" s="18"/>
      <c r="L1015" s="18"/>
      <c r="M1015" s="18">
        <f>'RW predict'!P1014</f>
        <v>0</v>
      </c>
      <c r="N1015" s="18"/>
      <c r="O1015" s="18">
        <f>'RW predict'!H1014</f>
        <v>0</v>
      </c>
      <c r="P1015" s="18">
        <f>'RW predict'!I1014</f>
        <v>0</v>
      </c>
      <c r="Q1015" s="18">
        <f>'RW predict'!L1014</f>
        <v>0</v>
      </c>
      <c r="R1015" s="18">
        <f>'RW predict'!N1014</f>
        <v>0</v>
      </c>
      <c r="S1015" s="76">
        <f>'RW predict'!O1014</f>
        <v>0</v>
      </c>
      <c r="T1015" s="76">
        <f>'RW predict'!K1014</f>
        <v>0</v>
      </c>
      <c r="U1015" s="22">
        <f>'RW predict'!J1014</f>
        <v>0</v>
      </c>
      <c r="V1015" s="32">
        <f>IF(D1015="G",'RW predict'!E1014,0)</f>
        <v>0</v>
      </c>
      <c r="W1015" s="18">
        <f>'RW predict'!R1014</f>
        <v>1</v>
      </c>
      <c r="X1015" s="18">
        <f>'RW predict'!T1014</f>
        <v>0</v>
      </c>
      <c r="Y1015" s="18">
        <f>'RW predict'!Y1014</f>
        <v>0</v>
      </c>
      <c r="Z1015" s="18">
        <f>'RW predict'!U1014</f>
        <v>3</v>
      </c>
      <c r="AA1015" s="18">
        <f>'RW predict'!W1014</f>
        <v>39</v>
      </c>
    </row>
    <row r="1016" spans="1:27" x14ac:dyDescent="0.3">
      <c r="A1016" s="18">
        <v>1013</v>
      </c>
      <c r="B1016" s="18" t="str">
        <f>'RW predict'!A1015</f>
        <v>Paul LaDue</v>
      </c>
      <c r="C1016" s="18" t="str">
        <f>'RW predict'!B1015</f>
        <v>NYI</v>
      </c>
      <c r="D1016" s="22" t="str" cm="1">
        <f t="array" ref="D1016">_xlfn.SWITCH('RW predict'!C1015, "C", "F", "LW","F", "RW", "F", "D", "D", "G", "G", "other")</f>
        <v>D</v>
      </c>
      <c r="E1016" s="32">
        <f t="shared" si="30"/>
        <v>-14</v>
      </c>
      <c r="F1016" s="35">
        <f>E1016/assumptions!$B$2</f>
        <v>-0.17073170731707318</v>
      </c>
      <c r="G1016" s="36">
        <f t="shared" si="31"/>
        <v>1073</v>
      </c>
      <c r="H1016" s="18">
        <f>IF(NOT(D1016="G"),'RW predict'!E1015,0)</f>
        <v>0</v>
      </c>
      <c r="I1016" s="18">
        <f>'RW predict'!Q1015</f>
        <v>1</v>
      </c>
      <c r="J1016" s="18">
        <f>'RW predict'!F1015</f>
        <v>0</v>
      </c>
      <c r="K1016" s="18"/>
      <c r="L1016" s="18"/>
      <c r="M1016" s="18">
        <f>'RW predict'!P1015</f>
        <v>2</v>
      </c>
      <c r="N1016" s="18"/>
      <c r="O1016" s="18">
        <f>'RW predict'!H1015</f>
        <v>-2</v>
      </c>
      <c r="P1016" s="18">
        <f>'RW predict'!I1015</f>
        <v>0</v>
      </c>
      <c r="Q1016" s="18">
        <f>'RW predict'!L1015</f>
        <v>0</v>
      </c>
      <c r="R1016" s="18">
        <f>'RW predict'!N1015</f>
        <v>0</v>
      </c>
      <c r="S1016" s="76">
        <f>'RW predict'!O1015</f>
        <v>0</v>
      </c>
      <c r="T1016" s="76">
        <f>'RW predict'!K1015</f>
        <v>0</v>
      </c>
      <c r="U1016" s="22">
        <f>'RW predict'!J1015</f>
        <v>1</v>
      </c>
      <c r="V1016" s="32">
        <f>IF(D1016="G",'RW predict'!E1015,0)</f>
        <v>0</v>
      </c>
      <c r="W1016" s="18">
        <f>'RW predict'!R1015</f>
        <v>0</v>
      </c>
      <c r="X1016" s="18">
        <f>'RW predict'!T1015</f>
        <v>0</v>
      </c>
      <c r="Y1016" s="18">
        <f>'RW predict'!Y1015</f>
        <v>0</v>
      </c>
      <c r="Z1016" s="18">
        <f>'RW predict'!U1015</f>
        <v>0</v>
      </c>
      <c r="AA1016" s="18">
        <f>'RW predict'!W1015</f>
        <v>0</v>
      </c>
    </row>
    <row r="1017" spans="1:27" x14ac:dyDescent="0.3">
      <c r="A1017" s="18">
        <v>1014</v>
      </c>
      <c r="B1017" s="18" t="str">
        <f>'RW predict'!A1016</f>
        <v>Alex Lyon</v>
      </c>
      <c r="C1017" s="18" t="str">
        <f>'RW predict'!B1016</f>
        <v>FLA</v>
      </c>
      <c r="D1017" s="22" t="str" cm="1">
        <f t="array" ref="D1017">_xlfn.SWITCH('RW predict'!C1016, "C", "F", "LW","F", "RW", "F", "D", "D", "G", "G", "other")</f>
        <v>G</v>
      </c>
      <c r="E1017" s="32">
        <f t="shared" si="30"/>
        <v>11</v>
      </c>
      <c r="F1017" s="35">
        <f>E1017/assumptions!$B$2</f>
        <v>0.13414634146341464</v>
      </c>
      <c r="G1017" s="36">
        <f t="shared" si="31"/>
        <v>1047</v>
      </c>
      <c r="H1017" s="18">
        <f>IF(NOT(D1017="G"),'RW predict'!E1016,0)</f>
        <v>0</v>
      </c>
      <c r="I1017" s="18">
        <f>'RW predict'!Q1016</f>
        <v>0</v>
      </c>
      <c r="J1017" s="18">
        <f>'RW predict'!F1016</f>
        <v>0</v>
      </c>
      <c r="K1017" s="18"/>
      <c r="L1017" s="18"/>
      <c r="M1017" s="18">
        <f>'RW predict'!P1016</f>
        <v>0</v>
      </c>
      <c r="N1017" s="18"/>
      <c r="O1017" s="18">
        <f>'RW predict'!H1016</f>
        <v>0</v>
      </c>
      <c r="P1017" s="18">
        <f>'RW predict'!I1016</f>
        <v>0</v>
      </c>
      <c r="Q1017" s="18">
        <f>'RW predict'!L1016</f>
        <v>0</v>
      </c>
      <c r="R1017" s="18">
        <f>'RW predict'!N1016</f>
        <v>0</v>
      </c>
      <c r="S1017" s="76">
        <f>'RW predict'!O1016</f>
        <v>0</v>
      </c>
      <c r="T1017" s="76">
        <f>'RW predict'!K1016</f>
        <v>0</v>
      </c>
      <c r="U1017" s="22">
        <f>'RW predict'!J1016</f>
        <v>0</v>
      </c>
      <c r="V1017" s="32">
        <f>IF(D1017="G",'RW predict'!E1016,0)</f>
        <v>0</v>
      </c>
      <c r="W1017" s="18">
        <f>'RW predict'!R1016</f>
        <v>0</v>
      </c>
      <c r="X1017" s="18">
        <f>'RW predict'!T1016</f>
        <v>0</v>
      </c>
      <c r="Y1017" s="18">
        <f>'RW predict'!Y1016</f>
        <v>0</v>
      </c>
      <c r="Z1017" s="18">
        <f>'RW predict'!U1016</f>
        <v>3</v>
      </c>
      <c r="AA1017" s="18">
        <f>'RW predict'!W1016</f>
        <v>28</v>
      </c>
    </row>
    <row r="1018" spans="1:27" x14ac:dyDescent="0.3">
      <c r="A1018" s="18">
        <v>1015</v>
      </c>
      <c r="B1018" s="18" t="str">
        <f>'RW predict'!A1017</f>
        <v>Kole Sherwood</v>
      </c>
      <c r="C1018" s="18" t="str">
        <f>'RW predict'!B1017</f>
        <v>FA</v>
      </c>
      <c r="D1018" s="22" t="str" cm="1">
        <f t="array" ref="D1018">_xlfn.SWITCH('RW predict'!C1017, "C", "F", "LW","F", "RW", "F", "D", "D", "G", "G", "other")</f>
        <v>F</v>
      </c>
      <c r="E1018" s="32">
        <f t="shared" si="30"/>
        <v>24</v>
      </c>
      <c r="F1018" s="35">
        <f>E1018/assumptions!$B$2</f>
        <v>0.29268292682926828</v>
      </c>
      <c r="G1018" s="36">
        <f t="shared" si="31"/>
        <v>1029</v>
      </c>
      <c r="H1018" s="18">
        <f>IF(NOT(D1018="G"),'RW predict'!E1017,0)</f>
        <v>0</v>
      </c>
      <c r="I1018" s="18">
        <f>'RW predict'!Q1017</f>
        <v>0</v>
      </c>
      <c r="J1018" s="18">
        <f>'RW predict'!F1017</f>
        <v>0</v>
      </c>
      <c r="K1018" s="18"/>
      <c r="L1018" s="18"/>
      <c r="M1018" s="18">
        <f>'RW predict'!P1017</f>
        <v>8</v>
      </c>
      <c r="N1018" s="18"/>
      <c r="O1018" s="18">
        <f>'RW predict'!H1017</f>
        <v>0</v>
      </c>
      <c r="P1018" s="18">
        <f>'RW predict'!I1017</f>
        <v>2</v>
      </c>
      <c r="Q1018" s="18">
        <f>'RW predict'!L1017</f>
        <v>0</v>
      </c>
      <c r="R1018" s="18">
        <f>'RW predict'!N1017</f>
        <v>0</v>
      </c>
      <c r="S1018" s="76">
        <f>'RW predict'!O1017</f>
        <v>0</v>
      </c>
      <c r="T1018" s="76">
        <f>'RW predict'!K1017</f>
        <v>0</v>
      </c>
      <c r="U1018" s="22">
        <f>'RW predict'!J1017</f>
        <v>5</v>
      </c>
      <c r="V1018" s="32">
        <f>IF(D1018="G",'RW predict'!E1017,0)</f>
        <v>0</v>
      </c>
      <c r="W1018" s="18">
        <f>'RW predict'!R1017</f>
        <v>0</v>
      </c>
      <c r="X1018" s="18">
        <f>'RW predict'!T1017</f>
        <v>0</v>
      </c>
      <c r="Y1018" s="18">
        <f>'RW predict'!Y1017</f>
        <v>0</v>
      </c>
      <c r="Z1018" s="18">
        <f>'RW predict'!U1017</f>
        <v>0</v>
      </c>
      <c r="AA1018" s="18">
        <f>'RW predict'!W1017</f>
        <v>0</v>
      </c>
    </row>
    <row r="1019" spans="1:27" x14ac:dyDescent="0.3">
      <c r="A1019" s="18">
        <v>1016</v>
      </c>
      <c r="B1019" s="18" t="str">
        <f>'RW predict'!A1018</f>
        <v>Zachary Senyshyn</v>
      </c>
      <c r="C1019" s="18" t="str">
        <f>'RW predict'!B1018</f>
        <v>NJ</v>
      </c>
      <c r="D1019" s="22" t="str" cm="1">
        <f t="array" ref="D1019">_xlfn.SWITCH('RW predict'!C1018, "C", "F", "LW","F", "RW", "F", "D", "D", "G", "G", "other")</f>
        <v>F</v>
      </c>
      <c r="E1019" s="32">
        <f t="shared" si="30"/>
        <v>5</v>
      </c>
      <c r="F1019" s="35">
        <f>E1019/assumptions!$B$2</f>
        <v>6.097560975609756E-2</v>
      </c>
      <c r="G1019" s="36">
        <f t="shared" si="31"/>
        <v>1054</v>
      </c>
      <c r="H1019" s="18">
        <f>IF(NOT(D1019="G"),'RW predict'!E1018,0)</f>
        <v>0</v>
      </c>
      <c r="I1019" s="18">
        <f>'RW predict'!Q1018</f>
        <v>0</v>
      </c>
      <c r="J1019" s="18">
        <f>'RW predict'!F1018</f>
        <v>0</v>
      </c>
      <c r="K1019" s="18"/>
      <c r="L1019" s="18"/>
      <c r="M1019" s="18">
        <f>'RW predict'!P1018</f>
        <v>5</v>
      </c>
      <c r="N1019" s="18"/>
      <c r="O1019" s="18">
        <f>'RW predict'!H1018</f>
        <v>-1</v>
      </c>
      <c r="P1019" s="18">
        <f>'RW predict'!I1018</f>
        <v>2</v>
      </c>
      <c r="Q1019" s="18">
        <f>'RW predict'!L1018</f>
        <v>0</v>
      </c>
      <c r="R1019" s="18">
        <f>'RW predict'!N1018</f>
        <v>0</v>
      </c>
      <c r="S1019" s="76">
        <f>'RW predict'!O1018</f>
        <v>0</v>
      </c>
      <c r="T1019" s="76">
        <f>'RW predict'!K1018</f>
        <v>0</v>
      </c>
      <c r="U1019" s="22">
        <f>'RW predict'!J1018</f>
        <v>2</v>
      </c>
      <c r="V1019" s="32">
        <f>IF(D1019="G",'RW predict'!E1018,0)</f>
        <v>0</v>
      </c>
      <c r="W1019" s="18">
        <f>'RW predict'!R1018</f>
        <v>0</v>
      </c>
      <c r="X1019" s="18">
        <f>'RW predict'!T1018</f>
        <v>0</v>
      </c>
      <c r="Y1019" s="18">
        <f>'RW predict'!Y1018</f>
        <v>0</v>
      </c>
      <c r="Z1019" s="18">
        <f>'RW predict'!U1018</f>
        <v>0</v>
      </c>
      <c r="AA1019" s="18">
        <f>'RW predict'!W1018</f>
        <v>0</v>
      </c>
    </row>
    <row r="1020" spans="1:27" x14ac:dyDescent="0.3">
      <c r="A1020" s="18">
        <v>1017</v>
      </c>
      <c r="B1020" s="18" t="str">
        <f>'RW predict'!A1019</f>
        <v>Aaron Dell</v>
      </c>
      <c r="C1020" s="18" t="str">
        <f>'RW predict'!B1019</f>
        <v>SJ</v>
      </c>
      <c r="D1020" s="22" t="str" cm="1">
        <f t="array" ref="D1020">_xlfn.SWITCH('RW predict'!C1019, "C", "F", "LW","F", "RW", "F", "D", "D", "G", "G", "other")</f>
        <v>G</v>
      </c>
      <c r="E1020" s="32">
        <f t="shared" si="30"/>
        <v>24</v>
      </c>
      <c r="F1020" s="35">
        <f>E1020/assumptions!$B$2</f>
        <v>0.29268292682926828</v>
      </c>
      <c r="G1020" s="36">
        <f t="shared" si="31"/>
        <v>1029</v>
      </c>
      <c r="H1020" s="18">
        <f>IF(NOT(D1020="G"),'RW predict'!E1019,0)</f>
        <v>0</v>
      </c>
      <c r="I1020" s="18">
        <f>'RW predict'!Q1019</f>
        <v>0</v>
      </c>
      <c r="J1020" s="18">
        <f>'RW predict'!F1019</f>
        <v>0</v>
      </c>
      <c r="K1020" s="18"/>
      <c r="L1020" s="18"/>
      <c r="M1020" s="18">
        <f>'RW predict'!P1019</f>
        <v>1</v>
      </c>
      <c r="N1020" s="18"/>
      <c r="O1020" s="18">
        <f>'RW predict'!H1019</f>
        <v>0</v>
      </c>
      <c r="P1020" s="18">
        <f>'RW predict'!I1019</f>
        <v>2</v>
      </c>
      <c r="Q1020" s="18">
        <f>'RW predict'!L1019</f>
        <v>0</v>
      </c>
      <c r="R1020" s="18">
        <f>'RW predict'!N1019</f>
        <v>0</v>
      </c>
      <c r="S1020" s="76">
        <f>'RW predict'!O1019</f>
        <v>0</v>
      </c>
      <c r="T1020" s="76">
        <f>'RW predict'!K1019</f>
        <v>0</v>
      </c>
      <c r="U1020" s="22">
        <f>'RW predict'!J1019</f>
        <v>0</v>
      </c>
      <c r="V1020" s="32">
        <f>IF(D1020="G",'RW predict'!E1019,0)</f>
        <v>0</v>
      </c>
      <c r="W1020" s="18">
        <f>'RW predict'!R1019</f>
        <v>0</v>
      </c>
      <c r="X1020" s="18">
        <f>'RW predict'!T1019</f>
        <v>0</v>
      </c>
      <c r="Y1020" s="18">
        <f>'RW predict'!Y1019</f>
        <v>0</v>
      </c>
      <c r="Z1020" s="18">
        <f>'RW predict'!U1019</f>
        <v>7</v>
      </c>
      <c r="AA1020" s="18">
        <f>'RW predict'!W1019</f>
        <v>61</v>
      </c>
    </row>
    <row r="1021" spans="1:27" x14ac:dyDescent="0.3">
      <c r="A1021" s="18">
        <v>1018</v>
      </c>
      <c r="B1021" s="18" t="str">
        <f>'RW predict'!A1020</f>
        <v>Ilya Sorokin</v>
      </c>
      <c r="C1021" s="18" t="str">
        <f>'RW predict'!B1020</f>
        <v>NYI</v>
      </c>
      <c r="D1021" s="22" t="str" cm="1">
        <f t="array" ref="D1021">_xlfn.SWITCH('RW predict'!C1020, "C", "F", "LW","F", "RW", "F", "D", "D", "G", "G", "other")</f>
        <v>G</v>
      </c>
      <c r="E1021" s="32">
        <f t="shared" si="30"/>
        <v>2682</v>
      </c>
      <c r="F1021" s="35">
        <f>E1021/assumptions!$B$2</f>
        <v>32.707317073170735</v>
      </c>
      <c r="G1021" s="36">
        <f t="shared" si="31"/>
        <v>63</v>
      </c>
      <c r="H1021" s="18">
        <f>IF(NOT(D1021="G"),'RW predict'!E1020,0)</f>
        <v>0</v>
      </c>
      <c r="I1021" s="18">
        <f>'RW predict'!Q1020</f>
        <v>0</v>
      </c>
      <c r="J1021" s="18">
        <f>'RW predict'!F1020</f>
        <v>0</v>
      </c>
      <c r="K1021" s="18"/>
      <c r="L1021" s="18"/>
      <c r="M1021" s="18">
        <f>'RW predict'!P1020</f>
        <v>0</v>
      </c>
      <c r="N1021" s="18"/>
      <c r="O1021" s="18">
        <f>'RW predict'!H1020</f>
        <v>0</v>
      </c>
      <c r="P1021" s="18">
        <f>'RW predict'!I1020</f>
        <v>0</v>
      </c>
      <c r="Q1021" s="18">
        <f>'RW predict'!L1020</f>
        <v>0</v>
      </c>
      <c r="R1021" s="18">
        <f>'RW predict'!N1020</f>
        <v>0</v>
      </c>
      <c r="S1021" s="76">
        <f>'RW predict'!O1020</f>
        <v>0</v>
      </c>
      <c r="T1021" s="76">
        <f>'RW predict'!K1020</f>
        <v>0</v>
      </c>
      <c r="U1021" s="22">
        <f>'RW predict'!J1020</f>
        <v>0</v>
      </c>
      <c r="V1021" s="32">
        <f>IF(D1021="G",'RW predict'!E1020,0)</f>
        <v>0</v>
      </c>
      <c r="W1021" s="18">
        <f>'RW predict'!R1020</f>
        <v>28</v>
      </c>
      <c r="X1021" s="18">
        <f>'RW predict'!T1020</f>
        <v>5</v>
      </c>
      <c r="Y1021" s="18">
        <f>'RW predict'!Y1020</f>
        <v>6</v>
      </c>
      <c r="Z1021" s="18">
        <f>'RW predict'!U1020</f>
        <v>130</v>
      </c>
      <c r="AA1021" s="18">
        <f>'RW predict'!W1020</f>
        <v>1556</v>
      </c>
    </row>
    <row r="1022" spans="1:27" x14ac:dyDescent="0.3">
      <c r="A1022" s="18">
        <v>1019</v>
      </c>
      <c r="B1022" s="18" t="str">
        <f>'RW predict'!A1021</f>
        <v>Matt Murray</v>
      </c>
      <c r="C1022" s="18" t="str">
        <f>'RW predict'!B1021</f>
        <v>TOR</v>
      </c>
      <c r="D1022" s="22" t="str" cm="1">
        <f t="array" ref="D1022">_xlfn.SWITCH('RW predict'!C1021, "C", "F", "LW","F", "RW", "F", "D", "D", "G", "G", "other")</f>
        <v>G</v>
      </c>
      <c r="E1022" s="32">
        <f t="shared" si="30"/>
        <v>1342</v>
      </c>
      <c r="F1022" s="35">
        <f>E1022/assumptions!$B$2</f>
        <v>16.365853658536587</v>
      </c>
      <c r="G1022" s="36">
        <f t="shared" si="31"/>
        <v>348</v>
      </c>
      <c r="H1022" s="18">
        <f>IF(NOT(D1022="G"),'RW predict'!E1021,0)</f>
        <v>0</v>
      </c>
      <c r="I1022" s="18">
        <f>'RW predict'!Q1021</f>
        <v>0</v>
      </c>
      <c r="J1022" s="18">
        <f>'RW predict'!F1021</f>
        <v>0</v>
      </c>
      <c r="K1022" s="18"/>
      <c r="L1022" s="18"/>
      <c r="M1022" s="18">
        <f>'RW predict'!P1021</f>
        <v>0</v>
      </c>
      <c r="N1022" s="18"/>
      <c r="O1022" s="18">
        <f>'RW predict'!H1021</f>
        <v>0</v>
      </c>
      <c r="P1022" s="18">
        <f>'RW predict'!I1021</f>
        <v>0</v>
      </c>
      <c r="Q1022" s="18">
        <f>'RW predict'!L1021</f>
        <v>0</v>
      </c>
      <c r="R1022" s="18">
        <f>'RW predict'!N1021</f>
        <v>0</v>
      </c>
      <c r="S1022" s="76">
        <f>'RW predict'!O1021</f>
        <v>0</v>
      </c>
      <c r="T1022" s="76">
        <f>'RW predict'!K1021</f>
        <v>0</v>
      </c>
      <c r="U1022" s="22">
        <f>'RW predict'!J1021</f>
        <v>0</v>
      </c>
      <c r="V1022" s="32">
        <f>IF(D1022="G",'RW predict'!E1021,0)</f>
        <v>0</v>
      </c>
      <c r="W1022" s="18">
        <f>'RW predict'!R1021</f>
        <v>19</v>
      </c>
      <c r="X1022" s="18">
        <f>'RW predict'!T1021</f>
        <v>1</v>
      </c>
      <c r="Y1022" s="18">
        <f>'RW predict'!Y1021</f>
        <v>2</v>
      </c>
      <c r="Z1022" s="18">
        <f>'RW predict'!U1021</f>
        <v>82</v>
      </c>
      <c r="AA1022" s="18">
        <f>'RW predict'!W1021</f>
        <v>846</v>
      </c>
    </row>
    <row r="1023" spans="1:27" x14ac:dyDescent="0.3">
      <c r="A1023" s="18">
        <v>1020</v>
      </c>
      <c r="B1023" s="18" t="str">
        <f>'RW predict'!A1022</f>
        <v>Chris Driedger</v>
      </c>
      <c r="C1023" s="18" t="str">
        <f>'RW predict'!B1022</f>
        <v>SEA</v>
      </c>
      <c r="D1023" s="22" t="str" cm="1">
        <f t="array" ref="D1023">_xlfn.SWITCH('RW predict'!C1022, "C", "F", "LW","F", "RW", "F", "D", "D", "G", "G", "other")</f>
        <v>G</v>
      </c>
      <c r="E1023" s="32">
        <f t="shared" si="30"/>
        <v>139</v>
      </c>
      <c r="F1023" s="35">
        <f>E1023/assumptions!$B$2</f>
        <v>1.6951219512195121</v>
      </c>
      <c r="G1023" s="36">
        <f t="shared" si="31"/>
        <v>869</v>
      </c>
      <c r="H1023" s="18">
        <f>IF(NOT(D1023="G"),'RW predict'!E1022,0)</f>
        <v>0</v>
      </c>
      <c r="I1023" s="18">
        <f>'RW predict'!Q1022</f>
        <v>0</v>
      </c>
      <c r="J1023" s="18">
        <f>'RW predict'!F1022</f>
        <v>0</v>
      </c>
      <c r="K1023" s="18"/>
      <c r="L1023" s="18"/>
      <c r="M1023" s="18">
        <f>'RW predict'!P1022</f>
        <v>0</v>
      </c>
      <c r="N1023" s="18"/>
      <c r="O1023" s="18">
        <f>'RW predict'!H1022</f>
        <v>0</v>
      </c>
      <c r="P1023" s="18">
        <f>'RW predict'!I1022</f>
        <v>3</v>
      </c>
      <c r="Q1023" s="18">
        <f>'RW predict'!L1022</f>
        <v>0</v>
      </c>
      <c r="R1023" s="18">
        <f>'RW predict'!N1022</f>
        <v>0</v>
      </c>
      <c r="S1023" s="76">
        <f>'RW predict'!O1022</f>
        <v>0</v>
      </c>
      <c r="T1023" s="76">
        <f>'RW predict'!K1022</f>
        <v>0</v>
      </c>
      <c r="U1023" s="22">
        <f>'RW predict'!J1022</f>
        <v>0</v>
      </c>
      <c r="V1023" s="32">
        <f>IF(D1023="G",'RW predict'!E1022,0)</f>
        <v>0</v>
      </c>
      <c r="W1023" s="18">
        <f>'RW predict'!R1022</f>
        <v>2</v>
      </c>
      <c r="X1023" s="18">
        <f>'RW predict'!T1022</f>
        <v>0</v>
      </c>
      <c r="Y1023" s="18">
        <f>'RW predict'!Y1022</f>
        <v>0</v>
      </c>
      <c r="Z1023" s="18">
        <f>'RW predict'!U1022</f>
        <v>14</v>
      </c>
      <c r="AA1023" s="18">
        <f>'RW predict'!W1022</f>
        <v>130</v>
      </c>
    </row>
    <row r="1024" spans="1:27" x14ac:dyDescent="0.3">
      <c r="A1024" s="18">
        <v>1021</v>
      </c>
      <c r="B1024" s="18" t="str">
        <f>'RW predict'!A1023</f>
        <v>Chase De Leo</v>
      </c>
      <c r="C1024" s="18" t="str">
        <f>'RW predict'!B1023</f>
        <v>ANH</v>
      </c>
      <c r="D1024" s="22" t="str" cm="1">
        <f t="array" ref="D1024">_xlfn.SWITCH('RW predict'!C1023, "C", "F", "LW","F", "RW", "F", "D", "D", "G", "G", "other")</f>
        <v>F</v>
      </c>
      <c r="E1024" s="32">
        <f t="shared" si="30"/>
        <v>-11</v>
      </c>
      <c r="F1024" s="35">
        <f>E1024/assumptions!$B$2</f>
        <v>-0.13414634146341464</v>
      </c>
      <c r="G1024" s="36">
        <f t="shared" si="31"/>
        <v>1072</v>
      </c>
      <c r="H1024" s="18">
        <f>IF(NOT(D1024="G"),'RW predict'!E1023,0)</f>
        <v>0</v>
      </c>
      <c r="I1024" s="18">
        <f>'RW predict'!Q1023</f>
        <v>0</v>
      </c>
      <c r="J1024" s="18">
        <f>'RW predict'!F1023</f>
        <v>0</v>
      </c>
      <c r="K1024" s="18"/>
      <c r="L1024" s="18"/>
      <c r="M1024" s="18">
        <f>'RW predict'!P1023</f>
        <v>23</v>
      </c>
      <c r="N1024" s="18"/>
      <c r="O1024" s="18">
        <f>'RW predict'!H1023</f>
        <v>-6</v>
      </c>
      <c r="P1024" s="18">
        <f>'RW predict'!I1023</f>
        <v>0</v>
      </c>
      <c r="Q1024" s="18">
        <f>'RW predict'!L1023</f>
        <v>0</v>
      </c>
      <c r="R1024" s="18">
        <f>'RW predict'!N1023</f>
        <v>0</v>
      </c>
      <c r="S1024" s="76">
        <f>'RW predict'!O1023</f>
        <v>0</v>
      </c>
      <c r="T1024" s="76">
        <f>'RW predict'!K1023</f>
        <v>0</v>
      </c>
      <c r="U1024" s="22">
        <f>'RW predict'!J1023</f>
        <v>13</v>
      </c>
      <c r="V1024" s="32">
        <f>IF(D1024="G",'RW predict'!E1023,0)</f>
        <v>0</v>
      </c>
      <c r="W1024" s="18">
        <f>'RW predict'!R1023</f>
        <v>0</v>
      </c>
      <c r="X1024" s="18">
        <f>'RW predict'!T1023</f>
        <v>0</v>
      </c>
      <c r="Y1024" s="18">
        <f>'RW predict'!Y1023</f>
        <v>0</v>
      </c>
      <c r="Z1024" s="18">
        <f>'RW predict'!U1023</f>
        <v>0</v>
      </c>
      <c r="AA1024" s="18">
        <f>'RW predict'!W1023</f>
        <v>0</v>
      </c>
    </row>
    <row r="1025" spans="1:27" x14ac:dyDescent="0.3">
      <c r="A1025" s="18">
        <v>1022</v>
      </c>
      <c r="B1025" s="18" t="str">
        <f>'RW predict'!A1024</f>
        <v>Vitek Vanecek</v>
      </c>
      <c r="C1025" s="18" t="str">
        <f>'RW predict'!B1024</f>
        <v>NJ</v>
      </c>
      <c r="D1025" s="22" t="str" cm="1">
        <f t="array" ref="D1025">_xlfn.SWITCH('RW predict'!C1024, "C", "F", "LW","F", "RW", "F", "D", "D", "G", "G", "other")</f>
        <v>G</v>
      </c>
      <c r="E1025" s="32">
        <f t="shared" si="30"/>
        <v>1583</v>
      </c>
      <c r="F1025" s="35">
        <f>E1025/assumptions!$B$2</f>
        <v>19.304878048780488</v>
      </c>
      <c r="G1025" s="36">
        <f t="shared" si="31"/>
        <v>265</v>
      </c>
      <c r="H1025" s="18">
        <f>IF(NOT(D1025="G"),'RW predict'!E1024,0)</f>
        <v>0</v>
      </c>
      <c r="I1025" s="18">
        <f>'RW predict'!Q1024</f>
        <v>0</v>
      </c>
      <c r="J1025" s="18">
        <f>'RW predict'!F1024</f>
        <v>0</v>
      </c>
      <c r="K1025" s="18"/>
      <c r="L1025" s="18"/>
      <c r="M1025" s="18">
        <f>'RW predict'!P1024</f>
        <v>0</v>
      </c>
      <c r="N1025" s="18"/>
      <c r="O1025" s="18">
        <f>'RW predict'!H1024</f>
        <v>0</v>
      </c>
      <c r="P1025" s="18">
        <f>'RW predict'!I1024</f>
        <v>0</v>
      </c>
      <c r="Q1025" s="18">
        <f>'RW predict'!L1024</f>
        <v>0</v>
      </c>
      <c r="R1025" s="18">
        <f>'RW predict'!N1024</f>
        <v>0</v>
      </c>
      <c r="S1025" s="76">
        <f>'RW predict'!O1024</f>
        <v>0</v>
      </c>
      <c r="T1025" s="76">
        <f>'RW predict'!K1024</f>
        <v>0</v>
      </c>
      <c r="U1025" s="22">
        <f>'RW predict'!J1024</f>
        <v>0</v>
      </c>
      <c r="V1025" s="32">
        <f>IF(D1025="G",'RW predict'!E1024,0)</f>
        <v>0</v>
      </c>
      <c r="W1025" s="18">
        <f>'RW predict'!R1024</f>
        <v>20</v>
      </c>
      <c r="X1025" s="18">
        <f>'RW predict'!T1024</f>
        <v>4</v>
      </c>
      <c r="Y1025" s="18">
        <f>'RW predict'!Y1024</f>
        <v>2</v>
      </c>
      <c r="Z1025" s="18">
        <f>'RW predict'!U1024</f>
        <v>113</v>
      </c>
      <c r="AA1025" s="18">
        <f>'RW predict'!W1024</f>
        <v>1149</v>
      </c>
    </row>
    <row r="1026" spans="1:27" x14ac:dyDescent="0.3">
      <c r="A1026" s="18">
        <v>1023</v>
      </c>
      <c r="B1026" s="18" t="str">
        <f>'RW predict'!A1025</f>
        <v>Jonas Johansson</v>
      </c>
      <c r="C1026" s="18" t="str">
        <f>'RW predict'!B1025</f>
        <v>COL</v>
      </c>
      <c r="D1026" s="22" t="str" cm="1">
        <f t="array" ref="D1026">_xlfn.SWITCH('RW predict'!C1025, "C", "F", "LW","F", "RW", "F", "D", "D", "G", "G", "other")</f>
        <v>G</v>
      </c>
      <c r="E1026" s="32">
        <f t="shared" si="30"/>
        <v>133</v>
      </c>
      <c r="F1026" s="35">
        <f>E1026/assumptions!$B$2</f>
        <v>1.6219512195121952</v>
      </c>
      <c r="G1026" s="36">
        <f t="shared" si="31"/>
        <v>876</v>
      </c>
      <c r="H1026" s="18">
        <f>IF(NOT(D1026="G"),'RW predict'!E1025,0)</f>
        <v>0</v>
      </c>
      <c r="I1026" s="18">
        <f>'RW predict'!Q1025</f>
        <v>0</v>
      </c>
      <c r="J1026" s="18">
        <f>'RW predict'!F1025</f>
        <v>0</v>
      </c>
      <c r="K1026" s="18"/>
      <c r="L1026" s="18"/>
      <c r="M1026" s="18">
        <f>'RW predict'!P1025</f>
        <v>0</v>
      </c>
      <c r="N1026" s="18"/>
      <c r="O1026" s="18">
        <f>'RW predict'!H1025</f>
        <v>0</v>
      </c>
      <c r="P1026" s="18">
        <f>'RW predict'!I1025</f>
        <v>0</v>
      </c>
      <c r="Q1026" s="18">
        <f>'RW predict'!L1025</f>
        <v>0</v>
      </c>
      <c r="R1026" s="18">
        <f>'RW predict'!N1025</f>
        <v>0</v>
      </c>
      <c r="S1026" s="76">
        <f>'RW predict'!O1025</f>
        <v>0</v>
      </c>
      <c r="T1026" s="76">
        <f>'RW predict'!K1025</f>
        <v>0</v>
      </c>
      <c r="U1026" s="22">
        <f>'RW predict'!J1025</f>
        <v>0</v>
      </c>
      <c r="V1026" s="32">
        <f>IF(D1026="G",'RW predict'!E1025,0)</f>
        <v>0</v>
      </c>
      <c r="W1026" s="18">
        <f>'RW predict'!R1025</f>
        <v>3</v>
      </c>
      <c r="X1026" s="18">
        <f>'RW predict'!T1025</f>
        <v>0</v>
      </c>
      <c r="Y1026" s="18">
        <f>'RW predict'!Y1025</f>
        <v>0</v>
      </c>
      <c r="Z1026" s="18">
        <f>'RW predict'!U1025</f>
        <v>5</v>
      </c>
      <c r="AA1026" s="18">
        <f>'RW predict'!W1025</f>
        <v>44</v>
      </c>
    </row>
    <row r="1027" spans="1:27" x14ac:dyDescent="0.3">
      <c r="A1027" s="18">
        <v>1024</v>
      </c>
      <c r="B1027" s="18" t="str">
        <f>'RW predict'!A1026</f>
        <v>Max McCormick</v>
      </c>
      <c r="C1027" s="18" t="str">
        <f>'RW predict'!B1026</f>
        <v>SEA</v>
      </c>
      <c r="D1027" s="22" t="str" cm="1">
        <f t="array" ref="D1027">_xlfn.SWITCH('RW predict'!C1026, "C", "F", "LW","F", "RW", "F", "D", "D", "G", "G", "other")</f>
        <v>F</v>
      </c>
      <c r="E1027" s="32">
        <f t="shared" si="30"/>
        <v>27</v>
      </c>
      <c r="F1027" s="35">
        <f>E1027/assumptions!$B$2</f>
        <v>0.32926829268292684</v>
      </c>
      <c r="G1027" s="36">
        <f t="shared" si="31"/>
        <v>1021</v>
      </c>
      <c r="H1027" s="18">
        <f>IF(NOT(D1027="G"),'RW predict'!E1026,0)</f>
        <v>0</v>
      </c>
      <c r="I1027" s="18">
        <f>'RW predict'!Q1026</f>
        <v>1</v>
      </c>
      <c r="J1027" s="18">
        <f>'RW predict'!F1026</f>
        <v>0</v>
      </c>
      <c r="K1027" s="18"/>
      <c r="L1027" s="18"/>
      <c r="M1027" s="18">
        <f>'RW predict'!P1026</f>
        <v>5</v>
      </c>
      <c r="N1027" s="18"/>
      <c r="O1027" s="18">
        <f>'RW predict'!H1026</f>
        <v>0</v>
      </c>
      <c r="P1027" s="18">
        <f>'RW predict'!I1026</f>
        <v>4</v>
      </c>
      <c r="Q1027" s="18">
        <f>'RW predict'!L1026</f>
        <v>0</v>
      </c>
      <c r="R1027" s="18">
        <f>'RW predict'!N1026</f>
        <v>0</v>
      </c>
      <c r="S1027" s="76">
        <f>'RW predict'!O1026</f>
        <v>0</v>
      </c>
      <c r="T1027" s="76">
        <f>'RW predict'!K1026</f>
        <v>0</v>
      </c>
      <c r="U1027" s="22">
        <f>'RW predict'!J1026</f>
        <v>4</v>
      </c>
      <c r="V1027" s="32">
        <f>IF(D1027="G",'RW predict'!E1026,0)</f>
        <v>0</v>
      </c>
      <c r="W1027" s="18">
        <f>'RW predict'!R1026</f>
        <v>0</v>
      </c>
      <c r="X1027" s="18">
        <f>'RW predict'!T1026</f>
        <v>0</v>
      </c>
      <c r="Y1027" s="18">
        <f>'RW predict'!Y1026</f>
        <v>0</v>
      </c>
      <c r="Z1027" s="18">
        <f>'RW predict'!U1026</f>
        <v>0</v>
      </c>
      <c r="AA1027" s="18">
        <f>'RW predict'!W1026</f>
        <v>0</v>
      </c>
    </row>
    <row r="1028" spans="1:27" x14ac:dyDescent="0.3">
      <c r="A1028" s="18">
        <v>1025</v>
      </c>
      <c r="B1028" s="18" t="str">
        <f>'RW predict'!A1027</f>
        <v>Ryan MacInnis</v>
      </c>
      <c r="C1028" s="18" t="str">
        <f>'RW predict'!B1027</f>
        <v>BUF</v>
      </c>
      <c r="D1028" s="22" t="str" cm="1">
        <f t="array" ref="D1028">_xlfn.SWITCH('RW predict'!C1027, "C", "F", "LW","F", "RW", "F", "D", "D", "G", "G", "other")</f>
        <v>F</v>
      </c>
      <c r="E1028" s="32">
        <f t="shared" si="30"/>
        <v>-7</v>
      </c>
      <c r="F1028" s="35">
        <f>E1028/assumptions!$B$2</f>
        <v>-8.5365853658536592E-2</v>
      </c>
      <c r="G1028" s="36">
        <f t="shared" si="31"/>
        <v>1071</v>
      </c>
      <c r="H1028" s="18">
        <f>IF(NOT(D1028="G"),'RW predict'!E1027,0)</f>
        <v>0</v>
      </c>
      <c r="I1028" s="18">
        <f>'RW predict'!Q1027</f>
        <v>2</v>
      </c>
      <c r="J1028" s="18">
        <f>'RW predict'!F1027</f>
        <v>0</v>
      </c>
      <c r="K1028" s="18"/>
      <c r="L1028" s="18"/>
      <c r="M1028" s="18">
        <f>'RW predict'!P1027</f>
        <v>7</v>
      </c>
      <c r="N1028" s="18"/>
      <c r="O1028" s="18">
        <f>'RW predict'!H1027</f>
        <v>-3</v>
      </c>
      <c r="P1028" s="18">
        <f>'RW predict'!I1027</f>
        <v>0</v>
      </c>
      <c r="Q1028" s="18">
        <f>'RW predict'!L1027</f>
        <v>0</v>
      </c>
      <c r="R1028" s="18">
        <f>'RW predict'!N1027</f>
        <v>0</v>
      </c>
      <c r="S1028" s="76">
        <f>'RW predict'!O1027</f>
        <v>0</v>
      </c>
      <c r="T1028" s="76">
        <f>'RW predict'!K1027</f>
        <v>0</v>
      </c>
      <c r="U1028" s="22">
        <f>'RW predict'!J1027</f>
        <v>6</v>
      </c>
      <c r="V1028" s="32">
        <f>IF(D1028="G",'RW predict'!E1027,0)</f>
        <v>0</v>
      </c>
      <c r="W1028" s="18">
        <f>'RW predict'!R1027</f>
        <v>0</v>
      </c>
      <c r="X1028" s="18">
        <f>'RW predict'!T1027</f>
        <v>0</v>
      </c>
      <c r="Y1028" s="18">
        <f>'RW predict'!Y1027</f>
        <v>0</v>
      </c>
      <c r="Z1028" s="18">
        <f>'RW predict'!U1027</f>
        <v>0</v>
      </c>
      <c r="AA1028" s="18">
        <f>'RW predict'!W1027</f>
        <v>0</v>
      </c>
    </row>
    <row r="1029" spans="1:27" x14ac:dyDescent="0.3">
      <c r="A1029" s="18">
        <v>1026</v>
      </c>
      <c r="B1029" s="18" t="str">
        <f>'RW predict'!A1028</f>
        <v>Blake Speers</v>
      </c>
      <c r="C1029" s="18" t="str">
        <f>'RW predict'!B1028</f>
        <v>FA</v>
      </c>
      <c r="D1029" s="22" t="str" cm="1">
        <f t="array" ref="D1029">_xlfn.SWITCH('RW predict'!C1028, "C", "F", "LW","F", "RW", "F", "D", "D", "G", "G", "other")</f>
        <v>F</v>
      </c>
      <c r="E1029" s="32">
        <f t="shared" ref="E1029:E1090" si="32">H1029*$H$3+I1029*I$3+K1029*K$3+L1029*L$3+M1029*M$3+N1029*N$3+V1029*V$3+J1029*J$3+O1029*$O$3+P1029*$P$3+Q1029*$Q$3+R1029*$R$3+S1029*$S$3+T1029*$T$3+U1029*$U$3+W1029*$W$3+X1029*$X$3+Y1029*$Y$3+Z1029*$Z$3+AA1029*$AA$3</f>
        <v>-15</v>
      </c>
      <c r="F1029" s="35">
        <f>E1029/assumptions!$B$2</f>
        <v>-0.18292682926829268</v>
      </c>
      <c r="G1029" s="36">
        <f t="shared" ref="G1029:G1090" si="33">RANK(E1029,$E$4:$E$1100)</f>
        <v>1075</v>
      </c>
      <c r="H1029" s="18">
        <f>IF(NOT(D1029="G"),'RW predict'!E1028,0)</f>
        <v>0</v>
      </c>
      <c r="I1029" s="18">
        <f>'RW predict'!Q1028</f>
        <v>2</v>
      </c>
      <c r="J1029" s="18">
        <f>'RW predict'!F1028</f>
        <v>0</v>
      </c>
      <c r="K1029" s="18"/>
      <c r="L1029" s="18"/>
      <c r="M1029" s="18">
        <f>'RW predict'!P1028</f>
        <v>3</v>
      </c>
      <c r="N1029" s="18"/>
      <c r="O1029" s="18">
        <f>'RW predict'!H1028</f>
        <v>-3</v>
      </c>
      <c r="P1029" s="18">
        <f>'RW predict'!I1028</f>
        <v>2</v>
      </c>
      <c r="Q1029" s="18">
        <f>'RW predict'!L1028</f>
        <v>0</v>
      </c>
      <c r="R1029" s="18">
        <f>'RW predict'!N1028</f>
        <v>0</v>
      </c>
      <c r="S1029" s="76">
        <f>'RW predict'!O1028</f>
        <v>0</v>
      </c>
      <c r="T1029" s="76">
        <f>'RW predict'!K1028</f>
        <v>0</v>
      </c>
      <c r="U1029" s="22">
        <f>'RW predict'!J1028</f>
        <v>1</v>
      </c>
      <c r="V1029" s="32">
        <f>IF(D1029="G",'RW predict'!E1028,0)</f>
        <v>0</v>
      </c>
      <c r="W1029" s="18">
        <f>'RW predict'!R1028</f>
        <v>0</v>
      </c>
      <c r="X1029" s="18">
        <f>'RW predict'!T1028</f>
        <v>0</v>
      </c>
      <c r="Y1029" s="18">
        <f>'RW predict'!Y1028</f>
        <v>0</v>
      </c>
      <c r="Z1029" s="18">
        <f>'RW predict'!U1028</f>
        <v>0</v>
      </c>
      <c r="AA1029" s="18">
        <f>'RW predict'!W1028</f>
        <v>0</v>
      </c>
    </row>
    <row r="1030" spans="1:27" x14ac:dyDescent="0.3">
      <c r="A1030" s="18">
        <v>1027</v>
      </c>
      <c r="B1030" s="18" t="str">
        <f>'RW predict'!A1029</f>
        <v>Felix Sandstrom</v>
      </c>
      <c r="C1030" s="18" t="str">
        <f>'RW predict'!B1029</f>
        <v>PHI</v>
      </c>
      <c r="D1030" s="22" t="str" cm="1">
        <f t="array" ref="D1030">_xlfn.SWITCH('RW predict'!C1029, "C", "F", "LW","F", "RW", "F", "D", "D", "G", "G", "other")</f>
        <v>G</v>
      </c>
      <c r="E1030" s="32">
        <f t="shared" si="32"/>
        <v>159</v>
      </c>
      <c r="F1030" s="35">
        <f>E1030/assumptions!$B$2</f>
        <v>1.9390243902439024</v>
      </c>
      <c r="G1030" s="36">
        <f t="shared" si="33"/>
        <v>860</v>
      </c>
      <c r="H1030" s="18">
        <f>IF(NOT(D1030="G"),'RW predict'!E1029,0)</f>
        <v>0</v>
      </c>
      <c r="I1030" s="18">
        <f>'RW predict'!Q1029</f>
        <v>0</v>
      </c>
      <c r="J1030" s="18">
        <f>'RW predict'!F1029</f>
        <v>0</v>
      </c>
      <c r="K1030" s="18"/>
      <c r="L1030" s="18"/>
      <c r="M1030" s="18">
        <f>'RW predict'!P1029</f>
        <v>0</v>
      </c>
      <c r="N1030" s="18"/>
      <c r="O1030" s="18">
        <f>'RW predict'!H1029</f>
        <v>0</v>
      </c>
      <c r="P1030" s="18">
        <f>'RW predict'!I1029</f>
        <v>0</v>
      </c>
      <c r="Q1030" s="18">
        <f>'RW predict'!L1029</f>
        <v>0</v>
      </c>
      <c r="R1030" s="18">
        <f>'RW predict'!N1029</f>
        <v>0</v>
      </c>
      <c r="S1030" s="76">
        <f>'RW predict'!O1029</f>
        <v>0</v>
      </c>
      <c r="T1030" s="76">
        <f>'RW predict'!K1029</f>
        <v>0</v>
      </c>
      <c r="U1030" s="22">
        <f>'RW predict'!J1029</f>
        <v>0</v>
      </c>
      <c r="V1030" s="32">
        <f>IF(D1030="G",'RW predict'!E1029,0)</f>
        <v>0</v>
      </c>
      <c r="W1030" s="18">
        <f>'RW predict'!R1029</f>
        <v>1</v>
      </c>
      <c r="X1030" s="18">
        <f>'RW predict'!T1029</f>
        <v>1</v>
      </c>
      <c r="Y1030" s="18">
        <f>'RW predict'!Y1029</f>
        <v>0</v>
      </c>
      <c r="Z1030" s="18">
        <f>'RW predict'!U1029</f>
        <v>15</v>
      </c>
      <c r="AA1030" s="18">
        <f>'RW predict'!W1029</f>
        <v>162</v>
      </c>
    </row>
    <row r="1031" spans="1:27" x14ac:dyDescent="0.3">
      <c r="A1031" s="18">
        <v>1028</v>
      </c>
      <c r="B1031" s="18" t="str">
        <f>'RW predict'!A1030</f>
        <v>Joey Daccord</v>
      </c>
      <c r="C1031" s="18" t="str">
        <f>'RW predict'!B1030</f>
        <v>SEA</v>
      </c>
      <c r="D1031" s="22" t="str" cm="1">
        <f t="array" ref="D1031">_xlfn.SWITCH('RW predict'!C1030, "C", "F", "LW","F", "RW", "F", "D", "D", "G", "G", "other")</f>
        <v>G</v>
      </c>
      <c r="E1031" s="32">
        <f t="shared" si="32"/>
        <v>65</v>
      </c>
      <c r="F1031" s="35">
        <f>E1031/assumptions!$B$2</f>
        <v>0.79268292682926833</v>
      </c>
      <c r="G1031" s="36">
        <f t="shared" si="33"/>
        <v>963</v>
      </c>
      <c r="H1031" s="18">
        <f>IF(NOT(D1031="G"),'RW predict'!E1030,0)</f>
        <v>0</v>
      </c>
      <c r="I1031" s="18">
        <f>'RW predict'!Q1030</f>
        <v>0</v>
      </c>
      <c r="J1031" s="18">
        <f>'RW predict'!F1030</f>
        <v>0</v>
      </c>
      <c r="K1031" s="18"/>
      <c r="L1031" s="18"/>
      <c r="M1031" s="18">
        <f>'RW predict'!P1030</f>
        <v>0</v>
      </c>
      <c r="N1031" s="18"/>
      <c r="O1031" s="18">
        <f>'RW predict'!H1030</f>
        <v>0</v>
      </c>
      <c r="P1031" s="18">
        <f>'RW predict'!I1030</f>
        <v>0</v>
      </c>
      <c r="Q1031" s="18">
        <f>'RW predict'!L1030</f>
        <v>0</v>
      </c>
      <c r="R1031" s="18">
        <f>'RW predict'!N1030</f>
        <v>0</v>
      </c>
      <c r="S1031" s="76">
        <f>'RW predict'!O1030</f>
        <v>0</v>
      </c>
      <c r="T1031" s="76">
        <f>'RW predict'!K1030</f>
        <v>0</v>
      </c>
      <c r="U1031" s="22">
        <f>'RW predict'!J1030</f>
        <v>0</v>
      </c>
      <c r="V1031" s="32">
        <f>IF(D1031="G",'RW predict'!E1030,0)</f>
        <v>0</v>
      </c>
      <c r="W1031" s="18">
        <f>'RW predict'!R1030</f>
        <v>1</v>
      </c>
      <c r="X1031" s="18">
        <f>'RW predict'!T1030</f>
        <v>0</v>
      </c>
      <c r="Y1031" s="18">
        <f>'RW predict'!Y1030</f>
        <v>0</v>
      </c>
      <c r="Z1031" s="18">
        <f>'RW predict'!U1030</f>
        <v>5</v>
      </c>
      <c r="AA1031" s="18">
        <f>'RW predict'!W1030</f>
        <v>50</v>
      </c>
    </row>
    <row r="1032" spans="1:27" x14ac:dyDescent="0.3">
      <c r="A1032" s="18">
        <v>1029</v>
      </c>
      <c r="B1032" s="18" t="str">
        <f>'RW predict'!A1031</f>
        <v>Ilya Samsonov</v>
      </c>
      <c r="C1032" s="18" t="str">
        <f>'RW predict'!B1031</f>
        <v>TOR</v>
      </c>
      <c r="D1032" s="22" t="str" cm="1">
        <f t="array" ref="D1032">_xlfn.SWITCH('RW predict'!C1031, "C", "F", "LW","F", "RW", "F", "D", "D", "G", "G", "other")</f>
        <v>G</v>
      </c>
      <c r="E1032" s="32">
        <f t="shared" si="32"/>
        <v>2099</v>
      </c>
      <c r="F1032" s="35">
        <f>E1032/assumptions!$B$2</f>
        <v>25.597560975609756</v>
      </c>
      <c r="G1032" s="36">
        <f t="shared" si="33"/>
        <v>150</v>
      </c>
      <c r="H1032" s="18">
        <f>IF(NOT(D1032="G"),'RW predict'!E1031,0)</f>
        <v>0</v>
      </c>
      <c r="I1032" s="18">
        <f>'RW predict'!Q1031</f>
        <v>0</v>
      </c>
      <c r="J1032" s="18">
        <f>'RW predict'!F1031</f>
        <v>0</v>
      </c>
      <c r="K1032" s="18"/>
      <c r="L1032" s="18"/>
      <c r="M1032" s="18">
        <f>'RW predict'!P1031</f>
        <v>0</v>
      </c>
      <c r="N1032" s="18"/>
      <c r="O1032" s="18">
        <f>'RW predict'!H1031</f>
        <v>0</v>
      </c>
      <c r="P1032" s="18">
        <f>'RW predict'!I1031</f>
        <v>0</v>
      </c>
      <c r="Q1032" s="18">
        <f>'RW predict'!L1031</f>
        <v>0</v>
      </c>
      <c r="R1032" s="18">
        <f>'RW predict'!N1031</f>
        <v>0</v>
      </c>
      <c r="S1032" s="76">
        <f>'RW predict'!O1031</f>
        <v>0</v>
      </c>
      <c r="T1032" s="76">
        <f>'RW predict'!K1031</f>
        <v>0</v>
      </c>
      <c r="U1032" s="22">
        <f>'RW predict'!J1031</f>
        <v>0</v>
      </c>
      <c r="V1032" s="32">
        <f>IF(D1032="G",'RW predict'!E1031,0)</f>
        <v>0</v>
      </c>
      <c r="W1032" s="18">
        <f>'RW predict'!R1031</f>
        <v>30</v>
      </c>
      <c r="X1032" s="18">
        <f>'RW predict'!T1031</f>
        <v>4</v>
      </c>
      <c r="Y1032" s="18">
        <f>'RW predict'!Y1031</f>
        <v>3</v>
      </c>
      <c r="Z1032" s="18">
        <f>'RW predict'!U1031</f>
        <v>123</v>
      </c>
      <c r="AA1032" s="18">
        <f>'RW predict'!W1031</f>
        <v>1257</v>
      </c>
    </row>
    <row r="1033" spans="1:27" x14ac:dyDescent="0.3">
      <c r="A1033" s="18">
        <v>1030</v>
      </c>
      <c r="B1033" s="18" t="str">
        <f>'RW predict'!A1032</f>
        <v>Mackenzie Blackwood</v>
      </c>
      <c r="C1033" s="18" t="str">
        <f>'RW predict'!B1032</f>
        <v>NJ</v>
      </c>
      <c r="D1033" s="22" t="str" cm="1">
        <f t="array" ref="D1033">_xlfn.SWITCH('RW predict'!C1032, "C", "F", "LW","F", "RW", "F", "D", "D", "G", "G", "other")</f>
        <v>G</v>
      </c>
      <c r="E1033" s="32">
        <f t="shared" si="32"/>
        <v>1058</v>
      </c>
      <c r="F1033" s="35">
        <f>E1033/assumptions!$B$2</f>
        <v>12.902439024390244</v>
      </c>
      <c r="G1033" s="36">
        <f t="shared" si="33"/>
        <v>463</v>
      </c>
      <c r="H1033" s="18">
        <f>IF(NOT(D1033="G"),'RW predict'!E1032,0)</f>
        <v>0</v>
      </c>
      <c r="I1033" s="18">
        <f>'RW predict'!Q1032</f>
        <v>0</v>
      </c>
      <c r="J1033" s="18">
        <f>'RW predict'!F1032</f>
        <v>0</v>
      </c>
      <c r="K1033" s="18"/>
      <c r="L1033" s="18"/>
      <c r="M1033" s="18">
        <f>'RW predict'!P1032</f>
        <v>0</v>
      </c>
      <c r="N1033" s="18"/>
      <c r="O1033" s="18">
        <f>'RW predict'!H1032</f>
        <v>0</v>
      </c>
      <c r="P1033" s="18">
        <f>'RW predict'!I1032</f>
        <v>0</v>
      </c>
      <c r="Q1033" s="18">
        <f>'RW predict'!L1032</f>
        <v>0</v>
      </c>
      <c r="R1033" s="18">
        <f>'RW predict'!N1032</f>
        <v>0</v>
      </c>
      <c r="S1033" s="76">
        <f>'RW predict'!O1032</f>
        <v>0</v>
      </c>
      <c r="T1033" s="76">
        <f>'RW predict'!K1032</f>
        <v>0</v>
      </c>
      <c r="U1033" s="22">
        <f>'RW predict'!J1032</f>
        <v>0</v>
      </c>
      <c r="V1033" s="32">
        <f>IF(D1033="G",'RW predict'!E1032,0)</f>
        <v>0</v>
      </c>
      <c r="W1033" s="18">
        <f>'RW predict'!R1032</f>
        <v>14</v>
      </c>
      <c r="X1033" s="18">
        <f>'RW predict'!T1032</f>
        <v>2</v>
      </c>
      <c r="Y1033" s="18">
        <f>'RW predict'!Y1032</f>
        <v>2</v>
      </c>
      <c r="Z1033" s="18">
        <f>'RW predict'!U1032</f>
        <v>90</v>
      </c>
      <c r="AA1033" s="18">
        <f>'RW predict'!W1032</f>
        <v>854</v>
      </c>
    </row>
    <row r="1034" spans="1:27" x14ac:dyDescent="0.3">
      <c r="A1034" s="18">
        <v>1031</v>
      </c>
      <c r="B1034" s="18" t="str">
        <f>'RW predict'!A1033</f>
        <v>Sam Montembeault</v>
      </c>
      <c r="C1034" s="18" t="str">
        <f>'RW predict'!B1033</f>
        <v>MON</v>
      </c>
      <c r="D1034" s="22" t="str" cm="1">
        <f t="array" ref="D1034">_xlfn.SWITCH('RW predict'!C1033, "C", "F", "LW","F", "RW", "F", "D", "D", "G", "G", "other")</f>
        <v>G</v>
      </c>
      <c r="E1034" s="32">
        <f t="shared" si="32"/>
        <v>814</v>
      </c>
      <c r="F1034" s="35">
        <f>E1034/assumptions!$B$2</f>
        <v>9.9268292682926838</v>
      </c>
      <c r="G1034" s="36">
        <f t="shared" si="33"/>
        <v>566</v>
      </c>
      <c r="H1034" s="18">
        <f>IF(NOT(D1034="G"),'RW predict'!E1033,0)</f>
        <v>0</v>
      </c>
      <c r="I1034" s="18">
        <f>'RW predict'!Q1033</f>
        <v>0</v>
      </c>
      <c r="J1034" s="18">
        <f>'RW predict'!F1033</f>
        <v>0</v>
      </c>
      <c r="K1034" s="18"/>
      <c r="L1034" s="18"/>
      <c r="M1034" s="18">
        <f>'RW predict'!P1033</f>
        <v>0</v>
      </c>
      <c r="N1034" s="18"/>
      <c r="O1034" s="18">
        <f>'RW predict'!H1033</f>
        <v>0</v>
      </c>
      <c r="P1034" s="18">
        <f>'RW predict'!I1033</f>
        <v>0</v>
      </c>
      <c r="Q1034" s="18">
        <f>'RW predict'!L1033</f>
        <v>0</v>
      </c>
      <c r="R1034" s="18">
        <f>'RW predict'!N1033</f>
        <v>0</v>
      </c>
      <c r="S1034" s="76">
        <f>'RW predict'!O1033</f>
        <v>0</v>
      </c>
      <c r="T1034" s="76">
        <f>'RW predict'!K1033</f>
        <v>0</v>
      </c>
      <c r="U1034" s="22">
        <f>'RW predict'!J1033</f>
        <v>0</v>
      </c>
      <c r="V1034" s="32">
        <f>IF(D1034="G",'RW predict'!E1033,0)</f>
        <v>0</v>
      </c>
      <c r="W1034" s="18">
        <f>'RW predict'!R1033</f>
        <v>12</v>
      </c>
      <c r="X1034" s="18">
        <f>'RW predict'!T1033</f>
        <v>5</v>
      </c>
      <c r="Y1034" s="18">
        <f>'RW predict'!Y1033</f>
        <v>1</v>
      </c>
      <c r="Z1034" s="18">
        <f>'RW predict'!U1033</f>
        <v>102</v>
      </c>
      <c r="AA1034" s="18">
        <f>'RW predict'!W1033</f>
        <v>857</v>
      </c>
    </row>
    <row r="1035" spans="1:27" x14ac:dyDescent="0.3">
      <c r="A1035" s="18">
        <v>1032</v>
      </c>
      <c r="B1035" s="18" t="str">
        <f>'RW predict'!A1034</f>
        <v>Michael McNiven</v>
      </c>
      <c r="C1035" s="18" t="str">
        <f>'RW predict'!B1034</f>
        <v>FA</v>
      </c>
      <c r="D1035" s="22" t="str" cm="1">
        <f t="array" ref="D1035">_xlfn.SWITCH('RW predict'!C1034, "C", "F", "LW","F", "RW", "F", "D", "D", "G", "G", "other")</f>
        <v>G</v>
      </c>
      <c r="E1035" s="32">
        <f t="shared" si="32"/>
        <v>-37</v>
      </c>
      <c r="F1035" s="35">
        <f>E1035/assumptions!$B$2</f>
        <v>-0.45121951219512196</v>
      </c>
      <c r="G1035" s="36">
        <f t="shared" si="33"/>
        <v>1078</v>
      </c>
      <c r="H1035" s="18">
        <f>IF(NOT(D1035="G"),'RW predict'!E1034,0)</f>
        <v>0</v>
      </c>
      <c r="I1035" s="18">
        <f>'RW predict'!Q1034</f>
        <v>0</v>
      </c>
      <c r="J1035" s="18">
        <f>'RW predict'!F1034</f>
        <v>0</v>
      </c>
      <c r="K1035" s="18"/>
      <c r="L1035" s="18"/>
      <c r="M1035" s="18">
        <f>'RW predict'!P1034</f>
        <v>0</v>
      </c>
      <c r="N1035" s="18"/>
      <c r="O1035" s="18">
        <f>'RW predict'!H1034</f>
        <v>0</v>
      </c>
      <c r="P1035" s="18">
        <f>'RW predict'!I1034</f>
        <v>0</v>
      </c>
      <c r="Q1035" s="18">
        <f>'RW predict'!L1034</f>
        <v>0</v>
      </c>
      <c r="R1035" s="18">
        <f>'RW predict'!N1034</f>
        <v>0</v>
      </c>
      <c r="S1035" s="76">
        <f>'RW predict'!O1034</f>
        <v>0</v>
      </c>
      <c r="T1035" s="76">
        <f>'RW predict'!K1034</f>
        <v>0</v>
      </c>
      <c r="U1035" s="22">
        <f>'RW predict'!J1034</f>
        <v>0</v>
      </c>
      <c r="V1035" s="32">
        <f>IF(D1035="G",'RW predict'!E1034,0)</f>
        <v>0</v>
      </c>
      <c r="W1035" s="18">
        <f>'RW predict'!R1034</f>
        <v>0</v>
      </c>
      <c r="X1035" s="18">
        <f>'RW predict'!T1034</f>
        <v>0</v>
      </c>
      <c r="Y1035" s="18">
        <f>'RW predict'!Y1034</f>
        <v>0</v>
      </c>
      <c r="Z1035" s="18">
        <f>'RW predict'!U1034</f>
        <v>3</v>
      </c>
      <c r="AA1035" s="18">
        <f>'RW predict'!W1034</f>
        <v>4</v>
      </c>
    </row>
    <row r="1036" spans="1:27" x14ac:dyDescent="0.3">
      <c r="A1036" s="18">
        <v>1033</v>
      </c>
      <c r="B1036" s="18" t="str">
        <f>'RW predict'!A1035</f>
        <v>Zane McIntyre</v>
      </c>
      <c r="C1036" s="18" t="str">
        <f>'RW predict'!B1035</f>
        <v>MIN</v>
      </c>
      <c r="D1036" s="22" t="str" cm="1">
        <f t="array" ref="D1036">_xlfn.SWITCH('RW predict'!C1035, "C", "F", "LW","F", "RW", "F", "D", "D", "G", "G", "other")</f>
        <v>G</v>
      </c>
      <c r="E1036" s="32">
        <f t="shared" si="32"/>
        <v>-105</v>
      </c>
      <c r="F1036" s="35">
        <f>E1036/assumptions!$B$2</f>
        <v>-1.2804878048780488</v>
      </c>
      <c r="G1036" s="36">
        <f t="shared" si="33"/>
        <v>1084</v>
      </c>
      <c r="H1036" s="18">
        <f>IF(NOT(D1036="G"),'RW predict'!E1035,0)</f>
        <v>0</v>
      </c>
      <c r="I1036" s="18">
        <f>'RW predict'!Q1035</f>
        <v>0</v>
      </c>
      <c r="J1036" s="18">
        <f>'RW predict'!F1035</f>
        <v>0</v>
      </c>
      <c r="K1036" s="18"/>
      <c r="L1036" s="18"/>
      <c r="M1036" s="18">
        <f>'RW predict'!P1035</f>
        <v>0</v>
      </c>
      <c r="N1036" s="18"/>
      <c r="O1036" s="18">
        <f>'RW predict'!H1035</f>
        <v>0</v>
      </c>
      <c r="P1036" s="18">
        <f>'RW predict'!I1035</f>
        <v>0</v>
      </c>
      <c r="Q1036" s="18">
        <f>'RW predict'!L1035</f>
        <v>0</v>
      </c>
      <c r="R1036" s="18">
        <f>'RW predict'!N1035</f>
        <v>0</v>
      </c>
      <c r="S1036" s="76">
        <f>'RW predict'!O1035</f>
        <v>0</v>
      </c>
      <c r="T1036" s="76">
        <f>'RW predict'!K1035</f>
        <v>0</v>
      </c>
      <c r="U1036" s="22">
        <f>'RW predict'!J1035</f>
        <v>0</v>
      </c>
      <c r="V1036" s="32">
        <f>IF(D1036="G",'RW predict'!E1035,0)</f>
        <v>0</v>
      </c>
      <c r="W1036" s="18">
        <f>'RW predict'!R1035</f>
        <v>0</v>
      </c>
      <c r="X1036" s="18">
        <f>'RW predict'!T1035</f>
        <v>0</v>
      </c>
      <c r="Y1036" s="18">
        <f>'RW predict'!Y1035</f>
        <v>0</v>
      </c>
      <c r="Z1036" s="18">
        <f>'RW predict'!U1035</f>
        <v>7</v>
      </c>
      <c r="AA1036" s="18">
        <f>'RW predict'!W1035</f>
        <v>0</v>
      </c>
    </row>
    <row r="1037" spans="1:27" x14ac:dyDescent="0.3">
      <c r="A1037" s="18">
        <v>1034</v>
      </c>
      <c r="B1037" s="18" t="str">
        <f>'RW predict'!A1036</f>
        <v>Fredrik Claesson</v>
      </c>
      <c r="C1037" s="18" t="str">
        <f>'RW predict'!B1036</f>
        <v>FA</v>
      </c>
      <c r="D1037" s="22" t="str" cm="1">
        <f t="array" ref="D1037">_xlfn.SWITCH('RW predict'!C1036, "C", "F", "LW","F", "RW", "F", "D", "D", "G", "G", "other")</f>
        <v>D</v>
      </c>
      <c r="E1037" s="32">
        <f t="shared" si="32"/>
        <v>25</v>
      </c>
      <c r="F1037" s="35">
        <f>E1037/assumptions!$B$2</f>
        <v>0.3048780487804878</v>
      </c>
      <c r="G1037" s="36">
        <f t="shared" si="33"/>
        <v>1028</v>
      </c>
      <c r="H1037" s="18">
        <f>IF(NOT(D1037="G"),'RW predict'!E1036,0)</f>
        <v>0</v>
      </c>
      <c r="I1037" s="18">
        <f>'RW predict'!Q1036</f>
        <v>8</v>
      </c>
      <c r="J1037" s="18">
        <f>'RW predict'!F1036</f>
        <v>0</v>
      </c>
      <c r="K1037" s="18"/>
      <c r="L1037" s="18"/>
      <c r="M1037" s="18">
        <f>'RW predict'!P1036</f>
        <v>12</v>
      </c>
      <c r="N1037" s="18"/>
      <c r="O1037" s="18">
        <f>'RW predict'!H1036</f>
        <v>-2</v>
      </c>
      <c r="P1037" s="18">
        <f>'RW predict'!I1036</f>
        <v>3</v>
      </c>
      <c r="Q1037" s="18">
        <f>'RW predict'!L1036</f>
        <v>0</v>
      </c>
      <c r="R1037" s="18">
        <f>'RW predict'!N1036</f>
        <v>0</v>
      </c>
      <c r="S1037" s="76">
        <f>'RW predict'!O1036</f>
        <v>0</v>
      </c>
      <c r="T1037" s="76">
        <f>'RW predict'!K1036</f>
        <v>0</v>
      </c>
      <c r="U1037" s="22">
        <f>'RW predict'!J1036</f>
        <v>4</v>
      </c>
      <c r="V1037" s="32">
        <f>IF(D1037="G",'RW predict'!E1036,0)</f>
        <v>0</v>
      </c>
      <c r="W1037" s="18">
        <f>'RW predict'!R1036</f>
        <v>0</v>
      </c>
      <c r="X1037" s="18">
        <f>'RW predict'!T1036</f>
        <v>0</v>
      </c>
      <c r="Y1037" s="18">
        <f>'RW predict'!Y1036</f>
        <v>0</v>
      </c>
      <c r="Z1037" s="18">
        <f>'RW predict'!U1036</f>
        <v>0</v>
      </c>
      <c r="AA1037" s="18">
        <f>'RW predict'!W1036</f>
        <v>0</v>
      </c>
    </row>
    <row r="1038" spans="1:27" x14ac:dyDescent="0.3">
      <c r="A1038" s="18">
        <v>1035</v>
      </c>
      <c r="B1038" s="18" t="str">
        <f>'RW predict'!A1037</f>
        <v>Juuse Saros</v>
      </c>
      <c r="C1038" s="18" t="str">
        <f>'RW predict'!B1037</f>
        <v>NSH</v>
      </c>
      <c r="D1038" s="22" t="str" cm="1">
        <f t="array" ref="D1038">_xlfn.SWITCH('RW predict'!C1037, "C", "F", "LW","F", "RW", "F", "D", "D", "G", "G", "other")</f>
        <v>G</v>
      </c>
      <c r="E1038" s="32">
        <f t="shared" si="32"/>
        <v>2894</v>
      </c>
      <c r="F1038" s="35">
        <f>E1038/assumptions!$B$2</f>
        <v>35.292682926829265</v>
      </c>
      <c r="G1038" s="36">
        <f t="shared" si="33"/>
        <v>44</v>
      </c>
      <c r="H1038" s="18">
        <f>IF(NOT(D1038="G"),'RW predict'!E1037,0)</f>
        <v>0</v>
      </c>
      <c r="I1038" s="18">
        <f>'RW predict'!Q1037</f>
        <v>0</v>
      </c>
      <c r="J1038" s="18">
        <f>'RW predict'!F1037</f>
        <v>0</v>
      </c>
      <c r="K1038" s="18"/>
      <c r="L1038" s="18"/>
      <c r="M1038" s="18">
        <f>'RW predict'!P1037</f>
        <v>0</v>
      </c>
      <c r="N1038" s="18"/>
      <c r="O1038" s="18">
        <f>'RW predict'!H1037</f>
        <v>0</v>
      </c>
      <c r="P1038" s="18">
        <f>'RW predict'!I1037</f>
        <v>0</v>
      </c>
      <c r="Q1038" s="18">
        <f>'RW predict'!L1037</f>
        <v>0</v>
      </c>
      <c r="R1038" s="18">
        <f>'RW predict'!N1037</f>
        <v>0</v>
      </c>
      <c r="S1038" s="76">
        <f>'RW predict'!O1037</f>
        <v>0</v>
      </c>
      <c r="T1038" s="76">
        <f>'RW predict'!K1037</f>
        <v>0</v>
      </c>
      <c r="U1038" s="22">
        <f>'RW predict'!J1037</f>
        <v>0</v>
      </c>
      <c r="V1038" s="32">
        <f>IF(D1038="G",'RW predict'!E1037,0)</f>
        <v>0</v>
      </c>
      <c r="W1038" s="18">
        <f>'RW predict'!R1037</f>
        <v>35</v>
      </c>
      <c r="X1038" s="18">
        <f>'RW predict'!T1037</f>
        <v>4</v>
      </c>
      <c r="Y1038" s="18">
        <f>'RW predict'!Y1037</f>
        <v>4</v>
      </c>
      <c r="Z1038" s="18">
        <f>'RW predict'!U1037</f>
        <v>154</v>
      </c>
      <c r="AA1038" s="18">
        <f>'RW predict'!W1037</f>
        <v>1762</v>
      </c>
    </row>
    <row r="1039" spans="1:27" x14ac:dyDescent="0.3">
      <c r="A1039" s="18">
        <v>1036</v>
      </c>
      <c r="B1039" s="18" t="str">
        <f>'RW predict'!A1038</f>
        <v>Ville Husso</v>
      </c>
      <c r="C1039" s="18" t="str">
        <f>'RW predict'!B1038</f>
        <v>DET</v>
      </c>
      <c r="D1039" s="22" t="str" cm="1">
        <f t="array" ref="D1039">_xlfn.SWITCH('RW predict'!C1038, "C", "F", "LW","F", "RW", "F", "D", "D", "G", "G", "other")</f>
        <v>G</v>
      </c>
      <c r="E1039" s="32">
        <f t="shared" si="32"/>
        <v>1623</v>
      </c>
      <c r="F1039" s="35">
        <f>E1039/assumptions!$B$2</f>
        <v>19.792682926829269</v>
      </c>
      <c r="G1039" s="36">
        <f t="shared" si="33"/>
        <v>254</v>
      </c>
      <c r="H1039" s="18">
        <f>IF(NOT(D1039="G"),'RW predict'!E1038,0)</f>
        <v>0</v>
      </c>
      <c r="I1039" s="18">
        <f>'RW predict'!Q1038</f>
        <v>0</v>
      </c>
      <c r="J1039" s="18">
        <f>'RW predict'!F1038</f>
        <v>0</v>
      </c>
      <c r="K1039" s="18"/>
      <c r="L1039" s="18"/>
      <c r="M1039" s="18">
        <f>'RW predict'!P1038</f>
        <v>0</v>
      </c>
      <c r="N1039" s="18"/>
      <c r="O1039" s="18">
        <f>'RW predict'!H1038</f>
        <v>0</v>
      </c>
      <c r="P1039" s="18">
        <f>'RW predict'!I1038</f>
        <v>1</v>
      </c>
      <c r="Q1039" s="18">
        <f>'RW predict'!L1038</f>
        <v>0</v>
      </c>
      <c r="R1039" s="18">
        <f>'RW predict'!N1038</f>
        <v>0</v>
      </c>
      <c r="S1039" s="76">
        <f>'RW predict'!O1038</f>
        <v>0</v>
      </c>
      <c r="T1039" s="76">
        <f>'RW predict'!K1038</f>
        <v>0</v>
      </c>
      <c r="U1039" s="22">
        <f>'RW predict'!J1038</f>
        <v>0</v>
      </c>
      <c r="V1039" s="32">
        <f>IF(D1039="G",'RW predict'!E1038,0)</f>
        <v>0</v>
      </c>
      <c r="W1039" s="18">
        <f>'RW predict'!R1038</f>
        <v>18</v>
      </c>
      <c r="X1039" s="18">
        <f>'RW predict'!T1038</f>
        <v>6</v>
      </c>
      <c r="Y1039" s="18">
        <f>'RW predict'!Y1038</f>
        <v>2</v>
      </c>
      <c r="Z1039" s="18">
        <f>'RW predict'!U1038</f>
        <v>104</v>
      </c>
      <c r="AA1039" s="18">
        <f>'RW predict'!W1038</f>
        <v>1120</v>
      </c>
    </row>
    <row r="1040" spans="1:27" x14ac:dyDescent="0.3">
      <c r="A1040" s="18">
        <v>1037</v>
      </c>
      <c r="B1040" s="18" t="str">
        <f>'RW predict'!A1039</f>
        <v>Tyler Lewington</v>
      </c>
      <c r="C1040" s="18" t="str">
        <f>'RW predict'!B1039</f>
        <v>BOS</v>
      </c>
      <c r="D1040" s="22" t="str" cm="1">
        <f t="array" ref="D1040">_xlfn.SWITCH('RW predict'!C1039, "C", "F", "LW","F", "RW", "F", "D", "D", "G", "G", "other")</f>
        <v>D</v>
      </c>
      <c r="E1040" s="32">
        <f t="shared" si="32"/>
        <v>14</v>
      </c>
      <c r="F1040" s="35">
        <f>E1040/assumptions!$B$2</f>
        <v>0.17073170731707318</v>
      </c>
      <c r="G1040" s="36">
        <f t="shared" si="33"/>
        <v>1044</v>
      </c>
      <c r="H1040" s="18">
        <f>IF(NOT(D1040="G"),'RW predict'!E1039,0)</f>
        <v>0</v>
      </c>
      <c r="I1040" s="18">
        <f>'RW predict'!Q1039</f>
        <v>2</v>
      </c>
      <c r="J1040" s="18">
        <f>'RW predict'!F1039</f>
        <v>0</v>
      </c>
      <c r="K1040" s="18"/>
      <c r="L1040" s="18"/>
      <c r="M1040" s="18">
        <f>'RW predict'!P1039</f>
        <v>2</v>
      </c>
      <c r="N1040" s="18"/>
      <c r="O1040" s="18">
        <f>'RW predict'!H1039</f>
        <v>0</v>
      </c>
      <c r="P1040" s="18">
        <f>'RW predict'!I1039</f>
        <v>2</v>
      </c>
      <c r="Q1040" s="18">
        <f>'RW predict'!L1039</f>
        <v>0</v>
      </c>
      <c r="R1040" s="18">
        <f>'RW predict'!N1039</f>
        <v>0</v>
      </c>
      <c r="S1040" s="76">
        <f>'RW predict'!O1039</f>
        <v>0</v>
      </c>
      <c r="T1040" s="76">
        <f>'RW predict'!K1039</f>
        <v>0</v>
      </c>
      <c r="U1040" s="22">
        <f>'RW predict'!J1039</f>
        <v>1</v>
      </c>
      <c r="V1040" s="32">
        <f>IF(D1040="G",'RW predict'!E1039,0)</f>
        <v>0</v>
      </c>
      <c r="W1040" s="18">
        <f>'RW predict'!R1039</f>
        <v>0</v>
      </c>
      <c r="X1040" s="18">
        <f>'RW predict'!T1039</f>
        <v>0</v>
      </c>
      <c r="Y1040" s="18">
        <f>'RW predict'!Y1039</f>
        <v>0</v>
      </c>
      <c r="Z1040" s="18">
        <f>'RW predict'!U1039</f>
        <v>0</v>
      </c>
      <c r="AA1040" s="18">
        <f>'RW predict'!W1039</f>
        <v>0</v>
      </c>
    </row>
    <row r="1041" spans="1:27" x14ac:dyDescent="0.3">
      <c r="A1041" s="18">
        <v>1038</v>
      </c>
      <c r="B1041" s="18" t="str">
        <f>'RW predict'!A1040</f>
        <v>Mason Geertsen</v>
      </c>
      <c r="C1041" s="18" t="str">
        <f>'RW predict'!B1040</f>
        <v>NJ</v>
      </c>
      <c r="D1041" s="22" t="str" cm="1">
        <f t="array" ref="D1041">_xlfn.SWITCH('RW predict'!C1040, "C", "F", "LW","F", "RW", "F", "D", "D", "G", "G", "other")</f>
        <v>D</v>
      </c>
      <c r="E1041" s="32">
        <f t="shared" si="32"/>
        <v>57</v>
      </c>
      <c r="F1041" s="35">
        <f>E1041/assumptions!$B$2</f>
        <v>0.69512195121951215</v>
      </c>
      <c r="G1041" s="36">
        <f t="shared" si="33"/>
        <v>974</v>
      </c>
      <c r="H1041" s="18">
        <f>IF(NOT(D1041="G"),'RW predict'!E1040,0)</f>
        <v>0</v>
      </c>
      <c r="I1041" s="18">
        <f>'RW predict'!Q1040</f>
        <v>1</v>
      </c>
      <c r="J1041" s="18">
        <f>'RW predict'!F1040</f>
        <v>0</v>
      </c>
      <c r="K1041" s="18"/>
      <c r="L1041" s="18"/>
      <c r="M1041" s="18">
        <f>'RW predict'!P1040</f>
        <v>14</v>
      </c>
      <c r="N1041" s="18"/>
      <c r="O1041" s="18">
        <f>'RW predict'!H1040</f>
        <v>-2</v>
      </c>
      <c r="P1041" s="18">
        <f>'RW predict'!I1040</f>
        <v>19</v>
      </c>
      <c r="Q1041" s="18">
        <f>'RW predict'!L1040</f>
        <v>0</v>
      </c>
      <c r="R1041" s="18">
        <f>'RW predict'!N1040</f>
        <v>0</v>
      </c>
      <c r="S1041" s="76">
        <f>'RW predict'!O1040</f>
        <v>0</v>
      </c>
      <c r="T1041" s="76">
        <f>'RW predict'!K1040</f>
        <v>0</v>
      </c>
      <c r="U1041" s="22">
        <f>'RW predict'!J1040</f>
        <v>2</v>
      </c>
      <c r="V1041" s="32">
        <f>IF(D1041="G",'RW predict'!E1040,0)</f>
        <v>0</v>
      </c>
      <c r="W1041" s="18">
        <f>'RW predict'!R1040</f>
        <v>0</v>
      </c>
      <c r="X1041" s="18">
        <f>'RW predict'!T1040</f>
        <v>0</v>
      </c>
      <c r="Y1041" s="18">
        <f>'RW predict'!Y1040</f>
        <v>0</v>
      </c>
      <c r="Z1041" s="18">
        <f>'RW predict'!U1040</f>
        <v>0</v>
      </c>
      <c r="AA1041" s="18">
        <f>'RW predict'!W1040</f>
        <v>0</v>
      </c>
    </row>
    <row r="1042" spans="1:27" x14ac:dyDescent="0.3">
      <c r="A1042" s="18">
        <v>1039</v>
      </c>
      <c r="B1042" s="18" t="str">
        <f>'RW predict'!A1041</f>
        <v>Spencer Martin</v>
      </c>
      <c r="C1042" s="18" t="str">
        <f>'RW predict'!B1041</f>
        <v>VAN</v>
      </c>
      <c r="D1042" s="22" t="str" cm="1">
        <f t="array" ref="D1042">_xlfn.SWITCH('RW predict'!C1041, "C", "F", "LW","F", "RW", "F", "D", "D", "G", "G", "other")</f>
        <v>G</v>
      </c>
      <c r="E1042" s="32">
        <f t="shared" si="32"/>
        <v>322</v>
      </c>
      <c r="F1042" s="35">
        <f>E1042/assumptions!$B$2</f>
        <v>3.9268292682926829</v>
      </c>
      <c r="G1042" s="36">
        <f t="shared" si="33"/>
        <v>760</v>
      </c>
      <c r="H1042" s="18">
        <f>IF(NOT(D1042="G"),'RW predict'!E1041,0)</f>
        <v>0</v>
      </c>
      <c r="I1042" s="18">
        <f>'RW predict'!Q1041</f>
        <v>0</v>
      </c>
      <c r="J1042" s="18">
        <f>'RW predict'!F1041</f>
        <v>0</v>
      </c>
      <c r="K1042" s="18"/>
      <c r="L1042" s="18"/>
      <c r="M1042" s="18">
        <f>'RW predict'!P1041</f>
        <v>0</v>
      </c>
      <c r="N1042" s="18"/>
      <c r="O1042" s="18">
        <f>'RW predict'!H1041</f>
        <v>0</v>
      </c>
      <c r="P1042" s="18">
        <f>'RW predict'!I1041</f>
        <v>0</v>
      </c>
      <c r="Q1042" s="18">
        <f>'RW predict'!L1041</f>
        <v>0</v>
      </c>
      <c r="R1042" s="18">
        <f>'RW predict'!N1041</f>
        <v>0</v>
      </c>
      <c r="S1042" s="76">
        <f>'RW predict'!O1041</f>
        <v>0</v>
      </c>
      <c r="T1042" s="76">
        <f>'RW predict'!K1041</f>
        <v>0</v>
      </c>
      <c r="U1042" s="22">
        <f>'RW predict'!J1041</f>
        <v>0</v>
      </c>
      <c r="V1042" s="32">
        <f>IF(D1042="G",'RW predict'!E1041,0)</f>
        <v>0</v>
      </c>
      <c r="W1042" s="18">
        <f>'RW predict'!R1041</f>
        <v>4</v>
      </c>
      <c r="X1042" s="18">
        <f>'RW predict'!T1041</f>
        <v>2</v>
      </c>
      <c r="Y1042" s="18">
        <f>'RW predict'!Y1041</f>
        <v>0</v>
      </c>
      <c r="Z1042" s="18">
        <f>'RW predict'!U1041</f>
        <v>26</v>
      </c>
      <c r="AA1042" s="18">
        <f>'RW predict'!W1041</f>
        <v>256</v>
      </c>
    </row>
    <row r="1043" spans="1:27" x14ac:dyDescent="0.3">
      <c r="A1043" s="18">
        <v>1040</v>
      </c>
      <c r="B1043" s="18" t="str">
        <f>'RW predict'!A1042</f>
        <v>Kurtis Gabriel</v>
      </c>
      <c r="C1043" s="18" t="str">
        <f>'RW predict'!B1042</f>
        <v>CHI</v>
      </c>
      <c r="D1043" s="22" t="str" cm="1">
        <f t="array" ref="D1043">_xlfn.SWITCH('RW predict'!C1042, "C", "F", "LW","F", "RW", "F", "D", "D", "G", "G", "other")</f>
        <v>F</v>
      </c>
      <c r="E1043" s="32">
        <f t="shared" si="32"/>
        <v>58</v>
      </c>
      <c r="F1043" s="35">
        <f>E1043/assumptions!$B$2</f>
        <v>0.70731707317073167</v>
      </c>
      <c r="G1043" s="36">
        <f t="shared" si="33"/>
        <v>972</v>
      </c>
      <c r="H1043" s="18">
        <f>IF(NOT(D1043="G"),'RW predict'!E1042,0)</f>
        <v>0</v>
      </c>
      <c r="I1043" s="18">
        <f>'RW predict'!Q1042</f>
        <v>2</v>
      </c>
      <c r="J1043" s="18">
        <f>'RW predict'!F1042</f>
        <v>0</v>
      </c>
      <c r="K1043" s="18"/>
      <c r="L1043" s="18"/>
      <c r="M1043" s="18">
        <f>'RW predict'!P1042</f>
        <v>16</v>
      </c>
      <c r="N1043" s="18"/>
      <c r="O1043" s="18">
        <f>'RW predict'!H1042</f>
        <v>0</v>
      </c>
      <c r="P1043" s="18">
        <f>'RW predict'!I1042</f>
        <v>12</v>
      </c>
      <c r="Q1043" s="18">
        <f>'RW predict'!L1042</f>
        <v>0</v>
      </c>
      <c r="R1043" s="18">
        <f>'RW predict'!N1042</f>
        <v>0</v>
      </c>
      <c r="S1043" s="76">
        <f>'RW predict'!O1042</f>
        <v>0</v>
      </c>
      <c r="T1043" s="76">
        <f>'RW predict'!K1042</f>
        <v>0</v>
      </c>
      <c r="U1043" s="22">
        <f>'RW predict'!J1042</f>
        <v>1</v>
      </c>
      <c r="V1043" s="32">
        <f>IF(D1043="G",'RW predict'!E1042,0)</f>
        <v>0</v>
      </c>
      <c r="W1043" s="18">
        <f>'RW predict'!R1042</f>
        <v>0</v>
      </c>
      <c r="X1043" s="18">
        <f>'RW predict'!T1042</f>
        <v>0</v>
      </c>
      <c r="Y1043" s="18">
        <f>'RW predict'!Y1042</f>
        <v>0</v>
      </c>
      <c r="Z1043" s="18">
        <f>'RW predict'!U1042</f>
        <v>0</v>
      </c>
      <c r="AA1043" s="18">
        <f>'RW predict'!W1042</f>
        <v>0</v>
      </c>
    </row>
    <row r="1044" spans="1:27" x14ac:dyDescent="0.3">
      <c r="A1044" s="18">
        <v>1041</v>
      </c>
      <c r="B1044" s="18" t="str">
        <f>'RW predict'!A1043</f>
        <v>Justin Bailey</v>
      </c>
      <c r="C1044" s="18" t="str">
        <f>'RW predict'!B1043</f>
        <v>EDM</v>
      </c>
      <c r="D1044" s="22" t="str" cm="1">
        <f t="array" ref="D1044">_xlfn.SWITCH('RW predict'!C1043, "C", "F", "LW","F", "RW", "F", "D", "D", "G", "G", "other")</f>
        <v>F</v>
      </c>
      <c r="E1044" s="32">
        <f t="shared" si="32"/>
        <v>20</v>
      </c>
      <c r="F1044" s="35">
        <f>E1044/assumptions!$B$2</f>
        <v>0.24390243902439024</v>
      </c>
      <c r="G1044" s="36">
        <f t="shared" si="33"/>
        <v>1035</v>
      </c>
      <c r="H1044" s="18">
        <f>IF(NOT(D1044="G"),'RW predict'!E1043,0)</f>
        <v>0</v>
      </c>
      <c r="I1044" s="18">
        <f>'RW predict'!Q1043</f>
        <v>5</v>
      </c>
      <c r="J1044" s="18">
        <f>'RW predict'!F1043</f>
        <v>0</v>
      </c>
      <c r="K1044" s="18"/>
      <c r="L1044" s="18"/>
      <c r="M1044" s="18">
        <f>'RW predict'!P1043</f>
        <v>9</v>
      </c>
      <c r="N1044" s="18"/>
      <c r="O1044" s="18">
        <f>'RW predict'!H1043</f>
        <v>-4</v>
      </c>
      <c r="P1044" s="18">
        <f>'RW predict'!I1043</f>
        <v>5</v>
      </c>
      <c r="Q1044" s="18">
        <f>'RW predict'!L1043</f>
        <v>0</v>
      </c>
      <c r="R1044" s="18">
        <f>'RW predict'!N1043</f>
        <v>0</v>
      </c>
      <c r="S1044" s="76">
        <f>'RW predict'!O1043</f>
        <v>0</v>
      </c>
      <c r="T1044" s="76">
        <f>'RW predict'!K1043</f>
        <v>0</v>
      </c>
      <c r="U1044" s="22">
        <f>'RW predict'!J1043</f>
        <v>13</v>
      </c>
      <c r="V1044" s="32">
        <f>IF(D1044="G",'RW predict'!E1043,0)</f>
        <v>0</v>
      </c>
      <c r="W1044" s="18">
        <f>'RW predict'!R1043</f>
        <v>0</v>
      </c>
      <c r="X1044" s="18">
        <f>'RW predict'!T1043</f>
        <v>0</v>
      </c>
      <c r="Y1044" s="18">
        <f>'RW predict'!Y1043</f>
        <v>0</v>
      </c>
      <c r="Z1044" s="18">
        <f>'RW predict'!U1043</f>
        <v>0</v>
      </c>
      <c r="AA1044" s="18">
        <f>'RW predict'!W1043</f>
        <v>0</v>
      </c>
    </row>
    <row r="1045" spans="1:27" x14ac:dyDescent="0.3">
      <c r="A1045" s="18">
        <v>1042</v>
      </c>
      <c r="B1045" s="18" t="str">
        <f>'RW predict'!A1044</f>
        <v>Dillon Heatherington</v>
      </c>
      <c r="C1045" s="18" t="str">
        <f>'RW predict'!B1044</f>
        <v>OTT</v>
      </c>
      <c r="D1045" s="22" t="str" cm="1">
        <f t="array" ref="D1045">_xlfn.SWITCH('RW predict'!C1044, "C", "F", "LW","F", "RW", "F", "D", "D", "G", "G", "other")</f>
        <v>D</v>
      </c>
      <c r="E1045" s="32">
        <f t="shared" si="32"/>
        <v>30</v>
      </c>
      <c r="F1045" s="35">
        <f>E1045/assumptions!$B$2</f>
        <v>0.36585365853658536</v>
      </c>
      <c r="G1045" s="36">
        <f t="shared" si="33"/>
        <v>1015</v>
      </c>
      <c r="H1045" s="18">
        <f>IF(NOT(D1045="G"),'RW predict'!E1044,0)</f>
        <v>0</v>
      </c>
      <c r="I1045" s="18">
        <f>'RW predict'!Q1044</f>
        <v>2</v>
      </c>
      <c r="J1045" s="18">
        <f>'RW predict'!F1044</f>
        <v>0</v>
      </c>
      <c r="K1045" s="18"/>
      <c r="L1045" s="18"/>
      <c r="M1045" s="18">
        <f>'RW predict'!P1044</f>
        <v>8</v>
      </c>
      <c r="N1045" s="18"/>
      <c r="O1045" s="18">
        <f>'RW predict'!H1044</f>
        <v>0</v>
      </c>
      <c r="P1045" s="18">
        <f>'RW predict'!I1044</f>
        <v>4</v>
      </c>
      <c r="Q1045" s="18">
        <f>'RW predict'!L1044</f>
        <v>0</v>
      </c>
      <c r="R1045" s="18">
        <f>'RW predict'!N1044</f>
        <v>0</v>
      </c>
      <c r="S1045" s="76">
        <f>'RW predict'!O1044</f>
        <v>0</v>
      </c>
      <c r="T1045" s="76">
        <f>'RW predict'!K1044</f>
        <v>0</v>
      </c>
      <c r="U1045" s="22">
        <f>'RW predict'!J1044</f>
        <v>3</v>
      </c>
      <c r="V1045" s="32">
        <f>IF(D1045="G",'RW predict'!E1044,0)</f>
        <v>0</v>
      </c>
      <c r="W1045" s="18">
        <f>'RW predict'!R1044</f>
        <v>0</v>
      </c>
      <c r="X1045" s="18">
        <f>'RW predict'!T1044</f>
        <v>0</v>
      </c>
      <c r="Y1045" s="18">
        <f>'RW predict'!Y1044</f>
        <v>0</v>
      </c>
      <c r="Z1045" s="18">
        <f>'RW predict'!U1044</f>
        <v>0</v>
      </c>
      <c r="AA1045" s="18">
        <f>'RW predict'!W1044</f>
        <v>0</v>
      </c>
    </row>
    <row r="1046" spans="1:27" x14ac:dyDescent="0.3">
      <c r="A1046" s="18">
        <v>1043</v>
      </c>
      <c r="B1046" s="18" t="str">
        <f>'RW predict'!A1045</f>
        <v>Zach Fucale</v>
      </c>
      <c r="C1046" s="18" t="str">
        <f>'RW predict'!B1045</f>
        <v>WAS</v>
      </c>
      <c r="D1046" s="22" t="str" cm="1">
        <f t="array" ref="D1046">_xlfn.SWITCH('RW predict'!C1045, "C", "F", "LW","F", "RW", "F", "D", "D", "G", "G", "other")</f>
        <v>G</v>
      </c>
      <c r="E1046" s="32">
        <f t="shared" si="32"/>
        <v>94</v>
      </c>
      <c r="F1046" s="35">
        <f>E1046/assumptions!$B$2</f>
        <v>1.1463414634146341</v>
      </c>
      <c r="G1046" s="36">
        <f t="shared" si="33"/>
        <v>922</v>
      </c>
      <c r="H1046" s="18">
        <f>IF(NOT(D1046="G"),'RW predict'!E1045,0)</f>
        <v>0</v>
      </c>
      <c r="I1046" s="18">
        <f>'RW predict'!Q1045</f>
        <v>0</v>
      </c>
      <c r="J1046" s="18">
        <f>'RW predict'!F1045</f>
        <v>0</v>
      </c>
      <c r="K1046" s="18"/>
      <c r="L1046" s="18"/>
      <c r="M1046" s="18">
        <f>'RW predict'!P1045</f>
        <v>0</v>
      </c>
      <c r="N1046" s="18"/>
      <c r="O1046" s="18">
        <f>'RW predict'!H1045</f>
        <v>0</v>
      </c>
      <c r="P1046" s="18">
        <f>'RW predict'!I1045</f>
        <v>0</v>
      </c>
      <c r="Q1046" s="18">
        <f>'RW predict'!L1045</f>
        <v>0</v>
      </c>
      <c r="R1046" s="18">
        <f>'RW predict'!N1045</f>
        <v>0</v>
      </c>
      <c r="S1046" s="76">
        <f>'RW predict'!O1045</f>
        <v>0</v>
      </c>
      <c r="T1046" s="76">
        <f>'RW predict'!K1045</f>
        <v>0</v>
      </c>
      <c r="U1046" s="22">
        <f>'RW predict'!J1045</f>
        <v>0</v>
      </c>
      <c r="V1046" s="32">
        <f>IF(D1046="G",'RW predict'!E1045,0)</f>
        <v>0</v>
      </c>
      <c r="W1046" s="18">
        <f>'RW predict'!R1045</f>
        <v>1</v>
      </c>
      <c r="X1046" s="18">
        <f>'RW predict'!T1045</f>
        <v>1</v>
      </c>
      <c r="Y1046" s="18">
        <f>'RW predict'!Y1045</f>
        <v>0</v>
      </c>
      <c r="Z1046" s="18">
        <f>'RW predict'!U1045</f>
        <v>8</v>
      </c>
      <c r="AA1046" s="18">
        <f>'RW predict'!W1045</f>
        <v>77</v>
      </c>
    </row>
    <row r="1047" spans="1:27" x14ac:dyDescent="0.3">
      <c r="A1047" s="18">
        <v>1044</v>
      </c>
      <c r="B1047" s="18" t="str">
        <f>'RW predict'!A1046</f>
        <v>Antti Raanta</v>
      </c>
      <c r="C1047" s="18" t="str">
        <f>'RW predict'!B1046</f>
        <v>CAR</v>
      </c>
      <c r="D1047" s="22" t="str" cm="1">
        <f t="array" ref="D1047">_xlfn.SWITCH('RW predict'!C1046, "C", "F", "LW","F", "RW", "F", "D", "D", "G", "G", "other")</f>
        <v>G</v>
      </c>
      <c r="E1047" s="32">
        <f t="shared" si="32"/>
        <v>1008</v>
      </c>
      <c r="F1047" s="35">
        <f>E1047/assumptions!$B$2</f>
        <v>12.292682926829269</v>
      </c>
      <c r="G1047" s="36">
        <f t="shared" si="33"/>
        <v>482</v>
      </c>
      <c r="H1047" s="18">
        <f>IF(NOT(D1047="G"),'RW predict'!E1046,0)</f>
        <v>0</v>
      </c>
      <c r="I1047" s="18">
        <f>'RW predict'!Q1046</f>
        <v>0</v>
      </c>
      <c r="J1047" s="18">
        <f>'RW predict'!F1046</f>
        <v>0</v>
      </c>
      <c r="K1047" s="18"/>
      <c r="L1047" s="18"/>
      <c r="M1047" s="18">
        <f>'RW predict'!P1046</f>
        <v>0</v>
      </c>
      <c r="N1047" s="18"/>
      <c r="O1047" s="18">
        <f>'RW predict'!H1046</f>
        <v>0</v>
      </c>
      <c r="P1047" s="18">
        <f>'RW predict'!I1046</f>
        <v>0</v>
      </c>
      <c r="Q1047" s="18">
        <f>'RW predict'!L1046</f>
        <v>0</v>
      </c>
      <c r="R1047" s="18">
        <f>'RW predict'!N1046</f>
        <v>0</v>
      </c>
      <c r="S1047" s="76">
        <f>'RW predict'!O1046</f>
        <v>0</v>
      </c>
      <c r="T1047" s="76">
        <f>'RW predict'!K1046</f>
        <v>0</v>
      </c>
      <c r="U1047" s="22">
        <f>'RW predict'!J1046</f>
        <v>0</v>
      </c>
      <c r="V1047" s="32">
        <f>IF(D1047="G",'RW predict'!E1046,0)</f>
        <v>0</v>
      </c>
      <c r="W1047" s="18">
        <f>'RW predict'!R1046</f>
        <v>14</v>
      </c>
      <c r="X1047" s="18">
        <f>'RW predict'!T1046</f>
        <v>2</v>
      </c>
      <c r="Y1047" s="18">
        <f>'RW predict'!Y1046</f>
        <v>2</v>
      </c>
      <c r="Z1047" s="18">
        <f>'RW predict'!U1046</f>
        <v>68</v>
      </c>
      <c r="AA1047" s="18">
        <f>'RW predict'!W1046</f>
        <v>664</v>
      </c>
    </row>
    <row r="1048" spans="1:27" x14ac:dyDescent="0.3">
      <c r="A1048" s="18">
        <v>1045</v>
      </c>
      <c r="B1048" s="18" t="str">
        <f>'RW predict'!A1047</f>
        <v>Laurent Brossoit</v>
      </c>
      <c r="C1048" s="18" t="str">
        <f>'RW predict'!B1047</f>
        <v>VGK</v>
      </c>
      <c r="D1048" s="22" t="str" cm="1">
        <f t="array" ref="D1048">_xlfn.SWITCH('RW predict'!C1047, "C", "F", "LW","F", "RW", "F", "D", "D", "G", "G", "other")</f>
        <v>G</v>
      </c>
      <c r="E1048" s="32">
        <f t="shared" si="32"/>
        <v>1182</v>
      </c>
      <c r="F1048" s="35">
        <f>E1048/assumptions!$B$2</f>
        <v>14.414634146341463</v>
      </c>
      <c r="G1048" s="36">
        <f t="shared" si="33"/>
        <v>410</v>
      </c>
      <c r="H1048" s="18">
        <f>IF(NOT(D1048="G"),'RW predict'!E1047,0)</f>
        <v>0</v>
      </c>
      <c r="I1048" s="18">
        <f>'RW predict'!Q1047</f>
        <v>0</v>
      </c>
      <c r="J1048" s="18">
        <f>'RW predict'!F1047</f>
        <v>0</v>
      </c>
      <c r="K1048" s="18"/>
      <c r="L1048" s="18"/>
      <c r="M1048" s="18">
        <f>'RW predict'!P1047</f>
        <v>0</v>
      </c>
      <c r="N1048" s="18"/>
      <c r="O1048" s="18">
        <f>'RW predict'!H1047</f>
        <v>0</v>
      </c>
      <c r="P1048" s="18">
        <f>'RW predict'!I1047</f>
        <v>0</v>
      </c>
      <c r="Q1048" s="18">
        <f>'RW predict'!L1047</f>
        <v>0</v>
      </c>
      <c r="R1048" s="18">
        <f>'RW predict'!N1047</f>
        <v>0</v>
      </c>
      <c r="S1048" s="76">
        <f>'RW predict'!O1047</f>
        <v>0</v>
      </c>
      <c r="T1048" s="76">
        <f>'RW predict'!K1047</f>
        <v>0</v>
      </c>
      <c r="U1048" s="22">
        <f>'RW predict'!J1047</f>
        <v>0</v>
      </c>
      <c r="V1048" s="32">
        <f>IF(D1048="G",'RW predict'!E1047,0)</f>
        <v>0</v>
      </c>
      <c r="W1048" s="18">
        <f>'RW predict'!R1047</f>
        <v>14</v>
      </c>
      <c r="X1048" s="18">
        <f>'RW predict'!T1047</f>
        <v>2</v>
      </c>
      <c r="Y1048" s="18">
        <f>'RW predict'!Y1047</f>
        <v>1</v>
      </c>
      <c r="Z1048" s="18">
        <f>'RW predict'!U1047</f>
        <v>60</v>
      </c>
      <c r="AA1048" s="18">
        <f>'RW predict'!W1047</f>
        <v>716</v>
      </c>
    </row>
    <row r="1049" spans="1:27" x14ac:dyDescent="0.3">
      <c r="A1049" s="18">
        <v>1046</v>
      </c>
      <c r="B1049" s="18" t="str">
        <f>'RW predict'!A1048</f>
        <v>Pheonix Copley</v>
      </c>
      <c r="C1049" s="18" t="str">
        <f>'RW predict'!B1048</f>
        <v>LA</v>
      </c>
      <c r="D1049" s="22" t="str" cm="1">
        <f t="array" ref="D1049">_xlfn.SWITCH('RW predict'!C1048, "C", "F", "LW","F", "RW", "F", "D", "D", "G", "G", "other")</f>
        <v>G</v>
      </c>
      <c r="E1049" s="32">
        <f t="shared" si="32"/>
        <v>-3</v>
      </c>
      <c r="F1049" s="35">
        <f>E1049/assumptions!$B$2</f>
        <v>-3.6585365853658534E-2</v>
      </c>
      <c r="G1049" s="36">
        <f t="shared" si="33"/>
        <v>1069</v>
      </c>
      <c r="H1049" s="18">
        <f>IF(NOT(D1049="G"),'RW predict'!E1048,0)</f>
        <v>0</v>
      </c>
      <c r="I1049" s="18">
        <f>'RW predict'!Q1048</f>
        <v>0</v>
      </c>
      <c r="J1049" s="18">
        <f>'RW predict'!F1048</f>
        <v>0</v>
      </c>
      <c r="K1049" s="18"/>
      <c r="L1049" s="18"/>
      <c r="M1049" s="18">
        <f>'RW predict'!P1048</f>
        <v>0</v>
      </c>
      <c r="N1049" s="18"/>
      <c r="O1049" s="18">
        <f>'RW predict'!H1048</f>
        <v>0</v>
      </c>
      <c r="P1049" s="18">
        <f>'RW predict'!I1048</f>
        <v>0</v>
      </c>
      <c r="Q1049" s="18">
        <f>'RW predict'!L1048</f>
        <v>0</v>
      </c>
      <c r="R1049" s="18">
        <f>'RW predict'!N1048</f>
        <v>0</v>
      </c>
      <c r="S1049" s="76">
        <f>'RW predict'!O1048</f>
        <v>0</v>
      </c>
      <c r="T1049" s="76">
        <f>'RW predict'!K1048</f>
        <v>0</v>
      </c>
      <c r="U1049" s="22">
        <f>'RW predict'!J1048</f>
        <v>0</v>
      </c>
      <c r="V1049" s="32">
        <f>IF(D1049="G",'RW predict'!E1048,0)</f>
        <v>0</v>
      </c>
      <c r="W1049" s="18">
        <f>'RW predict'!R1048</f>
        <v>0</v>
      </c>
      <c r="X1049" s="18">
        <f>'RW predict'!T1048</f>
        <v>0</v>
      </c>
      <c r="Y1049" s="18">
        <f>'RW predict'!Y1048</f>
        <v>0</v>
      </c>
      <c r="Z1049" s="18">
        <f>'RW predict'!U1048</f>
        <v>5</v>
      </c>
      <c r="AA1049" s="18">
        <f>'RW predict'!W1048</f>
        <v>36</v>
      </c>
    </row>
    <row r="1050" spans="1:27" x14ac:dyDescent="0.3">
      <c r="A1050" s="18">
        <v>1047</v>
      </c>
      <c r="B1050" s="18" t="str">
        <f>'RW predict'!A1049</f>
        <v>Hudson Fasching</v>
      </c>
      <c r="C1050" s="18" t="str">
        <f>'RW predict'!B1049</f>
        <v>NYI</v>
      </c>
      <c r="D1050" s="22" t="str" cm="1">
        <f t="array" ref="D1050">_xlfn.SWITCH('RW predict'!C1049, "C", "F", "LW","F", "RW", "F", "D", "D", "G", "G", "other")</f>
        <v>F</v>
      </c>
      <c r="E1050" s="32">
        <f t="shared" si="32"/>
        <v>-17</v>
      </c>
      <c r="F1050" s="35">
        <f>E1050/assumptions!$B$2</f>
        <v>-0.2073170731707317</v>
      </c>
      <c r="G1050" s="36">
        <f t="shared" si="33"/>
        <v>1076</v>
      </c>
      <c r="H1050" s="18">
        <f>IF(NOT(D1050="G"),'RW predict'!E1049,0)</f>
        <v>0</v>
      </c>
      <c r="I1050" s="18">
        <f>'RW predict'!Q1049</f>
        <v>3</v>
      </c>
      <c r="J1050" s="18">
        <f>'RW predict'!F1049</f>
        <v>0</v>
      </c>
      <c r="K1050" s="18"/>
      <c r="L1050" s="18"/>
      <c r="M1050" s="18">
        <f>'RW predict'!P1049</f>
        <v>9</v>
      </c>
      <c r="N1050" s="18"/>
      <c r="O1050" s="18">
        <f>'RW predict'!H1049</f>
        <v>-4</v>
      </c>
      <c r="P1050" s="18">
        <f>'RW predict'!I1049</f>
        <v>0</v>
      </c>
      <c r="Q1050" s="18">
        <f>'RW predict'!L1049</f>
        <v>0</v>
      </c>
      <c r="R1050" s="18">
        <f>'RW predict'!N1049</f>
        <v>0</v>
      </c>
      <c r="S1050" s="76">
        <f>'RW predict'!O1049</f>
        <v>0</v>
      </c>
      <c r="T1050" s="76">
        <f>'RW predict'!K1049</f>
        <v>0</v>
      </c>
      <c r="U1050" s="22">
        <f>'RW predict'!J1049</f>
        <v>4</v>
      </c>
      <c r="V1050" s="32">
        <f>IF(D1050="G",'RW predict'!E1049,0)</f>
        <v>0</v>
      </c>
      <c r="W1050" s="18">
        <f>'RW predict'!R1049</f>
        <v>0</v>
      </c>
      <c r="X1050" s="18">
        <f>'RW predict'!T1049</f>
        <v>0</v>
      </c>
      <c r="Y1050" s="18">
        <f>'RW predict'!Y1049</f>
        <v>0</v>
      </c>
      <c r="Z1050" s="18">
        <f>'RW predict'!U1049</f>
        <v>0</v>
      </c>
      <c r="AA1050" s="18">
        <f>'RW predict'!W1049</f>
        <v>0</v>
      </c>
    </row>
    <row r="1051" spans="1:27" x14ac:dyDescent="0.3">
      <c r="A1051" s="18">
        <v>1048</v>
      </c>
      <c r="B1051" s="18" t="str">
        <f>'RW predict'!A1050</f>
        <v>Danny O'Regan</v>
      </c>
      <c r="C1051" s="18" t="str">
        <f>'RW predict'!B1050</f>
        <v>ANH</v>
      </c>
      <c r="D1051" s="22" t="str" cm="1">
        <f t="array" ref="D1051">_xlfn.SWITCH('RW predict'!C1050, "C", "F", "LW","F", "RW", "F", "D", "D", "G", "G", "other")</f>
        <v>F</v>
      </c>
      <c r="E1051" s="32">
        <f t="shared" si="32"/>
        <v>14</v>
      </c>
      <c r="F1051" s="35">
        <f>E1051/assumptions!$B$2</f>
        <v>0.17073170731707318</v>
      </c>
      <c r="G1051" s="36">
        <f t="shared" si="33"/>
        <v>1044</v>
      </c>
      <c r="H1051" s="18">
        <f>IF(NOT(D1051="G"),'RW predict'!E1050,0)</f>
        <v>0</v>
      </c>
      <c r="I1051" s="18">
        <f>'RW predict'!Q1050</f>
        <v>10</v>
      </c>
      <c r="J1051" s="18">
        <f>'RW predict'!F1050</f>
        <v>0</v>
      </c>
      <c r="K1051" s="18"/>
      <c r="L1051" s="18"/>
      <c r="M1051" s="18">
        <f>'RW predict'!P1050</f>
        <v>8</v>
      </c>
      <c r="N1051" s="18"/>
      <c r="O1051" s="18">
        <f>'RW predict'!H1050</f>
        <v>-3</v>
      </c>
      <c r="P1051" s="18">
        <f>'RW predict'!I1050</f>
        <v>0</v>
      </c>
      <c r="Q1051" s="18">
        <f>'RW predict'!L1050</f>
        <v>0</v>
      </c>
      <c r="R1051" s="18">
        <f>'RW predict'!N1050</f>
        <v>0</v>
      </c>
      <c r="S1051" s="76">
        <f>'RW predict'!O1050</f>
        <v>0</v>
      </c>
      <c r="T1051" s="76">
        <f>'RW predict'!K1050</f>
        <v>0</v>
      </c>
      <c r="U1051" s="22">
        <f>'RW predict'!J1050</f>
        <v>8</v>
      </c>
      <c r="V1051" s="32">
        <f>IF(D1051="G",'RW predict'!E1050,0)</f>
        <v>0</v>
      </c>
      <c r="W1051" s="18">
        <f>'RW predict'!R1050</f>
        <v>0</v>
      </c>
      <c r="X1051" s="18">
        <f>'RW predict'!T1050</f>
        <v>0</v>
      </c>
      <c r="Y1051" s="18">
        <f>'RW predict'!Y1050</f>
        <v>0</v>
      </c>
      <c r="Z1051" s="18">
        <f>'RW predict'!U1050</f>
        <v>0</v>
      </c>
      <c r="AA1051" s="18">
        <f>'RW predict'!W1050</f>
        <v>0</v>
      </c>
    </row>
    <row r="1052" spans="1:27" x14ac:dyDescent="0.3">
      <c r="A1052" s="18">
        <v>1049</v>
      </c>
      <c r="B1052" s="18" t="str">
        <f>'RW predict'!A1051</f>
        <v>Andrew Hammond</v>
      </c>
      <c r="C1052" s="18" t="str">
        <f>'RW predict'!B1051</f>
        <v>FLA</v>
      </c>
      <c r="D1052" s="22" t="str" cm="1">
        <f t="array" ref="D1052">_xlfn.SWITCH('RW predict'!C1051, "C", "F", "LW","F", "RW", "F", "D", "D", "G", "G", "other")</f>
        <v>G</v>
      </c>
      <c r="E1052" s="32">
        <f t="shared" si="32"/>
        <v>162</v>
      </c>
      <c r="F1052" s="35">
        <f>E1052/assumptions!$B$2</f>
        <v>1.975609756097561</v>
      </c>
      <c r="G1052" s="36">
        <f t="shared" si="33"/>
        <v>855</v>
      </c>
      <c r="H1052" s="18">
        <f>IF(NOT(D1052="G"),'RW predict'!E1051,0)</f>
        <v>0</v>
      </c>
      <c r="I1052" s="18">
        <f>'RW predict'!Q1051</f>
        <v>0</v>
      </c>
      <c r="J1052" s="18">
        <f>'RW predict'!F1051</f>
        <v>0</v>
      </c>
      <c r="K1052" s="18"/>
      <c r="L1052" s="18"/>
      <c r="M1052" s="18">
        <f>'RW predict'!P1051</f>
        <v>0</v>
      </c>
      <c r="N1052" s="18"/>
      <c r="O1052" s="18">
        <f>'RW predict'!H1051</f>
        <v>0</v>
      </c>
      <c r="P1052" s="18">
        <f>'RW predict'!I1051</f>
        <v>0</v>
      </c>
      <c r="Q1052" s="18">
        <f>'RW predict'!L1051</f>
        <v>0</v>
      </c>
      <c r="R1052" s="18">
        <f>'RW predict'!N1051</f>
        <v>0</v>
      </c>
      <c r="S1052" s="76">
        <f>'RW predict'!O1051</f>
        <v>0</v>
      </c>
      <c r="T1052" s="76">
        <f>'RW predict'!K1051</f>
        <v>0</v>
      </c>
      <c r="U1052" s="22">
        <f>'RW predict'!J1051</f>
        <v>0</v>
      </c>
      <c r="V1052" s="32">
        <f>IF(D1052="G",'RW predict'!E1051,0)</f>
        <v>0</v>
      </c>
      <c r="W1052" s="18">
        <f>'RW predict'!R1051</f>
        <v>4</v>
      </c>
      <c r="X1052" s="18">
        <f>'RW predict'!T1051</f>
        <v>1</v>
      </c>
      <c r="Y1052" s="18">
        <f>'RW predict'!Y1051</f>
        <v>0</v>
      </c>
      <c r="Z1052" s="18">
        <f>'RW predict'!U1051</f>
        <v>38</v>
      </c>
      <c r="AA1052" s="18">
        <f>'RW predict'!W1051</f>
        <v>276</v>
      </c>
    </row>
    <row r="1053" spans="1:27" x14ac:dyDescent="0.3">
      <c r="A1053" s="18">
        <v>1050</v>
      </c>
      <c r="B1053" s="18" t="str">
        <f>'RW predict'!A1052</f>
        <v>Jussi Olkinuora</v>
      </c>
      <c r="C1053" s="18" t="str">
        <f>'RW predict'!B1052</f>
        <v>DET</v>
      </c>
      <c r="D1053" s="22" t="str" cm="1">
        <f t="array" ref="D1053">_xlfn.SWITCH('RW predict'!C1052, "C", "F", "LW","F", "RW", "F", "D", "D", "G", "G", "other")</f>
        <v>G</v>
      </c>
      <c r="E1053" s="32">
        <f t="shared" si="32"/>
        <v>-135</v>
      </c>
      <c r="F1053" s="35">
        <f>E1053/assumptions!$B$2</f>
        <v>-1.6463414634146341</v>
      </c>
      <c r="G1053" s="36">
        <f t="shared" si="33"/>
        <v>1085</v>
      </c>
      <c r="H1053" s="18">
        <f>IF(NOT(D1053="G"),'RW predict'!E1052,0)</f>
        <v>0</v>
      </c>
      <c r="I1053" s="18">
        <f>'RW predict'!Q1052</f>
        <v>0</v>
      </c>
      <c r="J1053" s="18">
        <f>'RW predict'!F1052</f>
        <v>0</v>
      </c>
      <c r="K1053" s="18"/>
      <c r="L1053" s="18"/>
      <c r="M1053" s="18">
        <f>'RW predict'!P1052</f>
        <v>0</v>
      </c>
      <c r="N1053" s="18"/>
      <c r="O1053" s="18">
        <f>'RW predict'!H1052</f>
        <v>0</v>
      </c>
      <c r="P1053" s="18">
        <f>'RW predict'!I1052</f>
        <v>0</v>
      </c>
      <c r="Q1053" s="18">
        <f>'RW predict'!L1052</f>
        <v>0</v>
      </c>
      <c r="R1053" s="18">
        <f>'RW predict'!N1052</f>
        <v>0</v>
      </c>
      <c r="S1053" s="76">
        <f>'RW predict'!O1052</f>
        <v>0</v>
      </c>
      <c r="T1053" s="76">
        <f>'RW predict'!K1052</f>
        <v>0</v>
      </c>
      <c r="U1053" s="22">
        <f>'RW predict'!J1052</f>
        <v>0</v>
      </c>
      <c r="V1053" s="32">
        <f>IF(D1053="G",'RW predict'!E1052,0)</f>
        <v>0</v>
      </c>
      <c r="W1053" s="18">
        <f>'RW predict'!R1052</f>
        <v>0</v>
      </c>
      <c r="X1053" s="18">
        <f>'RW predict'!T1052</f>
        <v>0</v>
      </c>
      <c r="Y1053" s="18">
        <f>'RW predict'!Y1052</f>
        <v>0</v>
      </c>
      <c r="Z1053" s="18">
        <f>'RW predict'!U1052</f>
        <v>9</v>
      </c>
      <c r="AA1053" s="18">
        <f>'RW predict'!W1052</f>
        <v>0</v>
      </c>
    </row>
    <row r="1054" spans="1:27" x14ac:dyDescent="0.3">
      <c r="A1054" s="18">
        <v>1051</v>
      </c>
      <c r="B1054" s="18" t="str">
        <f>'RW predict'!A1053</f>
        <v>Troy Grosenick</v>
      </c>
      <c r="C1054" s="18" t="str">
        <f>'RW predict'!B1053</f>
        <v>PHI</v>
      </c>
      <c r="D1054" s="22" t="str" cm="1">
        <f t="array" ref="D1054">_xlfn.SWITCH('RW predict'!C1053, "C", "F", "LW","F", "RW", "F", "D", "D", "G", "G", "other")</f>
        <v>G</v>
      </c>
      <c r="E1054" s="32">
        <f t="shared" si="32"/>
        <v>-800</v>
      </c>
      <c r="F1054" s="35">
        <f>E1054/assumptions!$B$2</f>
        <v>-9.7560975609756095</v>
      </c>
      <c r="G1054" s="36">
        <f t="shared" si="33"/>
        <v>1086</v>
      </c>
      <c r="H1054" s="18">
        <f>IF(NOT(D1054="G"),'RW predict'!E1053,0)</f>
        <v>0</v>
      </c>
      <c r="I1054" s="18">
        <f>'RW predict'!Q1053</f>
        <v>0</v>
      </c>
      <c r="J1054" s="18">
        <f>'RW predict'!F1053</f>
        <v>0</v>
      </c>
      <c r="K1054" s="18"/>
      <c r="L1054" s="18"/>
      <c r="M1054" s="18">
        <f>'RW predict'!P1053</f>
        <v>0</v>
      </c>
      <c r="N1054" s="18"/>
      <c r="O1054" s="18">
        <f>'RW predict'!H1053</f>
        <v>0</v>
      </c>
      <c r="P1054" s="18">
        <f>'RW predict'!I1053</f>
        <v>0</v>
      </c>
      <c r="Q1054" s="18">
        <f>'RW predict'!L1053</f>
        <v>0</v>
      </c>
      <c r="R1054" s="18">
        <f>'RW predict'!N1053</f>
        <v>0</v>
      </c>
      <c r="S1054" s="76">
        <f>'RW predict'!O1053</f>
        <v>0</v>
      </c>
      <c r="T1054" s="76">
        <f>'RW predict'!K1053</f>
        <v>0</v>
      </c>
      <c r="U1054" s="22">
        <f>'RW predict'!J1053</f>
        <v>0</v>
      </c>
      <c r="V1054" s="32">
        <f>IF(D1054="G",'RW predict'!E1053,0)</f>
        <v>0</v>
      </c>
      <c r="W1054" s="18">
        <f>'RW predict'!R1053</f>
        <v>11</v>
      </c>
      <c r="X1054" s="18">
        <f>'RW predict'!T1053</f>
        <v>1</v>
      </c>
      <c r="Y1054" s="18">
        <f>'RW predict'!Y1053</f>
        <v>0</v>
      </c>
      <c r="Z1054" s="18">
        <f>'RW predict'!U1053</f>
        <v>84</v>
      </c>
      <c r="AA1054" s="18">
        <f>'RW predict'!W1053</f>
        <v>0</v>
      </c>
    </row>
    <row r="1055" spans="1:27" x14ac:dyDescent="0.3">
      <c r="A1055" s="18">
        <v>1052</v>
      </c>
      <c r="B1055" s="18" t="str">
        <f>'RW predict'!A1054</f>
        <v>Joonas Korpisalo</v>
      </c>
      <c r="C1055" s="18" t="str">
        <f>'RW predict'!B1054</f>
        <v>CLS</v>
      </c>
      <c r="D1055" s="22" t="str" cm="1">
        <f t="array" ref="D1055">_xlfn.SWITCH('RW predict'!C1054, "C", "F", "LW","F", "RW", "F", "D", "D", "G", "G", "other")</f>
        <v>G</v>
      </c>
      <c r="E1055" s="32">
        <f t="shared" si="32"/>
        <v>574</v>
      </c>
      <c r="F1055" s="35">
        <f>E1055/assumptions!$B$2</f>
        <v>7</v>
      </c>
      <c r="G1055" s="36">
        <f t="shared" si="33"/>
        <v>645</v>
      </c>
      <c r="H1055" s="18">
        <f>IF(NOT(D1055="G"),'RW predict'!E1054,0)</f>
        <v>0</v>
      </c>
      <c r="I1055" s="18">
        <f>'RW predict'!Q1054</f>
        <v>0</v>
      </c>
      <c r="J1055" s="18">
        <f>'RW predict'!F1054</f>
        <v>0</v>
      </c>
      <c r="K1055" s="18"/>
      <c r="L1055" s="18"/>
      <c r="M1055" s="18">
        <f>'RW predict'!P1054</f>
        <v>0</v>
      </c>
      <c r="N1055" s="18"/>
      <c r="O1055" s="18">
        <f>'RW predict'!H1054</f>
        <v>0</v>
      </c>
      <c r="P1055" s="18">
        <f>'RW predict'!I1054</f>
        <v>2</v>
      </c>
      <c r="Q1055" s="18">
        <f>'RW predict'!L1054</f>
        <v>0</v>
      </c>
      <c r="R1055" s="18">
        <f>'RW predict'!N1054</f>
        <v>0</v>
      </c>
      <c r="S1055" s="76">
        <f>'RW predict'!O1054</f>
        <v>0</v>
      </c>
      <c r="T1055" s="76">
        <f>'RW predict'!K1054</f>
        <v>0</v>
      </c>
      <c r="U1055" s="22">
        <f>'RW predict'!J1054</f>
        <v>0</v>
      </c>
      <c r="V1055" s="32">
        <f>IF(D1055="G",'RW predict'!E1054,0)</f>
        <v>0</v>
      </c>
      <c r="W1055" s="18">
        <f>'RW predict'!R1054</f>
        <v>9</v>
      </c>
      <c r="X1055" s="18">
        <f>'RW predict'!T1054</f>
        <v>3</v>
      </c>
      <c r="Y1055" s="18">
        <f>'RW predict'!Y1054</f>
        <v>0</v>
      </c>
      <c r="Z1055" s="18">
        <f>'RW predict'!U1054</f>
        <v>94</v>
      </c>
      <c r="AA1055" s="18">
        <f>'RW predict'!W1054</f>
        <v>779</v>
      </c>
    </row>
    <row r="1056" spans="1:27" x14ac:dyDescent="0.3">
      <c r="A1056" s="18">
        <v>1053</v>
      </c>
      <c r="B1056" s="18" t="str">
        <f>'RW predict'!A1055</f>
        <v>Malcolm Subban</v>
      </c>
      <c r="C1056" s="18" t="str">
        <f>'RW predict'!B1055</f>
        <v>BUF</v>
      </c>
      <c r="D1056" s="22" t="str" cm="1">
        <f t="array" ref="D1056">_xlfn.SWITCH('RW predict'!C1055, "C", "F", "LW","F", "RW", "F", "D", "D", "G", "G", "other")</f>
        <v>G</v>
      </c>
      <c r="E1056" s="32">
        <f t="shared" si="32"/>
        <v>296</v>
      </c>
      <c r="F1056" s="35">
        <f>E1056/assumptions!$B$2</f>
        <v>3.6097560975609757</v>
      </c>
      <c r="G1056" s="36">
        <f t="shared" si="33"/>
        <v>774</v>
      </c>
      <c r="H1056" s="18">
        <f>IF(NOT(D1056="G"),'RW predict'!E1055,0)</f>
        <v>0</v>
      </c>
      <c r="I1056" s="18">
        <f>'RW predict'!Q1055</f>
        <v>0</v>
      </c>
      <c r="J1056" s="18">
        <f>'RW predict'!F1055</f>
        <v>0</v>
      </c>
      <c r="K1056" s="18"/>
      <c r="L1056" s="18"/>
      <c r="M1056" s="18">
        <f>'RW predict'!P1055</f>
        <v>0</v>
      </c>
      <c r="N1056" s="18"/>
      <c r="O1056" s="18">
        <f>'RW predict'!H1055</f>
        <v>0</v>
      </c>
      <c r="P1056" s="18">
        <f>'RW predict'!I1055</f>
        <v>0</v>
      </c>
      <c r="Q1056" s="18">
        <f>'RW predict'!L1055</f>
        <v>0</v>
      </c>
      <c r="R1056" s="18">
        <f>'RW predict'!N1055</f>
        <v>0</v>
      </c>
      <c r="S1056" s="76">
        <f>'RW predict'!O1055</f>
        <v>0</v>
      </c>
      <c r="T1056" s="76">
        <f>'RW predict'!K1055</f>
        <v>0</v>
      </c>
      <c r="U1056" s="22">
        <f>'RW predict'!J1055</f>
        <v>0</v>
      </c>
      <c r="V1056" s="32">
        <f>IF(D1056="G",'RW predict'!E1055,0)</f>
        <v>0</v>
      </c>
      <c r="W1056" s="18">
        <f>'RW predict'!R1055</f>
        <v>2</v>
      </c>
      <c r="X1056" s="18">
        <f>'RW predict'!T1055</f>
        <v>3</v>
      </c>
      <c r="Y1056" s="18">
        <f>'RW predict'!Y1055</f>
        <v>0</v>
      </c>
      <c r="Z1056" s="18">
        <f>'RW predict'!U1055</f>
        <v>60</v>
      </c>
      <c r="AA1056" s="18">
        <f>'RW predict'!W1055</f>
        <v>528</v>
      </c>
    </row>
    <row r="1057" spans="1:27" x14ac:dyDescent="0.3">
      <c r="A1057" s="18">
        <v>1054</v>
      </c>
      <c r="B1057" s="18" t="str">
        <f>'RW predict'!A1056</f>
        <v>Max Lagace</v>
      </c>
      <c r="C1057" s="18" t="str">
        <f>'RW predict'!B1056</f>
        <v>TB</v>
      </c>
      <c r="D1057" s="22" t="str" cm="1">
        <f t="array" ref="D1057">_xlfn.SWITCH('RW predict'!C1056, "C", "F", "LW","F", "RW", "F", "D", "D", "G", "G", "other")</f>
        <v>G</v>
      </c>
      <c r="E1057" s="32">
        <f t="shared" si="32"/>
        <v>-1</v>
      </c>
      <c r="F1057" s="35">
        <f>E1057/assumptions!$B$2</f>
        <v>-1.2195121951219513E-2</v>
      </c>
      <c r="G1057" s="36">
        <f t="shared" si="33"/>
        <v>1065</v>
      </c>
      <c r="H1057" s="18">
        <f>IF(NOT(D1057="G"),'RW predict'!E1056,0)</f>
        <v>0</v>
      </c>
      <c r="I1057" s="18">
        <f>'RW predict'!Q1056</f>
        <v>0</v>
      </c>
      <c r="J1057" s="18">
        <f>'RW predict'!F1056</f>
        <v>0</v>
      </c>
      <c r="K1057" s="18"/>
      <c r="L1057" s="18"/>
      <c r="M1057" s="18">
        <f>'RW predict'!P1056</f>
        <v>0</v>
      </c>
      <c r="N1057" s="18"/>
      <c r="O1057" s="18">
        <f>'RW predict'!H1056</f>
        <v>0</v>
      </c>
      <c r="P1057" s="18">
        <f>'RW predict'!I1056</f>
        <v>0</v>
      </c>
      <c r="Q1057" s="18">
        <f>'RW predict'!L1056</f>
        <v>0</v>
      </c>
      <c r="R1057" s="18">
        <f>'RW predict'!N1056</f>
        <v>0</v>
      </c>
      <c r="S1057" s="76">
        <f>'RW predict'!O1056</f>
        <v>0</v>
      </c>
      <c r="T1057" s="76">
        <f>'RW predict'!K1056</f>
        <v>0</v>
      </c>
      <c r="U1057" s="22">
        <f>'RW predict'!J1056</f>
        <v>0</v>
      </c>
      <c r="V1057" s="32">
        <f>IF(D1057="G",'RW predict'!E1056,0)</f>
        <v>0</v>
      </c>
      <c r="W1057" s="18">
        <f>'RW predict'!R1056</f>
        <v>0</v>
      </c>
      <c r="X1057" s="18">
        <f>'RW predict'!T1056</f>
        <v>0</v>
      </c>
      <c r="Y1057" s="18">
        <f>'RW predict'!Y1056</f>
        <v>0</v>
      </c>
      <c r="Z1057" s="18">
        <f>'RW predict'!U1056</f>
        <v>7</v>
      </c>
      <c r="AA1057" s="18">
        <f>'RW predict'!W1056</f>
        <v>52</v>
      </c>
    </row>
    <row r="1058" spans="1:27" x14ac:dyDescent="0.3">
      <c r="A1058" s="18">
        <v>1055</v>
      </c>
      <c r="B1058" s="18" t="str">
        <f>'RW predict'!A1057</f>
        <v>Anton Forsberg</v>
      </c>
      <c r="C1058" s="18" t="str">
        <f>'RW predict'!B1057</f>
        <v>OTT</v>
      </c>
      <c r="D1058" s="22" t="str" cm="1">
        <f t="array" ref="D1058">_xlfn.SWITCH('RW predict'!C1057, "C", "F", "LW","F", "RW", "F", "D", "D", "G", "G", "other")</f>
        <v>G</v>
      </c>
      <c r="E1058" s="32">
        <f t="shared" si="32"/>
        <v>1448</v>
      </c>
      <c r="F1058" s="35">
        <f>E1058/assumptions!$B$2</f>
        <v>17.658536585365855</v>
      </c>
      <c r="G1058" s="36">
        <f t="shared" si="33"/>
        <v>311</v>
      </c>
      <c r="H1058" s="18">
        <f>IF(NOT(D1058="G"),'RW predict'!E1057,0)</f>
        <v>0</v>
      </c>
      <c r="I1058" s="18">
        <f>'RW predict'!Q1057</f>
        <v>0</v>
      </c>
      <c r="J1058" s="18">
        <f>'RW predict'!F1057</f>
        <v>0</v>
      </c>
      <c r="K1058" s="18"/>
      <c r="L1058" s="18"/>
      <c r="M1058" s="18">
        <f>'RW predict'!P1057</f>
        <v>0</v>
      </c>
      <c r="N1058" s="18"/>
      <c r="O1058" s="18">
        <f>'RW predict'!H1057</f>
        <v>0</v>
      </c>
      <c r="P1058" s="18">
        <f>'RW predict'!I1057</f>
        <v>2</v>
      </c>
      <c r="Q1058" s="18">
        <f>'RW predict'!L1057</f>
        <v>0</v>
      </c>
      <c r="R1058" s="18">
        <f>'RW predict'!N1057</f>
        <v>0</v>
      </c>
      <c r="S1058" s="76">
        <f>'RW predict'!O1057</f>
        <v>0</v>
      </c>
      <c r="T1058" s="76">
        <f>'RW predict'!K1057</f>
        <v>0</v>
      </c>
      <c r="U1058" s="22">
        <f>'RW predict'!J1057</f>
        <v>0</v>
      </c>
      <c r="V1058" s="32">
        <f>IF(D1058="G",'RW predict'!E1057,0)</f>
        <v>0</v>
      </c>
      <c r="W1058" s="18">
        <f>'RW predict'!R1057</f>
        <v>16</v>
      </c>
      <c r="X1058" s="18">
        <f>'RW predict'!T1057</f>
        <v>4</v>
      </c>
      <c r="Y1058" s="18">
        <f>'RW predict'!Y1057</f>
        <v>2</v>
      </c>
      <c r="Z1058" s="18">
        <f>'RW predict'!U1057</f>
        <v>98</v>
      </c>
      <c r="AA1058" s="18">
        <f>'RW predict'!W1057</f>
        <v>1046</v>
      </c>
    </row>
    <row r="1059" spans="1:27" x14ac:dyDescent="0.3">
      <c r="A1059" s="18">
        <v>1056</v>
      </c>
      <c r="B1059" s="18" t="str">
        <f>'RW predict'!A1058</f>
        <v>Michael Houser</v>
      </c>
      <c r="C1059" s="18" t="str">
        <f>'RW predict'!B1058</f>
        <v>FA</v>
      </c>
      <c r="D1059" s="22" t="str" cm="1">
        <f t="array" ref="D1059">_xlfn.SWITCH('RW predict'!C1058, "C", "F", "LW","F", "RW", "F", "D", "D", "G", "G", "other")</f>
        <v>G</v>
      </c>
      <c r="E1059" s="32">
        <f t="shared" si="32"/>
        <v>170</v>
      </c>
      <c r="F1059" s="35">
        <f>E1059/assumptions!$B$2</f>
        <v>2.0731707317073171</v>
      </c>
      <c r="G1059" s="36">
        <f t="shared" si="33"/>
        <v>848</v>
      </c>
      <c r="H1059" s="18">
        <f>IF(NOT(D1059="G"),'RW predict'!E1058,0)</f>
        <v>0</v>
      </c>
      <c r="I1059" s="18">
        <f>'RW predict'!Q1058</f>
        <v>0</v>
      </c>
      <c r="J1059" s="18">
        <f>'RW predict'!F1058</f>
        <v>0</v>
      </c>
      <c r="K1059" s="18"/>
      <c r="L1059" s="18"/>
      <c r="M1059" s="18">
        <f>'RW predict'!P1058</f>
        <v>0</v>
      </c>
      <c r="N1059" s="18"/>
      <c r="O1059" s="18">
        <f>'RW predict'!H1058</f>
        <v>0</v>
      </c>
      <c r="P1059" s="18">
        <f>'RW predict'!I1058</f>
        <v>0</v>
      </c>
      <c r="Q1059" s="18">
        <f>'RW predict'!L1058</f>
        <v>0</v>
      </c>
      <c r="R1059" s="18">
        <f>'RW predict'!N1058</f>
        <v>0</v>
      </c>
      <c r="S1059" s="76">
        <f>'RW predict'!O1058</f>
        <v>0</v>
      </c>
      <c r="T1059" s="76">
        <f>'RW predict'!K1058</f>
        <v>0</v>
      </c>
      <c r="U1059" s="22">
        <f>'RW predict'!J1058</f>
        <v>0</v>
      </c>
      <c r="V1059" s="32">
        <f>IF(D1059="G",'RW predict'!E1058,0)</f>
        <v>0</v>
      </c>
      <c r="W1059" s="18">
        <f>'RW predict'!R1058</f>
        <v>2</v>
      </c>
      <c r="X1059" s="18">
        <f>'RW predict'!T1058</f>
        <v>0</v>
      </c>
      <c r="Y1059" s="18">
        <f>'RW predict'!Y1058</f>
        <v>0</v>
      </c>
      <c r="Z1059" s="18">
        <f>'RW predict'!U1058</f>
        <v>6</v>
      </c>
      <c r="AA1059" s="18">
        <f>'RW predict'!W1058</f>
        <v>90</v>
      </c>
    </row>
    <row r="1060" spans="1:27" x14ac:dyDescent="0.3">
      <c r="A1060" s="18">
        <v>1057</v>
      </c>
      <c r="B1060" s="18" t="str">
        <f>'RW predict'!A1059</f>
        <v>Steven Fogarty</v>
      </c>
      <c r="C1060" s="18" t="str">
        <f>'RW predict'!B1059</f>
        <v>MIN</v>
      </c>
      <c r="D1060" s="22" t="str" cm="1">
        <f t="array" ref="D1060">_xlfn.SWITCH('RW predict'!C1059, "C", "F", "LW","F", "RW", "F", "D", "D", "G", "G", "other")</f>
        <v>F</v>
      </c>
      <c r="E1060" s="32">
        <f t="shared" si="32"/>
        <v>4</v>
      </c>
      <c r="F1060" s="35">
        <f>E1060/assumptions!$B$2</f>
        <v>4.878048780487805E-2</v>
      </c>
      <c r="G1060" s="36">
        <f t="shared" si="33"/>
        <v>1055</v>
      </c>
      <c r="H1060" s="18">
        <f>IF(NOT(D1060="G"),'RW predict'!E1059,0)</f>
        <v>0</v>
      </c>
      <c r="I1060" s="18">
        <f>'RW predict'!Q1059</f>
        <v>1</v>
      </c>
      <c r="J1060" s="18">
        <f>'RW predict'!F1059</f>
        <v>0</v>
      </c>
      <c r="K1060" s="18"/>
      <c r="L1060" s="18"/>
      <c r="M1060" s="18">
        <f>'RW predict'!P1059</f>
        <v>2</v>
      </c>
      <c r="N1060" s="18"/>
      <c r="O1060" s="18">
        <f>'RW predict'!H1059</f>
        <v>-1</v>
      </c>
      <c r="P1060" s="18">
        <f>'RW predict'!I1059</f>
        <v>2</v>
      </c>
      <c r="Q1060" s="18">
        <f>'RW predict'!L1059</f>
        <v>0</v>
      </c>
      <c r="R1060" s="18">
        <f>'RW predict'!N1059</f>
        <v>0</v>
      </c>
      <c r="S1060" s="76">
        <f>'RW predict'!O1059</f>
        <v>0</v>
      </c>
      <c r="T1060" s="76">
        <f>'RW predict'!K1059</f>
        <v>0</v>
      </c>
      <c r="U1060" s="22">
        <f>'RW predict'!J1059</f>
        <v>2</v>
      </c>
      <c r="V1060" s="32">
        <f>IF(D1060="G",'RW predict'!E1059,0)</f>
        <v>0</v>
      </c>
      <c r="W1060" s="18">
        <f>'RW predict'!R1059</f>
        <v>0</v>
      </c>
      <c r="X1060" s="18">
        <f>'RW predict'!T1059</f>
        <v>0</v>
      </c>
      <c r="Y1060" s="18">
        <f>'RW predict'!Y1059</f>
        <v>0</v>
      </c>
      <c r="Z1060" s="18">
        <f>'RW predict'!U1059</f>
        <v>0</v>
      </c>
      <c r="AA1060" s="18">
        <f>'RW predict'!W1059</f>
        <v>0</v>
      </c>
    </row>
    <row r="1061" spans="1:27" x14ac:dyDescent="0.3">
      <c r="A1061" s="18">
        <v>1058</v>
      </c>
      <c r="B1061" s="18" t="str">
        <f>'RW predict'!A1060</f>
        <v>Louis Domingue</v>
      </c>
      <c r="C1061" s="18" t="str">
        <f>'RW predict'!B1060</f>
        <v>NYR</v>
      </c>
      <c r="D1061" s="22" t="str" cm="1">
        <f t="array" ref="D1061">_xlfn.SWITCH('RW predict'!C1060, "C", "F", "LW","F", "RW", "F", "D", "D", "G", "G", "other")</f>
        <v>G</v>
      </c>
      <c r="E1061" s="32">
        <f t="shared" si="32"/>
        <v>122</v>
      </c>
      <c r="F1061" s="35">
        <f>E1061/assumptions!$B$2</f>
        <v>1.4878048780487805</v>
      </c>
      <c r="G1061" s="36">
        <f t="shared" si="33"/>
        <v>884</v>
      </c>
      <c r="H1061" s="18">
        <f>IF(NOT(D1061="G"),'RW predict'!E1060,0)</f>
        <v>0</v>
      </c>
      <c r="I1061" s="18">
        <f>'RW predict'!Q1060</f>
        <v>0</v>
      </c>
      <c r="J1061" s="18">
        <f>'RW predict'!F1060</f>
        <v>0</v>
      </c>
      <c r="K1061" s="18"/>
      <c r="L1061" s="18"/>
      <c r="M1061" s="18">
        <f>'RW predict'!P1060</f>
        <v>0</v>
      </c>
      <c r="N1061" s="18"/>
      <c r="O1061" s="18">
        <f>'RW predict'!H1060</f>
        <v>0</v>
      </c>
      <c r="P1061" s="18">
        <f>'RW predict'!I1060</f>
        <v>0</v>
      </c>
      <c r="Q1061" s="18">
        <f>'RW predict'!L1060</f>
        <v>0</v>
      </c>
      <c r="R1061" s="18">
        <f>'RW predict'!N1060</f>
        <v>0</v>
      </c>
      <c r="S1061" s="76">
        <f>'RW predict'!O1060</f>
        <v>0</v>
      </c>
      <c r="T1061" s="76">
        <f>'RW predict'!K1060</f>
        <v>0</v>
      </c>
      <c r="U1061" s="22">
        <f>'RW predict'!J1060</f>
        <v>0</v>
      </c>
      <c r="V1061" s="32">
        <f>IF(D1061="G",'RW predict'!E1060,0)</f>
        <v>0</v>
      </c>
      <c r="W1061" s="18">
        <f>'RW predict'!R1060</f>
        <v>1</v>
      </c>
      <c r="X1061" s="18">
        <f>'RW predict'!T1060</f>
        <v>1</v>
      </c>
      <c r="Y1061" s="18">
        <f>'RW predict'!Y1060</f>
        <v>0</v>
      </c>
      <c r="Z1061" s="18">
        <f>'RW predict'!U1060</f>
        <v>10</v>
      </c>
      <c r="AA1061" s="18">
        <f>'RW predict'!W1060</f>
        <v>106</v>
      </c>
    </row>
    <row r="1062" spans="1:27" x14ac:dyDescent="0.3">
      <c r="A1062" s="18">
        <v>1059</v>
      </c>
      <c r="B1062" s="18" t="str">
        <f>'RW predict'!A1061</f>
        <v>Andy Andreoff</v>
      </c>
      <c r="C1062" s="18" t="str">
        <f>'RW predict'!B1061</f>
        <v>NYI</v>
      </c>
      <c r="D1062" s="22" t="str" cm="1">
        <f t="array" ref="D1062">_xlfn.SWITCH('RW predict'!C1061, "C", "F", "LW","F", "RW", "F", "D", "D", "G", "G", "other")</f>
        <v>F</v>
      </c>
      <c r="E1062" s="32">
        <f t="shared" si="32"/>
        <v>7</v>
      </c>
      <c r="F1062" s="35">
        <f>E1062/assumptions!$B$2</f>
        <v>8.5365853658536592E-2</v>
      </c>
      <c r="G1062" s="36">
        <f t="shared" si="33"/>
        <v>1051</v>
      </c>
      <c r="H1062" s="18">
        <f>IF(NOT(D1062="G"),'RW predict'!E1061,0)</f>
        <v>0</v>
      </c>
      <c r="I1062" s="18">
        <f>'RW predict'!Q1061</f>
        <v>0</v>
      </c>
      <c r="J1062" s="18">
        <f>'RW predict'!F1061</f>
        <v>0</v>
      </c>
      <c r="K1062" s="18"/>
      <c r="L1062" s="18"/>
      <c r="M1062" s="18">
        <f>'RW predict'!P1061</f>
        <v>5</v>
      </c>
      <c r="N1062" s="18"/>
      <c r="O1062" s="18">
        <f>'RW predict'!H1061</f>
        <v>-1</v>
      </c>
      <c r="P1062" s="18">
        <f>'RW predict'!I1061</f>
        <v>2</v>
      </c>
      <c r="Q1062" s="18">
        <f>'RW predict'!L1061</f>
        <v>0</v>
      </c>
      <c r="R1062" s="18">
        <f>'RW predict'!N1061</f>
        <v>0</v>
      </c>
      <c r="S1062" s="76">
        <f>'RW predict'!O1061</f>
        <v>0</v>
      </c>
      <c r="T1062" s="76">
        <f>'RW predict'!K1061</f>
        <v>0</v>
      </c>
      <c r="U1062" s="22">
        <f>'RW predict'!J1061</f>
        <v>3</v>
      </c>
      <c r="V1062" s="32">
        <f>IF(D1062="G",'RW predict'!E1061,0)</f>
        <v>0</v>
      </c>
      <c r="W1062" s="18">
        <f>'RW predict'!R1061</f>
        <v>0</v>
      </c>
      <c r="X1062" s="18">
        <f>'RW predict'!T1061</f>
        <v>0</v>
      </c>
      <c r="Y1062" s="18">
        <f>'RW predict'!Y1061</f>
        <v>0</v>
      </c>
      <c r="Z1062" s="18">
        <f>'RW predict'!U1061</f>
        <v>0</v>
      </c>
      <c r="AA1062" s="18">
        <f>'RW predict'!W1061</f>
        <v>0</v>
      </c>
    </row>
    <row r="1063" spans="1:27" x14ac:dyDescent="0.3">
      <c r="A1063" s="18">
        <v>1060</v>
      </c>
      <c r="B1063" s="18" t="str">
        <f>'RW predict'!A1062</f>
        <v>Jordan Binnington</v>
      </c>
      <c r="C1063" s="18" t="str">
        <f>'RW predict'!B1062</f>
        <v>STL</v>
      </c>
      <c r="D1063" s="22" t="str" cm="1">
        <f t="array" ref="D1063">_xlfn.SWITCH('RW predict'!C1062, "C", "F", "LW","F", "RW", "F", "D", "D", "G", "G", "other")</f>
        <v>G</v>
      </c>
      <c r="E1063" s="32">
        <f t="shared" si="32"/>
        <v>2284</v>
      </c>
      <c r="F1063" s="35">
        <f>E1063/assumptions!$B$2</f>
        <v>27.853658536585368</v>
      </c>
      <c r="G1063" s="36">
        <f t="shared" si="33"/>
        <v>114</v>
      </c>
      <c r="H1063" s="18">
        <f>IF(NOT(D1063="G"),'RW predict'!E1062,0)</f>
        <v>0</v>
      </c>
      <c r="I1063" s="18">
        <f>'RW predict'!Q1062</f>
        <v>0</v>
      </c>
      <c r="J1063" s="18">
        <f>'RW predict'!F1062</f>
        <v>0</v>
      </c>
      <c r="K1063" s="18"/>
      <c r="L1063" s="18"/>
      <c r="M1063" s="18">
        <f>'RW predict'!P1062</f>
        <v>0</v>
      </c>
      <c r="N1063" s="18"/>
      <c r="O1063" s="18">
        <f>'RW predict'!H1062</f>
        <v>0</v>
      </c>
      <c r="P1063" s="18">
        <f>'RW predict'!I1062</f>
        <v>11</v>
      </c>
      <c r="Q1063" s="18">
        <f>'RW predict'!L1062</f>
        <v>0</v>
      </c>
      <c r="R1063" s="18">
        <f>'RW predict'!N1062</f>
        <v>0</v>
      </c>
      <c r="S1063" s="76">
        <f>'RW predict'!O1062</f>
        <v>0</v>
      </c>
      <c r="T1063" s="76">
        <f>'RW predict'!K1062</f>
        <v>0</v>
      </c>
      <c r="U1063" s="22">
        <f>'RW predict'!J1062</f>
        <v>0</v>
      </c>
      <c r="V1063" s="32">
        <f>IF(D1063="G",'RW predict'!E1062,0)</f>
        <v>0</v>
      </c>
      <c r="W1063" s="18">
        <f>'RW predict'!R1062</f>
        <v>31</v>
      </c>
      <c r="X1063" s="18">
        <f>'RW predict'!T1062</f>
        <v>4</v>
      </c>
      <c r="Y1063" s="18">
        <f>'RW predict'!Y1062</f>
        <v>3</v>
      </c>
      <c r="Z1063" s="18">
        <f>'RW predict'!U1062</f>
        <v>133</v>
      </c>
      <c r="AA1063" s="18">
        <f>'RW predict'!W1062</f>
        <v>1388</v>
      </c>
    </row>
    <row r="1064" spans="1:27" x14ac:dyDescent="0.3">
      <c r="A1064" s="18">
        <v>1061</v>
      </c>
      <c r="B1064" s="18" t="str">
        <f>'RW predict'!A1063</f>
        <v>Kyle Rau</v>
      </c>
      <c r="C1064" s="18" t="str">
        <f>'RW predict'!B1063</f>
        <v>FA</v>
      </c>
      <c r="D1064" s="22" t="str" cm="1">
        <f t="array" ref="D1064">_xlfn.SWITCH('RW predict'!C1063, "C", "F", "LW","F", "RW", "F", "D", "D", "G", "G", "other")</f>
        <v>F</v>
      </c>
      <c r="E1064" s="32">
        <f t="shared" si="32"/>
        <v>4</v>
      </c>
      <c r="F1064" s="35">
        <f>E1064/assumptions!$B$2</f>
        <v>4.878048780487805E-2</v>
      </c>
      <c r="G1064" s="36">
        <f t="shared" si="33"/>
        <v>1055</v>
      </c>
      <c r="H1064" s="18">
        <f>IF(NOT(D1064="G"),'RW predict'!E1063,0)</f>
        <v>0</v>
      </c>
      <c r="I1064" s="18">
        <f>'RW predict'!Q1063</f>
        <v>3</v>
      </c>
      <c r="J1064" s="18">
        <f>'RW predict'!F1063</f>
        <v>0</v>
      </c>
      <c r="K1064" s="18"/>
      <c r="L1064" s="18"/>
      <c r="M1064" s="18">
        <f>'RW predict'!P1063</f>
        <v>10</v>
      </c>
      <c r="N1064" s="18"/>
      <c r="O1064" s="18">
        <f>'RW predict'!H1063</f>
        <v>-3</v>
      </c>
      <c r="P1064" s="18">
        <f>'RW predict'!I1063</f>
        <v>2</v>
      </c>
      <c r="Q1064" s="18">
        <f>'RW predict'!L1063</f>
        <v>0</v>
      </c>
      <c r="R1064" s="18">
        <f>'RW predict'!N1063</f>
        <v>0</v>
      </c>
      <c r="S1064" s="76">
        <f>'RW predict'!O1063</f>
        <v>0</v>
      </c>
      <c r="T1064" s="76">
        <f>'RW predict'!K1063</f>
        <v>0</v>
      </c>
      <c r="U1064" s="22">
        <f>'RW predict'!J1063</f>
        <v>6</v>
      </c>
      <c r="V1064" s="32">
        <f>IF(D1064="G",'RW predict'!E1063,0)</f>
        <v>0</v>
      </c>
      <c r="W1064" s="18">
        <f>'RW predict'!R1063</f>
        <v>0</v>
      </c>
      <c r="X1064" s="18">
        <f>'RW predict'!T1063</f>
        <v>0</v>
      </c>
      <c r="Y1064" s="18">
        <f>'RW predict'!Y1063</f>
        <v>0</v>
      </c>
      <c r="Z1064" s="18">
        <f>'RW predict'!U1063</f>
        <v>0</v>
      </c>
      <c r="AA1064" s="18">
        <f>'RW predict'!W1063</f>
        <v>0</v>
      </c>
    </row>
    <row r="1065" spans="1:27" x14ac:dyDescent="0.3">
      <c r="A1065" s="18">
        <v>1062</v>
      </c>
      <c r="B1065" s="18" t="str">
        <f>'RW predict'!A1064</f>
        <v>Petr Mrazek</v>
      </c>
      <c r="C1065" s="18" t="str">
        <f>'RW predict'!B1064</f>
        <v>CHI</v>
      </c>
      <c r="D1065" s="22" t="str" cm="1">
        <f t="array" ref="D1065">_xlfn.SWITCH('RW predict'!C1064, "C", "F", "LW","F", "RW", "F", "D", "D", "G", "G", "other")</f>
        <v>G</v>
      </c>
      <c r="E1065" s="32">
        <f t="shared" si="32"/>
        <v>871</v>
      </c>
      <c r="F1065" s="35">
        <f>E1065/assumptions!$B$2</f>
        <v>10.621951219512194</v>
      </c>
      <c r="G1065" s="36">
        <f t="shared" si="33"/>
        <v>539</v>
      </c>
      <c r="H1065" s="18">
        <f>IF(NOT(D1065="G"),'RW predict'!E1064,0)</f>
        <v>0</v>
      </c>
      <c r="I1065" s="18">
        <f>'RW predict'!Q1064</f>
        <v>0</v>
      </c>
      <c r="J1065" s="18">
        <f>'RW predict'!F1064</f>
        <v>0</v>
      </c>
      <c r="K1065" s="18"/>
      <c r="L1065" s="18"/>
      <c r="M1065" s="18">
        <f>'RW predict'!P1064</f>
        <v>0</v>
      </c>
      <c r="N1065" s="18"/>
      <c r="O1065" s="18">
        <f>'RW predict'!H1064</f>
        <v>0</v>
      </c>
      <c r="P1065" s="18">
        <f>'RW predict'!I1064</f>
        <v>0</v>
      </c>
      <c r="Q1065" s="18">
        <f>'RW predict'!L1064</f>
        <v>0</v>
      </c>
      <c r="R1065" s="18">
        <f>'RW predict'!N1064</f>
        <v>0</v>
      </c>
      <c r="S1065" s="76">
        <f>'RW predict'!O1064</f>
        <v>0</v>
      </c>
      <c r="T1065" s="76">
        <f>'RW predict'!K1064</f>
        <v>0</v>
      </c>
      <c r="U1065" s="22">
        <f>'RW predict'!J1064</f>
        <v>0</v>
      </c>
      <c r="V1065" s="32">
        <f>IF(D1065="G",'RW predict'!E1064,0)</f>
        <v>0</v>
      </c>
      <c r="W1065" s="18">
        <f>'RW predict'!R1064</f>
        <v>12</v>
      </c>
      <c r="X1065" s="18">
        <f>'RW predict'!T1064</f>
        <v>6</v>
      </c>
      <c r="Y1065" s="18">
        <f>'RW predict'!Y1064</f>
        <v>1</v>
      </c>
      <c r="Z1065" s="18">
        <f>'RW predict'!U1064</f>
        <v>151</v>
      </c>
      <c r="AA1065" s="18">
        <f>'RW predict'!W1064</f>
        <v>1243</v>
      </c>
    </row>
    <row r="1066" spans="1:27" x14ac:dyDescent="0.3">
      <c r="A1066" s="18">
        <v>1063</v>
      </c>
      <c r="B1066" s="18" t="str">
        <f>'RW predict'!A1065</f>
        <v>Scott Wedgewood</v>
      </c>
      <c r="C1066" s="18" t="str">
        <f>'RW predict'!B1065</f>
        <v>DAL</v>
      </c>
      <c r="D1066" s="22" t="str" cm="1">
        <f t="array" ref="D1066">_xlfn.SWITCH('RW predict'!C1065, "C", "F", "LW","F", "RW", "F", "D", "D", "G", "G", "other")</f>
        <v>G</v>
      </c>
      <c r="E1066" s="32">
        <f t="shared" si="32"/>
        <v>903</v>
      </c>
      <c r="F1066" s="35">
        <f>E1066/assumptions!$B$2</f>
        <v>11.012195121951219</v>
      </c>
      <c r="G1066" s="36">
        <f t="shared" si="33"/>
        <v>529</v>
      </c>
      <c r="H1066" s="18">
        <f>IF(NOT(D1066="G"),'RW predict'!E1065,0)</f>
        <v>0</v>
      </c>
      <c r="I1066" s="18">
        <f>'RW predict'!Q1065</f>
        <v>0</v>
      </c>
      <c r="J1066" s="18">
        <f>'RW predict'!F1065</f>
        <v>0</v>
      </c>
      <c r="K1066" s="18"/>
      <c r="L1066" s="18"/>
      <c r="M1066" s="18">
        <f>'RW predict'!P1065</f>
        <v>0</v>
      </c>
      <c r="N1066" s="18"/>
      <c r="O1066" s="18">
        <f>'RW predict'!H1065</f>
        <v>0</v>
      </c>
      <c r="P1066" s="18">
        <f>'RW predict'!I1065</f>
        <v>0</v>
      </c>
      <c r="Q1066" s="18">
        <f>'RW predict'!L1065</f>
        <v>0</v>
      </c>
      <c r="R1066" s="18">
        <f>'RW predict'!N1065</f>
        <v>0</v>
      </c>
      <c r="S1066" s="76">
        <f>'RW predict'!O1065</f>
        <v>0</v>
      </c>
      <c r="T1066" s="76">
        <f>'RW predict'!K1065</f>
        <v>0</v>
      </c>
      <c r="U1066" s="22">
        <f>'RW predict'!J1065</f>
        <v>0</v>
      </c>
      <c r="V1066" s="32">
        <f>IF(D1066="G",'RW predict'!E1065,0)</f>
        <v>0</v>
      </c>
      <c r="W1066" s="18">
        <f>'RW predict'!R1065</f>
        <v>11</v>
      </c>
      <c r="X1066" s="18">
        <f>'RW predict'!T1065</f>
        <v>3</v>
      </c>
      <c r="Y1066" s="18">
        <f>'RW predict'!Y1065</f>
        <v>1</v>
      </c>
      <c r="Z1066" s="18">
        <f>'RW predict'!U1065</f>
        <v>57</v>
      </c>
      <c r="AA1066" s="18">
        <f>'RW predict'!W1065</f>
        <v>604</v>
      </c>
    </row>
    <row r="1067" spans="1:27" x14ac:dyDescent="0.3">
      <c r="A1067" s="18">
        <v>1064</v>
      </c>
      <c r="B1067" s="18" t="str">
        <f>'RW predict'!A1066</f>
        <v>Keith Kinkaid</v>
      </c>
      <c r="C1067" s="18" t="str">
        <f>'RW predict'!B1066</f>
        <v>BOS</v>
      </c>
      <c r="D1067" s="22" t="str" cm="1">
        <f t="array" ref="D1067">_xlfn.SWITCH('RW predict'!C1066, "C", "F", "LW","F", "RW", "F", "D", "D", "G", "G", "other")</f>
        <v>G</v>
      </c>
      <c r="E1067" s="32">
        <f t="shared" si="32"/>
        <v>90</v>
      </c>
      <c r="F1067" s="35">
        <f>E1067/assumptions!$B$2</f>
        <v>1.0975609756097562</v>
      </c>
      <c r="G1067" s="36">
        <f t="shared" si="33"/>
        <v>927</v>
      </c>
      <c r="H1067" s="18">
        <f>IF(NOT(D1067="G"),'RW predict'!E1066,0)</f>
        <v>0</v>
      </c>
      <c r="I1067" s="18">
        <f>'RW predict'!Q1066</f>
        <v>0</v>
      </c>
      <c r="J1067" s="18">
        <f>'RW predict'!F1066</f>
        <v>0</v>
      </c>
      <c r="K1067" s="18"/>
      <c r="L1067" s="18"/>
      <c r="M1067" s="18">
        <f>'RW predict'!P1066</f>
        <v>0</v>
      </c>
      <c r="N1067" s="18"/>
      <c r="O1067" s="18">
        <f>'RW predict'!H1066</f>
        <v>0</v>
      </c>
      <c r="P1067" s="18">
        <f>'RW predict'!I1066</f>
        <v>0</v>
      </c>
      <c r="Q1067" s="18">
        <f>'RW predict'!L1066</f>
        <v>0</v>
      </c>
      <c r="R1067" s="18">
        <f>'RW predict'!N1066</f>
        <v>0</v>
      </c>
      <c r="S1067" s="76">
        <f>'RW predict'!O1066</f>
        <v>0</v>
      </c>
      <c r="T1067" s="76">
        <f>'RW predict'!K1066</f>
        <v>0</v>
      </c>
      <c r="U1067" s="22">
        <f>'RW predict'!J1066</f>
        <v>0</v>
      </c>
      <c r="V1067" s="32">
        <f>IF(D1067="G",'RW predict'!E1066,0)</f>
        <v>0</v>
      </c>
      <c r="W1067" s="18">
        <f>'RW predict'!R1066</f>
        <v>2</v>
      </c>
      <c r="X1067" s="18">
        <f>'RW predict'!T1066</f>
        <v>0</v>
      </c>
      <c r="Y1067" s="18">
        <f>'RW predict'!Y1066</f>
        <v>0</v>
      </c>
      <c r="Z1067" s="18">
        <f>'RW predict'!U1066</f>
        <v>6</v>
      </c>
      <c r="AA1067" s="18">
        <f>'RW predict'!W1066</f>
        <v>50</v>
      </c>
    </row>
    <row r="1068" spans="1:27" x14ac:dyDescent="0.3">
      <c r="A1068" s="18">
        <v>1065</v>
      </c>
      <c r="B1068" s="18" t="str">
        <f>'RW predict'!A1067</f>
        <v>Martin Jones</v>
      </c>
      <c r="C1068" s="18" t="str">
        <f>'RW predict'!B1067</f>
        <v>SEA</v>
      </c>
      <c r="D1068" s="22" t="str" cm="1">
        <f t="array" ref="D1068">_xlfn.SWITCH('RW predict'!C1067, "C", "F", "LW","F", "RW", "F", "D", "D", "G", "G", "other")</f>
        <v>G</v>
      </c>
      <c r="E1068" s="32">
        <f t="shared" si="32"/>
        <v>524</v>
      </c>
      <c r="F1068" s="35">
        <f>E1068/assumptions!$B$2</f>
        <v>6.3902439024390247</v>
      </c>
      <c r="G1068" s="36">
        <f t="shared" si="33"/>
        <v>670</v>
      </c>
      <c r="H1068" s="18">
        <f>IF(NOT(D1068="G"),'RW predict'!E1067,0)</f>
        <v>0</v>
      </c>
      <c r="I1068" s="18">
        <f>'RW predict'!Q1067</f>
        <v>0</v>
      </c>
      <c r="J1068" s="18">
        <f>'RW predict'!F1067</f>
        <v>0</v>
      </c>
      <c r="K1068" s="18"/>
      <c r="L1068" s="18"/>
      <c r="M1068" s="18">
        <f>'RW predict'!P1067</f>
        <v>0</v>
      </c>
      <c r="N1068" s="18"/>
      <c r="O1068" s="18">
        <f>'RW predict'!H1067</f>
        <v>0</v>
      </c>
      <c r="P1068" s="18">
        <f>'RW predict'!I1067</f>
        <v>0</v>
      </c>
      <c r="Q1068" s="18">
        <f>'RW predict'!L1067</f>
        <v>0</v>
      </c>
      <c r="R1068" s="18">
        <f>'RW predict'!N1067</f>
        <v>0</v>
      </c>
      <c r="S1068" s="76">
        <f>'RW predict'!O1067</f>
        <v>0</v>
      </c>
      <c r="T1068" s="76">
        <f>'RW predict'!K1067</f>
        <v>0</v>
      </c>
      <c r="U1068" s="22">
        <f>'RW predict'!J1067</f>
        <v>0</v>
      </c>
      <c r="V1068" s="32">
        <f>IF(D1068="G",'RW predict'!E1067,0)</f>
        <v>0</v>
      </c>
      <c r="W1068" s="18">
        <f>'RW predict'!R1067</f>
        <v>8</v>
      </c>
      <c r="X1068" s="18">
        <f>'RW predict'!T1067</f>
        <v>1</v>
      </c>
      <c r="Y1068" s="18">
        <f>'RW predict'!Y1067</f>
        <v>1</v>
      </c>
      <c r="Z1068" s="18">
        <f>'RW predict'!U1067</f>
        <v>76</v>
      </c>
      <c r="AA1068" s="18">
        <f>'RW predict'!W1067</f>
        <v>637</v>
      </c>
    </row>
    <row r="1069" spans="1:27" x14ac:dyDescent="0.3">
      <c r="A1069" s="18">
        <v>1066</v>
      </c>
      <c r="B1069" s="18" t="str">
        <f>'RW predict'!A1068</f>
        <v>Darcy Kuemper</v>
      </c>
      <c r="C1069" s="18" t="str">
        <f>'RW predict'!B1068</f>
        <v>WAS</v>
      </c>
      <c r="D1069" s="22" t="str" cm="1">
        <f t="array" ref="D1069">_xlfn.SWITCH('RW predict'!C1068, "C", "F", "LW","F", "RW", "F", "D", "D", "G", "G", "other")</f>
        <v>G</v>
      </c>
      <c r="E1069" s="32">
        <f t="shared" si="32"/>
        <v>2789</v>
      </c>
      <c r="F1069" s="35">
        <f>E1069/assumptions!$B$2</f>
        <v>34.012195121951223</v>
      </c>
      <c r="G1069" s="36">
        <f t="shared" si="33"/>
        <v>51</v>
      </c>
      <c r="H1069" s="18">
        <f>IF(NOT(D1069="G"),'RW predict'!E1068,0)</f>
        <v>0</v>
      </c>
      <c r="I1069" s="18">
        <f>'RW predict'!Q1068</f>
        <v>0</v>
      </c>
      <c r="J1069" s="18">
        <f>'RW predict'!F1068</f>
        <v>0</v>
      </c>
      <c r="K1069" s="18"/>
      <c r="L1069" s="18"/>
      <c r="M1069" s="18">
        <f>'RW predict'!P1068</f>
        <v>0</v>
      </c>
      <c r="N1069" s="18"/>
      <c r="O1069" s="18">
        <f>'RW predict'!H1068</f>
        <v>0</v>
      </c>
      <c r="P1069" s="18">
        <f>'RW predict'!I1068</f>
        <v>4</v>
      </c>
      <c r="Q1069" s="18">
        <f>'RW predict'!L1068</f>
        <v>0</v>
      </c>
      <c r="R1069" s="18">
        <f>'RW predict'!N1068</f>
        <v>0</v>
      </c>
      <c r="S1069" s="76">
        <f>'RW predict'!O1068</f>
        <v>0</v>
      </c>
      <c r="T1069" s="76">
        <f>'RW predict'!K1068</f>
        <v>0</v>
      </c>
      <c r="U1069" s="22">
        <f>'RW predict'!J1068</f>
        <v>1</v>
      </c>
      <c r="V1069" s="32">
        <f>IF(D1069="G",'RW predict'!E1068,0)</f>
        <v>0</v>
      </c>
      <c r="W1069" s="18">
        <f>'RW predict'!R1068</f>
        <v>35</v>
      </c>
      <c r="X1069" s="18">
        <f>'RW predict'!T1068</f>
        <v>5</v>
      </c>
      <c r="Y1069" s="18">
        <f>'RW predict'!Y1068</f>
        <v>5</v>
      </c>
      <c r="Z1069" s="18">
        <f>'RW predict'!U1068</f>
        <v>141</v>
      </c>
      <c r="AA1069" s="18">
        <f>'RW predict'!W1068</f>
        <v>1570</v>
      </c>
    </row>
    <row r="1070" spans="1:27" x14ac:dyDescent="0.3">
      <c r="A1070" s="18">
        <v>1067</v>
      </c>
      <c r="B1070" s="18" t="str">
        <f>'RW predict'!A1069</f>
        <v>James Reimer</v>
      </c>
      <c r="C1070" s="18" t="str">
        <f>'RW predict'!B1069</f>
        <v>SJ</v>
      </c>
      <c r="D1070" s="22" t="str" cm="1">
        <f t="array" ref="D1070">_xlfn.SWITCH('RW predict'!C1069, "C", "F", "LW","F", "RW", "F", "D", "D", "G", "G", "other")</f>
        <v>G</v>
      </c>
      <c r="E1070" s="32">
        <f t="shared" si="32"/>
        <v>1520</v>
      </c>
      <c r="F1070" s="35">
        <f>E1070/assumptions!$B$2</f>
        <v>18.536585365853657</v>
      </c>
      <c r="G1070" s="36">
        <f t="shared" si="33"/>
        <v>286</v>
      </c>
      <c r="H1070" s="18">
        <f>IF(NOT(D1070="G"),'RW predict'!E1069,0)</f>
        <v>0</v>
      </c>
      <c r="I1070" s="18">
        <f>'RW predict'!Q1069</f>
        <v>0</v>
      </c>
      <c r="J1070" s="18">
        <f>'RW predict'!F1069</f>
        <v>0</v>
      </c>
      <c r="K1070" s="18"/>
      <c r="L1070" s="18"/>
      <c r="M1070" s="18">
        <f>'RW predict'!P1069</f>
        <v>0</v>
      </c>
      <c r="N1070" s="18"/>
      <c r="O1070" s="18">
        <f>'RW predict'!H1069</f>
        <v>0</v>
      </c>
      <c r="P1070" s="18">
        <f>'RW predict'!I1069</f>
        <v>0</v>
      </c>
      <c r="Q1070" s="18">
        <f>'RW predict'!L1069</f>
        <v>0</v>
      </c>
      <c r="R1070" s="18">
        <f>'RW predict'!N1069</f>
        <v>0</v>
      </c>
      <c r="S1070" s="76">
        <f>'RW predict'!O1069</f>
        <v>0</v>
      </c>
      <c r="T1070" s="76">
        <f>'RW predict'!K1069</f>
        <v>0</v>
      </c>
      <c r="U1070" s="22">
        <f>'RW predict'!J1069</f>
        <v>0</v>
      </c>
      <c r="V1070" s="32">
        <f>IF(D1070="G",'RW predict'!E1069,0)</f>
        <v>0</v>
      </c>
      <c r="W1070" s="18">
        <f>'RW predict'!R1069</f>
        <v>15</v>
      </c>
      <c r="X1070" s="18">
        <f>'RW predict'!T1069</f>
        <v>7</v>
      </c>
      <c r="Y1070" s="18">
        <f>'RW predict'!Y1069</f>
        <v>2</v>
      </c>
      <c r="Z1070" s="18">
        <f>'RW predict'!U1069</f>
        <v>114</v>
      </c>
      <c r="AA1070" s="18">
        <f>'RW predict'!W1069</f>
        <v>1195</v>
      </c>
    </row>
    <row r="1071" spans="1:27" x14ac:dyDescent="0.3">
      <c r="A1071" s="18">
        <v>1068</v>
      </c>
      <c r="B1071" s="18" t="str">
        <f>'RW predict'!A1070</f>
        <v>Carter Hutton</v>
      </c>
      <c r="C1071" s="18" t="str">
        <f>'RW predict'!B1070</f>
        <v>FA</v>
      </c>
      <c r="D1071" s="22" t="str" cm="1">
        <f t="array" ref="D1071">_xlfn.SWITCH('RW predict'!C1070, "C", "F", "LW","F", "RW", "F", "D", "D", "G", "G", "other")</f>
        <v>G</v>
      </c>
      <c r="E1071" s="32">
        <f t="shared" si="32"/>
        <v>-28</v>
      </c>
      <c r="F1071" s="35">
        <f>E1071/assumptions!$B$2</f>
        <v>-0.34146341463414637</v>
      </c>
      <c r="G1071" s="36">
        <f t="shared" si="33"/>
        <v>1077</v>
      </c>
      <c r="H1071" s="18">
        <f>IF(NOT(D1071="G"),'RW predict'!E1070,0)</f>
        <v>0</v>
      </c>
      <c r="I1071" s="18">
        <f>'RW predict'!Q1070</f>
        <v>0</v>
      </c>
      <c r="J1071" s="18">
        <f>'RW predict'!F1070</f>
        <v>0</v>
      </c>
      <c r="K1071" s="18"/>
      <c r="L1071" s="18"/>
      <c r="M1071" s="18">
        <f>'RW predict'!P1070</f>
        <v>0</v>
      </c>
      <c r="N1071" s="18"/>
      <c r="O1071" s="18">
        <f>'RW predict'!H1070</f>
        <v>0</v>
      </c>
      <c r="P1071" s="18">
        <f>'RW predict'!I1070</f>
        <v>1</v>
      </c>
      <c r="Q1071" s="18">
        <f>'RW predict'!L1070</f>
        <v>0</v>
      </c>
      <c r="R1071" s="18">
        <f>'RW predict'!N1070</f>
        <v>0</v>
      </c>
      <c r="S1071" s="76">
        <f>'RW predict'!O1070</f>
        <v>0</v>
      </c>
      <c r="T1071" s="76">
        <f>'RW predict'!K1070</f>
        <v>0</v>
      </c>
      <c r="U1071" s="22">
        <f>'RW predict'!J1070</f>
        <v>0</v>
      </c>
      <c r="V1071" s="32">
        <f>IF(D1071="G",'RW predict'!E1070,0)</f>
        <v>0</v>
      </c>
      <c r="W1071" s="18">
        <f>'RW predict'!R1070</f>
        <v>1</v>
      </c>
      <c r="X1071" s="18">
        <f>'RW predict'!T1070</f>
        <v>0</v>
      </c>
      <c r="Y1071" s="18">
        <f>'RW predict'!Y1070</f>
        <v>0</v>
      </c>
      <c r="Z1071" s="18">
        <f>'RW predict'!U1070</f>
        <v>29</v>
      </c>
      <c r="AA1071" s="18">
        <f>'RW predict'!W1070</f>
        <v>182</v>
      </c>
    </row>
    <row r="1072" spans="1:27" x14ac:dyDescent="0.3">
      <c r="A1072" s="18">
        <v>1069</v>
      </c>
      <c r="B1072" s="18" t="str">
        <f>'RW predict'!A1071</f>
        <v>Jarred Tinordi</v>
      </c>
      <c r="C1072" s="18" t="str">
        <f>'RW predict'!B1071</f>
        <v>NYR</v>
      </c>
      <c r="D1072" s="22" t="str" cm="1">
        <f t="array" ref="D1072">_xlfn.SWITCH('RW predict'!C1071, "C", "F", "LW","F", "RW", "F", "D", "D", "G", "G", "other")</f>
        <v>D</v>
      </c>
      <c r="E1072" s="32">
        <f t="shared" si="32"/>
        <v>28</v>
      </c>
      <c r="F1072" s="35">
        <f>E1072/assumptions!$B$2</f>
        <v>0.34146341463414637</v>
      </c>
      <c r="G1072" s="36">
        <f t="shared" si="33"/>
        <v>1017</v>
      </c>
      <c r="H1072" s="18">
        <f>IF(NOT(D1072="G"),'RW predict'!E1071,0)</f>
        <v>0</v>
      </c>
      <c r="I1072" s="18">
        <f>'RW predict'!Q1071</f>
        <v>7</v>
      </c>
      <c r="J1072" s="18">
        <f>'RW predict'!F1071</f>
        <v>0</v>
      </c>
      <c r="K1072" s="18"/>
      <c r="L1072" s="18"/>
      <c r="M1072" s="18">
        <f>'RW predict'!P1071</f>
        <v>12</v>
      </c>
      <c r="N1072" s="18"/>
      <c r="O1072" s="18">
        <f>'RW predict'!H1071</f>
        <v>-2</v>
      </c>
      <c r="P1072" s="18">
        <f>'RW predict'!I1071</f>
        <v>4</v>
      </c>
      <c r="Q1072" s="18">
        <f>'RW predict'!L1071</f>
        <v>0</v>
      </c>
      <c r="R1072" s="18">
        <f>'RW predict'!N1071</f>
        <v>0</v>
      </c>
      <c r="S1072" s="76">
        <f>'RW predict'!O1071</f>
        <v>0</v>
      </c>
      <c r="T1072" s="76">
        <f>'RW predict'!K1071</f>
        <v>0</v>
      </c>
      <c r="U1072" s="22">
        <f>'RW predict'!J1071</f>
        <v>5</v>
      </c>
      <c r="V1072" s="32">
        <f>IF(D1072="G",'RW predict'!E1071,0)</f>
        <v>0</v>
      </c>
      <c r="W1072" s="18">
        <f>'RW predict'!R1071</f>
        <v>0</v>
      </c>
      <c r="X1072" s="18">
        <f>'RW predict'!T1071</f>
        <v>0</v>
      </c>
      <c r="Y1072" s="18">
        <f>'RW predict'!Y1071</f>
        <v>0</v>
      </c>
      <c r="Z1072" s="18">
        <f>'RW predict'!U1071</f>
        <v>0</v>
      </c>
      <c r="AA1072" s="18">
        <f>'RW predict'!W1071</f>
        <v>0</v>
      </c>
    </row>
    <row r="1073" spans="1:27" x14ac:dyDescent="0.3">
      <c r="A1073" s="18">
        <v>1070</v>
      </c>
      <c r="B1073" s="18" t="str">
        <f>'RW predict'!A1072</f>
        <v>Calvin Pickard</v>
      </c>
      <c r="C1073" s="18" t="str">
        <f>'RW predict'!B1072</f>
        <v>EDM</v>
      </c>
      <c r="D1073" s="22" t="str" cm="1">
        <f t="array" ref="D1073">_xlfn.SWITCH('RW predict'!C1072, "C", "F", "LW","F", "RW", "F", "D", "D", "G", "G", "other")</f>
        <v>G</v>
      </c>
      <c r="E1073" s="32">
        <f t="shared" si="32"/>
        <v>-2</v>
      </c>
      <c r="F1073" s="35">
        <f>E1073/assumptions!$B$2</f>
        <v>-2.4390243902439025E-2</v>
      </c>
      <c r="G1073" s="36">
        <f t="shared" si="33"/>
        <v>1067</v>
      </c>
      <c r="H1073" s="18">
        <f>IF(NOT(D1073="G"),'RW predict'!E1072,0)</f>
        <v>0</v>
      </c>
      <c r="I1073" s="18">
        <f>'RW predict'!Q1072</f>
        <v>0</v>
      </c>
      <c r="J1073" s="18">
        <f>'RW predict'!F1072</f>
        <v>0</v>
      </c>
      <c r="K1073" s="18"/>
      <c r="L1073" s="18"/>
      <c r="M1073" s="18">
        <f>'RW predict'!P1072</f>
        <v>0</v>
      </c>
      <c r="N1073" s="18"/>
      <c r="O1073" s="18">
        <f>'RW predict'!H1072</f>
        <v>0</v>
      </c>
      <c r="P1073" s="18">
        <f>'RW predict'!I1072</f>
        <v>0</v>
      </c>
      <c r="Q1073" s="18">
        <f>'RW predict'!L1072</f>
        <v>0</v>
      </c>
      <c r="R1073" s="18">
        <f>'RW predict'!N1072</f>
        <v>0</v>
      </c>
      <c r="S1073" s="76">
        <f>'RW predict'!O1072</f>
        <v>0</v>
      </c>
      <c r="T1073" s="76">
        <f>'RW predict'!K1072</f>
        <v>0</v>
      </c>
      <c r="U1073" s="22">
        <f>'RW predict'!J1072</f>
        <v>0</v>
      </c>
      <c r="V1073" s="32">
        <f>IF(D1073="G",'RW predict'!E1072,0)</f>
        <v>0</v>
      </c>
      <c r="W1073" s="18">
        <f>'RW predict'!R1072</f>
        <v>0</v>
      </c>
      <c r="X1073" s="18">
        <f>'RW predict'!T1072</f>
        <v>0</v>
      </c>
      <c r="Y1073" s="18">
        <f>'RW predict'!Y1072</f>
        <v>0</v>
      </c>
      <c r="Z1073" s="18">
        <f>'RW predict'!U1072</f>
        <v>10</v>
      </c>
      <c r="AA1073" s="18">
        <f>'RW predict'!W1072</f>
        <v>74</v>
      </c>
    </row>
    <row r="1074" spans="1:27" x14ac:dyDescent="0.3">
      <c r="A1074" s="18">
        <v>1071</v>
      </c>
      <c r="B1074" s="18" t="str">
        <f>'RW predict'!A1073</f>
        <v>Sergei Bobrovsky</v>
      </c>
      <c r="C1074" s="18" t="str">
        <f>'RW predict'!B1073</f>
        <v>FLA</v>
      </c>
      <c r="D1074" s="22" t="str" cm="1">
        <f t="array" ref="D1074">_xlfn.SWITCH('RW predict'!C1073, "C", "F", "LW","F", "RW", "F", "D", "D", "G", "G", "other")</f>
        <v>G</v>
      </c>
      <c r="E1074" s="32">
        <f t="shared" si="32"/>
        <v>2433</v>
      </c>
      <c r="F1074" s="35">
        <f>E1074/assumptions!$B$2</f>
        <v>29.670731707317074</v>
      </c>
      <c r="G1074" s="36">
        <f t="shared" si="33"/>
        <v>92</v>
      </c>
      <c r="H1074" s="18">
        <f>IF(NOT(D1074="G"),'RW predict'!E1073,0)</f>
        <v>0</v>
      </c>
      <c r="I1074" s="18">
        <f>'RW predict'!Q1073</f>
        <v>0</v>
      </c>
      <c r="J1074" s="18">
        <f>'RW predict'!F1073</f>
        <v>0</v>
      </c>
      <c r="K1074" s="18"/>
      <c r="L1074" s="18"/>
      <c r="M1074" s="18">
        <f>'RW predict'!P1073</f>
        <v>0</v>
      </c>
      <c r="N1074" s="18"/>
      <c r="O1074" s="18">
        <f>'RW predict'!H1073</f>
        <v>0</v>
      </c>
      <c r="P1074" s="18">
        <f>'RW predict'!I1073</f>
        <v>3</v>
      </c>
      <c r="Q1074" s="18">
        <f>'RW predict'!L1073</f>
        <v>0</v>
      </c>
      <c r="R1074" s="18">
        <f>'RW predict'!N1073</f>
        <v>0</v>
      </c>
      <c r="S1074" s="76">
        <f>'RW predict'!O1073</f>
        <v>0</v>
      </c>
      <c r="T1074" s="76">
        <f>'RW predict'!K1073</f>
        <v>0</v>
      </c>
      <c r="U1074" s="22">
        <f>'RW predict'!J1073</f>
        <v>0</v>
      </c>
      <c r="V1074" s="32">
        <f>IF(D1074="G",'RW predict'!E1073,0)</f>
        <v>0</v>
      </c>
      <c r="W1074" s="18">
        <f>'RW predict'!R1073</f>
        <v>36</v>
      </c>
      <c r="X1074" s="18">
        <f>'RW predict'!T1073</f>
        <v>4</v>
      </c>
      <c r="Y1074" s="18">
        <f>'RW predict'!Y1073</f>
        <v>3</v>
      </c>
      <c r="Z1074" s="18">
        <f>'RW predict'!U1073</f>
        <v>142</v>
      </c>
      <c r="AA1074" s="18">
        <f>'RW predict'!W1073</f>
        <v>1442</v>
      </c>
    </row>
    <row r="1075" spans="1:27" x14ac:dyDescent="0.3">
      <c r="A1075" s="18">
        <v>1072</v>
      </c>
      <c r="B1075" s="18" t="str">
        <f>'RW predict'!A1074</f>
        <v>Jaroslav Halak</v>
      </c>
      <c r="C1075" s="18" t="str">
        <f>'RW predict'!B1074</f>
        <v>NYR</v>
      </c>
      <c r="D1075" s="22" t="str" cm="1">
        <f t="array" ref="D1075">_xlfn.SWITCH('RW predict'!C1074, "C", "F", "LW","F", "RW", "F", "D", "D", "G", "G", "other")</f>
        <v>G</v>
      </c>
      <c r="E1075" s="32">
        <f t="shared" si="32"/>
        <v>717</v>
      </c>
      <c r="F1075" s="35">
        <f>E1075/assumptions!$B$2</f>
        <v>8.7439024390243905</v>
      </c>
      <c r="G1075" s="36">
        <f t="shared" si="33"/>
        <v>598</v>
      </c>
      <c r="H1075" s="18">
        <f>IF(NOT(D1075="G"),'RW predict'!E1074,0)</f>
        <v>0</v>
      </c>
      <c r="I1075" s="18">
        <f>'RW predict'!Q1074</f>
        <v>0</v>
      </c>
      <c r="J1075" s="18">
        <f>'RW predict'!F1074</f>
        <v>0</v>
      </c>
      <c r="K1075" s="18"/>
      <c r="L1075" s="18"/>
      <c r="M1075" s="18">
        <f>'RW predict'!P1074</f>
        <v>0</v>
      </c>
      <c r="N1075" s="18"/>
      <c r="O1075" s="18">
        <f>'RW predict'!H1074</f>
        <v>0</v>
      </c>
      <c r="P1075" s="18">
        <f>'RW predict'!I1074</f>
        <v>2</v>
      </c>
      <c r="Q1075" s="18">
        <f>'RW predict'!L1074</f>
        <v>0</v>
      </c>
      <c r="R1075" s="18">
        <f>'RW predict'!N1074</f>
        <v>0</v>
      </c>
      <c r="S1075" s="76">
        <f>'RW predict'!O1074</f>
        <v>0</v>
      </c>
      <c r="T1075" s="76">
        <f>'RW predict'!K1074</f>
        <v>0</v>
      </c>
      <c r="U1075" s="22">
        <f>'RW predict'!J1074</f>
        <v>0</v>
      </c>
      <c r="V1075" s="32">
        <f>IF(D1075="G",'RW predict'!E1074,0)</f>
        <v>0</v>
      </c>
      <c r="W1075" s="18">
        <f>'RW predict'!R1074</f>
        <v>8</v>
      </c>
      <c r="X1075" s="18">
        <f>'RW predict'!T1074</f>
        <v>4</v>
      </c>
      <c r="Y1075" s="18">
        <f>'RW predict'!Y1074</f>
        <v>1</v>
      </c>
      <c r="Z1075" s="18">
        <f>'RW predict'!U1074</f>
        <v>59</v>
      </c>
      <c r="AA1075" s="18">
        <f>'RW predict'!W1074</f>
        <v>573</v>
      </c>
    </row>
    <row r="1076" spans="1:27" x14ac:dyDescent="0.3">
      <c r="A1076" s="18">
        <v>1073</v>
      </c>
      <c r="B1076" s="18" t="str">
        <f>'RW predict'!A1075</f>
        <v>Jonathan Bernier</v>
      </c>
      <c r="C1076" s="18" t="str">
        <f>'RW predict'!B1075</f>
        <v>NJ</v>
      </c>
      <c r="D1076" s="22" t="str" cm="1">
        <f t="array" ref="D1076">_xlfn.SWITCH('RW predict'!C1075, "C", "F", "LW","F", "RW", "F", "D", "D", "G", "G", "other")</f>
        <v>G</v>
      </c>
      <c r="E1076" s="32">
        <f t="shared" si="32"/>
        <v>81</v>
      </c>
      <c r="F1076" s="35">
        <f>E1076/assumptions!$B$2</f>
        <v>0.98780487804878048</v>
      </c>
      <c r="G1076" s="36">
        <f t="shared" si="33"/>
        <v>939</v>
      </c>
      <c r="H1076" s="18">
        <f>IF(NOT(D1076="G"),'RW predict'!E1075,0)</f>
        <v>0</v>
      </c>
      <c r="I1076" s="18">
        <f>'RW predict'!Q1075</f>
        <v>0</v>
      </c>
      <c r="J1076" s="18">
        <f>'RW predict'!F1075</f>
        <v>0</v>
      </c>
      <c r="K1076" s="18"/>
      <c r="L1076" s="18"/>
      <c r="M1076" s="18">
        <f>'RW predict'!P1075</f>
        <v>0</v>
      </c>
      <c r="N1076" s="18"/>
      <c r="O1076" s="18">
        <f>'RW predict'!H1075</f>
        <v>0</v>
      </c>
      <c r="P1076" s="18">
        <f>'RW predict'!I1075</f>
        <v>0</v>
      </c>
      <c r="Q1076" s="18">
        <f>'RW predict'!L1075</f>
        <v>0</v>
      </c>
      <c r="R1076" s="18">
        <f>'RW predict'!N1075</f>
        <v>0</v>
      </c>
      <c r="S1076" s="76">
        <f>'RW predict'!O1075</f>
        <v>0</v>
      </c>
      <c r="T1076" s="76">
        <f>'RW predict'!K1075</f>
        <v>0</v>
      </c>
      <c r="U1076" s="22">
        <f>'RW predict'!J1075</f>
        <v>0</v>
      </c>
      <c r="V1076" s="32">
        <f>IF(D1076="G",'RW predict'!E1075,0)</f>
        <v>0</v>
      </c>
      <c r="W1076" s="18">
        <f>'RW predict'!R1075</f>
        <v>1</v>
      </c>
      <c r="X1076" s="18">
        <f>'RW predict'!T1075</f>
        <v>0</v>
      </c>
      <c r="Y1076" s="18">
        <f>'RW predict'!Y1075</f>
        <v>0</v>
      </c>
      <c r="Z1076" s="18">
        <f>'RW predict'!U1075</f>
        <v>13</v>
      </c>
      <c r="AA1076" s="18">
        <f>'RW predict'!W1075</f>
        <v>118</v>
      </c>
    </row>
    <row r="1077" spans="1:27" x14ac:dyDescent="0.3">
      <c r="A1077" s="18">
        <v>1074</v>
      </c>
      <c r="B1077" s="18" t="str">
        <f>'RW predict'!A1076</f>
        <v>Semyon Varlamov</v>
      </c>
      <c r="C1077" s="18" t="str">
        <f>'RW predict'!B1076</f>
        <v>NYI</v>
      </c>
      <c r="D1077" s="22" t="str" cm="1">
        <f t="array" ref="D1077">_xlfn.SWITCH('RW predict'!C1076, "C", "F", "LW","F", "RW", "F", "D", "D", "G", "G", "other")</f>
        <v>G</v>
      </c>
      <c r="E1077" s="32">
        <f t="shared" si="32"/>
        <v>1229</v>
      </c>
      <c r="F1077" s="35">
        <f>E1077/assumptions!$B$2</f>
        <v>14.987804878048781</v>
      </c>
      <c r="G1077" s="36">
        <f t="shared" si="33"/>
        <v>390</v>
      </c>
      <c r="H1077" s="18">
        <f>IF(NOT(D1077="G"),'RW predict'!E1076,0)</f>
        <v>0</v>
      </c>
      <c r="I1077" s="18">
        <f>'RW predict'!Q1076</f>
        <v>0</v>
      </c>
      <c r="J1077" s="18">
        <f>'RW predict'!F1076</f>
        <v>0</v>
      </c>
      <c r="K1077" s="18"/>
      <c r="L1077" s="18"/>
      <c r="M1077" s="18">
        <f>'RW predict'!P1076</f>
        <v>0</v>
      </c>
      <c r="N1077" s="18"/>
      <c r="O1077" s="18">
        <f>'RW predict'!H1076</f>
        <v>0</v>
      </c>
      <c r="P1077" s="18">
        <f>'RW predict'!I1076</f>
        <v>0</v>
      </c>
      <c r="Q1077" s="18">
        <f>'RW predict'!L1076</f>
        <v>0</v>
      </c>
      <c r="R1077" s="18">
        <f>'RW predict'!N1076</f>
        <v>0</v>
      </c>
      <c r="S1077" s="76">
        <f>'RW predict'!O1076</f>
        <v>0</v>
      </c>
      <c r="T1077" s="76">
        <f>'RW predict'!K1076</f>
        <v>0</v>
      </c>
      <c r="U1077" s="22">
        <f>'RW predict'!J1076</f>
        <v>0</v>
      </c>
      <c r="V1077" s="32">
        <f>IF(D1077="G",'RW predict'!E1076,0)</f>
        <v>0</v>
      </c>
      <c r="W1077" s="18">
        <f>'RW predict'!R1076</f>
        <v>12</v>
      </c>
      <c r="X1077" s="18">
        <f>'RW predict'!T1076</f>
        <v>3</v>
      </c>
      <c r="Y1077" s="18">
        <f>'RW predict'!Y1076</f>
        <v>3</v>
      </c>
      <c r="Z1077" s="18">
        <f>'RW predict'!U1076</f>
        <v>87</v>
      </c>
      <c r="AA1077" s="18">
        <f>'RW predict'!W1076</f>
        <v>922</v>
      </c>
    </row>
    <row r="1078" spans="1:27" x14ac:dyDescent="0.3">
      <c r="A1078" s="18">
        <v>1075</v>
      </c>
      <c r="B1078" s="18" t="str">
        <f>'RW predict'!A1077</f>
        <v>Cory Schneider</v>
      </c>
      <c r="C1078" s="18" t="str">
        <f>'RW predict'!B1077</f>
        <v>FA</v>
      </c>
      <c r="D1078" s="22" t="str" cm="1">
        <f t="array" ref="D1078">_xlfn.SWITCH('RW predict'!C1077, "C", "F", "LW","F", "RW", "F", "D", "D", "G", "G", "other")</f>
        <v>G</v>
      </c>
      <c r="E1078" s="32">
        <f t="shared" si="32"/>
        <v>45</v>
      </c>
      <c r="F1078" s="35">
        <f>E1078/assumptions!$B$2</f>
        <v>0.54878048780487809</v>
      </c>
      <c r="G1078" s="36">
        <f t="shared" si="33"/>
        <v>998</v>
      </c>
      <c r="H1078" s="18">
        <f>IF(NOT(D1078="G"),'RW predict'!E1077,0)</f>
        <v>0</v>
      </c>
      <c r="I1078" s="18">
        <f>'RW predict'!Q1077</f>
        <v>0</v>
      </c>
      <c r="J1078" s="18">
        <f>'RW predict'!F1077</f>
        <v>0</v>
      </c>
      <c r="K1078" s="18"/>
      <c r="L1078" s="18"/>
      <c r="M1078" s="18">
        <f>'RW predict'!P1077</f>
        <v>0</v>
      </c>
      <c r="N1078" s="18"/>
      <c r="O1078" s="18">
        <f>'RW predict'!H1077</f>
        <v>0</v>
      </c>
      <c r="P1078" s="18">
        <f>'RW predict'!I1077</f>
        <v>0</v>
      </c>
      <c r="Q1078" s="18">
        <f>'RW predict'!L1077</f>
        <v>0</v>
      </c>
      <c r="R1078" s="18">
        <f>'RW predict'!N1077</f>
        <v>0</v>
      </c>
      <c r="S1078" s="76">
        <f>'RW predict'!O1077</f>
        <v>0</v>
      </c>
      <c r="T1078" s="76">
        <f>'RW predict'!K1077</f>
        <v>0</v>
      </c>
      <c r="U1078" s="22">
        <f>'RW predict'!J1077</f>
        <v>0</v>
      </c>
      <c r="V1078" s="32">
        <f>IF(D1078="G",'RW predict'!E1077,0)</f>
        <v>0</v>
      </c>
      <c r="W1078" s="18">
        <f>'RW predict'!R1077</f>
        <v>1</v>
      </c>
      <c r="X1078" s="18">
        <f>'RW predict'!T1077</f>
        <v>0</v>
      </c>
      <c r="Y1078" s="18">
        <f>'RW predict'!Y1077</f>
        <v>0</v>
      </c>
      <c r="Z1078" s="18">
        <f>'RW predict'!U1077</f>
        <v>9</v>
      </c>
      <c r="AA1078" s="18">
        <f>'RW predict'!W1077</f>
        <v>70</v>
      </c>
    </row>
    <row r="1079" spans="1:27" x14ac:dyDescent="0.3">
      <c r="A1079" s="18">
        <v>1076</v>
      </c>
      <c r="B1079" s="18" t="str">
        <f>'RW predict'!A1078</f>
        <v>Carey Price</v>
      </c>
      <c r="C1079" s="18" t="str">
        <f>'RW predict'!B1078</f>
        <v>MON</v>
      </c>
      <c r="D1079" s="22" t="str" cm="1">
        <f t="array" ref="D1079">_xlfn.SWITCH('RW predict'!C1078, "C", "F", "LW","F", "RW", "F", "D", "D", "G", "G", "other")</f>
        <v>G</v>
      </c>
      <c r="E1079" s="32">
        <f t="shared" si="32"/>
        <v>3</v>
      </c>
      <c r="F1079" s="35">
        <f>E1079/assumptions!$B$2</f>
        <v>3.6585365853658534E-2</v>
      </c>
      <c r="G1079" s="36">
        <f t="shared" si="33"/>
        <v>1059</v>
      </c>
      <c r="H1079" s="18">
        <f>IF(NOT(D1079="G"),'RW predict'!E1078,0)</f>
        <v>0</v>
      </c>
      <c r="I1079" s="18">
        <f>'RW predict'!Q1078</f>
        <v>0</v>
      </c>
      <c r="J1079" s="18">
        <f>'RW predict'!F1078</f>
        <v>0</v>
      </c>
      <c r="K1079" s="18"/>
      <c r="L1079" s="18"/>
      <c r="M1079" s="18">
        <f>'RW predict'!P1078</f>
        <v>0</v>
      </c>
      <c r="N1079" s="18"/>
      <c r="O1079" s="18">
        <f>'RW predict'!H1078</f>
        <v>0</v>
      </c>
      <c r="P1079" s="18">
        <f>'RW predict'!I1078</f>
        <v>1</v>
      </c>
      <c r="Q1079" s="18">
        <f>'RW predict'!L1078</f>
        <v>0</v>
      </c>
      <c r="R1079" s="18">
        <f>'RW predict'!N1078</f>
        <v>0</v>
      </c>
      <c r="S1079" s="76">
        <f>'RW predict'!O1078</f>
        <v>0</v>
      </c>
      <c r="T1079" s="76">
        <f>'RW predict'!K1078</f>
        <v>0</v>
      </c>
      <c r="U1079" s="22">
        <f>'RW predict'!J1078</f>
        <v>0</v>
      </c>
      <c r="V1079" s="32">
        <f>IF(D1079="G",'RW predict'!E1078,0)</f>
        <v>0</v>
      </c>
      <c r="W1079" s="18">
        <f>'RW predict'!R1078</f>
        <v>0</v>
      </c>
      <c r="X1079" s="18">
        <f>'RW predict'!T1078</f>
        <v>0</v>
      </c>
      <c r="Y1079" s="18">
        <f>'RW predict'!Y1078</f>
        <v>0</v>
      </c>
      <c r="Z1079" s="18">
        <f>'RW predict'!U1078</f>
        <v>0</v>
      </c>
      <c r="AA1079" s="18">
        <f>'RW predict'!W1078</f>
        <v>0</v>
      </c>
    </row>
    <row r="1080" spans="1:27" x14ac:dyDescent="0.3">
      <c r="A1080" s="18">
        <v>1077</v>
      </c>
      <c r="B1080" s="18" t="str">
        <f>'RW predict'!A1079</f>
        <v>Tuukka Rask</v>
      </c>
      <c r="C1080" s="18" t="str">
        <f>'RW predict'!B1079</f>
        <v>FA</v>
      </c>
      <c r="D1080" s="22" t="str" cm="1">
        <f t="array" ref="D1080">_xlfn.SWITCH('RW predict'!C1079, "C", "F", "LW","F", "RW", "F", "D", "D", "G", "G", "other")</f>
        <v>G</v>
      </c>
      <c r="E1080" s="32">
        <f t="shared" si="32"/>
        <v>56</v>
      </c>
      <c r="F1080" s="35">
        <f>E1080/assumptions!$B$2</f>
        <v>0.68292682926829273</v>
      </c>
      <c r="G1080" s="36">
        <f t="shared" si="33"/>
        <v>978</v>
      </c>
      <c r="H1080" s="18">
        <f>IF(NOT(D1080="G"),'RW predict'!E1079,0)</f>
        <v>0</v>
      </c>
      <c r="I1080" s="18">
        <f>'RW predict'!Q1079</f>
        <v>0</v>
      </c>
      <c r="J1080" s="18">
        <f>'RW predict'!F1079</f>
        <v>0</v>
      </c>
      <c r="K1080" s="18"/>
      <c r="L1080" s="18"/>
      <c r="M1080" s="18">
        <f>'RW predict'!P1079</f>
        <v>0</v>
      </c>
      <c r="N1080" s="18"/>
      <c r="O1080" s="18">
        <f>'RW predict'!H1079</f>
        <v>0</v>
      </c>
      <c r="P1080" s="18">
        <f>'RW predict'!I1079</f>
        <v>2</v>
      </c>
      <c r="Q1080" s="18">
        <f>'RW predict'!L1079</f>
        <v>0</v>
      </c>
      <c r="R1080" s="18">
        <f>'RW predict'!N1079</f>
        <v>0</v>
      </c>
      <c r="S1080" s="76">
        <f>'RW predict'!O1079</f>
        <v>0</v>
      </c>
      <c r="T1080" s="76">
        <f>'RW predict'!K1079</f>
        <v>0</v>
      </c>
      <c r="U1080" s="22">
        <f>'RW predict'!J1079</f>
        <v>0</v>
      </c>
      <c r="V1080" s="32">
        <f>IF(D1080="G",'RW predict'!E1079,0)</f>
        <v>0</v>
      </c>
      <c r="W1080" s="18">
        <f>'RW predict'!R1079</f>
        <v>0</v>
      </c>
      <c r="X1080" s="18">
        <f>'RW predict'!T1079</f>
        <v>0</v>
      </c>
      <c r="Y1080" s="18">
        <f>'RW predict'!Y1079</f>
        <v>1</v>
      </c>
      <c r="Z1080" s="18">
        <f>'RW predict'!U1079</f>
        <v>0</v>
      </c>
      <c r="AA1080" s="18">
        <f>'RW predict'!W1079</f>
        <v>0</v>
      </c>
    </row>
    <row r="1081" spans="1:27" x14ac:dyDescent="0.3">
      <c r="A1081" s="18">
        <v>1078</v>
      </c>
      <c r="B1081" s="18" t="str">
        <f>'RW predict'!A1080</f>
        <v>John Moore</v>
      </c>
      <c r="C1081" s="18" t="str">
        <f>'RW predict'!B1080</f>
        <v>ANH</v>
      </c>
      <c r="D1081" s="22" t="str" cm="1">
        <f t="array" ref="D1081">_xlfn.SWITCH('RW predict'!C1080, "C", "F", "LW","F", "RW", "F", "D", "D", "G", "G", "other")</f>
        <v>D</v>
      </c>
      <c r="E1081" s="32">
        <f t="shared" si="32"/>
        <v>35</v>
      </c>
      <c r="F1081" s="35">
        <f>E1081/assumptions!$B$2</f>
        <v>0.42682926829268292</v>
      </c>
      <c r="G1081" s="36">
        <f t="shared" si="33"/>
        <v>1010</v>
      </c>
      <c r="H1081" s="18">
        <f>IF(NOT(D1081="G"),'RW predict'!E1080,0)</f>
        <v>0</v>
      </c>
      <c r="I1081" s="18">
        <f>'RW predict'!Q1080</f>
        <v>5</v>
      </c>
      <c r="J1081" s="18">
        <f>'RW predict'!F1080</f>
        <v>0</v>
      </c>
      <c r="K1081" s="18"/>
      <c r="L1081" s="18"/>
      <c r="M1081" s="18">
        <f>'RW predict'!P1080</f>
        <v>5</v>
      </c>
      <c r="N1081" s="18"/>
      <c r="O1081" s="18">
        <f>'RW predict'!H1080</f>
        <v>-1</v>
      </c>
      <c r="P1081" s="18">
        <f>'RW predict'!I1080</f>
        <v>4</v>
      </c>
      <c r="Q1081" s="18">
        <f>'RW predict'!L1080</f>
        <v>0</v>
      </c>
      <c r="R1081" s="18">
        <f>'RW predict'!N1080</f>
        <v>0</v>
      </c>
      <c r="S1081" s="76">
        <f>'RW predict'!O1080</f>
        <v>0</v>
      </c>
      <c r="T1081" s="76">
        <f>'RW predict'!K1080</f>
        <v>0</v>
      </c>
      <c r="U1081" s="22">
        <f>'RW predict'!J1080</f>
        <v>9</v>
      </c>
      <c r="V1081" s="32">
        <f>IF(D1081="G",'RW predict'!E1080,0)</f>
        <v>0</v>
      </c>
      <c r="W1081" s="18">
        <f>'RW predict'!R1080</f>
        <v>0</v>
      </c>
      <c r="X1081" s="18">
        <f>'RW predict'!T1080</f>
        <v>0</v>
      </c>
      <c r="Y1081" s="18">
        <f>'RW predict'!Y1080</f>
        <v>0</v>
      </c>
      <c r="Z1081" s="18">
        <f>'RW predict'!U1080</f>
        <v>0</v>
      </c>
      <c r="AA1081" s="18">
        <f>'RW predict'!W1080</f>
        <v>0</v>
      </c>
    </row>
    <row r="1082" spans="1:27" x14ac:dyDescent="0.3">
      <c r="A1082" s="18">
        <v>1079</v>
      </c>
      <c r="B1082" s="18" t="str">
        <f>'RW predict'!A1081</f>
        <v>Dustin Tokarski</v>
      </c>
      <c r="C1082" s="18" t="str">
        <f>'RW predict'!B1081</f>
        <v>PIT</v>
      </c>
      <c r="D1082" s="22" t="str" cm="1">
        <f t="array" ref="D1082">_xlfn.SWITCH('RW predict'!C1081, "C", "F", "LW","F", "RW", "F", "D", "D", "G", "G", "other")</f>
        <v>G</v>
      </c>
      <c r="E1082" s="32">
        <f t="shared" si="32"/>
        <v>427</v>
      </c>
      <c r="F1082" s="35">
        <f>E1082/assumptions!$B$2</f>
        <v>5.2073170731707314</v>
      </c>
      <c r="G1082" s="36">
        <f t="shared" si="33"/>
        <v>717</v>
      </c>
      <c r="H1082" s="18">
        <f>IF(NOT(D1082="G"),'RW predict'!E1081,0)</f>
        <v>0</v>
      </c>
      <c r="I1082" s="18">
        <f>'RW predict'!Q1081</f>
        <v>0</v>
      </c>
      <c r="J1082" s="18">
        <f>'RW predict'!F1081</f>
        <v>0</v>
      </c>
      <c r="K1082" s="18"/>
      <c r="L1082" s="18"/>
      <c r="M1082" s="18">
        <f>'RW predict'!P1081</f>
        <v>0</v>
      </c>
      <c r="N1082" s="18"/>
      <c r="O1082" s="18">
        <f>'RW predict'!H1081</f>
        <v>0</v>
      </c>
      <c r="P1082" s="18">
        <f>'RW predict'!I1081</f>
        <v>0</v>
      </c>
      <c r="Q1082" s="18">
        <f>'RW predict'!L1081</f>
        <v>0</v>
      </c>
      <c r="R1082" s="18">
        <f>'RW predict'!N1081</f>
        <v>0</v>
      </c>
      <c r="S1082" s="76">
        <f>'RW predict'!O1081</f>
        <v>0</v>
      </c>
      <c r="T1082" s="76">
        <f>'RW predict'!K1081</f>
        <v>0</v>
      </c>
      <c r="U1082" s="22">
        <f>'RW predict'!J1081</f>
        <v>0</v>
      </c>
      <c r="V1082" s="32">
        <f>IF(D1082="G",'RW predict'!E1081,0)</f>
        <v>0</v>
      </c>
      <c r="W1082" s="18">
        <f>'RW predict'!R1081</f>
        <v>9</v>
      </c>
      <c r="X1082" s="18">
        <f>'RW predict'!T1081</f>
        <v>1</v>
      </c>
      <c r="Y1082" s="18">
        <f>'RW predict'!Y1081</f>
        <v>0</v>
      </c>
      <c r="Z1082" s="18">
        <f>'RW predict'!U1081</f>
        <v>19</v>
      </c>
      <c r="AA1082" s="18">
        <f>'RW predict'!W1081</f>
        <v>166</v>
      </c>
    </row>
    <row r="1083" spans="1:27" x14ac:dyDescent="0.3">
      <c r="A1083" s="18">
        <v>1080</v>
      </c>
      <c r="B1083" s="18" t="str">
        <f>'RW predict'!A1082</f>
        <v>Michael Hutchinson</v>
      </c>
      <c r="C1083" s="18" t="str">
        <f>'RW predict'!B1082</f>
        <v>VGK</v>
      </c>
      <c r="D1083" s="22" t="str" cm="1">
        <f t="array" ref="D1083">_xlfn.SWITCH('RW predict'!C1082, "C", "F", "LW","F", "RW", "F", "D", "D", "G", "G", "other")</f>
        <v>G</v>
      </c>
      <c r="E1083" s="32">
        <f t="shared" si="32"/>
        <v>92</v>
      </c>
      <c r="F1083" s="35">
        <f>E1083/assumptions!$B$2</f>
        <v>1.1219512195121952</v>
      </c>
      <c r="G1083" s="36">
        <f t="shared" si="33"/>
        <v>924</v>
      </c>
      <c r="H1083" s="18">
        <f>IF(NOT(D1083="G"),'RW predict'!E1082,0)</f>
        <v>0</v>
      </c>
      <c r="I1083" s="18">
        <f>'RW predict'!Q1082</f>
        <v>0</v>
      </c>
      <c r="J1083" s="18">
        <f>'RW predict'!F1082</f>
        <v>0</v>
      </c>
      <c r="K1083" s="18"/>
      <c r="L1083" s="18"/>
      <c r="M1083" s="18">
        <f>'RW predict'!P1082</f>
        <v>0</v>
      </c>
      <c r="N1083" s="18"/>
      <c r="O1083" s="18">
        <f>'RW predict'!H1082</f>
        <v>0</v>
      </c>
      <c r="P1083" s="18">
        <f>'RW predict'!I1082</f>
        <v>0</v>
      </c>
      <c r="Q1083" s="18">
        <f>'RW predict'!L1082</f>
        <v>0</v>
      </c>
      <c r="R1083" s="18">
        <f>'RW predict'!N1082</f>
        <v>0</v>
      </c>
      <c r="S1083" s="76">
        <f>'RW predict'!O1082</f>
        <v>0</v>
      </c>
      <c r="T1083" s="76">
        <f>'RW predict'!K1082</f>
        <v>0</v>
      </c>
      <c r="U1083" s="22">
        <f>'RW predict'!J1082</f>
        <v>0</v>
      </c>
      <c r="V1083" s="32">
        <f>IF(D1083="G",'RW predict'!E1082,0)</f>
        <v>0</v>
      </c>
      <c r="W1083" s="18">
        <f>'RW predict'!R1082</f>
        <v>2</v>
      </c>
      <c r="X1083" s="18">
        <f>'RW predict'!T1082</f>
        <v>0</v>
      </c>
      <c r="Y1083" s="18">
        <f>'RW predict'!Y1082</f>
        <v>0</v>
      </c>
      <c r="Z1083" s="18">
        <f>'RW predict'!U1082</f>
        <v>16</v>
      </c>
      <c r="AA1083" s="18">
        <f>'RW predict'!W1082</f>
        <v>126</v>
      </c>
    </row>
    <row r="1084" spans="1:27" x14ac:dyDescent="0.3">
      <c r="A1084" s="18">
        <v>1081</v>
      </c>
      <c r="B1084" s="18" t="str">
        <f>'RW predict'!A1083</f>
        <v>Alex Stalock</v>
      </c>
      <c r="C1084" s="18" t="str">
        <f>'RW predict'!B1083</f>
        <v>CHI</v>
      </c>
      <c r="D1084" s="22" t="str" cm="1">
        <f t="array" ref="D1084">_xlfn.SWITCH('RW predict'!C1083, "C", "F", "LW","F", "RW", "F", "D", "D", "G", "G", "other")</f>
        <v>G</v>
      </c>
      <c r="E1084" s="32">
        <f t="shared" si="32"/>
        <v>-1380</v>
      </c>
      <c r="F1084" s="35">
        <f>E1084/assumptions!$B$2</f>
        <v>-16.829268292682926</v>
      </c>
      <c r="G1084" s="36">
        <f t="shared" si="33"/>
        <v>1087</v>
      </c>
      <c r="H1084" s="18">
        <f>IF(NOT(D1084="G"),'RW predict'!E1083,0)</f>
        <v>0</v>
      </c>
      <c r="I1084" s="18">
        <f>'RW predict'!Q1083</f>
        <v>0</v>
      </c>
      <c r="J1084" s="18">
        <f>'RW predict'!F1083</f>
        <v>0</v>
      </c>
      <c r="K1084" s="18"/>
      <c r="L1084" s="18"/>
      <c r="M1084" s="18">
        <f>'RW predict'!P1083</f>
        <v>0</v>
      </c>
      <c r="N1084" s="18"/>
      <c r="O1084" s="18">
        <f>'RW predict'!H1083</f>
        <v>0</v>
      </c>
      <c r="P1084" s="18">
        <f>'RW predict'!I1083</f>
        <v>1</v>
      </c>
      <c r="Q1084" s="18">
        <f>'RW predict'!L1083</f>
        <v>0</v>
      </c>
      <c r="R1084" s="18">
        <f>'RW predict'!N1083</f>
        <v>0</v>
      </c>
      <c r="S1084" s="76">
        <f>'RW predict'!O1083</f>
        <v>0</v>
      </c>
      <c r="T1084" s="76">
        <f>'RW predict'!K1083</f>
        <v>0</v>
      </c>
      <c r="U1084" s="22">
        <f>'RW predict'!J1083</f>
        <v>0</v>
      </c>
      <c r="V1084" s="32">
        <f>IF(D1084="G",'RW predict'!E1083,0)</f>
        <v>0</v>
      </c>
      <c r="W1084" s="18">
        <f>'RW predict'!R1083</f>
        <v>3</v>
      </c>
      <c r="X1084" s="18">
        <f>'RW predict'!T1083</f>
        <v>4</v>
      </c>
      <c r="Y1084" s="18">
        <f>'RW predict'!Y1083</f>
        <v>1</v>
      </c>
      <c r="Z1084" s="18">
        <f>'RW predict'!U1083</f>
        <v>131</v>
      </c>
      <c r="AA1084" s="18">
        <f>'RW predict'!W1083</f>
        <v>166</v>
      </c>
    </row>
    <row r="1085" spans="1:27" x14ac:dyDescent="0.3">
      <c r="A1085" s="18">
        <v>1082</v>
      </c>
      <c r="B1085" s="18" t="str">
        <f>'RW predict'!A1084</f>
        <v>Harri Sateri</v>
      </c>
      <c r="C1085" s="18" t="str">
        <f>'RW predict'!B1084</f>
        <v>FA</v>
      </c>
      <c r="D1085" s="22" t="str" cm="1">
        <f t="array" ref="D1085">_xlfn.SWITCH('RW predict'!C1084, "C", "F", "LW","F", "RW", "F", "D", "D", "G", "G", "other")</f>
        <v>G</v>
      </c>
      <c r="E1085" s="32">
        <f t="shared" si="32"/>
        <v>57</v>
      </c>
      <c r="F1085" s="35">
        <f>E1085/assumptions!$B$2</f>
        <v>0.69512195121951215</v>
      </c>
      <c r="G1085" s="36">
        <f t="shared" si="33"/>
        <v>974</v>
      </c>
      <c r="H1085" s="18">
        <f>IF(NOT(D1085="G"),'RW predict'!E1084,0)</f>
        <v>0</v>
      </c>
      <c r="I1085" s="18">
        <f>'RW predict'!Q1084</f>
        <v>0</v>
      </c>
      <c r="J1085" s="18">
        <f>'RW predict'!F1084</f>
        <v>0</v>
      </c>
      <c r="K1085" s="18"/>
      <c r="L1085" s="18"/>
      <c r="M1085" s="18">
        <f>'RW predict'!P1084</f>
        <v>0</v>
      </c>
      <c r="N1085" s="18"/>
      <c r="O1085" s="18">
        <f>'RW predict'!H1084</f>
        <v>0</v>
      </c>
      <c r="P1085" s="18">
        <f>'RW predict'!I1084</f>
        <v>0</v>
      </c>
      <c r="Q1085" s="18">
        <f>'RW predict'!L1084</f>
        <v>0</v>
      </c>
      <c r="R1085" s="18">
        <f>'RW predict'!N1084</f>
        <v>0</v>
      </c>
      <c r="S1085" s="76">
        <f>'RW predict'!O1084</f>
        <v>0</v>
      </c>
      <c r="T1085" s="76">
        <f>'RW predict'!K1084</f>
        <v>0</v>
      </c>
      <c r="U1085" s="22">
        <f>'RW predict'!J1084</f>
        <v>0</v>
      </c>
      <c r="V1085" s="32">
        <f>IF(D1085="G",'RW predict'!E1084,0)</f>
        <v>0</v>
      </c>
      <c r="W1085" s="18">
        <f>'RW predict'!R1084</f>
        <v>2</v>
      </c>
      <c r="X1085" s="18">
        <f>'RW predict'!T1084</f>
        <v>1</v>
      </c>
      <c r="Y1085" s="18">
        <f>'RW predict'!Y1084</f>
        <v>0</v>
      </c>
      <c r="Z1085" s="18">
        <f>'RW predict'!U1084</f>
        <v>21</v>
      </c>
      <c r="AA1085" s="18">
        <f>'RW predict'!W1084</f>
        <v>136</v>
      </c>
    </row>
    <row r="1086" spans="1:27" x14ac:dyDescent="0.3">
      <c r="A1086" s="18">
        <v>1083</v>
      </c>
      <c r="B1086" s="18" t="str">
        <f>'RW predict'!A1085</f>
        <v>Jake Allen</v>
      </c>
      <c r="C1086" s="18" t="str">
        <f>'RW predict'!B1085</f>
        <v>MON</v>
      </c>
      <c r="D1086" s="22" t="str" cm="1">
        <f t="array" ref="D1086">_xlfn.SWITCH('RW predict'!C1085, "C", "F", "LW","F", "RW", "F", "D", "D", "G", "G", "other")</f>
        <v>G</v>
      </c>
      <c r="E1086" s="32">
        <f t="shared" si="32"/>
        <v>1594</v>
      </c>
      <c r="F1086" s="35">
        <f>E1086/assumptions!$B$2</f>
        <v>19.439024390243901</v>
      </c>
      <c r="G1086" s="36">
        <f t="shared" si="33"/>
        <v>261</v>
      </c>
      <c r="H1086" s="18">
        <f>IF(NOT(D1086="G"),'RW predict'!E1085,0)</f>
        <v>0</v>
      </c>
      <c r="I1086" s="18">
        <f>'RW predict'!Q1085</f>
        <v>0</v>
      </c>
      <c r="J1086" s="18">
        <f>'RW predict'!F1085</f>
        <v>0</v>
      </c>
      <c r="K1086" s="18"/>
      <c r="L1086" s="18"/>
      <c r="M1086" s="18">
        <f>'RW predict'!P1085</f>
        <v>0</v>
      </c>
      <c r="N1086" s="18"/>
      <c r="O1086" s="18">
        <f>'RW predict'!H1085</f>
        <v>0</v>
      </c>
      <c r="P1086" s="18">
        <f>'RW predict'!I1085</f>
        <v>2</v>
      </c>
      <c r="Q1086" s="18">
        <f>'RW predict'!L1085</f>
        <v>0</v>
      </c>
      <c r="R1086" s="18">
        <f>'RW predict'!N1085</f>
        <v>0</v>
      </c>
      <c r="S1086" s="76">
        <f>'RW predict'!O1085</f>
        <v>0</v>
      </c>
      <c r="T1086" s="76">
        <f>'RW predict'!K1085</f>
        <v>0</v>
      </c>
      <c r="U1086" s="22">
        <f>'RW predict'!J1085</f>
        <v>0</v>
      </c>
      <c r="V1086" s="32">
        <f>IF(D1086="G",'RW predict'!E1085,0)</f>
        <v>0</v>
      </c>
      <c r="W1086" s="18">
        <f>'RW predict'!R1085</f>
        <v>20</v>
      </c>
      <c r="X1086" s="18">
        <f>'RW predict'!T1085</f>
        <v>6</v>
      </c>
      <c r="Y1086" s="18">
        <f>'RW predict'!Y1085</f>
        <v>2</v>
      </c>
      <c r="Z1086" s="18">
        <f>'RW predict'!U1085</f>
        <v>140</v>
      </c>
      <c r="AA1086" s="18">
        <f>'RW predict'!W1085</f>
        <v>1334</v>
      </c>
    </row>
    <row r="1087" spans="1:27" x14ac:dyDescent="0.3">
      <c r="A1087" s="18">
        <v>1084</v>
      </c>
      <c r="B1087" s="18" t="str">
        <f>'RW predict'!A1086</f>
        <v>Braden Holtby</v>
      </c>
      <c r="C1087" s="18" t="str">
        <f>'RW predict'!B1086</f>
        <v>FA</v>
      </c>
      <c r="D1087" s="22" t="str" cm="1">
        <f t="array" ref="D1087">_xlfn.SWITCH('RW predict'!C1086, "C", "F", "LW","F", "RW", "F", "D", "D", "G", "G", "other")</f>
        <v>G</v>
      </c>
      <c r="E1087" s="32">
        <f t="shared" si="32"/>
        <v>6</v>
      </c>
      <c r="F1087" s="35">
        <f>E1087/assumptions!$B$2</f>
        <v>7.3170731707317069E-2</v>
      </c>
      <c r="G1087" s="36">
        <f t="shared" si="33"/>
        <v>1052</v>
      </c>
      <c r="H1087" s="18">
        <f>IF(NOT(D1087="G"),'RW predict'!E1086,0)</f>
        <v>0</v>
      </c>
      <c r="I1087" s="18">
        <f>'RW predict'!Q1086</f>
        <v>0</v>
      </c>
      <c r="J1087" s="18">
        <f>'RW predict'!F1086</f>
        <v>0</v>
      </c>
      <c r="K1087" s="18"/>
      <c r="L1087" s="18"/>
      <c r="M1087" s="18">
        <f>'RW predict'!P1086</f>
        <v>0</v>
      </c>
      <c r="N1087" s="18"/>
      <c r="O1087" s="18">
        <f>'RW predict'!H1086</f>
        <v>0</v>
      </c>
      <c r="P1087" s="18">
        <f>'RW predict'!I1086</f>
        <v>2</v>
      </c>
      <c r="Q1087" s="18">
        <f>'RW predict'!L1086</f>
        <v>0</v>
      </c>
      <c r="R1087" s="18">
        <f>'RW predict'!N1086</f>
        <v>0</v>
      </c>
      <c r="S1087" s="76">
        <f>'RW predict'!O1086</f>
        <v>0</v>
      </c>
      <c r="T1087" s="76">
        <f>'RW predict'!K1086</f>
        <v>0</v>
      </c>
      <c r="U1087" s="22">
        <f>'RW predict'!J1086</f>
        <v>0</v>
      </c>
      <c r="V1087" s="32">
        <f>IF(D1087="G",'RW predict'!E1086,0)</f>
        <v>0</v>
      </c>
      <c r="W1087" s="18">
        <f>'RW predict'!R1086</f>
        <v>0</v>
      </c>
      <c r="X1087" s="18">
        <f>'RW predict'!T1086</f>
        <v>0</v>
      </c>
      <c r="Y1087" s="18">
        <f>'RW predict'!Y1086</f>
        <v>0</v>
      </c>
      <c r="Z1087" s="18">
        <f>'RW predict'!U1086</f>
        <v>0</v>
      </c>
      <c r="AA1087" s="18">
        <f>'RW predict'!W1086</f>
        <v>0</v>
      </c>
    </row>
    <row r="1088" spans="1:27" x14ac:dyDescent="0.3">
      <c r="A1088" s="18">
        <v>1085</v>
      </c>
      <c r="B1088" s="18" t="str">
        <f>'RW predict'!A1087</f>
        <v>Thomas Hickey</v>
      </c>
      <c r="C1088" s="18" t="str">
        <f>'RW predict'!B1087</f>
        <v>NJ</v>
      </c>
      <c r="D1088" s="22" t="str" cm="1">
        <f t="array" ref="D1088">_xlfn.SWITCH('RW predict'!C1087, "C", "F", "LW","F", "RW", "F", "D", "D", "G", "G", "other")</f>
        <v>D</v>
      </c>
      <c r="E1088" s="32">
        <f t="shared" si="32"/>
        <v>19</v>
      </c>
      <c r="F1088" s="35">
        <f>E1088/assumptions!$B$2</f>
        <v>0.23170731707317074</v>
      </c>
      <c r="G1088" s="36">
        <f t="shared" si="33"/>
        <v>1038</v>
      </c>
      <c r="H1088" s="18">
        <f>IF(NOT(D1088="G"),'RW predict'!E1087,0)</f>
        <v>0</v>
      </c>
      <c r="I1088" s="18">
        <f>'RW predict'!Q1087</f>
        <v>13</v>
      </c>
      <c r="J1088" s="18">
        <f>'RW predict'!F1087</f>
        <v>0</v>
      </c>
      <c r="K1088" s="18"/>
      <c r="L1088" s="18"/>
      <c r="M1088" s="18">
        <f>'RW predict'!P1087</f>
        <v>13</v>
      </c>
      <c r="N1088" s="18"/>
      <c r="O1088" s="18">
        <f>'RW predict'!H1087</f>
        <v>-2</v>
      </c>
      <c r="P1088" s="18">
        <f>'RW predict'!I1087</f>
        <v>0</v>
      </c>
      <c r="Q1088" s="18">
        <f>'RW predict'!L1087</f>
        <v>0</v>
      </c>
      <c r="R1088" s="18">
        <f>'RW predict'!N1087</f>
        <v>0</v>
      </c>
      <c r="S1088" s="76">
        <f>'RW predict'!O1087</f>
        <v>0</v>
      </c>
      <c r="T1088" s="76">
        <f>'RW predict'!K1087</f>
        <v>0</v>
      </c>
      <c r="U1088" s="22">
        <f>'RW predict'!J1087</f>
        <v>0</v>
      </c>
      <c r="V1088" s="32">
        <f>IF(D1088="G",'RW predict'!E1087,0)</f>
        <v>0</v>
      </c>
      <c r="W1088" s="18">
        <f>'RW predict'!R1087</f>
        <v>0</v>
      </c>
      <c r="X1088" s="18">
        <f>'RW predict'!T1087</f>
        <v>0</v>
      </c>
      <c r="Y1088" s="18">
        <f>'RW predict'!Y1087</f>
        <v>0</v>
      </c>
      <c r="Z1088" s="18">
        <f>'RW predict'!U1087</f>
        <v>0</v>
      </c>
      <c r="AA1088" s="18">
        <f>'RW predict'!W1087</f>
        <v>0</v>
      </c>
    </row>
    <row r="1089" spans="1:27" x14ac:dyDescent="0.3">
      <c r="A1089" s="18">
        <v>1086</v>
      </c>
      <c r="B1089" s="18" t="str">
        <f>'RW predict'!A1088</f>
        <v>Brian Elliott</v>
      </c>
      <c r="C1089" s="18" t="str">
        <f>'RW predict'!B1088</f>
        <v>TB</v>
      </c>
      <c r="D1089" s="22" t="str" cm="1">
        <f t="array" ref="D1089">_xlfn.SWITCH('RW predict'!C1088, "C", "F", "LW","F", "RW", "F", "D", "D", "G", "G", "other")</f>
        <v>G</v>
      </c>
      <c r="E1089" s="32">
        <f t="shared" si="32"/>
        <v>735</v>
      </c>
      <c r="F1089" s="35">
        <f>E1089/assumptions!$B$2</f>
        <v>8.963414634146341</v>
      </c>
      <c r="G1089" s="36">
        <f t="shared" si="33"/>
        <v>591</v>
      </c>
      <c r="H1089" s="18">
        <f>IF(NOT(D1089="G"),'RW predict'!E1088,0)</f>
        <v>0</v>
      </c>
      <c r="I1089" s="18">
        <f>'RW predict'!Q1088</f>
        <v>0</v>
      </c>
      <c r="J1089" s="18">
        <f>'RW predict'!F1088</f>
        <v>0</v>
      </c>
      <c r="K1089" s="18"/>
      <c r="L1089" s="18"/>
      <c r="M1089" s="18">
        <f>'RW predict'!P1088</f>
        <v>0</v>
      </c>
      <c r="N1089" s="18"/>
      <c r="O1089" s="18">
        <f>'RW predict'!H1088</f>
        <v>0</v>
      </c>
      <c r="P1089" s="18">
        <f>'RW predict'!I1088</f>
        <v>0</v>
      </c>
      <c r="Q1089" s="18">
        <f>'RW predict'!L1088</f>
        <v>0</v>
      </c>
      <c r="R1089" s="18">
        <f>'RW predict'!N1088</f>
        <v>0</v>
      </c>
      <c r="S1089" s="76">
        <f>'RW predict'!O1088</f>
        <v>0</v>
      </c>
      <c r="T1089" s="76">
        <f>'RW predict'!K1088</f>
        <v>0</v>
      </c>
      <c r="U1089" s="22">
        <f>'RW predict'!J1088</f>
        <v>0</v>
      </c>
      <c r="V1089" s="32">
        <f>IF(D1089="G",'RW predict'!E1088,0)</f>
        <v>0</v>
      </c>
      <c r="W1089" s="18">
        <f>'RW predict'!R1088</f>
        <v>11</v>
      </c>
      <c r="X1089" s="18">
        <f>'RW predict'!T1088</f>
        <v>1</v>
      </c>
      <c r="Y1089" s="18">
        <f>'RW predict'!Y1088</f>
        <v>1</v>
      </c>
      <c r="Z1089" s="18">
        <f>'RW predict'!U1088</f>
        <v>49</v>
      </c>
      <c r="AA1089" s="18">
        <f>'RW predict'!W1088</f>
        <v>480</v>
      </c>
    </row>
    <row r="1090" spans="1:27" x14ac:dyDescent="0.3">
      <c r="A1090" s="18">
        <v>1087</v>
      </c>
      <c r="B1090" s="18" t="str">
        <f>'RW predict'!A1089</f>
        <v>Anton Khudobin</v>
      </c>
      <c r="C1090" s="18" t="str">
        <f>'RW predict'!B1089</f>
        <v>DAL</v>
      </c>
      <c r="D1090" s="22" t="str" cm="1">
        <f t="array" ref="D1090">_xlfn.SWITCH('RW predict'!C1089, "C", "F", "LW","F", "RW", "F", "D", "D", "G", "G", "other")</f>
        <v>G</v>
      </c>
      <c r="E1090" s="32">
        <f t="shared" si="32"/>
        <v>104</v>
      </c>
      <c r="F1090" s="35">
        <f>E1090/assumptions!$B$2</f>
        <v>1.2682926829268293</v>
      </c>
      <c r="G1090" s="36">
        <f t="shared" si="33"/>
        <v>904</v>
      </c>
      <c r="H1090" s="18">
        <f>IF(NOT(D1090="G"),'RW predict'!E1089,0)</f>
        <v>0</v>
      </c>
      <c r="I1090" s="18">
        <f>'RW predict'!Q1089</f>
        <v>0</v>
      </c>
      <c r="J1090" s="18">
        <f>'RW predict'!F1089</f>
        <v>0</v>
      </c>
      <c r="K1090" s="18"/>
      <c r="L1090" s="18"/>
      <c r="M1090" s="18">
        <f>'RW predict'!P1089</f>
        <v>0</v>
      </c>
      <c r="N1090" s="18"/>
      <c r="O1090" s="18">
        <f>'RW predict'!H1089</f>
        <v>0</v>
      </c>
      <c r="P1090" s="18">
        <f>'RW predict'!I1089</f>
        <v>0</v>
      </c>
      <c r="Q1090" s="18">
        <f>'RW predict'!L1089</f>
        <v>0</v>
      </c>
      <c r="R1090" s="18">
        <f>'RW predict'!N1089</f>
        <v>0</v>
      </c>
      <c r="S1090" s="76">
        <f>'RW predict'!O1089</f>
        <v>0</v>
      </c>
      <c r="T1090" s="76">
        <f>'RW predict'!K1089</f>
        <v>0</v>
      </c>
      <c r="U1090" s="22">
        <f>'RW predict'!J1089</f>
        <v>0</v>
      </c>
      <c r="V1090" s="32">
        <f>IF(D1090="G",'RW predict'!E1089,0)</f>
        <v>0</v>
      </c>
      <c r="W1090" s="18">
        <f>'RW predict'!R1089</f>
        <v>2</v>
      </c>
      <c r="X1090" s="18">
        <f>'RW predict'!T1089</f>
        <v>0</v>
      </c>
      <c r="Y1090" s="18">
        <f>'RW predict'!Y1089</f>
        <v>0</v>
      </c>
      <c r="Z1090" s="18">
        <f>'RW predict'!U1089</f>
        <v>16</v>
      </c>
      <c r="AA1090" s="18">
        <f>'RW predict'!W1089</f>
        <v>132</v>
      </c>
    </row>
    <row r="1091" spans="1:27" x14ac:dyDescent="0.3">
      <c r="B1091" s="18"/>
      <c r="C1091" s="18"/>
      <c r="D1091" s="22"/>
      <c r="E1091" s="32"/>
      <c r="F1091" s="35"/>
      <c r="G1091" s="36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76"/>
      <c r="T1091" s="76"/>
      <c r="U1091" s="22"/>
      <c r="V1091" s="32"/>
      <c r="W1091" s="18"/>
      <c r="X1091" s="18"/>
      <c r="Y1091" s="18"/>
      <c r="Z1091" s="18"/>
      <c r="AA1091" s="18"/>
    </row>
    <row r="1092" spans="1:27" x14ac:dyDescent="0.3">
      <c r="B1092" s="18"/>
      <c r="C1092" s="18"/>
      <c r="D1092" s="22"/>
      <c r="E1092" s="32"/>
      <c r="F1092" s="35"/>
      <c r="G1092" s="36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76"/>
      <c r="T1092" s="76"/>
      <c r="U1092" s="22"/>
      <c r="V1092" s="32"/>
      <c r="W1092" s="18"/>
      <c r="X1092" s="18"/>
      <c r="Y1092" s="18"/>
      <c r="Z1092" s="18"/>
      <c r="AA1092" s="18"/>
    </row>
    <row r="1093" spans="1:27" x14ac:dyDescent="0.3">
      <c r="B1093" s="18"/>
      <c r="C1093" s="18"/>
      <c r="D1093" s="22"/>
      <c r="E1093" s="32"/>
      <c r="F1093" s="35"/>
      <c r="G1093" s="36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76"/>
      <c r="T1093" s="76"/>
      <c r="U1093" s="22"/>
      <c r="V1093" s="32"/>
      <c r="W1093" s="18"/>
      <c r="X1093" s="18"/>
      <c r="Y1093" s="18"/>
      <c r="Z1093" s="18"/>
      <c r="AA1093" s="18"/>
    </row>
    <row r="1094" spans="1:27" x14ac:dyDescent="0.3">
      <c r="B1094" s="18"/>
      <c r="C1094" s="18"/>
      <c r="D1094" s="22"/>
      <c r="E1094" s="32"/>
      <c r="F1094" s="35"/>
      <c r="G1094" s="36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76"/>
      <c r="T1094" s="76"/>
      <c r="U1094" s="22"/>
      <c r="V1094" s="32"/>
      <c r="W1094" s="18"/>
      <c r="X1094" s="18"/>
      <c r="Y1094" s="18"/>
      <c r="Z1094" s="18"/>
      <c r="AA1094" s="18"/>
    </row>
    <row r="1095" spans="1:27" x14ac:dyDescent="0.3">
      <c r="B1095" s="18"/>
      <c r="C1095" s="18"/>
      <c r="D1095" s="22"/>
      <c r="E1095" s="32"/>
      <c r="F1095" s="35"/>
      <c r="G1095" s="36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76"/>
      <c r="T1095" s="76"/>
      <c r="U1095" s="22"/>
      <c r="V1095" s="32"/>
      <c r="W1095" s="18"/>
      <c r="X1095" s="18"/>
      <c r="Y1095" s="18"/>
      <c r="Z1095" s="18"/>
      <c r="AA1095" s="18"/>
    </row>
    <row r="1096" spans="1:27" x14ac:dyDescent="0.3">
      <c r="B1096" s="18"/>
      <c r="C1096" s="18"/>
      <c r="D1096" s="22"/>
      <c r="E1096" s="32"/>
      <c r="F1096" s="35"/>
      <c r="G1096" s="36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76"/>
      <c r="T1096" s="76"/>
      <c r="U1096" s="22"/>
      <c r="V1096" s="32"/>
      <c r="W1096" s="18"/>
      <c r="X1096" s="18"/>
      <c r="Y1096" s="18"/>
      <c r="Z1096" s="18"/>
      <c r="AA1096" s="18"/>
    </row>
    <row r="1097" spans="1:27" x14ac:dyDescent="0.3">
      <c r="B1097" s="18"/>
      <c r="C1097" s="18"/>
      <c r="D1097" s="22"/>
      <c r="E1097" s="32"/>
      <c r="F1097" s="35"/>
      <c r="G1097" s="36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76"/>
      <c r="T1097" s="76"/>
      <c r="U1097" s="22"/>
      <c r="V1097" s="32"/>
      <c r="W1097" s="18"/>
      <c r="X1097" s="18"/>
      <c r="Y1097" s="18"/>
      <c r="Z1097" s="18"/>
      <c r="AA1097" s="18"/>
    </row>
    <row r="1098" spans="1:27" x14ac:dyDescent="0.3">
      <c r="B1098" s="18"/>
      <c r="C1098" s="18"/>
      <c r="D1098" s="22"/>
      <c r="E1098" s="32"/>
      <c r="F1098" s="35"/>
      <c r="G1098" s="36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76"/>
      <c r="T1098" s="76"/>
      <c r="U1098" s="22"/>
      <c r="V1098" s="32"/>
      <c r="W1098" s="18"/>
      <c r="X1098" s="18"/>
      <c r="Y1098" s="18"/>
      <c r="Z1098" s="18"/>
      <c r="AA1098" s="18"/>
    </row>
    <row r="1099" spans="1:27" x14ac:dyDescent="0.3">
      <c r="B1099" s="18"/>
      <c r="C1099" s="18"/>
      <c r="D1099" s="22"/>
      <c r="E1099" s="32"/>
      <c r="F1099" s="35"/>
      <c r="G1099" s="36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76"/>
      <c r="T1099" s="76"/>
      <c r="U1099" s="22"/>
      <c r="V1099" s="32"/>
      <c r="W1099" s="18"/>
      <c r="X1099" s="18"/>
      <c r="Y1099" s="18"/>
      <c r="Z1099" s="18"/>
      <c r="AA1099" s="18"/>
    </row>
    <row r="1100" spans="1:27" x14ac:dyDescent="0.3">
      <c r="B1100" s="18"/>
      <c r="C1100" s="18"/>
      <c r="D1100" s="22"/>
      <c r="E1100" s="32"/>
      <c r="F1100" s="35"/>
      <c r="G1100" s="36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76"/>
      <c r="T1100" s="76"/>
      <c r="U1100" s="22"/>
      <c r="V1100" s="32"/>
      <c r="W1100" s="18"/>
      <c r="X1100" s="18"/>
      <c r="Y1100" s="18"/>
      <c r="Z1100" s="18"/>
      <c r="AA1100" s="18"/>
    </row>
    <row r="1101" spans="1:27" x14ac:dyDescent="0.3">
      <c r="B1101" s="18"/>
      <c r="C1101" s="18"/>
      <c r="D1101" s="22"/>
      <c r="E1101" s="32"/>
      <c r="F1101" s="35"/>
      <c r="G1101" s="36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76"/>
      <c r="T1101" s="76"/>
      <c r="U1101" s="22"/>
      <c r="V1101" s="32"/>
      <c r="W1101" s="18"/>
      <c r="X1101" s="18"/>
      <c r="Y1101" s="18"/>
      <c r="Z1101" s="18"/>
      <c r="AA1101" s="18"/>
    </row>
    <row r="1102" spans="1:27" x14ac:dyDescent="0.3">
      <c r="B1102" s="18"/>
      <c r="C1102" s="18"/>
      <c r="D1102" s="22"/>
      <c r="E1102" s="32"/>
      <c r="F1102" s="35"/>
      <c r="G1102" s="36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76"/>
      <c r="T1102" s="76"/>
      <c r="U1102" s="22"/>
      <c r="V1102" s="32"/>
      <c r="W1102" s="18"/>
      <c r="X1102" s="18"/>
      <c r="Y1102" s="18"/>
      <c r="Z1102" s="18"/>
      <c r="AA1102" s="18"/>
    </row>
    <row r="1103" spans="1:27" x14ac:dyDescent="0.3">
      <c r="B1103" s="18"/>
      <c r="C1103" s="18"/>
      <c r="D1103" s="22"/>
      <c r="E1103" s="32"/>
      <c r="F1103" s="35"/>
      <c r="G1103" s="36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76"/>
      <c r="T1103" s="76"/>
      <c r="U1103" s="22"/>
      <c r="V1103" s="32"/>
      <c r="W1103" s="18"/>
      <c r="X1103" s="18"/>
      <c r="Y1103" s="18"/>
      <c r="Z1103" s="18"/>
      <c r="AA1103" s="18"/>
    </row>
    <row r="1104" spans="1:27" x14ac:dyDescent="0.3">
      <c r="B1104" s="18"/>
      <c r="C1104" s="18"/>
      <c r="D1104" s="22"/>
      <c r="E1104" s="32"/>
      <c r="F1104" s="35"/>
      <c r="G1104" s="36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76"/>
      <c r="T1104" s="76"/>
      <c r="U1104" s="22"/>
      <c r="V1104" s="32"/>
      <c r="W1104" s="18"/>
      <c r="X1104" s="18"/>
      <c r="Y1104" s="18"/>
      <c r="Z1104" s="18"/>
      <c r="AA1104" s="18"/>
    </row>
    <row r="1105" spans="2:27" x14ac:dyDescent="0.3">
      <c r="B1105" s="18"/>
      <c r="C1105" s="18"/>
      <c r="D1105" s="22"/>
      <c r="E1105" s="32"/>
      <c r="F1105" s="35"/>
      <c r="G1105" s="36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76"/>
      <c r="T1105" s="76"/>
      <c r="U1105" s="22"/>
      <c r="V1105" s="32"/>
      <c r="W1105" s="18"/>
      <c r="X1105" s="18"/>
      <c r="Y1105" s="18"/>
      <c r="Z1105" s="18"/>
      <c r="AA1105" s="18"/>
    </row>
    <row r="1106" spans="2:27" x14ac:dyDescent="0.3">
      <c r="B1106" s="18"/>
      <c r="C1106" s="18"/>
      <c r="D1106" s="22"/>
      <c r="E1106" s="32"/>
      <c r="F1106" s="35"/>
      <c r="G1106" s="36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76"/>
      <c r="T1106" s="76"/>
      <c r="U1106" s="22"/>
      <c r="V1106" s="32"/>
      <c r="W1106" s="18"/>
      <c r="X1106" s="18"/>
      <c r="Y1106" s="18"/>
      <c r="Z1106" s="18"/>
      <c r="AA1106" s="18"/>
    </row>
    <row r="1107" spans="2:27" x14ac:dyDescent="0.3">
      <c r="B1107" s="18"/>
      <c r="C1107" s="18"/>
      <c r="D1107" s="22"/>
      <c r="E1107" s="32"/>
      <c r="F1107" s="35"/>
      <c r="G1107" s="36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76"/>
      <c r="T1107" s="76"/>
      <c r="U1107" s="22"/>
      <c r="V1107" s="32"/>
      <c r="W1107" s="18"/>
      <c r="X1107" s="18"/>
      <c r="Y1107" s="18"/>
      <c r="Z1107" s="18"/>
      <c r="AA1107" s="18"/>
    </row>
  </sheetData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425FB-6125-4BF0-A045-882C4EEA9ECD}">
  <sheetPr codeName="Sheet7">
    <tabColor theme="1" tint="4.9989318521683403E-2"/>
  </sheetPr>
  <dimension ref="A1:Y1089"/>
  <sheetViews>
    <sheetView topLeftCell="A1011" workbookViewId="0">
      <selection activeCell="A1037" sqref="A1037"/>
    </sheetView>
  </sheetViews>
  <sheetFormatPr defaultRowHeight="15.6" x14ac:dyDescent="0.3"/>
  <cols>
    <col min="1" max="1" width="23" style="1" customWidth="1"/>
    <col min="2" max="2" width="8" style="1" customWidth="1"/>
    <col min="3" max="3" width="6.44140625" style="1" customWidth="1"/>
    <col min="4" max="4" width="5.77734375" style="1" customWidth="1"/>
    <col min="5" max="5" width="7.109375" style="1" customWidth="1"/>
    <col min="6" max="6" width="5.44140625" style="1" customWidth="1"/>
    <col min="7" max="7" width="6.44140625" style="1" customWidth="1"/>
    <col min="8" max="8" width="6" style="1" customWidth="1"/>
    <col min="9" max="9" width="6.6640625" style="1" customWidth="1"/>
    <col min="10" max="10" width="7" style="1" customWidth="1"/>
    <col min="11" max="11" width="7.44140625" style="1" customWidth="1"/>
    <col min="12" max="13" width="5.44140625" style="1" customWidth="1"/>
    <col min="14" max="14" width="4.77734375" style="1" customWidth="1"/>
    <col min="15" max="15" width="4.6640625" style="1" customWidth="1"/>
    <col min="16" max="16" width="13.77734375" style="1" customWidth="1"/>
    <col min="17" max="17" width="6.5546875" style="1" customWidth="1"/>
    <col min="18" max="19" width="5.5546875" style="1" customWidth="1"/>
    <col min="20" max="20" width="6.77734375" style="1" customWidth="1"/>
    <col min="21" max="21" width="6.5546875" style="1" customWidth="1"/>
    <col min="22" max="23" width="7.33203125" style="1" customWidth="1"/>
    <col min="24" max="24" width="7.109375" style="1" customWidth="1"/>
    <col min="25" max="25" width="5.88671875" style="1" customWidth="1"/>
    <col min="26" max="16384" width="8.88671875" style="1"/>
  </cols>
  <sheetData>
    <row r="1" spans="1:25" ht="20.25" customHeight="1" x14ac:dyDescent="0.3">
      <c r="A1" t="s">
        <v>0</v>
      </c>
      <c r="B1" t="s">
        <v>0</v>
      </c>
      <c r="C1" t="s">
        <v>0</v>
      </c>
      <c r="D1" t="s">
        <v>0</v>
      </c>
      <c r="E1" t="s">
        <v>1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2</v>
      </c>
      <c r="M1" t="s">
        <v>0</v>
      </c>
      <c r="N1" t="s">
        <v>3</v>
      </c>
      <c r="O1" t="s">
        <v>0</v>
      </c>
      <c r="P1" t="s">
        <v>4</v>
      </c>
      <c r="Q1" t="s">
        <v>0</v>
      </c>
      <c r="R1" t="s">
        <v>5</v>
      </c>
      <c r="S1" t="s">
        <v>0</v>
      </c>
      <c r="T1" t="s">
        <v>0</v>
      </c>
      <c r="U1" t="s">
        <v>0</v>
      </c>
      <c r="V1" t="s">
        <v>0</v>
      </c>
      <c r="W1" t="s">
        <v>0</v>
      </c>
      <c r="X1" t="s">
        <v>0</v>
      </c>
      <c r="Y1" t="s">
        <v>0</v>
      </c>
    </row>
    <row r="2" spans="1:25" ht="20.25" customHeight="1" x14ac:dyDescent="0.3">
      <c r="A2" t="s">
        <v>6</v>
      </c>
      <c r="B2" t="s">
        <v>7</v>
      </c>
      <c r="C2" t="s">
        <v>8</v>
      </c>
      <c r="D2" t="s">
        <v>9</v>
      </c>
      <c r="E2" t="s">
        <v>10</v>
      </c>
      <c r="F2" t="s">
        <v>11</v>
      </c>
      <c r="G2" t="s">
        <v>12</v>
      </c>
      <c r="H2" t="s">
        <v>13</v>
      </c>
      <c r="I2" t="s">
        <v>14</v>
      </c>
      <c r="J2" t="s">
        <v>15</v>
      </c>
      <c r="K2" t="s">
        <v>16</v>
      </c>
      <c r="L2" t="s">
        <v>10</v>
      </c>
      <c r="M2" t="s">
        <v>11</v>
      </c>
      <c r="N2" t="s">
        <v>10</v>
      </c>
      <c r="O2" t="s">
        <v>11</v>
      </c>
      <c r="P2" t="s">
        <v>17</v>
      </c>
      <c r="Q2" t="s">
        <v>18</v>
      </c>
      <c r="R2" t="s">
        <v>19</v>
      </c>
      <c r="S2" t="s">
        <v>20</v>
      </c>
      <c r="T2" t="s">
        <v>21</v>
      </c>
      <c r="U2" t="s">
        <v>22</v>
      </c>
      <c r="V2" t="s">
        <v>23</v>
      </c>
      <c r="W2" t="s">
        <v>24</v>
      </c>
      <c r="X2" t="s">
        <v>25</v>
      </c>
      <c r="Y2" t="s">
        <v>26</v>
      </c>
    </row>
    <row r="3" spans="1:25" x14ac:dyDescent="0.3">
      <c r="A3" t="s">
        <v>27</v>
      </c>
      <c r="B3" t="s">
        <v>28</v>
      </c>
      <c r="C3" t="s">
        <v>29</v>
      </c>
      <c r="D3">
        <v>80</v>
      </c>
      <c r="E3">
        <v>46</v>
      </c>
      <c r="F3">
        <v>80</v>
      </c>
      <c r="G3">
        <v>126</v>
      </c>
      <c r="H3">
        <v>26</v>
      </c>
      <c r="I3">
        <v>42</v>
      </c>
      <c r="J3">
        <v>309</v>
      </c>
      <c r="K3">
        <v>10</v>
      </c>
      <c r="L3">
        <v>10</v>
      </c>
      <c r="M3">
        <v>36</v>
      </c>
      <c r="N3">
        <v>0</v>
      </c>
      <c r="O3">
        <v>1</v>
      </c>
      <c r="P3">
        <v>71</v>
      </c>
      <c r="Q3">
        <v>28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3">
      <c r="A4" t="s">
        <v>30</v>
      </c>
      <c r="B4" t="s">
        <v>28</v>
      </c>
      <c r="C4" t="s">
        <v>29</v>
      </c>
      <c r="D4">
        <v>82</v>
      </c>
      <c r="E4">
        <v>53</v>
      </c>
      <c r="F4">
        <v>63</v>
      </c>
      <c r="G4">
        <v>116</v>
      </c>
      <c r="H4">
        <v>19</v>
      </c>
      <c r="I4">
        <v>38</v>
      </c>
      <c r="J4">
        <v>281</v>
      </c>
      <c r="K4">
        <v>11</v>
      </c>
      <c r="L4">
        <v>21</v>
      </c>
      <c r="M4">
        <v>22</v>
      </c>
      <c r="N4">
        <v>1</v>
      </c>
      <c r="O4">
        <v>1</v>
      </c>
      <c r="P4">
        <v>54</v>
      </c>
      <c r="Q4">
        <v>27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3">
      <c r="A5" t="s">
        <v>60</v>
      </c>
      <c r="B5" t="s">
        <v>61</v>
      </c>
      <c r="C5" t="s">
        <v>42</v>
      </c>
      <c r="D5">
        <v>72</v>
      </c>
      <c r="E5">
        <v>38</v>
      </c>
      <c r="F5">
        <v>68</v>
      </c>
      <c r="G5">
        <v>106</v>
      </c>
      <c r="H5">
        <v>14</v>
      </c>
      <c r="I5">
        <v>36</v>
      </c>
      <c r="J5">
        <v>242</v>
      </c>
      <c r="K5">
        <v>8</v>
      </c>
      <c r="L5">
        <v>11</v>
      </c>
      <c r="M5">
        <v>30</v>
      </c>
      <c r="N5">
        <v>0</v>
      </c>
      <c r="O5">
        <v>0</v>
      </c>
      <c r="P5">
        <v>48</v>
      </c>
      <c r="Q5">
        <v>13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3">
      <c r="A6" t="s">
        <v>86</v>
      </c>
      <c r="B6" t="s">
        <v>87</v>
      </c>
      <c r="C6" t="s">
        <v>33</v>
      </c>
      <c r="D6">
        <v>81</v>
      </c>
      <c r="E6">
        <v>47</v>
      </c>
      <c r="F6">
        <v>59</v>
      </c>
      <c r="G6">
        <v>106</v>
      </c>
      <c r="H6">
        <v>25</v>
      </c>
      <c r="I6">
        <v>32</v>
      </c>
      <c r="J6">
        <v>284</v>
      </c>
      <c r="K6">
        <v>8</v>
      </c>
      <c r="L6">
        <v>13</v>
      </c>
      <c r="M6">
        <v>15</v>
      </c>
      <c r="N6">
        <v>0</v>
      </c>
      <c r="O6">
        <v>0</v>
      </c>
      <c r="P6">
        <v>74</v>
      </c>
      <c r="Q6">
        <v>29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3">
      <c r="A7" t="s">
        <v>55</v>
      </c>
      <c r="B7" t="s">
        <v>35</v>
      </c>
      <c r="C7" t="s">
        <v>29</v>
      </c>
      <c r="D7">
        <v>75</v>
      </c>
      <c r="E7">
        <v>60</v>
      </c>
      <c r="F7">
        <v>45</v>
      </c>
      <c r="G7">
        <v>105</v>
      </c>
      <c r="H7">
        <v>23</v>
      </c>
      <c r="I7">
        <v>16</v>
      </c>
      <c r="J7">
        <v>352</v>
      </c>
      <c r="K7">
        <v>10</v>
      </c>
      <c r="L7">
        <v>16</v>
      </c>
      <c r="M7">
        <v>15</v>
      </c>
      <c r="N7">
        <v>0</v>
      </c>
      <c r="O7">
        <v>0</v>
      </c>
      <c r="P7">
        <v>68</v>
      </c>
      <c r="Q7">
        <v>62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3">
      <c r="A8" t="s">
        <v>47</v>
      </c>
      <c r="B8" t="s">
        <v>48</v>
      </c>
      <c r="C8" t="s">
        <v>33</v>
      </c>
      <c r="D8">
        <v>80</v>
      </c>
      <c r="E8">
        <v>30</v>
      </c>
      <c r="F8">
        <v>74</v>
      </c>
      <c r="G8">
        <v>104</v>
      </c>
      <c r="H8">
        <v>27</v>
      </c>
      <c r="I8">
        <v>46</v>
      </c>
      <c r="J8">
        <v>220</v>
      </c>
      <c r="K8">
        <v>6</v>
      </c>
      <c r="L8">
        <v>8</v>
      </c>
      <c r="M8">
        <v>27</v>
      </c>
      <c r="N8">
        <v>2</v>
      </c>
      <c r="O8">
        <v>2</v>
      </c>
      <c r="P8">
        <v>76</v>
      </c>
      <c r="Q8">
        <v>26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3">
      <c r="A9" t="s">
        <v>50</v>
      </c>
      <c r="B9" t="s">
        <v>41</v>
      </c>
      <c r="C9" t="s">
        <v>29</v>
      </c>
      <c r="D9">
        <v>75</v>
      </c>
      <c r="E9">
        <v>38</v>
      </c>
      <c r="F9">
        <v>66</v>
      </c>
      <c r="G9">
        <v>104</v>
      </c>
      <c r="H9">
        <v>26</v>
      </c>
      <c r="I9">
        <v>42</v>
      </c>
      <c r="J9">
        <v>337</v>
      </c>
      <c r="K9">
        <v>8</v>
      </c>
      <c r="L9">
        <v>10</v>
      </c>
      <c r="M9">
        <v>23</v>
      </c>
      <c r="N9">
        <v>0</v>
      </c>
      <c r="O9">
        <v>0</v>
      </c>
      <c r="P9">
        <v>72</v>
      </c>
      <c r="Q9">
        <v>38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3">
      <c r="A10" t="s">
        <v>58</v>
      </c>
      <c r="B10" t="s">
        <v>59</v>
      </c>
      <c r="C10" t="s">
        <v>33</v>
      </c>
      <c r="D10">
        <v>82</v>
      </c>
      <c r="E10">
        <v>35</v>
      </c>
      <c r="F10">
        <v>66</v>
      </c>
      <c r="G10">
        <v>101</v>
      </c>
      <c r="H10">
        <v>26</v>
      </c>
      <c r="I10">
        <v>22</v>
      </c>
      <c r="J10">
        <v>251</v>
      </c>
      <c r="K10">
        <v>8</v>
      </c>
      <c r="L10">
        <v>6</v>
      </c>
      <c r="M10">
        <v>21</v>
      </c>
      <c r="N10">
        <v>0</v>
      </c>
      <c r="O10">
        <v>0</v>
      </c>
      <c r="P10">
        <v>10</v>
      </c>
      <c r="Q10">
        <v>9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3">
      <c r="A11" t="s">
        <v>34</v>
      </c>
      <c r="B11" t="s">
        <v>35</v>
      </c>
      <c r="C11" t="s">
        <v>29</v>
      </c>
      <c r="D11">
        <v>74</v>
      </c>
      <c r="E11">
        <v>33</v>
      </c>
      <c r="F11">
        <v>66</v>
      </c>
      <c r="G11">
        <v>99</v>
      </c>
      <c r="H11">
        <v>24</v>
      </c>
      <c r="I11">
        <v>18</v>
      </c>
      <c r="J11">
        <v>228</v>
      </c>
      <c r="K11">
        <v>8</v>
      </c>
      <c r="L11">
        <v>6</v>
      </c>
      <c r="M11">
        <v>20</v>
      </c>
      <c r="N11">
        <v>1</v>
      </c>
      <c r="O11">
        <v>1</v>
      </c>
      <c r="P11">
        <v>65</v>
      </c>
      <c r="Q11">
        <v>35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t="s">
        <v>31</v>
      </c>
      <c r="B12" t="s">
        <v>32</v>
      </c>
      <c r="C12" t="s">
        <v>33</v>
      </c>
      <c r="D12">
        <v>74</v>
      </c>
      <c r="E12">
        <v>25</v>
      </c>
      <c r="F12">
        <v>73</v>
      </c>
      <c r="G12">
        <v>98</v>
      </c>
      <c r="H12">
        <v>24</v>
      </c>
      <c r="I12">
        <v>16</v>
      </c>
      <c r="J12">
        <v>189</v>
      </c>
      <c r="K12">
        <v>5</v>
      </c>
      <c r="L12">
        <v>6</v>
      </c>
      <c r="M12">
        <v>30</v>
      </c>
      <c r="N12">
        <v>0</v>
      </c>
      <c r="O12">
        <v>0</v>
      </c>
      <c r="P12">
        <v>24</v>
      </c>
      <c r="Q12">
        <v>15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t="s">
        <v>68</v>
      </c>
      <c r="B13" t="s">
        <v>61</v>
      </c>
      <c r="C13" t="s">
        <v>29</v>
      </c>
      <c r="D13">
        <v>75</v>
      </c>
      <c r="E13">
        <v>40</v>
      </c>
      <c r="F13">
        <v>58</v>
      </c>
      <c r="G13">
        <v>98</v>
      </c>
      <c r="H13">
        <v>20</v>
      </c>
      <c r="I13">
        <v>32</v>
      </c>
      <c r="J13">
        <v>224</v>
      </c>
      <c r="K13">
        <v>9</v>
      </c>
      <c r="L13">
        <v>14</v>
      </c>
      <c r="M13">
        <v>19</v>
      </c>
      <c r="N13">
        <v>0</v>
      </c>
      <c r="O13">
        <v>0</v>
      </c>
      <c r="P13">
        <v>85</v>
      </c>
      <c r="Q13">
        <v>29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3">
      <c r="A14" t="s">
        <v>113</v>
      </c>
      <c r="B14" t="s">
        <v>57</v>
      </c>
      <c r="C14" t="s">
        <v>33</v>
      </c>
      <c r="D14">
        <v>82</v>
      </c>
      <c r="E14">
        <v>37</v>
      </c>
      <c r="F14">
        <v>58</v>
      </c>
      <c r="G14">
        <v>95</v>
      </c>
      <c r="H14">
        <v>37</v>
      </c>
      <c r="I14">
        <v>71</v>
      </c>
      <c r="J14">
        <v>249</v>
      </c>
      <c r="K14">
        <v>6</v>
      </c>
      <c r="L14">
        <v>11</v>
      </c>
      <c r="M14">
        <v>16</v>
      </c>
      <c r="N14">
        <v>0</v>
      </c>
      <c r="O14">
        <v>0</v>
      </c>
      <c r="P14">
        <v>112</v>
      </c>
      <c r="Q14">
        <v>19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3">
      <c r="A15" t="s">
        <v>56</v>
      </c>
      <c r="B15" t="s">
        <v>57</v>
      </c>
      <c r="C15" t="s">
        <v>29</v>
      </c>
      <c r="D15">
        <v>74</v>
      </c>
      <c r="E15">
        <v>38</v>
      </c>
      <c r="F15">
        <v>56</v>
      </c>
      <c r="G15">
        <v>94</v>
      </c>
      <c r="H15">
        <v>33</v>
      </c>
      <c r="I15">
        <v>16</v>
      </c>
      <c r="J15">
        <v>242</v>
      </c>
      <c r="K15">
        <v>6</v>
      </c>
      <c r="L15">
        <v>10</v>
      </c>
      <c r="M15">
        <v>17</v>
      </c>
      <c r="N15">
        <v>3</v>
      </c>
      <c r="O15">
        <v>1</v>
      </c>
      <c r="P15">
        <v>48</v>
      </c>
      <c r="Q15">
        <v>46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3">
      <c r="A16" t="s">
        <v>40</v>
      </c>
      <c r="B16" t="s">
        <v>41</v>
      </c>
      <c r="C16" t="s">
        <v>42</v>
      </c>
      <c r="D16">
        <v>76</v>
      </c>
      <c r="E16">
        <v>34</v>
      </c>
      <c r="F16">
        <v>59</v>
      </c>
      <c r="G16">
        <v>93</v>
      </c>
      <c r="H16">
        <v>34</v>
      </c>
      <c r="I16">
        <v>50</v>
      </c>
      <c r="J16">
        <v>238</v>
      </c>
      <c r="K16">
        <v>6</v>
      </c>
      <c r="L16">
        <v>11</v>
      </c>
      <c r="M16">
        <v>22</v>
      </c>
      <c r="N16">
        <v>0</v>
      </c>
      <c r="O16">
        <v>0</v>
      </c>
      <c r="P16">
        <v>57</v>
      </c>
      <c r="Q16">
        <v>41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3">
      <c r="A17" t="s">
        <v>43</v>
      </c>
      <c r="B17" t="s">
        <v>44</v>
      </c>
      <c r="C17" t="s">
        <v>42</v>
      </c>
      <c r="D17">
        <v>81</v>
      </c>
      <c r="E17">
        <v>29</v>
      </c>
      <c r="F17">
        <v>62</v>
      </c>
      <c r="G17">
        <v>91</v>
      </c>
      <c r="H17">
        <v>-14</v>
      </c>
      <c r="I17">
        <v>22</v>
      </c>
      <c r="J17">
        <v>296</v>
      </c>
      <c r="K17">
        <v>3</v>
      </c>
      <c r="L17">
        <v>9</v>
      </c>
      <c r="M17">
        <v>21</v>
      </c>
      <c r="N17">
        <v>0</v>
      </c>
      <c r="O17">
        <v>0</v>
      </c>
      <c r="P17">
        <v>14</v>
      </c>
      <c r="Q17">
        <v>26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3">
      <c r="A18" t="s">
        <v>78</v>
      </c>
      <c r="B18" t="s">
        <v>79</v>
      </c>
      <c r="C18" t="s">
        <v>29</v>
      </c>
      <c r="D18">
        <v>79</v>
      </c>
      <c r="E18">
        <v>29</v>
      </c>
      <c r="F18">
        <v>62</v>
      </c>
      <c r="G18">
        <v>91</v>
      </c>
      <c r="H18">
        <v>12</v>
      </c>
      <c r="I18">
        <v>49</v>
      </c>
      <c r="J18">
        <v>203</v>
      </c>
      <c r="K18">
        <v>6</v>
      </c>
      <c r="L18">
        <v>8</v>
      </c>
      <c r="M18">
        <v>25</v>
      </c>
      <c r="N18">
        <v>1</v>
      </c>
      <c r="O18">
        <v>2</v>
      </c>
      <c r="P18">
        <v>160</v>
      </c>
      <c r="Q18">
        <v>51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3">
      <c r="A19" t="s">
        <v>96</v>
      </c>
      <c r="B19" t="s">
        <v>52</v>
      </c>
      <c r="C19" t="s">
        <v>33</v>
      </c>
      <c r="D19">
        <v>78</v>
      </c>
      <c r="E19">
        <v>45</v>
      </c>
      <c r="F19">
        <v>44</v>
      </c>
      <c r="G19">
        <v>89</v>
      </c>
      <c r="H19">
        <v>-3</v>
      </c>
      <c r="I19">
        <v>22</v>
      </c>
      <c r="J19">
        <v>298</v>
      </c>
      <c r="K19">
        <v>7</v>
      </c>
      <c r="L19">
        <v>9</v>
      </c>
      <c r="M19">
        <v>17</v>
      </c>
      <c r="N19">
        <v>2</v>
      </c>
      <c r="O19">
        <v>0</v>
      </c>
      <c r="P19">
        <v>30</v>
      </c>
      <c r="Q19">
        <v>23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3">
      <c r="A20" t="s">
        <v>38</v>
      </c>
      <c r="B20" t="s">
        <v>39</v>
      </c>
      <c r="C20" t="s">
        <v>33</v>
      </c>
      <c r="D20">
        <v>77</v>
      </c>
      <c r="E20">
        <v>48</v>
      </c>
      <c r="F20">
        <v>39</v>
      </c>
      <c r="G20">
        <v>87</v>
      </c>
      <c r="H20">
        <v>6</v>
      </c>
      <c r="I20">
        <v>20</v>
      </c>
      <c r="J20">
        <v>327</v>
      </c>
      <c r="K20">
        <v>7</v>
      </c>
      <c r="L20">
        <v>16</v>
      </c>
      <c r="M20">
        <v>14</v>
      </c>
      <c r="N20">
        <v>0</v>
      </c>
      <c r="O20">
        <v>0</v>
      </c>
      <c r="P20">
        <v>156</v>
      </c>
      <c r="Q20">
        <v>24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3">
      <c r="A21" t="s">
        <v>62</v>
      </c>
      <c r="B21" t="s">
        <v>63</v>
      </c>
      <c r="C21" t="s">
        <v>33</v>
      </c>
      <c r="D21">
        <v>80</v>
      </c>
      <c r="E21">
        <v>38</v>
      </c>
      <c r="F21">
        <v>47</v>
      </c>
      <c r="G21">
        <v>85</v>
      </c>
      <c r="H21">
        <v>22</v>
      </c>
      <c r="I21">
        <v>36</v>
      </c>
      <c r="J21">
        <v>229</v>
      </c>
      <c r="K21">
        <v>9</v>
      </c>
      <c r="L21">
        <v>10</v>
      </c>
      <c r="M21">
        <v>16</v>
      </c>
      <c r="N21">
        <v>2</v>
      </c>
      <c r="O21">
        <v>2</v>
      </c>
      <c r="P21">
        <v>73</v>
      </c>
      <c r="Q21">
        <v>25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3">
      <c r="A22" t="s">
        <v>92</v>
      </c>
      <c r="B22" t="s">
        <v>41</v>
      </c>
      <c r="C22" t="s">
        <v>93</v>
      </c>
      <c r="D22">
        <v>74</v>
      </c>
      <c r="E22">
        <v>25</v>
      </c>
      <c r="F22">
        <v>58</v>
      </c>
      <c r="G22">
        <v>83</v>
      </c>
      <c r="H22">
        <v>44</v>
      </c>
      <c r="I22">
        <v>24</v>
      </c>
      <c r="J22">
        <v>224</v>
      </c>
      <c r="K22">
        <v>6</v>
      </c>
      <c r="L22">
        <v>8</v>
      </c>
      <c r="M22">
        <v>26</v>
      </c>
      <c r="N22">
        <v>0</v>
      </c>
      <c r="O22">
        <v>1</v>
      </c>
      <c r="P22">
        <v>90</v>
      </c>
      <c r="Q22">
        <v>105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3">
      <c r="A23" t="s">
        <v>49</v>
      </c>
      <c r="B23" t="s">
        <v>37</v>
      </c>
      <c r="C23" t="s">
        <v>42</v>
      </c>
      <c r="D23">
        <v>74</v>
      </c>
      <c r="E23">
        <v>42</v>
      </c>
      <c r="F23">
        <v>41</v>
      </c>
      <c r="G23">
        <v>83</v>
      </c>
      <c r="H23">
        <v>15</v>
      </c>
      <c r="I23">
        <v>22</v>
      </c>
      <c r="J23">
        <v>309</v>
      </c>
      <c r="K23">
        <v>9</v>
      </c>
      <c r="L23">
        <v>14</v>
      </c>
      <c r="M23">
        <v>13</v>
      </c>
      <c r="N23">
        <v>0</v>
      </c>
      <c r="O23">
        <v>0</v>
      </c>
      <c r="P23">
        <v>62</v>
      </c>
      <c r="Q23">
        <v>14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3">
      <c r="A24" t="s">
        <v>45</v>
      </c>
      <c r="B24" t="s">
        <v>46</v>
      </c>
      <c r="C24" t="s">
        <v>29</v>
      </c>
      <c r="D24">
        <v>68</v>
      </c>
      <c r="E24">
        <v>30</v>
      </c>
      <c r="F24">
        <v>51</v>
      </c>
      <c r="G24">
        <v>81</v>
      </c>
      <c r="H24">
        <v>15</v>
      </c>
      <c r="I24">
        <v>32</v>
      </c>
      <c r="J24">
        <v>202</v>
      </c>
      <c r="K24">
        <v>8</v>
      </c>
      <c r="L24">
        <v>7</v>
      </c>
      <c r="M24">
        <v>22</v>
      </c>
      <c r="N24">
        <v>0</v>
      </c>
      <c r="O24">
        <v>0</v>
      </c>
      <c r="P24">
        <v>51</v>
      </c>
      <c r="Q24">
        <v>36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3">
      <c r="A25" t="s">
        <v>152</v>
      </c>
      <c r="B25" t="s">
        <v>100</v>
      </c>
      <c r="C25" t="s">
        <v>93</v>
      </c>
      <c r="D25">
        <v>78</v>
      </c>
      <c r="E25">
        <v>19</v>
      </c>
      <c r="F25">
        <v>62</v>
      </c>
      <c r="G25">
        <v>81</v>
      </c>
      <c r="H25">
        <v>10</v>
      </c>
      <c r="I25">
        <v>42</v>
      </c>
      <c r="J25">
        <v>275</v>
      </c>
      <c r="K25">
        <v>4</v>
      </c>
      <c r="L25">
        <v>7</v>
      </c>
      <c r="M25">
        <v>22</v>
      </c>
      <c r="N25">
        <v>0</v>
      </c>
      <c r="O25">
        <v>1</v>
      </c>
      <c r="P25">
        <v>63</v>
      </c>
      <c r="Q25">
        <v>129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3">
      <c r="A26" t="s">
        <v>90</v>
      </c>
      <c r="B26" t="s">
        <v>32</v>
      </c>
      <c r="C26" t="s">
        <v>29</v>
      </c>
      <c r="D26">
        <v>79</v>
      </c>
      <c r="E26">
        <v>30</v>
      </c>
      <c r="F26">
        <v>49</v>
      </c>
      <c r="G26">
        <v>79</v>
      </c>
      <c r="H26">
        <v>26</v>
      </c>
      <c r="I26">
        <v>14</v>
      </c>
      <c r="J26">
        <v>218</v>
      </c>
      <c r="K26">
        <v>6</v>
      </c>
      <c r="L26">
        <v>14</v>
      </c>
      <c r="M26">
        <v>12</v>
      </c>
      <c r="N26">
        <v>1</v>
      </c>
      <c r="O26">
        <v>3</v>
      </c>
      <c r="P26">
        <v>74</v>
      </c>
      <c r="Q26">
        <v>47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3">
      <c r="A27" t="s">
        <v>109</v>
      </c>
      <c r="B27" t="s">
        <v>75</v>
      </c>
      <c r="C27" t="s">
        <v>42</v>
      </c>
      <c r="D27">
        <v>76</v>
      </c>
      <c r="E27">
        <v>35</v>
      </c>
      <c r="F27">
        <v>44</v>
      </c>
      <c r="G27">
        <v>79</v>
      </c>
      <c r="H27">
        <v>6</v>
      </c>
      <c r="I27">
        <v>30</v>
      </c>
      <c r="J27">
        <v>245</v>
      </c>
      <c r="K27">
        <v>8</v>
      </c>
      <c r="L27">
        <v>7</v>
      </c>
      <c r="M27">
        <v>16</v>
      </c>
      <c r="N27">
        <v>0</v>
      </c>
      <c r="O27">
        <v>0</v>
      </c>
      <c r="P27">
        <v>85</v>
      </c>
      <c r="Q27">
        <v>44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3">
      <c r="A28" t="s">
        <v>66</v>
      </c>
      <c r="B28" t="s">
        <v>46</v>
      </c>
      <c r="C28" t="s">
        <v>33</v>
      </c>
      <c r="D28">
        <v>73</v>
      </c>
      <c r="E28">
        <v>37</v>
      </c>
      <c r="F28">
        <v>42</v>
      </c>
      <c r="G28">
        <v>79</v>
      </c>
      <c r="H28">
        <v>13</v>
      </c>
      <c r="I28">
        <v>40</v>
      </c>
      <c r="J28">
        <v>242</v>
      </c>
      <c r="K28">
        <v>7</v>
      </c>
      <c r="L28">
        <v>7</v>
      </c>
      <c r="M28">
        <v>14</v>
      </c>
      <c r="N28">
        <v>0</v>
      </c>
      <c r="O28">
        <v>0</v>
      </c>
      <c r="P28">
        <v>68</v>
      </c>
      <c r="Q28">
        <v>38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3">
      <c r="A29" t="s">
        <v>114</v>
      </c>
      <c r="B29" t="s">
        <v>82</v>
      </c>
      <c r="C29" t="s">
        <v>33</v>
      </c>
      <c r="D29">
        <v>79</v>
      </c>
      <c r="E29">
        <v>31</v>
      </c>
      <c r="F29">
        <v>47</v>
      </c>
      <c r="G29">
        <v>78</v>
      </c>
      <c r="H29">
        <v>17</v>
      </c>
      <c r="I29">
        <v>48</v>
      </c>
      <c r="J29">
        <v>254</v>
      </c>
      <c r="K29">
        <v>6</v>
      </c>
      <c r="L29">
        <v>6</v>
      </c>
      <c r="M29">
        <v>12</v>
      </c>
      <c r="N29">
        <v>1</v>
      </c>
      <c r="O29">
        <v>0</v>
      </c>
      <c r="P29">
        <v>48</v>
      </c>
      <c r="Q29">
        <v>19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3">
      <c r="A30" t="s">
        <v>175</v>
      </c>
      <c r="B30" t="s">
        <v>100</v>
      </c>
      <c r="C30" t="s">
        <v>42</v>
      </c>
      <c r="D30">
        <v>70</v>
      </c>
      <c r="E30">
        <v>37</v>
      </c>
      <c r="F30">
        <v>40</v>
      </c>
      <c r="G30">
        <v>77</v>
      </c>
      <c r="H30">
        <v>6</v>
      </c>
      <c r="I30">
        <v>24</v>
      </c>
      <c r="J30">
        <v>236</v>
      </c>
      <c r="K30">
        <v>7</v>
      </c>
      <c r="L30">
        <v>8</v>
      </c>
      <c r="M30">
        <v>16</v>
      </c>
      <c r="N30">
        <v>0</v>
      </c>
      <c r="O30">
        <v>0</v>
      </c>
      <c r="P30">
        <v>107</v>
      </c>
      <c r="Q30">
        <v>44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3">
      <c r="A31" t="s">
        <v>142</v>
      </c>
      <c r="B31" t="s">
        <v>61</v>
      </c>
      <c r="C31" t="s">
        <v>93</v>
      </c>
      <c r="D31">
        <v>79</v>
      </c>
      <c r="E31">
        <v>18</v>
      </c>
      <c r="F31">
        <v>59</v>
      </c>
      <c r="G31">
        <v>77</v>
      </c>
      <c r="H31">
        <v>23</v>
      </c>
      <c r="I31">
        <v>36</v>
      </c>
      <c r="J31">
        <v>209</v>
      </c>
      <c r="K31">
        <v>4</v>
      </c>
      <c r="L31">
        <v>5</v>
      </c>
      <c r="M31">
        <v>28</v>
      </c>
      <c r="N31">
        <v>0</v>
      </c>
      <c r="O31">
        <v>1</v>
      </c>
      <c r="P31">
        <v>88</v>
      </c>
      <c r="Q31">
        <v>122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3">
      <c r="A32" t="s">
        <v>76</v>
      </c>
      <c r="B32" t="s">
        <v>35</v>
      </c>
      <c r="C32" t="s">
        <v>29</v>
      </c>
      <c r="D32">
        <v>78</v>
      </c>
      <c r="E32">
        <v>28</v>
      </c>
      <c r="F32">
        <v>48</v>
      </c>
      <c r="G32">
        <v>76</v>
      </c>
      <c r="H32">
        <v>-2</v>
      </c>
      <c r="I32">
        <v>30</v>
      </c>
      <c r="J32">
        <v>239</v>
      </c>
      <c r="K32">
        <v>5</v>
      </c>
      <c r="L32">
        <v>10</v>
      </c>
      <c r="M32">
        <v>14</v>
      </c>
      <c r="N32">
        <v>0</v>
      </c>
      <c r="O32">
        <v>0</v>
      </c>
      <c r="P32">
        <v>85</v>
      </c>
      <c r="Q32">
        <v>43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3">
      <c r="A33" t="s">
        <v>51</v>
      </c>
      <c r="B33" t="s">
        <v>52</v>
      </c>
      <c r="C33" t="s">
        <v>29</v>
      </c>
      <c r="D33">
        <v>75</v>
      </c>
      <c r="E33">
        <v>32</v>
      </c>
      <c r="F33">
        <v>44</v>
      </c>
      <c r="G33">
        <v>76</v>
      </c>
      <c r="H33">
        <v>-8</v>
      </c>
      <c r="I33">
        <v>27</v>
      </c>
      <c r="J33">
        <v>188</v>
      </c>
      <c r="K33">
        <v>5</v>
      </c>
      <c r="L33">
        <v>8</v>
      </c>
      <c r="M33">
        <v>14</v>
      </c>
      <c r="N33">
        <v>0</v>
      </c>
      <c r="O33">
        <v>0</v>
      </c>
      <c r="P33">
        <v>40</v>
      </c>
      <c r="Q33">
        <v>52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3">
      <c r="A34" t="s">
        <v>134</v>
      </c>
      <c r="B34" t="s">
        <v>35</v>
      </c>
      <c r="C34" t="s">
        <v>29</v>
      </c>
      <c r="D34">
        <v>79</v>
      </c>
      <c r="E34">
        <v>32</v>
      </c>
      <c r="F34">
        <v>44</v>
      </c>
      <c r="G34">
        <v>76</v>
      </c>
      <c r="H34">
        <v>-1</v>
      </c>
      <c r="I34">
        <v>16</v>
      </c>
      <c r="J34">
        <v>247</v>
      </c>
      <c r="K34">
        <v>7</v>
      </c>
      <c r="L34">
        <v>12</v>
      </c>
      <c r="M34">
        <v>16</v>
      </c>
      <c r="N34">
        <v>0</v>
      </c>
      <c r="O34">
        <v>0</v>
      </c>
      <c r="P34">
        <v>18</v>
      </c>
      <c r="Q34">
        <v>27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3">
      <c r="A35" t="s">
        <v>111</v>
      </c>
      <c r="B35" t="s">
        <v>57</v>
      </c>
      <c r="C35" t="s">
        <v>42</v>
      </c>
      <c r="D35">
        <v>80</v>
      </c>
      <c r="E35">
        <v>30</v>
      </c>
      <c r="F35">
        <v>46</v>
      </c>
      <c r="G35">
        <v>76</v>
      </c>
      <c r="H35">
        <v>24</v>
      </c>
      <c r="I35">
        <v>14</v>
      </c>
      <c r="J35">
        <v>188</v>
      </c>
      <c r="K35">
        <v>6</v>
      </c>
      <c r="L35">
        <v>13</v>
      </c>
      <c r="M35">
        <v>12</v>
      </c>
      <c r="N35">
        <v>1</v>
      </c>
      <c r="O35">
        <v>1</v>
      </c>
      <c r="P35">
        <v>44</v>
      </c>
      <c r="Q35">
        <v>32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3">
      <c r="A36" t="s">
        <v>117</v>
      </c>
      <c r="B36" t="s">
        <v>75</v>
      </c>
      <c r="C36" t="s">
        <v>33</v>
      </c>
      <c r="D36">
        <v>77</v>
      </c>
      <c r="E36">
        <v>28</v>
      </c>
      <c r="F36">
        <v>47</v>
      </c>
      <c r="G36">
        <v>75</v>
      </c>
      <c r="H36">
        <v>26</v>
      </c>
      <c r="I36">
        <v>40</v>
      </c>
      <c r="J36">
        <v>203</v>
      </c>
      <c r="K36">
        <v>5</v>
      </c>
      <c r="L36">
        <v>7</v>
      </c>
      <c r="M36">
        <v>11</v>
      </c>
      <c r="N36">
        <v>2</v>
      </c>
      <c r="O36">
        <v>2</v>
      </c>
      <c r="P36">
        <v>65</v>
      </c>
      <c r="Q36">
        <v>20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3">
      <c r="A37" t="s">
        <v>64</v>
      </c>
      <c r="B37" t="s">
        <v>65</v>
      </c>
      <c r="C37" t="s">
        <v>33</v>
      </c>
      <c r="D37">
        <v>74</v>
      </c>
      <c r="E37">
        <v>36</v>
      </c>
      <c r="F37">
        <v>39</v>
      </c>
      <c r="G37">
        <v>75</v>
      </c>
      <c r="H37">
        <v>15</v>
      </c>
      <c r="I37">
        <v>20</v>
      </c>
      <c r="J37">
        <v>229</v>
      </c>
      <c r="K37">
        <v>8</v>
      </c>
      <c r="L37">
        <v>10</v>
      </c>
      <c r="M37">
        <v>10</v>
      </c>
      <c r="N37">
        <v>0</v>
      </c>
      <c r="O37">
        <v>0</v>
      </c>
      <c r="P37">
        <v>48</v>
      </c>
      <c r="Q37">
        <v>22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3">
      <c r="A38" t="s">
        <v>72</v>
      </c>
      <c r="B38" t="s">
        <v>73</v>
      </c>
      <c r="C38" t="s">
        <v>42</v>
      </c>
      <c r="D38">
        <v>80</v>
      </c>
      <c r="E38">
        <v>38</v>
      </c>
      <c r="F38">
        <v>37</v>
      </c>
      <c r="G38">
        <v>75</v>
      </c>
      <c r="H38">
        <v>-6</v>
      </c>
      <c r="I38">
        <v>18</v>
      </c>
      <c r="J38">
        <v>261</v>
      </c>
      <c r="K38">
        <v>7</v>
      </c>
      <c r="L38">
        <v>12</v>
      </c>
      <c r="M38">
        <v>13</v>
      </c>
      <c r="N38">
        <v>0</v>
      </c>
      <c r="O38">
        <v>0</v>
      </c>
      <c r="P38">
        <v>94</v>
      </c>
      <c r="Q38">
        <v>33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3">
      <c r="A39" t="s">
        <v>74</v>
      </c>
      <c r="B39" t="s">
        <v>75</v>
      </c>
      <c r="C39" t="s">
        <v>42</v>
      </c>
      <c r="D39">
        <v>75</v>
      </c>
      <c r="E39">
        <v>25</v>
      </c>
      <c r="F39">
        <v>49</v>
      </c>
      <c r="G39">
        <v>74</v>
      </c>
      <c r="H39">
        <v>8</v>
      </c>
      <c r="I39">
        <v>18</v>
      </c>
      <c r="J39">
        <v>184</v>
      </c>
      <c r="K39">
        <v>5</v>
      </c>
      <c r="L39">
        <v>5</v>
      </c>
      <c r="M39">
        <v>13</v>
      </c>
      <c r="N39">
        <v>0</v>
      </c>
      <c r="O39">
        <v>1</v>
      </c>
      <c r="P39">
        <v>8</v>
      </c>
      <c r="Q39">
        <v>22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3">
      <c r="A40" t="s">
        <v>227</v>
      </c>
      <c r="B40" t="s">
        <v>75</v>
      </c>
      <c r="C40" t="s">
        <v>29</v>
      </c>
      <c r="D40">
        <v>75</v>
      </c>
      <c r="E40">
        <v>18</v>
      </c>
      <c r="F40">
        <v>56</v>
      </c>
      <c r="G40">
        <v>74</v>
      </c>
      <c r="H40">
        <v>15</v>
      </c>
      <c r="I40">
        <v>18</v>
      </c>
      <c r="J40">
        <v>125</v>
      </c>
      <c r="K40">
        <v>5</v>
      </c>
      <c r="L40">
        <v>1</v>
      </c>
      <c r="M40">
        <v>12</v>
      </c>
      <c r="N40">
        <v>1</v>
      </c>
      <c r="O40">
        <v>1</v>
      </c>
      <c r="P40">
        <v>13</v>
      </c>
      <c r="Q40">
        <v>24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3">
      <c r="A41" t="s">
        <v>70</v>
      </c>
      <c r="B41" t="s">
        <v>71</v>
      </c>
      <c r="C41" t="s">
        <v>33</v>
      </c>
      <c r="D41">
        <v>79</v>
      </c>
      <c r="E41">
        <v>34</v>
      </c>
      <c r="F41">
        <v>40</v>
      </c>
      <c r="G41">
        <v>74</v>
      </c>
      <c r="H41">
        <v>-7</v>
      </c>
      <c r="I41">
        <v>52</v>
      </c>
      <c r="J41">
        <v>312</v>
      </c>
      <c r="K41">
        <v>6</v>
      </c>
      <c r="L41">
        <v>10</v>
      </c>
      <c r="M41">
        <v>8</v>
      </c>
      <c r="N41">
        <v>0</v>
      </c>
      <c r="O41">
        <v>0</v>
      </c>
      <c r="P41">
        <v>164</v>
      </c>
      <c r="Q41">
        <v>56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3">
      <c r="A42" t="s">
        <v>102</v>
      </c>
      <c r="B42" t="s">
        <v>48</v>
      </c>
      <c r="C42" t="s">
        <v>42</v>
      </c>
      <c r="D42">
        <v>82</v>
      </c>
      <c r="E42">
        <v>36</v>
      </c>
      <c r="F42">
        <v>37</v>
      </c>
      <c r="G42">
        <v>73</v>
      </c>
      <c r="H42">
        <v>38</v>
      </c>
      <c r="I42">
        <v>22</v>
      </c>
      <c r="J42">
        <v>229</v>
      </c>
      <c r="K42">
        <v>9</v>
      </c>
      <c r="L42">
        <v>9</v>
      </c>
      <c r="M42">
        <v>13</v>
      </c>
      <c r="N42">
        <v>1</v>
      </c>
      <c r="O42">
        <v>2</v>
      </c>
      <c r="P42">
        <v>70</v>
      </c>
      <c r="Q42">
        <v>48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3">
      <c r="A43" t="s">
        <v>85</v>
      </c>
      <c r="B43" t="s">
        <v>41</v>
      </c>
      <c r="C43" t="s">
        <v>33</v>
      </c>
      <c r="D43">
        <v>69</v>
      </c>
      <c r="E43">
        <v>31</v>
      </c>
      <c r="F43">
        <v>42</v>
      </c>
      <c r="G43">
        <v>73</v>
      </c>
      <c r="H43">
        <v>23</v>
      </c>
      <c r="I43">
        <v>75</v>
      </c>
      <c r="J43">
        <v>214</v>
      </c>
      <c r="K43">
        <v>7</v>
      </c>
      <c r="L43">
        <v>8</v>
      </c>
      <c r="M43">
        <v>9</v>
      </c>
      <c r="N43">
        <v>0</v>
      </c>
      <c r="O43">
        <v>0</v>
      </c>
      <c r="P43">
        <v>123</v>
      </c>
      <c r="Q43">
        <v>41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3">
      <c r="A44" t="s">
        <v>77</v>
      </c>
      <c r="B44" t="s">
        <v>39</v>
      </c>
      <c r="C44" t="s">
        <v>29</v>
      </c>
      <c r="D44">
        <v>74</v>
      </c>
      <c r="E44">
        <v>23</v>
      </c>
      <c r="F44">
        <v>50</v>
      </c>
      <c r="G44">
        <v>73</v>
      </c>
      <c r="H44">
        <v>7</v>
      </c>
      <c r="I44">
        <v>42</v>
      </c>
      <c r="J44">
        <v>193</v>
      </c>
      <c r="K44">
        <v>4</v>
      </c>
      <c r="L44">
        <v>7</v>
      </c>
      <c r="M44">
        <v>18</v>
      </c>
      <c r="N44">
        <v>1</v>
      </c>
      <c r="O44">
        <v>2</v>
      </c>
      <c r="P44">
        <v>41</v>
      </c>
      <c r="Q44">
        <v>25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3">
      <c r="A45" t="s">
        <v>67</v>
      </c>
      <c r="B45" t="s">
        <v>65</v>
      </c>
      <c r="C45" t="s">
        <v>42</v>
      </c>
      <c r="D45">
        <v>82</v>
      </c>
      <c r="E45">
        <v>25</v>
      </c>
      <c r="F45">
        <v>47</v>
      </c>
      <c r="G45">
        <v>72</v>
      </c>
      <c r="H45">
        <v>14</v>
      </c>
      <c r="I45">
        <v>18</v>
      </c>
      <c r="J45">
        <v>208</v>
      </c>
      <c r="K45">
        <v>6</v>
      </c>
      <c r="L45">
        <v>11</v>
      </c>
      <c r="M45">
        <v>12</v>
      </c>
      <c r="N45">
        <v>0</v>
      </c>
      <c r="O45">
        <v>0</v>
      </c>
      <c r="P45">
        <v>92</v>
      </c>
      <c r="Q45">
        <v>64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3">
      <c r="A46" t="s">
        <v>99</v>
      </c>
      <c r="B46" t="s">
        <v>100</v>
      </c>
      <c r="C46" t="s">
        <v>29</v>
      </c>
      <c r="D46">
        <v>77</v>
      </c>
      <c r="E46">
        <v>34</v>
      </c>
      <c r="F46">
        <v>38</v>
      </c>
      <c r="G46">
        <v>72</v>
      </c>
      <c r="H46">
        <v>2</v>
      </c>
      <c r="I46">
        <v>34</v>
      </c>
      <c r="J46">
        <v>217</v>
      </c>
      <c r="K46">
        <v>6</v>
      </c>
      <c r="L46">
        <v>10</v>
      </c>
      <c r="M46">
        <v>12</v>
      </c>
      <c r="N46">
        <v>0</v>
      </c>
      <c r="O46">
        <v>0</v>
      </c>
      <c r="P46">
        <v>36</v>
      </c>
      <c r="Q46">
        <v>26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3">
      <c r="A47" t="s">
        <v>36</v>
      </c>
      <c r="B47" t="s">
        <v>37</v>
      </c>
      <c r="C47" t="s">
        <v>33</v>
      </c>
      <c r="D47">
        <v>60</v>
      </c>
      <c r="E47">
        <v>29</v>
      </c>
      <c r="F47">
        <v>43</v>
      </c>
      <c r="G47">
        <v>72</v>
      </c>
      <c r="H47">
        <v>20</v>
      </c>
      <c r="I47">
        <v>78</v>
      </c>
      <c r="J47">
        <v>203</v>
      </c>
      <c r="K47">
        <v>6</v>
      </c>
      <c r="L47">
        <v>6</v>
      </c>
      <c r="M47">
        <v>16</v>
      </c>
      <c r="N47">
        <v>3</v>
      </c>
      <c r="O47">
        <v>2</v>
      </c>
      <c r="P47">
        <v>66</v>
      </c>
      <c r="Q47">
        <v>15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3">
      <c r="A48" t="s">
        <v>128</v>
      </c>
      <c r="B48" t="s">
        <v>59</v>
      </c>
      <c r="C48" t="s">
        <v>42</v>
      </c>
      <c r="D48">
        <v>74</v>
      </c>
      <c r="E48">
        <v>37</v>
      </c>
      <c r="F48">
        <v>35</v>
      </c>
      <c r="G48">
        <v>72</v>
      </c>
      <c r="H48">
        <v>4</v>
      </c>
      <c r="I48">
        <v>28</v>
      </c>
      <c r="J48">
        <v>230</v>
      </c>
      <c r="K48">
        <v>7</v>
      </c>
      <c r="L48">
        <v>9</v>
      </c>
      <c r="M48">
        <v>14</v>
      </c>
      <c r="N48">
        <v>0</v>
      </c>
      <c r="O48">
        <v>0</v>
      </c>
      <c r="P48">
        <v>57</v>
      </c>
      <c r="Q48">
        <v>20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3">
      <c r="A49" t="s">
        <v>118</v>
      </c>
      <c r="B49" t="s">
        <v>32</v>
      </c>
      <c r="C49" t="s">
        <v>93</v>
      </c>
      <c r="D49">
        <v>80</v>
      </c>
      <c r="E49">
        <v>10</v>
      </c>
      <c r="F49">
        <v>61</v>
      </c>
      <c r="G49">
        <v>71</v>
      </c>
      <c r="H49">
        <v>21</v>
      </c>
      <c r="I49">
        <v>24</v>
      </c>
      <c r="J49">
        <v>162</v>
      </c>
      <c r="K49">
        <v>2</v>
      </c>
      <c r="L49">
        <v>1</v>
      </c>
      <c r="M49">
        <v>30</v>
      </c>
      <c r="N49">
        <v>1</v>
      </c>
      <c r="O49">
        <v>1</v>
      </c>
      <c r="P49">
        <v>33</v>
      </c>
      <c r="Q49">
        <v>136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3">
      <c r="A50" t="s">
        <v>89</v>
      </c>
      <c r="B50" t="s">
        <v>63</v>
      </c>
      <c r="C50" t="s">
        <v>42</v>
      </c>
      <c r="D50">
        <v>79</v>
      </c>
      <c r="E50">
        <v>30</v>
      </c>
      <c r="F50">
        <v>41</v>
      </c>
      <c r="G50">
        <v>71</v>
      </c>
      <c r="H50">
        <v>17</v>
      </c>
      <c r="I50">
        <v>75</v>
      </c>
      <c r="J50">
        <v>254</v>
      </c>
      <c r="K50">
        <v>6</v>
      </c>
      <c r="L50">
        <v>8</v>
      </c>
      <c r="M50">
        <v>14</v>
      </c>
      <c r="N50">
        <v>0</v>
      </c>
      <c r="O50">
        <v>0</v>
      </c>
      <c r="P50">
        <v>186</v>
      </c>
      <c r="Q50">
        <v>18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3">
      <c r="A51" t="s">
        <v>138</v>
      </c>
      <c r="B51" t="s">
        <v>84</v>
      </c>
      <c r="C51" t="s">
        <v>29</v>
      </c>
      <c r="D51">
        <v>75</v>
      </c>
      <c r="E51">
        <v>30</v>
      </c>
      <c r="F51">
        <v>41</v>
      </c>
      <c r="G51">
        <v>71</v>
      </c>
      <c r="H51">
        <v>-11</v>
      </c>
      <c r="I51">
        <v>49</v>
      </c>
      <c r="J51">
        <v>231</v>
      </c>
      <c r="K51">
        <v>4</v>
      </c>
      <c r="L51">
        <v>6</v>
      </c>
      <c r="M51">
        <v>9</v>
      </c>
      <c r="N51">
        <v>0</v>
      </c>
      <c r="O51">
        <v>1</v>
      </c>
      <c r="P51">
        <v>78</v>
      </c>
      <c r="Q51">
        <v>32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3">
      <c r="A52" t="s">
        <v>144</v>
      </c>
      <c r="B52" t="s">
        <v>46</v>
      </c>
      <c r="C52" t="s">
        <v>42</v>
      </c>
      <c r="D52">
        <v>74</v>
      </c>
      <c r="E52">
        <v>31</v>
      </c>
      <c r="F52">
        <v>39</v>
      </c>
      <c r="G52">
        <v>70</v>
      </c>
      <c r="H52">
        <v>9</v>
      </c>
      <c r="I52">
        <v>21</v>
      </c>
      <c r="J52">
        <v>216</v>
      </c>
      <c r="K52">
        <v>2</v>
      </c>
      <c r="L52">
        <v>11</v>
      </c>
      <c r="M52">
        <v>13</v>
      </c>
      <c r="N52">
        <v>0</v>
      </c>
      <c r="O52">
        <v>0</v>
      </c>
      <c r="P52">
        <v>62</v>
      </c>
      <c r="Q52">
        <v>34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3">
      <c r="A53" t="s">
        <v>110</v>
      </c>
      <c r="B53" t="s">
        <v>39</v>
      </c>
      <c r="C53" t="s">
        <v>93</v>
      </c>
      <c r="D53">
        <v>78</v>
      </c>
      <c r="E53">
        <v>15</v>
      </c>
      <c r="F53">
        <v>55</v>
      </c>
      <c r="G53">
        <v>70</v>
      </c>
      <c r="H53">
        <v>10</v>
      </c>
      <c r="I53">
        <v>20</v>
      </c>
      <c r="J53">
        <v>191</v>
      </c>
      <c r="K53">
        <v>2</v>
      </c>
      <c r="L53">
        <v>5</v>
      </c>
      <c r="M53">
        <v>21</v>
      </c>
      <c r="N53">
        <v>0</v>
      </c>
      <c r="O53">
        <v>2</v>
      </c>
      <c r="P53">
        <v>73</v>
      </c>
      <c r="Q53">
        <v>119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3">
      <c r="A54" t="s">
        <v>382</v>
      </c>
      <c r="B54" t="s">
        <v>28</v>
      </c>
      <c r="C54" t="s">
        <v>33</v>
      </c>
      <c r="D54">
        <v>75</v>
      </c>
      <c r="E54">
        <v>36</v>
      </c>
      <c r="F54">
        <v>34</v>
      </c>
      <c r="G54">
        <v>70</v>
      </c>
      <c r="H54">
        <v>22</v>
      </c>
      <c r="I54">
        <v>135</v>
      </c>
      <c r="J54">
        <v>274</v>
      </c>
      <c r="K54">
        <v>8</v>
      </c>
      <c r="L54">
        <v>8</v>
      </c>
      <c r="M54">
        <v>8</v>
      </c>
      <c r="N54">
        <v>2</v>
      </c>
      <c r="O54">
        <v>2</v>
      </c>
      <c r="P54">
        <v>172</v>
      </c>
      <c r="Q54">
        <v>24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3">
      <c r="A55" t="s">
        <v>81</v>
      </c>
      <c r="B55" t="s">
        <v>82</v>
      </c>
      <c r="C55" t="s">
        <v>29</v>
      </c>
      <c r="D55">
        <v>82</v>
      </c>
      <c r="E55">
        <v>21</v>
      </c>
      <c r="F55">
        <v>49</v>
      </c>
      <c r="G55">
        <v>70</v>
      </c>
      <c r="H55">
        <v>-2</v>
      </c>
      <c r="I55">
        <v>14</v>
      </c>
      <c r="J55">
        <v>205</v>
      </c>
      <c r="K55">
        <v>5</v>
      </c>
      <c r="L55">
        <v>6</v>
      </c>
      <c r="M55">
        <v>18</v>
      </c>
      <c r="N55">
        <v>0</v>
      </c>
      <c r="O55">
        <v>1</v>
      </c>
      <c r="P55">
        <v>71</v>
      </c>
      <c r="Q55">
        <v>69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3">
      <c r="A56" t="s">
        <v>179</v>
      </c>
      <c r="B56" t="s">
        <v>73</v>
      </c>
      <c r="C56" t="s">
        <v>33</v>
      </c>
      <c r="D56">
        <v>80</v>
      </c>
      <c r="E56">
        <v>31</v>
      </c>
      <c r="F56">
        <v>39</v>
      </c>
      <c r="G56">
        <v>70</v>
      </c>
      <c r="H56">
        <v>-7</v>
      </c>
      <c r="I56">
        <v>121</v>
      </c>
      <c r="J56">
        <v>309</v>
      </c>
      <c r="K56">
        <v>5</v>
      </c>
      <c r="L56">
        <v>9</v>
      </c>
      <c r="M56">
        <v>9</v>
      </c>
      <c r="N56">
        <v>0</v>
      </c>
      <c r="O56">
        <v>0</v>
      </c>
      <c r="P56">
        <v>294</v>
      </c>
      <c r="Q56">
        <v>29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3">
      <c r="A57" t="s">
        <v>129</v>
      </c>
      <c r="B57" t="s">
        <v>79</v>
      </c>
      <c r="C57" t="s">
        <v>93</v>
      </c>
      <c r="D57">
        <v>78</v>
      </c>
      <c r="E57">
        <v>9</v>
      </c>
      <c r="F57">
        <v>60</v>
      </c>
      <c r="G57">
        <v>69</v>
      </c>
      <c r="H57">
        <v>4</v>
      </c>
      <c r="I57">
        <v>28</v>
      </c>
      <c r="J57">
        <v>154</v>
      </c>
      <c r="K57">
        <v>2</v>
      </c>
      <c r="L57">
        <v>1</v>
      </c>
      <c r="M57">
        <v>30</v>
      </c>
      <c r="N57">
        <v>0</v>
      </c>
      <c r="O57">
        <v>1</v>
      </c>
      <c r="P57">
        <v>20</v>
      </c>
      <c r="Q57">
        <v>57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3">
      <c r="A58" t="s">
        <v>277</v>
      </c>
      <c r="B58" t="s">
        <v>106</v>
      </c>
      <c r="C58" t="s">
        <v>29</v>
      </c>
      <c r="D58">
        <v>70</v>
      </c>
      <c r="E58">
        <v>30</v>
      </c>
      <c r="F58">
        <v>39</v>
      </c>
      <c r="G58">
        <v>69</v>
      </c>
      <c r="H58">
        <v>-9</v>
      </c>
      <c r="I58">
        <v>12</v>
      </c>
      <c r="J58">
        <v>227</v>
      </c>
      <c r="K58">
        <v>5</v>
      </c>
      <c r="L58">
        <v>7</v>
      </c>
      <c r="M58">
        <v>11</v>
      </c>
      <c r="N58">
        <v>0</v>
      </c>
      <c r="O58">
        <v>0</v>
      </c>
      <c r="P58">
        <v>13</v>
      </c>
      <c r="Q58">
        <v>20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3">
      <c r="A59" t="s">
        <v>105</v>
      </c>
      <c r="B59" t="s">
        <v>106</v>
      </c>
      <c r="C59" t="s">
        <v>33</v>
      </c>
      <c r="D59">
        <v>73</v>
      </c>
      <c r="E59">
        <v>25</v>
      </c>
      <c r="F59">
        <v>44</v>
      </c>
      <c r="G59">
        <v>69</v>
      </c>
      <c r="H59">
        <v>7</v>
      </c>
      <c r="I59">
        <v>14</v>
      </c>
      <c r="J59">
        <v>190</v>
      </c>
      <c r="K59">
        <v>5</v>
      </c>
      <c r="L59">
        <v>3</v>
      </c>
      <c r="M59">
        <v>13</v>
      </c>
      <c r="N59">
        <v>0</v>
      </c>
      <c r="O59">
        <v>0</v>
      </c>
      <c r="P59">
        <v>30</v>
      </c>
      <c r="Q59">
        <v>29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3">
      <c r="A60" t="s">
        <v>88</v>
      </c>
      <c r="B60" t="s">
        <v>79</v>
      </c>
      <c r="C60" t="s">
        <v>29</v>
      </c>
      <c r="D60">
        <v>78</v>
      </c>
      <c r="E60">
        <v>31</v>
      </c>
      <c r="F60">
        <v>38</v>
      </c>
      <c r="G60">
        <v>69</v>
      </c>
      <c r="H60">
        <v>3</v>
      </c>
      <c r="I60">
        <v>12</v>
      </c>
      <c r="J60">
        <v>192</v>
      </c>
      <c r="K60">
        <v>5</v>
      </c>
      <c r="L60">
        <v>10</v>
      </c>
      <c r="M60">
        <v>16</v>
      </c>
      <c r="N60">
        <v>1</v>
      </c>
      <c r="O60">
        <v>0</v>
      </c>
      <c r="P60">
        <v>48</v>
      </c>
      <c r="Q60">
        <v>41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3">
      <c r="A61" t="s">
        <v>130</v>
      </c>
      <c r="B61" t="s">
        <v>73</v>
      </c>
      <c r="C61" t="s">
        <v>29</v>
      </c>
      <c r="D61">
        <v>78</v>
      </c>
      <c r="E61">
        <v>23</v>
      </c>
      <c r="F61">
        <v>46</v>
      </c>
      <c r="G61">
        <v>69</v>
      </c>
      <c r="H61">
        <v>-4</v>
      </c>
      <c r="I61">
        <v>26</v>
      </c>
      <c r="J61">
        <v>196</v>
      </c>
      <c r="K61">
        <v>4</v>
      </c>
      <c r="L61">
        <v>6</v>
      </c>
      <c r="M61">
        <v>20</v>
      </c>
      <c r="N61">
        <v>0</v>
      </c>
      <c r="O61">
        <v>1</v>
      </c>
      <c r="P61">
        <v>62</v>
      </c>
      <c r="Q61">
        <v>16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3">
      <c r="A62" t="s">
        <v>69</v>
      </c>
      <c r="B62" t="s">
        <v>61</v>
      </c>
      <c r="C62" t="s">
        <v>29</v>
      </c>
      <c r="D62">
        <v>75</v>
      </c>
      <c r="E62">
        <v>31</v>
      </c>
      <c r="F62">
        <v>38</v>
      </c>
      <c r="G62">
        <v>69</v>
      </c>
      <c r="H62">
        <v>5</v>
      </c>
      <c r="I62">
        <v>30</v>
      </c>
      <c r="J62">
        <v>193</v>
      </c>
      <c r="K62">
        <v>6</v>
      </c>
      <c r="L62">
        <v>9</v>
      </c>
      <c r="M62">
        <v>13</v>
      </c>
      <c r="N62">
        <v>0</v>
      </c>
      <c r="O62">
        <v>0</v>
      </c>
      <c r="P62">
        <v>68</v>
      </c>
      <c r="Q62">
        <v>29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3">
      <c r="A63" t="s">
        <v>145</v>
      </c>
      <c r="B63" t="s">
        <v>98</v>
      </c>
      <c r="C63" t="s">
        <v>29</v>
      </c>
      <c r="D63">
        <v>76</v>
      </c>
      <c r="E63">
        <v>31</v>
      </c>
      <c r="F63">
        <v>37</v>
      </c>
      <c r="G63">
        <v>68</v>
      </c>
      <c r="H63">
        <v>7</v>
      </c>
      <c r="I63">
        <v>24</v>
      </c>
      <c r="J63">
        <v>254</v>
      </c>
      <c r="K63">
        <v>5</v>
      </c>
      <c r="L63">
        <v>6</v>
      </c>
      <c r="M63">
        <v>15</v>
      </c>
      <c r="N63">
        <v>0</v>
      </c>
      <c r="O63">
        <v>0</v>
      </c>
      <c r="P63">
        <v>69</v>
      </c>
      <c r="Q63">
        <v>53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3">
      <c r="A64" t="s">
        <v>53</v>
      </c>
      <c r="B64" t="s">
        <v>48</v>
      </c>
      <c r="C64" t="s">
        <v>29</v>
      </c>
      <c r="D64">
        <v>72</v>
      </c>
      <c r="E64">
        <v>27</v>
      </c>
      <c r="F64">
        <v>41</v>
      </c>
      <c r="G64">
        <v>68</v>
      </c>
      <c r="H64">
        <v>12</v>
      </c>
      <c r="I64">
        <v>72</v>
      </c>
      <c r="J64">
        <v>234</v>
      </c>
      <c r="K64">
        <v>4</v>
      </c>
      <c r="L64">
        <v>6</v>
      </c>
      <c r="M64">
        <v>17</v>
      </c>
      <c r="N64">
        <v>0</v>
      </c>
      <c r="O64">
        <v>0</v>
      </c>
      <c r="P64">
        <v>62</v>
      </c>
      <c r="Q64">
        <v>20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3">
      <c r="A65" t="s">
        <v>156</v>
      </c>
      <c r="B65" t="s">
        <v>87</v>
      </c>
      <c r="C65" t="s">
        <v>42</v>
      </c>
      <c r="D65">
        <v>72</v>
      </c>
      <c r="E65">
        <v>21</v>
      </c>
      <c r="F65">
        <v>47</v>
      </c>
      <c r="G65">
        <v>68</v>
      </c>
      <c r="H65">
        <v>18</v>
      </c>
      <c r="I65">
        <v>22</v>
      </c>
      <c r="J65">
        <v>154</v>
      </c>
      <c r="K65">
        <v>4</v>
      </c>
      <c r="L65">
        <v>6</v>
      </c>
      <c r="M65">
        <v>19</v>
      </c>
      <c r="N65">
        <v>0</v>
      </c>
      <c r="O65">
        <v>0</v>
      </c>
      <c r="P65">
        <v>32</v>
      </c>
      <c r="Q65">
        <v>34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3">
      <c r="A66" t="s">
        <v>80</v>
      </c>
      <c r="B66" t="s">
        <v>75</v>
      </c>
      <c r="C66" t="s">
        <v>29</v>
      </c>
      <c r="D66">
        <v>80</v>
      </c>
      <c r="E66">
        <v>23</v>
      </c>
      <c r="F66">
        <v>44</v>
      </c>
      <c r="G66">
        <v>67</v>
      </c>
      <c r="H66">
        <v>15</v>
      </c>
      <c r="I66">
        <v>14</v>
      </c>
      <c r="J66">
        <v>174</v>
      </c>
      <c r="K66">
        <v>4</v>
      </c>
      <c r="L66">
        <v>7</v>
      </c>
      <c r="M66">
        <v>11</v>
      </c>
      <c r="N66">
        <v>1</v>
      </c>
      <c r="O66">
        <v>2</v>
      </c>
      <c r="P66">
        <v>21</v>
      </c>
      <c r="Q66">
        <v>40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3">
      <c r="A67" t="s">
        <v>186</v>
      </c>
      <c r="B67" t="s">
        <v>46</v>
      </c>
      <c r="C67" t="s">
        <v>93</v>
      </c>
      <c r="D67">
        <v>77</v>
      </c>
      <c r="E67">
        <v>12</v>
      </c>
      <c r="F67">
        <v>55</v>
      </c>
      <c r="G67">
        <v>67</v>
      </c>
      <c r="H67">
        <v>19</v>
      </c>
      <c r="I67">
        <v>48</v>
      </c>
      <c r="J67">
        <v>208</v>
      </c>
      <c r="K67">
        <v>2</v>
      </c>
      <c r="L67">
        <v>3</v>
      </c>
      <c r="M67">
        <v>19</v>
      </c>
      <c r="N67">
        <v>0</v>
      </c>
      <c r="O67">
        <v>0</v>
      </c>
      <c r="P67">
        <v>158</v>
      </c>
      <c r="Q67">
        <v>115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3">
      <c r="A68" t="s">
        <v>107</v>
      </c>
      <c r="B68" t="s">
        <v>65</v>
      </c>
      <c r="C68" t="s">
        <v>33</v>
      </c>
      <c r="D68">
        <v>75</v>
      </c>
      <c r="E68">
        <v>34</v>
      </c>
      <c r="F68">
        <v>33</v>
      </c>
      <c r="G68">
        <v>67</v>
      </c>
      <c r="H68">
        <v>14</v>
      </c>
      <c r="I68">
        <v>24</v>
      </c>
      <c r="J68">
        <v>204</v>
      </c>
      <c r="K68">
        <v>7</v>
      </c>
      <c r="L68">
        <v>8</v>
      </c>
      <c r="M68">
        <v>14</v>
      </c>
      <c r="N68">
        <v>2</v>
      </c>
      <c r="O68">
        <v>1</v>
      </c>
      <c r="P68">
        <v>80</v>
      </c>
      <c r="Q68">
        <v>46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3">
      <c r="A69" t="s">
        <v>180</v>
      </c>
      <c r="B69" t="s">
        <v>181</v>
      </c>
      <c r="C69" t="s">
        <v>29</v>
      </c>
      <c r="D69">
        <v>76</v>
      </c>
      <c r="E69">
        <v>28</v>
      </c>
      <c r="F69">
        <v>39</v>
      </c>
      <c r="G69">
        <v>67</v>
      </c>
      <c r="H69">
        <v>2</v>
      </c>
      <c r="I69">
        <v>28</v>
      </c>
      <c r="J69">
        <v>198</v>
      </c>
      <c r="K69">
        <v>4</v>
      </c>
      <c r="L69">
        <v>7</v>
      </c>
      <c r="M69">
        <v>10</v>
      </c>
      <c r="N69">
        <v>1</v>
      </c>
      <c r="O69">
        <v>1</v>
      </c>
      <c r="P69">
        <v>20</v>
      </c>
      <c r="Q69">
        <v>29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3">
      <c r="A70" t="s">
        <v>212</v>
      </c>
      <c r="B70" t="s">
        <v>122</v>
      </c>
      <c r="C70" t="s">
        <v>29</v>
      </c>
      <c r="D70">
        <v>76</v>
      </c>
      <c r="E70">
        <v>25</v>
      </c>
      <c r="F70">
        <v>42</v>
      </c>
      <c r="G70">
        <v>67</v>
      </c>
      <c r="H70">
        <v>-15</v>
      </c>
      <c r="I70">
        <v>46</v>
      </c>
      <c r="J70">
        <v>193</v>
      </c>
      <c r="K70">
        <v>5</v>
      </c>
      <c r="L70">
        <v>8</v>
      </c>
      <c r="M70">
        <v>10</v>
      </c>
      <c r="N70">
        <v>0</v>
      </c>
      <c r="O70">
        <v>0</v>
      </c>
      <c r="P70">
        <v>52</v>
      </c>
      <c r="Q70">
        <v>25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3">
      <c r="A71" t="s">
        <v>108</v>
      </c>
      <c r="B71" t="s">
        <v>46</v>
      </c>
      <c r="C71" t="s">
        <v>29</v>
      </c>
      <c r="D71">
        <v>68</v>
      </c>
      <c r="E71">
        <v>26</v>
      </c>
      <c r="F71">
        <v>40</v>
      </c>
      <c r="G71">
        <v>66</v>
      </c>
      <c r="H71">
        <v>-12</v>
      </c>
      <c r="I71">
        <v>45</v>
      </c>
      <c r="J71">
        <v>201</v>
      </c>
      <c r="K71">
        <v>8</v>
      </c>
      <c r="L71">
        <v>14</v>
      </c>
      <c r="M71">
        <v>17</v>
      </c>
      <c r="N71">
        <v>0</v>
      </c>
      <c r="O71">
        <v>0</v>
      </c>
      <c r="P71">
        <v>37</v>
      </c>
      <c r="Q71">
        <v>29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3">
      <c r="A72" t="s">
        <v>593</v>
      </c>
      <c r="B72" t="s">
        <v>35</v>
      </c>
      <c r="C72" t="s">
        <v>33</v>
      </c>
      <c r="D72">
        <v>77</v>
      </c>
      <c r="E72">
        <v>24</v>
      </c>
      <c r="F72">
        <v>41</v>
      </c>
      <c r="G72">
        <v>65</v>
      </c>
      <c r="H72">
        <v>22</v>
      </c>
      <c r="I72">
        <v>76</v>
      </c>
      <c r="J72">
        <v>174</v>
      </c>
      <c r="K72">
        <v>4</v>
      </c>
      <c r="L72">
        <v>3</v>
      </c>
      <c r="M72">
        <v>3</v>
      </c>
      <c r="N72">
        <v>0</v>
      </c>
      <c r="O72">
        <v>0</v>
      </c>
      <c r="P72">
        <v>86</v>
      </c>
      <c r="Q72">
        <v>19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3">
      <c r="A73" t="s">
        <v>119</v>
      </c>
      <c r="B73" t="s">
        <v>120</v>
      </c>
      <c r="C73" t="s">
        <v>29</v>
      </c>
      <c r="D73">
        <v>82</v>
      </c>
      <c r="E73">
        <v>22</v>
      </c>
      <c r="F73">
        <v>42</v>
      </c>
      <c r="G73">
        <v>64</v>
      </c>
      <c r="H73">
        <v>-22</v>
      </c>
      <c r="I73">
        <v>30</v>
      </c>
      <c r="J73">
        <v>194</v>
      </c>
      <c r="K73">
        <v>4</v>
      </c>
      <c r="L73">
        <v>8</v>
      </c>
      <c r="M73">
        <v>13</v>
      </c>
      <c r="N73">
        <v>1</v>
      </c>
      <c r="O73">
        <v>2</v>
      </c>
      <c r="P73">
        <v>94</v>
      </c>
      <c r="Q73">
        <v>59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 x14ac:dyDescent="0.3">
      <c r="A74" t="s">
        <v>101</v>
      </c>
      <c r="B74" t="s">
        <v>52</v>
      </c>
      <c r="C74" t="s">
        <v>42</v>
      </c>
      <c r="D74">
        <v>68</v>
      </c>
      <c r="E74">
        <v>18</v>
      </c>
      <c r="F74">
        <v>46</v>
      </c>
      <c r="G74">
        <v>64</v>
      </c>
      <c r="H74">
        <v>-16</v>
      </c>
      <c r="I74">
        <v>46</v>
      </c>
      <c r="J74">
        <v>171</v>
      </c>
      <c r="K74">
        <v>2</v>
      </c>
      <c r="L74">
        <v>4</v>
      </c>
      <c r="M74">
        <v>17</v>
      </c>
      <c r="N74">
        <v>0</v>
      </c>
      <c r="O74">
        <v>0</v>
      </c>
      <c r="P74">
        <v>72</v>
      </c>
      <c r="Q74">
        <v>41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 x14ac:dyDescent="0.3">
      <c r="A75" t="s">
        <v>189</v>
      </c>
      <c r="B75" t="s">
        <v>35</v>
      </c>
      <c r="C75" t="s">
        <v>93</v>
      </c>
      <c r="D75">
        <v>79</v>
      </c>
      <c r="E75">
        <v>9</v>
      </c>
      <c r="F75">
        <v>55</v>
      </c>
      <c r="G75">
        <v>64</v>
      </c>
      <c r="H75">
        <v>15</v>
      </c>
      <c r="I75">
        <v>34</v>
      </c>
      <c r="J75">
        <v>209</v>
      </c>
      <c r="K75">
        <v>2</v>
      </c>
      <c r="L75">
        <v>2</v>
      </c>
      <c r="M75">
        <v>19</v>
      </c>
      <c r="N75">
        <v>0</v>
      </c>
      <c r="O75">
        <v>2</v>
      </c>
      <c r="P75">
        <v>87</v>
      </c>
      <c r="Q75">
        <v>85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 x14ac:dyDescent="0.3">
      <c r="A76" t="s">
        <v>94</v>
      </c>
      <c r="B76" t="s">
        <v>95</v>
      </c>
      <c r="C76" t="s">
        <v>29</v>
      </c>
      <c r="D76">
        <v>78</v>
      </c>
      <c r="E76">
        <v>19</v>
      </c>
      <c r="F76">
        <v>44</v>
      </c>
      <c r="G76">
        <v>63</v>
      </c>
      <c r="H76">
        <v>-7</v>
      </c>
      <c r="I76">
        <v>30</v>
      </c>
      <c r="J76">
        <v>176</v>
      </c>
      <c r="K76">
        <v>3</v>
      </c>
      <c r="L76">
        <v>2</v>
      </c>
      <c r="M76">
        <v>16</v>
      </c>
      <c r="N76">
        <v>0</v>
      </c>
      <c r="O76">
        <v>0</v>
      </c>
      <c r="P76">
        <v>32</v>
      </c>
      <c r="Q76">
        <v>21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 x14ac:dyDescent="0.3">
      <c r="A77" t="s">
        <v>127</v>
      </c>
      <c r="B77" t="s">
        <v>63</v>
      </c>
      <c r="C77" t="s">
        <v>29</v>
      </c>
      <c r="D77">
        <v>76</v>
      </c>
      <c r="E77">
        <v>20</v>
      </c>
      <c r="F77">
        <v>43</v>
      </c>
      <c r="G77">
        <v>63</v>
      </c>
      <c r="H77">
        <v>21</v>
      </c>
      <c r="I77">
        <v>20</v>
      </c>
      <c r="J77">
        <v>193</v>
      </c>
      <c r="K77">
        <v>5</v>
      </c>
      <c r="L77">
        <v>7</v>
      </c>
      <c r="M77">
        <v>20</v>
      </c>
      <c r="N77">
        <v>1</v>
      </c>
      <c r="O77">
        <v>2</v>
      </c>
      <c r="P77">
        <v>16</v>
      </c>
      <c r="Q77">
        <v>30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 x14ac:dyDescent="0.3">
      <c r="A78" t="s">
        <v>133</v>
      </c>
      <c r="B78" t="s">
        <v>98</v>
      </c>
      <c r="C78" t="s">
        <v>33</v>
      </c>
      <c r="D78">
        <v>78</v>
      </c>
      <c r="E78">
        <v>28</v>
      </c>
      <c r="F78">
        <v>35</v>
      </c>
      <c r="G78">
        <v>63</v>
      </c>
      <c r="H78">
        <v>7</v>
      </c>
      <c r="I78">
        <v>40</v>
      </c>
      <c r="J78">
        <v>264</v>
      </c>
      <c r="K78">
        <v>5</v>
      </c>
      <c r="L78">
        <v>5</v>
      </c>
      <c r="M78">
        <v>13</v>
      </c>
      <c r="N78">
        <v>0</v>
      </c>
      <c r="O78">
        <v>0</v>
      </c>
      <c r="P78">
        <v>68</v>
      </c>
      <c r="Q78">
        <v>17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 x14ac:dyDescent="0.3">
      <c r="A79" t="s">
        <v>147</v>
      </c>
      <c r="B79" t="s">
        <v>52</v>
      </c>
      <c r="C79" t="s">
        <v>29</v>
      </c>
      <c r="D79">
        <v>82</v>
      </c>
      <c r="E79">
        <v>29</v>
      </c>
      <c r="F79">
        <v>34</v>
      </c>
      <c r="G79">
        <v>63</v>
      </c>
      <c r="H79">
        <v>-7</v>
      </c>
      <c r="I79">
        <v>98</v>
      </c>
      <c r="J79">
        <v>240</v>
      </c>
      <c r="K79">
        <v>5</v>
      </c>
      <c r="L79">
        <v>12</v>
      </c>
      <c r="M79">
        <v>5</v>
      </c>
      <c r="N79">
        <v>0</v>
      </c>
      <c r="O79">
        <v>0</v>
      </c>
      <c r="P79">
        <v>115</v>
      </c>
      <c r="Q79">
        <v>51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 x14ac:dyDescent="0.3">
      <c r="A80" t="s">
        <v>194</v>
      </c>
      <c r="B80" t="s">
        <v>73</v>
      </c>
      <c r="C80" t="s">
        <v>33</v>
      </c>
      <c r="D80">
        <v>79</v>
      </c>
      <c r="E80">
        <v>25</v>
      </c>
      <c r="F80">
        <v>37</v>
      </c>
      <c r="G80">
        <v>62</v>
      </c>
      <c r="H80">
        <v>-21</v>
      </c>
      <c r="I80">
        <v>34</v>
      </c>
      <c r="J80">
        <v>187</v>
      </c>
      <c r="K80">
        <v>4</v>
      </c>
      <c r="L80">
        <v>7</v>
      </c>
      <c r="M80">
        <v>19</v>
      </c>
      <c r="N80">
        <v>1</v>
      </c>
      <c r="O80">
        <v>0</v>
      </c>
      <c r="P80">
        <v>122</v>
      </c>
      <c r="Q80">
        <v>47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3">
      <c r="A81" t="s">
        <v>391</v>
      </c>
      <c r="B81" t="s">
        <v>84</v>
      </c>
      <c r="C81" t="s">
        <v>42</v>
      </c>
      <c r="D81">
        <v>82</v>
      </c>
      <c r="E81">
        <v>25</v>
      </c>
      <c r="F81">
        <v>37</v>
      </c>
      <c r="G81">
        <v>62</v>
      </c>
      <c r="H81">
        <v>-24</v>
      </c>
      <c r="I81">
        <v>20</v>
      </c>
      <c r="J81">
        <v>194</v>
      </c>
      <c r="K81">
        <v>3</v>
      </c>
      <c r="L81">
        <v>6</v>
      </c>
      <c r="M81">
        <v>14</v>
      </c>
      <c r="N81">
        <v>0</v>
      </c>
      <c r="O81">
        <v>0</v>
      </c>
      <c r="P81">
        <v>65</v>
      </c>
      <c r="Q81">
        <v>25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 x14ac:dyDescent="0.3">
      <c r="A82" t="s">
        <v>141</v>
      </c>
      <c r="B82" t="s">
        <v>59</v>
      </c>
      <c r="C82" t="s">
        <v>33</v>
      </c>
      <c r="D82">
        <v>79</v>
      </c>
      <c r="E82">
        <v>11</v>
      </c>
      <c r="F82">
        <v>51</v>
      </c>
      <c r="G82">
        <v>62</v>
      </c>
      <c r="H82">
        <v>-5</v>
      </c>
      <c r="I82">
        <v>40</v>
      </c>
      <c r="J82">
        <v>155</v>
      </c>
      <c r="K82">
        <v>3</v>
      </c>
      <c r="L82">
        <v>2</v>
      </c>
      <c r="M82">
        <v>20</v>
      </c>
      <c r="N82">
        <v>0</v>
      </c>
      <c r="O82">
        <v>0</v>
      </c>
      <c r="P82">
        <v>25</v>
      </c>
      <c r="Q82">
        <v>26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3">
      <c r="A83" t="s">
        <v>207</v>
      </c>
      <c r="B83" t="s">
        <v>32</v>
      </c>
      <c r="C83" t="s">
        <v>33</v>
      </c>
      <c r="D83">
        <v>78</v>
      </c>
      <c r="E83">
        <v>36</v>
      </c>
      <c r="F83">
        <v>26</v>
      </c>
      <c r="G83">
        <v>62</v>
      </c>
      <c r="H83">
        <v>15</v>
      </c>
      <c r="I83">
        <v>30</v>
      </c>
      <c r="J83">
        <v>221</v>
      </c>
      <c r="K83">
        <v>8</v>
      </c>
      <c r="L83">
        <v>15</v>
      </c>
      <c r="M83">
        <v>10</v>
      </c>
      <c r="N83">
        <v>2</v>
      </c>
      <c r="O83">
        <v>0</v>
      </c>
      <c r="P83">
        <v>143</v>
      </c>
      <c r="Q83">
        <v>41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3">
      <c r="A84" t="s">
        <v>126</v>
      </c>
      <c r="B84" t="s">
        <v>28</v>
      </c>
      <c r="C84" t="s">
        <v>33</v>
      </c>
      <c r="D84">
        <v>72</v>
      </c>
      <c r="E84">
        <v>19</v>
      </c>
      <c r="F84">
        <v>42</v>
      </c>
      <c r="G84">
        <v>61</v>
      </c>
      <c r="H84">
        <v>5</v>
      </c>
      <c r="I84">
        <v>22</v>
      </c>
      <c r="J84">
        <v>168</v>
      </c>
      <c r="K84">
        <v>3</v>
      </c>
      <c r="L84">
        <v>6</v>
      </c>
      <c r="M84">
        <v>20</v>
      </c>
      <c r="N84">
        <v>1</v>
      </c>
      <c r="O84">
        <v>2</v>
      </c>
      <c r="P84">
        <v>45</v>
      </c>
      <c r="Q84">
        <v>40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 x14ac:dyDescent="0.3">
      <c r="A85" t="s">
        <v>103</v>
      </c>
      <c r="B85" t="s">
        <v>71</v>
      </c>
      <c r="C85" t="s">
        <v>33</v>
      </c>
      <c r="D85">
        <v>78</v>
      </c>
      <c r="E85">
        <v>29</v>
      </c>
      <c r="F85">
        <v>32</v>
      </c>
      <c r="G85">
        <v>61</v>
      </c>
      <c r="H85">
        <v>-8</v>
      </c>
      <c r="I85">
        <v>30</v>
      </c>
      <c r="J85">
        <v>195</v>
      </c>
      <c r="K85">
        <v>6</v>
      </c>
      <c r="L85">
        <v>6</v>
      </c>
      <c r="M85">
        <v>11</v>
      </c>
      <c r="N85">
        <v>1</v>
      </c>
      <c r="O85">
        <v>1</v>
      </c>
      <c r="P85">
        <v>96</v>
      </c>
      <c r="Q85">
        <v>55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 x14ac:dyDescent="0.3">
      <c r="A86" t="s">
        <v>247</v>
      </c>
      <c r="B86" t="s">
        <v>181</v>
      </c>
      <c r="C86" t="s">
        <v>42</v>
      </c>
      <c r="D86">
        <v>73</v>
      </c>
      <c r="E86">
        <v>20</v>
      </c>
      <c r="F86">
        <v>41</v>
      </c>
      <c r="G86">
        <v>61</v>
      </c>
      <c r="H86">
        <v>2</v>
      </c>
      <c r="I86">
        <v>20</v>
      </c>
      <c r="J86">
        <v>144</v>
      </c>
      <c r="K86">
        <v>4</v>
      </c>
      <c r="L86">
        <v>4</v>
      </c>
      <c r="M86">
        <v>7</v>
      </c>
      <c r="N86">
        <v>0</v>
      </c>
      <c r="O86">
        <v>0</v>
      </c>
      <c r="P86">
        <v>17</v>
      </c>
      <c r="Q86">
        <v>32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 x14ac:dyDescent="0.3">
      <c r="A87" t="s">
        <v>161</v>
      </c>
      <c r="B87" t="s">
        <v>73</v>
      </c>
      <c r="C87" t="s">
        <v>29</v>
      </c>
      <c r="D87">
        <v>75</v>
      </c>
      <c r="E87">
        <v>33</v>
      </c>
      <c r="F87">
        <v>28</v>
      </c>
      <c r="G87">
        <v>61</v>
      </c>
      <c r="H87">
        <v>-6</v>
      </c>
      <c r="I87">
        <v>18</v>
      </c>
      <c r="J87">
        <v>191</v>
      </c>
      <c r="K87">
        <v>6</v>
      </c>
      <c r="L87">
        <v>12</v>
      </c>
      <c r="M87">
        <v>9</v>
      </c>
      <c r="N87">
        <v>0</v>
      </c>
      <c r="O87">
        <v>1</v>
      </c>
      <c r="P87">
        <v>94</v>
      </c>
      <c r="Q87">
        <v>45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 x14ac:dyDescent="0.3">
      <c r="A88" t="s">
        <v>149</v>
      </c>
      <c r="B88" t="s">
        <v>73</v>
      </c>
      <c r="C88" t="s">
        <v>42</v>
      </c>
      <c r="D88">
        <v>76</v>
      </c>
      <c r="E88">
        <v>24</v>
      </c>
      <c r="F88">
        <v>37</v>
      </c>
      <c r="G88">
        <v>61</v>
      </c>
      <c r="H88">
        <v>-3</v>
      </c>
      <c r="I88">
        <v>42</v>
      </c>
      <c r="J88">
        <v>164</v>
      </c>
      <c r="K88">
        <v>4</v>
      </c>
      <c r="L88">
        <v>3</v>
      </c>
      <c r="M88">
        <v>13</v>
      </c>
      <c r="N88">
        <v>0</v>
      </c>
      <c r="O88">
        <v>0</v>
      </c>
      <c r="P88">
        <v>139</v>
      </c>
      <c r="Q88">
        <v>27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 x14ac:dyDescent="0.3">
      <c r="A89" t="s">
        <v>201</v>
      </c>
      <c r="B89" t="s">
        <v>57</v>
      </c>
      <c r="C89" t="s">
        <v>93</v>
      </c>
      <c r="D89">
        <v>68</v>
      </c>
      <c r="E89">
        <v>16</v>
      </c>
      <c r="F89">
        <v>44</v>
      </c>
      <c r="G89">
        <v>60</v>
      </c>
      <c r="H89">
        <v>31</v>
      </c>
      <c r="I89">
        <v>28</v>
      </c>
      <c r="J89">
        <v>194</v>
      </c>
      <c r="K89">
        <v>3</v>
      </c>
      <c r="L89">
        <v>4</v>
      </c>
      <c r="M89">
        <v>17</v>
      </c>
      <c r="N89">
        <v>0</v>
      </c>
      <c r="O89">
        <v>2</v>
      </c>
      <c r="P89">
        <v>67</v>
      </c>
      <c r="Q89">
        <v>74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 x14ac:dyDescent="0.3">
      <c r="A90" t="s">
        <v>97</v>
      </c>
      <c r="B90" t="s">
        <v>98</v>
      </c>
      <c r="C90" t="s">
        <v>42</v>
      </c>
      <c r="D90">
        <v>68</v>
      </c>
      <c r="E90">
        <v>20</v>
      </c>
      <c r="F90">
        <v>40</v>
      </c>
      <c r="G90">
        <v>60</v>
      </c>
      <c r="H90">
        <v>15</v>
      </c>
      <c r="I90">
        <v>22</v>
      </c>
      <c r="J90">
        <v>148</v>
      </c>
      <c r="K90">
        <v>6</v>
      </c>
      <c r="L90">
        <v>6</v>
      </c>
      <c r="M90">
        <v>9</v>
      </c>
      <c r="N90">
        <v>1</v>
      </c>
      <c r="O90">
        <v>1</v>
      </c>
      <c r="P90">
        <v>35</v>
      </c>
      <c r="Q90">
        <v>40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 x14ac:dyDescent="0.3">
      <c r="A91" t="s">
        <v>263</v>
      </c>
      <c r="B91" t="s">
        <v>100</v>
      </c>
      <c r="C91" t="s">
        <v>29</v>
      </c>
      <c r="D91">
        <v>77</v>
      </c>
      <c r="E91">
        <v>13</v>
      </c>
      <c r="F91">
        <v>46</v>
      </c>
      <c r="G91">
        <v>59</v>
      </c>
      <c r="H91">
        <v>-7</v>
      </c>
      <c r="I91">
        <v>32</v>
      </c>
      <c r="J91">
        <v>127</v>
      </c>
      <c r="K91">
        <v>3</v>
      </c>
      <c r="L91">
        <v>3</v>
      </c>
      <c r="M91">
        <v>16</v>
      </c>
      <c r="N91">
        <v>1</v>
      </c>
      <c r="O91">
        <v>0</v>
      </c>
      <c r="P91">
        <v>85</v>
      </c>
      <c r="Q91">
        <v>49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 x14ac:dyDescent="0.3">
      <c r="A92" t="s">
        <v>83</v>
      </c>
      <c r="B92" t="s">
        <v>84</v>
      </c>
      <c r="C92" t="s">
        <v>42</v>
      </c>
      <c r="D92">
        <v>75</v>
      </c>
      <c r="E92">
        <v>25</v>
      </c>
      <c r="F92">
        <v>34</v>
      </c>
      <c r="G92">
        <v>59</v>
      </c>
      <c r="H92">
        <v>5</v>
      </c>
      <c r="I92">
        <v>46</v>
      </c>
      <c r="J92">
        <v>189</v>
      </c>
      <c r="K92">
        <v>3</v>
      </c>
      <c r="L92">
        <v>9</v>
      </c>
      <c r="M92">
        <v>15</v>
      </c>
      <c r="N92">
        <v>0</v>
      </c>
      <c r="O92">
        <v>0</v>
      </c>
      <c r="P92">
        <v>84</v>
      </c>
      <c r="Q92">
        <v>16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 x14ac:dyDescent="0.3">
      <c r="A93" t="s">
        <v>125</v>
      </c>
      <c r="B93" t="s">
        <v>37</v>
      </c>
      <c r="C93" t="s">
        <v>29</v>
      </c>
      <c r="D93">
        <v>73</v>
      </c>
      <c r="E93">
        <v>24</v>
      </c>
      <c r="F93">
        <v>35</v>
      </c>
      <c r="G93">
        <v>59</v>
      </c>
      <c r="H93">
        <v>24</v>
      </c>
      <c r="I93">
        <v>28</v>
      </c>
      <c r="J93">
        <v>289</v>
      </c>
      <c r="K93">
        <v>5</v>
      </c>
      <c r="L93">
        <v>8</v>
      </c>
      <c r="M93">
        <v>15</v>
      </c>
      <c r="N93">
        <v>2</v>
      </c>
      <c r="O93">
        <v>3</v>
      </c>
      <c r="P93">
        <v>78</v>
      </c>
      <c r="Q93">
        <v>47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 x14ac:dyDescent="0.3">
      <c r="A94" t="s">
        <v>104</v>
      </c>
      <c r="B94" t="s">
        <v>98</v>
      </c>
      <c r="C94" t="s">
        <v>29</v>
      </c>
      <c r="D94">
        <v>78</v>
      </c>
      <c r="E94">
        <v>19</v>
      </c>
      <c r="F94">
        <v>40</v>
      </c>
      <c r="G94">
        <v>59</v>
      </c>
      <c r="H94">
        <v>8</v>
      </c>
      <c r="I94">
        <v>28</v>
      </c>
      <c r="J94">
        <v>120</v>
      </c>
      <c r="K94">
        <v>4</v>
      </c>
      <c r="L94">
        <v>5</v>
      </c>
      <c r="M94">
        <v>8</v>
      </c>
      <c r="N94">
        <v>1</v>
      </c>
      <c r="O94">
        <v>1</v>
      </c>
      <c r="P94">
        <v>67</v>
      </c>
      <c r="Q94">
        <v>45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 x14ac:dyDescent="0.3">
      <c r="A95" t="s">
        <v>112</v>
      </c>
      <c r="B95" t="s">
        <v>52</v>
      </c>
      <c r="C95" t="s">
        <v>33</v>
      </c>
      <c r="D95">
        <v>66</v>
      </c>
      <c r="E95">
        <v>30</v>
      </c>
      <c r="F95">
        <v>29</v>
      </c>
      <c r="G95">
        <v>59</v>
      </c>
      <c r="H95">
        <v>17</v>
      </c>
      <c r="I95">
        <v>22</v>
      </c>
      <c r="J95">
        <v>243</v>
      </c>
      <c r="K95">
        <v>5</v>
      </c>
      <c r="L95">
        <v>5</v>
      </c>
      <c r="M95">
        <v>6</v>
      </c>
      <c r="N95">
        <v>0</v>
      </c>
      <c r="O95">
        <v>0</v>
      </c>
      <c r="P95">
        <v>35</v>
      </c>
      <c r="Q95">
        <v>27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 x14ac:dyDescent="0.3">
      <c r="A96" t="s">
        <v>374</v>
      </c>
      <c r="B96" t="s">
        <v>196</v>
      </c>
      <c r="C96" t="s">
        <v>42</v>
      </c>
      <c r="D96">
        <v>76</v>
      </c>
      <c r="E96">
        <v>21</v>
      </c>
      <c r="F96">
        <v>37</v>
      </c>
      <c r="G96">
        <v>58</v>
      </c>
      <c r="H96">
        <v>-6</v>
      </c>
      <c r="I96">
        <v>24</v>
      </c>
      <c r="J96">
        <v>215</v>
      </c>
      <c r="K96">
        <v>3</v>
      </c>
      <c r="L96">
        <v>4</v>
      </c>
      <c r="M96">
        <v>8</v>
      </c>
      <c r="N96">
        <v>1</v>
      </c>
      <c r="O96">
        <v>1</v>
      </c>
      <c r="P96">
        <v>65</v>
      </c>
      <c r="Q96">
        <v>54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 x14ac:dyDescent="0.3">
      <c r="A97" t="s">
        <v>115</v>
      </c>
      <c r="B97" t="s">
        <v>37</v>
      </c>
      <c r="C97" t="s">
        <v>33</v>
      </c>
      <c r="D97">
        <v>80</v>
      </c>
      <c r="E97">
        <v>20</v>
      </c>
      <c r="F97">
        <v>38</v>
      </c>
      <c r="G97">
        <v>58</v>
      </c>
      <c r="H97">
        <v>8</v>
      </c>
      <c r="I97">
        <v>40</v>
      </c>
      <c r="J97">
        <v>222</v>
      </c>
      <c r="K97">
        <v>3</v>
      </c>
      <c r="L97">
        <v>6</v>
      </c>
      <c r="M97">
        <v>9</v>
      </c>
      <c r="N97">
        <v>0</v>
      </c>
      <c r="O97">
        <v>0</v>
      </c>
      <c r="P97">
        <v>51</v>
      </c>
      <c r="Q97">
        <v>31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 x14ac:dyDescent="0.3">
      <c r="A98" t="s">
        <v>121</v>
      </c>
      <c r="B98" t="s">
        <v>122</v>
      </c>
      <c r="C98" t="s">
        <v>29</v>
      </c>
      <c r="D98">
        <v>74</v>
      </c>
      <c r="E98">
        <v>30</v>
      </c>
      <c r="F98">
        <v>28</v>
      </c>
      <c r="G98">
        <v>58</v>
      </c>
      <c r="H98">
        <v>-9</v>
      </c>
      <c r="I98">
        <v>24</v>
      </c>
      <c r="J98">
        <v>185</v>
      </c>
      <c r="K98">
        <v>5</v>
      </c>
      <c r="L98">
        <v>6</v>
      </c>
      <c r="M98">
        <v>6</v>
      </c>
      <c r="N98">
        <v>0</v>
      </c>
      <c r="O98">
        <v>0</v>
      </c>
      <c r="P98">
        <v>6</v>
      </c>
      <c r="Q98">
        <v>24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 x14ac:dyDescent="0.3">
      <c r="A99" t="s">
        <v>178</v>
      </c>
      <c r="B99" t="s">
        <v>106</v>
      </c>
      <c r="C99" t="s">
        <v>29</v>
      </c>
      <c r="D99">
        <v>72</v>
      </c>
      <c r="E99">
        <v>20</v>
      </c>
      <c r="F99">
        <v>38</v>
      </c>
      <c r="G99">
        <v>58</v>
      </c>
      <c r="H99">
        <v>-6</v>
      </c>
      <c r="I99">
        <v>18</v>
      </c>
      <c r="J99">
        <v>157</v>
      </c>
      <c r="K99">
        <v>4</v>
      </c>
      <c r="L99">
        <v>5</v>
      </c>
      <c r="M99">
        <v>9</v>
      </c>
      <c r="N99">
        <v>0</v>
      </c>
      <c r="O99">
        <v>1</v>
      </c>
      <c r="P99">
        <v>51</v>
      </c>
      <c r="Q99">
        <v>48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 x14ac:dyDescent="0.3">
      <c r="A100" t="s">
        <v>541</v>
      </c>
      <c r="B100" t="s">
        <v>196</v>
      </c>
      <c r="C100" t="s">
        <v>42</v>
      </c>
      <c r="D100">
        <v>77</v>
      </c>
      <c r="E100">
        <v>32</v>
      </c>
      <c r="F100">
        <v>26</v>
      </c>
      <c r="G100">
        <v>58</v>
      </c>
      <c r="H100">
        <v>-13</v>
      </c>
      <c r="I100">
        <v>40</v>
      </c>
      <c r="J100">
        <v>251</v>
      </c>
      <c r="K100">
        <v>3</v>
      </c>
      <c r="L100">
        <v>7</v>
      </c>
      <c r="M100">
        <v>5</v>
      </c>
      <c r="N100">
        <v>1</v>
      </c>
      <c r="O100">
        <v>0</v>
      </c>
      <c r="P100">
        <v>66</v>
      </c>
      <c r="Q100">
        <v>23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 x14ac:dyDescent="0.3">
      <c r="A101" t="s">
        <v>539</v>
      </c>
      <c r="B101" t="s">
        <v>87</v>
      </c>
      <c r="C101" t="s">
        <v>33</v>
      </c>
      <c r="D101">
        <v>77</v>
      </c>
      <c r="E101">
        <v>23</v>
      </c>
      <c r="F101">
        <v>35</v>
      </c>
      <c r="G101">
        <v>58</v>
      </c>
      <c r="H101">
        <v>23</v>
      </c>
      <c r="I101">
        <v>16</v>
      </c>
      <c r="J101">
        <v>193</v>
      </c>
      <c r="K101">
        <v>5</v>
      </c>
      <c r="L101">
        <v>5</v>
      </c>
      <c r="M101">
        <v>11</v>
      </c>
      <c r="N101">
        <v>0</v>
      </c>
      <c r="O101">
        <v>0</v>
      </c>
      <c r="P101">
        <v>38</v>
      </c>
      <c r="Q101">
        <v>36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 x14ac:dyDescent="0.3">
      <c r="A102" t="s">
        <v>566</v>
      </c>
      <c r="B102" t="s">
        <v>84</v>
      </c>
      <c r="C102" t="s">
        <v>93</v>
      </c>
      <c r="D102">
        <v>82</v>
      </c>
      <c r="E102">
        <v>7</v>
      </c>
      <c r="F102">
        <v>51</v>
      </c>
      <c r="G102">
        <v>58</v>
      </c>
      <c r="H102">
        <v>-7</v>
      </c>
      <c r="I102">
        <v>38</v>
      </c>
      <c r="J102">
        <v>202</v>
      </c>
      <c r="K102">
        <v>2</v>
      </c>
      <c r="L102">
        <v>2</v>
      </c>
      <c r="M102">
        <v>21</v>
      </c>
      <c r="N102">
        <v>0</v>
      </c>
      <c r="O102">
        <v>2</v>
      </c>
      <c r="P102">
        <v>162</v>
      </c>
      <c r="Q102">
        <v>161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 x14ac:dyDescent="0.3">
      <c r="A103" t="s">
        <v>131</v>
      </c>
      <c r="B103" t="s">
        <v>132</v>
      </c>
      <c r="C103" t="s">
        <v>29</v>
      </c>
      <c r="D103">
        <v>70</v>
      </c>
      <c r="E103">
        <v>23</v>
      </c>
      <c r="F103">
        <v>34</v>
      </c>
      <c r="G103">
        <v>57</v>
      </c>
      <c r="H103">
        <v>-5</v>
      </c>
      <c r="I103">
        <v>30</v>
      </c>
      <c r="J103">
        <v>194</v>
      </c>
      <c r="K103">
        <v>4</v>
      </c>
      <c r="L103">
        <v>5</v>
      </c>
      <c r="M103">
        <v>9</v>
      </c>
      <c r="N103">
        <v>1</v>
      </c>
      <c r="O103">
        <v>1</v>
      </c>
      <c r="P103">
        <v>54</v>
      </c>
      <c r="Q103">
        <v>39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 x14ac:dyDescent="0.3">
      <c r="A104" t="s">
        <v>202</v>
      </c>
      <c r="B104" t="s">
        <v>63</v>
      </c>
      <c r="C104" t="s">
        <v>93</v>
      </c>
      <c r="D104">
        <v>82</v>
      </c>
      <c r="E104">
        <v>11</v>
      </c>
      <c r="F104">
        <v>46</v>
      </c>
      <c r="G104">
        <v>57</v>
      </c>
      <c r="H104">
        <v>6</v>
      </c>
      <c r="I104">
        <v>40</v>
      </c>
      <c r="J104">
        <v>212</v>
      </c>
      <c r="K104">
        <v>1</v>
      </c>
      <c r="L104">
        <v>4</v>
      </c>
      <c r="M104">
        <v>16</v>
      </c>
      <c r="N104">
        <v>0</v>
      </c>
      <c r="O104">
        <v>1</v>
      </c>
      <c r="P104">
        <v>56</v>
      </c>
      <c r="Q104">
        <v>144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 x14ac:dyDescent="0.3">
      <c r="A105" t="s">
        <v>235</v>
      </c>
      <c r="B105" t="s">
        <v>84</v>
      </c>
      <c r="C105" t="s">
        <v>33</v>
      </c>
      <c r="D105">
        <v>64</v>
      </c>
      <c r="E105">
        <v>28</v>
      </c>
      <c r="F105">
        <v>29</v>
      </c>
      <c r="G105">
        <v>57</v>
      </c>
      <c r="H105">
        <v>-11</v>
      </c>
      <c r="I105">
        <v>44</v>
      </c>
      <c r="J105">
        <v>171</v>
      </c>
      <c r="K105">
        <v>5</v>
      </c>
      <c r="L105">
        <v>5</v>
      </c>
      <c r="M105">
        <v>7</v>
      </c>
      <c r="N105">
        <v>1</v>
      </c>
      <c r="O105">
        <v>1</v>
      </c>
      <c r="P105">
        <v>63</v>
      </c>
      <c r="Q105">
        <v>37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 x14ac:dyDescent="0.3">
      <c r="A106" t="s">
        <v>234</v>
      </c>
      <c r="B106" t="s">
        <v>48</v>
      </c>
      <c r="C106" t="s">
        <v>33</v>
      </c>
      <c r="D106">
        <v>81</v>
      </c>
      <c r="E106">
        <v>33</v>
      </c>
      <c r="F106">
        <v>23</v>
      </c>
      <c r="G106">
        <v>56</v>
      </c>
      <c r="H106">
        <v>16</v>
      </c>
      <c r="I106">
        <v>32</v>
      </c>
      <c r="J106">
        <v>188</v>
      </c>
      <c r="K106">
        <v>7</v>
      </c>
      <c r="L106">
        <v>6</v>
      </c>
      <c r="M106">
        <v>4</v>
      </c>
      <c r="N106">
        <v>1</v>
      </c>
      <c r="O106">
        <v>1</v>
      </c>
      <c r="P106">
        <v>73</v>
      </c>
      <c r="Q106">
        <v>30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 x14ac:dyDescent="0.3">
      <c r="A107" t="s">
        <v>159</v>
      </c>
      <c r="B107" t="s">
        <v>79</v>
      </c>
      <c r="C107" t="s">
        <v>29</v>
      </c>
      <c r="D107">
        <v>79</v>
      </c>
      <c r="E107">
        <v>28</v>
      </c>
      <c r="F107">
        <v>28</v>
      </c>
      <c r="G107">
        <v>56</v>
      </c>
      <c r="H107">
        <v>2</v>
      </c>
      <c r="I107">
        <v>40</v>
      </c>
      <c r="J107">
        <v>218</v>
      </c>
      <c r="K107">
        <v>5</v>
      </c>
      <c r="L107">
        <v>12</v>
      </c>
      <c r="M107">
        <v>8</v>
      </c>
      <c r="N107">
        <v>1</v>
      </c>
      <c r="O107">
        <v>1</v>
      </c>
      <c r="P107">
        <v>93</v>
      </c>
      <c r="Q107">
        <v>54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 x14ac:dyDescent="0.3">
      <c r="A108" t="s">
        <v>162</v>
      </c>
      <c r="B108" t="s">
        <v>140</v>
      </c>
      <c r="C108" t="s">
        <v>33</v>
      </c>
      <c r="D108">
        <v>80</v>
      </c>
      <c r="E108">
        <v>22</v>
      </c>
      <c r="F108">
        <v>34</v>
      </c>
      <c r="G108">
        <v>56</v>
      </c>
      <c r="H108">
        <v>2</v>
      </c>
      <c r="I108">
        <v>18</v>
      </c>
      <c r="J108">
        <v>153</v>
      </c>
      <c r="K108">
        <v>4</v>
      </c>
      <c r="L108">
        <v>4</v>
      </c>
      <c r="M108">
        <v>8</v>
      </c>
      <c r="N108">
        <v>0</v>
      </c>
      <c r="O108">
        <v>0</v>
      </c>
      <c r="P108">
        <v>46</v>
      </c>
      <c r="Q108">
        <v>34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 x14ac:dyDescent="0.3">
      <c r="A109" t="s">
        <v>143</v>
      </c>
      <c r="B109" t="s">
        <v>32</v>
      </c>
      <c r="C109" t="s">
        <v>29</v>
      </c>
      <c r="D109">
        <v>77</v>
      </c>
      <c r="E109">
        <v>23</v>
      </c>
      <c r="F109">
        <v>33</v>
      </c>
      <c r="G109">
        <v>56</v>
      </c>
      <c r="H109">
        <v>14</v>
      </c>
      <c r="I109">
        <v>62</v>
      </c>
      <c r="J109">
        <v>173</v>
      </c>
      <c r="K109">
        <v>5</v>
      </c>
      <c r="L109">
        <v>6</v>
      </c>
      <c r="M109">
        <v>8</v>
      </c>
      <c r="N109">
        <v>1</v>
      </c>
      <c r="O109">
        <v>0</v>
      </c>
      <c r="P109">
        <v>172</v>
      </c>
      <c r="Q109">
        <v>41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 x14ac:dyDescent="0.3">
      <c r="A110" t="s">
        <v>278</v>
      </c>
      <c r="B110" t="s">
        <v>196</v>
      </c>
      <c r="C110" t="s">
        <v>93</v>
      </c>
      <c r="D110">
        <v>80</v>
      </c>
      <c r="E110">
        <v>12</v>
      </c>
      <c r="F110">
        <v>44</v>
      </c>
      <c r="G110">
        <v>56</v>
      </c>
      <c r="H110">
        <v>-18</v>
      </c>
      <c r="I110">
        <v>62</v>
      </c>
      <c r="J110">
        <v>172</v>
      </c>
      <c r="K110">
        <v>2</v>
      </c>
      <c r="L110">
        <v>2</v>
      </c>
      <c r="M110">
        <v>18</v>
      </c>
      <c r="N110">
        <v>0</v>
      </c>
      <c r="O110">
        <v>1</v>
      </c>
      <c r="P110">
        <v>119</v>
      </c>
      <c r="Q110">
        <v>94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 x14ac:dyDescent="0.3">
      <c r="A111" t="s">
        <v>137</v>
      </c>
      <c r="B111" t="s">
        <v>79</v>
      </c>
      <c r="C111" t="s">
        <v>42</v>
      </c>
      <c r="D111">
        <v>77</v>
      </c>
      <c r="E111">
        <v>20</v>
      </c>
      <c r="F111">
        <v>35</v>
      </c>
      <c r="G111">
        <v>55</v>
      </c>
      <c r="H111">
        <v>13</v>
      </c>
      <c r="I111">
        <v>32</v>
      </c>
      <c r="J111">
        <v>210</v>
      </c>
      <c r="K111">
        <v>4</v>
      </c>
      <c r="L111">
        <v>2</v>
      </c>
      <c r="M111">
        <v>6</v>
      </c>
      <c r="N111">
        <v>0</v>
      </c>
      <c r="O111">
        <v>0</v>
      </c>
      <c r="P111">
        <v>49</v>
      </c>
      <c r="Q111">
        <v>23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 x14ac:dyDescent="0.3">
      <c r="A112" t="s">
        <v>123</v>
      </c>
      <c r="B112" t="s">
        <v>122</v>
      </c>
      <c r="C112" t="s">
        <v>29</v>
      </c>
      <c r="D112">
        <v>78</v>
      </c>
      <c r="E112">
        <v>19</v>
      </c>
      <c r="F112">
        <v>36</v>
      </c>
      <c r="G112">
        <v>55</v>
      </c>
      <c r="H112">
        <v>6</v>
      </c>
      <c r="I112">
        <v>56</v>
      </c>
      <c r="J112">
        <v>167</v>
      </c>
      <c r="K112">
        <v>4</v>
      </c>
      <c r="L112">
        <v>5</v>
      </c>
      <c r="M112">
        <v>11</v>
      </c>
      <c r="N112">
        <v>1</v>
      </c>
      <c r="O112">
        <v>0</v>
      </c>
      <c r="P112">
        <v>43</v>
      </c>
      <c r="Q112">
        <v>22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x14ac:dyDescent="0.3">
      <c r="A113" t="s">
        <v>209</v>
      </c>
      <c r="B113" t="s">
        <v>61</v>
      </c>
      <c r="C113" t="s">
        <v>29</v>
      </c>
      <c r="D113">
        <v>82</v>
      </c>
      <c r="E113">
        <v>23</v>
      </c>
      <c r="F113">
        <v>32</v>
      </c>
      <c r="G113">
        <v>55</v>
      </c>
      <c r="H113">
        <v>3</v>
      </c>
      <c r="I113">
        <v>60</v>
      </c>
      <c r="J113">
        <v>156</v>
      </c>
      <c r="K113">
        <v>4</v>
      </c>
      <c r="L113">
        <v>6</v>
      </c>
      <c r="M113">
        <v>7</v>
      </c>
      <c r="N113">
        <v>0</v>
      </c>
      <c r="O113">
        <v>1</v>
      </c>
      <c r="P113">
        <v>86</v>
      </c>
      <c r="Q113">
        <v>25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3">
      <c r="A114" t="s">
        <v>294</v>
      </c>
      <c r="B114" t="s">
        <v>100</v>
      </c>
      <c r="C114" t="s">
        <v>29</v>
      </c>
      <c r="D114">
        <v>77</v>
      </c>
      <c r="E114">
        <v>20</v>
      </c>
      <c r="F114">
        <v>35</v>
      </c>
      <c r="G114">
        <v>55</v>
      </c>
      <c r="H114">
        <v>-1</v>
      </c>
      <c r="I114">
        <v>50</v>
      </c>
      <c r="J114">
        <v>132</v>
      </c>
      <c r="K114">
        <v>4</v>
      </c>
      <c r="L114">
        <v>8</v>
      </c>
      <c r="M114">
        <v>12</v>
      </c>
      <c r="N114">
        <v>1</v>
      </c>
      <c r="O114">
        <v>0</v>
      </c>
      <c r="P114">
        <v>68</v>
      </c>
      <c r="Q114">
        <v>33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 x14ac:dyDescent="0.3">
      <c r="A115" t="s">
        <v>182</v>
      </c>
      <c r="B115" t="s">
        <v>71</v>
      </c>
      <c r="C115" t="s">
        <v>29</v>
      </c>
      <c r="D115">
        <v>77</v>
      </c>
      <c r="E115">
        <v>24</v>
      </c>
      <c r="F115">
        <v>31</v>
      </c>
      <c r="G115">
        <v>55</v>
      </c>
      <c r="H115">
        <v>-10</v>
      </c>
      <c r="I115">
        <v>22</v>
      </c>
      <c r="J115">
        <v>197</v>
      </c>
      <c r="K115">
        <v>4</v>
      </c>
      <c r="L115">
        <v>4</v>
      </c>
      <c r="M115">
        <v>11</v>
      </c>
      <c r="N115">
        <v>2</v>
      </c>
      <c r="O115">
        <v>1</v>
      </c>
      <c r="P115">
        <v>86</v>
      </c>
      <c r="Q115">
        <v>56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x14ac:dyDescent="0.3">
      <c r="A116" t="s">
        <v>116</v>
      </c>
      <c r="B116" t="s">
        <v>65</v>
      </c>
      <c r="C116" t="s">
        <v>29</v>
      </c>
      <c r="D116">
        <v>80</v>
      </c>
      <c r="E116">
        <v>25</v>
      </c>
      <c r="F116">
        <v>29</v>
      </c>
      <c r="G116">
        <v>54</v>
      </c>
      <c r="H116">
        <v>-12</v>
      </c>
      <c r="I116">
        <v>30</v>
      </c>
      <c r="J116">
        <v>245</v>
      </c>
      <c r="K116">
        <v>5</v>
      </c>
      <c r="L116">
        <v>5</v>
      </c>
      <c r="M116">
        <v>12</v>
      </c>
      <c r="N116">
        <v>0</v>
      </c>
      <c r="O116">
        <v>0</v>
      </c>
      <c r="P116">
        <v>96</v>
      </c>
      <c r="Q116">
        <v>32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x14ac:dyDescent="0.3">
      <c r="A117" t="s">
        <v>170</v>
      </c>
      <c r="B117" t="s">
        <v>95</v>
      </c>
      <c r="C117" t="s">
        <v>29</v>
      </c>
      <c r="D117">
        <v>80</v>
      </c>
      <c r="E117">
        <v>31</v>
      </c>
      <c r="F117">
        <v>23</v>
      </c>
      <c r="G117">
        <v>54</v>
      </c>
      <c r="H117">
        <v>-7</v>
      </c>
      <c r="I117">
        <v>34</v>
      </c>
      <c r="J117">
        <v>184</v>
      </c>
      <c r="K117">
        <v>6</v>
      </c>
      <c r="L117">
        <v>8</v>
      </c>
      <c r="M117">
        <v>4</v>
      </c>
      <c r="N117">
        <v>0</v>
      </c>
      <c r="O117">
        <v>0</v>
      </c>
      <c r="P117">
        <v>39</v>
      </c>
      <c r="Q117">
        <v>44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 x14ac:dyDescent="0.3">
      <c r="A118" t="s">
        <v>139</v>
      </c>
      <c r="B118" t="s">
        <v>140</v>
      </c>
      <c r="C118" t="s">
        <v>42</v>
      </c>
      <c r="D118">
        <v>80</v>
      </c>
      <c r="E118">
        <v>26</v>
      </c>
      <c r="F118">
        <v>28</v>
      </c>
      <c r="G118">
        <v>54</v>
      </c>
      <c r="H118">
        <v>-23</v>
      </c>
      <c r="I118">
        <v>20</v>
      </c>
      <c r="J118">
        <v>204</v>
      </c>
      <c r="K118">
        <v>4</v>
      </c>
      <c r="L118">
        <v>7</v>
      </c>
      <c r="M118">
        <v>8</v>
      </c>
      <c r="N118">
        <v>0</v>
      </c>
      <c r="O118">
        <v>0</v>
      </c>
      <c r="P118">
        <v>76</v>
      </c>
      <c r="Q118">
        <v>31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 x14ac:dyDescent="0.3">
      <c r="A119" t="s">
        <v>135</v>
      </c>
      <c r="B119" t="s">
        <v>132</v>
      </c>
      <c r="C119" t="s">
        <v>29</v>
      </c>
      <c r="D119">
        <v>77</v>
      </c>
      <c r="E119">
        <v>21</v>
      </c>
      <c r="F119">
        <v>33</v>
      </c>
      <c r="G119">
        <v>54</v>
      </c>
      <c r="H119">
        <v>-15</v>
      </c>
      <c r="I119">
        <v>66</v>
      </c>
      <c r="J119">
        <v>206</v>
      </c>
      <c r="K119">
        <v>3</v>
      </c>
      <c r="L119">
        <v>4</v>
      </c>
      <c r="M119">
        <v>10</v>
      </c>
      <c r="N119">
        <v>0</v>
      </c>
      <c r="O119">
        <v>0</v>
      </c>
      <c r="P119">
        <v>78</v>
      </c>
      <c r="Q119">
        <v>33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3">
      <c r="A120" t="s">
        <v>259</v>
      </c>
      <c r="B120" t="s">
        <v>41</v>
      </c>
      <c r="C120" t="s">
        <v>93</v>
      </c>
      <c r="D120">
        <v>76</v>
      </c>
      <c r="E120">
        <v>12</v>
      </c>
      <c r="F120">
        <v>42</v>
      </c>
      <c r="G120">
        <v>54</v>
      </c>
      <c r="H120">
        <v>41</v>
      </c>
      <c r="I120">
        <v>20</v>
      </c>
      <c r="J120">
        <v>168</v>
      </c>
      <c r="K120">
        <v>2</v>
      </c>
      <c r="L120">
        <v>2</v>
      </c>
      <c r="M120">
        <v>10</v>
      </c>
      <c r="N120">
        <v>0</v>
      </c>
      <c r="O120">
        <v>1</v>
      </c>
      <c r="P120">
        <v>59</v>
      </c>
      <c r="Q120">
        <v>97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 x14ac:dyDescent="0.3">
      <c r="A121" t="s">
        <v>146</v>
      </c>
      <c r="B121" t="s">
        <v>28</v>
      </c>
      <c r="C121" t="s">
        <v>42</v>
      </c>
      <c r="D121">
        <v>71</v>
      </c>
      <c r="E121">
        <v>26</v>
      </c>
      <c r="F121">
        <v>28</v>
      </c>
      <c r="G121">
        <v>54</v>
      </c>
      <c r="H121">
        <v>4</v>
      </c>
      <c r="I121">
        <v>32</v>
      </c>
      <c r="J121">
        <v>202</v>
      </c>
      <c r="K121">
        <v>4</v>
      </c>
      <c r="L121">
        <v>5</v>
      </c>
      <c r="M121">
        <v>4</v>
      </c>
      <c r="N121">
        <v>2</v>
      </c>
      <c r="O121">
        <v>2</v>
      </c>
      <c r="P121">
        <v>73</v>
      </c>
      <c r="Q121">
        <v>32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 x14ac:dyDescent="0.3">
      <c r="A122" t="s">
        <v>195</v>
      </c>
      <c r="B122" t="s">
        <v>196</v>
      </c>
      <c r="C122" t="s">
        <v>33</v>
      </c>
      <c r="D122">
        <v>74</v>
      </c>
      <c r="E122">
        <v>22</v>
      </c>
      <c r="F122">
        <v>31</v>
      </c>
      <c r="G122">
        <v>53</v>
      </c>
      <c r="H122">
        <v>-18</v>
      </c>
      <c r="I122">
        <v>6</v>
      </c>
      <c r="J122">
        <v>176</v>
      </c>
      <c r="K122">
        <v>5</v>
      </c>
      <c r="L122">
        <v>9</v>
      </c>
      <c r="M122">
        <v>7</v>
      </c>
      <c r="N122">
        <v>0</v>
      </c>
      <c r="O122">
        <v>0</v>
      </c>
      <c r="P122">
        <v>14</v>
      </c>
      <c r="Q122">
        <v>14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 x14ac:dyDescent="0.3">
      <c r="A123" t="s">
        <v>369</v>
      </c>
      <c r="B123" t="s">
        <v>87</v>
      </c>
      <c r="C123" t="s">
        <v>42</v>
      </c>
      <c r="D123">
        <v>80</v>
      </c>
      <c r="E123">
        <v>27</v>
      </c>
      <c r="F123">
        <v>26</v>
      </c>
      <c r="G123">
        <v>53</v>
      </c>
      <c r="H123">
        <v>23</v>
      </c>
      <c r="I123">
        <v>85</v>
      </c>
      <c r="J123">
        <v>223</v>
      </c>
      <c r="K123">
        <v>5</v>
      </c>
      <c r="L123">
        <v>1</v>
      </c>
      <c r="M123">
        <v>5</v>
      </c>
      <c r="N123">
        <v>1</v>
      </c>
      <c r="O123">
        <v>0</v>
      </c>
      <c r="P123">
        <v>76</v>
      </c>
      <c r="Q123">
        <v>48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x14ac:dyDescent="0.3">
      <c r="A124" t="s">
        <v>191</v>
      </c>
      <c r="B124" t="s">
        <v>39</v>
      </c>
      <c r="C124" t="s">
        <v>42</v>
      </c>
      <c r="D124">
        <v>78</v>
      </c>
      <c r="E124">
        <v>20</v>
      </c>
      <c r="F124">
        <v>33</v>
      </c>
      <c r="G124">
        <v>53</v>
      </c>
      <c r="H124">
        <v>9</v>
      </c>
      <c r="I124">
        <v>12</v>
      </c>
      <c r="J124">
        <v>153</v>
      </c>
      <c r="K124">
        <v>4</v>
      </c>
      <c r="L124">
        <v>2</v>
      </c>
      <c r="M124">
        <v>10</v>
      </c>
      <c r="N124">
        <v>2</v>
      </c>
      <c r="O124">
        <v>2</v>
      </c>
      <c r="P124">
        <v>26</v>
      </c>
      <c r="Q124">
        <v>42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 x14ac:dyDescent="0.3">
      <c r="A125" t="s">
        <v>169</v>
      </c>
      <c r="B125" t="s">
        <v>48</v>
      </c>
      <c r="C125" t="s">
        <v>42</v>
      </c>
      <c r="D125">
        <v>74</v>
      </c>
      <c r="E125">
        <v>22</v>
      </c>
      <c r="F125">
        <v>31</v>
      </c>
      <c r="G125">
        <v>53</v>
      </c>
      <c r="H125">
        <v>7</v>
      </c>
      <c r="I125">
        <v>18</v>
      </c>
      <c r="J125">
        <v>207</v>
      </c>
      <c r="K125">
        <v>4</v>
      </c>
      <c r="L125">
        <v>7</v>
      </c>
      <c r="M125">
        <v>8</v>
      </c>
      <c r="N125">
        <v>1</v>
      </c>
      <c r="O125">
        <v>1</v>
      </c>
      <c r="P125">
        <v>73</v>
      </c>
      <c r="Q125">
        <v>20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 x14ac:dyDescent="0.3">
      <c r="A126" t="s">
        <v>183</v>
      </c>
      <c r="B126" t="s">
        <v>59</v>
      </c>
      <c r="C126" t="s">
        <v>42</v>
      </c>
      <c r="D126">
        <v>81</v>
      </c>
      <c r="E126">
        <v>19</v>
      </c>
      <c r="F126">
        <v>34</v>
      </c>
      <c r="G126">
        <v>53</v>
      </c>
      <c r="H126">
        <v>-5</v>
      </c>
      <c r="I126">
        <v>24</v>
      </c>
      <c r="J126">
        <v>133</v>
      </c>
      <c r="K126">
        <v>2</v>
      </c>
      <c r="L126">
        <v>3</v>
      </c>
      <c r="M126">
        <v>8</v>
      </c>
      <c r="N126">
        <v>2</v>
      </c>
      <c r="O126">
        <v>1</v>
      </c>
      <c r="P126">
        <v>41</v>
      </c>
      <c r="Q126">
        <v>44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 x14ac:dyDescent="0.3">
      <c r="A127" t="s">
        <v>217</v>
      </c>
      <c r="B127" t="s">
        <v>98</v>
      </c>
      <c r="C127" t="s">
        <v>42</v>
      </c>
      <c r="D127">
        <v>82</v>
      </c>
      <c r="E127">
        <v>13</v>
      </c>
      <c r="F127">
        <v>40</v>
      </c>
      <c r="G127">
        <v>53</v>
      </c>
      <c r="H127">
        <v>-10</v>
      </c>
      <c r="I127">
        <v>30</v>
      </c>
      <c r="J127">
        <v>156</v>
      </c>
      <c r="K127">
        <v>1</v>
      </c>
      <c r="L127">
        <v>3</v>
      </c>
      <c r="M127">
        <v>9</v>
      </c>
      <c r="N127">
        <v>0</v>
      </c>
      <c r="O127">
        <v>0</v>
      </c>
      <c r="P127">
        <v>8</v>
      </c>
      <c r="Q127">
        <v>18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 x14ac:dyDescent="0.3">
      <c r="A128" t="s">
        <v>317</v>
      </c>
      <c r="B128" t="s">
        <v>82</v>
      </c>
      <c r="C128" t="s">
        <v>93</v>
      </c>
      <c r="D128">
        <v>76</v>
      </c>
      <c r="E128">
        <v>9</v>
      </c>
      <c r="F128">
        <v>43</v>
      </c>
      <c r="G128">
        <v>52</v>
      </c>
      <c r="H128">
        <v>7</v>
      </c>
      <c r="I128">
        <v>52</v>
      </c>
      <c r="J128">
        <v>169</v>
      </c>
      <c r="K128">
        <v>2</v>
      </c>
      <c r="L128">
        <v>4</v>
      </c>
      <c r="M128">
        <v>17</v>
      </c>
      <c r="N128">
        <v>0</v>
      </c>
      <c r="O128">
        <v>1</v>
      </c>
      <c r="P128">
        <v>120</v>
      </c>
      <c r="Q128">
        <v>106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 x14ac:dyDescent="0.3">
      <c r="A129" t="s">
        <v>166</v>
      </c>
      <c r="B129" t="s">
        <v>75</v>
      </c>
      <c r="C129" t="s">
        <v>29</v>
      </c>
      <c r="D129">
        <v>69</v>
      </c>
      <c r="E129">
        <v>21</v>
      </c>
      <c r="F129">
        <v>31</v>
      </c>
      <c r="G129">
        <v>52</v>
      </c>
      <c r="H129">
        <v>13</v>
      </c>
      <c r="I129">
        <v>39</v>
      </c>
      <c r="J129">
        <v>137</v>
      </c>
      <c r="K129">
        <v>3</v>
      </c>
      <c r="L129">
        <v>5</v>
      </c>
      <c r="M129">
        <v>9</v>
      </c>
      <c r="N129">
        <v>0</v>
      </c>
      <c r="O129">
        <v>0</v>
      </c>
      <c r="P129">
        <v>124</v>
      </c>
      <c r="Q129">
        <v>24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 x14ac:dyDescent="0.3">
      <c r="A130" t="s">
        <v>361</v>
      </c>
      <c r="B130" t="s">
        <v>196</v>
      </c>
      <c r="C130" t="s">
        <v>33</v>
      </c>
      <c r="D130">
        <v>80</v>
      </c>
      <c r="E130">
        <v>27</v>
      </c>
      <c r="F130">
        <v>25</v>
      </c>
      <c r="G130">
        <v>52</v>
      </c>
      <c r="H130">
        <v>-14</v>
      </c>
      <c r="I130">
        <v>38</v>
      </c>
      <c r="J130">
        <v>262</v>
      </c>
      <c r="K130">
        <v>4</v>
      </c>
      <c r="L130">
        <v>5</v>
      </c>
      <c r="M130">
        <v>6</v>
      </c>
      <c r="N130">
        <v>0</v>
      </c>
      <c r="O130">
        <v>0</v>
      </c>
      <c r="P130">
        <v>30</v>
      </c>
      <c r="Q130">
        <v>19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 x14ac:dyDescent="0.3">
      <c r="A131" t="s">
        <v>176</v>
      </c>
      <c r="B131" t="s">
        <v>106</v>
      </c>
      <c r="C131" t="s">
        <v>33</v>
      </c>
      <c r="D131">
        <v>77</v>
      </c>
      <c r="E131">
        <v>20</v>
      </c>
      <c r="F131">
        <v>32</v>
      </c>
      <c r="G131">
        <v>52</v>
      </c>
      <c r="H131">
        <v>6</v>
      </c>
      <c r="I131">
        <v>22</v>
      </c>
      <c r="J131">
        <v>153</v>
      </c>
      <c r="K131">
        <v>5</v>
      </c>
      <c r="L131">
        <v>4</v>
      </c>
      <c r="M131">
        <v>8</v>
      </c>
      <c r="N131">
        <v>1</v>
      </c>
      <c r="O131">
        <v>1</v>
      </c>
      <c r="P131">
        <v>129</v>
      </c>
      <c r="Q131">
        <v>45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 x14ac:dyDescent="0.3">
      <c r="A132" t="s">
        <v>171</v>
      </c>
      <c r="B132" t="s">
        <v>95</v>
      </c>
      <c r="C132" t="s">
        <v>29</v>
      </c>
      <c r="D132">
        <v>77</v>
      </c>
      <c r="E132">
        <v>30</v>
      </c>
      <c r="F132">
        <v>22</v>
      </c>
      <c r="G132">
        <v>52</v>
      </c>
      <c r="H132">
        <v>-5</v>
      </c>
      <c r="I132">
        <v>36</v>
      </c>
      <c r="J132">
        <v>178</v>
      </c>
      <c r="K132">
        <v>4</v>
      </c>
      <c r="L132">
        <v>9</v>
      </c>
      <c r="M132">
        <v>6</v>
      </c>
      <c r="N132">
        <v>0</v>
      </c>
      <c r="O132">
        <v>0</v>
      </c>
      <c r="P132">
        <v>99</v>
      </c>
      <c r="Q132">
        <v>34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 x14ac:dyDescent="0.3">
      <c r="A133" t="s">
        <v>164</v>
      </c>
      <c r="B133" t="s">
        <v>140</v>
      </c>
      <c r="C133" t="s">
        <v>33</v>
      </c>
      <c r="D133">
        <v>78</v>
      </c>
      <c r="E133">
        <v>23</v>
      </c>
      <c r="F133">
        <v>29</v>
      </c>
      <c r="G133">
        <v>52</v>
      </c>
      <c r="H133">
        <v>-8</v>
      </c>
      <c r="I133">
        <v>50</v>
      </c>
      <c r="J133">
        <v>142</v>
      </c>
      <c r="K133">
        <v>4</v>
      </c>
      <c r="L133">
        <v>3</v>
      </c>
      <c r="M133">
        <v>6</v>
      </c>
      <c r="N133">
        <v>1</v>
      </c>
      <c r="O133">
        <v>2</v>
      </c>
      <c r="P133">
        <v>80</v>
      </c>
      <c r="Q133">
        <v>32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 x14ac:dyDescent="0.3">
      <c r="A134" t="s">
        <v>158</v>
      </c>
      <c r="B134" t="s">
        <v>98</v>
      </c>
      <c r="C134" t="s">
        <v>93</v>
      </c>
      <c r="D134">
        <v>78</v>
      </c>
      <c r="E134">
        <v>13</v>
      </c>
      <c r="F134">
        <v>39</v>
      </c>
      <c r="G134">
        <v>52</v>
      </c>
      <c r="H134">
        <v>12</v>
      </c>
      <c r="I134">
        <v>24</v>
      </c>
      <c r="J134">
        <v>214</v>
      </c>
      <c r="K134">
        <v>3</v>
      </c>
      <c r="L134">
        <v>2</v>
      </c>
      <c r="M134">
        <v>12</v>
      </c>
      <c r="N134">
        <v>0</v>
      </c>
      <c r="O134">
        <v>0</v>
      </c>
      <c r="P134">
        <v>36</v>
      </c>
      <c r="Q134">
        <v>93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 x14ac:dyDescent="0.3">
      <c r="A135" t="s">
        <v>165</v>
      </c>
      <c r="B135" t="s">
        <v>57</v>
      </c>
      <c r="C135" t="s">
        <v>29</v>
      </c>
      <c r="D135">
        <v>74</v>
      </c>
      <c r="E135">
        <v>24</v>
      </c>
      <c r="F135">
        <v>28</v>
      </c>
      <c r="G135">
        <v>52</v>
      </c>
      <c r="H135">
        <v>22</v>
      </c>
      <c r="I135">
        <v>44</v>
      </c>
      <c r="J135">
        <v>160</v>
      </c>
      <c r="K135">
        <v>5</v>
      </c>
      <c r="L135">
        <v>1</v>
      </c>
      <c r="M135">
        <v>4</v>
      </c>
      <c r="N135">
        <v>0</v>
      </c>
      <c r="O135">
        <v>0</v>
      </c>
      <c r="P135">
        <v>49</v>
      </c>
      <c r="Q135">
        <v>16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 x14ac:dyDescent="0.3">
      <c r="A136" t="s">
        <v>148</v>
      </c>
      <c r="B136" t="s">
        <v>79</v>
      </c>
      <c r="C136" t="s">
        <v>42</v>
      </c>
      <c r="D136">
        <v>71</v>
      </c>
      <c r="E136">
        <v>25</v>
      </c>
      <c r="F136">
        <v>27</v>
      </c>
      <c r="G136">
        <v>52</v>
      </c>
      <c r="H136">
        <v>4</v>
      </c>
      <c r="I136">
        <v>20</v>
      </c>
      <c r="J136">
        <v>198</v>
      </c>
      <c r="K136">
        <v>5</v>
      </c>
      <c r="L136">
        <v>9</v>
      </c>
      <c r="M136">
        <v>8</v>
      </c>
      <c r="N136">
        <v>1</v>
      </c>
      <c r="O136">
        <v>1</v>
      </c>
      <c r="P136">
        <v>36</v>
      </c>
      <c r="Q136">
        <v>25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 x14ac:dyDescent="0.3">
      <c r="A137" t="s">
        <v>151</v>
      </c>
      <c r="B137" t="s">
        <v>120</v>
      </c>
      <c r="C137" t="s">
        <v>42</v>
      </c>
      <c r="D137">
        <v>75</v>
      </c>
      <c r="E137">
        <v>28</v>
      </c>
      <c r="F137">
        <v>24</v>
      </c>
      <c r="G137">
        <v>52</v>
      </c>
      <c r="H137">
        <v>-20</v>
      </c>
      <c r="I137">
        <v>10</v>
      </c>
      <c r="J137">
        <v>220</v>
      </c>
      <c r="K137">
        <v>4</v>
      </c>
      <c r="L137">
        <v>6</v>
      </c>
      <c r="M137">
        <v>9</v>
      </c>
      <c r="N137">
        <v>0</v>
      </c>
      <c r="O137">
        <v>0</v>
      </c>
      <c r="P137">
        <v>20</v>
      </c>
      <c r="Q137">
        <v>8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 x14ac:dyDescent="0.3">
      <c r="A138" t="s">
        <v>435</v>
      </c>
      <c r="B138" t="s">
        <v>95</v>
      </c>
      <c r="C138" t="s">
        <v>93</v>
      </c>
      <c r="D138">
        <v>76</v>
      </c>
      <c r="E138">
        <v>13</v>
      </c>
      <c r="F138">
        <v>39</v>
      </c>
      <c r="G138">
        <v>52</v>
      </c>
      <c r="H138">
        <v>-4</v>
      </c>
      <c r="I138">
        <v>18</v>
      </c>
      <c r="J138">
        <v>186</v>
      </c>
      <c r="K138">
        <v>3</v>
      </c>
      <c r="L138">
        <v>4</v>
      </c>
      <c r="M138">
        <v>17</v>
      </c>
      <c r="N138">
        <v>0</v>
      </c>
      <c r="O138">
        <v>0</v>
      </c>
      <c r="P138">
        <v>74</v>
      </c>
      <c r="Q138">
        <v>147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 x14ac:dyDescent="0.3">
      <c r="A139" t="s">
        <v>1007</v>
      </c>
      <c r="B139" t="s">
        <v>57</v>
      </c>
      <c r="C139" t="s">
        <v>29</v>
      </c>
      <c r="D139">
        <v>70</v>
      </c>
      <c r="E139">
        <v>20</v>
      </c>
      <c r="F139">
        <v>32</v>
      </c>
      <c r="G139">
        <v>52</v>
      </c>
      <c r="H139">
        <v>29</v>
      </c>
      <c r="I139">
        <v>20</v>
      </c>
      <c r="J139">
        <v>141</v>
      </c>
      <c r="K139">
        <v>5</v>
      </c>
      <c r="L139">
        <v>2</v>
      </c>
      <c r="M139">
        <v>4</v>
      </c>
      <c r="N139">
        <v>1</v>
      </c>
      <c r="O139">
        <v>2</v>
      </c>
      <c r="P139">
        <v>28</v>
      </c>
      <c r="Q139">
        <v>60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 x14ac:dyDescent="0.3">
      <c r="A140" t="s">
        <v>225</v>
      </c>
      <c r="B140" t="s">
        <v>59</v>
      </c>
      <c r="C140" t="s">
        <v>42</v>
      </c>
      <c r="D140">
        <v>79</v>
      </c>
      <c r="E140">
        <v>23</v>
      </c>
      <c r="F140">
        <v>28</v>
      </c>
      <c r="G140">
        <v>51</v>
      </c>
      <c r="H140">
        <v>7</v>
      </c>
      <c r="I140">
        <v>12</v>
      </c>
      <c r="J140">
        <v>147</v>
      </c>
      <c r="K140">
        <v>4</v>
      </c>
      <c r="L140">
        <v>5</v>
      </c>
      <c r="M140">
        <v>6</v>
      </c>
      <c r="N140">
        <v>0</v>
      </c>
      <c r="O140">
        <v>1</v>
      </c>
      <c r="P140">
        <v>58</v>
      </c>
      <c r="Q140">
        <v>23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 x14ac:dyDescent="0.3">
      <c r="A141" t="s">
        <v>246</v>
      </c>
      <c r="B141" t="s">
        <v>39</v>
      </c>
      <c r="C141" t="s">
        <v>29</v>
      </c>
      <c r="D141">
        <v>71</v>
      </c>
      <c r="E141">
        <v>22</v>
      </c>
      <c r="F141">
        <v>29</v>
      </c>
      <c r="G141">
        <v>51</v>
      </c>
      <c r="H141">
        <v>4</v>
      </c>
      <c r="I141">
        <v>28</v>
      </c>
      <c r="J141">
        <v>136</v>
      </c>
      <c r="K141">
        <v>5</v>
      </c>
      <c r="L141">
        <v>6</v>
      </c>
      <c r="M141">
        <v>12</v>
      </c>
      <c r="N141">
        <v>0</v>
      </c>
      <c r="O141">
        <v>0</v>
      </c>
      <c r="P141">
        <v>13</v>
      </c>
      <c r="Q141">
        <v>31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 x14ac:dyDescent="0.3">
      <c r="A142" t="s">
        <v>251</v>
      </c>
      <c r="B142" t="s">
        <v>84</v>
      </c>
      <c r="C142" t="s">
        <v>29</v>
      </c>
      <c r="D142">
        <v>72</v>
      </c>
      <c r="E142">
        <v>20</v>
      </c>
      <c r="F142">
        <v>31</v>
      </c>
      <c r="G142">
        <v>51</v>
      </c>
      <c r="H142">
        <v>7</v>
      </c>
      <c r="I142">
        <v>16</v>
      </c>
      <c r="J142">
        <v>165</v>
      </c>
      <c r="K142">
        <v>4</v>
      </c>
      <c r="L142">
        <v>4</v>
      </c>
      <c r="M142">
        <v>6</v>
      </c>
      <c r="N142">
        <v>2</v>
      </c>
      <c r="O142">
        <v>1</v>
      </c>
      <c r="P142">
        <v>65</v>
      </c>
      <c r="Q142">
        <v>43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 x14ac:dyDescent="0.3">
      <c r="A143" t="s">
        <v>497</v>
      </c>
      <c r="B143" t="s">
        <v>84</v>
      </c>
      <c r="C143" t="s">
        <v>42</v>
      </c>
      <c r="D143">
        <v>70</v>
      </c>
      <c r="E143">
        <v>29</v>
      </c>
      <c r="F143">
        <v>21</v>
      </c>
      <c r="G143">
        <v>50</v>
      </c>
      <c r="H143">
        <v>-7</v>
      </c>
      <c r="I143">
        <v>29</v>
      </c>
      <c r="J143">
        <v>165</v>
      </c>
      <c r="K143">
        <v>5</v>
      </c>
      <c r="L143">
        <v>5</v>
      </c>
      <c r="M143">
        <v>5</v>
      </c>
      <c r="N143">
        <v>0</v>
      </c>
      <c r="O143">
        <v>0</v>
      </c>
      <c r="P143">
        <v>31</v>
      </c>
      <c r="Q143">
        <v>18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 x14ac:dyDescent="0.3">
      <c r="A144" t="s">
        <v>257</v>
      </c>
      <c r="B144" t="s">
        <v>65</v>
      </c>
      <c r="C144" t="s">
        <v>93</v>
      </c>
      <c r="D144">
        <v>80</v>
      </c>
      <c r="E144">
        <v>12</v>
      </c>
      <c r="F144">
        <v>38</v>
      </c>
      <c r="G144">
        <v>50</v>
      </c>
      <c r="H144">
        <v>8</v>
      </c>
      <c r="I144">
        <v>24</v>
      </c>
      <c r="J144">
        <v>195</v>
      </c>
      <c r="K144">
        <v>2</v>
      </c>
      <c r="L144">
        <v>4</v>
      </c>
      <c r="M144">
        <v>11</v>
      </c>
      <c r="N144">
        <v>0</v>
      </c>
      <c r="O144">
        <v>1</v>
      </c>
      <c r="P144">
        <v>55</v>
      </c>
      <c r="Q144">
        <v>98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 x14ac:dyDescent="0.3">
      <c r="A145" t="s">
        <v>313</v>
      </c>
      <c r="B145" t="s">
        <v>35</v>
      </c>
      <c r="C145" t="s">
        <v>29</v>
      </c>
      <c r="D145">
        <v>81</v>
      </c>
      <c r="E145">
        <v>14</v>
      </c>
      <c r="F145">
        <v>35</v>
      </c>
      <c r="G145">
        <v>49</v>
      </c>
      <c r="H145">
        <v>14</v>
      </c>
      <c r="I145">
        <v>22</v>
      </c>
      <c r="J145">
        <v>114</v>
      </c>
      <c r="K145">
        <v>2</v>
      </c>
      <c r="L145">
        <v>0</v>
      </c>
      <c r="M145">
        <v>1</v>
      </c>
      <c r="N145">
        <v>0</v>
      </c>
      <c r="O145">
        <v>2</v>
      </c>
      <c r="P145">
        <v>70</v>
      </c>
      <c r="Q145">
        <v>57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3">
      <c r="A146" t="s">
        <v>210</v>
      </c>
      <c r="B146" t="s">
        <v>87</v>
      </c>
      <c r="C146" t="s">
        <v>29</v>
      </c>
      <c r="D146">
        <v>77</v>
      </c>
      <c r="E146">
        <v>26</v>
      </c>
      <c r="F146">
        <v>23</v>
      </c>
      <c r="G146">
        <v>49</v>
      </c>
      <c r="H146">
        <v>17</v>
      </c>
      <c r="I146">
        <v>26</v>
      </c>
      <c r="J146">
        <v>217</v>
      </c>
      <c r="K146">
        <v>4</v>
      </c>
      <c r="L146">
        <v>9</v>
      </c>
      <c r="M146">
        <v>6</v>
      </c>
      <c r="N146">
        <v>1</v>
      </c>
      <c r="O146">
        <v>0</v>
      </c>
      <c r="P146">
        <v>140</v>
      </c>
      <c r="Q146">
        <v>47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 x14ac:dyDescent="0.3">
      <c r="A147" t="s">
        <v>228</v>
      </c>
      <c r="B147" t="s">
        <v>106</v>
      </c>
      <c r="C147" t="s">
        <v>33</v>
      </c>
      <c r="D147">
        <v>78</v>
      </c>
      <c r="E147">
        <v>26</v>
      </c>
      <c r="F147">
        <v>23</v>
      </c>
      <c r="G147">
        <v>49</v>
      </c>
      <c r="H147">
        <v>-8</v>
      </c>
      <c r="I147">
        <v>20</v>
      </c>
      <c r="J147">
        <v>181</v>
      </c>
      <c r="K147">
        <v>5</v>
      </c>
      <c r="L147">
        <v>2</v>
      </c>
      <c r="M147">
        <v>3</v>
      </c>
      <c r="N147">
        <v>1</v>
      </c>
      <c r="O147">
        <v>0</v>
      </c>
      <c r="P147">
        <v>32</v>
      </c>
      <c r="Q147">
        <v>27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 x14ac:dyDescent="0.3">
      <c r="A148" t="s">
        <v>273</v>
      </c>
      <c r="B148" t="s">
        <v>132</v>
      </c>
      <c r="C148" t="s">
        <v>93</v>
      </c>
      <c r="D148">
        <v>67</v>
      </c>
      <c r="E148">
        <v>10</v>
      </c>
      <c r="F148">
        <v>39</v>
      </c>
      <c r="G148">
        <v>49</v>
      </c>
      <c r="H148">
        <v>8</v>
      </c>
      <c r="I148">
        <v>57</v>
      </c>
      <c r="J148">
        <v>163</v>
      </c>
      <c r="K148">
        <v>2</v>
      </c>
      <c r="L148">
        <v>2</v>
      </c>
      <c r="M148">
        <v>16</v>
      </c>
      <c r="N148">
        <v>0</v>
      </c>
      <c r="O148">
        <v>0</v>
      </c>
      <c r="P148">
        <v>44</v>
      </c>
      <c r="Q148">
        <v>61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3">
      <c r="A149" t="s">
        <v>192</v>
      </c>
      <c r="B149" t="s">
        <v>57</v>
      </c>
      <c r="C149" t="s">
        <v>33</v>
      </c>
      <c r="D149">
        <v>72</v>
      </c>
      <c r="E149">
        <v>27</v>
      </c>
      <c r="F149">
        <v>22</v>
      </c>
      <c r="G149">
        <v>49</v>
      </c>
      <c r="H149">
        <v>21</v>
      </c>
      <c r="I149">
        <v>74</v>
      </c>
      <c r="J149">
        <v>238</v>
      </c>
      <c r="K149">
        <v>6</v>
      </c>
      <c r="L149">
        <v>6</v>
      </c>
      <c r="M149">
        <v>7</v>
      </c>
      <c r="N149">
        <v>0</v>
      </c>
      <c r="O149">
        <v>1</v>
      </c>
      <c r="P149">
        <v>128</v>
      </c>
      <c r="Q149">
        <v>26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 x14ac:dyDescent="0.3">
      <c r="A150" t="s">
        <v>342</v>
      </c>
      <c r="B150" t="s">
        <v>41</v>
      </c>
      <c r="C150" t="s">
        <v>33</v>
      </c>
      <c r="D150">
        <v>71</v>
      </c>
      <c r="E150">
        <v>23</v>
      </c>
      <c r="F150">
        <v>26</v>
      </c>
      <c r="G150">
        <v>49</v>
      </c>
      <c r="H150">
        <v>23</v>
      </c>
      <c r="I150">
        <v>14</v>
      </c>
      <c r="J150">
        <v>189</v>
      </c>
      <c r="K150">
        <v>5</v>
      </c>
      <c r="L150">
        <v>4</v>
      </c>
      <c r="M150">
        <v>5</v>
      </c>
      <c r="N150">
        <v>1</v>
      </c>
      <c r="O150">
        <v>1</v>
      </c>
      <c r="P150">
        <v>96</v>
      </c>
      <c r="Q150">
        <v>30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 x14ac:dyDescent="0.3">
      <c r="A151" t="s">
        <v>167</v>
      </c>
      <c r="B151" t="s">
        <v>82</v>
      </c>
      <c r="C151" t="s">
        <v>29</v>
      </c>
      <c r="D151">
        <v>79</v>
      </c>
      <c r="E151">
        <v>21</v>
      </c>
      <c r="F151">
        <v>28</v>
      </c>
      <c r="G151">
        <v>49</v>
      </c>
      <c r="H151">
        <v>15</v>
      </c>
      <c r="I151">
        <v>36</v>
      </c>
      <c r="J151">
        <v>184</v>
      </c>
      <c r="K151">
        <v>4</v>
      </c>
      <c r="L151">
        <v>2</v>
      </c>
      <c r="M151">
        <v>3</v>
      </c>
      <c r="N151">
        <v>1</v>
      </c>
      <c r="O151">
        <v>2</v>
      </c>
      <c r="P151">
        <v>86</v>
      </c>
      <c r="Q151">
        <v>48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 x14ac:dyDescent="0.3">
      <c r="A152" t="s">
        <v>184</v>
      </c>
      <c r="B152" t="s">
        <v>98</v>
      </c>
      <c r="C152" t="s">
        <v>42</v>
      </c>
      <c r="D152">
        <v>71</v>
      </c>
      <c r="E152">
        <v>21</v>
      </c>
      <c r="F152">
        <v>28</v>
      </c>
      <c r="G152">
        <v>49</v>
      </c>
      <c r="H152">
        <v>8</v>
      </c>
      <c r="I152">
        <v>14</v>
      </c>
      <c r="J152">
        <v>170</v>
      </c>
      <c r="K152">
        <v>5</v>
      </c>
      <c r="L152">
        <v>4</v>
      </c>
      <c r="M152">
        <v>6</v>
      </c>
      <c r="N152">
        <v>2</v>
      </c>
      <c r="O152">
        <v>2</v>
      </c>
      <c r="P152">
        <v>66</v>
      </c>
      <c r="Q152">
        <v>28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 x14ac:dyDescent="0.3">
      <c r="A153" t="s">
        <v>205</v>
      </c>
      <c r="B153" t="s">
        <v>132</v>
      </c>
      <c r="C153" t="s">
        <v>42</v>
      </c>
      <c r="D153">
        <v>76</v>
      </c>
      <c r="E153">
        <v>22</v>
      </c>
      <c r="F153">
        <v>26</v>
      </c>
      <c r="G153">
        <v>48</v>
      </c>
      <c r="H153">
        <v>-6</v>
      </c>
      <c r="I153">
        <v>12</v>
      </c>
      <c r="J153">
        <v>218</v>
      </c>
      <c r="K153">
        <v>4</v>
      </c>
      <c r="L153">
        <v>3</v>
      </c>
      <c r="M153">
        <v>6</v>
      </c>
      <c r="N153">
        <v>2</v>
      </c>
      <c r="O153">
        <v>0</v>
      </c>
      <c r="P153">
        <v>24</v>
      </c>
      <c r="Q153">
        <v>43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 x14ac:dyDescent="0.3">
      <c r="A154" t="s">
        <v>188</v>
      </c>
      <c r="B154" t="s">
        <v>65</v>
      </c>
      <c r="C154" t="s">
        <v>29</v>
      </c>
      <c r="D154">
        <v>80</v>
      </c>
      <c r="E154">
        <v>19</v>
      </c>
      <c r="F154">
        <v>29</v>
      </c>
      <c r="G154">
        <v>48</v>
      </c>
      <c r="H154">
        <v>-6</v>
      </c>
      <c r="I154">
        <v>80</v>
      </c>
      <c r="J154">
        <v>178</v>
      </c>
      <c r="K154">
        <v>3</v>
      </c>
      <c r="L154">
        <v>4</v>
      </c>
      <c r="M154">
        <v>9</v>
      </c>
      <c r="N154">
        <v>1</v>
      </c>
      <c r="O154">
        <v>0</v>
      </c>
      <c r="P154">
        <v>147</v>
      </c>
      <c r="Q154">
        <v>58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 x14ac:dyDescent="0.3">
      <c r="A155" t="s">
        <v>174</v>
      </c>
      <c r="B155" t="s">
        <v>122</v>
      </c>
      <c r="C155" t="s">
        <v>93</v>
      </c>
      <c r="D155">
        <v>74</v>
      </c>
      <c r="E155">
        <v>8</v>
      </c>
      <c r="F155">
        <v>40</v>
      </c>
      <c r="G155">
        <v>48</v>
      </c>
      <c r="H155">
        <v>-25</v>
      </c>
      <c r="I155">
        <v>33</v>
      </c>
      <c r="J155">
        <v>143</v>
      </c>
      <c r="K155">
        <v>2</v>
      </c>
      <c r="L155">
        <v>2</v>
      </c>
      <c r="M155">
        <v>18</v>
      </c>
      <c r="N155">
        <v>0</v>
      </c>
      <c r="O155">
        <v>0</v>
      </c>
      <c r="P155">
        <v>57</v>
      </c>
      <c r="Q155">
        <v>76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 x14ac:dyDescent="0.3">
      <c r="A156" t="s">
        <v>231</v>
      </c>
      <c r="B156" t="s">
        <v>44</v>
      </c>
      <c r="C156" t="s">
        <v>93</v>
      </c>
      <c r="D156">
        <v>77</v>
      </c>
      <c r="E156">
        <v>6</v>
      </c>
      <c r="F156">
        <v>42</v>
      </c>
      <c r="G156">
        <v>48</v>
      </c>
      <c r="H156">
        <v>-25</v>
      </c>
      <c r="I156">
        <v>28</v>
      </c>
      <c r="J156">
        <v>190</v>
      </c>
      <c r="K156">
        <v>0</v>
      </c>
      <c r="L156">
        <v>2</v>
      </c>
      <c r="M156">
        <v>16</v>
      </c>
      <c r="N156">
        <v>0</v>
      </c>
      <c r="O156">
        <v>1</v>
      </c>
      <c r="P156">
        <v>102</v>
      </c>
      <c r="Q156">
        <v>150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 x14ac:dyDescent="0.3">
      <c r="A157" t="s">
        <v>200</v>
      </c>
      <c r="B157" t="s">
        <v>140</v>
      </c>
      <c r="C157" t="s">
        <v>29</v>
      </c>
      <c r="D157">
        <v>74</v>
      </c>
      <c r="E157">
        <v>25</v>
      </c>
      <c r="F157">
        <v>23</v>
      </c>
      <c r="G157">
        <v>48</v>
      </c>
      <c r="H157">
        <v>-13</v>
      </c>
      <c r="I157">
        <v>30</v>
      </c>
      <c r="J157">
        <v>191</v>
      </c>
      <c r="K157">
        <v>4</v>
      </c>
      <c r="L157">
        <v>6</v>
      </c>
      <c r="M157">
        <v>7</v>
      </c>
      <c r="N157">
        <v>1</v>
      </c>
      <c r="O157">
        <v>0</v>
      </c>
      <c r="P157">
        <v>69</v>
      </c>
      <c r="Q157">
        <v>30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 x14ac:dyDescent="0.3">
      <c r="A158" t="s">
        <v>222</v>
      </c>
      <c r="B158" t="s">
        <v>59</v>
      </c>
      <c r="C158" t="s">
        <v>93</v>
      </c>
      <c r="D158">
        <v>68</v>
      </c>
      <c r="E158">
        <v>13</v>
      </c>
      <c r="F158">
        <v>35</v>
      </c>
      <c r="G158">
        <v>48</v>
      </c>
      <c r="H158">
        <v>-8</v>
      </c>
      <c r="I158">
        <v>20</v>
      </c>
      <c r="J158">
        <v>212</v>
      </c>
      <c r="K158">
        <v>2</v>
      </c>
      <c r="L158">
        <v>4</v>
      </c>
      <c r="M158">
        <v>10</v>
      </c>
      <c r="N158">
        <v>0</v>
      </c>
      <c r="O158">
        <v>1</v>
      </c>
      <c r="P158">
        <v>36</v>
      </c>
      <c r="Q158">
        <v>92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 x14ac:dyDescent="0.3">
      <c r="A159" t="s">
        <v>475</v>
      </c>
      <c r="B159" t="s">
        <v>106</v>
      </c>
      <c r="C159" t="s">
        <v>29</v>
      </c>
      <c r="D159">
        <v>82</v>
      </c>
      <c r="E159">
        <v>19</v>
      </c>
      <c r="F159">
        <v>29</v>
      </c>
      <c r="G159">
        <v>48</v>
      </c>
      <c r="H159">
        <v>-17</v>
      </c>
      <c r="I159">
        <v>26</v>
      </c>
      <c r="J159">
        <v>165</v>
      </c>
      <c r="K159">
        <v>4</v>
      </c>
      <c r="L159">
        <v>3</v>
      </c>
      <c r="M159">
        <v>5</v>
      </c>
      <c r="N159">
        <v>1</v>
      </c>
      <c r="O159">
        <v>1</v>
      </c>
      <c r="P159">
        <v>29</v>
      </c>
      <c r="Q159">
        <v>37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 x14ac:dyDescent="0.3">
      <c r="A160" t="s">
        <v>331</v>
      </c>
      <c r="B160" t="s">
        <v>48</v>
      </c>
      <c r="C160" t="s">
        <v>93</v>
      </c>
      <c r="D160">
        <v>82</v>
      </c>
      <c r="E160">
        <v>5</v>
      </c>
      <c r="F160">
        <v>43</v>
      </c>
      <c r="G160">
        <v>48</v>
      </c>
      <c r="H160">
        <v>23</v>
      </c>
      <c r="I160">
        <v>36</v>
      </c>
      <c r="J160">
        <v>149</v>
      </c>
      <c r="K160">
        <v>1</v>
      </c>
      <c r="L160">
        <v>2</v>
      </c>
      <c r="M160">
        <v>15</v>
      </c>
      <c r="N160">
        <v>0</v>
      </c>
      <c r="O160">
        <v>1</v>
      </c>
      <c r="P160">
        <v>67</v>
      </c>
      <c r="Q160">
        <v>122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 x14ac:dyDescent="0.3">
      <c r="A161" t="s">
        <v>1008</v>
      </c>
      <c r="B161" t="s">
        <v>140</v>
      </c>
      <c r="C161" t="s">
        <v>29</v>
      </c>
      <c r="D161">
        <v>75</v>
      </c>
      <c r="E161">
        <v>16</v>
      </c>
      <c r="F161">
        <v>31</v>
      </c>
      <c r="G161">
        <v>47</v>
      </c>
      <c r="H161">
        <v>-7</v>
      </c>
      <c r="I161">
        <v>18</v>
      </c>
      <c r="J161">
        <v>131</v>
      </c>
      <c r="K161">
        <v>1</v>
      </c>
      <c r="L161">
        <v>4</v>
      </c>
      <c r="M161">
        <v>6</v>
      </c>
      <c r="N161">
        <v>0</v>
      </c>
      <c r="O161">
        <v>0</v>
      </c>
      <c r="P161">
        <v>53</v>
      </c>
      <c r="Q161">
        <v>30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 x14ac:dyDescent="0.3">
      <c r="A162" t="s">
        <v>619</v>
      </c>
      <c r="B162" t="s">
        <v>28</v>
      </c>
      <c r="C162" t="s">
        <v>93</v>
      </c>
      <c r="D162">
        <v>80</v>
      </c>
      <c r="E162">
        <v>11</v>
      </c>
      <c r="F162">
        <v>35</v>
      </c>
      <c r="G162">
        <v>46</v>
      </c>
      <c r="H162">
        <v>13</v>
      </c>
      <c r="I162">
        <v>26</v>
      </c>
      <c r="J162">
        <v>202</v>
      </c>
      <c r="K162">
        <v>1</v>
      </c>
      <c r="L162">
        <v>2</v>
      </c>
      <c r="M162">
        <v>8</v>
      </c>
      <c r="N162">
        <v>0</v>
      </c>
      <c r="O162">
        <v>1</v>
      </c>
      <c r="P162">
        <v>78</v>
      </c>
      <c r="Q162">
        <v>116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 x14ac:dyDescent="0.3">
      <c r="A163" t="s">
        <v>354</v>
      </c>
      <c r="B163" t="s">
        <v>82</v>
      </c>
      <c r="C163" t="s">
        <v>33</v>
      </c>
      <c r="D163">
        <v>82</v>
      </c>
      <c r="E163">
        <v>19</v>
      </c>
      <c r="F163">
        <v>27</v>
      </c>
      <c r="G163">
        <v>46</v>
      </c>
      <c r="H163">
        <v>15</v>
      </c>
      <c r="I163">
        <v>20</v>
      </c>
      <c r="J163">
        <v>195</v>
      </c>
      <c r="K163">
        <v>2</v>
      </c>
      <c r="L163">
        <v>1</v>
      </c>
      <c r="M163">
        <v>1</v>
      </c>
      <c r="N163">
        <v>3</v>
      </c>
      <c r="O163">
        <v>1</v>
      </c>
      <c r="P163">
        <v>70</v>
      </c>
      <c r="Q163">
        <v>30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 x14ac:dyDescent="0.3">
      <c r="A164" t="s">
        <v>304</v>
      </c>
      <c r="B164" t="s">
        <v>82</v>
      </c>
      <c r="C164" t="s">
        <v>33</v>
      </c>
      <c r="D164">
        <v>64</v>
      </c>
      <c r="E164">
        <v>20</v>
      </c>
      <c r="F164">
        <v>26</v>
      </c>
      <c r="G164">
        <v>46</v>
      </c>
      <c r="H164">
        <v>3</v>
      </c>
      <c r="I164">
        <v>24</v>
      </c>
      <c r="J164">
        <v>209</v>
      </c>
      <c r="K164">
        <v>3</v>
      </c>
      <c r="L164">
        <v>4</v>
      </c>
      <c r="M164">
        <v>4</v>
      </c>
      <c r="N164">
        <v>0</v>
      </c>
      <c r="O164">
        <v>0</v>
      </c>
      <c r="P164">
        <v>22</v>
      </c>
      <c r="Q164">
        <v>38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 x14ac:dyDescent="0.3">
      <c r="A165" t="s">
        <v>218</v>
      </c>
      <c r="B165" t="s">
        <v>98</v>
      </c>
      <c r="C165" t="s">
        <v>93</v>
      </c>
      <c r="D165">
        <v>79</v>
      </c>
      <c r="E165">
        <v>14</v>
      </c>
      <c r="F165">
        <v>32</v>
      </c>
      <c r="G165">
        <v>46</v>
      </c>
      <c r="H165">
        <v>10</v>
      </c>
      <c r="I165">
        <v>40</v>
      </c>
      <c r="J165">
        <v>222</v>
      </c>
      <c r="K165">
        <v>2</v>
      </c>
      <c r="L165">
        <v>3</v>
      </c>
      <c r="M165">
        <v>11</v>
      </c>
      <c r="N165">
        <v>1</v>
      </c>
      <c r="O165">
        <v>2</v>
      </c>
      <c r="P165">
        <v>63</v>
      </c>
      <c r="Q165">
        <v>161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 x14ac:dyDescent="0.3">
      <c r="A166" t="s">
        <v>172</v>
      </c>
      <c r="B166" t="s">
        <v>95</v>
      </c>
      <c r="C166" t="s">
        <v>33</v>
      </c>
      <c r="D166">
        <v>75</v>
      </c>
      <c r="E166">
        <v>13</v>
      </c>
      <c r="F166">
        <v>33</v>
      </c>
      <c r="G166">
        <v>46</v>
      </c>
      <c r="H166">
        <v>-5</v>
      </c>
      <c r="I166">
        <v>6</v>
      </c>
      <c r="J166">
        <v>97</v>
      </c>
      <c r="K166">
        <v>2</v>
      </c>
      <c r="L166">
        <v>1</v>
      </c>
      <c r="M166">
        <v>11</v>
      </c>
      <c r="N166">
        <v>0</v>
      </c>
      <c r="O166">
        <v>0</v>
      </c>
      <c r="P166">
        <v>19</v>
      </c>
      <c r="Q166">
        <v>29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 x14ac:dyDescent="0.3">
      <c r="A167" t="s">
        <v>203</v>
      </c>
      <c r="B167" t="s">
        <v>140</v>
      </c>
      <c r="C167" t="s">
        <v>42</v>
      </c>
      <c r="D167">
        <v>79</v>
      </c>
      <c r="E167">
        <v>21</v>
      </c>
      <c r="F167">
        <v>25</v>
      </c>
      <c r="G167">
        <v>46</v>
      </c>
      <c r="H167">
        <v>-19</v>
      </c>
      <c r="I167">
        <v>16</v>
      </c>
      <c r="J167">
        <v>166</v>
      </c>
      <c r="K167">
        <v>3</v>
      </c>
      <c r="L167">
        <v>3</v>
      </c>
      <c r="M167">
        <v>6</v>
      </c>
      <c r="N167">
        <v>0</v>
      </c>
      <c r="O167">
        <v>0</v>
      </c>
      <c r="P167">
        <v>46</v>
      </c>
      <c r="Q167">
        <v>38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 x14ac:dyDescent="0.3">
      <c r="A168" t="s">
        <v>238</v>
      </c>
      <c r="B168" t="s">
        <v>46</v>
      </c>
      <c r="C168" t="s">
        <v>29</v>
      </c>
      <c r="D168">
        <v>71</v>
      </c>
      <c r="E168">
        <v>23</v>
      </c>
      <c r="F168">
        <v>23</v>
      </c>
      <c r="G168">
        <v>46</v>
      </c>
      <c r="H168">
        <v>-4</v>
      </c>
      <c r="I168">
        <v>13</v>
      </c>
      <c r="J168">
        <v>189</v>
      </c>
      <c r="K168">
        <v>2</v>
      </c>
      <c r="L168">
        <v>4</v>
      </c>
      <c r="M168">
        <v>6</v>
      </c>
      <c r="N168">
        <v>0</v>
      </c>
      <c r="O168">
        <v>0</v>
      </c>
      <c r="P168">
        <v>96</v>
      </c>
      <c r="Q168">
        <v>40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 x14ac:dyDescent="0.3">
      <c r="A169" t="s">
        <v>240</v>
      </c>
      <c r="B169" t="s">
        <v>120</v>
      </c>
      <c r="C169" t="s">
        <v>42</v>
      </c>
      <c r="D169">
        <v>80</v>
      </c>
      <c r="E169">
        <v>24</v>
      </c>
      <c r="F169">
        <v>22</v>
      </c>
      <c r="G169">
        <v>46</v>
      </c>
      <c r="H169">
        <v>-11</v>
      </c>
      <c r="I169">
        <v>16</v>
      </c>
      <c r="J169">
        <v>182</v>
      </c>
      <c r="K169">
        <v>5</v>
      </c>
      <c r="L169">
        <v>6</v>
      </c>
      <c r="M169">
        <v>6</v>
      </c>
      <c r="N169">
        <v>0</v>
      </c>
      <c r="O169">
        <v>0</v>
      </c>
      <c r="P169">
        <v>62</v>
      </c>
      <c r="Q169">
        <v>25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 x14ac:dyDescent="0.3">
      <c r="A170" t="s">
        <v>268</v>
      </c>
      <c r="B170" t="s">
        <v>132</v>
      </c>
      <c r="C170" t="s">
        <v>29</v>
      </c>
      <c r="D170">
        <v>72</v>
      </c>
      <c r="E170">
        <v>17</v>
      </c>
      <c r="F170">
        <v>29</v>
      </c>
      <c r="G170">
        <v>46</v>
      </c>
      <c r="H170">
        <v>-21</v>
      </c>
      <c r="I170">
        <v>38</v>
      </c>
      <c r="J170">
        <v>178</v>
      </c>
      <c r="K170">
        <v>3</v>
      </c>
      <c r="L170">
        <v>4</v>
      </c>
      <c r="M170">
        <v>4</v>
      </c>
      <c r="N170">
        <v>1</v>
      </c>
      <c r="O170">
        <v>2</v>
      </c>
      <c r="P170">
        <v>67</v>
      </c>
      <c r="Q170">
        <v>18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 x14ac:dyDescent="0.3">
      <c r="A171" t="s">
        <v>157</v>
      </c>
      <c r="B171" t="s">
        <v>28</v>
      </c>
      <c r="C171" t="s">
        <v>93</v>
      </c>
      <c r="D171">
        <v>74</v>
      </c>
      <c r="E171">
        <v>8</v>
      </c>
      <c r="F171">
        <v>37</v>
      </c>
      <c r="G171">
        <v>45</v>
      </c>
      <c r="H171">
        <v>2</v>
      </c>
      <c r="I171">
        <v>18</v>
      </c>
      <c r="J171">
        <v>166</v>
      </c>
      <c r="K171">
        <v>1</v>
      </c>
      <c r="L171">
        <v>3</v>
      </c>
      <c r="M171">
        <v>20</v>
      </c>
      <c r="N171">
        <v>0</v>
      </c>
      <c r="O171">
        <v>0</v>
      </c>
      <c r="P171">
        <v>28</v>
      </c>
      <c r="Q171">
        <v>74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 x14ac:dyDescent="0.3">
      <c r="A172" t="s">
        <v>250</v>
      </c>
      <c r="B172" t="s">
        <v>100</v>
      </c>
      <c r="C172" t="s">
        <v>42</v>
      </c>
      <c r="D172">
        <v>77</v>
      </c>
      <c r="E172">
        <v>24</v>
      </c>
      <c r="F172">
        <v>21</v>
      </c>
      <c r="G172">
        <v>45</v>
      </c>
      <c r="H172">
        <v>12</v>
      </c>
      <c r="I172">
        <v>36</v>
      </c>
      <c r="J172">
        <v>159</v>
      </c>
      <c r="K172">
        <v>5</v>
      </c>
      <c r="L172">
        <v>4</v>
      </c>
      <c r="M172">
        <v>6</v>
      </c>
      <c r="N172">
        <v>0</v>
      </c>
      <c r="O172">
        <v>0</v>
      </c>
      <c r="P172">
        <v>112</v>
      </c>
      <c r="Q172">
        <v>18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</row>
    <row r="173" spans="1:25" x14ac:dyDescent="0.3">
      <c r="A173" t="s">
        <v>177</v>
      </c>
      <c r="B173" t="s">
        <v>75</v>
      </c>
      <c r="C173" t="s">
        <v>93</v>
      </c>
      <c r="D173">
        <v>71</v>
      </c>
      <c r="E173">
        <v>9</v>
      </c>
      <c r="F173">
        <v>36</v>
      </c>
      <c r="G173">
        <v>45</v>
      </c>
      <c r="H173">
        <v>21</v>
      </c>
      <c r="I173">
        <v>44</v>
      </c>
      <c r="J173">
        <v>144</v>
      </c>
      <c r="K173">
        <v>1</v>
      </c>
      <c r="L173">
        <v>2</v>
      </c>
      <c r="M173">
        <v>18</v>
      </c>
      <c r="N173">
        <v>1</v>
      </c>
      <c r="O173">
        <v>0</v>
      </c>
      <c r="P173">
        <v>60</v>
      </c>
      <c r="Q173">
        <v>73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 x14ac:dyDescent="0.3">
      <c r="A174" t="s">
        <v>266</v>
      </c>
      <c r="B174" t="s">
        <v>63</v>
      </c>
      <c r="C174" t="s">
        <v>29</v>
      </c>
      <c r="D174">
        <v>72</v>
      </c>
      <c r="E174">
        <v>21</v>
      </c>
      <c r="F174">
        <v>24</v>
      </c>
      <c r="G174">
        <v>45</v>
      </c>
      <c r="H174">
        <v>11</v>
      </c>
      <c r="I174">
        <v>20</v>
      </c>
      <c r="J174">
        <v>142</v>
      </c>
      <c r="K174">
        <v>3</v>
      </c>
      <c r="L174">
        <v>4</v>
      </c>
      <c r="M174">
        <v>5</v>
      </c>
      <c r="N174">
        <v>0</v>
      </c>
      <c r="O174">
        <v>0</v>
      </c>
      <c r="P174">
        <v>34</v>
      </c>
      <c r="Q174">
        <v>27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 x14ac:dyDescent="0.3">
      <c r="A175" t="s">
        <v>262</v>
      </c>
      <c r="B175" t="s">
        <v>82</v>
      </c>
      <c r="C175" t="s">
        <v>29</v>
      </c>
      <c r="D175">
        <v>80</v>
      </c>
      <c r="E175">
        <v>27</v>
      </c>
      <c r="F175">
        <v>18</v>
      </c>
      <c r="G175">
        <v>45</v>
      </c>
      <c r="H175">
        <v>-5</v>
      </c>
      <c r="I175">
        <v>44</v>
      </c>
      <c r="J175">
        <v>231</v>
      </c>
      <c r="K175">
        <v>5</v>
      </c>
      <c r="L175">
        <v>4</v>
      </c>
      <c r="M175">
        <v>9</v>
      </c>
      <c r="N175">
        <v>1</v>
      </c>
      <c r="O175">
        <v>1</v>
      </c>
      <c r="P175">
        <v>106</v>
      </c>
      <c r="Q175">
        <v>27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 x14ac:dyDescent="0.3">
      <c r="A176" t="s">
        <v>336</v>
      </c>
      <c r="B176" t="s">
        <v>181</v>
      </c>
      <c r="C176" t="s">
        <v>93</v>
      </c>
      <c r="D176">
        <v>75</v>
      </c>
      <c r="E176">
        <v>13</v>
      </c>
      <c r="F176">
        <v>32</v>
      </c>
      <c r="G176">
        <v>45</v>
      </c>
      <c r="H176">
        <v>-17</v>
      </c>
      <c r="I176">
        <v>22</v>
      </c>
      <c r="J176">
        <v>148</v>
      </c>
      <c r="K176">
        <v>3</v>
      </c>
      <c r="L176">
        <v>3</v>
      </c>
      <c r="M176">
        <v>14</v>
      </c>
      <c r="N176">
        <v>0</v>
      </c>
      <c r="O176">
        <v>0</v>
      </c>
      <c r="P176">
        <v>52</v>
      </c>
      <c r="Q176">
        <v>105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</row>
    <row r="177" spans="1:25" x14ac:dyDescent="0.3">
      <c r="A177" t="s">
        <v>401</v>
      </c>
      <c r="B177" t="s">
        <v>75</v>
      </c>
      <c r="C177" t="s">
        <v>33</v>
      </c>
      <c r="D177">
        <v>76</v>
      </c>
      <c r="E177">
        <v>17</v>
      </c>
      <c r="F177">
        <v>27</v>
      </c>
      <c r="G177">
        <v>44</v>
      </c>
      <c r="H177">
        <v>2</v>
      </c>
      <c r="I177">
        <v>34</v>
      </c>
      <c r="J177">
        <v>102</v>
      </c>
      <c r="K177">
        <v>3</v>
      </c>
      <c r="L177">
        <v>3</v>
      </c>
      <c r="M177">
        <v>3</v>
      </c>
      <c r="N177">
        <v>1</v>
      </c>
      <c r="O177">
        <v>1</v>
      </c>
      <c r="P177">
        <v>148</v>
      </c>
      <c r="Q177">
        <v>27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 x14ac:dyDescent="0.3">
      <c r="A178" t="s">
        <v>199</v>
      </c>
      <c r="B178" t="s">
        <v>73</v>
      </c>
      <c r="C178" t="s">
        <v>93</v>
      </c>
      <c r="D178">
        <v>71</v>
      </c>
      <c r="E178">
        <v>8</v>
      </c>
      <c r="F178">
        <v>36</v>
      </c>
      <c r="G178">
        <v>44</v>
      </c>
      <c r="H178">
        <v>-6</v>
      </c>
      <c r="I178">
        <v>36</v>
      </c>
      <c r="J178">
        <v>185</v>
      </c>
      <c r="K178">
        <v>2</v>
      </c>
      <c r="L178">
        <v>1</v>
      </c>
      <c r="M178">
        <v>13</v>
      </c>
      <c r="N178">
        <v>0</v>
      </c>
      <c r="O178">
        <v>0</v>
      </c>
      <c r="P178">
        <v>89</v>
      </c>
      <c r="Q178">
        <v>109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 x14ac:dyDescent="0.3">
      <c r="A179" t="s">
        <v>276</v>
      </c>
      <c r="B179" t="s">
        <v>46</v>
      </c>
      <c r="C179" t="s">
        <v>29</v>
      </c>
      <c r="D179">
        <v>75</v>
      </c>
      <c r="E179">
        <v>20</v>
      </c>
      <c r="F179">
        <v>24</v>
      </c>
      <c r="G179">
        <v>44</v>
      </c>
      <c r="H179">
        <v>-7</v>
      </c>
      <c r="I179">
        <v>38</v>
      </c>
      <c r="J179">
        <v>202</v>
      </c>
      <c r="K179">
        <v>3</v>
      </c>
      <c r="L179">
        <v>2</v>
      </c>
      <c r="M179">
        <v>3</v>
      </c>
      <c r="N179">
        <v>1</v>
      </c>
      <c r="O179">
        <v>0</v>
      </c>
      <c r="P179">
        <v>90</v>
      </c>
      <c r="Q179">
        <v>47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3">
      <c r="A180" t="s">
        <v>216</v>
      </c>
      <c r="B180" t="s">
        <v>75</v>
      </c>
      <c r="C180" t="s">
        <v>33</v>
      </c>
      <c r="D180">
        <v>75</v>
      </c>
      <c r="E180">
        <v>22</v>
      </c>
      <c r="F180">
        <v>22</v>
      </c>
      <c r="G180">
        <v>44</v>
      </c>
      <c r="H180">
        <v>8</v>
      </c>
      <c r="I180">
        <v>12</v>
      </c>
      <c r="J180">
        <v>152</v>
      </c>
      <c r="K180">
        <v>3</v>
      </c>
      <c r="L180">
        <v>4</v>
      </c>
      <c r="M180">
        <v>5</v>
      </c>
      <c r="N180">
        <v>1</v>
      </c>
      <c r="O180">
        <v>1</v>
      </c>
      <c r="P180">
        <v>23</v>
      </c>
      <c r="Q180">
        <v>19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</row>
    <row r="181" spans="1:25" x14ac:dyDescent="0.3">
      <c r="A181" t="s">
        <v>334</v>
      </c>
      <c r="B181" t="s">
        <v>75</v>
      </c>
      <c r="C181" t="s">
        <v>93</v>
      </c>
      <c r="D181">
        <v>80</v>
      </c>
      <c r="E181">
        <v>14</v>
      </c>
      <c r="F181">
        <v>30</v>
      </c>
      <c r="G181">
        <v>44</v>
      </c>
      <c r="H181">
        <v>33</v>
      </c>
      <c r="I181">
        <v>45</v>
      </c>
      <c r="J181">
        <v>179</v>
      </c>
      <c r="K181">
        <v>3</v>
      </c>
      <c r="L181">
        <v>1</v>
      </c>
      <c r="M181">
        <v>6</v>
      </c>
      <c r="N181">
        <v>0</v>
      </c>
      <c r="O181">
        <v>1</v>
      </c>
      <c r="P181">
        <v>152</v>
      </c>
      <c r="Q181">
        <v>108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x14ac:dyDescent="0.3">
      <c r="A182" t="s">
        <v>249</v>
      </c>
      <c r="B182" t="s">
        <v>140</v>
      </c>
      <c r="C182" t="s">
        <v>33</v>
      </c>
      <c r="D182">
        <v>67</v>
      </c>
      <c r="E182">
        <v>16</v>
      </c>
      <c r="F182">
        <v>28</v>
      </c>
      <c r="G182">
        <v>44</v>
      </c>
      <c r="H182">
        <v>-12</v>
      </c>
      <c r="I182">
        <v>26</v>
      </c>
      <c r="J182">
        <v>158</v>
      </c>
      <c r="K182">
        <v>2</v>
      </c>
      <c r="L182">
        <v>3</v>
      </c>
      <c r="M182">
        <v>4</v>
      </c>
      <c r="N182">
        <v>0</v>
      </c>
      <c r="O182">
        <v>0</v>
      </c>
      <c r="P182">
        <v>62</v>
      </c>
      <c r="Q182">
        <v>27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3">
      <c r="A183" t="s">
        <v>168</v>
      </c>
      <c r="B183" t="s">
        <v>120</v>
      </c>
      <c r="C183" t="s">
        <v>33</v>
      </c>
      <c r="D183">
        <v>73</v>
      </c>
      <c r="E183">
        <v>20</v>
      </c>
      <c r="F183">
        <v>24</v>
      </c>
      <c r="G183">
        <v>44</v>
      </c>
      <c r="H183">
        <v>-19</v>
      </c>
      <c r="I183">
        <v>30</v>
      </c>
      <c r="J183">
        <v>174</v>
      </c>
      <c r="K183">
        <v>4</v>
      </c>
      <c r="L183">
        <v>7</v>
      </c>
      <c r="M183">
        <v>10</v>
      </c>
      <c r="N183">
        <v>0</v>
      </c>
      <c r="O183">
        <v>0</v>
      </c>
      <c r="P183">
        <v>29</v>
      </c>
      <c r="Q183">
        <v>27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 x14ac:dyDescent="0.3">
      <c r="A184" t="s">
        <v>124</v>
      </c>
      <c r="B184" t="s">
        <v>106</v>
      </c>
      <c r="C184" t="s">
        <v>93</v>
      </c>
      <c r="D184">
        <v>74</v>
      </c>
      <c r="E184">
        <v>13</v>
      </c>
      <c r="F184">
        <v>30</v>
      </c>
      <c r="G184">
        <v>43</v>
      </c>
      <c r="H184">
        <v>-6</v>
      </c>
      <c r="I184">
        <v>40</v>
      </c>
      <c r="J184">
        <v>242</v>
      </c>
      <c r="K184">
        <v>2</v>
      </c>
      <c r="L184">
        <v>2</v>
      </c>
      <c r="M184">
        <v>14</v>
      </c>
      <c r="N184">
        <v>0</v>
      </c>
      <c r="O184">
        <v>0</v>
      </c>
      <c r="P184">
        <v>90</v>
      </c>
      <c r="Q184">
        <v>103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</row>
    <row r="185" spans="1:25" x14ac:dyDescent="0.3">
      <c r="A185" t="s">
        <v>272</v>
      </c>
      <c r="B185" t="s">
        <v>98</v>
      </c>
      <c r="C185" t="s">
        <v>29</v>
      </c>
      <c r="D185">
        <v>75</v>
      </c>
      <c r="E185">
        <v>15</v>
      </c>
      <c r="F185">
        <v>28</v>
      </c>
      <c r="G185">
        <v>43</v>
      </c>
      <c r="H185">
        <v>8</v>
      </c>
      <c r="I185">
        <v>12</v>
      </c>
      <c r="J185">
        <v>148</v>
      </c>
      <c r="K185">
        <v>2</v>
      </c>
      <c r="L185">
        <v>1</v>
      </c>
      <c r="M185">
        <v>6</v>
      </c>
      <c r="N185">
        <v>1</v>
      </c>
      <c r="O185">
        <v>1</v>
      </c>
      <c r="P185">
        <v>46</v>
      </c>
      <c r="Q185">
        <v>46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 x14ac:dyDescent="0.3">
      <c r="A186" t="s">
        <v>617</v>
      </c>
      <c r="B186" t="s">
        <v>65</v>
      </c>
      <c r="C186" t="s">
        <v>33</v>
      </c>
      <c r="D186">
        <v>68</v>
      </c>
      <c r="E186">
        <v>15</v>
      </c>
      <c r="F186">
        <v>28</v>
      </c>
      <c r="G186">
        <v>43</v>
      </c>
      <c r="H186">
        <v>8</v>
      </c>
      <c r="I186">
        <v>62</v>
      </c>
      <c r="J186">
        <v>157</v>
      </c>
      <c r="K186">
        <v>3</v>
      </c>
      <c r="L186">
        <v>2</v>
      </c>
      <c r="M186">
        <v>6</v>
      </c>
      <c r="N186">
        <v>0</v>
      </c>
      <c r="O186">
        <v>0</v>
      </c>
      <c r="P186">
        <v>145</v>
      </c>
      <c r="Q186">
        <v>13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 x14ac:dyDescent="0.3">
      <c r="A187" t="s">
        <v>1009</v>
      </c>
      <c r="B187" t="s">
        <v>59</v>
      </c>
      <c r="C187" t="s">
        <v>29</v>
      </c>
      <c r="D187">
        <v>79</v>
      </c>
      <c r="E187">
        <v>22</v>
      </c>
      <c r="F187">
        <v>21</v>
      </c>
      <c r="G187">
        <v>43</v>
      </c>
      <c r="H187">
        <v>-13</v>
      </c>
      <c r="I187">
        <v>32</v>
      </c>
      <c r="J187">
        <v>173</v>
      </c>
      <c r="K187">
        <v>3</v>
      </c>
      <c r="L187">
        <v>2</v>
      </c>
      <c r="M187">
        <v>5</v>
      </c>
      <c r="N187">
        <v>0</v>
      </c>
      <c r="O187">
        <v>0</v>
      </c>
      <c r="P187">
        <v>108</v>
      </c>
      <c r="Q187">
        <v>48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 x14ac:dyDescent="0.3">
      <c r="A188" t="s">
        <v>1010</v>
      </c>
      <c r="B188" t="s">
        <v>63</v>
      </c>
      <c r="C188" t="s">
        <v>42</v>
      </c>
      <c r="D188">
        <v>72</v>
      </c>
      <c r="E188">
        <v>15</v>
      </c>
      <c r="F188">
        <v>27</v>
      </c>
      <c r="G188">
        <v>42</v>
      </c>
      <c r="H188">
        <v>13</v>
      </c>
      <c r="I188">
        <v>18</v>
      </c>
      <c r="J188">
        <v>123</v>
      </c>
      <c r="K188">
        <v>4</v>
      </c>
      <c r="L188">
        <v>3</v>
      </c>
      <c r="M188">
        <v>5</v>
      </c>
      <c r="N188">
        <v>0</v>
      </c>
      <c r="O188">
        <v>0</v>
      </c>
      <c r="P188">
        <v>75</v>
      </c>
      <c r="Q188">
        <v>22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 x14ac:dyDescent="0.3">
      <c r="A189" t="s">
        <v>211</v>
      </c>
      <c r="B189" t="s">
        <v>71</v>
      </c>
      <c r="C189" t="s">
        <v>42</v>
      </c>
      <c r="D189">
        <v>75</v>
      </c>
      <c r="E189">
        <v>12</v>
      </c>
      <c r="F189">
        <v>30</v>
      </c>
      <c r="G189">
        <v>42</v>
      </c>
      <c r="H189">
        <v>-5</v>
      </c>
      <c r="I189">
        <v>14</v>
      </c>
      <c r="J189">
        <v>109</v>
      </c>
      <c r="K189">
        <v>2</v>
      </c>
      <c r="L189">
        <v>2</v>
      </c>
      <c r="M189">
        <v>6</v>
      </c>
      <c r="N189">
        <v>0</v>
      </c>
      <c r="O189">
        <v>0</v>
      </c>
      <c r="P189">
        <v>56</v>
      </c>
      <c r="Q189">
        <v>40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 x14ac:dyDescent="0.3">
      <c r="A190" t="s">
        <v>345</v>
      </c>
      <c r="B190" t="s">
        <v>59</v>
      </c>
      <c r="C190" t="s">
        <v>33</v>
      </c>
      <c r="D190">
        <v>66</v>
      </c>
      <c r="E190">
        <v>21</v>
      </c>
      <c r="F190">
        <v>21</v>
      </c>
      <c r="G190">
        <v>42</v>
      </c>
      <c r="H190">
        <v>-9</v>
      </c>
      <c r="I190">
        <v>28</v>
      </c>
      <c r="J190">
        <v>179</v>
      </c>
      <c r="K190">
        <v>3</v>
      </c>
      <c r="L190">
        <v>5</v>
      </c>
      <c r="M190">
        <v>3</v>
      </c>
      <c r="N190">
        <v>1</v>
      </c>
      <c r="O190">
        <v>1</v>
      </c>
      <c r="P190">
        <v>97</v>
      </c>
      <c r="Q190">
        <v>68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 x14ac:dyDescent="0.3">
      <c r="A191" t="s">
        <v>206</v>
      </c>
      <c r="B191" t="s">
        <v>37</v>
      </c>
      <c r="C191" t="s">
        <v>29</v>
      </c>
      <c r="D191">
        <v>80</v>
      </c>
      <c r="E191">
        <v>14</v>
      </c>
      <c r="F191">
        <v>28</v>
      </c>
      <c r="G191">
        <v>42</v>
      </c>
      <c r="H191">
        <v>-6</v>
      </c>
      <c r="I191">
        <v>30</v>
      </c>
      <c r="J191">
        <v>134</v>
      </c>
      <c r="K191">
        <v>4</v>
      </c>
      <c r="L191">
        <v>2</v>
      </c>
      <c r="M191">
        <v>6</v>
      </c>
      <c r="N191">
        <v>1</v>
      </c>
      <c r="O191">
        <v>1</v>
      </c>
      <c r="P191">
        <v>84</v>
      </c>
      <c r="Q191">
        <v>38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 x14ac:dyDescent="0.3">
      <c r="A192" t="s">
        <v>154</v>
      </c>
      <c r="B192" t="s">
        <v>39</v>
      </c>
      <c r="C192" t="s">
        <v>42</v>
      </c>
      <c r="D192">
        <v>66</v>
      </c>
      <c r="E192">
        <v>19</v>
      </c>
      <c r="F192">
        <v>23</v>
      </c>
      <c r="G192">
        <v>42</v>
      </c>
      <c r="H192">
        <v>-8</v>
      </c>
      <c r="I192">
        <v>28</v>
      </c>
      <c r="J192">
        <v>122</v>
      </c>
      <c r="K192">
        <v>3</v>
      </c>
      <c r="L192">
        <v>8</v>
      </c>
      <c r="M192">
        <v>8</v>
      </c>
      <c r="N192">
        <v>0</v>
      </c>
      <c r="O192">
        <v>1</v>
      </c>
      <c r="P192">
        <v>108</v>
      </c>
      <c r="Q192">
        <v>41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</row>
    <row r="193" spans="1:25" x14ac:dyDescent="0.3">
      <c r="A193" t="s">
        <v>241</v>
      </c>
      <c r="B193" t="s">
        <v>46</v>
      </c>
      <c r="C193" t="s">
        <v>93</v>
      </c>
      <c r="D193">
        <v>70</v>
      </c>
      <c r="E193">
        <v>11</v>
      </c>
      <c r="F193">
        <v>31</v>
      </c>
      <c r="G193">
        <v>42</v>
      </c>
      <c r="H193">
        <v>-8</v>
      </c>
      <c r="I193">
        <v>34</v>
      </c>
      <c r="J193">
        <v>151</v>
      </c>
      <c r="K193">
        <v>1</v>
      </c>
      <c r="L193">
        <v>1</v>
      </c>
      <c r="M193">
        <v>5</v>
      </c>
      <c r="N193">
        <v>0</v>
      </c>
      <c r="O193">
        <v>1</v>
      </c>
      <c r="P193">
        <v>144</v>
      </c>
      <c r="Q193">
        <v>109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 x14ac:dyDescent="0.3">
      <c r="A194" t="s">
        <v>230</v>
      </c>
      <c r="B194" t="s">
        <v>39</v>
      </c>
      <c r="C194" t="s">
        <v>42</v>
      </c>
      <c r="D194">
        <v>64</v>
      </c>
      <c r="E194">
        <v>20</v>
      </c>
      <c r="F194">
        <v>22</v>
      </c>
      <c r="G194">
        <v>42</v>
      </c>
      <c r="H194">
        <v>1</v>
      </c>
      <c r="I194">
        <v>28</v>
      </c>
      <c r="J194">
        <v>164</v>
      </c>
      <c r="K194">
        <v>2</v>
      </c>
      <c r="L194">
        <v>3</v>
      </c>
      <c r="M194">
        <v>3</v>
      </c>
      <c r="N194">
        <v>0</v>
      </c>
      <c r="O194">
        <v>0</v>
      </c>
      <c r="P194">
        <v>74</v>
      </c>
      <c r="Q194">
        <v>31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 x14ac:dyDescent="0.3">
      <c r="A195" t="s">
        <v>190</v>
      </c>
      <c r="B195" t="s">
        <v>120</v>
      </c>
      <c r="C195" t="s">
        <v>29</v>
      </c>
      <c r="D195">
        <v>68</v>
      </c>
      <c r="E195">
        <v>10</v>
      </c>
      <c r="F195">
        <v>32</v>
      </c>
      <c r="G195">
        <v>42</v>
      </c>
      <c r="H195">
        <v>-12</v>
      </c>
      <c r="I195">
        <v>32</v>
      </c>
      <c r="J195">
        <v>111</v>
      </c>
      <c r="K195">
        <v>0</v>
      </c>
      <c r="L195">
        <v>1</v>
      </c>
      <c r="M195">
        <v>5</v>
      </c>
      <c r="N195">
        <v>0</v>
      </c>
      <c r="O195">
        <v>0</v>
      </c>
      <c r="P195">
        <v>56</v>
      </c>
      <c r="Q195">
        <v>20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 x14ac:dyDescent="0.3">
      <c r="A196" t="s">
        <v>245</v>
      </c>
      <c r="B196" t="s">
        <v>140</v>
      </c>
      <c r="C196" t="s">
        <v>29</v>
      </c>
      <c r="D196">
        <v>78</v>
      </c>
      <c r="E196">
        <v>13</v>
      </c>
      <c r="F196">
        <v>28</v>
      </c>
      <c r="G196">
        <v>41</v>
      </c>
      <c r="H196">
        <v>-17</v>
      </c>
      <c r="I196">
        <v>24</v>
      </c>
      <c r="J196">
        <v>100</v>
      </c>
      <c r="K196">
        <v>2</v>
      </c>
      <c r="L196">
        <v>2</v>
      </c>
      <c r="M196">
        <v>4</v>
      </c>
      <c r="N196">
        <v>1</v>
      </c>
      <c r="O196">
        <v>1</v>
      </c>
      <c r="P196">
        <v>45</v>
      </c>
      <c r="Q196">
        <v>43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</row>
    <row r="197" spans="1:25" x14ac:dyDescent="0.3">
      <c r="A197" t="s">
        <v>306</v>
      </c>
      <c r="B197" t="s">
        <v>106</v>
      </c>
      <c r="C197" t="s">
        <v>93</v>
      </c>
      <c r="D197">
        <v>80</v>
      </c>
      <c r="E197">
        <v>9</v>
      </c>
      <c r="F197">
        <v>32</v>
      </c>
      <c r="G197">
        <v>41</v>
      </c>
      <c r="H197">
        <v>-11</v>
      </c>
      <c r="I197">
        <v>55</v>
      </c>
      <c r="J197">
        <v>156</v>
      </c>
      <c r="K197">
        <v>1</v>
      </c>
      <c r="L197">
        <v>3</v>
      </c>
      <c r="M197">
        <v>10</v>
      </c>
      <c r="N197">
        <v>0</v>
      </c>
      <c r="O197">
        <v>1</v>
      </c>
      <c r="P197">
        <v>91</v>
      </c>
      <c r="Q197">
        <v>94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</row>
    <row r="198" spans="1:25" x14ac:dyDescent="0.3">
      <c r="A198" t="s">
        <v>347</v>
      </c>
      <c r="B198" t="s">
        <v>48</v>
      </c>
      <c r="C198" t="s">
        <v>93</v>
      </c>
      <c r="D198">
        <v>78</v>
      </c>
      <c r="E198">
        <v>7</v>
      </c>
      <c r="F198">
        <v>34</v>
      </c>
      <c r="G198">
        <v>41</v>
      </c>
      <c r="H198">
        <v>21</v>
      </c>
      <c r="I198">
        <v>16</v>
      </c>
      <c r="J198">
        <v>163</v>
      </c>
      <c r="K198">
        <v>1</v>
      </c>
      <c r="L198">
        <v>1</v>
      </c>
      <c r="M198">
        <v>10</v>
      </c>
      <c r="N198">
        <v>0</v>
      </c>
      <c r="O198">
        <v>1</v>
      </c>
      <c r="P198">
        <v>64</v>
      </c>
      <c r="Q198">
        <v>83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 x14ac:dyDescent="0.3">
      <c r="A199" t="s">
        <v>187</v>
      </c>
      <c r="B199" t="s">
        <v>48</v>
      </c>
      <c r="C199" t="s">
        <v>29</v>
      </c>
      <c r="D199">
        <v>80</v>
      </c>
      <c r="E199">
        <v>13</v>
      </c>
      <c r="F199">
        <v>28</v>
      </c>
      <c r="G199">
        <v>41</v>
      </c>
      <c r="H199">
        <v>13</v>
      </c>
      <c r="I199">
        <v>32</v>
      </c>
      <c r="J199">
        <v>203</v>
      </c>
      <c r="K199">
        <v>2</v>
      </c>
      <c r="L199">
        <v>1</v>
      </c>
      <c r="M199">
        <v>6</v>
      </c>
      <c r="N199">
        <v>1</v>
      </c>
      <c r="O199">
        <v>0</v>
      </c>
      <c r="P199">
        <v>59</v>
      </c>
      <c r="Q199">
        <v>28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 x14ac:dyDescent="0.3">
      <c r="A200" t="s">
        <v>292</v>
      </c>
      <c r="B200" t="s">
        <v>122</v>
      </c>
      <c r="C200" t="s">
        <v>29</v>
      </c>
      <c r="D200">
        <v>65</v>
      </c>
      <c r="E200">
        <v>20</v>
      </c>
      <c r="F200">
        <v>21</v>
      </c>
      <c r="G200">
        <v>41</v>
      </c>
      <c r="H200">
        <v>-4</v>
      </c>
      <c r="I200">
        <v>14</v>
      </c>
      <c r="J200">
        <v>149</v>
      </c>
      <c r="K200">
        <v>2</v>
      </c>
      <c r="L200">
        <v>6</v>
      </c>
      <c r="M200">
        <v>4</v>
      </c>
      <c r="N200">
        <v>0</v>
      </c>
      <c r="O200">
        <v>0</v>
      </c>
      <c r="P200">
        <v>34</v>
      </c>
      <c r="Q200">
        <v>42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 x14ac:dyDescent="0.3">
      <c r="A201" t="s">
        <v>389</v>
      </c>
      <c r="B201" t="s">
        <v>196</v>
      </c>
      <c r="C201" t="s">
        <v>29</v>
      </c>
      <c r="D201">
        <v>76</v>
      </c>
      <c r="E201">
        <v>15</v>
      </c>
      <c r="F201">
        <v>26</v>
      </c>
      <c r="G201">
        <v>41</v>
      </c>
      <c r="H201">
        <v>-14</v>
      </c>
      <c r="I201">
        <v>50</v>
      </c>
      <c r="J201">
        <v>173</v>
      </c>
      <c r="K201">
        <v>2</v>
      </c>
      <c r="L201">
        <v>3</v>
      </c>
      <c r="M201">
        <v>7</v>
      </c>
      <c r="N201">
        <v>0</v>
      </c>
      <c r="O201">
        <v>1</v>
      </c>
      <c r="P201">
        <v>35</v>
      </c>
      <c r="Q201">
        <v>20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 x14ac:dyDescent="0.3">
      <c r="A202" t="s">
        <v>298</v>
      </c>
      <c r="B202" t="s">
        <v>28</v>
      </c>
      <c r="C202" t="s">
        <v>33</v>
      </c>
      <c r="D202">
        <v>79</v>
      </c>
      <c r="E202">
        <v>19</v>
      </c>
      <c r="F202">
        <v>22</v>
      </c>
      <c r="G202">
        <v>41</v>
      </c>
      <c r="H202">
        <v>5</v>
      </c>
      <c r="I202">
        <v>38</v>
      </c>
      <c r="J202">
        <v>122</v>
      </c>
      <c r="K202">
        <v>4</v>
      </c>
      <c r="L202">
        <v>2</v>
      </c>
      <c r="M202">
        <v>3</v>
      </c>
      <c r="N202">
        <v>1</v>
      </c>
      <c r="O202">
        <v>1</v>
      </c>
      <c r="P202">
        <v>103</v>
      </c>
      <c r="Q202">
        <v>37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 x14ac:dyDescent="0.3">
      <c r="A203" t="s">
        <v>360</v>
      </c>
      <c r="B203" t="s">
        <v>122</v>
      </c>
      <c r="C203" t="s">
        <v>93</v>
      </c>
      <c r="D203">
        <v>75</v>
      </c>
      <c r="E203">
        <v>8</v>
      </c>
      <c r="F203">
        <v>32</v>
      </c>
      <c r="G203">
        <v>40</v>
      </c>
      <c r="H203">
        <v>-8</v>
      </c>
      <c r="I203">
        <v>16</v>
      </c>
      <c r="J203">
        <v>121</v>
      </c>
      <c r="K203">
        <v>1</v>
      </c>
      <c r="L203">
        <v>3</v>
      </c>
      <c r="M203">
        <v>9</v>
      </c>
      <c r="N203">
        <v>0</v>
      </c>
      <c r="O203">
        <v>0</v>
      </c>
      <c r="P203">
        <v>37</v>
      </c>
      <c r="Q203">
        <v>101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</row>
    <row r="204" spans="1:25" x14ac:dyDescent="0.3">
      <c r="A204" t="s">
        <v>269</v>
      </c>
      <c r="B204" t="s">
        <v>95</v>
      </c>
      <c r="C204" t="s">
        <v>29</v>
      </c>
      <c r="D204">
        <v>77</v>
      </c>
      <c r="E204">
        <v>19</v>
      </c>
      <c r="F204">
        <v>21</v>
      </c>
      <c r="G204">
        <v>40</v>
      </c>
      <c r="H204">
        <v>4</v>
      </c>
      <c r="I204">
        <v>32</v>
      </c>
      <c r="J204">
        <v>132</v>
      </c>
      <c r="K204">
        <v>3</v>
      </c>
      <c r="L204">
        <v>4</v>
      </c>
      <c r="M204">
        <v>4</v>
      </c>
      <c r="N204">
        <v>1</v>
      </c>
      <c r="O204">
        <v>2</v>
      </c>
      <c r="P204">
        <v>165</v>
      </c>
      <c r="Q204">
        <v>56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</row>
    <row r="205" spans="1:25" x14ac:dyDescent="0.3">
      <c r="A205" t="s">
        <v>155</v>
      </c>
      <c r="B205" t="s">
        <v>44</v>
      </c>
      <c r="C205" t="s">
        <v>29</v>
      </c>
      <c r="D205">
        <v>71</v>
      </c>
      <c r="E205">
        <v>13</v>
      </c>
      <c r="F205">
        <v>27</v>
      </c>
      <c r="G205">
        <v>40</v>
      </c>
      <c r="H205">
        <v>-12</v>
      </c>
      <c r="I205">
        <v>40</v>
      </c>
      <c r="J205">
        <v>132</v>
      </c>
      <c r="K205">
        <v>2</v>
      </c>
      <c r="L205">
        <v>3</v>
      </c>
      <c r="M205">
        <v>4</v>
      </c>
      <c r="N205">
        <v>1</v>
      </c>
      <c r="O205">
        <v>0</v>
      </c>
      <c r="P205">
        <v>29</v>
      </c>
      <c r="Q205">
        <v>24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 x14ac:dyDescent="0.3">
      <c r="A206" t="s">
        <v>185</v>
      </c>
      <c r="B206" t="s">
        <v>132</v>
      </c>
      <c r="C206" t="s">
        <v>33</v>
      </c>
      <c r="D206">
        <v>81</v>
      </c>
      <c r="E206">
        <v>23</v>
      </c>
      <c r="F206">
        <v>17</v>
      </c>
      <c r="G206">
        <v>40</v>
      </c>
      <c r="H206">
        <v>-19</v>
      </c>
      <c r="I206">
        <v>22</v>
      </c>
      <c r="J206">
        <v>188</v>
      </c>
      <c r="K206">
        <v>3</v>
      </c>
      <c r="L206">
        <v>8</v>
      </c>
      <c r="M206">
        <v>2</v>
      </c>
      <c r="N206">
        <v>0</v>
      </c>
      <c r="O206">
        <v>0</v>
      </c>
      <c r="P206">
        <v>36</v>
      </c>
      <c r="Q206">
        <v>23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 x14ac:dyDescent="0.3">
      <c r="A207" t="s">
        <v>232</v>
      </c>
      <c r="B207" t="s">
        <v>28</v>
      </c>
      <c r="C207" t="s">
        <v>93</v>
      </c>
      <c r="D207">
        <v>77</v>
      </c>
      <c r="E207">
        <v>12</v>
      </c>
      <c r="F207">
        <v>28</v>
      </c>
      <c r="G207">
        <v>40</v>
      </c>
      <c r="H207">
        <v>21</v>
      </c>
      <c r="I207">
        <v>62</v>
      </c>
      <c r="J207">
        <v>217</v>
      </c>
      <c r="K207">
        <v>1</v>
      </c>
      <c r="L207">
        <v>1</v>
      </c>
      <c r="M207">
        <v>7</v>
      </c>
      <c r="N207">
        <v>1</v>
      </c>
      <c r="O207">
        <v>1</v>
      </c>
      <c r="P207">
        <v>203</v>
      </c>
      <c r="Q207">
        <v>144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 x14ac:dyDescent="0.3">
      <c r="A208" t="s">
        <v>322</v>
      </c>
      <c r="B208" t="s">
        <v>63</v>
      </c>
      <c r="C208" t="s">
        <v>93</v>
      </c>
      <c r="D208">
        <v>79</v>
      </c>
      <c r="E208">
        <v>5</v>
      </c>
      <c r="F208">
        <v>34</v>
      </c>
      <c r="G208">
        <v>39</v>
      </c>
      <c r="H208">
        <v>35</v>
      </c>
      <c r="I208">
        <v>8</v>
      </c>
      <c r="J208">
        <v>158</v>
      </c>
      <c r="K208">
        <v>0</v>
      </c>
      <c r="L208">
        <v>1</v>
      </c>
      <c r="M208">
        <v>4</v>
      </c>
      <c r="N208">
        <v>0</v>
      </c>
      <c r="O208">
        <v>2</v>
      </c>
      <c r="P208">
        <v>49</v>
      </c>
      <c r="Q208">
        <v>126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 x14ac:dyDescent="0.3">
      <c r="A209" t="s">
        <v>305</v>
      </c>
      <c r="B209" t="s">
        <v>48</v>
      </c>
      <c r="C209" t="s">
        <v>93</v>
      </c>
      <c r="D209">
        <v>80</v>
      </c>
      <c r="E209">
        <v>7</v>
      </c>
      <c r="F209">
        <v>32</v>
      </c>
      <c r="G209">
        <v>39</v>
      </c>
      <c r="H209">
        <v>33</v>
      </c>
      <c r="I209">
        <v>77</v>
      </c>
      <c r="J209">
        <v>177</v>
      </c>
      <c r="K209">
        <v>1</v>
      </c>
      <c r="L209">
        <v>1</v>
      </c>
      <c r="M209">
        <v>2</v>
      </c>
      <c r="N209">
        <v>0</v>
      </c>
      <c r="O209">
        <v>2</v>
      </c>
      <c r="P209">
        <v>185</v>
      </c>
      <c r="Q209">
        <v>152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 x14ac:dyDescent="0.3">
      <c r="A210" t="s">
        <v>356</v>
      </c>
      <c r="B210" t="s">
        <v>37</v>
      </c>
      <c r="C210" t="s">
        <v>33</v>
      </c>
      <c r="D210">
        <v>74</v>
      </c>
      <c r="E210">
        <v>21</v>
      </c>
      <c r="F210">
        <v>18</v>
      </c>
      <c r="G210">
        <v>39</v>
      </c>
      <c r="H210">
        <v>5</v>
      </c>
      <c r="I210">
        <v>10</v>
      </c>
      <c r="J210">
        <v>179</v>
      </c>
      <c r="K210">
        <v>6</v>
      </c>
      <c r="L210">
        <v>3</v>
      </c>
      <c r="M210">
        <v>2</v>
      </c>
      <c r="N210">
        <v>0</v>
      </c>
      <c r="O210">
        <v>0</v>
      </c>
      <c r="P210">
        <v>59</v>
      </c>
      <c r="Q210">
        <v>23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</row>
    <row r="211" spans="1:25" x14ac:dyDescent="0.3">
      <c r="A211" t="s">
        <v>213</v>
      </c>
      <c r="B211" t="s">
        <v>65</v>
      </c>
      <c r="C211" t="s">
        <v>42</v>
      </c>
      <c r="D211">
        <v>77</v>
      </c>
      <c r="E211">
        <v>16</v>
      </c>
      <c r="F211">
        <v>23</v>
      </c>
      <c r="G211">
        <v>39</v>
      </c>
      <c r="H211">
        <v>3</v>
      </c>
      <c r="I211">
        <v>19</v>
      </c>
      <c r="J211">
        <v>164</v>
      </c>
      <c r="K211">
        <v>3</v>
      </c>
      <c r="L211">
        <v>4</v>
      </c>
      <c r="M211">
        <v>3</v>
      </c>
      <c r="N211">
        <v>0</v>
      </c>
      <c r="O211">
        <v>0</v>
      </c>
      <c r="P211">
        <v>75</v>
      </c>
      <c r="Q211">
        <v>29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 x14ac:dyDescent="0.3">
      <c r="A212" t="s">
        <v>252</v>
      </c>
      <c r="B212" t="s">
        <v>120</v>
      </c>
      <c r="C212" t="s">
        <v>33</v>
      </c>
      <c r="D212">
        <v>71</v>
      </c>
      <c r="E212">
        <v>16</v>
      </c>
      <c r="F212">
        <v>23</v>
      </c>
      <c r="G212">
        <v>39</v>
      </c>
      <c r="H212">
        <v>-16</v>
      </c>
      <c r="I212">
        <v>26</v>
      </c>
      <c r="J212">
        <v>119</v>
      </c>
      <c r="K212">
        <v>2</v>
      </c>
      <c r="L212">
        <v>4</v>
      </c>
      <c r="M212">
        <v>5</v>
      </c>
      <c r="N212">
        <v>0</v>
      </c>
      <c r="O212">
        <v>1</v>
      </c>
      <c r="P212">
        <v>48</v>
      </c>
      <c r="Q212">
        <v>58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 x14ac:dyDescent="0.3">
      <c r="A213" t="s">
        <v>288</v>
      </c>
      <c r="B213" t="s">
        <v>87</v>
      </c>
      <c r="C213" t="s">
        <v>93</v>
      </c>
      <c r="D213">
        <v>73</v>
      </c>
      <c r="E213">
        <v>10</v>
      </c>
      <c r="F213">
        <v>29</v>
      </c>
      <c r="G213">
        <v>39</v>
      </c>
      <c r="H213">
        <v>24</v>
      </c>
      <c r="I213">
        <v>12</v>
      </c>
      <c r="J213">
        <v>131</v>
      </c>
      <c r="K213">
        <v>2</v>
      </c>
      <c r="L213">
        <v>1</v>
      </c>
      <c r="M213">
        <v>12</v>
      </c>
      <c r="N213">
        <v>0</v>
      </c>
      <c r="O213">
        <v>1</v>
      </c>
      <c r="P213">
        <v>51</v>
      </c>
      <c r="Q213">
        <v>107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 x14ac:dyDescent="0.3">
      <c r="A214" t="s">
        <v>297</v>
      </c>
      <c r="B214" t="s">
        <v>84</v>
      </c>
      <c r="C214" t="s">
        <v>33</v>
      </c>
      <c r="D214">
        <v>82</v>
      </c>
      <c r="E214">
        <v>16</v>
      </c>
      <c r="F214">
        <v>23</v>
      </c>
      <c r="G214">
        <v>39</v>
      </c>
      <c r="H214">
        <v>-12</v>
      </c>
      <c r="I214">
        <v>22</v>
      </c>
      <c r="J214">
        <v>169</v>
      </c>
      <c r="K214">
        <v>3</v>
      </c>
      <c r="L214">
        <v>0</v>
      </c>
      <c r="M214">
        <v>3</v>
      </c>
      <c r="N214">
        <v>1</v>
      </c>
      <c r="O214">
        <v>1</v>
      </c>
      <c r="P214">
        <v>26</v>
      </c>
      <c r="Q214">
        <v>36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 x14ac:dyDescent="0.3">
      <c r="A215" t="s">
        <v>255</v>
      </c>
      <c r="B215" t="s">
        <v>37</v>
      </c>
      <c r="C215" t="s">
        <v>93</v>
      </c>
      <c r="D215">
        <v>55</v>
      </c>
      <c r="E215">
        <v>7</v>
      </c>
      <c r="F215">
        <v>32</v>
      </c>
      <c r="G215">
        <v>39</v>
      </c>
      <c r="H215">
        <v>21</v>
      </c>
      <c r="I215">
        <v>44</v>
      </c>
      <c r="J215">
        <v>115</v>
      </c>
      <c r="K215">
        <v>2</v>
      </c>
      <c r="L215">
        <v>2</v>
      </c>
      <c r="M215">
        <v>10</v>
      </c>
      <c r="N215">
        <v>0</v>
      </c>
      <c r="O215">
        <v>1</v>
      </c>
      <c r="P215">
        <v>94</v>
      </c>
      <c r="Q215">
        <v>95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 x14ac:dyDescent="0.3">
      <c r="A216" t="s">
        <v>260</v>
      </c>
      <c r="B216" t="s">
        <v>61</v>
      </c>
      <c r="C216" t="s">
        <v>29</v>
      </c>
      <c r="D216">
        <v>68</v>
      </c>
      <c r="E216">
        <v>13</v>
      </c>
      <c r="F216">
        <v>25</v>
      </c>
      <c r="G216">
        <v>38</v>
      </c>
      <c r="H216">
        <v>13</v>
      </c>
      <c r="I216">
        <v>52</v>
      </c>
      <c r="J216">
        <v>125</v>
      </c>
      <c r="K216">
        <v>3</v>
      </c>
      <c r="L216">
        <v>2</v>
      </c>
      <c r="M216">
        <v>5</v>
      </c>
      <c r="N216">
        <v>1</v>
      </c>
      <c r="O216">
        <v>1</v>
      </c>
      <c r="P216">
        <v>74</v>
      </c>
      <c r="Q216">
        <v>56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</row>
    <row r="217" spans="1:25" x14ac:dyDescent="0.3">
      <c r="A217" t="s">
        <v>197</v>
      </c>
      <c r="B217" t="s">
        <v>52</v>
      </c>
      <c r="C217" t="s">
        <v>93</v>
      </c>
      <c r="D217">
        <v>78</v>
      </c>
      <c r="E217">
        <v>5</v>
      </c>
      <c r="F217">
        <v>33</v>
      </c>
      <c r="G217">
        <v>38</v>
      </c>
      <c r="H217">
        <v>6</v>
      </c>
      <c r="I217">
        <v>44</v>
      </c>
      <c r="J217">
        <v>147</v>
      </c>
      <c r="K217">
        <v>1</v>
      </c>
      <c r="L217">
        <v>1</v>
      </c>
      <c r="M217">
        <v>12</v>
      </c>
      <c r="N217">
        <v>0</v>
      </c>
      <c r="O217">
        <v>0</v>
      </c>
      <c r="P217">
        <v>188</v>
      </c>
      <c r="Q217">
        <v>93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 x14ac:dyDescent="0.3">
      <c r="A218" t="s">
        <v>214</v>
      </c>
      <c r="B218" t="s">
        <v>82</v>
      </c>
      <c r="C218" t="s">
        <v>29</v>
      </c>
      <c r="D218">
        <v>80</v>
      </c>
      <c r="E218">
        <v>16</v>
      </c>
      <c r="F218">
        <v>22</v>
      </c>
      <c r="G218">
        <v>38</v>
      </c>
      <c r="H218">
        <v>2</v>
      </c>
      <c r="I218">
        <v>8</v>
      </c>
      <c r="J218">
        <v>196</v>
      </c>
      <c r="K218">
        <v>3</v>
      </c>
      <c r="L218">
        <v>2</v>
      </c>
      <c r="M218">
        <v>3</v>
      </c>
      <c r="N218">
        <v>1</v>
      </c>
      <c r="O218">
        <v>1</v>
      </c>
      <c r="P218">
        <v>48</v>
      </c>
      <c r="Q218">
        <v>51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 x14ac:dyDescent="0.3">
      <c r="A219" t="s">
        <v>160</v>
      </c>
      <c r="B219" t="s">
        <v>84</v>
      </c>
      <c r="C219" t="s">
        <v>33</v>
      </c>
      <c r="D219">
        <v>78</v>
      </c>
      <c r="E219">
        <v>18</v>
      </c>
      <c r="F219">
        <v>20</v>
      </c>
      <c r="G219">
        <v>38</v>
      </c>
      <c r="H219">
        <v>-13</v>
      </c>
      <c r="I219">
        <v>18</v>
      </c>
      <c r="J219">
        <v>175</v>
      </c>
      <c r="K219">
        <v>1</v>
      </c>
      <c r="L219">
        <v>3</v>
      </c>
      <c r="M219">
        <v>8</v>
      </c>
      <c r="N219">
        <v>0</v>
      </c>
      <c r="O219">
        <v>0</v>
      </c>
      <c r="P219">
        <v>98</v>
      </c>
      <c r="Q219">
        <v>26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</row>
    <row r="220" spans="1:25" x14ac:dyDescent="0.3">
      <c r="A220" t="s">
        <v>299</v>
      </c>
      <c r="B220" t="s">
        <v>61</v>
      </c>
      <c r="C220" t="s">
        <v>33</v>
      </c>
      <c r="D220">
        <v>77</v>
      </c>
      <c r="E220">
        <v>18</v>
      </c>
      <c r="F220">
        <v>20</v>
      </c>
      <c r="G220">
        <v>38</v>
      </c>
      <c r="H220">
        <v>-6</v>
      </c>
      <c r="I220">
        <v>28</v>
      </c>
      <c r="J220">
        <v>135</v>
      </c>
      <c r="K220">
        <v>3</v>
      </c>
      <c r="L220">
        <v>2</v>
      </c>
      <c r="M220">
        <v>2</v>
      </c>
      <c r="N220">
        <v>1</v>
      </c>
      <c r="O220">
        <v>1</v>
      </c>
      <c r="P220">
        <v>75</v>
      </c>
      <c r="Q220">
        <v>33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</row>
    <row r="221" spans="1:25" x14ac:dyDescent="0.3">
      <c r="A221" t="s">
        <v>1011</v>
      </c>
      <c r="B221" t="s">
        <v>79</v>
      </c>
      <c r="C221" t="s">
        <v>33</v>
      </c>
      <c r="D221">
        <v>76</v>
      </c>
      <c r="E221">
        <v>15</v>
      </c>
      <c r="F221">
        <v>23</v>
      </c>
      <c r="G221">
        <v>38</v>
      </c>
      <c r="H221">
        <v>4</v>
      </c>
      <c r="I221">
        <v>10</v>
      </c>
      <c r="J221">
        <v>139</v>
      </c>
      <c r="K221">
        <v>1</v>
      </c>
      <c r="L221">
        <v>2</v>
      </c>
      <c r="M221">
        <v>4</v>
      </c>
      <c r="N221">
        <v>0</v>
      </c>
      <c r="O221">
        <v>0</v>
      </c>
      <c r="P221">
        <v>52</v>
      </c>
      <c r="Q221">
        <v>16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 x14ac:dyDescent="0.3">
      <c r="A222" t="s">
        <v>897</v>
      </c>
      <c r="B222" t="s">
        <v>37</v>
      </c>
      <c r="C222" t="s">
        <v>29</v>
      </c>
      <c r="D222">
        <v>61</v>
      </c>
      <c r="E222">
        <v>11</v>
      </c>
      <c r="F222">
        <v>27</v>
      </c>
      <c r="G222">
        <v>38</v>
      </c>
      <c r="H222">
        <v>0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27</v>
      </c>
      <c r="Q222">
        <v>29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 x14ac:dyDescent="0.3">
      <c r="A223" t="s">
        <v>301</v>
      </c>
      <c r="B223" t="s">
        <v>71</v>
      </c>
      <c r="C223" t="s">
        <v>93</v>
      </c>
      <c r="D223">
        <v>61</v>
      </c>
      <c r="E223">
        <v>10</v>
      </c>
      <c r="F223">
        <v>28</v>
      </c>
      <c r="G223">
        <v>38</v>
      </c>
      <c r="H223">
        <v>-19</v>
      </c>
      <c r="I223">
        <v>20</v>
      </c>
      <c r="J223">
        <v>146</v>
      </c>
      <c r="K223">
        <v>2</v>
      </c>
      <c r="L223">
        <v>1</v>
      </c>
      <c r="M223">
        <v>10</v>
      </c>
      <c r="N223">
        <v>0</v>
      </c>
      <c r="O223">
        <v>0</v>
      </c>
      <c r="P223">
        <v>23</v>
      </c>
      <c r="Q223">
        <v>62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 x14ac:dyDescent="0.3">
      <c r="A224" t="s">
        <v>254</v>
      </c>
      <c r="B224" t="s">
        <v>95</v>
      </c>
      <c r="C224" t="s">
        <v>33</v>
      </c>
      <c r="D224">
        <v>74</v>
      </c>
      <c r="E224">
        <v>15</v>
      </c>
      <c r="F224">
        <v>23</v>
      </c>
      <c r="G224">
        <v>38</v>
      </c>
      <c r="H224">
        <v>-8</v>
      </c>
      <c r="I224">
        <v>14</v>
      </c>
      <c r="J224">
        <v>152</v>
      </c>
      <c r="K224">
        <v>3</v>
      </c>
      <c r="L224">
        <v>4</v>
      </c>
      <c r="M224">
        <v>5</v>
      </c>
      <c r="N224">
        <v>0</v>
      </c>
      <c r="O224">
        <v>0</v>
      </c>
      <c r="P224">
        <v>48</v>
      </c>
      <c r="Q224">
        <v>22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 x14ac:dyDescent="0.3">
      <c r="A225" t="s">
        <v>307</v>
      </c>
      <c r="B225" t="s">
        <v>44</v>
      </c>
      <c r="C225" t="s">
        <v>29</v>
      </c>
      <c r="D225">
        <v>62</v>
      </c>
      <c r="E225">
        <v>18</v>
      </c>
      <c r="F225">
        <v>20</v>
      </c>
      <c r="G225">
        <v>38</v>
      </c>
      <c r="H225">
        <v>-13</v>
      </c>
      <c r="I225">
        <v>22</v>
      </c>
      <c r="J225">
        <v>142</v>
      </c>
      <c r="K225">
        <v>2</v>
      </c>
      <c r="L225">
        <v>4</v>
      </c>
      <c r="M225">
        <v>2</v>
      </c>
      <c r="N225">
        <v>0</v>
      </c>
      <c r="O225">
        <v>0</v>
      </c>
      <c r="P225">
        <v>23</v>
      </c>
      <c r="Q225">
        <v>23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 x14ac:dyDescent="0.3">
      <c r="A226" t="s">
        <v>290</v>
      </c>
      <c r="B226" t="s">
        <v>79</v>
      </c>
      <c r="C226" t="s">
        <v>33</v>
      </c>
      <c r="D226">
        <v>76</v>
      </c>
      <c r="E226">
        <v>16</v>
      </c>
      <c r="F226">
        <v>21</v>
      </c>
      <c r="G226">
        <v>37</v>
      </c>
      <c r="H226">
        <v>4</v>
      </c>
      <c r="I226">
        <v>32</v>
      </c>
      <c r="J226">
        <v>169</v>
      </c>
      <c r="K226">
        <v>3</v>
      </c>
      <c r="L226">
        <v>2</v>
      </c>
      <c r="M226">
        <v>3</v>
      </c>
      <c r="N226">
        <v>0</v>
      </c>
      <c r="O226">
        <v>0</v>
      </c>
      <c r="P226">
        <v>94</v>
      </c>
      <c r="Q226">
        <v>41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 x14ac:dyDescent="0.3">
      <c r="A227" t="s">
        <v>370</v>
      </c>
      <c r="B227" t="s">
        <v>41</v>
      </c>
      <c r="C227" t="s">
        <v>33</v>
      </c>
      <c r="D227">
        <v>75</v>
      </c>
      <c r="E227">
        <v>18</v>
      </c>
      <c r="F227">
        <v>19</v>
      </c>
      <c r="G227">
        <v>37</v>
      </c>
      <c r="H227">
        <v>5</v>
      </c>
      <c r="I227">
        <v>20</v>
      </c>
      <c r="J227">
        <v>162</v>
      </c>
      <c r="K227">
        <v>3</v>
      </c>
      <c r="L227">
        <v>2</v>
      </c>
      <c r="M227">
        <v>3</v>
      </c>
      <c r="N227">
        <v>2</v>
      </c>
      <c r="O227">
        <v>1</v>
      </c>
      <c r="P227">
        <v>93</v>
      </c>
      <c r="Q227">
        <v>37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 x14ac:dyDescent="0.3">
      <c r="A228" t="s">
        <v>416</v>
      </c>
      <c r="B228" t="s">
        <v>98</v>
      </c>
      <c r="C228" t="s">
        <v>29</v>
      </c>
      <c r="D228">
        <v>77</v>
      </c>
      <c r="E228">
        <v>13</v>
      </c>
      <c r="F228">
        <v>24</v>
      </c>
      <c r="G228">
        <v>37</v>
      </c>
      <c r="H228">
        <v>12</v>
      </c>
      <c r="I228">
        <v>44</v>
      </c>
      <c r="J228">
        <v>144</v>
      </c>
      <c r="K228">
        <v>3</v>
      </c>
      <c r="L228">
        <v>1</v>
      </c>
      <c r="M228">
        <v>4</v>
      </c>
      <c r="N228">
        <v>0</v>
      </c>
      <c r="O228">
        <v>1</v>
      </c>
      <c r="P228">
        <v>90</v>
      </c>
      <c r="Q228">
        <v>34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</row>
    <row r="229" spans="1:25" x14ac:dyDescent="0.3">
      <c r="A229" t="s">
        <v>173</v>
      </c>
      <c r="B229" t="s">
        <v>41</v>
      </c>
      <c r="C229" t="s">
        <v>29</v>
      </c>
      <c r="D229">
        <v>75</v>
      </c>
      <c r="E229">
        <v>17</v>
      </c>
      <c r="F229">
        <v>20</v>
      </c>
      <c r="G229">
        <v>37</v>
      </c>
      <c r="H229">
        <v>0</v>
      </c>
      <c r="I229">
        <v>13</v>
      </c>
      <c r="J229">
        <v>204</v>
      </c>
      <c r="K229">
        <v>2</v>
      </c>
      <c r="L229">
        <v>5</v>
      </c>
      <c r="M229">
        <v>1</v>
      </c>
      <c r="N229">
        <v>0</v>
      </c>
      <c r="O229">
        <v>0</v>
      </c>
      <c r="P229">
        <v>74</v>
      </c>
      <c r="Q229">
        <v>27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 x14ac:dyDescent="0.3">
      <c r="A230" t="s">
        <v>289</v>
      </c>
      <c r="B230" t="s">
        <v>37</v>
      </c>
      <c r="C230" t="s">
        <v>42</v>
      </c>
      <c r="D230">
        <v>75</v>
      </c>
      <c r="E230">
        <v>18</v>
      </c>
      <c r="F230">
        <v>19</v>
      </c>
      <c r="G230">
        <v>37</v>
      </c>
      <c r="H230">
        <v>6</v>
      </c>
      <c r="I230">
        <v>26</v>
      </c>
      <c r="J230">
        <v>194</v>
      </c>
      <c r="K230">
        <v>3</v>
      </c>
      <c r="L230">
        <v>1</v>
      </c>
      <c r="M230">
        <v>5</v>
      </c>
      <c r="N230">
        <v>0</v>
      </c>
      <c r="O230">
        <v>0</v>
      </c>
      <c r="P230">
        <v>87</v>
      </c>
      <c r="Q230">
        <v>24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</row>
    <row r="231" spans="1:25" x14ac:dyDescent="0.3">
      <c r="A231" t="s">
        <v>1012</v>
      </c>
      <c r="B231" t="s">
        <v>59</v>
      </c>
      <c r="C231" t="s">
        <v>29</v>
      </c>
      <c r="D231">
        <v>74</v>
      </c>
      <c r="E231">
        <v>8</v>
      </c>
      <c r="F231">
        <v>29</v>
      </c>
      <c r="G231">
        <v>37</v>
      </c>
      <c r="H231">
        <v>6</v>
      </c>
      <c r="I231">
        <v>12</v>
      </c>
      <c r="J231">
        <v>41</v>
      </c>
      <c r="K231">
        <v>1</v>
      </c>
      <c r="L231">
        <v>0</v>
      </c>
      <c r="M231">
        <v>4</v>
      </c>
      <c r="N231">
        <v>0</v>
      </c>
      <c r="O231">
        <v>0</v>
      </c>
      <c r="P231">
        <v>30</v>
      </c>
      <c r="Q231">
        <v>8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</row>
    <row r="232" spans="1:25" x14ac:dyDescent="0.3">
      <c r="A232" t="s">
        <v>538</v>
      </c>
      <c r="B232" t="s">
        <v>61</v>
      </c>
      <c r="C232" t="s">
        <v>33</v>
      </c>
      <c r="D232">
        <v>77</v>
      </c>
      <c r="E232">
        <v>19</v>
      </c>
      <c r="F232">
        <v>18</v>
      </c>
      <c r="G232">
        <v>37</v>
      </c>
      <c r="H232">
        <v>4</v>
      </c>
      <c r="I232">
        <v>24</v>
      </c>
      <c r="J232">
        <v>155</v>
      </c>
      <c r="K232">
        <v>4</v>
      </c>
      <c r="L232">
        <v>1</v>
      </c>
      <c r="M232">
        <v>3</v>
      </c>
      <c r="N232">
        <v>0</v>
      </c>
      <c r="O232">
        <v>0</v>
      </c>
      <c r="P232">
        <v>149</v>
      </c>
      <c r="Q232">
        <v>33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</row>
    <row r="233" spans="1:25" x14ac:dyDescent="0.3">
      <c r="A233" t="s">
        <v>281</v>
      </c>
      <c r="B233" t="s">
        <v>32</v>
      </c>
      <c r="C233" t="s">
        <v>33</v>
      </c>
      <c r="D233">
        <v>80</v>
      </c>
      <c r="E233">
        <v>22</v>
      </c>
      <c r="F233">
        <v>15</v>
      </c>
      <c r="G233">
        <v>37</v>
      </c>
      <c r="H233">
        <v>5</v>
      </c>
      <c r="I233">
        <v>32</v>
      </c>
      <c r="J233">
        <v>126</v>
      </c>
      <c r="K233">
        <v>5</v>
      </c>
      <c r="L233">
        <v>1</v>
      </c>
      <c r="M233">
        <v>6</v>
      </c>
      <c r="N233">
        <v>0</v>
      </c>
      <c r="O233">
        <v>0</v>
      </c>
      <c r="P233">
        <v>118</v>
      </c>
      <c r="Q233">
        <v>24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 x14ac:dyDescent="0.3">
      <c r="A234" t="s">
        <v>508</v>
      </c>
      <c r="B234" t="s">
        <v>100</v>
      </c>
      <c r="C234" t="s">
        <v>33</v>
      </c>
      <c r="D234">
        <v>80</v>
      </c>
      <c r="E234">
        <v>22</v>
      </c>
      <c r="F234">
        <v>15</v>
      </c>
      <c r="G234">
        <v>37</v>
      </c>
      <c r="H234">
        <v>3</v>
      </c>
      <c r="I234">
        <v>135</v>
      </c>
      <c r="J234">
        <v>133</v>
      </c>
      <c r="K234">
        <v>4</v>
      </c>
      <c r="L234">
        <v>1</v>
      </c>
      <c r="M234">
        <v>1</v>
      </c>
      <c r="N234">
        <v>1</v>
      </c>
      <c r="O234">
        <v>1</v>
      </c>
      <c r="P234">
        <v>313</v>
      </c>
      <c r="Q234">
        <v>62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</row>
    <row r="235" spans="1:25" x14ac:dyDescent="0.3">
      <c r="A235" t="s">
        <v>256</v>
      </c>
      <c r="B235" t="s">
        <v>61</v>
      </c>
      <c r="C235" t="s">
        <v>93</v>
      </c>
      <c r="D235">
        <v>78</v>
      </c>
      <c r="E235">
        <v>8</v>
      </c>
      <c r="F235">
        <v>29</v>
      </c>
      <c r="G235">
        <v>37</v>
      </c>
      <c r="H235">
        <v>8</v>
      </c>
      <c r="I235">
        <v>54</v>
      </c>
      <c r="J235">
        <v>153</v>
      </c>
      <c r="K235">
        <v>1</v>
      </c>
      <c r="L235">
        <v>2</v>
      </c>
      <c r="M235">
        <v>7</v>
      </c>
      <c r="N235">
        <v>0</v>
      </c>
      <c r="O235">
        <v>1</v>
      </c>
      <c r="P235">
        <v>131</v>
      </c>
      <c r="Q235">
        <v>122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</row>
    <row r="236" spans="1:25" x14ac:dyDescent="0.3">
      <c r="A236" t="s">
        <v>350</v>
      </c>
      <c r="B236" t="s">
        <v>48</v>
      </c>
      <c r="C236" t="s">
        <v>29</v>
      </c>
      <c r="D236">
        <v>78</v>
      </c>
      <c r="E236">
        <v>17</v>
      </c>
      <c r="F236">
        <v>19</v>
      </c>
      <c r="G236">
        <v>36</v>
      </c>
      <c r="H236">
        <v>2</v>
      </c>
      <c r="I236">
        <v>20</v>
      </c>
      <c r="J236">
        <v>144</v>
      </c>
      <c r="K236">
        <v>2</v>
      </c>
      <c r="L236">
        <v>2</v>
      </c>
      <c r="M236">
        <v>3</v>
      </c>
      <c r="N236">
        <v>1</v>
      </c>
      <c r="O236">
        <v>1</v>
      </c>
      <c r="P236">
        <v>92</v>
      </c>
      <c r="Q236">
        <v>15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 x14ac:dyDescent="0.3">
      <c r="A237" t="s">
        <v>258</v>
      </c>
      <c r="B237" t="s">
        <v>84</v>
      </c>
      <c r="C237" t="s">
        <v>93</v>
      </c>
      <c r="D237">
        <v>78</v>
      </c>
      <c r="E237">
        <v>4</v>
      </c>
      <c r="F237">
        <v>32</v>
      </c>
      <c r="G237">
        <v>36</v>
      </c>
      <c r="H237">
        <v>-31</v>
      </c>
      <c r="I237">
        <v>44</v>
      </c>
      <c r="J237">
        <v>148</v>
      </c>
      <c r="K237">
        <v>0</v>
      </c>
      <c r="L237">
        <v>2</v>
      </c>
      <c r="M237">
        <v>6</v>
      </c>
      <c r="N237">
        <v>0</v>
      </c>
      <c r="O237">
        <v>0</v>
      </c>
      <c r="P237">
        <v>81</v>
      </c>
      <c r="Q237">
        <v>74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 x14ac:dyDescent="0.3">
      <c r="A238" t="s">
        <v>261</v>
      </c>
      <c r="B238" t="s">
        <v>122</v>
      </c>
      <c r="C238" t="s">
        <v>33</v>
      </c>
      <c r="D238">
        <v>77</v>
      </c>
      <c r="E238">
        <v>20</v>
      </c>
      <c r="F238">
        <v>16</v>
      </c>
      <c r="G238">
        <v>36</v>
      </c>
      <c r="H238">
        <v>2</v>
      </c>
      <c r="I238">
        <v>26</v>
      </c>
      <c r="J238">
        <v>176</v>
      </c>
      <c r="K238">
        <v>4</v>
      </c>
      <c r="L238">
        <v>1</v>
      </c>
      <c r="M238">
        <v>2</v>
      </c>
      <c r="N238">
        <v>0</v>
      </c>
      <c r="O238">
        <v>0</v>
      </c>
      <c r="P238">
        <v>79</v>
      </c>
      <c r="Q238">
        <v>31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</row>
    <row r="239" spans="1:25" x14ac:dyDescent="0.3">
      <c r="A239" t="s">
        <v>136</v>
      </c>
      <c r="B239" t="s">
        <v>63</v>
      </c>
      <c r="C239" t="s">
        <v>29</v>
      </c>
      <c r="D239">
        <v>63</v>
      </c>
      <c r="E239">
        <v>14</v>
      </c>
      <c r="F239">
        <v>22</v>
      </c>
      <c r="G239">
        <v>36</v>
      </c>
      <c r="H239">
        <v>8</v>
      </c>
      <c r="I239">
        <v>26</v>
      </c>
      <c r="J239">
        <v>155</v>
      </c>
      <c r="K239">
        <v>4</v>
      </c>
      <c r="L239">
        <v>4</v>
      </c>
      <c r="M239">
        <v>4</v>
      </c>
      <c r="N239">
        <v>2</v>
      </c>
      <c r="O239">
        <v>0</v>
      </c>
      <c r="P239">
        <v>49</v>
      </c>
      <c r="Q239">
        <v>19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 x14ac:dyDescent="0.3">
      <c r="A240" t="s">
        <v>150</v>
      </c>
      <c r="B240" t="s">
        <v>132</v>
      </c>
      <c r="C240" t="s">
        <v>33</v>
      </c>
      <c r="D240">
        <v>64</v>
      </c>
      <c r="E240">
        <v>18</v>
      </c>
      <c r="F240">
        <v>18</v>
      </c>
      <c r="G240">
        <v>36</v>
      </c>
      <c r="H240">
        <v>-9</v>
      </c>
      <c r="I240">
        <v>48</v>
      </c>
      <c r="J240">
        <v>130</v>
      </c>
      <c r="K240">
        <v>2</v>
      </c>
      <c r="L240">
        <v>2</v>
      </c>
      <c r="M240">
        <v>4</v>
      </c>
      <c r="N240">
        <v>1</v>
      </c>
      <c r="O240">
        <v>1</v>
      </c>
      <c r="P240">
        <v>69</v>
      </c>
      <c r="Q240">
        <v>34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 x14ac:dyDescent="0.3">
      <c r="A241" t="s">
        <v>265</v>
      </c>
      <c r="B241" t="s">
        <v>95</v>
      </c>
      <c r="C241" t="s">
        <v>42</v>
      </c>
      <c r="D241">
        <v>70</v>
      </c>
      <c r="E241">
        <v>17</v>
      </c>
      <c r="F241">
        <v>19</v>
      </c>
      <c r="G241">
        <v>36</v>
      </c>
      <c r="H241">
        <v>-1</v>
      </c>
      <c r="I241">
        <v>51</v>
      </c>
      <c r="J241">
        <v>158</v>
      </c>
      <c r="K241">
        <v>4</v>
      </c>
      <c r="L241">
        <v>2</v>
      </c>
      <c r="M241">
        <v>5</v>
      </c>
      <c r="N241">
        <v>0</v>
      </c>
      <c r="O241">
        <v>0</v>
      </c>
      <c r="P241">
        <v>81</v>
      </c>
      <c r="Q241">
        <v>21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 x14ac:dyDescent="0.3">
      <c r="A242" t="s">
        <v>237</v>
      </c>
      <c r="B242" t="s">
        <v>63</v>
      </c>
      <c r="C242" t="s">
        <v>29</v>
      </c>
      <c r="D242">
        <v>78</v>
      </c>
      <c r="E242">
        <v>14</v>
      </c>
      <c r="F242">
        <v>22</v>
      </c>
      <c r="G242">
        <v>36</v>
      </c>
      <c r="H242">
        <v>9</v>
      </c>
      <c r="I242">
        <v>24</v>
      </c>
      <c r="J242">
        <v>142</v>
      </c>
      <c r="K242">
        <v>3</v>
      </c>
      <c r="L242">
        <v>2</v>
      </c>
      <c r="M242">
        <v>2</v>
      </c>
      <c r="N242">
        <v>1</v>
      </c>
      <c r="O242">
        <v>0</v>
      </c>
      <c r="P242">
        <v>186</v>
      </c>
      <c r="Q242">
        <v>28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</row>
    <row r="243" spans="1:25" x14ac:dyDescent="0.3">
      <c r="A243" t="s">
        <v>223</v>
      </c>
      <c r="B243" t="s">
        <v>132</v>
      </c>
      <c r="C243" t="s">
        <v>93</v>
      </c>
      <c r="D243">
        <v>82</v>
      </c>
      <c r="E243">
        <v>11</v>
      </c>
      <c r="F243">
        <v>25</v>
      </c>
      <c r="G243">
        <v>36</v>
      </c>
      <c r="H243">
        <v>-10</v>
      </c>
      <c r="I243">
        <v>36</v>
      </c>
      <c r="J243">
        <v>171</v>
      </c>
      <c r="K243">
        <v>1</v>
      </c>
      <c r="L243">
        <v>2</v>
      </c>
      <c r="M243">
        <v>8</v>
      </c>
      <c r="N243">
        <v>0</v>
      </c>
      <c r="O243">
        <v>1</v>
      </c>
      <c r="P243">
        <v>84</v>
      </c>
      <c r="Q243">
        <v>175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 x14ac:dyDescent="0.3">
      <c r="A244" t="s">
        <v>368</v>
      </c>
      <c r="B244" t="s">
        <v>32</v>
      </c>
      <c r="C244" t="s">
        <v>93</v>
      </c>
      <c r="D244">
        <v>76</v>
      </c>
      <c r="E244">
        <v>9</v>
      </c>
      <c r="F244">
        <v>27</v>
      </c>
      <c r="G244">
        <v>36</v>
      </c>
      <c r="H244">
        <v>19</v>
      </c>
      <c r="I244">
        <v>78</v>
      </c>
      <c r="J244">
        <v>187</v>
      </c>
      <c r="K244">
        <v>1</v>
      </c>
      <c r="L244">
        <v>1</v>
      </c>
      <c r="M244">
        <v>3</v>
      </c>
      <c r="N244">
        <v>0</v>
      </c>
      <c r="O244">
        <v>2</v>
      </c>
      <c r="P244">
        <v>198</v>
      </c>
      <c r="Q244">
        <v>170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 x14ac:dyDescent="0.3">
      <c r="A245" t="s">
        <v>341</v>
      </c>
      <c r="B245" t="s">
        <v>52</v>
      </c>
      <c r="C245" t="s">
        <v>93</v>
      </c>
      <c r="D245">
        <v>81</v>
      </c>
      <c r="E245">
        <v>8</v>
      </c>
      <c r="F245">
        <v>27</v>
      </c>
      <c r="G245">
        <v>35</v>
      </c>
      <c r="H245">
        <v>-2</v>
      </c>
      <c r="I245">
        <v>62</v>
      </c>
      <c r="J245">
        <v>173</v>
      </c>
      <c r="K245">
        <v>2</v>
      </c>
      <c r="L245">
        <v>3</v>
      </c>
      <c r="M245">
        <v>10</v>
      </c>
      <c r="N245">
        <v>0</v>
      </c>
      <c r="O245">
        <v>0</v>
      </c>
      <c r="P245">
        <v>138</v>
      </c>
      <c r="Q245">
        <v>107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 x14ac:dyDescent="0.3">
      <c r="A246" t="s">
        <v>221</v>
      </c>
      <c r="B246" t="s">
        <v>44</v>
      </c>
      <c r="C246" t="s">
        <v>29</v>
      </c>
      <c r="D246">
        <v>73</v>
      </c>
      <c r="E246">
        <v>10</v>
      </c>
      <c r="F246">
        <v>25</v>
      </c>
      <c r="G246">
        <v>35</v>
      </c>
      <c r="H246">
        <v>-16</v>
      </c>
      <c r="I246">
        <v>61</v>
      </c>
      <c r="J246">
        <v>118</v>
      </c>
      <c r="K246">
        <v>1</v>
      </c>
      <c r="L246">
        <v>0</v>
      </c>
      <c r="M246">
        <v>2</v>
      </c>
      <c r="N246">
        <v>0</v>
      </c>
      <c r="O246">
        <v>0</v>
      </c>
      <c r="P246">
        <v>24</v>
      </c>
      <c r="Q246">
        <v>10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</row>
    <row r="247" spans="1:25" x14ac:dyDescent="0.3">
      <c r="A247" t="s">
        <v>244</v>
      </c>
      <c r="B247" t="s">
        <v>87</v>
      </c>
      <c r="C247" t="s">
        <v>33</v>
      </c>
      <c r="D247">
        <v>74</v>
      </c>
      <c r="E247">
        <v>11</v>
      </c>
      <c r="F247">
        <v>24</v>
      </c>
      <c r="G247">
        <v>35</v>
      </c>
      <c r="H247">
        <v>22</v>
      </c>
      <c r="I247">
        <v>70</v>
      </c>
      <c r="J247">
        <v>123</v>
      </c>
      <c r="K247">
        <v>3</v>
      </c>
      <c r="L247">
        <v>1</v>
      </c>
      <c r="M247">
        <v>1</v>
      </c>
      <c r="N247">
        <v>1</v>
      </c>
      <c r="O247">
        <v>0</v>
      </c>
      <c r="P247">
        <v>163</v>
      </c>
      <c r="Q247">
        <v>41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 x14ac:dyDescent="0.3">
      <c r="A248" t="s">
        <v>422</v>
      </c>
      <c r="B248" t="s">
        <v>87</v>
      </c>
      <c r="C248" t="s">
        <v>29</v>
      </c>
      <c r="D248">
        <v>68</v>
      </c>
      <c r="E248">
        <v>11</v>
      </c>
      <c r="F248">
        <v>24</v>
      </c>
      <c r="G248">
        <v>35</v>
      </c>
      <c r="H248">
        <v>12</v>
      </c>
      <c r="I248">
        <v>8</v>
      </c>
      <c r="J248">
        <v>142</v>
      </c>
      <c r="K248">
        <v>3</v>
      </c>
      <c r="L248">
        <v>1</v>
      </c>
      <c r="M248">
        <v>2</v>
      </c>
      <c r="N248">
        <v>0</v>
      </c>
      <c r="O248">
        <v>1</v>
      </c>
      <c r="P248">
        <v>43</v>
      </c>
      <c r="Q248">
        <v>38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 x14ac:dyDescent="0.3">
      <c r="A249" t="s">
        <v>300</v>
      </c>
      <c r="B249" t="s">
        <v>65</v>
      </c>
      <c r="C249" t="s">
        <v>93</v>
      </c>
      <c r="D249">
        <v>82</v>
      </c>
      <c r="E249">
        <v>7</v>
      </c>
      <c r="F249">
        <v>28</v>
      </c>
      <c r="G249">
        <v>35</v>
      </c>
      <c r="H249">
        <v>3</v>
      </c>
      <c r="I249">
        <v>32</v>
      </c>
      <c r="J249">
        <v>120</v>
      </c>
      <c r="K249">
        <v>1</v>
      </c>
      <c r="L249">
        <v>3</v>
      </c>
      <c r="M249">
        <v>9</v>
      </c>
      <c r="N249">
        <v>0</v>
      </c>
      <c r="O249">
        <v>1</v>
      </c>
      <c r="P249">
        <v>44</v>
      </c>
      <c r="Q249">
        <v>82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 x14ac:dyDescent="0.3">
      <c r="A250" t="s">
        <v>335</v>
      </c>
      <c r="B250" t="s">
        <v>106</v>
      </c>
      <c r="C250" t="s">
        <v>29</v>
      </c>
      <c r="D250">
        <v>75</v>
      </c>
      <c r="E250">
        <v>14</v>
      </c>
      <c r="F250">
        <v>21</v>
      </c>
      <c r="G250">
        <v>35</v>
      </c>
      <c r="H250">
        <v>4</v>
      </c>
      <c r="I250">
        <v>44</v>
      </c>
      <c r="J250">
        <v>130</v>
      </c>
      <c r="K250">
        <v>3</v>
      </c>
      <c r="L250">
        <v>1</v>
      </c>
      <c r="M250">
        <v>2</v>
      </c>
      <c r="N250">
        <v>1</v>
      </c>
      <c r="O250">
        <v>0</v>
      </c>
      <c r="P250">
        <v>118</v>
      </c>
      <c r="Q250">
        <v>34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 x14ac:dyDescent="0.3">
      <c r="A251" t="s">
        <v>1013</v>
      </c>
      <c r="B251" t="s">
        <v>100</v>
      </c>
      <c r="C251" t="s">
        <v>29</v>
      </c>
      <c r="D251">
        <v>79</v>
      </c>
      <c r="E251">
        <v>12</v>
      </c>
      <c r="F251">
        <v>23</v>
      </c>
      <c r="G251">
        <v>35</v>
      </c>
      <c r="H251">
        <v>3</v>
      </c>
      <c r="I251">
        <v>10</v>
      </c>
      <c r="J251">
        <v>121</v>
      </c>
      <c r="K251">
        <v>2</v>
      </c>
      <c r="L251">
        <v>2</v>
      </c>
      <c r="M251">
        <v>8</v>
      </c>
      <c r="N251">
        <v>0</v>
      </c>
      <c r="O251">
        <v>0</v>
      </c>
      <c r="P251">
        <v>53</v>
      </c>
      <c r="Q251">
        <v>30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 x14ac:dyDescent="0.3">
      <c r="A252" t="s">
        <v>413</v>
      </c>
      <c r="B252" t="s">
        <v>79</v>
      </c>
      <c r="C252" t="s">
        <v>42</v>
      </c>
      <c r="D252">
        <v>70</v>
      </c>
      <c r="E252">
        <v>20</v>
      </c>
      <c r="F252">
        <v>15</v>
      </c>
      <c r="G252">
        <v>35</v>
      </c>
      <c r="H252">
        <v>5</v>
      </c>
      <c r="I252">
        <v>26</v>
      </c>
      <c r="J252">
        <v>176</v>
      </c>
      <c r="K252">
        <v>4</v>
      </c>
      <c r="L252">
        <v>4</v>
      </c>
      <c r="M252">
        <v>4</v>
      </c>
      <c r="N252">
        <v>2</v>
      </c>
      <c r="O252">
        <v>1</v>
      </c>
      <c r="P252">
        <v>66</v>
      </c>
      <c r="Q252">
        <v>26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</row>
    <row r="253" spans="1:25" x14ac:dyDescent="0.3">
      <c r="A253" t="s">
        <v>569</v>
      </c>
      <c r="B253" t="s">
        <v>122</v>
      </c>
      <c r="C253" t="s">
        <v>93</v>
      </c>
      <c r="D253">
        <v>80</v>
      </c>
      <c r="E253">
        <v>5</v>
      </c>
      <c r="F253">
        <v>30</v>
      </c>
      <c r="G253">
        <v>35</v>
      </c>
      <c r="H253">
        <v>-23</v>
      </c>
      <c r="I253">
        <v>14</v>
      </c>
      <c r="J253">
        <v>135</v>
      </c>
      <c r="K253">
        <v>1</v>
      </c>
      <c r="L253">
        <v>0</v>
      </c>
      <c r="M253">
        <v>11</v>
      </c>
      <c r="N253">
        <v>0</v>
      </c>
      <c r="O253">
        <v>0</v>
      </c>
      <c r="P253">
        <v>36</v>
      </c>
      <c r="Q253">
        <v>78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</row>
    <row r="254" spans="1:25" x14ac:dyDescent="0.3">
      <c r="A254" t="s">
        <v>1014</v>
      </c>
      <c r="B254" t="s">
        <v>140</v>
      </c>
      <c r="C254" t="s">
        <v>29</v>
      </c>
      <c r="D254">
        <v>66</v>
      </c>
      <c r="E254">
        <v>13</v>
      </c>
      <c r="F254">
        <v>22</v>
      </c>
      <c r="G254">
        <v>35</v>
      </c>
      <c r="H254">
        <v>0</v>
      </c>
      <c r="I254">
        <v>0</v>
      </c>
      <c r="J254">
        <v>0</v>
      </c>
      <c r="K254">
        <v>1</v>
      </c>
      <c r="L254">
        <v>0</v>
      </c>
      <c r="M254">
        <v>0</v>
      </c>
      <c r="N254">
        <v>0</v>
      </c>
      <c r="O254">
        <v>0</v>
      </c>
      <c r="P254">
        <v>29</v>
      </c>
      <c r="Q254">
        <v>22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 x14ac:dyDescent="0.3">
      <c r="A255" t="s">
        <v>284</v>
      </c>
      <c r="B255" t="s">
        <v>39</v>
      </c>
      <c r="C255" t="s">
        <v>33</v>
      </c>
      <c r="D255">
        <v>75</v>
      </c>
      <c r="E255">
        <v>16</v>
      </c>
      <c r="F255">
        <v>19</v>
      </c>
      <c r="G255">
        <v>35</v>
      </c>
      <c r="H255">
        <v>2</v>
      </c>
      <c r="I255">
        <v>16</v>
      </c>
      <c r="J255">
        <v>135</v>
      </c>
      <c r="K255">
        <v>4</v>
      </c>
      <c r="L255">
        <v>2</v>
      </c>
      <c r="M255">
        <v>3</v>
      </c>
      <c r="N255">
        <v>0</v>
      </c>
      <c r="O255">
        <v>0</v>
      </c>
      <c r="P255">
        <v>44</v>
      </c>
      <c r="Q255">
        <v>42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 x14ac:dyDescent="0.3">
      <c r="A256" t="s">
        <v>310</v>
      </c>
      <c r="B256" t="s">
        <v>140</v>
      </c>
      <c r="C256" t="s">
        <v>93</v>
      </c>
      <c r="D256">
        <v>75</v>
      </c>
      <c r="E256">
        <v>8</v>
      </c>
      <c r="F256">
        <v>27</v>
      </c>
      <c r="G256">
        <v>35</v>
      </c>
      <c r="H256">
        <v>-15</v>
      </c>
      <c r="I256">
        <v>57</v>
      </c>
      <c r="J256">
        <v>138</v>
      </c>
      <c r="K256">
        <v>1</v>
      </c>
      <c r="L256">
        <v>2</v>
      </c>
      <c r="M256">
        <v>10</v>
      </c>
      <c r="N256">
        <v>0</v>
      </c>
      <c r="O256">
        <v>0</v>
      </c>
      <c r="P256">
        <v>76</v>
      </c>
      <c r="Q256">
        <v>85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 x14ac:dyDescent="0.3">
      <c r="A257" t="s">
        <v>296</v>
      </c>
      <c r="B257" t="s">
        <v>28</v>
      </c>
      <c r="C257" t="s">
        <v>42</v>
      </c>
      <c r="D257">
        <v>73</v>
      </c>
      <c r="E257">
        <v>14</v>
      </c>
      <c r="F257">
        <v>20</v>
      </c>
      <c r="G257">
        <v>34</v>
      </c>
      <c r="H257">
        <v>16</v>
      </c>
      <c r="I257">
        <v>22</v>
      </c>
      <c r="J257">
        <v>166</v>
      </c>
      <c r="K257">
        <v>2</v>
      </c>
      <c r="L257">
        <v>3</v>
      </c>
      <c r="M257">
        <v>3</v>
      </c>
      <c r="N257">
        <v>0</v>
      </c>
      <c r="O257">
        <v>0</v>
      </c>
      <c r="P257">
        <v>93</v>
      </c>
      <c r="Q257">
        <v>20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3">
      <c r="A258" t="s">
        <v>392</v>
      </c>
      <c r="B258" t="s">
        <v>73</v>
      </c>
      <c r="C258" t="s">
        <v>42</v>
      </c>
      <c r="D258">
        <v>76</v>
      </c>
      <c r="E258">
        <v>15</v>
      </c>
      <c r="F258">
        <v>19</v>
      </c>
      <c r="G258">
        <v>34</v>
      </c>
      <c r="H258">
        <v>5</v>
      </c>
      <c r="I258">
        <v>28</v>
      </c>
      <c r="J258">
        <v>101</v>
      </c>
      <c r="K258">
        <v>2</v>
      </c>
      <c r="L258">
        <v>0</v>
      </c>
      <c r="M258">
        <v>0</v>
      </c>
      <c r="N258">
        <v>1</v>
      </c>
      <c r="O258">
        <v>2</v>
      </c>
      <c r="P258">
        <v>116</v>
      </c>
      <c r="Q258">
        <v>25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3">
      <c r="A259" t="s">
        <v>438</v>
      </c>
      <c r="B259" t="s">
        <v>52</v>
      </c>
      <c r="C259" t="s">
        <v>33</v>
      </c>
      <c r="D259">
        <v>68</v>
      </c>
      <c r="E259">
        <v>10</v>
      </c>
      <c r="F259">
        <v>24</v>
      </c>
      <c r="G259">
        <v>34</v>
      </c>
      <c r="H259">
        <v>4</v>
      </c>
      <c r="I259">
        <v>8</v>
      </c>
      <c r="J259">
        <v>98</v>
      </c>
      <c r="K259">
        <v>4</v>
      </c>
      <c r="L259">
        <v>2</v>
      </c>
      <c r="M259">
        <v>6</v>
      </c>
      <c r="N259">
        <v>0</v>
      </c>
      <c r="O259">
        <v>0</v>
      </c>
      <c r="P259">
        <v>64</v>
      </c>
      <c r="Q259">
        <v>8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3">
      <c r="A260" t="s">
        <v>239</v>
      </c>
      <c r="B260" t="s">
        <v>120</v>
      </c>
      <c r="C260" t="s">
        <v>42</v>
      </c>
      <c r="D260">
        <v>63</v>
      </c>
      <c r="E260">
        <v>14</v>
      </c>
      <c r="F260">
        <v>20</v>
      </c>
      <c r="G260">
        <v>34</v>
      </c>
      <c r="H260">
        <v>-2</v>
      </c>
      <c r="I260">
        <v>66</v>
      </c>
      <c r="J260">
        <v>176</v>
      </c>
      <c r="K260">
        <v>2</v>
      </c>
      <c r="L260">
        <v>4</v>
      </c>
      <c r="M260">
        <v>3</v>
      </c>
      <c r="N260">
        <v>0</v>
      </c>
      <c r="O260">
        <v>0</v>
      </c>
      <c r="P260">
        <v>67</v>
      </c>
      <c r="Q260">
        <v>32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3">
      <c r="A261" t="s">
        <v>293</v>
      </c>
      <c r="B261" t="s">
        <v>100</v>
      </c>
      <c r="C261" t="s">
        <v>93</v>
      </c>
      <c r="D261">
        <v>78</v>
      </c>
      <c r="E261">
        <v>7</v>
      </c>
      <c r="F261">
        <v>27</v>
      </c>
      <c r="G261">
        <v>34</v>
      </c>
      <c r="H261">
        <v>16</v>
      </c>
      <c r="I261">
        <v>40</v>
      </c>
      <c r="J261">
        <v>148</v>
      </c>
      <c r="K261">
        <v>1</v>
      </c>
      <c r="L261">
        <v>0</v>
      </c>
      <c r="M261">
        <v>4</v>
      </c>
      <c r="N261">
        <v>0</v>
      </c>
      <c r="O261">
        <v>1</v>
      </c>
      <c r="P261">
        <v>73</v>
      </c>
      <c r="Q261">
        <v>98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3">
      <c r="A262" t="s">
        <v>318</v>
      </c>
      <c r="B262" t="s">
        <v>87</v>
      </c>
      <c r="C262" t="s">
        <v>33</v>
      </c>
      <c r="D262">
        <v>70</v>
      </c>
      <c r="E262">
        <v>15</v>
      </c>
      <c r="F262">
        <v>19</v>
      </c>
      <c r="G262">
        <v>34</v>
      </c>
      <c r="H262">
        <v>21</v>
      </c>
      <c r="I262">
        <v>103</v>
      </c>
      <c r="J262">
        <v>94</v>
      </c>
      <c r="K262">
        <v>4</v>
      </c>
      <c r="L262">
        <v>3</v>
      </c>
      <c r="M262">
        <v>3</v>
      </c>
      <c r="N262">
        <v>1</v>
      </c>
      <c r="O262">
        <v>0</v>
      </c>
      <c r="P262">
        <v>234</v>
      </c>
      <c r="Q262">
        <v>40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3">
      <c r="A263" t="s">
        <v>320</v>
      </c>
      <c r="B263" t="s">
        <v>61</v>
      </c>
      <c r="C263" t="s">
        <v>33</v>
      </c>
      <c r="D263">
        <v>80</v>
      </c>
      <c r="E263">
        <v>15</v>
      </c>
      <c r="F263">
        <v>19</v>
      </c>
      <c r="G263">
        <v>34</v>
      </c>
      <c r="H263">
        <v>3</v>
      </c>
      <c r="I263">
        <v>36</v>
      </c>
      <c r="J263">
        <v>162</v>
      </c>
      <c r="K263">
        <v>3</v>
      </c>
      <c r="L263">
        <v>0</v>
      </c>
      <c r="M263">
        <v>0</v>
      </c>
      <c r="N263">
        <v>1</v>
      </c>
      <c r="O263">
        <v>2</v>
      </c>
      <c r="P263">
        <v>115</v>
      </c>
      <c r="Q263">
        <v>55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3">
      <c r="A264" t="s">
        <v>364</v>
      </c>
      <c r="B264" t="s">
        <v>57</v>
      </c>
      <c r="C264" t="s">
        <v>93</v>
      </c>
      <c r="D264">
        <v>70</v>
      </c>
      <c r="E264">
        <v>8</v>
      </c>
      <c r="F264">
        <v>26</v>
      </c>
      <c r="G264">
        <v>34</v>
      </c>
      <c r="H264">
        <v>33</v>
      </c>
      <c r="I264">
        <v>16</v>
      </c>
      <c r="J264">
        <v>151</v>
      </c>
      <c r="K264">
        <v>1</v>
      </c>
      <c r="L264">
        <v>0</v>
      </c>
      <c r="M264">
        <v>3</v>
      </c>
      <c r="N264">
        <v>0</v>
      </c>
      <c r="O264">
        <v>0</v>
      </c>
      <c r="P264">
        <v>46</v>
      </c>
      <c r="Q264">
        <v>83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3">
      <c r="A265" t="s">
        <v>363</v>
      </c>
      <c r="B265" t="s">
        <v>75</v>
      </c>
      <c r="C265" t="s">
        <v>93</v>
      </c>
      <c r="D265">
        <v>78</v>
      </c>
      <c r="E265">
        <v>6</v>
      </c>
      <c r="F265">
        <v>27</v>
      </c>
      <c r="G265">
        <v>33</v>
      </c>
      <c r="H265">
        <v>14</v>
      </c>
      <c r="I265">
        <v>20</v>
      </c>
      <c r="J265">
        <v>135</v>
      </c>
      <c r="K265">
        <v>1</v>
      </c>
      <c r="L265">
        <v>0</v>
      </c>
      <c r="M265">
        <v>1</v>
      </c>
      <c r="N265">
        <v>0</v>
      </c>
      <c r="O265">
        <v>1</v>
      </c>
      <c r="P265">
        <v>86</v>
      </c>
      <c r="Q265">
        <v>162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3">
      <c r="A266" t="s">
        <v>404</v>
      </c>
      <c r="B266" t="s">
        <v>181</v>
      </c>
      <c r="C266" t="s">
        <v>33</v>
      </c>
      <c r="D266">
        <v>71</v>
      </c>
      <c r="E266">
        <v>17</v>
      </c>
      <c r="F266">
        <v>16</v>
      </c>
      <c r="G266">
        <v>33</v>
      </c>
      <c r="H266">
        <v>-10</v>
      </c>
      <c r="I266">
        <v>61</v>
      </c>
      <c r="J266">
        <v>139</v>
      </c>
      <c r="K266">
        <v>3</v>
      </c>
      <c r="L266">
        <v>2</v>
      </c>
      <c r="M266">
        <v>4</v>
      </c>
      <c r="N266">
        <v>1</v>
      </c>
      <c r="O266">
        <v>0</v>
      </c>
      <c r="P266">
        <v>212</v>
      </c>
      <c r="Q266">
        <v>39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3">
      <c r="A267" t="s">
        <v>208</v>
      </c>
      <c r="B267" t="s">
        <v>46</v>
      </c>
      <c r="C267" t="s">
        <v>42</v>
      </c>
      <c r="D267">
        <v>75</v>
      </c>
      <c r="E267">
        <v>11</v>
      </c>
      <c r="F267">
        <v>22</v>
      </c>
      <c r="G267">
        <v>33</v>
      </c>
      <c r="H267">
        <v>5</v>
      </c>
      <c r="I267">
        <v>16</v>
      </c>
      <c r="J267">
        <v>124</v>
      </c>
      <c r="K267">
        <v>3</v>
      </c>
      <c r="L267">
        <v>0</v>
      </c>
      <c r="M267">
        <v>5</v>
      </c>
      <c r="N267">
        <v>0</v>
      </c>
      <c r="O267">
        <v>0</v>
      </c>
      <c r="P267">
        <v>99</v>
      </c>
      <c r="Q267">
        <v>18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3">
      <c r="A268" t="s">
        <v>215</v>
      </c>
      <c r="B268" t="s">
        <v>39</v>
      </c>
      <c r="C268" t="s">
        <v>42</v>
      </c>
      <c r="D268">
        <v>52</v>
      </c>
      <c r="E268">
        <v>16</v>
      </c>
      <c r="F268">
        <v>17</v>
      </c>
      <c r="G268">
        <v>33</v>
      </c>
      <c r="H268">
        <v>7</v>
      </c>
      <c r="I268">
        <v>79</v>
      </c>
      <c r="J268">
        <v>104</v>
      </c>
      <c r="K268">
        <v>4</v>
      </c>
      <c r="L268">
        <v>3</v>
      </c>
      <c r="M268">
        <v>4</v>
      </c>
      <c r="N268">
        <v>1</v>
      </c>
      <c r="O268">
        <v>1</v>
      </c>
      <c r="P268">
        <v>166</v>
      </c>
      <c r="Q268">
        <v>36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3">
      <c r="A269" t="s">
        <v>371</v>
      </c>
      <c r="B269" t="s">
        <v>41</v>
      </c>
      <c r="C269" t="s">
        <v>29</v>
      </c>
      <c r="D269">
        <v>74</v>
      </c>
      <c r="E269">
        <v>17</v>
      </c>
      <c r="F269">
        <v>16</v>
      </c>
      <c r="G269">
        <v>33</v>
      </c>
      <c r="H269">
        <v>10</v>
      </c>
      <c r="I269">
        <v>26</v>
      </c>
      <c r="J269">
        <v>114</v>
      </c>
      <c r="K269">
        <v>2</v>
      </c>
      <c r="L269">
        <v>3</v>
      </c>
      <c r="M269">
        <v>3</v>
      </c>
      <c r="N269">
        <v>1</v>
      </c>
      <c r="O269">
        <v>1</v>
      </c>
      <c r="P269">
        <v>35</v>
      </c>
      <c r="Q269">
        <v>57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3">
      <c r="A270" t="s">
        <v>242</v>
      </c>
      <c r="B270" t="s">
        <v>57</v>
      </c>
      <c r="C270" t="s">
        <v>33</v>
      </c>
      <c r="D270">
        <v>40</v>
      </c>
      <c r="E270">
        <v>16</v>
      </c>
      <c r="F270">
        <v>17</v>
      </c>
      <c r="G270">
        <v>33</v>
      </c>
      <c r="H270">
        <v>14</v>
      </c>
      <c r="I270">
        <v>16</v>
      </c>
      <c r="J270">
        <v>104</v>
      </c>
      <c r="K270">
        <v>3</v>
      </c>
      <c r="L270">
        <v>4</v>
      </c>
      <c r="M270">
        <v>5</v>
      </c>
      <c r="N270">
        <v>1</v>
      </c>
      <c r="O270">
        <v>0</v>
      </c>
      <c r="P270">
        <v>25</v>
      </c>
      <c r="Q270">
        <v>10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3">
      <c r="A271" t="s">
        <v>253</v>
      </c>
      <c r="B271" t="s">
        <v>48</v>
      </c>
      <c r="C271" t="s">
        <v>29</v>
      </c>
      <c r="D271">
        <v>80</v>
      </c>
      <c r="E271">
        <v>15</v>
      </c>
      <c r="F271">
        <v>18</v>
      </c>
      <c r="G271">
        <v>33</v>
      </c>
      <c r="H271">
        <v>15</v>
      </c>
      <c r="I271">
        <v>55</v>
      </c>
      <c r="J271">
        <v>201</v>
      </c>
      <c r="K271">
        <v>3</v>
      </c>
      <c r="L271">
        <v>0</v>
      </c>
      <c r="M271">
        <v>0</v>
      </c>
      <c r="N271">
        <v>1</v>
      </c>
      <c r="O271">
        <v>1</v>
      </c>
      <c r="P271">
        <v>161</v>
      </c>
      <c r="Q271">
        <v>42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</row>
    <row r="272" spans="1:25" x14ac:dyDescent="0.3">
      <c r="A272" t="s">
        <v>204</v>
      </c>
      <c r="B272" t="s">
        <v>106</v>
      </c>
      <c r="C272" t="s">
        <v>33</v>
      </c>
      <c r="D272">
        <v>77</v>
      </c>
      <c r="E272">
        <v>14</v>
      </c>
      <c r="F272">
        <v>19</v>
      </c>
      <c r="G272">
        <v>33</v>
      </c>
      <c r="H272">
        <v>-16</v>
      </c>
      <c r="I272">
        <v>24</v>
      </c>
      <c r="J272">
        <v>133</v>
      </c>
      <c r="K272">
        <v>1</v>
      </c>
      <c r="L272">
        <v>2</v>
      </c>
      <c r="M272">
        <v>4</v>
      </c>
      <c r="N272">
        <v>0</v>
      </c>
      <c r="O272">
        <v>0</v>
      </c>
      <c r="P272">
        <v>77</v>
      </c>
      <c r="Q272">
        <v>26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3">
      <c r="A273" t="s">
        <v>359</v>
      </c>
      <c r="B273" t="s">
        <v>39</v>
      </c>
      <c r="C273" t="s">
        <v>93</v>
      </c>
      <c r="D273">
        <v>77</v>
      </c>
      <c r="E273">
        <v>9</v>
      </c>
      <c r="F273">
        <v>24</v>
      </c>
      <c r="G273">
        <v>33</v>
      </c>
      <c r="H273">
        <v>21</v>
      </c>
      <c r="I273">
        <v>42</v>
      </c>
      <c r="J273">
        <v>123</v>
      </c>
      <c r="K273">
        <v>2</v>
      </c>
      <c r="L273">
        <v>2</v>
      </c>
      <c r="M273">
        <v>2</v>
      </c>
      <c r="N273">
        <v>0</v>
      </c>
      <c r="O273">
        <v>0</v>
      </c>
      <c r="P273">
        <v>126</v>
      </c>
      <c r="Q273">
        <v>97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3">
      <c r="A274" t="s">
        <v>333</v>
      </c>
      <c r="B274" t="s">
        <v>61</v>
      </c>
      <c r="C274" t="s">
        <v>42</v>
      </c>
      <c r="D274">
        <v>74</v>
      </c>
      <c r="E274">
        <v>15</v>
      </c>
      <c r="F274">
        <v>18</v>
      </c>
      <c r="G274">
        <v>33</v>
      </c>
      <c r="H274">
        <v>6</v>
      </c>
      <c r="I274">
        <v>62</v>
      </c>
      <c r="J274">
        <v>132</v>
      </c>
      <c r="K274">
        <v>4</v>
      </c>
      <c r="L274">
        <v>4</v>
      </c>
      <c r="M274">
        <v>4</v>
      </c>
      <c r="N274">
        <v>0</v>
      </c>
      <c r="O274">
        <v>0</v>
      </c>
      <c r="P274">
        <v>68</v>
      </c>
      <c r="Q274">
        <v>25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3">
      <c r="A275" t="s">
        <v>295</v>
      </c>
      <c r="B275" t="s">
        <v>35</v>
      </c>
      <c r="C275" t="s">
        <v>93</v>
      </c>
      <c r="D275">
        <v>74</v>
      </c>
      <c r="E275">
        <v>8</v>
      </c>
      <c r="F275">
        <v>25</v>
      </c>
      <c r="G275">
        <v>33</v>
      </c>
      <c r="H275">
        <v>5</v>
      </c>
      <c r="I275">
        <v>48</v>
      </c>
      <c r="J275">
        <v>146</v>
      </c>
      <c r="K275">
        <v>1</v>
      </c>
      <c r="L275">
        <v>1</v>
      </c>
      <c r="M275">
        <v>8</v>
      </c>
      <c r="N275">
        <v>1</v>
      </c>
      <c r="O275">
        <v>0</v>
      </c>
      <c r="P275">
        <v>71</v>
      </c>
      <c r="Q275">
        <v>143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3">
      <c r="A276" t="s">
        <v>315</v>
      </c>
      <c r="B276" t="s">
        <v>63</v>
      </c>
      <c r="C276" t="s">
        <v>33</v>
      </c>
      <c r="D276">
        <v>74</v>
      </c>
      <c r="E276">
        <v>14</v>
      </c>
      <c r="F276">
        <v>19</v>
      </c>
      <c r="G276">
        <v>33</v>
      </c>
      <c r="H276">
        <v>3</v>
      </c>
      <c r="I276">
        <v>34</v>
      </c>
      <c r="J276">
        <v>107</v>
      </c>
      <c r="K276">
        <v>3</v>
      </c>
      <c r="L276">
        <v>1</v>
      </c>
      <c r="M276">
        <v>4</v>
      </c>
      <c r="N276">
        <v>0</v>
      </c>
      <c r="O276">
        <v>0</v>
      </c>
      <c r="P276">
        <v>89</v>
      </c>
      <c r="Q276">
        <v>19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 x14ac:dyDescent="0.3">
      <c r="A277" t="s">
        <v>332</v>
      </c>
      <c r="B277" t="s">
        <v>63</v>
      </c>
      <c r="C277" t="s">
        <v>42</v>
      </c>
      <c r="D277">
        <v>59</v>
      </c>
      <c r="E277">
        <v>17</v>
      </c>
      <c r="F277">
        <v>16</v>
      </c>
      <c r="G277">
        <v>33</v>
      </c>
      <c r="H277">
        <v>7</v>
      </c>
      <c r="I277">
        <v>15</v>
      </c>
      <c r="J277">
        <v>152</v>
      </c>
      <c r="K277">
        <v>3</v>
      </c>
      <c r="L277">
        <v>1</v>
      </c>
      <c r="M277">
        <v>2</v>
      </c>
      <c r="N277">
        <v>1</v>
      </c>
      <c r="O277">
        <v>0</v>
      </c>
      <c r="P277">
        <v>30</v>
      </c>
      <c r="Q277">
        <v>28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3">
      <c r="A278" t="s">
        <v>482</v>
      </c>
      <c r="B278" t="s">
        <v>106</v>
      </c>
      <c r="C278" t="s">
        <v>33</v>
      </c>
      <c r="D278">
        <v>73</v>
      </c>
      <c r="E278">
        <v>13</v>
      </c>
      <c r="F278">
        <v>19</v>
      </c>
      <c r="G278">
        <v>32</v>
      </c>
      <c r="H278">
        <v>2</v>
      </c>
      <c r="I278">
        <v>28</v>
      </c>
      <c r="J278">
        <v>119</v>
      </c>
      <c r="K278">
        <v>1</v>
      </c>
      <c r="L278">
        <v>0</v>
      </c>
      <c r="M278">
        <v>0</v>
      </c>
      <c r="N278">
        <v>0</v>
      </c>
      <c r="O278">
        <v>0</v>
      </c>
      <c r="P278">
        <v>66</v>
      </c>
      <c r="Q278">
        <v>26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3">
      <c r="A279" t="s">
        <v>1015</v>
      </c>
      <c r="B279" t="s">
        <v>82</v>
      </c>
      <c r="C279" t="s">
        <v>93</v>
      </c>
      <c r="D279">
        <v>70</v>
      </c>
      <c r="E279">
        <v>4</v>
      </c>
      <c r="F279">
        <v>28</v>
      </c>
      <c r="G279">
        <v>32</v>
      </c>
      <c r="H279">
        <v>-6</v>
      </c>
      <c r="I279">
        <v>60</v>
      </c>
      <c r="J279">
        <v>133</v>
      </c>
      <c r="K279">
        <v>0</v>
      </c>
      <c r="L279">
        <v>2</v>
      </c>
      <c r="M279">
        <v>14</v>
      </c>
      <c r="N279">
        <v>0</v>
      </c>
      <c r="O279">
        <v>1</v>
      </c>
      <c r="P279">
        <v>81</v>
      </c>
      <c r="Q279">
        <v>135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3">
      <c r="A280" t="s">
        <v>506</v>
      </c>
      <c r="B280" t="s">
        <v>35</v>
      </c>
      <c r="C280" t="s">
        <v>33</v>
      </c>
      <c r="D280">
        <v>73</v>
      </c>
      <c r="E280">
        <v>14</v>
      </c>
      <c r="F280">
        <v>18</v>
      </c>
      <c r="G280">
        <v>32</v>
      </c>
      <c r="H280">
        <v>10</v>
      </c>
      <c r="I280">
        <v>28</v>
      </c>
      <c r="J280">
        <v>144</v>
      </c>
      <c r="K280">
        <v>2</v>
      </c>
      <c r="L280">
        <v>1</v>
      </c>
      <c r="M280">
        <v>2</v>
      </c>
      <c r="N280">
        <v>2</v>
      </c>
      <c r="O280">
        <v>1</v>
      </c>
      <c r="P280">
        <v>64</v>
      </c>
      <c r="Q280">
        <v>13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3">
      <c r="A281" t="s">
        <v>674</v>
      </c>
      <c r="B281" t="s">
        <v>41</v>
      </c>
      <c r="C281" t="s">
        <v>93</v>
      </c>
      <c r="D281">
        <v>61</v>
      </c>
      <c r="E281">
        <v>8</v>
      </c>
      <c r="F281">
        <v>24</v>
      </c>
      <c r="G281">
        <v>32</v>
      </c>
      <c r="H281">
        <v>12</v>
      </c>
      <c r="I281">
        <v>30</v>
      </c>
      <c r="J281">
        <v>107</v>
      </c>
      <c r="K281">
        <v>2</v>
      </c>
      <c r="L281">
        <v>2</v>
      </c>
      <c r="M281">
        <v>5</v>
      </c>
      <c r="N281">
        <v>0</v>
      </c>
      <c r="O281">
        <v>0</v>
      </c>
      <c r="P281">
        <v>96</v>
      </c>
      <c r="Q281">
        <v>57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3">
      <c r="A282" t="s">
        <v>644</v>
      </c>
      <c r="B282" t="s">
        <v>196</v>
      </c>
      <c r="C282" t="s">
        <v>29</v>
      </c>
      <c r="D282">
        <v>74</v>
      </c>
      <c r="E282">
        <v>11</v>
      </c>
      <c r="F282">
        <v>21</v>
      </c>
      <c r="G282">
        <v>32</v>
      </c>
      <c r="H282">
        <v>-21</v>
      </c>
      <c r="I282">
        <v>26</v>
      </c>
      <c r="J282">
        <v>92</v>
      </c>
      <c r="K282">
        <v>3</v>
      </c>
      <c r="L282">
        <v>2</v>
      </c>
      <c r="M282">
        <v>6</v>
      </c>
      <c r="N282">
        <v>0</v>
      </c>
      <c r="O282">
        <v>0</v>
      </c>
      <c r="P282">
        <v>36</v>
      </c>
      <c r="Q282">
        <v>11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3">
      <c r="A283" t="s">
        <v>243</v>
      </c>
      <c r="B283" t="s">
        <v>120</v>
      </c>
      <c r="C283" t="s">
        <v>29</v>
      </c>
      <c r="D283">
        <v>71</v>
      </c>
      <c r="E283">
        <v>10</v>
      </c>
      <c r="F283">
        <v>22</v>
      </c>
      <c r="G283">
        <v>32</v>
      </c>
      <c r="H283">
        <v>-17</v>
      </c>
      <c r="I283">
        <v>38</v>
      </c>
      <c r="J283">
        <v>129</v>
      </c>
      <c r="K283">
        <v>1</v>
      </c>
      <c r="L283">
        <v>2</v>
      </c>
      <c r="M283">
        <v>3</v>
      </c>
      <c r="N283">
        <v>0</v>
      </c>
      <c r="O283">
        <v>1</v>
      </c>
      <c r="P283">
        <v>54</v>
      </c>
      <c r="Q283">
        <v>43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3">
      <c r="A284" t="s">
        <v>1016</v>
      </c>
      <c r="B284" t="s">
        <v>44</v>
      </c>
      <c r="C284" t="s">
        <v>42</v>
      </c>
      <c r="D284">
        <v>73</v>
      </c>
      <c r="E284">
        <v>7</v>
      </c>
      <c r="F284">
        <v>25</v>
      </c>
      <c r="G284">
        <v>32</v>
      </c>
      <c r="H284">
        <v>-14</v>
      </c>
      <c r="I284">
        <v>20</v>
      </c>
      <c r="J284">
        <v>100</v>
      </c>
      <c r="K284">
        <v>1</v>
      </c>
      <c r="L284">
        <v>2</v>
      </c>
      <c r="M284">
        <v>6</v>
      </c>
      <c r="N284">
        <v>0</v>
      </c>
      <c r="O284">
        <v>0</v>
      </c>
      <c r="P284">
        <v>33</v>
      </c>
      <c r="Q284">
        <v>20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3">
      <c r="A285" t="s">
        <v>285</v>
      </c>
      <c r="B285" t="s">
        <v>39</v>
      </c>
      <c r="C285" t="s">
        <v>29</v>
      </c>
      <c r="D285">
        <v>73</v>
      </c>
      <c r="E285">
        <v>13</v>
      </c>
      <c r="F285">
        <v>19</v>
      </c>
      <c r="G285">
        <v>32</v>
      </c>
      <c r="H285">
        <v>-3</v>
      </c>
      <c r="I285">
        <v>40</v>
      </c>
      <c r="J285">
        <v>127</v>
      </c>
      <c r="K285">
        <v>2</v>
      </c>
      <c r="L285">
        <v>0</v>
      </c>
      <c r="M285">
        <v>3</v>
      </c>
      <c r="N285">
        <v>0</v>
      </c>
      <c r="O285">
        <v>0</v>
      </c>
      <c r="P285">
        <v>87</v>
      </c>
      <c r="Q285">
        <v>36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3">
      <c r="A286" t="s">
        <v>427</v>
      </c>
      <c r="B286" t="s">
        <v>122</v>
      </c>
      <c r="C286" t="s">
        <v>93</v>
      </c>
      <c r="D286">
        <v>81</v>
      </c>
      <c r="E286">
        <v>6</v>
      </c>
      <c r="F286">
        <v>26</v>
      </c>
      <c r="G286">
        <v>32</v>
      </c>
      <c r="H286">
        <v>-9</v>
      </c>
      <c r="I286">
        <v>37</v>
      </c>
      <c r="J286">
        <v>155</v>
      </c>
      <c r="K286">
        <v>1</v>
      </c>
      <c r="L286">
        <v>1</v>
      </c>
      <c r="M286">
        <v>8</v>
      </c>
      <c r="N286">
        <v>0</v>
      </c>
      <c r="O286">
        <v>0</v>
      </c>
      <c r="P286">
        <v>72</v>
      </c>
      <c r="Q286">
        <v>121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</row>
    <row r="287" spans="1:25" x14ac:dyDescent="0.3">
      <c r="A287" t="s">
        <v>397</v>
      </c>
      <c r="B287" t="s">
        <v>95</v>
      </c>
      <c r="C287" t="s">
        <v>33</v>
      </c>
      <c r="D287">
        <v>73</v>
      </c>
      <c r="E287">
        <v>14</v>
      </c>
      <c r="F287">
        <v>18</v>
      </c>
      <c r="G287">
        <v>32</v>
      </c>
      <c r="H287">
        <v>-5</v>
      </c>
      <c r="I287">
        <v>23</v>
      </c>
      <c r="J287">
        <v>124</v>
      </c>
      <c r="K287">
        <v>3</v>
      </c>
      <c r="L287">
        <v>2</v>
      </c>
      <c r="M287">
        <v>4</v>
      </c>
      <c r="N287">
        <v>1</v>
      </c>
      <c r="O287">
        <v>0</v>
      </c>
      <c r="P287">
        <v>48</v>
      </c>
      <c r="Q287">
        <v>44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3">
      <c r="A288" t="s">
        <v>375</v>
      </c>
      <c r="B288" t="s">
        <v>87</v>
      </c>
      <c r="C288" t="s">
        <v>93</v>
      </c>
      <c r="D288">
        <v>76</v>
      </c>
      <c r="E288">
        <v>6</v>
      </c>
      <c r="F288">
        <v>26</v>
      </c>
      <c r="G288">
        <v>32</v>
      </c>
      <c r="H288">
        <v>11</v>
      </c>
      <c r="I288">
        <v>20</v>
      </c>
      <c r="J288">
        <v>128</v>
      </c>
      <c r="K288">
        <v>1</v>
      </c>
      <c r="L288">
        <v>1</v>
      </c>
      <c r="M288">
        <v>5</v>
      </c>
      <c r="N288">
        <v>0</v>
      </c>
      <c r="O288">
        <v>1</v>
      </c>
      <c r="P288">
        <v>45</v>
      </c>
      <c r="Q288">
        <v>134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3">
      <c r="A289" t="s">
        <v>267</v>
      </c>
      <c r="B289" t="s">
        <v>46</v>
      </c>
      <c r="C289" t="s">
        <v>33</v>
      </c>
      <c r="D289">
        <v>68</v>
      </c>
      <c r="E289">
        <v>15</v>
      </c>
      <c r="F289">
        <v>17</v>
      </c>
      <c r="G289">
        <v>32</v>
      </c>
      <c r="H289">
        <v>-6</v>
      </c>
      <c r="I289">
        <v>27</v>
      </c>
      <c r="J289">
        <v>156</v>
      </c>
      <c r="K289">
        <v>0</v>
      </c>
      <c r="L289">
        <v>5</v>
      </c>
      <c r="M289">
        <v>3</v>
      </c>
      <c r="N289">
        <v>0</v>
      </c>
      <c r="O289">
        <v>0</v>
      </c>
      <c r="P289">
        <v>106</v>
      </c>
      <c r="Q289">
        <v>30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3">
      <c r="A290" t="s">
        <v>406</v>
      </c>
      <c r="B290" t="s">
        <v>63</v>
      </c>
      <c r="C290" t="s">
        <v>93</v>
      </c>
      <c r="D290">
        <v>78</v>
      </c>
      <c r="E290">
        <v>7</v>
      </c>
      <c r="F290">
        <v>25</v>
      </c>
      <c r="G290">
        <v>32</v>
      </c>
      <c r="H290">
        <v>17</v>
      </c>
      <c r="I290">
        <v>46</v>
      </c>
      <c r="J290">
        <v>157</v>
      </c>
      <c r="K290">
        <v>0</v>
      </c>
      <c r="L290">
        <v>0</v>
      </c>
      <c r="M290">
        <v>0</v>
      </c>
      <c r="N290">
        <v>0</v>
      </c>
      <c r="O290">
        <v>1</v>
      </c>
      <c r="P290">
        <v>93</v>
      </c>
      <c r="Q290">
        <v>78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3">
      <c r="A291" t="s">
        <v>385</v>
      </c>
      <c r="B291" t="s">
        <v>63</v>
      </c>
      <c r="C291" t="s">
        <v>42</v>
      </c>
      <c r="D291">
        <v>77</v>
      </c>
      <c r="E291">
        <v>12</v>
      </c>
      <c r="F291">
        <v>20</v>
      </c>
      <c r="G291">
        <v>32</v>
      </c>
      <c r="H291">
        <v>17</v>
      </c>
      <c r="I291">
        <v>12</v>
      </c>
      <c r="J291">
        <v>92</v>
      </c>
      <c r="K291">
        <v>2</v>
      </c>
      <c r="L291">
        <v>0</v>
      </c>
      <c r="M291">
        <v>1</v>
      </c>
      <c r="N291">
        <v>1</v>
      </c>
      <c r="O291">
        <v>1</v>
      </c>
      <c r="P291">
        <v>113</v>
      </c>
      <c r="Q291">
        <v>42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</row>
    <row r="292" spans="1:25" x14ac:dyDescent="0.3">
      <c r="A292" t="s">
        <v>373</v>
      </c>
      <c r="B292" t="s">
        <v>132</v>
      </c>
      <c r="C292" t="s">
        <v>93</v>
      </c>
      <c r="D292">
        <v>80</v>
      </c>
      <c r="E292">
        <v>7</v>
      </c>
      <c r="F292">
        <v>25</v>
      </c>
      <c r="G292">
        <v>32</v>
      </c>
      <c r="H292">
        <v>2</v>
      </c>
      <c r="I292">
        <v>34</v>
      </c>
      <c r="J292">
        <v>129</v>
      </c>
      <c r="K292">
        <v>1</v>
      </c>
      <c r="L292">
        <v>0</v>
      </c>
      <c r="M292">
        <v>0</v>
      </c>
      <c r="N292">
        <v>0</v>
      </c>
      <c r="O292">
        <v>0</v>
      </c>
      <c r="P292">
        <v>64</v>
      </c>
      <c r="Q292">
        <v>138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3">
      <c r="A293" t="s">
        <v>1017</v>
      </c>
      <c r="B293" t="s">
        <v>120</v>
      </c>
      <c r="C293" t="s">
        <v>93</v>
      </c>
      <c r="D293">
        <v>74</v>
      </c>
      <c r="E293">
        <v>6</v>
      </c>
      <c r="F293">
        <v>26</v>
      </c>
      <c r="G293">
        <v>32</v>
      </c>
      <c r="H293">
        <v>-26</v>
      </c>
      <c r="I293">
        <v>66</v>
      </c>
      <c r="J293">
        <v>94</v>
      </c>
      <c r="K293">
        <v>1</v>
      </c>
      <c r="L293">
        <v>1</v>
      </c>
      <c r="M293">
        <v>9</v>
      </c>
      <c r="N293">
        <v>0</v>
      </c>
      <c r="O293">
        <v>0</v>
      </c>
      <c r="P293">
        <v>65</v>
      </c>
      <c r="Q293">
        <v>58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3">
      <c r="A294" t="s">
        <v>365</v>
      </c>
      <c r="B294" t="s">
        <v>57</v>
      </c>
      <c r="C294" t="s">
        <v>93</v>
      </c>
      <c r="D294">
        <v>77</v>
      </c>
      <c r="E294">
        <v>7</v>
      </c>
      <c r="F294">
        <v>25</v>
      </c>
      <c r="G294">
        <v>32</v>
      </c>
      <c r="H294">
        <v>14</v>
      </c>
      <c r="I294">
        <v>44</v>
      </c>
      <c r="J294">
        <v>149</v>
      </c>
      <c r="K294">
        <v>1</v>
      </c>
      <c r="L294">
        <v>2</v>
      </c>
      <c r="M294">
        <v>6</v>
      </c>
      <c r="N294">
        <v>0</v>
      </c>
      <c r="O294">
        <v>0</v>
      </c>
      <c r="P294">
        <v>66</v>
      </c>
      <c r="Q294">
        <v>74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3">
      <c r="A295" t="s">
        <v>270</v>
      </c>
      <c r="B295" t="s">
        <v>37</v>
      </c>
      <c r="C295" t="s">
        <v>29</v>
      </c>
      <c r="D295">
        <v>71</v>
      </c>
      <c r="E295">
        <v>13</v>
      </c>
      <c r="F295">
        <v>19</v>
      </c>
      <c r="G295">
        <v>32</v>
      </c>
      <c r="H295">
        <v>-7</v>
      </c>
      <c r="I295">
        <v>24</v>
      </c>
      <c r="J295">
        <v>136</v>
      </c>
      <c r="K295">
        <v>2</v>
      </c>
      <c r="L295">
        <v>2</v>
      </c>
      <c r="M295">
        <v>4</v>
      </c>
      <c r="N295">
        <v>1</v>
      </c>
      <c r="O295">
        <v>0</v>
      </c>
      <c r="P295">
        <v>77</v>
      </c>
      <c r="Q295">
        <v>19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3">
      <c r="A296" t="s">
        <v>372</v>
      </c>
      <c r="B296" t="s">
        <v>95</v>
      </c>
      <c r="C296" t="s">
        <v>93</v>
      </c>
      <c r="D296">
        <v>77</v>
      </c>
      <c r="E296">
        <v>7</v>
      </c>
      <c r="F296">
        <v>24</v>
      </c>
      <c r="G296">
        <v>31</v>
      </c>
      <c r="H296">
        <v>7</v>
      </c>
      <c r="I296">
        <v>10</v>
      </c>
      <c r="J296">
        <v>175</v>
      </c>
      <c r="K296">
        <v>1</v>
      </c>
      <c r="L296">
        <v>3</v>
      </c>
      <c r="M296">
        <v>5</v>
      </c>
      <c r="N296">
        <v>0</v>
      </c>
      <c r="O296">
        <v>1</v>
      </c>
      <c r="P296">
        <v>122</v>
      </c>
      <c r="Q296">
        <v>163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</row>
    <row r="297" spans="1:25" x14ac:dyDescent="0.3">
      <c r="A297" t="s">
        <v>429</v>
      </c>
      <c r="B297" t="s">
        <v>196</v>
      </c>
      <c r="C297" t="s">
        <v>42</v>
      </c>
      <c r="D297">
        <v>69</v>
      </c>
      <c r="E297">
        <v>12</v>
      </c>
      <c r="F297">
        <v>19</v>
      </c>
      <c r="G297">
        <v>31</v>
      </c>
      <c r="H297">
        <v>-13</v>
      </c>
      <c r="I297">
        <v>35</v>
      </c>
      <c r="J297">
        <v>155</v>
      </c>
      <c r="K297">
        <v>2</v>
      </c>
      <c r="L297">
        <v>5</v>
      </c>
      <c r="M297">
        <v>4</v>
      </c>
      <c r="N297">
        <v>1</v>
      </c>
      <c r="O297">
        <v>1</v>
      </c>
      <c r="P297">
        <v>54</v>
      </c>
      <c r="Q297">
        <v>16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3">
      <c r="A298" t="s">
        <v>248</v>
      </c>
      <c r="B298" t="s">
        <v>79</v>
      </c>
      <c r="C298" t="s">
        <v>93</v>
      </c>
      <c r="D298">
        <v>76</v>
      </c>
      <c r="E298">
        <v>6</v>
      </c>
      <c r="F298">
        <v>25</v>
      </c>
      <c r="G298">
        <v>31</v>
      </c>
      <c r="H298">
        <v>-3</v>
      </c>
      <c r="I298">
        <v>50</v>
      </c>
      <c r="J298">
        <v>162</v>
      </c>
      <c r="K298">
        <v>1</v>
      </c>
      <c r="L298">
        <v>3</v>
      </c>
      <c r="M298">
        <v>9</v>
      </c>
      <c r="N298">
        <v>0</v>
      </c>
      <c r="O298">
        <v>0</v>
      </c>
      <c r="P298">
        <v>112</v>
      </c>
      <c r="Q298">
        <v>74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3">
      <c r="A299" t="s">
        <v>671</v>
      </c>
      <c r="B299" t="s">
        <v>181</v>
      </c>
      <c r="C299" t="s">
        <v>29</v>
      </c>
      <c r="D299">
        <v>74</v>
      </c>
      <c r="E299">
        <v>13</v>
      </c>
      <c r="F299">
        <v>18</v>
      </c>
      <c r="G299">
        <v>31</v>
      </c>
      <c r="H299">
        <v>-9</v>
      </c>
      <c r="I299">
        <v>24</v>
      </c>
      <c r="J299">
        <v>109</v>
      </c>
      <c r="K299">
        <v>2</v>
      </c>
      <c r="L299">
        <v>3</v>
      </c>
      <c r="M299">
        <v>4</v>
      </c>
      <c r="N299">
        <v>1</v>
      </c>
      <c r="O299">
        <v>0</v>
      </c>
      <c r="P299">
        <v>103</v>
      </c>
      <c r="Q299">
        <v>38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3">
      <c r="A300" t="s">
        <v>502</v>
      </c>
      <c r="B300" t="s">
        <v>59</v>
      </c>
      <c r="C300" t="s">
        <v>93</v>
      </c>
      <c r="D300">
        <v>80</v>
      </c>
      <c r="E300">
        <v>5</v>
      </c>
      <c r="F300">
        <v>26</v>
      </c>
      <c r="G300">
        <v>31</v>
      </c>
      <c r="H300">
        <v>-3</v>
      </c>
      <c r="I300">
        <v>54</v>
      </c>
      <c r="J300">
        <v>108</v>
      </c>
      <c r="K300">
        <v>1</v>
      </c>
      <c r="L300">
        <v>0</v>
      </c>
      <c r="M300">
        <v>0</v>
      </c>
      <c r="N300">
        <v>0</v>
      </c>
      <c r="O300">
        <v>1</v>
      </c>
      <c r="P300">
        <v>122</v>
      </c>
      <c r="Q300">
        <v>132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3">
      <c r="A301" t="s">
        <v>198</v>
      </c>
      <c r="B301" t="s">
        <v>41</v>
      </c>
      <c r="C301" t="s">
        <v>93</v>
      </c>
      <c r="D301">
        <v>68</v>
      </c>
      <c r="E301">
        <v>4</v>
      </c>
      <c r="F301">
        <v>27</v>
      </c>
      <c r="G301">
        <v>31</v>
      </c>
      <c r="H301">
        <v>5</v>
      </c>
      <c r="I301">
        <v>18</v>
      </c>
      <c r="J301">
        <v>88</v>
      </c>
      <c r="K301">
        <v>1</v>
      </c>
      <c r="L301">
        <v>0</v>
      </c>
      <c r="M301">
        <v>8</v>
      </c>
      <c r="N301">
        <v>0</v>
      </c>
      <c r="O301">
        <v>0</v>
      </c>
      <c r="P301">
        <v>63</v>
      </c>
      <c r="Q301">
        <v>94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 x14ac:dyDescent="0.3">
      <c r="A302" t="s">
        <v>226</v>
      </c>
      <c r="B302" t="s">
        <v>181</v>
      </c>
      <c r="C302" t="s">
        <v>93</v>
      </c>
      <c r="D302">
        <v>62</v>
      </c>
      <c r="E302">
        <v>11</v>
      </c>
      <c r="F302">
        <v>19</v>
      </c>
      <c r="G302">
        <v>30</v>
      </c>
      <c r="H302">
        <v>-19</v>
      </c>
      <c r="I302">
        <v>52</v>
      </c>
      <c r="J302">
        <v>178</v>
      </c>
      <c r="K302">
        <v>2</v>
      </c>
      <c r="L302">
        <v>3</v>
      </c>
      <c r="M302">
        <v>3</v>
      </c>
      <c r="N302">
        <v>0</v>
      </c>
      <c r="O302">
        <v>1</v>
      </c>
      <c r="P302">
        <v>69</v>
      </c>
      <c r="Q302">
        <v>92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3">
      <c r="A303" t="s">
        <v>224</v>
      </c>
      <c r="B303" t="s">
        <v>140</v>
      </c>
      <c r="C303" t="s">
        <v>42</v>
      </c>
      <c r="D303">
        <v>76</v>
      </c>
      <c r="E303">
        <v>9</v>
      </c>
      <c r="F303">
        <v>21</v>
      </c>
      <c r="G303">
        <v>30</v>
      </c>
      <c r="H303">
        <v>-7</v>
      </c>
      <c r="I303">
        <v>16</v>
      </c>
      <c r="J303">
        <v>95</v>
      </c>
      <c r="K303">
        <v>1</v>
      </c>
      <c r="L303">
        <v>0</v>
      </c>
      <c r="M303">
        <v>0</v>
      </c>
      <c r="N303">
        <v>0</v>
      </c>
      <c r="O303">
        <v>1</v>
      </c>
      <c r="P303">
        <v>34</v>
      </c>
      <c r="Q303">
        <v>33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3">
      <c r="A304" t="s">
        <v>308</v>
      </c>
      <c r="B304" t="s">
        <v>196</v>
      </c>
      <c r="C304" t="s">
        <v>29</v>
      </c>
      <c r="D304">
        <v>58</v>
      </c>
      <c r="E304">
        <v>12</v>
      </c>
      <c r="F304">
        <v>18</v>
      </c>
      <c r="G304">
        <v>30</v>
      </c>
      <c r="H304">
        <v>-17</v>
      </c>
      <c r="I304">
        <v>6</v>
      </c>
      <c r="J304">
        <v>112</v>
      </c>
      <c r="K304">
        <v>2</v>
      </c>
      <c r="L304">
        <v>2</v>
      </c>
      <c r="M304">
        <v>7</v>
      </c>
      <c r="N304">
        <v>0</v>
      </c>
      <c r="O304">
        <v>1</v>
      </c>
      <c r="P304">
        <v>23</v>
      </c>
      <c r="Q304">
        <v>16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3">
      <c r="A305" t="s">
        <v>676</v>
      </c>
      <c r="B305" t="s">
        <v>41</v>
      </c>
      <c r="C305" t="s">
        <v>29</v>
      </c>
      <c r="D305">
        <v>64</v>
      </c>
      <c r="E305">
        <v>11</v>
      </c>
      <c r="F305">
        <v>19</v>
      </c>
      <c r="G305">
        <v>30</v>
      </c>
      <c r="H305">
        <v>12</v>
      </c>
      <c r="I305">
        <v>12</v>
      </c>
      <c r="J305">
        <v>123</v>
      </c>
      <c r="K305">
        <v>4</v>
      </c>
      <c r="L305">
        <v>3</v>
      </c>
      <c r="M305">
        <v>5</v>
      </c>
      <c r="N305">
        <v>0</v>
      </c>
      <c r="O305">
        <v>0</v>
      </c>
      <c r="P305">
        <v>38</v>
      </c>
      <c r="Q305">
        <v>32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3">
      <c r="A306" t="s">
        <v>1018</v>
      </c>
      <c r="B306" t="s">
        <v>79</v>
      </c>
      <c r="C306" t="s">
        <v>42</v>
      </c>
      <c r="D306">
        <v>79</v>
      </c>
      <c r="E306">
        <v>15</v>
      </c>
      <c r="F306">
        <v>15</v>
      </c>
      <c r="G306">
        <v>30</v>
      </c>
      <c r="H306">
        <v>5</v>
      </c>
      <c r="I306">
        <v>26</v>
      </c>
      <c r="J306">
        <v>122</v>
      </c>
      <c r="K306">
        <v>2</v>
      </c>
      <c r="L306">
        <v>1</v>
      </c>
      <c r="M306">
        <v>1</v>
      </c>
      <c r="N306">
        <v>0</v>
      </c>
      <c r="O306">
        <v>0</v>
      </c>
      <c r="P306">
        <v>89</v>
      </c>
      <c r="Q306">
        <v>34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 x14ac:dyDescent="0.3">
      <c r="A307" t="s">
        <v>302</v>
      </c>
      <c r="B307" t="s">
        <v>71</v>
      </c>
      <c r="C307" t="s">
        <v>29</v>
      </c>
      <c r="D307">
        <v>79</v>
      </c>
      <c r="E307">
        <v>16</v>
      </c>
      <c r="F307">
        <v>14</v>
      </c>
      <c r="G307">
        <v>30</v>
      </c>
      <c r="H307">
        <v>-17</v>
      </c>
      <c r="I307">
        <v>22</v>
      </c>
      <c r="J307">
        <v>131</v>
      </c>
      <c r="K307">
        <v>2</v>
      </c>
      <c r="L307">
        <v>2</v>
      </c>
      <c r="M307">
        <v>3</v>
      </c>
      <c r="N307">
        <v>1</v>
      </c>
      <c r="O307">
        <v>1</v>
      </c>
      <c r="P307">
        <v>30</v>
      </c>
      <c r="Q307">
        <v>97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 x14ac:dyDescent="0.3">
      <c r="A308" t="s">
        <v>344</v>
      </c>
      <c r="B308" t="s">
        <v>87</v>
      </c>
      <c r="C308" t="s">
        <v>93</v>
      </c>
      <c r="D308">
        <v>67</v>
      </c>
      <c r="E308">
        <v>8</v>
      </c>
      <c r="F308">
        <v>22</v>
      </c>
      <c r="G308">
        <v>30</v>
      </c>
      <c r="H308">
        <v>10</v>
      </c>
      <c r="I308">
        <v>52</v>
      </c>
      <c r="J308">
        <v>137</v>
      </c>
      <c r="K308">
        <v>1</v>
      </c>
      <c r="L308">
        <v>1</v>
      </c>
      <c r="M308">
        <v>6</v>
      </c>
      <c r="N308">
        <v>0</v>
      </c>
      <c r="O308">
        <v>1</v>
      </c>
      <c r="P308">
        <v>117</v>
      </c>
      <c r="Q308">
        <v>98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 x14ac:dyDescent="0.3">
      <c r="A309" t="s">
        <v>337</v>
      </c>
      <c r="B309" t="s">
        <v>46</v>
      </c>
      <c r="C309" t="s">
        <v>29</v>
      </c>
      <c r="D309">
        <v>69</v>
      </c>
      <c r="E309">
        <v>11</v>
      </c>
      <c r="F309">
        <v>19</v>
      </c>
      <c r="G309">
        <v>30</v>
      </c>
      <c r="H309">
        <v>12</v>
      </c>
      <c r="I309">
        <v>16</v>
      </c>
      <c r="J309">
        <v>97</v>
      </c>
      <c r="K309">
        <v>0</v>
      </c>
      <c r="L309">
        <v>0</v>
      </c>
      <c r="M309">
        <v>0</v>
      </c>
      <c r="N309">
        <v>2</v>
      </c>
      <c r="O309">
        <v>1</v>
      </c>
      <c r="P309">
        <v>90</v>
      </c>
      <c r="Q309">
        <v>35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</row>
    <row r="310" spans="1:25" x14ac:dyDescent="0.3">
      <c r="A310" t="s">
        <v>303</v>
      </c>
      <c r="B310" t="s">
        <v>120</v>
      </c>
      <c r="C310" t="s">
        <v>42</v>
      </c>
      <c r="D310">
        <v>74</v>
      </c>
      <c r="E310">
        <v>18</v>
      </c>
      <c r="F310">
        <v>12</v>
      </c>
      <c r="G310">
        <v>30</v>
      </c>
      <c r="H310">
        <v>-23</v>
      </c>
      <c r="I310">
        <v>66</v>
      </c>
      <c r="J310">
        <v>172</v>
      </c>
      <c r="K310">
        <v>3</v>
      </c>
      <c r="L310">
        <v>1</v>
      </c>
      <c r="M310">
        <v>2</v>
      </c>
      <c r="N310">
        <v>1</v>
      </c>
      <c r="O310">
        <v>0</v>
      </c>
      <c r="P310">
        <v>164</v>
      </c>
      <c r="Q310">
        <v>36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 x14ac:dyDescent="0.3">
      <c r="A311" t="s">
        <v>423</v>
      </c>
      <c r="B311" t="s">
        <v>106</v>
      </c>
      <c r="C311" t="s">
        <v>93</v>
      </c>
      <c r="D311">
        <v>78</v>
      </c>
      <c r="E311">
        <v>6</v>
      </c>
      <c r="F311">
        <v>24</v>
      </c>
      <c r="G311">
        <v>30</v>
      </c>
      <c r="H311">
        <v>-2</v>
      </c>
      <c r="I311">
        <v>36</v>
      </c>
      <c r="J311">
        <v>128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100</v>
      </c>
      <c r="Q311">
        <v>143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 x14ac:dyDescent="0.3">
      <c r="A312" t="s">
        <v>609</v>
      </c>
      <c r="B312" t="s">
        <v>54</v>
      </c>
      <c r="C312" t="s">
        <v>33</v>
      </c>
      <c r="D312">
        <v>57</v>
      </c>
      <c r="E312">
        <v>12</v>
      </c>
      <c r="F312">
        <v>17</v>
      </c>
      <c r="G312">
        <v>29</v>
      </c>
      <c r="H312">
        <v>-8</v>
      </c>
      <c r="I312">
        <v>11</v>
      </c>
      <c r="J312">
        <v>81</v>
      </c>
      <c r="K312">
        <v>2</v>
      </c>
      <c r="L312">
        <v>4</v>
      </c>
      <c r="M312">
        <v>4</v>
      </c>
      <c r="N312">
        <v>0</v>
      </c>
      <c r="O312">
        <v>0</v>
      </c>
      <c r="P312">
        <v>24</v>
      </c>
      <c r="Q312">
        <v>12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 x14ac:dyDescent="0.3">
      <c r="A313" t="s">
        <v>400</v>
      </c>
      <c r="B313" t="s">
        <v>196</v>
      </c>
      <c r="C313" t="s">
        <v>42</v>
      </c>
      <c r="D313">
        <v>68</v>
      </c>
      <c r="E313">
        <v>15</v>
      </c>
      <c r="F313">
        <v>14</v>
      </c>
      <c r="G313">
        <v>29</v>
      </c>
      <c r="H313">
        <v>-10</v>
      </c>
      <c r="I313">
        <v>22</v>
      </c>
      <c r="J313">
        <v>116</v>
      </c>
      <c r="K313">
        <v>2</v>
      </c>
      <c r="L313">
        <v>1</v>
      </c>
      <c r="M313">
        <v>0</v>
      </c>
      <c r="N313">
        <v>0</v>
      </c>
      <c r="O313">
        <v>0</v>
      </c>
      <c r="P313">
        <v>36</v>
      </c>
      <c r="Q313">
        <v>16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 x14ac:dyDescent="0.3">
      <c r="A314" t="s">
        <v>407</v>
      </c>
      <c r="B314" t="s">
        <v>37</v>
      </c>
      <c r="C314" t="s">
        <v>93</v>
      </c>
      <c r="D314">
        <v>70</v>
      </c>
      <c r="E314">
        <v>5</v>
      </c>
      <c r="F314">
        <v>24</v>
      </c>
      <c r="G314">
        <v>29</v>
      </c>
      <c r="H314">
        <v>8</v>
      </c>
      <c r="I314">
        <v>47</v>
      </c>
      <c r="J314">
        <v>140</v>
      </c>
      <c r="K314">
        <v>1</v>
      </c>
      <c r="L314">
        <v>1</v>
      </c>
      <c r="M314">
        <v>7</v>
      </c>
      <c r="N314">
        <v>0</v>
      </c>
      <c r="O314">
        <v>2</v>
      </c>
      <c r="P314">
        <v>69</v>
      </c>
      <c r="Q314">
        <v>95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 x14ac:dyDescent="0.3">
      <c r="A315" t="s">
        <v>229</v>
      </c>
      <c r="B315" t="s">
        <v>79</v>
      </c>
      <c r="C315" t="s">
        <v>33</v>
      </c>
      <c r="D315">
        <v>75</v>
      </c>
      <c r="E315">
        <v>15</v>
      </c>
      <c r="F315">
        <v>14</v>
      </c>
      <c r="G315">
        <v>29</v>
      </c>
      <c r="H315">
        <v>-2</v>
      </c>
      <c r="I315">
        <v>28</v>
      </c>
      <c r="J315">
        <v>160</v>
      </c>
      <c r="K315">
        <v>2</v>
      </c>
      <c r="L315">
        <v>1</v>
      </c>
      <c r="M315">
        <v>4</v>
      </c>
      <c r="N315">
        <v>0</v>
      </c>
      <c r="O315">
        <v>0</v>
      </c>
      <c r="P315">
        <v>49</v>
      </c>
      <c r="Q315">
        <v>21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 x14ac:dyDescent="0.3">
      <c r="A316" t="s">
        <v>1019</v>
      </c>
      <c r="B316" t="s">
        <v>181</v>
      </c>
      <c r="C316" t="s">
        <v>29</v>
      </c>
      <c r="D316">
        <v>77</v>
      </c>
      <c r="E316">
        <v>13</v>
      </c>
      <c r="F316">
        <v>16</v>
      </c>
      <c r="G316">
        <v>29</v>
      </c>
      <c r="H316">
        <v>-8</v>
      </c>
      <c r="I316">
        <v>20</v>
      </c>
      <c r="J316">
        <v>114</v>
      </c>
      <c r="K316">
        <v>1</v>
      </c>
      <c r="L316">
        <v>2</v>
      </c>
      <c r="M316">
        <v>4</v>
      </c>
      <c r="N316">
        <v>0</v>
      </c>
      <c r="O316">
        <v>0</v>
      </c>
      <c r="P316">
        <v>167</v>
      </c>
      <c r="Q316">
        <v>36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 x14ac:dyDescent="0.3">
      <c r="A317" t="s">
        <v>431</v>
      </c>
      <c r="B317" t="s">
        <v>73</v>
      </c>
      <c r="C317" t="s">
        <v>33</v>
      </c>
      <c r="D317">
        <v>77</v>
      </c>
      <c r="E317">
        <v>16</v>
      </c>
      <c r="F317">
        <v>13</v>
      </c>
      <c r="G317">
        <v>29</v>
      </c>
      <c r="H317">
        <v>-9</v>
      </c>
      <c r="I317">
        <v>55</v>
      </c>
      <c r="J317">
        <v>148</v>
      </c>
      <c r="K317">
        <v>2</v>
      </c>
      <c r="L317">
        <v>0</v>
      </c>
      <c r="M317">
        <v>0</v>
      </c>
      <c r="N317">
        <v>2</v>
      </c>
      <c r="O317">
        <v>1</v>
      </c>
      <c r="P317">
        <v>105</v>
      </c>
      <c r="Q317">
        <v>24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 x14ac:dyDescent="0.3">
      <c r="A318" t="s">
        <v>588</v>
      </c>
      <c r="B318" t="s">
        <v>181</v>
      </c>
      <c r="C318" t="s">
        <v>29</v>
      </c>
      <c r="D318">
        <v>76</v>
      </c>
      <c r="E318">
        <v>14</v>
      </c>
      <c r="F318">
        <v>15</v>
      </c>
      <c r="G318">
        <v>29</v>
      </c>
      <c r="H318">
        <v>-10</v>
      </c>
      <c r="I318">
        <v>28</v>
      </c>
      <c r="J318">
        <v>87</v>
      </c>
      <c r="K318">
        <v>2</v>
      </c>
      <c r="L318">
        <v>2</v>
      </c>
      <c r="M318">
        <v>3</v>
      </c>
      <c r="N318">
        <v>0</v>
      </c>
      <c r="O318">
        <v>0</v>
      </c>
      <c r="P318">
        <v>72</v>
      </c>
      <c r="Q318">
        <v>53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 x14ac:dyDescent="0.3">
      <c r="A319" t="s">
        <v>1020</v>
      </c>
      <c r="B319" t="s">
        <v>44</v>
      </c>
      <c r="C319" t="s">
        <v>42</v>
      </c>
      <c r="D319">
        <v>79</v>
      </c>
      <c r="E319">
        <v>13</v>
      </c>
      <c r="F319">
        <v>16</v>
      </c>
      <c r="G319">
        <v>29</v>
      </c>
      <c r="H319">
        <v>3</v>
      </c>
      <c r="I319">
        <v>12</v>
      </c>
      <c r="J319">
        <v>132</v>
      </c>
      <c r="K319">
        <v>2</v>
      </c>
      <c r="L319">
        <v>3</v>
      </c>
      <c r="M319">
        <v>2</v>
      </c>
      <c r="N319">
        <v>1</v>
      </c>
      <c r="O319">
        <v>0</v>
      </c>
      <c r="P319">
        <v>110</v>
      </c>
      <c r="Q319">
        <v>22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 x14ac:dyDescent="0.3">
      <c r="A320" t="s">
        <v>709</v>
      </c>
      <c r="B320" t="s">
        <v>100</v>
      </c>
      <c r="C320" t="s">
        <v>93</v>
      </c>
      <c r="D320">
        <v>74</v>
      </c>
      <c r="E320">
        <v>3</v>
      </c>
      <c r="F320">
        <v>25</v>
      </c>
      <c r="G320">
        <v>28</v>
      </c>
      <c r="H320">
        <v>23</v>
      </c>
      <c r="I320">
        <v>48</v>
      </c>
      <c r="J320">
        <v>95</v>
      </c>
      <c r="K320">
        <v>0</v>
      </c>
      <c r="L320">
        <v>2</v>
      </c>
      <c r="M320">
        <v>7</v>
      </c>
      <c r="N320">
        <v>0</v>
      </c>
      <c r="O320">
        <v>1</v>
      </c>
      <c r="P320">
        <v>98</v>
      </c>
      <c r="Q320">
        <v>129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 x14ac:dyDescent="0.3">
      <c r="A321" t="s">
        <v>410</v>
      </c>
      <c r="B321" t="s">
        <v>71</v>
      </c>
      <c r="C321" t="s">
        <v>33</v>
      </c>
      <c r="D321">
        <v>78</v>
      </c>
      <c r="E321">
        <v>14</v>
      </c>
      <c r="F321">
        <v>14</v>
      </c>
      <c r="G321">
        <v>28</v>
      </c>
      <c r="H321">
        <v>-11</v>
      </c>
      <c r="I321">
        <v>20</v>
      </c>
      <c r="J321">
        <v>123</v>
      </c>
      <c r="K321">
        <v>1</v>
      </c>
      <c r="L321">
        <v>1</v>
      </c>
      <c r="M321">
        <v>2</v>
      </c>
      <c r="N321">
        <v>0</v>
      </c>
      <c r="O321">
        <v>0</v>
      </c>
      <c r="P321">
        <v>79</v>
      </c>
      <c r="Q321">
        <v>45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 x14ac:dyDescent="0.3">
      <c r="A322" t="s">
        <v>733</v>
      </c>
      <c r="B322" t="s">
        <v>35</v>
      </c>
      <c r="C322" t="s">
        <v>93</v>
      </c>
      <c r="D322">
        <v>68</v>
      </c>
      <c r="E322">
        <v>6</v>
      </c>
      <c r="F322">
        <v>22</v>
      </c>
      <c r="G322">
        <v>28</v>
      </c>
      <c r="H322">
        <v>14</v>
      </c>
      <c r="I322">
        <v>16</v>
      </c>
      <c r="J322">
        <v>87</v>
      </c>
      <c r="K322">
        <v>1</v>
      </c>
      <c r="L322">
        <v>1</v>
      </c>
      <c r="M322">
        <v>2</v>
      </c>
      <c r="N322">
        <v>0</v>
      </c>
      <c r="O322">
        <v>0</v>
      </c>
      <c r="P322">
        <v>97</v>
      </c>
      <c r="Q322">
        <v>67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 x14ac:dyDescent="0.3">
      <c r="A323" t="s">
        <v>1021</v>
      </c>
      <c r="B323" t="s">
        <v>63</v>
      </c>
      <c r="C323" t="s">
        <v>29</v>
      </c>
      <c r="D323">
        <v>64</v>
      </c>
      <c r="E323">
        <v>18</v>
      </c>
      <c r="F323">
        <v>10</v>
      </c>
      <c r="G323">
        <v>28</v>
      </c>
      <c r="H323">
        <v>16</v>
      </c>
      <c r="I323">
        <v>33</v>
      </c>
      <c r="J323">
        <v>193</v>
      </c>
      <c r="K323">
        <v>3</v>
      </c>
      <c r="L323">
        <v>0</v>
      </c>
      <c r="M323">
        <v>0</v>
      </c>
      <c r="N323">
        <v>0</v>
      </c>
      <c r="O323">
        <v>0</v>
      </c>
      <c r="P323">
        <v>82</v>
      </c>
      <c r="Q323">
        <v>28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</row>
    <row r="324" spans="1:25" x14ac:dyDescent="0.3">
      <c r="A324" t="s">
        <v>390</v>
      </c>
      <c r="B324" t="s">
        <v>44</v>
      </c>
      <c r="C324" t="s">
        <v>33</v>
      </c>
      <c r="D324">
        <v>77</v>
      </c>
      <c r="E324">
        <v>9</v>
      </c>
      <c r="F324">
        <v>19</v>
      </c>
      <c r="G324">
        <v>28</v>
      </c>
      <c r="H324">
        <v>-14</v>
      </c>
      <c r="I324">
        <v>16</v>
      </c>
      <c r="J324">
        <v>97</v>
      </c>
      <c r="K324">
        <v>2</v>
      </c>
      <c r="L324">
        <v>3</v>
      </c>
      <c r="M324">
        <v>5</v>
      </c>
      <c r="N324">
        <v>0</v>
      </c>
      <c r="O324">
        <v>0</v>
      </c>
      <c r="P324">
        <v>37</v>
      </c>
      <c r="Q324">
        <v>33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 x14ac:dyDescent="0.3">
      <c r="A325" t="s">
        <v>813</v>
      </c>
      <c r="B325" t="s">
        <v>82</v>
      </c>
      <c r="C325" t="s">
        <v>42</v>
      </c>
      <c r="D325">
        <v>76</v>
      </c>
      <c r="E325">
        <v>15</v>
      </c>
      <c r="F325">
        <v>13</v>
      </c>
      <c r="G325">
        <v>28</v>
      </c>
      <c r="H325">
        <v>-1</v>
      </c>
      <c r="I325">
        <v>34</v>
      </c>
      <c r="J325">
        <v>191</v>
      </c>
      <c r="K325">
        <v>2</v>
      </c>
      <c r="L325">
        <v>5</v>
      </c>
      <c r="M325">
        <v>4</v>
      </c>
      <c r="N325">
        <v>0</v>
      </c>
      <c r="O325">
        <v>0</v>
      </c>
      <c r="P325">
        <v>29</v>
      </c>
      <c r="Q325">
        <v>11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 x14ac:dyDescent="0.3">
      <c r="A326" t="s">
        <v>419</v>
      </c>
      <c r="B326" t="s">
        <v>120</v>
      </c>
      <c r="C326" t="s">
        <v>93</v>
      </c>
      <c r="D326">
        <v>72</v>
      </c>
      <c r="E326">
        <v>10</v>
      </c>
      <c r="F326">
        <v>18</v>
      </c>
      <c r="G326">
        <v>28</v>
      </c>
      <c r="H326">
        <v>-6</v>
      </c>
      <c r="I326">
        <v>32</v>
      </c>
      <c r="J326">
        <v>144</v>
      </c>
      <c r="K326">
        <v>2</v>
      </c>
      <c r="L326">
        <v>1</v>
      </c>
      <c r="M326">
        <v>4</v>
      </c>
      <c r="N326">
        <v>0</v>
      </c>
      <c r="O326">
        <v>1</v>
      </c>
      <c r="P326">
        <v>86</v>
      </c>
      <c r="Q326">
        <v>83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 x14ac:dyDescent="0.3">
      <c r="A327" t="s">
        <v>495</v>
      </c>
      <c r="B327" t="s">
        <v>95</v>
      </c>
      <c r="C327" t="s">
        <v>93</v>
      </c>
      <c r="D327">
        <v>75</v>
      </c>
      <c r="E327">
        <v>4</v>
      </c>
      <c r="F327">
        <v>24</v>
      </c>
      <c r="G327">
        <v>28</v>
      </c>
      <c r="H327">
        <v>18</v>
      </c>
      <c r="I327">
        <v>32</v>
      </c>
      <c r="J327">
        <v>105</v>
      </c>
      <c r="K327">
        <v>0</v>
      </c>
      <c r="L327">
        <v>0</v>
      </c>
      <c r="M327">
        <v>0</v>
      </c>
      <c r="N327">
        <v>0</v>
      </c>
      <c r="O327">
        <v>2</v>
      </c>
      <c r="P327">
        <v>96</v>
      </c>
      <c r="Q327">
        <v>124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 x14ac:dyDescent="0.3">
      <c r="A328" t="s">
        <v>163</v>
      </c>
      <c r="B328" t="s">
        <v>120</v>
      </c>
      <c r="C328" t="s">
        <v>29</v>
      </c>
      <c r="D328">
        <v>70</v>
      </c>
      <c r="E328">
        <v>11</v>
      </c>
      <c r="F328">
        <v>17</v>
      </c>
      <c r="G328">
        <v>28</v>
      </c>
      <c r="H328">
        <v>-12</v>
      </c>
      <c r="I328">
        <v>24</v>
      </c>
      <c r="J328">
        <v>137</v>
      </c>
      <c r="K328">
        <v>2</v>
      </c>
      <c r="L328">
        <v>3</v>
      </c>
      <c r="M328">
        <v>6</v>
      </c>
      <c r="N328">
        <v>0</v>
      </c>
      <c r="O328">
        <v>0</v>
      </c>
      <c r="P328">
        <v>69</v>
      </c>
      <c r="Q328">
        <v>22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 x14ac:dyDescent="0.3">
      <c r="A329" t="s">
        <v>346</v>
      </c>
      <c r="B329" t="s">
        <v>140</v>
      </c>
      <c r="C329" t="s">
        <v>29</v>
      </c>
      <c r="D329">
        <v>68</v>
      </c>
      <c r="E329">
        <v>13</v>
      </c>
      <c r="F329">
        <v>15</v>
      </c>
      <c r="G329">
        <v>28</v>
      </c>
      <c r="H329">
        <v>-11</v>
      </c>
      <c r="I329">
        <v>29</v>
      </c>
      <c r="J329">
        <v>140</v>
      </c>
      <c r="K329">
        <v>2</v>
      </c>
      <c r="L329">
        <v>1</v>
      </c>
      <c r="M329">
        <v>2</v>
      </c>
      <c r="N329">
        <v>0</v>
      </c>
      <c r="O329">
        <v>0</v>
      </c>
      <c r="P329">
        <v>64</v>
      </c>
      <c r="Q329">
        <v>17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 x14ac:dyDescent="0.3">
      <c r="A330" t="s">
        <v>396</v>
      </c>
      <c r="B330" t="s">
        <v>61</v>
      </c>
      <c r="C330" t="s">
        <v>29</v>
      </c>
      <c r="D330">
        <v>75</v>
      </c>
      <c r="E330">
        <v>15</v>
      </c>
      <c r="F330">
        <v>13</v>
      </c>
      <c r="G330">
        <v>28</v>
      </c>
      <c r="H330">
        <v>2</v>
      </c>
      <c r="I330">
        <v>44</v>
      </c>
      <c r="J330">
        <v>90</v>
      </c>
      <c r="K330">
        <v>2</v>
      </c>
      <c r="L330">
        <v>0</v>
      </c>
      <c r="M330">
        <v>0</v>
      </c>
      <c r="N330">
        <v>1</v>
      </c>
      <c r="O330">
        <v>1</v>
      </c>
      <c r="P330">
        <v>78</v>
      </c>
      <c r="Q330">
        <v>42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</row>
    <row r="331" spans="1:25" x14ac:dyDescent="0.3">
      <c r="A331" t="s">
        <v>264</v>
      </c>
      <c r="B331" t="s">
        <v>132</v>
      </c>
      <c r="C331" t="s">
        <v>93</v>
      </c>
      <c r="D331">
        <v>50</v>
      </c>
      <c r="E331">
        <v>6</v>
      </c>
      <c r="F331">
        <v>22</v>
      </c>
      <c r="G331">
        <v>28</v>
      </c>
      <c r="H331">
        <v>5</v>
      </c>
      <c r="I331">
        <v>14</v>
      </c>
      <c r="J331">
        <v>95</v>
      </c>
      <c r="K331">
        <v>1</v>
      </c>
      <c r="L331">
        <v>0</v>
      </c>
      <c r="M331">
        <v>5</v>
      </c>
      <c r="N331">
        <v>0</v>
      </c>
      <c r="O331">
        <v>1</v>
      </c>
      <c r="P331">
        <v>38</v>
      </c>
      <c r="Q331">
        <v>91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</row>
    <row r="332" spans="1:25" x14ac:dyDescent="0.3">
      <c r="A332" t="s">
        <v>348</v>
      </c>
      <c r="B332" t="s">
        <v>87</v>
      </c>
      <c r="C332" t="s">
        <v>93</v>
      </c>
      <c r="D332">
        <v>73</v>
      </c>
      <c r="E332">
        <v>3</v>
      </c>
      <c r="F332">
        <v>25</v>
      </c>
      <c r="G332">
        <v>28</v>
      </c>
      <c r="H332">
        <v>28</v>
      </c>
      <c r="I332">
        <v>30</v>
      </c>
      <c r="J332">
        <v>84</v>
      </c>
      <c r="K332">
        <v>0</v>
      </c>
      <c r="L332">
        <v>0</v>
      </c>
      <c r="M332">
        <v>4</v>
      </c>
      <c r="N332">
        <v>0</v>
      </c>
      <c r="O332">
        <v>0</v>
      </c>
      <c r="P332">
        <v>60</v>
      </c>
      <c r="Q332">
        <v>94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 x14ac:dyDescent="0.3">
      <c r="A333" t="s">
        <v>220</v>
      </c>
      <c r="B333" t="s">
        <v>57</v>
      </c>
      <c r="C333" t="s">
        <v>42</v>
      </c>
      <c r="D333">
        <v>64</v>
      </c>
      <c r="E333">
        <v>10</v>
      </c>
      <c r="F333">
        <v>17</v>
      </c>
      <c r="G333">
        <v>27</v>
      </c>
      <c r="H333">
        <v>-4</v>
      </c>
      <c r="I333">
        <v>28</v>
      </c>
      <c r="J333">
        <v>158</v>
      </c>
      <c r="K333">
        <v>1</v>
      </c>
      <c r="L333">
        <v>3</v>
      </c>
      <c r="M333">
        <v>3</v>
      </c>
      <c r="N333">
        <v>0</v>
      </c>
      <c r="O333">
        <v>0</v>
      </c>
      <c r="P333">
        <v>106</v>
      </c>
      <c r="Q333">
        <v>22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</row>
    <row r="334" spans="1:25" x14ac:dyDescent="0.3">
      <c r="A334" t="s">
        <v>377</v>
      </c>
      <c r="B334" t="s">
        <v>75</v>
      </c>
      <c r="C334" t="s">
        <v>93</v>
      </c>
      <c r="D334">
        <v>77</v>
      </c>
      <c r="E334">
        <v>3</v>
      </c>
      <c r="F334">
        <v>24</v>
      </c>
      <c r="G334">
        <v>27</v>
      </c>
      <c r="H334">
        <v>7</v>
      </c>
      <c r="I334">
        <v>22</v>
      </c>
      <c r="J334">
        <v>76</v>
      </c>
      <c r="K334">
        <v>0</v>
      </c>
      <c r="L334">
        <v>1</v>
      </c>
      <c r="M334">
        <v>6</v>
      </c>
      <c r="N334">
        <v>0</v>
      </c>
      <c r="O334">
        <v>0</v>
      </c>
      <c r="P334">
        <v>53</v>
      </c>
      <c r="Q334">
        <v>73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 x14ac:dyDescent="0.3">
      <c r="A335" t="s">
        <v>458</v>
      </c>
      <c r="B335" t="s">
        <v>35</v>
      </c>
      <c r="C335" t="s">
        <v>93</v>
      </c>
      <c r="D335">
        <v>80</v>
      </c>
      <c r="E335">
        <v>2</v>
      </c>
      <c r="F335">
        <v>25</v>
      </c>
      <c r="G335">
        <v>27</v>
      </c>
      <c r="H335">
        <v>21</v>
      </c>
      <c r="I335">
        <v>32</v>
      </c>
      <c r="J335">
        <v>66</v>
      </c>
      <c r="K335">
        <v>0</v>
      </c>
      <c r="L335">
        <v>0</v>
      </c>
      <c r="M335">
        <v>2</v>
      </c>
      <c r="N335">
        <v>0</v>
      </c>
      <c r="O335">
        <v>1</v>
      </c>
      <c r="P335">
        <v>49</v>
      </c>
      <c r="Q335">
        <v>104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</row>
    <row r="336" spans="1:25" x14ac:dyDescent="0.3">
      <c r="A336" t="s">
        <v>403</v>
      </c>
      <c r="B336" t="s">
        <v>46</v>
      </c>
      <c r="C336" t="s">
        <v>29</v>
      </c>
      <c r="D336">
        <v>73</v>
      </c>
      <c r="E336">
        <v>12</v>
      </c>
      <c r="F336">
        <v>15</v>
      </c>
      <c r="G336">
        <v>27</v>
      </c>
      <c r="H336">
        <v>3</v>
      </c>
      <c r="I336">
        <v>13</v>
      </c>
      <c r="J336">
        <v>132</v>
      </c>
      <c r="K336">
        <v>1</v>
      </c>
      <c r="L336">
        <v>2</v>
      </c>
      <c r="M336">
        <v>1</v>
      </c>
      <c r="N336">
        <v>0</v>
      </c>
      <c r="O336">
        <v>0</v>
      </c>
      <c r="P336">
        <v>61</v>
      </c>
      <c r="Q336">
        <v>35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 x14ac:dyDescent="0.3">
      <c r="A337" t="s">
        <v>801</v>
      </c>
      <c r="B337" t="s">
        <v>48</v>
      </c>
      <c r="C337" t="s">
        <v>93</v>
      </c>
      <c r="D337">
        <v>74</v>
      </c>
      <c r="E337">
        <v>7</v>
      </c>
      <c r="F337">
        <v>20</v>
      </c>
      <c r="G337">
        <v>27</v>
      </c>
      <c r="H337">
        <v>23</v>
      </c>
      <c r="I337">
        <v>14</v>
      </c>
      <c r="J337">
        <v>134</v>
      </c>
      <c r="K337">
        <v>1</v>
      </c>
      <c r="L337">
        <v>1</v>
      </c>
      <c r="M337">
        <v>3</v>
      </c>
      <c r="N337">
        <v>0</v>
      </c>
      <c r="O337">
        <v>0</v>
      </c>
      <c r="P337">
        <v>38</v>
      </c>
      <c r="Q337">
        <v>76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</row>
    <row r="338" spans="1:25" x14ac:dyDescent="0.3">
      <c r="A338" t="s">
        <v>343</v>
      </c>
      <c r="B338" t="s">
        <v>132</v>
      </c>
      <c r="C338" t="s">
        <v>29</v>
      </c>
      <c r="D338">
        <v>67</v>
      </c>
      <c r="E338">
        <v>10</v>
      </c>
      <c r="F338">
        <v>17</v>
      </c>
      <c r="G338">
        <v>27</v>
      </c>
      <c r="H338">
        <v>-6</v>
      </c>
      <c r="I338">
        <v>38</v>
      </c>
      <c r="J338">
        <v>103</v>
      </c>
      <c r="K338">
        <v>1</v>
      </c>
      <c r="L338">
        <v>0</v>
      </c>
      <c r="M338">
        <v>1</v>
      </c>
      <c r="N338">
        <v>1</v>
      </c>
      <c r="O338">
        <v>1</v>
      </c>
      <c r="P338">
        <v>137</v>
      </c>
      <c r="Q338">
        <v>45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</row>
    <row r="339" spans="1:25" x14ac:dyDescent="0.3">
      <c r="A339" t="s">
        <v>478</v>
      </c>
      <c r="B339" t="s">
        <v>122</v>
      </c>
      <c r="C339" t="s">
        <v>33</v>
      </c>
      <c r="D339">
        <v>79</v>
      </c>
      <c r="E339">
        <v>12</v>
      </c>
      <c r="F339">
        <v>15</v>
      </c>
      <c r="G339">
        <v>27</v>
      </c>
      <c r="H339">
        <v>-4</v>
      </c>
      <c r="I339">
        <v>8</v>
      </c>
      <c r="J339">
        <v>81</v>
      </c>
      <c r="K339">
        <v>2</v>
      </c>
      <c r="L339">
        <v>0</v>
      </c>
      <c r="M339">
        <v>0</v>
      </c>
      <c r="N339">
        <v>2</v>
      </c>
      <c r="O339">
        <v>1</v>
      </c>
      <c r="P339">
        <v>37</v>
      </c>
      <c r="Q339">
        <v>51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 x14ac:dyDescent="0.3">
      <c r="A340" t="s">
        <v>679</v>
      </c>
      <c r="B340" t="s">
        <v>41</v>
      </c>
      <c r="C340" t="s">
        <v>29</v>
      </c>
      <c r="D340">
        <v>77</v>
      </c>
      <c r="E340">
        <v>11</v>
      </c>
      <c r="F340">
        <v>16</v>
      </c>
      <c r="G340">
        <v>27</v>
      </c>
      <c r="H340">
        <v>10</v>
      </c>
      <c r="I340">
        <v>34</v>
      </c>
      <c r="J340">
        <v>128</v>
      </c>
      <c r="K340">
        <v>2</v>
      </c>
      <c r="L340">
        <v>0</v>
      </c>
      <c r="M340">
        <v>0</v>
      </c>
      <c r="N340">
        <v>1</v>
      </c>
      <c r="O340">
        <v>2</v>
      </c>
      <c r="P340">
        <v>95</v>
      </c>
      <c r="Q340">
        <v>52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 x14ac:dyDescent="0.3">
      <c r="A341" t="s">
        <v>437</v>
      </c>
      <c r="B341" t="s">
        <v>106</v>
      </c>
      <c r="C341" t="s">
        <v>93</v>
      </c>
      <c r="D341">
        <v>78</v>
      </c>
      <c r="E341">
        <v>4</v>
      </c>
      <c r="F341">
        <v>23</v>
      </c>
      <c r="G341">
        <v>27</v>
      </c>
      <c r="H341">
        <v>-6</v>
      </c>
      <c r="I341">
        <v>20</v>
      </c>
      <c r="J341">
        <v>89</v>
      </c>
      <c r="K341">
        <v>0</v>
      </c>
      <c r="L341">
        <v>1</v>
      </c>
      <c r="M341">
        <v>4</v>
      </c>
      <c r="N341">
        <v>0</v>
      </c>
      <c r="O341">
        <v>1</v>
      </c>
      <c r="P341">
        <v>74</v>
      </c>
      <c r="Q341">
        <v>86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</row>
    <row r="342" spans="1:25" x14ac:dyDescent="0.3">
      <c r="A342" t="s">
        <v>1022</v>
      </c>
      <c r="B342" t="s">
        <v>122</v>
      </c>
      <c r="C342" t="s">
        <v>29</v>
      </c>
      <c r="D342">
        <v>70</v>
      </c>
      <c r="E342">
        <v>11</v>
      </c>
      <c r="F342">
        <v>16</v>
      </c>
      <c r="G342">
        <v>27</v>
      </c>
      <c r="H342">
        <v>5</v>
      </c>
      <c r="I342">
        <v>18</v>
      </c>
      <c r="J342">
        <v>88</v>
      </c>
      <c r="K342">
        <v>1</v>
      </c>
      <c r="L342">
        <v>2</v>
      </c>
      <c r="M342">
        <v>6</v>
      </c>
      <c r="N342">
        <v>0</v>
      </c>
      <c r="O342">
        <v>1</v>
      </c>
      <c r="P342">
        <v>54</v>
      </c>
      <c r="Q342">
        <v>35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 x14ac:dyDescent="0.3">
      <c r="A343" t="s">
        <v>1023</v>
      </c>
      <c r="B343" t="s">
        <v>132</v>
      </c>
      <c r="C343" t="s">
        <v>33</v>
      </c>
      <c r="D343">
        <v>59</v>
      </c>
      <c r="E343">
        <v>14</v>
      </c>
      <c r="F343">
        <v>13</v>
      </c>
      <c r="G343">
        <v>27</v>
      </c>
      <c r="H343">
        <v>5</v>
      </c>
      <c r="I343">
        <v>16</v>
      </c>
      <c r="J343">
        <v>93</v>
      </c>
      <c r="K343">
        <v>2</v>
      </c>
      <c r="L343">
        <v>1</v>
      </c>
      <c r="M343">
        <v>1</v>
      </c>
      <c r="N343">
        <v>0</v>
      </c>
      <c r="O343">
        <v>0</v>
      </c>
      <c r="P343">
        <v>72</v>
      </c>
      <c r="Q343">
        <v>21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 x14ac:dyDescent="0.3">
      <c r="A344" t="s">
        <v>271</v>
      </c>
      <c r="B344" t="s">
        <v>100</v>
      </c>
      <c r="C344" t="s">
        <v>33</v>
      </c>
      <c r="D344">
        <v>75</v>
      </c>
      <c r="E344">
        <v>13</v>
      </c>
      <c r="F344">
        <v>14</v>
      </c>
      <c r="G344">
        <v>27</v>
      </c>
      <c r="H344">
        <v>-6</v>
      </c>
      <c r="I344">
        <v>14</v>
      </c>
      <c r="J344">
        <v>153</v>
      </c>
      <c r="K344">
        <v>3</v>
      </c>
      <c r="L344">
        <v>3</v>
      </c>
      <c r="M344">
        <v>6</v>
      </c>
      <c r="N344">
        <v>0</v>
      </c>
      <c r="O344">
        <v>0</v>
      </c>
      <c r="P344">
        <v>181</v>
      </c>
      <c r="Q344">
        <v>43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 x14ac:dyDescent="0.3">
      <c r="A345" t="s">
        <v>314</v>
      </c>
      <c r="B345" t="s">
        <v>84</v>
      </c>
      <c r="C345" t="s">
        <v>42</v>
      </c>
      <c r="D345">
        <v>74</v>
      </c>
      <c r="E345">
        <v>11</v>
      </c>
      <c r="F345">
        <v>16</v>
      </c>
      <c r="G345">
        <v>27</v>
      </c>
      <c r="H345">
        <v>-18</v>
      </c>
      <c r="I345">
        <v>8</v>
      </c>
      <c r="J345">
        <v>153</v>
      </c>
      <c r="K345">
        <v>1</v>
      </c>
      <c r="L345">
        <v>3</v>
      </c>
      <c r="M345">
        <v>3</v>
      </c>
      <c r="N345">
        <v>0</v>
      </c>
      <c r="O345">
        <v>0</v>
      </c>
      <c r="P345">
        <v>52</v>
      </c>
      <c r="Q345">
        <v>33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 x14ac:dyDescent="0.3">
      <c r="A346" t="s">
        <v>570</v>
      </c>
      <c r="B346" t="s">
        <v>196</v>
      </c>
      <c r="C346" t="s">
        <v>29</v>
      </c>
      <c r="D346">
        <v>75</v>
      </c>
      <c r="E346">
        <v>9</v>
      </c>
      <c r="F346">
        <v>18</v>
      </c>
      <c r="G346">
        <v>27</v>
      </c>
      <c r="H346">
        <v>-7</v>
      </c>
      <c r="I346">
        <v>9</v>
      </c>
      <c r="J346">
        <v>126</v>
      </c>
      <c r="K346">
        <v>1</v>
      </c>
      <c r="L346">
        <v>1</v>
      </c>
      <c r="M346">
        <v>1</v>
      </c>
      <c r="N346">
        <v>2</v>
      </c>
      <c r="O346">
        <v>0</v>
      </c>
      <c r="P346">
        <v>28</v>
      </c>
      <c r="Q346">
        <v>13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 x14ac:dyDescent="0.3">
      <c r="A347" t="s">
        <v>442</v>
      </c>
      <c r="B347" t="s">
        <v>59</v>
      </c>
      <c r="C347" t="s">
        <v>93</v>
      </c>
      <c r="D347">
        <v>69</v>
      </c>
      <c r="E347">
        <v>6</v>
      </c>
      <c r="F347">
        <v>20</v>
      </c>
      <c r="G347">
        <v>26</v>
      </c>
      <c r="H347">
        <v>-1</v>
      </c>
      <c r="I347">
        <v>24</v>
      </c>
      <c r="J347">
        <v>95</v>
      </c>
      <c r="K347">
        <v>1</v>
      </c>
      <c r="L347">
        <v>0</v>
      </c>
      <c r="M347">
        <v>5</v>
      </c>
      <c r="N347">
        <v>0</v>
      </c>
      <c r="O347">
        <v>1</v>
      </c>
      <c r="P347">
        <v>43</v>
      </c>
      <c r="Q347">
        <v>74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 x14ac:dyDescent="0.3">
      <c r="A348" t="s">
        <v>282</v>
      </c>
      <c r="B348" t="s">
        <v>32</v>
      </c>
      <c r="C348" t="s">
        <v>29</v>
      </c>
      <c r="D348">
        <v>69</v>
      </c>
      <c r="E348">
        <v>10</v>
      </c>
      <c r="F348">
        <v>16</v>
      </c>
      <c r="G348">
        <v>26</v>
      </c>
      <c r="H348">
        <v>2</v>
      </c>
      <c r="I348">
        <v>14</v>
      </c>
      <c r="J348">
        <v>139</v>
      </c>
      <c r="K348">
        <v>2</v>
      </c>
      <c r="L348">
        <v>1</v>
      </c>
      <c r="M348">
        <v>1</v>
      </c>
      <c r="N348">
        <v>0</v>
      </c>
      <c r="O348">
        <v>0</v>
      </c>
      <c r="P348">
        <v>23</v>
      </c>
      <c r="Q348">
        <v>29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</row>
    <row r="349" spans="1:25" x14ac:dyDescent="0.3">
      <c r="A349" t="s">
        <v>329</v>
      </c>
      <c r="B349" t="s">
        <v>132</v>
      </c>
      <c r="C349" t="s">
        <v>42</v>
      </c>
      <c r="D349">
        <v>74</v>
      </c>
      <c r="E349">
        <v>13</v>
      </c>
      <c r="F349">
        <v>13</v>
      </c>
      <c r="G349">
        <v>26</v>
      </c>
      <c r="H349">
        <v>-3</v>
      </c>
      <c r="I349">
        <v>12</v>
      </c>
      <c r="J349">
        <v>144</v>
      </c>
      <c r="K349">
        <v>1</v>
      </c>
      <c r="L349">
        <v>2</v>
      </c>
      <c r="M349">
        <v>2</v>
      </c>
      <c r="N349">
        <v>0</v>
      </c>
      <c r="O349">
        <v>0</v>
      </c>
      <c r="P349">
        <v>111</v>
      </c>
      <c r="Q349">
        <v>17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</row>
    <row r="350" spans="1:25" x14ac:dyDescent="0.3">
      <c r="A350" t="s">
        <v>193</v>
      </c>
      <c r="B350" t="s">
        <v>122</v>
      </c>
      <c r="C350" t="s">
        <v>33</v>
      </c>
      <c r="D350">
        <v>62</v>
      </c>
      <c r="E350">
        <v>11</v>
      </c>
      <c r="F350">
        <v>15</v>
      </c>
      <c r="G350">
        <v>26</v>
      </c>
      <c r="H350">
        <v>-15</v>
      </c>
      <c r="I350">
        <v>50</v>
      </c>
      <c r="J350">
        <v>81</v>
      </c>
      <c r="K350">
        <v>1</v>
      </c>
      <c r="L350">
        <v>0</v>
      </c>
      <c r="M350">
        <v>2</v>
      </c>
      <c r="N350">
        <v>0</v>
      </c>
      <c r="O350">
        <v>0</v>
      </c>
      <c r="P350">
        <v>134</v>
      </c>
      <c r="Q350">
        <v>26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 x14ac:dyDescent="0.3">
      <c r="A351" t="s">
        <v>280</v>
      </c>
      <c r="B351" t="s">
        <v>95</v>
      </c>
      <c r="C351" t="s">
        <v>42</v>
      </c>
      <c r="D351">
        <v>72</v>
      </c>
      <c r="E351">
        <v>14</v>
      </c>
      <c r="F351">
        <v>12</v>
      </c>
      <c r="G351">
        <v>26</v>
      </c>
      <c r="H351">
        <v>-8</v>
      </c>
      <c r="I351">
        <v>66</v>
      </c>
      <c r="J351">
        <v>159</v>
      </c>
      <c r="K351">
        <v>2</v>
      </c>
      <c r="L351">
        <v>6</v>
      </c>
      <c r="M351">
        <v>3</v>
      </c>
      <c r="N351">
        <v>0</v>
      </c>
      <c r="O351">
        <v>0</v>
      </c>
      <c r="P351">
        <v>107</v>
      </c>
      <c r="Q351">
        <v>19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</row>
    <row r="352" spans="1:25" x14ac:dyDescent="0.3">
      <c r="A352" t="s">
        <v>327</v>
      </c>
      <c r="B352" t="s">
        <v>32</v>
      </c>
      <c r="C352" t="s">
        <v>42</v>
      </c>
      <c r="D352">
        <v>66</v>
      </c>
      <c r="E352">
        <v>11</v>
      </c>
      <c r="F352">
        <v>15</v>
      </c>
      <c r="G352">
        <v>26</v>
      </c>
      <c r="H352">
        <v>7</v>
      </c>
      <c r="I352">
        <v>14</v>
      </c>
      <c r="J352">
        <v>104</v>
      </c>
      <c r="K352">
        <v>3</v>
      </c>
      <c r="L352">
        <v>1</v>
      </c>
      <c r="M352">
        <v>3</v>
      </c>
      <c r="N352">
        <v>0</v>
      </c>
      <c r="O352">
        <v>0</v>
      </c>
      <c r="P352">
        <v>15</v>
      </c>
      <c r="Q352">
        <v>17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</row>
    <row r="353" spans="1:25" x14ac:dyDescent="0.3">
      <c r="A353" t="s">
        <v>460</v>
      </c>
      <c r="B353" t="s">
        <v>100</v>
      </c>
      <c r="C353" t="s">
        <v>42</v>
      </c>
      <c r="D353">
        <v>79</v>
      </c>
      <c r="E353">
        <v>8</v>
      </c>
      <c r="F353">
        <v>18</v>
      </c>
      <c r="G353">
        <v>26</v>
      </c>
      <c r="H353">
        <v>2</v>
      </c>
      <c r="I353">
        <v>30</v>
      </c>
      <c r="J353">
        <v>92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172</v>
      </c>
      <c r="Q353">
        <v>47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</row>
    <row r="354" spans="1:25" x14ac:dyDescent="0.3">
      <c r="A354" t="s">
        <v>383</v>
      </c>
      <c r="B354" t="s">
        <v>65</v>
      </c>
      <c r="C354" t="s">
        <v>93</v>
      </c>
      <c r="D354">
        <v>78</v>
      </c>
      <c r="E354">
        <v>5</v>
      </c>
      <c r="F354">
        <v>21</v>
      </c>
      <c r="G354">
        <v>26</v>
      </c>
      <c r="H354">
        <v>6</v>
      </c>
      <c r="I354">
        <v>14</v>
      </c>
      <c r="J354">
        <v>132</v>
      </c>
      <c r="K354">
        <v>1</v>
      </c>
      <c r="L354">
        <v>0</v>
      </c>
      <c r="M354">
        <v>3</v>
      </c>
      <c r="N354">
        <v>1</v>
      </c>
      <c r="O354">
        <v>2</v>
      </c>
      <c r="P354">
        <v>125</v>
      </c>
      <c r="Q354">
        <v>156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25" x14ac:dyDescent="0.3">
      <c r="A355" t="s">
        <v>338</v>
      </c>
      <c r="B355" t="s">
        <v>63</v>
      </c>
      <c r="C355" t="s">
        <v>93</v>
      </c>
      <c r="D355">
        <v>75</v>
      </c>
      <c r="E355">
        <v>6</v>
      </c>
      <c r="F355">
        <v>20</v>
      </c>
      <c r="G355">
        <v>26</v>
      </c>
      <c r="H355">
        <v>11</v>
      </c>
      <c r="I355">
        <v>32</v>
      </c>
      <c r="J355">
        <v>133</v>
      </c>
      <c r="K355">
        <v>1</v>
      </c>
      <c r="L355">
        <v>1</v>
      </c>
      <c r="M355">
        <v>2</v>
      </c>
      <c r="N355">
        <v>0</v>
      </c>
      <c r="O355">
        <v>1</v>
      </c>
      <c r="P355">
        <v>42</v>
      </c>
      <c r="Q355">
        <v>107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</row>
    <row r="356" spans="1:25" x14ac:dyDescent="0.3">
      <c r="A356" t="s">
        <v>366</v>
      </c>
      <c r="B356" t="s">
        <v>28</v>
      </c>
      <c r="C356" t="s">
        <v>33</v>
      </c>
      <c r="D356">
        <v>81</v>
      </c>
      <c r="E356">
        <v>11</v>
      </c>
      <c r="F356">
        <v>15</v>
      </c>
      <c r="G356">
        <v>26</v>
      </c>
      <c r="H356">
        <v>-4</v>
      </c>
      <c r="I356">
        <v>26</v>
      </c>
      <c r="J356">
        <v>133</v>
      </c>
      <c r="K356">
        <v>2</v>
      </c>
      <c r="L356">
        <v>1</v>
      </c>
      <c r="M356">
        <v>1</v>
      </c>
      <c r="N356">
        <v>0</v>
      </c>
      <c r="O356">
        <v>0</v>
      </c>
      <c r="P356">
        <v>123</v>
      </c>
      <c r="Q356">
        <v>16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</row>
    <row r="357" spans="1:25" x14ac:dyDescent="0.3">
      <c r="A357" t="s">
        <v>384</v>
      </c>
      <c r="B357" t="s">
        <v>32</v>
      </c>
      <c r="C357" t="s">
        <v>33</v>
      </c>
      <c r="D357">
        <v>71</v>
      </c>
      <c r="E357">
        <v>11</v>
      </c>
      <c r="F357">
        <v>15</v>
      </c>
      <c r="G357">
        <v>26</v>
      </c>
      <c r="H357">
        <v>11</v>
      </c>
      <c r="I357">
        <v>75</v>
      </c>
      <c r="J357">
        <v>112</v>
      </c>
      <c r="K357">
        <v>3</v>
      </c>
      <c r="L357">
        <v>0</v>
      </c>
      <c r="M357">
        <v>0</v>
      </c>
      <c r="N357">
        <v>1</v>
      </c>
      <c r="O357">
        <v>2</v>
      </c>
      <c r="P357">
        <v>121</v>
      </c>
      <c r="Q357">
        <v>49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</row>
    <row r="358" spans="1:25" x14ac:dyDescent="0.3">
      <c r="A358" t="s">
        <v>233</v>
      </c>
      <c r="B358" t="s">
        <v>84</v>
      </c>
      <c r="C358" t="s">
        <v>33</v>
      </c>
      <c r="D358">
        <v>49</v>
      </c>
      <c r="E358">
        <v>14</v>
      </c>
      <c r="F358">
        <v>12</v>
      </c>
      <c r="G358">
        <v>26</v>
      </c>
      <c r="H358">
        <v>-17</v>
      </c>
      <c r="I358">
        <v>29</v>
      </c>
      <c r="J358">
        <v>102</v>
      </c>
      <c r="K358">
        <v>2</v>
      </c>
      <c r="L358">
        <v>4</v>
      </c>
      <c r="M358">
        <v>2</v>
      </c>
      <c r="N358">
        <v>0</v>
      </c>
      <c r="O358">
        <v>0</v>
      </c>
      <c r="P358">
        <v>69</v>
      </c>
      <c r="Q358">
        <v>15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</row>
    <row r="359" spans="1:25" x14ac:dyDescent="0.3">
      <c r="A359" t="s">
        <v>376</v>
      </c>
      <c r="B359" t="s">
        <v>39</v>
      </c>
      <c r="C359" t="s">
        <v>33</v>
      </c>
      <c r="D359">
        <v>66</v>
      </c>
      <c r="E359">
        <v>9</v>
      </c>
      <c r="F359">
        <v>17</v>
      </c>
      <c r="G359">
        <v>26</v>
      </c>
      <c r="H359">
        <v>-7</v>
      </c>
      <c r="I359">
        <v>6</v>
      </c>
      <c r="J359">
        <v>105</v>
      </c>
      <c r="K359">
        <v>2</v>
      </c>
      <c r="L359">
        <v>1</v>
      </c>
      <c r="M359">
        <v>3</v>
      </c>
      <c r="N359">
        <v>0</v>
      </c>
      <c r="O359">
        <v>0</v>
      </c>
      <c r="P359">
        <v>30</v>
      </c>
      <c r="Q359">
        <v>23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</row>
    <row r="360" spans="1:25" x14ac:dyDescent="0.3">
      <c r="A360" t="s">
        <v>219</v>
      </c>
      <c r="B360" t="s">
        <v>54</v>
      </c>
      <c r="C360" t="s">
        <v>93</v>
      </c>
      <c r="D360">
        <v>77</v>
      </c>
      <c r="E360">
        <v>3</v>
      </c>
      <c r="F360">
        <v>23</v>
      </c>
      <c r="G360">
        <v>26</v>
      </c>
      <c r="H360">
        <v>-37</v>
      </c>
      <c r="I360">
        <v>21</v>
      </c>
      <c r="J360">
        <v>117</v>
      </c>
      <c r="K360">
        <v>0</v>
      </c>
      <c r="L360">
        <v>1</v>
      </c>
      <c r="M360">
        <v>14</v>
      </c>
      <c r="N360">
        <v>0</v>
      </c>
      <c r="O360">
        <v>0</v>
      </c>
      <c r="P360">
        <v>28</v>
      </c>
      <c r="Q360">
        <v>41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</row>
    <row r="361" spans="1:25" x14ac:dyDescent="0.3">
      <c r="A361" t="s">
        <v>459</v>
      </c>
      <c r="B361" t="s">
        <v>82</v>
      </c>
      <c r="C361" t="s">
        <v>93</v>
      </c>
      <c r="D361">
        <v>64</v>
      </c>
      <c r="E361">
        <v>3</v>
      </c>
      <c r="F361">
        <v>23</v>
      </c>
      <c r="G361">
        <v>26</v>
      </c>
      <c r="H361">
        <v>15</v>
      </c>
      <c r="I361">
        <v>60</v>
      </c>
      <c r="J361">
        <v>83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85</v>
      </c>
      <c r="Q361">
        <v>113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</row>
    <row r="362" spans="1:25" x14ac:dyDescent="0.3">
      <c r="A362" t="s">
        <v>428</v>
      </c>
      <c r="B362" t="s">
        <v>52</v>
      </c>
      <c r="C362" t="s">
        <v>29</v>
      </c>
      <c r="D362">
        <v>62</v>
      </c>
      <c r="E362">
        <v>11</v>
      </c>
      <c r="F362">
        <v>14</v>
      </c>
      <c r="G362">
        <v>25</v>
      </c>
      <c r="H362">
        <v>-5</v>
      </c>
      <c r="I362">
        <v>28</v>
      </c>
      <c r="J362">
        <v>126</v>
      </c>
      <c r="K362">
        <v>0</v>
      </c>
      <c r="L362">
        <v>0</v>
      </c>
      <c r="M362">
        <v>1</v>
      </c>
      <c r="N362">
        <v>1</v>
      </c>
      <c r="O362">
        <v>0</v>
      </c>
      <c r="P362">
        <v>16</v>
      </c>
      <c r="Q362">
        <v>19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</row>
    <row r="363" spans="1:25" x14ac:dyDescent="0.3">
      <c r="A363" t="s">
        <v>409</v>
      </c>
      <c r="B363" t="s">
        <v>61</v>
      </c>
      <c r="C363" t="s">
        <v>33</v>
      </c>
      <c r="D363">
        <v>79</v>
      </c>
      <c r="E363">
        <v>10</v>
      </c>
      <c r="F363">
        <v>15</v>
      </c>
      <c r="G363">
        <v>25</v>
      </c>
      <c r="H363">
        <v>12</v>
      </c>
      <c r="I363">
        <v>111</v>
      </c>
      <c r="J363">
        <v>97</v>
      </c>
      <c r="K363">
        <v>2</v>
      </c>
      <c r="L363">
        <v>1</v>
      </c>
      <c r="M363">
        <v>2</v>
      </c>
      <c r="N363">
        <v>0</v>
      </c>
      <c r="O363">
        <v>0</v>
      </c>
      <c r="P363">
        <v>148</v>
      </c>
      <c r="Q363">
        <v>10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</row>
    <row r="364" spans="1:25" x14ac:dyDescent="0.3">
      <c r="A364" t="s">
        <v>274</v>
      </c>
      <c r="B364" t="s">
        <v>122</v>
      </c>
      <c r="C364" t="s">
        <v>42</v>
      </c>
      <c r="D364">
        <v>60</v>
      </c>
      <c r="E364">
        <v>8</v>
      </c>
      <c r="F364">
        <v>17</v>
      </c>
      <c r="G364">
        <v>25</v>
      </c>
      <c r="H364">
        <v>-6</v>
      </c>
      <c r="I364">
        <v>28</v>
      </c>
      <c r="J364">
        <v>133</v>
      </c>
      <c r="K364">
        <v>1</v>
      </c>
      <c r="L364">
        <v>1</v>
      </c>
      <c r="M364">
        <v>3</v>
      </c>
      <c r="N364">
        <v>1</v>
      </c>
      <c r="O364">
        <v>1</v>
      </c>
      <c r="P364">
        <v>19</v>
      </c>
      <c r="Q364">
        <v>36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</row>
    <row r="365" spans="1:25" x14ac:dyDescent="0.3">
      <c r="A365" t="s">
        <v>323</v>
      </c>
      <c r="B365" t="s">
        <v>181</v>
      </c>
      <c r="C365" t="s">
        <v>33</v>
      </c>
      <c r="D365">
        <v>68</v>
      </c>
      <c r="E365">
        <v>14</v>
      </c>
      <c r="F365">
        <v>11</v>
      </c>
      <c r="G365">
        <v>25</v>
      </c>
      <c r="H365">
        <v>-15</v>
      </c>
      <c r="I365">
        <v>57</v>
      </c>
      <c r="J365">
        <v>118</v>
      </c>
      <c r="K365">
        <v>1</v>
      </c>
      <c r="L365">
        <v>3</v>
      </c>
      <c r="M365">
        <v>3</v>
      </c>
      <c r="N365">
        <v>0</v>
      </c>
      <c r="O365">
        <v>0</v>
      </c>
      <c r="P365">
        <v>182</v>
      </c>
      <c r="Q365">
        <v>23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</row>
    <row r="366" spans="1:25" x14ac:dyDescent="0.3">
      <c r="A366" t="s">
        <v>236</v>
      </c>
      <c r="B366" t="s">
        <v>71</v>
      </c>
      <c r="C366" t="s">
        <v>42</v>
      </c>
      <c r="D366">
        <v>57</v>
      </c>
      <c r="E366">
        <v>11</v>
      </c>
      <c r="F366">
        <v>14</v>
      </c>
      <c r="G366">
        <v>25</v>
      </c>
      <c r="H366">
        <v>-13</v>
      </c>
      <c r="I366">
        <v>26</v>
      </c>
      <c r="J366">
        <v>122</v>
      </c>
      <c r="K366">
        <v>1</v>
      </c>
      <c r="L366">
        <v>2</v>
      </c>
      <c r="M366">
        <v>6</v>
      </c>
      <c r="N366">
        <v>0</v>
      </c>
      <c r="O366">
        <v>0</v>
      </c>
      <c r="P366">
        <v>64</v>
      </c>
      <c r="Q366">
        <v>20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</row>
    <row r="367" spans="1:25" x14ac:dyDescent="0.3">
      <c r="A367" t="s">
        <v>447</v>
      </c>
      <c r="B367" t="s">
        <v>28</v>
      </c>
      <c r="C367" t="s">
        <v>93</v>
      </c>
      <c r="D367">
        <v>77</v>
      </c>
      <c r="E367">
        <v>4</v>
      </c>
      <c r="F367">
        <v>21</v>
      </c>
      <c r="G367">
        <v>25</v>
      </c>
      <c r="H367">
        <v>11</v>
      </c>
      <c r="I367">
        <v>16</v>
      </c>
      <c r="J367">
        <v>99</v>
      </c>
      <c r="K367">
        <v>0</v>
      </c>
      <c r="L367">
        <v>0</v>
      </c>
      <c r="M367">
        <v>0</v>
      </c>
      <c r="N367">
        <v>0</v>
      </c>
      <c r="O367">
        <v>2</v>
      </c>
      <c r="P367">
        <v>115</v>
      </c>
      <c r="Q367">
        <v>121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</row>
    <row r="368" spans="1:25" x14ac:dyDescent="0.3">
      <c r="A368" t="s">
        <v>934</v>
      </c>
      <c r="B368" t="s">
        <v>82</v>
      </c>
      <c r="C368" t="s">
        <v>93</v>
      </c>
      <c r="D368">
        <v>67</v>
      </c>
      <c r="E368">
        <v>5</v>
      </c>
      <c r="F368">
        <v>20</v>
      </c>
      <c r="G368">
        <v>25</v>
      </c>
      <c r="H368">
        <v>-5</v>
      </c>
      <c r="I368">
        <v>28</v>
      </c>
      <c r="J368">
        <v>138</v>
      </c>
      <c r="K368">
        <v>1</v>
      </c>
      <c r="L368">
        <v>0</v>
      </c>
      <c r="M368">
        <v>3</v>
      </c>
      <c r="N368">
        <v>0</v>
      </c>
      <c r="O368">
        <v>0</v>
      </c>
      <c r="P368">
        <v>73</v>
      </c>
      <c r="Q368">
        <v>92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</row>
    <row r="369" spans="1:25" x14ac:dyDescent="0.3">
      <c r="A369" t="s">
        <v>353</v>
      </c>
      <c r="B369" t="s">
        <v>44</v>
      </c>
      <c r="C369" t="s">
        <v>29</v>
      </c>
      <c r="D369">
        <v>69</v>
      </c>
      <c r="E369">
        <v>13</v>
      </c>
      <c r="F369">
        <v>12</v>
      </c>
      <c r="G369">
        <v>25</v>
      </c>
      <c r="H369">
        <v>-8</v>
      </c>
      <c r="I369">
        <v>18</v>
      </c>
      <c r="J369">
        <v>91</v>
      </c>
      <c r="K369">
        <v>1</v>
      </c>
      <c r="L369">
        <v>1</v>
      </c>
      <c r="M369">
        <v>0</v>
      </c>
      <c r="N369">
        <v>2</v>
      </c>
      <c r="O369">
        <v>0</v>
      </c>
      <c r="P369">
        <v>99</v>
      </c>
      <c r="Q369">
        <v>29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</row>
    <row r="370" spans="1:25" x14ac:dyDescent="0.3">
      <c r="A370" t="s">
        <v>1025</v>
      </c>
      <c r="B370" t="s">
        <v>196</v>
      </c>
      <c r="C370" t="s">
        <v>93</v>
      </c>
      <c r="D370">
        <v>78</v>
      </c>
      <c r="E370">
        <v>6</v>
      </c>
      <c r="F370">
        <v>19</v>
      </c>
      <c r="G370">
        <v>25</v>
      </c>
      <c r="H370">
        <v>-5</v>
      </c>
      <c r="I370">
        <v>20</v>
      </c>
      <c r="J370">
        <v>116</v>
      </c>
      <c r="K370">
        <v>1</v>
      </c>
      <c r="L370">
        <v>2</v>
      </c>
      <c r="M370">
        <v>8</v>
      </c>
      <c r="N370">
        <v>0</v>
      </c>
      <c r="O370">
        <v>2</v>
      </c>
      <c r="P370">
        <v>34</v>
      </c>
      <c r="Q370">
        <v>96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</row>
    <row r="371" spans="1:25" x14ac:dyDescent="0.3">
      <c r="A371" t="s">
        <v>1026</v>
      </c>
      <c r="B371" t="s">
        <v>87</v>
      </c>
      <c r="C371" t="s">
        <v>29</v>
      </c>
      <c r="D371">
        <v>59</v>
      </c>
      <c r="E371">
        <v>7</v>
      </c>
      <c r="F371">
        <v>18</v>
      </c>
      <c r="G371">
        <v>25</v>
      </c>
      <c r="H371">
        <v>-5</v>
      </c>
      <c r="I371">
        <v>52</v>
      </c>
      <c r="J371">
        <v>116</v>
      </c>
      <c r="K371">
        <v>2</v>
      </c>
      <c r="L371">
        <v>1</v>
      </c>
      <c r="M371">
        <v>5</v>
      </c>
      <c r="N371">
        <v>0</v>
      </c>
      <c r="O371">
        <v>0</v>
      </c>
      <c r="P371">
        <v>38</v>
      </c>
      <c r="Q371">
        <v>23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</row>
    <row r="372" spans="1:25" x14ac:dyDescent="0.3">
      <c r="A372" t="s">
        <v>501</v>
      </c>
      <c r="B372" t="s">
        <v>98</v>
      </c>
      <c r="C372" t="s">
        <v>42</v>
      </c>
      <c r="D372">
        <v>74</v>
      </c>
      <c r="E372">
        <v>8</v>
      </c>
      <c r="F372">
        <v>17</v>
      </c>
      <c r="G372">
        <v>25</v>
      </c>
      <c r="H372">
        <v>-3</v>
      </c>
      <c r="I372">
        <v>64</v>
      </c>
      <c r="J372">
        <v>93</v>
      </c>
      <c r="K372">
        <v>1</v>
      </c>
      <c r="L372">
        <v>1</v>
      </c>
      <c r="M372">
        <v>0</v>
      </c>
      <c r="N372">
        <v>1</v>
      </c>
      <c r="O372">
        <v>0</v>
      </c>
      <c r="P372">
        <v>235</v>
      </c>
      <c r="Q372">
        <v>44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</row>
    <row r="373" spans="1:25" x14ac:dyDescent="0.3">
      <c r="A373" t="s">
        <v>311</v>
      </c>
      <c r="B373" t="s">
        <v>106</v>
      </c>
      <c r="C373" t="s">
        <v>33</v>
      </c>
      <c r="D373">
        <v>68</v>
      </c>
      <c r="E373">
        <v>14</v>
      </c>
      <c r="F373">
        <v>11</v>
      </c>
      <c r="G373">
        <v>25</v>
      </c>
      <c r="H373">
        <v>-12</v>
      </c>
      <c r="I373">
        <v>67</v>
      </c>
      <c r="J373">
        <v>132</v>
      </c>
      <c r="K373">
        <v>1</v>
      </c>
      <c r="L373">
        <v>2</v>
      </c>
      <c r="M373">
        <v>1</v>
      </c>
      <c r="N373">
        <v>0</v>
      </c>
      <c r="O373">
        <v>0</v>
      </c>
      <c r="P373">
        <v>93</v>
      </c>
      <c r="Q373">
        <v>26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</row>
    <row r="374" spans="1:25" x14ac:dyDescent="0.3">
      <c r="A374" t="s">
        <v>309</v>
      </c>
      <c r="B374" t="s">
        <v>71</v>
      </c>
      <c r="C374" t="s">
        <v>29</v>
      </c>
      <c r="D374">
        <v>76</v>
      </c>
      <c r="E374">
        <v>12</v>
      </c>
      <c r="F374">
        <v>12</v>
      </c>
      <c r="G374">
        <v>24</v>
      </c>
      <c r="H374">
        <v>-8</v>
      </c>
      <c r="I374">
        <v>87</v>
      </c>
      <c r="J374">
        <v>121</v>
      </c>
      <c r="K374">
        <v>2</v>
      </c>
      <c r="L374">
        <v>0</v>
      </c>
      <c r="M374">
        <v>3</v>
      </c>
      <c r="N374">
        <v>0</v>
      </c>
      <c r="O374">
        <v>1</v>
      </c>
      <c r="P374">
        <v>202</v>
      </c>
      <c r="Q374">
        <v>47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</row>
    <row r="375" spans="1:25" x14ac:dyDescent="0.3">
      <c r="A375" t="s">
        <v>388</v>
      </c>
      <c r="B375" t="s">
        <v>84</v>
      </c>
      <c r="C375" t="s">
        <v>29</v>
      </c>
      <c r="D375">
        <v>77</v>
      </c>
      <c r="E375">
        <v>13</v>
      </c>
      <c r="F375">
        <v>11</v>
      </c>
      <c r="G375">
        <v>24</v>
      </c>
      <c r="H375">
        <v>-19</v>
      </c>
      <c r="I375">
        <v>62</v>
      </c>
      <c r="J375">
        <v>121</v>
      </c>
      <c r="K375">
        <v>1</v>
      </c>
      <c r="L375">
        <v>0</v>
      </c>
      <c r="M375">
        <v>2</v>
      </c>
      <c r="N375">
        <v>0</v>
      </c>
      <c r="O375">
        <v>0</v>
      </c>
      <c r="P375">
        <v>137</v>
      </c>
      <c r="Q375">
        <v>59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</row>
    <row r="376" spans="1:25" x14ac:dyDescent="0.3">
      <c r="A376" t="s">
        <v>468</v>
      </c>
      <c r="B376" t="s">
        <v>35</v>
      </c>
      <c r="C376" t="s">
        <v>42</v>
      </c>
      <c r="D376">
        <v>82</v>
      </c>
      <c r="E376">
        <v>9</v>
      </c>
      <c r="F376">
        <v>15</v>
      </c>
      <c r="G376">
        <v>24</v>
      </c>
      <c r="H376">
        <v>7</v>
      </c>
      <c r="I376">
        <v>20</v>
      </c>
      <c r="J376">
        <v>105</v>
      </c>
      <c r="K376">
        <v>2</v>
      </c>
      <c r="L376">
        <v>0</v>
      </c>
      <c r="M376">
        <v>0</v>
      </c>
      <c r="N376">
        <v>2</v>
      </c>
      <c r="O376">
        <v>1</v>
      </c>
      <c r="P376">
        <v>78</v>
      </c>
      <c r="Q376">
        <v>26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</row>
    <row r="377" spans="1:25" x14ac:dyDescent="0.3">
      <c r="A377" t="s">
        <v>330</v>
      </c>
      <c r="B377" t="s">
        <v>57</v>
      </c>
      <c r="C377" t="s">
        <v>33</v>
      </c>
      <c r="D377">
        <v>65</v>
      </c>
      <c r="E377">
        <v>11</v>
      </c>
      <c r="F377">
        <v>13</v>
      </c>
      <c r="G377">
        <v>24</v>
      </c>
      <c r="H377">
        <v>7</v>
      </c>
      <c r="I377">
        <v>22</v>
      </c>
      <c r="J377">
        <v>106</v>
      </c>
      <c r="K377">
        <v>1</v>
      </c>
      <c r="L377">
        <v>0</v>
      </c>
      <c r="M377">
        <v>0</v>
      </c>
      <c r="N377">
        <v>0</v>
      </c>
      <c r="O377">
        <v>1</v>
      </c>
      <c r="P377">
        <v>121</v>
      </c>
      <c r="Q377">
        <v>44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</row>
    <row r="378" spans="1:25" x14ac:dyDescent="0.3">
      <c r="A378" t="s">
        <v>414</v>
      </c>
      <c r="B378" t="s">
        <v>140</v>
      </c>
      <c r="C378" t="s">
        <v>93</v>
      </c>
      <c r="D378">
        <v>73</v>
      </c>
      <c r="E378">
        <v>7</v>
      </c>
      <c r="F378">
        <v>17</v>
      </c>
      <c r="G378">
        <v>24</v>
      </c>
      <c r="H378">
        <v>9</v>
      </c>
      <c r="I378">
        <v>54</v>
      </c>
      <c r="J378">
        <v>107</v>
      </c>
      <c r="K378">
        <v>1</v>
      </c>
      <c r="L378">
        <v>0</v>
      </c>
      <c r="M378">
        <v>4</v>
      </c>
      <c r="N378">
        <v>1</v>
      </c>
      <c r="O378">
        <v>1</v>
      </c>
      <c r="P378">
        <v>127</v>
      </c>
      <c r="Q378">
        <v>80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</row>
    <row r="379" spans="1:25" x14ac:dyDescent="0.3">
      <c r="A379" t="s">
        <v>351</v>
      </c>
      <c r="B379" t="s">
        <v>59</v>
      </c>
      <c r="C379" t="s">
        <v>93</v>
      </c>
      <c r="D379">
        <v>60</v>
      </c>
      <c r="E379">
        <v>7</v>
      </c>
      <c r="F379">
        <v>17</v>
      </c>
      <c r="G379">
        <v>24</v>
      </c>
      <c r="H379">
        <v>-6</v>
      </c>
      <c r="I379">
        <v>12</v>
      </c>
      <c r="J379">
        <v>79</v>
      </c>
      <c r="K379">
        <v>1</v>
      </c>
      <c r="L379">
        <v>2</v>
      </c>
      <c r="M379">
        <v>5</v>
      </c>
      <c r="N379">
        <v>0</v>
      </c>
      <c r="O379">
        <v>0</v>
      </c>
      <c r="P379">
        <v>32</v>
      </c>
      <c r="Q379">
        <v>58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</row>
    <row r="380" spans="1:25" x14ac:dyDescent="0.3">
      <c r="A380" t="s">
        <v>935</v>
      </c>
      <c r="B380" t="s">
        <v>87</v>
      </c>
      <c r="C380" t="s">
        <v>93</v>
      </c>
      <c r="D380">
        <v>72</v>
      </c>
      <c r="E380">
        <v>8</v>
      </c>
      <c r="F380">
        <v>16</v>
      </c>
      <c r="G380">
        <v>24</v>
      </c>
      <c r="H380">
        <v>-1</v>
      </c>
      <c r="I380">
        <v>4</v>
      </c>
      <c r="J380">
        <v>20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56</v>
      </c>
      <c r="Q380">
        <v>36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</row>
    <row r="381" spans="1:25" x14ac:dyDescent="0.3">
      <c r="A381" t="s">
        <v>744</v>
      </c>
      <c r="B381" t="s">
        <v>28</v>
      </c>
      <c r="C381" t="s">
        <v>29</v>
      </c>
      <c r="D381">
        <v>73</v>
      </c>
      <c r="E381">
        <v>10</v>
      </c>
      <c r="F381">
        <v>14</v>
      </c>
      <c r="G381">
        <v>24</v>
      </c>
      <c r="H381">
        <v>1</v>
      </c>
      <c r="I381">
        <v>12</v>
      </c>
      <c r="J381">
        <v>89</v>
      </c>
      <c r="K381">
        <v>1</v>
      </c>
      <c r="L381">
        <v>2</v>
      </c>
      <c r="M381">
        <v>3</v>
      </c>
      <c r="N381">
        <v>0</v>
      </c>
      <c r="O381">
        <v>0</v>
      </c>
      <c r="P381">
        <v>31</v>
      </c>
      <c r="Q381">
        <v>25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</row>
    <row r="382" spans="1:25" x14ac:dyDescent="0.3">
      <c r="A382" t="s">
        <v>430</v>
      </c>
      <c r="B382" t="s">
        <v>39</v>
      </c>
      <c r="C382" t="s">
        <v>42</v>
      </c>
      <c r="D382">
        <v>76</v>
      </c>
      <c r="E382">
        <v>12</v>
      </c>
      <c r="F382">
        <v>12</v>
      </c>
      <c r="G382">
        <v>24</v>
      </c>
      <c r="H382">
        <v>15</v>
      </c>
      <c r="I382">
        <v>65</v>
      </c>
      <c r="J382">
        <v>124</v>
      </c>
      <c r="K382">
        <v>3</v>
      </c>
      <c r="L382">
        <v>0</v>
      </c>
      <c r="M382">
        <v>0</v>
      </c>
      <c r="N382">
        <v>0</v>
      </c>
      <c r="O382">
        <v>1</v>
      </c>
      <c r="P382">
        <v>257</v>
      </c>
      <c r="Q382">
        <v>59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</row>
    <row r="383" spans="1:25" x14ac:dyDescent="0.3">
      <c r="A383" t="s">
        <v>632</v>
      </c>
      <c r="B383" t="s">
        <v>54</v>
      </c>
      <c r="C383" t="s">
        <v>33</v>
      </c>
      <c r="D383">
        <v>57</v>
      </c>
      <c r="E383">
        <v>9</v>
      </c>
      <c r="F383">
        <v>15</v>
      </c>
      <c r="G383">
        <v>24</v>
      </c>
      <c r="H383">
        <v>-6</v>
      </c>
      <c r="I383">
        <v>15</v>
      </c>
      <c r="J383">
        <v>91</v>
      </c>
      <c r="K383">
        <v>1</v>
      </c>
      <c r="L383">
        <v>2</v>
      </c>
      <c r="M383">
        <v>3</v>
      </c>
      <c r="N383">
        <v>0</v>
      </c>
      <c r="O383">
        <v>0</v>
      </c>
      <c r="P383">
        <v>72</v>
      </c>
      <c r="Q383">
        <v>22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</row>
    <row r="384" spans="1:25" x14ac:dyDescent="0.3">
      <c r="A384" t="s">
        <v>380</v>
      </c>
      <c r="B384" t="s">
        <v>54</v>
      </c>
      <c r="C384" t="s">
        <v>93</v>
      </c>
      <c r="D384">
        <v>75</v>
      </c>
      <c r="E384">
        <v>6</v>
      </c>
      <c r="F384">
        <v>17</v>
      </c>
      <c r="G384">
        <v>23</v>
      </c>
      <c r="H384">
        <v>-12</v>
      </c>
      <c r="I384">
        <v>76</v>
      </c>
      <c r="J384">
        <v>123</v>
      </c>
      <c r="K384">
        <v>1</v>
      </c>
      <c r="L384">
        <v>0</v>
      </c>
      <c r="M384">
        <v>1</v>
      </c>
      <c r="N384">
        <v>0</v>
      </c>
      <c r="O384">
        <v>1</v>
      </c>
      <c r="P384">
        <v>70</v>
      </c>
      <c r="Q384">
        <v>87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</row>
    <row r="385" spans="1:25" x14ac:dyDescent="0.3">
      <c r="A385" t="s">
        <v>395</v>
      </c>
      <c r="B385" t="s">
        <v>181</v>
      </c>
      <c r="C385" t="s">
        <v>42</v>
      </c>
      <c r="D385">
        <v>67</v>
      </c>
      <c r="E385">
        <v>13</v>
      </c>
      <c r="F385">
        <v>10</v>
      </c>
      <c r="G385">
        <v>23</v>
      </c>
      <c r="H385">
        <v>1</v>
      </c>
      <c r="I385">
        <v>29</v>
      </c>
      <c r="J385">
        <v>98</v>
      </c>
      <c r="K385">
        <v>2</v>
      </c>
      <c r="L385">
        <v>7</v>
      </c>
      <c r="M385">
        <v>4</v>
      </c>
      <c r="N385">
        <v>0</v>
      </c>
      <c r="O385">
        <v>0</v>
      </c>
      <c r="P385">
        <v>66</v>
      </c>
      <c r="Q385">
        <v>18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</row>
    <row r="386" spans="1:25" x14ac:dyDescent="0.3">
      <c r="A386" t="s">
        <v>286</v>
      </c>
      <c r="B386" t="s">
        <v>35</v>
      </c>
      <c r="C386" t="s">
        <v>29</v>
      </c>
      <c r="D386">
        <v>52</v>
      </c>
      <c r="E386">
        <v>10</v>
      </c>
      <c r="F386">
        <v>13</v>
      </c>
      <c r="G386">
        <v>23</v>
      </c>
      <c r="H386">
        <v>-2</v>
      </c>
      <c r="I386">
        <v>10</v>
      </c>
      <c r="J386">
        <v>116</v>
      </c>
      <c r="K386">
        <v>2</v>
      </c>
      <c r="L386">
        <v>1</v>
      </c>
      <c r="M386">
        <v>3</v>
      </c>
      <c r="N386">
        <v>0</v>
      </c>
      <c r="O386">
        <v>1</v>
      </c>
      <c r="P386">
        <v>30</v>
      </c>
      <c r="Q386">
        <v>15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</row>
    <row r="387" spans="1:25" x14ac:dyDescent="0.3">
      <c r="A387" t="s">
        <v>452</v>
      </c>
      <c r="B387" t="s">
        <v>122</v>
      </c>
      <c r="C387" t="s">
        <v>29</v>
      </c>
      <c r="D387">
        <v>72</v>
      </c>
      <c r="E387">
        <v>10</v>
      </c>
      <c r="F387">
        <v>13</v>
      </c>
      <c r="G387">
        <v>23</v>
      </c>
      <c r="H387">
        <v>-11</v>
      </c>
      <c r="I387">
        <v>28</v>
      </c>
      <c r="J387">
        <v>107</v>
      </c>
      <c r="K387">
        <v>1</v>
      </c>
      <c r="L387">
        <v>1</v>
      </c>
      <c r="M387">
        <v>0</v>
      </c>
      <c r="N387">
        <v>1</v>
      </c>
      <c r="O387">
        <v>1</v>
      </c>
      <c r="P387">
        <v>74</v>
      </c>
      <c r="Q387">
        <v>49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</row>
    <row r="388" spans="1:25" x14ac:dyDescent="0.3">
      <c r="A388" t="s">
        <v>367</v>
      </c>
      <c r="B388" t="s">
        <v>52</v>
      </c>
      <c r="C388" t="s">
        <v>33</v>
      </c>
      <c r="D388">
        <v>78</v>
      </c>
      <c r="E388">
        <v>13</v>
      </c>
      <c r="F388">
        <v>10</v>
      </c>
      <c r="G388">
        <v>23</v>
      </c>
      <c r="H388">
        <v>4</v>
      </c>
      <c r="I388">
        <v>51</v>
      </c>
      <c r="J388">
        <v>114</v>
      </c>
      <c r="K388">
        <v>1</v>
      </c>
      <c r="L388">
        <v>0</v>
      </c>
      <c r="M388">
        <v>2</v>
      </c>
      <c r="N388">
        <v>2</v>
      </c>
      <c r="O388">
        <v>2</v>
      </c>
      <c r="P388">
        <v>231</v>
      </c>
      <c r="Q388">
        <v>43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</row>
    <row r="389" spans="1:25" x14ac:dyDescent="0.3">
      <c r="A389" t="s">
        <v>362</v>
      </c>
      <c r="B389" t="s">
        <v>59</v>
      </c>
      <c r="C389" t="s">
        <v>29</v>
      </c>
      <c r="D389">
        <v>51</v>
      </c>
      <c r="E389">
        <v>10</v>
      </c>
      <c r="F389">
        <v>13</v>
      </c>
      <c r="G389">
        <v>23</v>
      </c>
      <c r="H389">
        <v>4</v>
      </c>
      <c r="I389">
        <v>3</v>
      </c>
      <c r="J389">
        <v>60</v>
      </c>
      <c r="K389">
        <v>1</v>
      </c>
      <c r="L389">
        <v>0</v>
      </c>
      <c r="M389">
        <v>2</v>
      </c>
      <c r="N389">
        <v>0</v>
      </c>
      <c r="O389">
        <v>0</v>
      </c>
      <c r="P389">
        <v>19</v>
      </c>
      <c r="Q389">
        <v>7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</row>
    <row r="390" spans="1:25" x14ac:dyDescent="0.3">
      <c r="A390" t="s">
        <v>581</v>
      </c>
      <c r="B390" t="s">
        <v>140</v>
      </c>
      <c r="C390" t="s">
        <v>93</v>
      </c>
      <c r="D390">
        <v>82</v>
      </c>
      <c r="E390">
        <v>7</v>
      </c>
      <c r="F390">
        <v>16</v>
      </c>
      <c r="G390">
        <v>23</v>
      </c>
      <c r="H390">
        <v>-16</v>
      </c>
      <c r="I390">
        <v>52</v>
      </c>
      <c r="J390">
        <v>115</v>
      </c>
      <c r="K390">
        <v>1</v>
      </c>
      <c r="L390">
        <v>0</v>
      </c>
      <c r="M390">
        <v>1</v>
      </c>
      <c r="N390">
        <v>0</v>
      </c>
      <c r="O390">
        <v>1</v>
      </c>
      <c r="P390">
        <v>191</v>
      </c>
      <c r="Q390">
        <v>146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</row>
    <row r="391" spans="1:25" x14ac:dyDescent="0.3">
      <c r="A391" t="s">
        <v>393</v>
      </c>
      <c r="B391" t="s">
        <v>39</v>
      </c>
      <c r="C391" t="s">
        <v>29</v>
      </c>
      <c r="D391">
        <v>66</v>
      </c>
      <c r="E391">
        <v>11</v>
      </c>
      <c r="F391">
        <v>12</v>
      </c>
      <c r="G391">
        <v>23</v>
      </c>
      <c r="H391">
        <v>8</v>
      </c>
      <c r="I391">
        <v>42</v>
      </c>
      <c r="J391">
        <v>93</v>
      </c>
      <c r="K391">
        <v>1</v>
      </c>
      <c r="L391">
        <v>0</v>
      </c>
      <c r="M391">
        <v>0</v>
      </c>
      <c r="N391">
        <v>1</v>
      </c>
      <c r="O391">
        <v>0</v>
      </c>
      <c r="P391">
        <v>140</v>
      </c>
      <c r="Q391">
        <v>52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</row>
    <row r="392" spans="1:25" x14ac:dyDescent="0.3">
      <c r="A392" t="s">
        <v>405</v>
      </c>
      <c r="B392" t="s">
        <v>65</v>
      </c>
      <c r="C392" t="s">
        <v>29</v>
      </c>
      <c r="D392">
        <v>79</v>
      </c>
      <c r="E392">
        <v>8</v>
      </c>
      <c r="F392">
        <v>15</v>
      </c>
      <c r="G392">
        <v>23</v>
      </c>
      <c r="H392">
        <v>-14</v>
      </c>
      <c r="I392">
        <v>48</v>
      </c>
      <c r="J392">
        <v>108</v>
      </c>
      <c r="K392">
        <v>2</v>
      </c>
      <c r="L392">
        <v>1</v>
      </c>
      <c r="M392">
        <v>1</v>
      </c>
      <c r="N392">
        <v>2</v>
      </c>
      <c r="O392">
        <v>1</v>
      </c>
      <c r="P392">
        <v>130</v>
      </c>
      <c r="Q392">
        <v>67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</row>
    <row r="393" spans="1:25" x14ac:dyDescent="0.3">
      <c r="A393" t="s">
        <v>339</v>
      </c>
      <c r="B393" t="s">
        <v>100</v>
      </c>
      <c r="C393" t="s">
        <v>33</v>
      </c>
      <c r="D393">
        <v>77</v>
      </c>
      <c r="E393">
        <v>11</v>
      </c>
      <c r="F393">
        <v>12</v>
      </c>
      <c r="G393">
        <v>23</v>
      </c>
      <c r="H393">
        <v>-3</v>
      </c>
      <c r="I393">
        <v>46</v>
      </c>
      <c r="J393">
        <v>104</v>
      </c>
      <c r="K393">
        <v>1</v>
      </c>
      <c r="L393">
        <v>1</v>
      </c>
      <c r="M393">
        <v>2</v>
      </c>
      <c r="N393">
        <v>0</v>
      </c>
      <c r="O393">
        <v>0</v>
      </c>
      <c r="P393">
        <v>151</v>
      </c>
      <c r="Q393">
        <v>58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</row>
    <row r="394" spans="1:25" x14ac:dyDescent="0.3">
      <c r="A394" t="s">
        <v>439</v>
      </c>
      <c r="B394" t="s">
        <v>73</v>
      </c>
      <c r="C394" t="s">
        <v>93</v>
      </c>
      <c r="D394">
        <v>79</v>
      </c>
      <c r="E394">
        <v>6</v>
      </c>
      <c r="F394">
        <v>17</v>
      </c>
      <c r="G394">
        <v>23</v>
      </c>
      <c r="H394">
        <v>2</v>
      </c>
      <c r="I394">
        <v>58</v>
      </c>
      <c r="J394">
        <v>90</v>
      </c>
      <c r="K394">
        <v>1</v>
      </c>
      <c r="L394">
        <v>0</v>
      </c>
      <c r="M394">
        <v>0</v>
      </c>
      <c r="N394">
        <v>0</v>
      </c>
      <c r="O394">
        <v>0</v>
      </c>
      <c r="P394">
        <v>151</v>
      </c>
      <c r="Q394">
        <v>120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</row>
    <row r="395" spans="1:25" x14ac:dyDescent="0.3">
      <c r="A395" t="s">
        <v>415</v>
      </c>
      <c r="B395" t="s">
        <v>59</v>
      </c>
      <c r="C395" t="s">
        <v>33</v>
      </c>
      <c r="D395">
        <v>67</v>
      </c>
      <c r="E395">
        <v>9</v>
      </c>
      <c r="F395">
        <v>14</v>
      </c>
      <c r="G395">
        <v>23</v>
      </c>
      <c r="H395">
        <v>-3</v>
      </c>
      <c r="I395">
        <v>16</v>
      </c>
      <c r="J395">
        <v>101</v>
      </c>
      <c r="K395">
        <v>1</v>
      </c>
      <c r="L395">
        <v>0</v>
      </c>
      <c r="M395">
        <v>0</v>
      </c>
      <c r="N395">
        <v>1</v>
      </c>
      <c r="O395">
        <v>0</v>
      </c>
      <c r="P395">
        <v>104</v>
      </c>
      <c r="Q395">
        <v>18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</row>
    <row r="396" spans="1:25" x14ac:dyDescent="0.3">
      <c r="A396" t="s">
        <v>355</v>
      </c>
      <c r="B396" t="s">
        <v>52</v>
      </c>
      <c r="C396" t="s">
        <v>29</v>
      </c>
      <c r="D396">
        <v>66</v>
      </c>
      <c r="E396">
        <v>10</v>
      </c>
      <c r="F396">
        <v>13</v>
      </c>
      <c r="G396">
        <v>23</v>
      </c>
      <c r="H396">
        <v>3</v>
      </c>
      <c r="I396">
        <v>28</v>
      </c>
      <c r="J396">
        <v>96</v>
      </c>
      <c r="K396">
        <v>2</v>
      </c>
      <c r="L396">
        <v>0</v>
      </c>
      <c r="M396">
        <v>0</v>
      </c>
      <c r="N396">
        <v>0</v>
      </c>
      <c r="O396">
        <v>0</v>
      </c>
      <c r="P396">
        <v>61</v>
      </c>
      <c r="Q396">
        <v>20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</row>
    <row r="397" spans="1:25" x14ac:dyDescent="0.3">
      <c r="A397" t="s">
        <v>587</v>
      </c>
      <c r="B397" t="s">
        <v>57</v>
      </c>
      <c r="C397" t="s">
        <v>33</v>
      </c>
      <c r="D397">
        <v>74</v>
      </c>
      <c r="E397">
        <v>8</v>
      </c>
      <c r="F397">
        <v>14</v>
      </c>
      <c r="G397">
        <v>22</v>
      </c>
      <c r="H397">
        <v>0</v>
      </c>
      <c r="I397">
        <v>12</v>
      </c>
      <c r="J397">
        <v>78</v>
      </c>
      <c r="K397">
        <v>2</v>
      </c>
      <c r="L397">
        <v>0</v>
      </c>
      <c r="M397">
        <v>0</v>
      </c>
      <c r="N397">
        <v>1</v>
      </c>
      <c r="O397">
        <v>1</v>
      </c>
      <c r="P397">
        <v>97</v>
      </c>
      <c r="Q397">
        <v>42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</row>
    <row r="398" spans="1:25" x14ac:dyDescent="0.3">
      <c r="A398" t="s">
        <v>483</v>
      </c>
      <c r="B398" t="s">
        <v>120</v>
      </c>
      <c r="C398" t="s">
        <v>33</v>
      </c>
      <c r="D398">
        <v>56</v>
      </c>
      <c r="E398">
        <v>9</v>
      </c>
      <c r="F398">
        <v>13</v>
      </c>
      <c r="G398">
        <v>22</v>
      </c>
      <c r="H398">
        <v>-7</v>
      </c>
      <c r="I398">
        <v>22</v>
      </c>
      <c r="J398">
        <v>119</v>
      </c>
      <c r="K398">
        <v>1</v>
      </c>
      <c r="L398">
        <v>0</v>
      </c>
      <c r="M398">
        <v>0</v>
      </c>
      <c r="N398">
        <v>0</v>
      </c>
      <c r="O398">
        <v>1</v>
      </c>
      <c r="P398">
        <v>73</v>
      </c>
      <c r="Q398">
        <v>29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</row>
    <row r="399" spans="1:25" x14ac:dyDescent="0.3">
      <c r="A399" t="s">
        <v>622</v>
      </c>
      <c r="B399" t="s">
        <v>106</v>
      </c>
      <c r="C399" t="s">
        <v>29</v>
      </c>
      <c r="D399">
        <v>58</v>
      </c>
      <c r="E399">
        <v>10</v>
      </c>
      <c r="F399">
        <v>12</v>
      </c>
      <c r="G399">
        <v>22</v>
      </c>
      <c r="H399">
        <v>-11</v>
      </c>
      <c r="I399">
        <v>10</v>
      </c>
      <c r="J399">
        <v>88</v>
      </c>
      <c r="K399">
        <v>1</v>
      </c>
      <c r="L399">
        <v>0</v>
      </c>
      <c r="M399">
        <v>0</v>
      </c>
      <c r="N399">
        <v>0</v>
      </c>
      <c r="O399">
        <v>0</v>
      </c>
      <c r="P399">
        <v>33</v>
      </c>
      <c r="Q399">
        <v>16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</row>
    <row r="400" spans="1:25" x14ac:dyDescent="0.3">
      <c r="A400" t="s">
        <v>530</v>
      </c>
      <c r="B400" t="s">
        <v>100</v>
      </c>
      <c r="C400" t="s">
        <v>93</v>
      </c>
      <c r="D400">
        <v>69</v>
      </c>
      <c r="E400">
        <v>3</v>
      </c>
      <c r="F400">
        <v>19</v>
      </c>
      <c r="G400">
        <v>22</v>
      </c>
      <c r="H400">
        <v>10</v>
      </c>
      <c r="I400">
        <v>28</v>
      </c>
      <c r="J400">
        <v>95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68</v>
      </c>
      <c r="Q400">
        <v>112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</row>
    <row r="401" spans="1:25" x14ac:dyDescent="0.3">
      <c r="A401" t="s">
        <v>531</v>
      </c>
      <c r="B401" t="s">
        <v>106</v>
      </c>
      <c r="C401" t="s">
        <v>29</v>
      </c>
      <c r="D401">
        <v>75</v>
      </c>
      <c r="E401">
        <v>8</v>
      </c>
      <c r="F401">
        <v>14</v>
      </c>
      <c r="G401">
        <v>22</v>
      </c>
      <c r="H401">
        <v>-10</v>
      </c>
      <c r="I401">
        <v>50</v>
      </c>
      <c r="J401">
        <v>83</v>
      </c>
      <c r="K401">
        <v>0</v>
      </c>
      <c r="L401">
        <v>0</v>
      </c>
      <c r="M401">
        <v>0</v>
      </c>
      <c r="N401">
        <v>0</v>
      </c>
      <c r="O401">
        <v>1</v>
      </c>
      <c r="P401">
        <v>145</v>
      </c>
      <c r="Q401">
        <v>34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</row>
    <row r="402" spans="1:25" x14ac:dyDescent="0.3">
      <c r="A402" t="s">
        <v>1027</v>
      </c>
      <c r="B402" t="s">
        <v>54</v>
      </c>
      <c r="C402" t="s">
        <v>33</v>
      </c>
      <c r="D402">
        <v>61</v>
      </c>
      <c r="E402">
        <v>12</v>
      </c>
      <c r="F402">
        <v>10</v>
      </c>
      <c r="G402">
        <v>22</v>
      </c>
      <c r="H402">
        <v>-25</v>
      </c>
      <c r="I402">
        <v>12</v>
      </c>
      <c r="J402">
        <v>105</v>
      </c>
      <c r="K402">
        <v>2</v>
      </c>
      <c r="L402">
        <v>3</v>
      </c>
      <c r="M402">
        <v>4</v>
      </c>
      <c r="N402">
        <v>0</v>
      </c>
      <c r="O402">
        <v>0</v>
      </c>
      <c r="P402">
        <v>16</v>
      </c>
      <c r="Q402">
        <v>34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</row>
    <row r="403" spans="1:25" x14ac:dyDescent="0.3">
      <c r="A403" t="s">
        <v>665</v>
      </c>
      <c r="B403" t="s">
        <v>37</v>
      </c>
      <c r="C403" t="s">
        <v>29</v>
      </c>
      <c r="D403">
        <v>66</v>
      </c>
      <c r="E403">
        <v>10</v>
      </c>
      <c r="F403">
        <v>12</v>
      </c>
      <c r="G403">
        <v>22</v>
      </c>
      <c r="H403">
        <v>7</v>
      </c>
      <c r="I403">
        <v>77</v>
      </c>
      <c r="J403">
        <v>112</v>
      </c>
      <c r="K403">
        <v>1</v>
      </c>
      <c r="L403">
        <v>0</v>
      </c>
      <c r="M403">
        <v>0</v>
      </c>
      <c r="N403">
        <v>1</v>
      </c>
      <c r="O403">
        <v>0</v>
      </c>
      <c r="P403">
        <v>141</v>
      </c>
      <c r="Q403">
        <v>24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</row>
    <row r="404" spans="1:25" x14ac:dyDescent="0.3">
      <c r="A404" t="s">
        <v>533</v>
      </c>
      <c r="B404" t="s">
        <v>59</v>
      </c>
      <c r="C404" t="s">
        <v>29</v>
      </c>
      <c r="D404">
        <v>65</v>
      </c>
      <c r="E404">
        <v>9</v>
      </c>
      <c r="F404">
        <v>13</v>
      </c>
      <c r="G404">
        <v>22</v>
      </c>
      <c r="H404">
        <v>2</v>
      </c>
      <c r="I404">
        <v>56</v>
      </c>
      <c r="J404">
        <v>118</v>
      </c>
      <c r="K404">
        <v>1</v>
      </c>
      <c r="L404">
        <v>0</v>
      </c>
      <c r="M404">
        <v>1</v>
      </c>
      <c r="N404">
        <v>0</v>
      </c>
      <c r="O404">
        <v>1</v>
      </c>
      <c r="P404">
        <v>197</v>
      </c>
      <c r="Q404">
        <v>41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</row>
    <row r="405" spans="1:25" x14ac:dyDescent="0.3">
      <c r="A405" t="s">
        <v>1028</v>
      </c>
      <c r="B405" t="s">
        <v>65</v>
      </c>
      <c r="C405" t="s">
        <v>33</v>
      </c>
      <c r="D405">
        <v>72</v>
      </c>
      <c r="E405">
        <v>10</v>
      </c>
      <c r="F405">
        <v>12</v>
      </c>
      <c r="G405">
        <v>22</v>
      </c>
      <c r="H405">
        <v>-5</v>
      </c>
      <c r="I405">
        <v>12</v>
      </c>
      <c r="J405">
        <v>104</v>
      </c>
      <c r="K405">
        <v>2</v>
      </c>
      <c r="L405">
        <v>1</v>
      </c>
      <c r="M405">
        <v>1</v>
      </c>
      <c r="N405">
        <v>0</v>
      </c>
      <c r="O405">
        <v>0</v>
      </c>
      <c r="P405">
        <v>26</v>
      </c>
      <c r="Q405">
        <v>23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</row>
    <row r="406" spans="1:25" x14ac:dyDescent="0.3">
      <c r="A406" t="s">
        <v>1029</v>
      </c>
      <c r="B406" t="s">
        <v>120</v>
      </c>
      <c r="C406" t="s">
        <v>93</v>
      </c>
      <c r="D406">
        <v>73</v>
      </c>
      <c r="E406">
        <v>4</v>
      </c>
      <c r="F406">
        <v>18</v>
      </c>
      <c r="G406">
        <v>22</v>
      </c>
      <c r="H406">
        <v>-5</v>
      </c>
      <c r="I406">
        <v>44</v>
      </c>
      <c r="J406">
        <v>78</v>
      </c>
      <c r="K406">
        <v>1</v>
      </c>
      <c r="L406">
        <v>0</v>
      </c>
      <c r="M406">
        <v>3</v>
      </c>
      <c r="N406">
        <v>0</v>
      </c>
      <c r="O406">
        <v>0</v>
      </c>
      <c r="P406">
        <v>65</v>
      </c>
      <c r="Q406">
        <v>83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</row>
    <row r="407" spans="1:25" x14ac:dyDescent="0.3">
      <c r="A407" t="s">
        <v>324</v>
      </c>
      <c r="B407" t="s">
        <v>28</v>
      </c>
      <c r="C407" t="s">
        <v>29</v>
      </c>
      <c r="D407">
        <v>68</v>
      </c>
      <c r="E407">
        <v>7</v>
      </c>
      <c r="F407">
        <v>15</v>
      </c>
      <c r="G407">
        <v>22</v>
      </c>
      <c r="H407">
        <v>-2</v>
      </c>
      <c r="I407">
        <v>18</v>
      </c>
      <c r="J407">
        <v>95</v>
      </c>
      <c r="K407">
        <v>1</v>
      </c>
      <c r="L407">
        <v>0</v>
      </c>
      <c r="M407">
        <v>0</v>
      </c>
      <c r="N407">
        <v>1</v>
      </c>
      <c r="O407">
        <v>0</v>
      </c>
      <c r="P407">
        <v>22</v>
      </c>
      <c r="Q407">
        <v>28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</row>
    <row r="408" spans="1:25" x14ac:dyDescent="0.3">
      <c r="A408" t="s">
        <v>445</v>
      </c>
      <c r="B408" t="s">
        <v>52</v>
      </c>
      <c r="C408" t="s">
        <v>93</v>
      </c>
      <c r="D408">
        <v>56</v>
      </c>
      <c r="E408">
        <v>4</v>
      </c>
      <c r="F408">
        <v>18</v>
      </c>
      <c r="G408">
        <v>22</v>
      </c>
      <c r="H408">
        <v>-4</v>
      </c>
      <c r="I408">
        <v>7</v>
      </c>
      <c r="J408">
        <v>85</v>
      </c>
      <c r="K408">
        <v>1</v>
      </c>
      <c r="L408">
        <v>1</v>
      </c>
      <c r="M408">
        <v>7</v>
      </c>
      <c r="N408">
        <v>0</v>
      </c>
      <c r="O408">
        <v>1</v>
      </c>
      <c r="P408">
        <v>25</v>
      </c>
      <c r="Q408">
        <v>76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</row>
    <row r="409" spans="1:25" x14ac:dyDescent="0.3">
      <c r="A409" t="s">
        <v>486</v>
      </c>
      <c r="B409" t="s">
        <v>46</v>
      </c>
      <c r="C409" t="s">
        <v>33</v>
      </c>
      <c r="D409">
        <v>63</v>
      </c>
      <c r="E409">
        <v>12</v>
      </c>
      <c r="F409">
        <v>10</v>
      </c>
      <c r="G409">
        <v>22</v>
      </c>
      <c r="H409">
        <v>0</v>
      </c>
      <c r="I409">
        <v>14</v>
      </c>
      <c r="J409">
        <v>96</v>
      </c>
      <c r="K409">
        <v>2</v>
      </c>
      <c r="L409">
        <v>0</v>
      </c>
      <c r="M409">
        <v>0</v>
      </c>
      <c r="N409">
        <v>0</v>
      </c>
      <c r="O409">
        <v>0</v>
      </c>
      <c r="P409">
        <v>89</v>
      </c>
      <c r="Q409">
        <v>44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</row>
    <row r="410" spans="1:25" x14ac:dyDescent="0.3">
      <c r="A410" t="s">
        <v>319</v>
      </c>
      <c r="B410" t="s">
        <v>57</v>
      </c>
      <c r="C410" t="s">
        <v>29</v>
      </c>
      <c r="D410">
        <v>58</v>
      </c>
      <c r="E410">
        <v>7</v>
      </c>
      <c r="F410">
        <v>15</v>
      </c>
      <c r="G410">
        <v>22</v>
      </c>
      <c r="H410">
        <v>-3</v>
      </c>
      <c r="I410">
        <v>16</v>
      </c>
      <c r="J410">
        <v>61</v>
      </c>
      <c r="K410">
        <v>2</v>
      </c>
      <c r="L410">
        <v>0</v>
      </c>
      <c r="M410">
        <v>0</v>
      </c>
      <c r="N410">
        <v>1</v>
      </c>
      <c r="O410">
        <v>1</v>
      </c>
      <c r="P410">
        <v>36</v>
      </c>
      <c r="Q410">
        <v>28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</row>
    <row r="411" spans="1:25" x14ac:dyDescent="0.3">
      <c r="A411" t="s">
        <v>511</v>
      </c>
      <c r="B411" t="s">
        <v>100</v>
      </c>
      <c r="C411" t="s">
        <v>29</v>
      </c>
      <c r="D411">
        <v>76</v>
      </c>
      <c r="E411">
        <v>13</v>
      </c>
      <c r="F411">
        <v>9</v>
      </c>
      <c r="G411">
        <v>22</v>
      </c>
      <c r="H411">
        <v>6</v>
      </c>
      <c r="I411">
        <v>42</v>
      </c>
      <c r="J411">
        <v>134</v>
      </c>
      <c r="K411">
        <v>2</v>
      </c>
      <c r="L411">
        <v>0</v>
      </c>
      <c r="M411">
        <v>0</v>
      </c>
      <c r="N411">
        <v>0</v>
      </c>
      <c r="O411">
        <v>1</v>
      </c>
      <c r="P411">
        <v>180</v>
      </c>
      <c r="Q411">
        <v>33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</row>
    <row r="412" spans="1:25" x14ac:dyDescent="0.3">
      <c r="A412" t="s">
        <v>420</v>
      </c>
      <c r="B412" t="s">
        <v>54</v>
      </c>
      <c r="C412" t="s">
        <v>42</v>
      </c>
      <c r="D412">
        <v>58</v>
      </c>
      <c r="E412">
        <v>7</v>
      </c>
      <c r="F412">
        <v>15</v>
      </c>
      <c r="G412">
        <v>22</v>
      </c>
      <c r="H412">
        <v>-11</v>
      </c>
      <c r="I412">
        <v>30</v>
      </c>
      <c r="J412">
        <v>90</v>
      </c>
      <c r="K412">
        <v>0</v>
      </c>
      <c r="L412">
        <v>0</v>
      </c>
      <c r="M412">
        <v>2</v>
      </c>
      <c r="N412">
        <v>0</v>
      </c>
      <c r="O412">
        <v>0</v>
      </c>
      <c r="P412">
        <v>65</v>
      </c>
      <c r="Q412">
        <v>22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</row>
    <row r="413" spans="1:25" x14ac:dyDescent="0.3">
      <c r="A413" t="s">
        <v>326</v>
      </c>
      <c r="B413" t="s">
        <v>140</v>
      </c>
      <c r="C413" t="s">
        <v>93</v>
      </c>
      <c r="D413">
        <v>74</v>
      </c>
      <c r="E413">
        <v>4</v>
      </c>
      <c r="F413">
        <v>18</v>
      </c>
      <c r="G413">
        <v>22</v>
      </c>
      <c r="H413">
        <v>-9</v>
      </c>
      <c r="I413">
        <v>16</v>
      </c>
      <c r="J413">
        <v>102</v>
      </c>
      <c r="K413">
        <v>0</v>
      </c>
      <c r="L413">
        <v>2</v>
      </c>
      <c r="M413">
        <v>6</v>
      </c>
      <c r="N413">
        <v>0</v>
      </c>
      <c r="O413">
        <v>0</v>
      </c>
      <c r="P413">
        <v>42</v>
      </c>
      <c r="Q413">
        <v>89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</row>
    <row r="414" spans="1:25" x14ac:dyDescent="0.3">
      <c r="A414" t="s">
        <v>487</v>
      </c>
      <c r="B414" t="s">
        <v>100</v>
      </c>
      <c r="C414" t="s">
        <v>93</v>
      </c>
      <c r="D414">
        <v>69</v>
      </c>
      <c r="E414">
        <v>4</v>
      </c>
      <c r="F414">
        <v>18</v>
      </c>
      <c r="G414">
        <v>22</v>
      </c>
      <c r="H414">
        <v>15</v>
      </c>
      <c r="I414">
        <v>16</v>
      </c>
      <c r="J414">
        <v>92</v>
      </c>
      <c r="K414">
        <v>0</v>
      </c>
      <c r="L414">
        <v>0</v>
      </c>
      <c r="M414">
        <v>1</v>
      </c>
      <c r="N414">
        <v>0</v>
      </c>
      <c r="O414">
        <v>1</v>
      </c>
      <c r="P414">
        <v>91</v>
      </c>
      <c r="Q414">
        <v>134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</row>
    <row r="415" spans="1:25" x14ac:dyDescent="0.3">
      <c r="A415" t="s">
        <v>381</v>
      </c>
      <c r="B415" t="s">
        <v>48</v>
      </c>
      <c r="C415" t="s">
        <v>33</v>
      </c>
      <c r="D415">
        <v>82</v>
      </c>
      <c r="E415">
        <v>10</v>
      </c>
      <c r="F415">
        <v>12</v>
      </c>
      <c r="G415">
        <v>22</v>
      </c>
      <c r="H415">
        <v>-10</v>
      </c>
      <c r="I415">
        <v>87</v>
      </c>
      <c r="J415">
        <v>104</v>
      </c>
      <c r="K415">
        <v>1</v>
      </c>
      <c r="L415">
        <v>2</v>
      </c>
      <c r="M415">
        <v>1</v>
      </c>
      <c r="N415">
        <v>0</v>
      </c>
      <c r="O415">
        <v>0</v>
      </c>
      <c r="P415">
        <v>196</v>
      </c>
      <c r="Q415">
        <v>22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</row>
    <row r="416" spans="1:25" x14ac:dyDescent="0.3">
      <c r="A416" t="s">
        <v>425</v>
      </c>
      <c r="B416" t="s">
        <v>73</v>
      </c>
      <c r="C416" t="s">
        <v>29</v>
      </c>
      <c r="D416">
        <v>54</v>
      </c>
      <c r="E416">
        <v>9</v>
      </c>
      <c r="F416">
        <v>13</v>
      </c>
      <c r="G416">
        <v>22</v>
      </c>
      <c r="H416">
        <v>1</v>
      </c>
      <c r="I416">
        <v>17</v>
      </c>
      <c r="J416">
        <v>73</v>
      </c>
      <c r="K416">
        <v>1</v>
      </c>
      <c r="L416">
        <v>2</v>
      </c>
      <c r="M416">
        <v>2</v>
      </c>
      <c r="N416">
        <v>0</v>
      </c>
      <c r="O416">
        <v>0</v>
      </c>
      <c r="P416">
        <v>92</v>
      </c>
      <c r="Q416">
        <v>8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</row>
    <row r="417" spans="1:25" x14ac:dyDescent="0.3">
      <c r="A417" t="s">
        <v>518</v>
      </c>
      <c r="B417" t="s">
        <v>41</v>
      </c>
      <c r="C417" t="s">
        <v>93</v>
      </c>
      <c r="D417">
        <v>71</v>
      </c>
      <c r="E417">
        <v>6</v>
      </c>
      <c r="F417">
        <v>16</v>
      </c>
      <c r="G417">
        <v>22</v>
      </c>
      <c r="H417">
        <v>18</v>
      </c>
      <c r="I417">
        <v>26</v>
      </c>
      <c r="J417">
        <v>122</v>
      </c>
      <c r="K417">
        <v>1</v>
      </c>
      <c r="L417">
        <v>0</v>
      </c>
      <c r="M417">
        <v>1</v>
      </c>
      <c r="N417">
        <v>0</v>
      </c>
      <c r="O417">
        <v>1</v>
      </c>
      <c r="P417">
        <v>149</v>
      </c>
      <c r="Q417">
        <v>121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</row>
    <row r="418" spans="1:25" x14ac:dyDescent="0.3">
      <c r="A418" t="s">
        <v>552</v>
      </c>
      <c r="B418" t="s">
        <v>54</v>
      </c>
      <c r="C418" t="s">
        <v>93</v>
      </c>
      <c r="D418">
        <v>71</v>
      </c>
      <c r="E418">
        <v>8</v>
      </c>
      <c r="F418">
        <v>13</v>
      </c>
      <c r="G418">
        <v>21</v>
      </c>
      <c r="H418">
        <v>-13</v>
      </c>
      <c r="I418">
        <v>12</v>
      </c>
      <c r="J418">
        <v>88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89</v>
      </c>
      <c r="Q418">
        <v>92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</row>
    <row r="419" spans="1:25" x14ac:dyDescent="0.3">
      <c r="A419" t="s">
        <v>379</v>
      </c>
      <c r="B419" t="s">
        <v>37</v>
      </c>
      <c r="C419" t="s">
        <v>33</v>
      </c>
      <c r="D419">
        <v>69</v>
      </c>
      <c r="E419">
        <v>6</v>
      </c>
      <c r="F419">
        <v>15</v>
      </c>
      <c r="G419">
        <v>21</v>
      </c>
      <c r="H419">
        <v>-10</v>
      </c>
      <c r="I419">
        <v>65</v>
      </c>
      <c r="J419">
        <v>106</v>
      </c>
      <c r="K419">
        <v>1</v>
      </c>
      <c r="L419">
        <v>0</v>
      </c>
      <c r="M419">
        <v>1</v>
      </c>
      <c r="N419">
        <v>0</v>
      </c>
      <c r="O419">
        <v>1</v>
      </c>
      <c r="P419">
        <v>176</v>
      </c>
      <c r="Q419">
        <v>38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</row>
    <row r="420" spans="1:25" x14ac:dyDescent="0.3">
      <c r="A420" t="s">
        <v>448</v>
      </c>
      <c r="B420" t="s">
        <v>52</v>
      </c>
      <c r="C420" t="s">
        <v>93</v>
      </c>
      <c r="D420">
        <v>81</v>
      </c>
      <c r="E420">
        <v>2</v>
      </c>
      <c r="F420">
        <v>19</v>
      </c>
      <c r="G420">
        <v>21</v>
      </c>
      <c r="H420">
        <v>16</v>
      </c>
      <c r="I420">
        <v>74</v>
      </c>
      <c r="J420">
        <v>84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217</v>
      </c>
      <c r="Q420">
        <v>105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</row>
    <row r="421" spans="1:25" x14ac:dyDescent="0.3">
      <c r="A421" t="s">
        <v>424</v>
      </c>
      <c r="B421" t="s">
        <v>120</v>
      </c>
      <c r="C421" t="s">
        <v>42</v>
      </c>
      <c r="D421">
        <v>65</v>
      </c>
      <c r="E421">
        <v>10</v>
      </c>
      <c r="F421">
        <v>11</v>
      </c>
      <c r="G421">
        <v>21</v>
      </c>
      <c r="H421">
        <v>-10</v>
      </c>
      <c r="I421">
        <v>16</v>
      </c>
      <c r="J421">
        <v>124</v>
      </c>
      <c r="K421">
        <v>1</v>
      </c>
      <c r="L421">
        <v>1</v>
      </c>
      <c r="M421">
        <v>1</v>
      </c>
      <c r="N421">
        <v>1</v>
      </c>
      <c r="O421">
        <v>1</v>
      </c>
      <c r="P421">
        <v>121</v>
      </c>
      <c r="Q421">
        <v>28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</row>
    <row r="422" spans="1:25" x14ac:dyDescent="0.3">
      <c r="A422" t="s">
        <v>287</v>
      </c>
      <c r="B422" t="s">
        <v>35</v>
      </c>
      <c r="C422" t="s">
        <v>93</v>
      </c>
      <c r="D422">
        <v>60</v>
      </c>
      <c r="E422">
        <v>4</v>
      </c>
      <c r="F422">
        <v>17</v>
      </c>
      <c r="G422">
        <v>21</v>
      </c>
      <c r="H422">
        <v>1</v>
      </c>
      <c r="I422">
        <v>26</v>
      </c>
      <c r="J422">
        <v>99</v>
      </c>
      <c r="K422">
        <v>1</v>
      </c>
      <c r="L422">
        <v>0</v>
      </c>
      <c r="M422">
        <v>0</v>
      </c>
      <c r="N422">
        <v>0</v>
      </c>
      <c r="O422">
        <v>1</v>
      </c>
      <c r="P422">
        <v>123</v>
      </c>
      <c r="Q422">
        <v>89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</row>
    <row r="423" spans="1:25" x14ac:dyDescent="0.3">
      <c r="A423" t="s">
        <v>456</v>
      </c>
      <c r="B423" t="s">
        <v>54</v>
      </c>
      <c r="C423" t="s">
        <v>29</v>
      </c>
      <c r="D423">
        <v>49</v>
      </c>
      <c r="E423">
        <v>8</v>
      </c>
      <c r="F423">
        <v>13</v>
      </c>
      <c r="G423">
        <v>21</v>
      </c>
      <c r="H423">
        <v>-5</v>
      </c>
      <c r="I423">
        <v>32</v>
      </c>
      <c r="J423">
        <v>52</v>
      </c>
      <c r="K423">
        <v>1</v>
      </c>
      <c r="L423">
        <v>2</v>
      </c>
      <c r="M423">
        <v>1</v>
      </c>
      <c r="N423">
        <v>0</v>
      </c>
      <c r="O423">
        <v>0</v>
      </c>
      <c r="P423">
        <v>79</v>
      </c>
      <c r="Q423">
        <v>29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</row>
    <row r="424" spans="1:25" x14ac:dyDescent="0.3">
      <c r="A424" t="s">
        <v>357</v>
      </c>
      <c r="B424" t="s">
        <v>57</v>
      </c>
      <c r="C424" t="s">
        <v>29</v>
      </c>
      <c r="D424">
        <v>45</v>
      </c>
      <c r="E424">
        <v>7</v>
      </c>
      <c r="F424">
        <v>14</v>
      </c>
      <c r="G424">
        <v>21</v>
      </c>
      <c r="H424">
        <v>-7</v>
      </c>
      <c r="I424">
        <v>14</v>
      </c>
      <c r="J424">
        <v>83</v>
      </c>
      <c r="K424">
        <v>1</v>
      </c>
      <c r="L424">
        <v>1</v>
      </c>
      <c r="M424">
        <v>1</v>
      </c>
      <c r="N424">
        <v>0</v>
      </c>
      <c r="O424">
        <v>0</v>
      </c>
      <c r="P424">
        <v>52</v>
      </c>
      <c r="Q424">
        <v>13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</row>
    <row r="425" spans="1:25" x14ac:dyDescent="0.3">
      <c r="A425" t="s">
        <v>386</v>
      </c>
      <c r="B425" t="s">
        <v>140</v>
      </c>
      <c r="C425" t="s">
        <v>42</v>
      </c>
      <c r="D425">
        <v>57</v>
      </c>
      <c r="E425">
        <v>14</v>
      </c>
      <c r="F425">
        <v>7</v>
      </c>
      <c r="G425">
        <v>21</v>
      </c>
      <c r="H425">
        <v>2</v>
      </c>
      <c r="I425">
        <v>9</v>
      </c>
      <c r="J425">
        <v>133</v>
      </c>
      <c r="K425">
        <v>1</v>
      </c>
      <c r="L425">
        <v>2</v>
      </c>
      <c r="M425">
        <v>0</v>
      </c>
      <c r="N425">
        <v>0</v>
      </c>
      <c r="O425">
        <v>0</v>
      </c>
      <c r="P425">
        <v>38</v>
      </c>
      <c r="Q425">
        <v>9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</row>
    <row r="426" spans="1:25" x14ac:dyDescent="0.3">
      <c r="A426" t="s">
        <v>524</v>
      </c>
      <c r="B426" t="s">
        <v>35</v>
      </c>
      <c r="C426" t="s">
        <v>29</v>
      </c>
      <c r="D426">
        <v>65</v>
      </c>
      <c r="E426">
        <v>10</v>
      </c>
      <c r="F426">
        <v>11</v>
      </c>
      <c r="G426">
        <v>21</v>
      </c>
      <c r="H426">
        <v>7</v>
      </c>
      <c r="I426">
        <v>50</v>
      </c>
      <c r="J426">
        <v>90</v>
      </c>
      <c r="K426">
        <v>1</v>
      </c>
      <c r="L426">
        <v>0</v>
      </c>
      <c r="M426">
        <v>0</v>
      </c>
      <c r="N426">
        <v>0</v>
      </c>
      <c r="O426">
        <v>0</v>
      </c>
      <c r="P426">
        <v>127</v>
      </c>
      <c r="Q426">
        <v>16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</row>
    <row r="427" spans="1:25" x14ac:dyDescent="0.3">
      <c r="A427" t="s">
        <v>291</v>
      </c>
      <c r="B427" t="s">
        <v>37</v>
      </c>
      <c r="C427" t="s">
        <v>93</v>
      </c>
      <c r="D427">
        <v>74</v>
      </c>
      <c r="E427">
        <v>4</v>
      </c>
      <c r="F427">
        <v>17</v>
      </c>
      <c r="G427">
        <v>21</v>
      </c>
      <c r="H427">
        <v>0</v>
      </c>
      <c r="I427">
        <v>28</v>
      </c>
      <c r="J427">
        <v>137</v>
      </c>
      <c r="K427">
        <v>0</v>
      </c>
      <c r="L427">
        <v>0</v>
      </c>
      <c r="M427">
        <v>5</v>
      </c>
      <c r="N427">
        <v>0</v>
      </c>
      <c r="O427">
        <v>0</v>
      </c>
      <c r="P427">
        <v>97</v>
      </c>
      <c r="Q427">
        <v>56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</row>
    <row r="428" spans="1:25" x14ac:dyDescent="0.3">
      <c r="A428" t="s">
        <v>321</v>
      </c>
      <c r="B428" t="s">
        <v>37</v>
      </c>
      <c r="C428" t="s">
        <v>93</v>
      </c>
      <c r="D428">
        <v>64</v>
      </c>
      <c r="E428">
        <v>4</v>
      </c>
      <c r="F428">
        <v>17</v>
      </c>
      <c r="G428">
        <v>21</v>
      </c>
      <c r="H428">
        <v>16</v>
      </c>
      <c r="I428">
        <v>24</v>
      </c>
      <c r="J428">
        <v>108</v>
      </c>
      <c r="K428">
        <v>1</v>
      </c>
      <c r="L428">
        <v>0</v>
      </c>
      <c r="M428">
        <v>6</v>
      </c>
      <c r="N428">
        <v>0</v>
      </c>
      <c r="O428">
        <v>0</v>
      </c>
      <c r="P428">
        <v>39</v>
      </c>
      <c r="Q428">
        <v>74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</row>
    <row r="429" spans="1:25" x14ac:dyDescent="0.3">
      <c r="A429" t="s">
        <v>505</v>
      </c>
      <c r="B429" t="s">
        <v>32</v>
      </c>
      <c r="C429" t="s">
        <v>93</v>
      </c>
      <c r="D429">
        <v>82</v>
      </c>
      <c r="E429">
        <v>7</v>
      </c>
      <c r="F429">
        <v>14</v>
      </c>
      <c r="G429">
        <v>21</v>
      </c>
      <c r="H429">
        <v>22</v>
      </c>
      <c r="I429">
        <v>24</v>
      </c>
      <c r="J429">
        <v>105</v>
      </c>
      <c r="K429">
        <v>1</v>
      </c>
      <c r="L429">
        <v>1</v>
      </c>
      <c r="M429">
        <v>1</v>
      </c>
      <c r="N429">
        <v>0</v>
      </c>
      <c r="O429">
        <v>1</v>
      </c>
      <c r="P429">
        <v>154</v>
      </c>
      <c r="Q429">
        <v>101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</row>
    <row r="430" spans="1:25" x14ac:dyDescent="0.3">
      <c r="A430" t="s">
        <v>412</v>
      </c>
      <c r="B430" t="s">
        <v>82</v>
      </c>
      <c r="C430" t="s">
        <v>33</v>
      </c>
      <c r="D430">
        <v>69</v>
      </c>
      <c r="E430">
        <v>8</v>
      </c>
      <c r="F430">
        <v>13</v>
      </c>
      <c r="G430">
        <v>21</v>
      </c>
      <c r="H430">
        <v>8</v>
      </c>
      <c r="I430">
        <v>26</v>
      </c>
      <c r="J430">
        <v>88</v>
      </c>
      <c r="K430">
        <v>2</v>
      </c>
      <c r="L430">
        <v>0</v>
      </c>
      <c r="M430">
        <v>0</v>
      </c>
      <c r="N430">
        <v>1</v>
      </c>
      <c r="O430">
        <v>1</v>
      </c>
      <c r="P430">
        <v>68</v>
      </c>
      <c r="Q430">
        <v>16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</row>
    <row r="431" spans="1:25" x14ac:dyDescent="0.3">
      <c r="A431" t="s">
        <v>747</v>
      </c>
      <c r="B431" t="s">
        <v>132</v>
      </c>
      <c r="C431" t="s">
        <v>93</v>
      </c>
      <c r="D431">
        <v>62</v>
      </c>
      <c r="E431">
        <v>6</v>
      </c>
      <c r="F431">
        <v>15</v>
      </c>
      <c r="G431">
        <v>21</v>
      </c>
      <c r="H431">
        <v>-19</v>
      </c>
      <c r="I431">
        <v>15</v>
      </c>
      <c r="J431">
        <v>68</v>
      </c>
      <c r="K431">
        <v>0</v>
      </c>
      <c r="L431">
        <v>2</v>
      </c>
      <c r="M431">
        <v>6</v>
      </c>
      <c r="N431">
        <v>0</v>
      </c>
      <c r="O431">
        <v>0</v>
      </c>
      <c r="P431">
        <v>39</v>
      </c>
      <c r="Q431">
        <v>81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</row>
    <row r="432" spans="1:25" x14ac:dyDescent="0.3">
      <c r="A432" t="s">
        <v>349</v>
      </c>
      <c r="B432" t="s">
        <v>140</v>
      </c>
      <c r="C432" t="s">
        <v>33</v>
      </c>
      <c r="D432">
        <v>58</v>
      </c>
      <c r="E432">
        <v>11</v>
      </c>
      <c r="F432">
        <v>10</v>
      </c>
      <c r="G432">
        <v>21</v>
      </c>
      <c r="H432">
        <v>5</v>
      </c>
      <c r="I432">
        <v>27</v>
      </c>
      <c r="J432">
        <v>89</v>
      </c>
      <c r="K432">
        <v>2</v>
      </c>
      <c r="L432">
        <v>1</v>
      </c>
      <c r="M432">
        <v>2</v>
      </c>
      <c r="N432">
        <v>1</v>
      </c>
      <c r="O432">
        <v>0</v>
      </c>
      <c r="P432">
        <v>206</v>
      </c>
      <c r="Q432">
        <v>49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</row>
    <row r="433" spans="1:25" x14ac:dyDescent="0.3">
      <c r="A433" t="s">
        <v>682</v>
      </c>
      <c r="B433" t="s">
        <v>44</v>
      </c>
      <c r="C433" t="s">
        <v>93</v>
      </c>
      <c r="D433">
        <v>72</v>
      </c>
      <c r="E433">
        <v>6</v>
      </c>
      <c r="F433">
        <v>15</v>
      </c>
      <c r="G433">
        <v>21</v>
      </c>
      <c r="H433">
        <v>-6</v>
      </c>
      <c r="I433">
        <v>24</v>
      </c>
      <c r="J433">
        <v>76</v>
      </c>
      <c r="K433">
        <v>1</v>
      </c>
      <c r="L433">
        <v>0</v>
      </c>
      <c r="M433">
        <v>1</v>
      </c>
      <c r="N433">
        <v>0</v>
      </c>
      <c r="O433">
        <v>0</v>
      </c>
      <c r="P433">
        <v>98</v>
      </c>
      <c r="Q433">
        <v>84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</row>
    <row r="434" spans="1:25" x14ac:dyDescent="0.3">
      <c r="A434" t="s">
        <v>699</v>
      </c>
      <c r="B434" t="s">
        <v>95</v>
      </c>
      <c r="C434" t="s">
        <v>33</v>
      </c>
      <c r="D434">
        <v>40</v>
      </c>
      <c r="E434">
        <v>8</v>
      </c>
      <c r="F434">
        <v>13</v>
      </c>
      <c r="G434">
        <v>21</v>
      </c>
      <c r="H434">
        <v>-7</v>
      </c>
      <c r="I434">
        <v>15</v>
      </c>
      <c r="J434">
        <v>78</v>
      </c>
      <c r="K434">
        <v>3</v>
      </c>
      <c r="L434">
        <v>0</v>
      </c>
      <c r="M434">
        <v>0</v>
      </c>
      <c r="N434">
        <v>0</v>
      </c>
      <c r="O434">
        <v>0</v>
      </c>
      <c r="P434">
        <v>90</v>
      </c>
      <c r="Q434">
        <v>13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</row>
    <row r="435" spans="1:25" x14ac:dyDescent="0.3">
      <c r="A435" t="s">
        <v>796</v>
      </c>
      <c r="B435" t="s">
        <v>120</v>
      </c>
      <c r="C435" t="s">
        <v>29</v>
      </c>
      <c r="D435">
        <v>48</v>
      </c>
      <c r="E435">
        <v>8</v>
      </c>
      <c r="F435">
        <v>13</v>
      </c>
      <c r="G435">
        <v>21</v>
      </c>
      <c r="H435">
        <v>-5</v>
      </c>
      <c r="I435">
        <v>11</v>
      </c>
      <c r="J435">
        <v>56</v>
      </c>
      <c r="K435">
        <v>0</v>
      </c>
      <c r="L435">
        <v>0</v>
      </c>
      <c r="M435">
        <v>1</v>
      </c>
      <c r="N435">
        <v>1</v>
      </c>
      <c r="O435">
        <v>0</v>
      </c>
      <c r="P435">
        <v>16</v>
      </c>
      <c r="Q435">
        <v>18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</row>
    <row r="436" spans="1:25" x14ac:dyDescent="0.3">
      <c r="A436" t="s">
        <v>540</v>
      </c>
      <c r="B436" t="s">
        <v>82</v>
      </c>
      <c r="C436" t="s">
        <v>93</v>
      </c>
      <c r="D436">
        <v>69</v>
      </c>
      <c r="E436">
        <v>3</v>
      </c>
      <c r="F436">
        <v>18</v>
      </c>
      <c r="G436">
        <v>21</v>
      </c>
      <c r="H436">
        <v>18</v>
      </c>
      <c r="I436">
        <v>24</v>
      </c>
      <c r="J436">
        <v>148</v>
      </c>
      <c r="K436">
        <v>0</v>
      </c>
      <c r="L436">
        <v>0</v>
      </c>
      <c r="M436">
        <v>2</v>
      </c>
      <c r="N436">
        <v>0</v>
      </c>
      <c r="O436">
        <v>1</v>
      </c>
      <c r="P436">
        <v>126</v>
      </c>
      <c r="Q436">
        <v>107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</row>
    <row r="437" spans="1:25" x14ac:dyDescent="0.3">
      <c r="A437" t="s">
        <v>387</v>
      </c>
      <c r="B437" t="s">
        <v>98</v>
      </c>
      <c r="C437" t="s">
        <v>93</v>
      </c>
      <c r="D437">
        <v>65</v>
      </c>
      <c r="E437">
        <v>5</v>
      </c>
      <c r="F437">
        <v>15</v>
      </c>
      <c r="G437">
        <v>20</v>
      </c>
      <c r="H437">
        <v>10</v>
      </c>
      <c r="I437">
        <v>48</v>
      </c>
      <c r="J437">
        <v>138</v>
      </c>
      <c r="K437">
        <v>1</v>
      </c>
      <c r="L437">
        <v>0</v>
      </c>
      <c r="M437">
        <v>1</v>
      </c>
      <c r="N437">
        <v>0</v>
      </c>
      <c r="O437">
        <v>0</v>
      </c>
      <c r="P437">
        <v>85</v>
      </c>
      <c r="Q437">
        <v>93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</row>
    <row r="438" spans="1:25" x14ac:dyDescent="0.3">
      <c r="A438" t="s">
        <v>507</v>
      </c>
      <c r="B438" t="s">
        <v>98</v>
      </c>
      <c r="C438" t="s">
        <v>93</v>
      </c>
      <c r="D438">
        <v>69</v>
      </c>
      <c r="E438">
        <v>7</v>
      </c>
      <c r="F438">
        <v>13</v>
      </c>
      <c r="G438">
        <v>20</v>
      </c>
      <c r="H438">
        <v>18</v>
      </c>
      <c r="I438">
        <v>24</v>
      </c>
      <c r="J438">
        <v>105</v>
      </c>
      <c r="K438">
        <v>1</v>
      </c>
      <c r="L438">
        <v>0</v>
      </c>
      <c r="M438">
        <v>0</v>
      </c>
      <c r="N438">
        <v>0</v>
      </c>
      <c r="O438">
        <v>1</v>
      </c>
      <c r="P438">
        <v>114</v>
      </c>
      <c r="Q438">
        <v>126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</row>
    <row r="439" spans="1:25" x14ac:dyDescent="0.3">
      <c r="A439" t="s">
        <v>418</v>
      </c>
      <c r="B439" t="s">
        <v>71</v>
      </c>
      <c r="C439" t="s">
        <v>93</v>
      </c>
      <c r="D439">
        <v>72</v>
      </c>
      <c r="E439">
        <v>2</v>
      </c>
      <c r="F439">
        <v>18</v>
      </c>
      <c r="G439">
        <v>20</v>
      </c>
      <c r="H439">
        <v>-8</v>
      </c>
      <c r="I439">
        <v>22</v>
      </c>
      <c r="J439">
        <v>75</v>
      </c>
      <c r="K439">
        <v>0</v>
      </c>
      <c r="L439">
        <v>0</v>
      </c>
      <c r="M439">
        <v>5</v>
      </c>
      <c r="N439">
        <v>0</v>
      </c>
      <c r="O439">
        <v>0</v>
      </c>
      <c r="P439">
        <v>167</v>
      </c>
      <c r="Q439">
        <v>162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</row>
    <row r="440" spans="1:25" x14ac:dyDescent="0.3">
      <c r="A440" t="s">
        <v>651</v>
      </c>
      <c r="B440" t="s">
        <v>132</v>
      </c>
      <c r="C440" t="s">
        <v>29</v>
      </c>
      <c r="D440">
        <v>68</v>
      </c>
      <c r="E440">
        <v>6</v>
      </c>
      <c r="F440">
        <v>14</v>
      </c>
      <c r="G440">
        <v>20</v>
      </c>
      <c r="H440">
        <v>-13</v>
      </c>
      <c r="I440">
        <v>18</v>
      </c>
      <c r="J440">
        <v>103</v>
      </c>
      <c r="K440">
        <v>0</v>
      </c>
      <c r="L440">
        <v>1</v>
      </c>
      <c r="M440">
        <v>2</v>
      </c>
      <c r="N440">
        <v>0</v>
      </c>
      <c r="O440">
        <v>0</v>
      </c>
      <c r="P440">
        <v>54</v>
      </c>
      <c r="Q440">
        <v>35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</row>
    <row r="441" spans="1:25" x14ac:dyDescent="0.3">
      <c r="A441" t="s">
        <v>441</v>
      </c>
      <c r="B441" t="s">
        <v>87</v>
      </c>
      <c r="C441" t="s">
        <v>29</v>
      </c>
      <c r="D441">
        <v>69</v>
      </c>
      <c r="E441">
        <v>8</v>
      </c>
      <c r="F441">
        <v>12</v>
      </c>
      <c r="G441">
        <v>20</v>
      </c>
      <c r="H441">
        <v>6</v>
      </c>
      <c r="I441">
        <v>32</v>
      </c>
      <c r="J441">
        <v>106</v>
      </c>
      <c r="K441">
        <v>2</v>
      </c>
      <c r="L441">
        <v>0</v>
      </c>
      <c r="M441">
        <v>0</v>
      </c>
      <c r="N441">
        <v>0</v>
      </c>
      <c r="O441">
        <v>1</v>
      </c>
      <c r="P441">
        <v>48</v>
      </c>
      <c r="Q441">
        <v>29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</row>
    <row r="442" spans="1:25" x14ac:dyDescent="0.3">
      <c r="A442" t="s">
        <v>470</v>
      </c>
      <c r="B442" t="s">
        <v>98</v>
      </c>
      <c r="C442" t="s">
        <v>29</v>
      </c>
      <c r="D442">
        <v>61</v>
      </c>
      <c r="E442">
        <v>8</v>
      </c>
      <c r="F442">
        <v>12</v>
      </c>
      <c r="G442">
        <v>20</v>
      </c>
      <c r="H442">
        <v>7</v>
      </c>
      <c r="I442">
        <v>18</v>
      </c>
      <c r="J442">
        <v>57</v>
      </c>
      <c r="K442">
        <v>1</v>
      </c>
      <c r="L442">
        <v>0</v>
      </c>
      <c r="M442">
        <v>0</v>
      </c>
      <c r="N442">
        <v>0</v>
      </c>
      <c r="O442">
        <v>1</v>
      </c>
      <c r="P442">
        <v>79</v>
      </c>
      <c r="Q442">
        <v>46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</row>
    <row r="443" spans="1:25" x14ac:dyDescent="0.3">
      <c r="A443" t="s">
        <v>500</v>
      </c>
      <c r="B443" t="s">
        <v>75</v>
      </c>
      <c r="C443" t="s">
        <v>29</v>
      </c>
      <c r="D443">
        <v>57</v>
      </c>
      <c r="E443">
        <v>8</v>
      </c>
      <c r="F443">
        <v>12</v>
      </c>
      <c r="G443">
        <v>20</v>
      </c>
      <c r="H443">
        <v>4</v>
      </c>
      <c r="I443">
        <v>26</v>
      </c>
      <c r="J443">
        <v>98</v>
      </c>
      <c r="K443">
        <v>2</v>
      </c>
      <c r="L443">
        <v>0</v>
      </c>
      <c r="M443">
        <v>0</v>
      </c>
      <c r="N443">
        <v>1</v>
      </c>
      <c r="O443">
        <v>0</v>
      </c>
      <c r="P443">
        <v>125</v>
      </c>
      <c r="Q443">
        <v>63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</row>
    <row r="444" spans="1:25" x14ac:dyDescent="0.3">
      <c r="A444" t="s">
        <v>525</v>
      </c>
      <c r="B444" t="s">
        <v>84</v>
      </c>
      <c r="C444" t="s">
        <v>93</v>
      </c>
      <c r="D444">
        <v>68</v>
      </c>
      <c r="E444">
        <v>7</v>
      </c>
      <c r="F444">
        <v>13</v>
      </c>
      <c r="G444">
        <v>20</v>
      </c>
      <c r="H444">
        <v>-13</v>
      </c>
      <c r="I444">
        <v>52</v>
      </c>
      <c r="J444">
        <v>121</v>
      </c>
      <c r="K444">
        <v>1</v>
      </c>
      <c r="L444">
        <v>1</v>
      </c>
      <c r="M444">
        <v>1</v>
      </c>
      <c r="N444">
        <v>0</v>
      </c>
      <c r="O444">
        <v>1</v>
      </c>
      <c r="P444">
        <v>134</v>
      </c>
      <c r="Q444">
        <v>125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</row>
    <row r="445" spans="1:25" x14ac:dyDescent="0.3">
      <c r="A445" t="s">
        <v>340</v>
      </c>
      <c r="B445" t="s">
        <v>132</v>
      </c>
      <c r="C445" t="s">
        <v>93</v>
      </c>
      <c r="D445">
        <v>73</v>
      </c>
      <c r="E445">
        <v>3</v>
      </c>
      <c r="F445">
        <v>17</v>
      </c>
      <c r="G445">
        <v>20</v>
      </c>
      <c r="H445">
        <v>-14</v>
      </c>
      <c r="I445">
        <v>44</v>
      </c>
      <c r="J445">
        <v>107</v>
      </c>
      <c r="K445">
        <v>0</v>
      </c>
      <c r="L445">
        <v>0</v>
      </c>
      <c r="M445">
        <v>2</v>
      </c>
      <c r="N445">
        <v>0</v>
      </c>
      <c r="O445">
        <v>0</v>
      </c>
      <c r="P445">
        <v>236</v>
      </c>
      <c r="Q445">
        <v>130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</row>
    <row r="446" spans="1:25" x14ac:dyDescent="0.3">
      <c r="A446" t="s">
        <v>464</v>
      </c>
      <c r="B446" t="s">
        <v>32</v>
      </c>
      <c r="C446" t="s">
        <v>33</v>
      </c>
      <c r="D446">
        <v>63</v>
      </c>
      <c r="E446">
        <v>7</v>
      </c>
      <c r="F446">
        <v>13</v>
      </c>
      <c r="G446">
        <v>20</v>
      </c>
      <c r="H446">
        <v>3</v>
      </c>
      <c r="I446">
        <v>44</v>
      </c>
      <c r="J446">
        <v>75</v>
      </c>
      <c r="K446">
        <v>1</v>
      </c>
      <c r="L446">
        <v>1</v>
      </c>
      <c r="M446">
        <v>1</v>
      </c>
      <c r="N446">
        <v>0</v>
      </c>
      <c r="O446">
        <v>0</v>
      </c>
      <c r="P446">
        <v>174</v>
      </c>
      <c r="Q446">
        <v>23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</row>
    <row r="447" spans="1:25" x14ac:dyDescent="0.3">
      <c r="A447" t="s">
        <v>433</v>
      </c>
      <c r="B447" t="s">
        <v>39</v>
      </c>
      <c r="C447" t="s">
        <v>93</v>
      </c>
      <c r="D447">
        <v>64</v>
      </c>
      <c r="E447">
        <v>3</v>
      </c>
      <c r="F447">
        <v>17</v>
      </c>
      <c r="G447">
        <v>20</v>
      </c>
      <c r="H447">
        <v>-7</v>
      </c>
      <c r="I447">
        <v>16</v>
      </c>
      <c r="J447">
        <v>88</v>
      </c>
      <c r="K447">
        <v>0</v>
      </c>
      <c r="L447">
        <v>0</v>
      </c>
      <c r="M447">
        <v>5</v>
      </c>
      <c r="N447">
        <v>0</v>
      </c>
      <c r="O447">
        <v>0</v>
      </c>
      <c r="P447">
        <v>54</v>
      </c>
      <c r="Q447">
        <v>58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</row>
    <row r="448" spans="1:25" x14ac:dyDescent="0.3">
      <c r="A448" t="s">
        <v>398</v>
      </c>
      <c r="B448" t="s">
        <v>35</v>
      </c>
      <c r="C448" t="s">
        <v>93</v>
      </c>
      <c r="D448">
        <v>76</v>
      </c>
      <c r="E448">
        <v>2</v>
      </c>
      <c r="F448">
        <v>18</v>
      </c>
      <c r="G448">
        <v>20</v>
      </c>
      <c r="H448">
        <v>14</v>
      </c>
      <c r="I448">
        <v>43</v>
      </c>
      <c r="J448">
        <v>78</v>
      </c>
      <c r="K448">
        <v>0</v>
      </c>
      <c r="L448">
        <v>0</v>
      </c>
      <c r="M448">
        <v>0</v>
      </c>
      <c r="N448">
        <v>1</v>
      </c>
      <c r="O448">
        <v>1</v>
      </c>
      <c r="P448">
        <v>138</v>
      </c>
      <c r="Q448">
        <v>111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</row>
    <row r="449" spans="1:25" x14ac:dyDescent="0.3">
      <c r="A449" t="s">
        <v>1030</v>
      </c>
      <c r="B449" t="s">
        <v>54</v>
      </c>
      <c r="C449" t="s">
        <v>29</v>
      </c>
      <c r="D449">
        <v>62</v>
      </c>
      <c r="E449">
        <v>10</v>
      </c>
      <c r="F449">
        <v>10</v>
      </c>
      <c r="G449">
        <v>20</v>
      </c>
      <c r="H449">
        <v>4</v>
      </c>
      <c r="I449">
        <v>26</v>
      </c>
      <c r="J449">
        <v>82</v>
      </c>
      <c r="K449">
        <v>1</v>
      </c>
      <c r="L449">
        <v>0</v>
      </c>
      <c r="M449">
        <v>0</v>
      </c>
      <c r="N449">
        <v>1</v>
      </c>
      <c r="O449">
        <v>0</v>
      </c>
      <c r="P449">
        <v>91</v>
      </c>
      <c r="Q449">
        <v>38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</row>
    <row r="450" spans="1:25" x14ac:dyDescent="0.3">
      <c r="A450" t="s">
        <v>492</v>
      </c>
      <c r="B450" t="s">
        <v>181</v>
      </c>
      <c r="C450" t="s">
        <v>42</v>
      </c>
      <c r="D450">
        <v>61</v>
      </c>
      <c r="E450">
        <v>7</v>
      </c>
      <c r="F450">
        <v>13</v>
      </c>
      <c r="G450">
        <v>20</v>
      </c>
      <c r="H450">
        <v>-8</v>
      </c>
      <c r="I450">
        <v>75</v>
      </c>
      <c r="J450">
        <v>67</v>
      </c>
      <c r="K450">
        <v>1</v>
      </c>
      <c r="L450">
        <v>1</v>
      </c>
      <c r="M450">
        <v>0</v>
      </c>
      <c r="N450">
        <v>0</v>
      </c>
      <c r="O450">
        <v>1</v>
      </c>
      <c r="P450">
        <v>173</v>
      </c>
      <c r="Q450">
        <v>8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</row>
    <row r="451" spans="1:25" x14ac:dyDescent="0.3">
      <c r="A451" t="s">
        <v>153</v>
      </c>
      <c r="B451" t="s">
        <v>63</v>
      </c>
      <c r="C451" t="s">
        <v>33</v>
      </c>
      <c r="D451">
        <v>25</v>
      </c>
      <c r="E451">
        <v>9</v>
      </c>
      <c r="F451">
        <v>11</v>
      </c>
      <c r="G451">
        <v>20</v>
      </c>
      <c r="H451">
        <v>5</v>
      </c>
      <c r="I451">
        <v>15</v>
      </c>
      <c r="J451">
        <v>86</v>
      </c>
      <c r="K451">
        <v>2</v>
      </c>
      <c r="L451">
        <v>2</v>
      </c>
      <c r="M451">
        <v>3</v>
      </c>
      <c r="N451">
        <v>0</v>
      </c>
      <c r="O451">
        <v>0</v>
      </c>
      <c r="P451">
        <v>20</v>
      </c>
      <c r="Q451">
        <v>11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</row>
    <row r="452" spans="1:25" x14ac:dyDescent="0.3">
      <c r="A452" t="s">
        <v>358</v>
      </c>
      <c r="B452" t="s">
        <v>79</v>
      </c>
      <c r="C452" t="s">
        <v>93</v>
      </c>
      <c r="D452">
        <v>81</v>
      </c>
      <c r="E452">
        <v>3</v>
      </c>
      <c r="F452">
        <v>17</v>
      </c>
      <c r="G452">
        <v>20</v>
      </c>
      <c r="H452">
        <v>8</v>
      </c>
      <c r="I452">
        <v>66</v>
      </c>
      <c r="J452">
        <v>133</v>
      </c>
      <c r="K452">
        <v>1</v>
      </c>
      <c r="L452">
        <v>0</v>
      </c>
      <c r="M452">
        <v>2</v>
      </c>
      <c r="N452">
        <v>0</v>
      </c>
      <c r="O452">
        <v>1</v>
      </c>
      <c r="P452">
        <v>137</v>
      </c>
      <c r="Q452">
        <v>142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</row>
    <row r="453" spans="1:25" x14ac:dyDescent="0.3">
      <c r="A453" t="s">
        <v>575</v>
      </c>
      <c r="B453" t="s">
        <v>46</v>
      </c>
      <c r="C453" t="s">
        <v>93</v>
      </c>
      <c r="D453">
        <v>71</v>
      </c>
      <c r="E453">
        <v>2</v>
      </c>
      <c r="F453">
        <v>17</v>
      </c>
      <c r="G453">
        <v>19</v>
      </c>
      <c r="H453">
        <v>9</v>
      </c>
      <c r="I453">
        <v>38</v>
      </c>
      <c r="J453">
        <v>80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114</v>
      </c>
      <c r="Q453">
        <v>73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</row>
    <row r="454" spans="1:25" x14ac:dyDescent="0.3">
      <c r="A454" t="s">
        <v>523</v>
      </c>
      <c r="B454" t="s">
        <v>196</v>
      </c>
      <c r="C454" t="s">
        <v>29</v>
      </c>
      <c r="D454">
        <v>66</v>
      </c>
      <c r="E454">
        <v>11</v>
      </c>
      <c r="F454">
        <v>8</v>
      </c>
      <c r="G454">
        <v>19</v>
      </c>
      <c r="H454">
        <v>-9</v>
      </c>
      <c r="I454">
        <v>28</v>
      </c>
      <c r="J454">
        <v>107</v>
      </c>
      <c r="K454">
        <v>2</v>
      </c>
      <c r="L454">
        <v>1</v>
      </c>
      <c r="M454">
        <v>2</v>
      </c>
      <c r="N454">
        <v>1</v>
      </c>
      <c r="O454">
        <v>0</v>
      </c>
      <c r="P454">
        <v>106</v>
      </c>
      <c r="Q454">
        <v>27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</row>
    <row r="455" spans="1:25" x14ac:dyDescent="0.3">
      <c r="A455" t="s">
        <v>484</v>
      </c>
      <c r="B455" t="s">
        <v>41</v>
      </c>
      <c r="C455" t="s">
        <v>93</v>
      </c>
      <c r="D455">
        <v>66</v>
      </c>
      <c r="E455">
        <v>4</v>
      </c>
      <c r="F455">
        <v>15</v>
      </c>
      <c r="G455">
        <v>19</v>
      </c>
      <c r="H455">
        <v>11</v>
      </c>
      <c r="I455">
        <v>66</v>
      </c>
      <c r="J455">
        <v>95</v>
      </c>
      <c r="K455">
        <v>1</v>
      </c>
      <c r="L455">
        <v>0</v>
      </c>
      <c r="M455">
        <v>0</v>
      </c>
      <c r="N455">
        <v>0</v>
      </c>
      <c r="O455">
        <v>0</v>
      </c>
      <c r="P455">
        <v>174</v>
      </c>
      <c r="Q455">
        <v>81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</row>
    <row r="456" spans="1:25" x14ac:dyDescent="0.3">
      <c r="A456" t="s">
        <v>532</v>
      </c>
      <c r="B456" t="s">
        <v>39</v>
      </c>
      <c r="C456" t="s">
        <v>93</v>
      </c>
      <c r="D456">
        <v>78</v>
      </c>
      <c r="E456">
        <v>4</v>
      </c>
      <c r="F456">
        <v>15</v>
      </c>
      <c r="G456">
        <v>19</v>
      </c>
      <c r="H456">
        <v>24</v>
      </c>
      <c r="I456">
        <v>20</v>
      </c>
      <c r="J456">
        <v>90</v>
      </c>
      <c r="K456">
        <v>1</v>
      </c>
      <c r="L456">
        <v>0</v>
      </c>
      <c r="M456">
        <v>0</v>
      </c>
      <c r="N456">
        <v>0</v>
      </c>
      <c r="O456">
        <v>0</v>
      </c>
      <c r="P456">
        <v>108</v>
      </c>
      <c r="Q456">
        <v>95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</row>
    <row r="457" spans="1:25" x14ac:dyDescent="0.3">
      <c r="A457" t="s">
        <v>831</v>
      </c>
      <c r="B457" t="s">
        <v>73</v>
      </c>
      <c r="C457" t="s">
        <v>29</v>
      </c>
      <c r="D457">
        <v>77</v>
      </c>
      <c r="E457">
        <v>11</v>
      </c>
      <c r="F457">
        <v>8</v>
      </c>
      <c r="G457">
        <v>19</v>
      </c>
      <c r="H457">
        <v>-7</v>
      </c>
      <c r="I457">
        <v>125</v>
      </c>
      <c r="J457">
        <v>93</v>
      </c>
      <c r="K457">
        <v>0</v>
      </c>
      <c r="L457">
        <v>0</v>
      </c>
      <c r="M457">
        <v>0</v>
      </c>
      <c r="N457">
        <v>0</v>
      </c>
      <c r="O457">
        <v>1</v>
      </c>
      <c r="P457">
        <v>230</v>
      </c>
      <c r="Q457">
        <v>51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</row>
    <row r="458" spans="1:25" x14ac:dyDescent="0.3">
      <c r="A458" t="s">
        <v>481</v>
      </c>
      <c r="B458" t="s">
        <v>73</v>
      </c>
      <c r="C458" t="s">
        <v>29</v>
      </c>
      <c r="D458">
        <v>67</v>
      </c>
      <c r="E458">
        <v>5</v>
      </c>
      <c r="F458">
        <v>14</v>
      </c>
      <c r="G458">
        <v>19</v>
      </c>
      <c r="H458">
        <v>5</v>
      </c>
      <c r="I458">
        <v>34</v>
      </c>
      <c r="J458">
        <v>72</v>
      </c>
      <c r="K458">
        <v>0</v>
      </c>
      <c r="L458">
        <v>1</v>
      </c>
      <c r="M458">
        <v>2</v>
      </c>
      <c r="N458">
        <v>0</v>
      </c>
      <c r="O458">
        <v>0</v>
      </c>
      <c r="P458">
        <v>53</v>
      </c>
      <c r="Q458">
        <v>21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</row>
    <row r="459" spans="1:25" x14ac:dyDescent="0.3">
      <c r="A459" t="s">
        <v>1031</v>
      </c>
      <c r="B459" t="s">
        <v>181</v>
      </c>
      <c r="C459" t="s">
        <v>29</v>
      </c>
      <c r="D459">
        <v>65</v>
      </c>
      <c r="E459">
        <v>9</v>
      </c>
      <c r="F459">
        <v>10</v>
      </c>
      <c r="G459">
        <v>19</v>
      </c>
      <c r="H459">
        <v>-18</v>
      </c>
      <c r="I459">
        <v>42</v>
      </c>
      <c r="J459">
        <v>93</v>
      </c>
      <c r="K459">
        <v>0</v>
      </c>
      <c r="L459">
        <v>1</v>
      </c>
      <c r="M459">
        <v>3</v>
      </c>
      <c r="N459">
        <v>0</v>
      </c>
      <c r="O459">
        <v>0</v>
      </c>
      <c r="P459">
        <v>172</v>
      </c>
      <c r="Q459">
        <v>41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</row>
    <row r="460" spans="1:25" x14ac:dyDescent="0.3">
      <c r="A460" t="s">
        <v>1032</v>
      </c>
      <c r="B460" t="s">
        <v>39</v>
      </c>
      <c r="C460" t="s">
        <v>93</v>
      </c>
      <c r="D460">
        <v>80</v>
      </c>
      <c r="E460">
        <v>8</v>
      </c>
      <c r="F460">
        <v>11</v>
      </c>
      <c r="G460">
        <v>19</v>
      </c>
      <c r="H460">
        <v>14</v>
      </c>
      <c r="I460">
        <v>26</v>
      </c>
      <c r="J460">
        <v>101</v>
      </c>
      <c r="K460">
        <v>1</v>
      </c>
      <c r="L460">
        <v>0</v>
      </c>
      <c r="M460">
        <v>0</v>
      </c>
      <c r="N460">
        <v>0</v>
      </c>
      <c r="O460">
        <v>1</v>
      </c>
      <c r="P460">
        <v>256</v>
      </c>
      <c r="Q460">
        <v>122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</row>
    <row r="461" spans="1:25" x14ac:dyDescent="0.3">
      <c r="A461" t="s">
        <v>1033</v>
      </c>
      <c r="B461" t="s">
        <v>28</v>
      </c>
      <c r="C461" t="s">
        <v>29</v>
      </c>
      <c r="D461">
        <v>57</v>
      </c>
      <c r="E461">
        <v>7</v>
      </c>
      <c r="F461">
        <v>12</v>
      </c>
      <c r="G461">
        <v>19</v>
      </c>
      <c r="H461">
        <v>3</v>
      </c>
      <c r="I461">
        <v>30</v>
      </c>
      <c r="J461">
        <v>76</v>
      </c>
      <c r="K461">
        <v>1</v>
      </c>
      <c r="L461">
        <v>1</v>
      </c>
      <c r="M461">
        <v>2</v>
      </c>
      <c r="N461">
        <v>0</v>
      </c>
      <c r="O461">
        <v>0</v>
      </c>
      <c r="P461">
        <v>34</v>
      </c>
      <c r="Q461">
        <v>11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</row>
    <row r="462" spans="1:25" x14ac:dyDescent="0.3">
      <c r="A462" t="s">
        <v>1035</v>
      </c>
      <c r="B462" t="s">
        <v>32</v>
      </c>
      <c r="C462" t="s">
        <v>93</v>
      </c>
      <c r="D462">
        <v>73</v>
      </c>
      <c r="E462">
        <v>3</v>
      </c>
      <c r="F462">
        <v>15</v>
      </c>
      <c r="G462">
        <v>18</v>
      </c>
      <c r="H462">
        <v>8</v>
      </c>
      <c r="I462">
        <v>15</v>
      </c>
      <c r="J462">
        <v>49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108</v>
      </c>
      <c r="Q462">
        <v>92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</row>
    <row r="463" spans="1:25" x14ac:dyDescent="0.3">
      <c r="A463" t="s">
        <v>1024</v>
      </c>
      <c r="B463" t="s">
        <v>41</v>
      </c>
      <c r="C463" t="s">
        <v>33</v>
      </c>
      <c r="D463">
        <v>37</v>
      </c>
      <c r="E463">
        <v>8</v>
      </c>
      <c r="F463">
        <v>10</v>
      </c>
      <c r="G463">
        <v>18</v>
      </c>
      <c r="H463">
        <v>-6</v>
      </c>
      <c r="I463">
        <v>26</v>
      </c>
      <c r="J463">
        <v>97</v>
      </c>
      <c r="K463">
        <v>1</v>
      </c>
      <c r="L463">
        <v>0</v>
      </c>
      <c r="M463">
        <v>2</v>
      </c>
      <c r="N463">
        <v>0</v>
      </c>
      <c r="O463">
        <v>0</v>
      </c>
      <c r="P463">
        <v>15</v>
      </c>
      <c r="Q463">
        <v>9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</row>
    <row r="464" spans="1:25" x14ac:dyDescent="0.3">
      <c r="A464" t="s">
        <v>480</v>
      </c>
      <c r="B464" t="s">
        <v>71</v>
      </c>
      <c r="C464" t="s">
        <v>29</v>
      </c>
      <c r="D464">
        <v>75</v>
      </c>
      <c r="E464">
        <v>9</v>
      </c>
      <c r="F464">
        <v>9</v>
      </c>
      <c r="G464">
        <v>18</v>
      </c>
      <c r="H464">
        <v>-6</v>
      </c>
      <c r="I464">
        <v>18</v>
      </c>
      <c r="J464">
        <v>107</v>
      </c>
      <c r="K464">
        <v>1</v>
      </c>
      <c r="L464">
        <v>0</v>
      </c>
      <c r="M464">
        <v>0</v>
      </c>
      <c r="N464">
        <v>1</v>
      </c>
      <c r="O464">
        <v>1</v>
      </c>
      <c r="P464">
        <v>95</v>
      </c>
      <c r="Q464">
        <v>30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</row>
    <row r="465" spans="1:25" x14ac:dyDescent="0.3">
      <c r="A465" t="s">
        <v>499</v>
      </c>
      <c r="B465" t="s">
        <v>73</v>
      </c>
      <c r="C465" t="s">
        <v>93</v>
      </c>
      <c r="D465">
        <v>63</v>
      </c>
      <c r="E465">
        <v>1</v>
      </c>
      <c r="F465">
        <v>17</v>
      </c>
      <c r="G465">
        <v>18</v>
      </c>
      <c r="H465">
        <v>-13</v>
      </c>
      <c r="I465">
        <v>38</v>
      </c>
      <c r="J465">
        <v>104</v>
      </c>
      <c r="K465">
        <v>0</v>
      </c>
      <c r="L465">
        <v>1</v>
      </c>
      <c r="M465">
        <v>7</v>
      </c>
      <c r="N465">
        <v>0</v>
      </c>
      <c r="O465">
        <v>0</v>
      </c>
      <c r="P465">
        <v>47</v>
      </c>
      <c r="Q465">
        <v>66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</row>
    <row r="466" spans="1:25" x14ac:dyDescent="0.3">
      <c r="A466" t="s">
        <v>535</v>
      </c>
      <c r="B466" t="s">
        <v>196</v>
      </c>
      <c r="C466" t="s">
        <v>93</v>
      </c>
      <c r="D466">
        <v>66</v>
      </c>
      <c r="E466">
        <v>3</v>
      </c>
      <c r="F466">
        <v>15</v>
      </c>
      <c r="G466">
        <v>18</v>
      </c>
      <c r="H466">
        <v>-9</v>
      </c>
      <c r="I466">
        <v>22</v>
      </c>
      <c r="J466">
        <v>86</v>
      </c>
      <c r="K466">
        <v>0</v>
      </c>
      <c r="L466">
        <v>0</v>
      </c>
      <c r="M466">
        <v>2</v>
      </c>
      <c r="N466">
        <v>0</v>
      </c>
      <c r="O466">
        <v>0</v>
      </c>
      <c r="P466">
        <v>77</v>
      </c>
      <c r="Q466">
        <v>67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</row>
    <row r="467" spans="1:25" x14ac:dyDescent="0.3">
      <c r="A467" t="s">
        <v>417</v>
      </c>
      <c r="B467" t="s">
        <v>87</v>
      </c>
      <c r="C467" t="s">
        <v>29</v>
      </c>
      <c r="D467">
        <v>57</v>
      </c>
      <c r="E467">
        <v>6</v>
      </c>
      <c r="F467">
        <v>12</v>
      </c>
      <c r="G467">
        <v>18</v>
      </c>
      <c r="H467">
        <v>-16</v>
      </c>
      <c r="I467">
        <v>16</v>
      </c>
      <c r="J467">
        <v>68</v>
      </c>
      <c r="K467">
        <v>1</v>
      </c>
      <c r="L467">
        <v>0</v>
      </c>
      <c r="M467">
        <v>3</v>
      </c>
      <c r="N467">
        <v>0</v>
      </c>
      <c r="O467">
        <v>0</v>
      </c>
      <c r="P467">
        <v>33</v>
      </c>
      <c r="Q467">
        <v>23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</row>
    <row r="468" spans="1:25" x14ac:dyDescent="0.3">
      <c r="A468" t="s">
        <v>626</v>
      </c>
      <c r="B468" t="s">
        <v>120</v>
      </c>
      <c r="C468" t="s">
        <v>93</v>
      </c>
      <c r="D468">
        <v>76</v>
      </c>
      <c r="E468">
        <v>3</v>
      </c>
      <c r="F468">
        <v>15</v>
      </c>
      <c r="G468">
        <v>18</v>
      </c>
      <c r="H468">
        <v>-23</v>
      </c>
      <c r="I468">
        <v>40</v>
      </c>
      <c r="J468">
        <v>86</v>
      </c>
      <c r="K468">
        <v>0</v>
      </c>
      <c r="L468">
        <v>0</v>
      </c>
      <c r="M468">
        <v>0</v>
      </c>
      <c r="N468">
        <v>0</v>
      </c>
      <c r="O468">
        <v>1</v>
      </c>
      <c r="P468">
        <v>142</v>
      </c>
      <c r="Q468">
        <v>139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</row>
    <row r="469" spans="1:25" x14ac:dyDescent="0.3">
      <c r="A469" t="s">
        <v>408</v>
      </c>
      <c r="B469" t="s">
        <v>57</v>
      </c>
      <c r="C469" t="s">
        <v>29</v>
      </c>
      <c r="D469">
        <v>56</v>
      </c>
      <c r="E469">
        <v>7</v>
      </c>
      <c r="F469">
        <v>11</v>
      </c>
      <c r="G469">
        <v>18</v>
      </c>
      <c r="H469">
        <v>-4</v>
      </c>
      <c r="I469">
        <v>30</v>
      </c>
      <c r="J469">
        <v>81</v>
      </c>
      <c r="K469">
        <v>1</v>
      </c>
      <c r="L469">
        <v>1</v>
      </c>
      <c r="M469">
        <v>1</v>
      </c>
      <c r="N469">
        <v>0</v>
      </c>
      <c r="O469">
        <v>0</v>
      </c>
      <c r="P469">
        <v>57</v>
      </c>
      <c r="Q469">
        <v>23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</row>
    <row r="470" spans="1:25" x14ac:dyDescent="0.3">
      <c r="A470" t="s">
        <v>275</v>
      </c>
      <c r="B470" t="s">
        <v>98</v>
      </c>
      <c r="C470" t="s">
        <v>93</v>
      </c>
      <c r="D470">
        <v>59</v>
      </c>
      <c r="E470">
        <v>4</v>
      </c>
      <c r="F470">
        <v>13</v>
      </c>
      <c r="G470">
        <v>17</v>
      </c>
      <c r="H470">
        <v>13</v>
      </c>
      <c r="I470">
        <v>12</v>
      </c>
      <c r="J470">
        <v>83</v>
      </c>
      <c r="K470">
        <v>1</v>
      </c>
      <c r="L470">
        <v>1</v>
      </c>
      <c r="M470">
        <v>1</v>
      </c>
      <c r="N470">
        <v>0</v>
      </c>
      <c r="O470">
        <v>0</v>
      </c>
      <c r="P470">
        <v>54</v>
      </c>
      <c r="Q470">
        <v>163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</row>
    <row r="471" spans="1:25" x14ac:dyDescent="0.3">
      <c r="A471" t="s">
        <v>579</v>
      </c>
      <c r="B471" t="s">
        <v>61</v>
      </c>
      <c r="C471" t="s">
        <v>93</v>
      </c>
      <c r="D471">
        <v>77</v>
      </c>
      <c r="E471">
        <v>2</v>
      </c>
      <c r="F471">
        <v>15</v>
      </c>
      <c r="G471">
        <v>17</v>
      </c>
      <c r="H471">
        <v>14</v>
      </c>
      <c r="I471">
        <v>75</v>
      </c>
      <c r="J471">
        <v>79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106</v>
      </c>
      <c r="Q471">
        <v>109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</row>
    <row r="472" spans="1:25" x14ac:dyDescent="0.3">
      <c r="A472" t="s">
        <v>631</v>
      </c>
      <c r="B472" t="s">
        <v>73</v>
      </c>
      <c r="C472" t="s">
        <v>93</v>
      </c>
      <c r="D472">
        <v>73</v>
      </c>
      <c r="E472">
        <v>4</v>
      </c>
      <c r="F472">
        <v>13</v>
      </c>
      <c r="G472">
        <v>17</v>
      </c>
      <c r="H472">
        <v>1</v>
      </c>
      <c r="I472">
        <v>12</v>
      </c>
      <c r="J472">
        <v>78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112</v>
      </c>
      <c r="Q472">
        <v>108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</row>
    <row r="473" spans="1:25" x14ac:dyDescent="0.3">
      <c r="A473" t="s">
        <v>453</v>
      </c>
      <c r="B473" t="s">
        <v>46</v>
      </c>
      <c r="C473" t="s">
        <v>93</v>
      </c>
      <c r="D473">
        <v>69</v>
      </c>
      <c r="E473">
        <v>3</v>
      </c>
      <c r="F473">
        <v>14</v>
      </c>
      <c r="G473">
        <v>17</v>
      </c>
      <c r="H473">
        <v>24</v>
      </c>
      <c r="I473">
        <v>22</v>
      </c>
      <c r="J473">
        <v>83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84</v>
      </c>
      <c r="Q473">
        <v>120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</row>
    <row r="474" spans="1:25" x14ac:dyDescent="0.3">
      <c r="A474" t="s">
        <v>586</v>
      </c>
      <c r="B474" t="s">
        <v>28</v>
      </c>
      <c r="C474" t="s">
        <v>93</v>
      </c>
      <c r="D474">
        <v>72</v>
      </c>
      <c r="E474">
        <v>4</v>
      </c>
      <c r="F474">
        <v>13</v>
      </c>
      <c r="G474">
        <v>17</v>
      </c>
      <c r="H474">
        <v>6</v>
      </c>
      <c r="I474">
        <v>36</v>
      </c>
      <c r="J474">
        <v>96</v>
      </c>
      <c r="K474">
        <v>0</v>
      </c>
      <c r="L474">
        <v>0</v>
      </c>
      <c r="M474">
        <v>0</v>
      </c>
      <c r="N474">
        <v>0</v>
      </c>
      <c r="O474">
        <v>1</v>
      </c>
      <c r="P474">
        <v>101</v>
      </c>
      <c r="Q474">
        <v>64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</row>
    <row r="475" spans="1:25" x14ac:dyDescent="0.3">
      <c r="A475" t="s">
        <v>461</v>
      </c>
      <c r="B475" t="s">
        <v>98</v>
      </c>
      <c r="C475" t="s">
        <v>33</v>
      </c>
      <c r="D475">
        <v>65</v>
      </c>
      <c r="E475">
        <v>7</v>
      </c>
      <c r="F475">
        <v>10</v>
      </c>
      <c r="G475">
        <v>17</v>
      </c>
      <c r="H475">
        <v>5</v>
      </c>
      <c r="I475">
        <v>34</v>
      </c>
      <c r="J475">
        <v>119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182</v>
      </c>
      <c r="Q475">
        <v>22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</row>
    <row r="476" spans="1:25" x14ac:dyDescent="0.3">
      <c r="A476" t="s">
        <v>496</v>
      </c>
      <c r="B476" t="s">
        <v>54</v>
      </c>
      <c r="C476" t="s">
        <v>33</v>
      </c>
      <c r="D476">
        <v>73</v>
      </c>
      <c r="E476">
        <v>7</v>
      </c>
      <c r="F476">
        <v>10</v>
      </c>
      <c r="G476">
        <v>17</v>
      </c>
      <c r="H476">
        <v>-15</v>
      </c>
      <c r="I476">
        <v>20</v>
      </c>
      <c r="J476">
        <v>89</v>
      </c>
      <c r="K476">
        <v>3</v>
      </c>
      <c r="L476">
        <v>0</v>
      </c>
      <c r="M476">
        <v>0</v>
      </c>
      <c r="N476">
        <v>1</v>
      </c>
      <c r="O476">
        <v>2</v>
      </c>
      <c r="P476">
        <v>129</v>
      </c>
      <c r="Q476">
        <v>35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</row>
    <row r="477" spans="1:25" x14ac:dyDescent="0.3">
      <c r="A477" t="s">
        <v>548</v>
      </c>
      <c r="B477" t="s">
        <v>57</v>
      </c>
      <c r="C477" t="s">
        <v>93</v>
      </c>
      <c r="D477">
        <v>77</v>
      </c>
      <c r="E477">
        <v>3</v>
      </c>
      <c r="F477">
        <v>14</v>
      </c>
      <c r="G477">
        <v>17</v>
      </c>
      <c r="H477">
        <v>21</v>
      </c>
      <c r="I477">
        <v>93</v>
      </c>
      <c r="J477">
        <v>105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341</v>
      </c>
      <c r="Q477">
        <v>114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</row>
    <row r="478" spans="1:25" x14ac:dyDescent="0.3">
      <c r="A478" t="s">
        <v>513</v>
      </c>
      <c r="B478" t="s">
        <v>61</v>
      </c>
      <c r="C478" t="s">
        <v>29</v>
      </c>
      <c r="D478">
        <v>79</v>
      </c>
      <c r="E478">
        <v>7</v>
      </c>
      <c r="F478">
        <v>10</v>
      </c>
      <c r="G478">
        <v>17</v>
      </c>
      <c r="H478">
        <v>16</v>
      </c>
      <c r="I478">
        <v>21</v>
      </c>
      <c r="J478">
        <v>74</v>
      </c>
      <c r="K478">
        <v>1</v>
      </c>
      <c r="L478">
        <v>0</v>
      </c>
      <c r="M478">
        <v>0</v>
      </c>
      <c r="N478">
        <v>1</v>
      </c>
      <c r="O478">
        <v>0</v>
      </c>
      <c r="P478">
        <v>81</v>
      </c>
      <c r="Q478">
        <v>46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</row>
    <row r="479" spans="1:25" x14ac:dyDescent="0.3">
      <c r="A479" t="s">
        <v>614</v>
      </c>
      <c r="B479" t="s">
        <v>71</v>
      </c>
      <c r="C479" t="s">
        <v>29</v>
      </c>
      <c r="D479">
        <v>45</v>
      </c>
      <c r="E479">
        <v>6</v>
      </c>
      <c r="F479">
        <v>11</v>
      </c>
      <c r="G479">
        <v>17</v>
      </c>
      <c r="H479">
        <v>-15</v>
      </c>
      <c r="I479">
        <v>17</v>
      </c>
      <c r="J479">
        <v>112</v>
      </c>
      <c r="K479">
        <v>1</v>
      </c>
      <c r="L479">
        <v>0</v>
      </c>
      <c r="M479">
        <v>2</v>
      </c>
      <c r="N479">
        <v>0</v>
      </c>
      <c r="O479">
        <v>0</v>
      </c>
      <c r="P479">
        <v>85</v>
      </c>
      <c r="Q479">
        <v>33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</row>
    <row r="480" spans="1:25" x14ac:dyDescent="0.3">
      <c r="A480" t="s">
        <v>473</v>
      </c>
      <c r="B480" t="s">
        <v>28</v>
      </c>
      <c r="C480" t="s">
        <v>29</v>
      </c>
      <c r="D480">
        <v>60</v>
      </c>
      <c r="E480">
        <v>7</v>
      </c>
      <c r="F480">
        <v>10</v>
      </c>
      <c r="G480">
        <v>17</v>
      </c>
      <c r="H480">
        <v>-3</v>
      </c>
      <c r="I480">
        <v>10</v>
      </c>
      <c r="J480">
        <v>64</v>
      </c>
      <c r="K480">
        <v>1</v>
      </c>
      <c r="L480">
        <v>0</v>
      </c>
      <c r="M480">
        <v>0</v>
      </c>
      <c r="N480">
        <v>0</v>
      </c>
      <c r="O480">
        <v>1</v>
      </c>
      <c r="P480">
        <v>27</v>
      </c>
      <c r="Q480">
        <v>31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</row>
    <row r="481" spans="1:25" x14ac:dyDescent="0.3">
      <c r="A481" t="s">
        <v>740</v>
      </c>
      <c r="B481" t="s">
        <v>44</v>
      </c>
      <c r="C481" t="s">
        <v>93</v>
      </c>
      <c r="D481">
        <v>71</v>
      </c>
      <c r="E481">
        <v>3</v>
      </c>
      <c r="F481">
        <v>14</v>
      </c>
      <c r="G481">
        <v>17</v>
      </c>
      <c r="H481">
        <v>-8</v>
      </c>
      <c r="I481">
        <v>48</v>
      </c>
      <c r="J481">
        <v>71</v>
      </c>
      <c r="K481">
        <v>2</v>
      </c>
      <c r="L481">
        <v>0</v>
      </c>
      <c r="M481">
        <v>0</v>
      </c>
      <c r="N481">
        <v>0</v>
      </c>
      <c r="O481">
        <v>0</v>
      </c>
      <c r="P481">
        <v>165</v>
      </c>
      <c r="Q481">
        <v>94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</row>
    <row r="482" spans="1:25" x14ac:dyDescent="0.3">
      <c r="A482" t="s">
        <v>618</v>
      </c>
      <c r="B482" t="s">
        <v>44</v>
      </c>
      <c r="C482" t="s">
        <v>42</v>
      </c>
      <c r="D482">
        <v>75</v>
      </c>
      <c r="E482">
        <v>7</v>
      </c>
      <c r="F482">
        <v>10</v>
      </c>
      <c r="G482">
        <v>17</v>
      </c>
      <c r="H482">
        <v>-13</v>
      </c>
      <c r="I482">
        <v>44</v>
      </c>
      <c r="J482">
        <v>101</v>
      </c>
      <c r="K482">
        <v>1</v>
      </c>
      <c r="L482">
        <v>0</v>
      </c>
      <c r="M482">
        <v>0</v>
      </c>
      <c r="N482">
        <v>0</v>
      </c>
      <c r="O482">
        <v>0</v>
      </c>
      <c r="P482">
        <v>183</v>
      </c>
      <c r="Q482">
        <v>33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</row>
    <row r="483" spans="1:25" x14ac:dyDescent="0.3">
      <c r="A483" t="s">
        <v>804</v>
      </c>
      <c r="B483" t="s">
        <v>52</v>
      </c>
      <c r="C483" t="s">
        <v>33</v>
      </c>
      <c r="D483">
        <v>74</v>
      </c>
      <c r="E483">
        <v>5</v>
      </c>
      <c r="F483">
        <v>12</v>
      </c>
      <c r="G483">
        <v>17</v>
      </c>
      <c r="H483">
        <v>-7</v>
      </c>
      <c r="I483">
        <v>18</v>
      </c>
      <c r="J483">
        <v>66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138</v>
      </c>
      <c r="Q483">
        <v>22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</row>
    <row r="484" spans="1:25" x14ac:dyDescent="0.3">
      <c r="A484" t="s">
        <v>1036</v>
      </c>
      <c r="B484" t="s">
        <v>87</v>
      </c>
      <c r="C484" t="s">
        <v>33</v>
      </c>
      <c r="D484">
        <v>71</v>
      </c>
      <c r="E484">
        <v>6</v>
      </c>
      <c r="F484">
        <v>11</v>
      </c>
      <c r="G484">
        <v>17</v>
      </c>
      <c r="H484">
        <v>-2</v>
      </c>
      <c r="I484">
        <v>110</v>
      </c>
      <c r="J484">
        <v>101</v>
      </c>
      <c r="K484">
        <v>2</v>
      </c>
      <c r="L484">
        <v>0</v>
      </c>
      <c r="M484">
        <v>0</v>
      </c>
      <c r="N484">
        <v>0</v>
      </c>
      <c r="O484">
        <v>1</v>
      </c>
      <c r="P484">
        <v>192</v>
      </c>
      <c r="Q484">
        <v>15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</row>
    <row r="485" spans="1:25" x14ac:dyDescent="0.3">
      <c r="A485" t="s">
        <v>1037</v>
      </c>
      <c r="B485" t="s">
        <v>71</v>
      </c>
      <c r="C485" t="s">
        <v>93</v>
      </c>
      <c r="D485">
        <v>68</v>
      </c>
      <c r="E485">
        <v>3</v>
      </c>
      <c r="F485">
        <v>13</v>
      </c>
      <c r="G485">
        <v>16</v>
      </c>
      <c r="H485">
        <v>-14</v>
      </c>
      <c r="I485">
        <v>14</v>
      </c>
      <c r="J485">
        <v>76</v>
      </c>
      <c r="K485">
        <v>0</v>
      </c>
      <c r="L485">
        <v>0</v>
      </c>
      <c r="M485">
        <v>4</v>
      </c>
      <c r="N485">
        <v>0</v>
      </c>
      <c r="O485">
        <v>0</v>
      </c>
      <c r="P485">
        <v>24</v>
      </c>
      <c r="Q485">
        <v>42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</row>
    <row r="486" spans="1:25" x14ac:dyDescent="0.3">
      <c r="A486" t="s">
        <v>635</v>
      </c>
      <c r="B486" t="s">
        <v>46</v>
      </c>
      <c r="C486" t="s">
        <v>93</v>
      </c>
      <c r="D486">
        <v>68</v>
      </c>
      <c r="E486">
        <v>2</v>
      </c>
      <c r="F486">
        <v>14</v>
      </c>
      <c r="G486">
        <v>16</v>
      </c>
      <c r="H486">
        <v>23</v>
      </c>
      <c r="I486">
        <v>41</v>
      </c>
      <c r="J486">
        <v>79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79</v>
      </c>
      <c r="Q486">
        <v>62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</row>
    <row r="487" spans="1:25" x14ac:dyDescent="0.3">
      <c r="A487" t="s">
        <v>735</v>
      </c>
      <c r="B487" t="s">
        <v>57</v>
      </c>
      <c r="C487" t="s">
        <v>33</v>
      </c>
      <c r="D487">
        <v>61</v>
      </c>
      <c r="E487">
        <v>8</v>
      </c>
      <c r="F487">
        <v>8</v>
      </c>
      <c r="G487">
        <v>16</v>
      </c>
      <c r="H487">
        <v>5</v>
      </c>
      <c r="I487">
        <v>101</v>
      </c>
      <c r="J487">
        <v>98</v>
      </c>
      <c r="K487">
        <v>1</v>
      </c>
      <c r="L487">
        <v>0</v>
      </c>
      <c r="M487">
        <v>0</v>
      </c>
      <c r="N487">
        <v>0</v>
      </c>
      <c r="O487">
        <v>0</v>
      </c>
      <c r="P487">
        <v>134</v>
      </c>
      <c r="Q487">
        <v>9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</row>
    <row r="488" spans="1:25" x14ac:dyDescent="0.3">
      <c r="A488" t="s">
        <v>732</v>
      </c>
      <c r="B488" t="s">
        <v>59</v>
      </c>
      <c r="C488" t="s">
        <v>93</v>
      </c>
      <c r="D488">
        <v>76</v>
      </c>
      <c r="E488">
        <v>2</v>
      </c>
      <c r="F488">
        <v>14</v>
      </c>
      <c r="G488">
        <v>16</v>
      </c>
      <c r="H488">
        <v>-8</v>
      </c>
      <c r="I488">
        <v>52</v>
      </c>
      <c r="J488">
        <v>70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181</v>
      </c>
      <c r="Q488">
        <v>157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</row>
    <row r="489" spans="1:25" x14ac:dyDescent="0.3">
      <c r="A489" t="s">
        <v>561</v>
      </c>
      <c r="B489" t="s">
        <v>46</v>
      </c>
      <c r="C489" t="s">
        <v>33</v>
      </c>
      <c r="D489">
        <v>47</v>
      </c>
      <c r="E489">
        <v>7</v>
      </c>
      <c r="F489">
        <v>9</v>
      </c>
      <c r="G489">
        <v>16</v>
      </c>
      <c r="H489">
        <v>-7</v>
      </c>
      <c r="I489">
        <v>18</v>
      </c>
      <c r="J489">
        <v>60</v>
      </c>
      <c r="K489">
        <v>2</v>
      </c>
      <c r="L489">
        <v>0</v>
      </c>
      <c r="M489">
        <v>2</v>
      </c>
      <c r="N489">
        <v>0</v>
      </c>
      <c r="O489">
        <v>0</v>
      </c>
      <c r="P489">
        <v>63</v>
      </c>
      <c r="Q489">
        <v>16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</row>
    <row r="490" spans="1:25" x14ac:dyDescent="0.3">
      <c r="A490" t="s">
        <v>819</v>
      </c>
      <c r="B490" t="s">
        <v>106</v>
      </c>
      <c r="C490" t="s">
        <v>93</v>
      </c>
      <c r="D490">
        <v>75</v>
      </c>
      <c r="E490">
        <v>1</v>
      </c>
      <c r="F490">
        <v>15</v>
      </c>
      <c r="G490">
        <v>16</v>
      </c>
      <c r="H490">
        <v>-6</v>
      </c>
      <c r="I490">
        <v>44</v>
      </c>
      <c r="J490">
        <v>95</v>
      </c>
      <c r="K490">
        <v>0</v>
      </c>
      <c r="L490">
        <v>0</v>
      </c>
      <c r="M490">
        <v>0</v>
      </c>
      <c r="N490">
        <v>0</v>
      </c>
      <c r="O490">
        <v>1</v>
      </c>
      <c r="P490">
        <v>100</v>
      </c>
      <c r="Q490">
        <v>115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</row>
    <row r="491" spans="1:25" x14ac:dyDescent="0.3">
      <c r="A491" t="s">
        <v>529</v>
      </c>
      <c r="B491" t="s">
        <v>106</v>
      </c>
      <c r="C491" t="s">
        <v>42</v>
      </c>
      <c r="D491">
        <v>70</v>
      </c>
      <c r="E491">
        <v>9</v>
      </c>
      <c r="F491">
        <v>7</v>
      </c>
      <c r="G491">
        <v>16</v>
      </c>
      <c r="H491">
        <v>-10</v>
      </c>
      <c r="I491">
        <v>60</v>
      </c>
      <c r="J491">
        <v>96</v>
      </c>
      <c r="K491">
        <v>0</v>
      </c>
      <c r="L491">
        <v>2</v>
      </c>
      <c r="M491">
        <v>1</v>
      </c>
      <c r="N491">
        <v>0</v>
      </c>
      <c r="O491">
        <v>0</v>
      </c>
      <c r="P491">
        <v>209</v>
      </c>
      <c r="Q491">
        <v>37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</row>
    <row r="492" spans="1:25" x14ac:dyDescent="0.3">
      <c r="A492" t="s">
        <v>463</v>
      </c>
      <c r="B492" t="s">
        <v>37</v>
      </c>
      <c r="C492" t="s">
        <v>33</v>
      </c>
      <c r="D492">
        <v>71</v>
      </c>
      <c r="E492">
        <v>4</v>
      </c>
      <c r="F492">
        <v>12</v>
      </c>
      <c r="G492">
        <v>16</v>
      </c>
      <c r="H492">
        <v>-7</v>
      </c>
      <c r="I492">
        <v>30</v>
      </c>
      <c r="J492">
        <v>88</v>
      </c>
      <c r="K492">
        <v>1</v>
      </c>
      <c r="L492">
        <v>0</v>
      </c>
      <c r="M492">
        <v>0</v>
      </c>
      <c r="N492">
        <v>0</v>
      </c>
      <c r="O492">
        <v>1</v>
      </c>
      <c r="P492">
        <v>86</v>
      </c>
      <c r="Q492">
        <v>33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</row>
    <row r="493" spans="1:25" x14ac:dyDescent="0.3">
      <c r="A493" t="s">
        <v>474</v>
      </c>
      <c r="B493" t="s">
        <v>37</v>
      </c>
      <c r="C493" t="s">
        <v>93</v>
      </c>
      <c r="D493">
        <v>76</v>
      </c>
      <c r="E493">
        <v>4</v>
      </c>
      <c r="F493">
        <v>12</v>
      </c>
      <c r="G493">
        <v>16</v>
      </c>
      <c r="H493">
        <v>4</v>
      </c>
      <c r="I493">
        <v>31</v>
      </c>
      <c r="J493">
        <v>126</v>
      </c>
      <c r="K493">
        <v>1</v>
      </c>
      <c r="L493">
        <v>0</v>
      </c>
      <c r="M493">
        <v>1</v>
      </c>
      <c r="N493">
        <v>0</v>
      </c>
      <c r="O493">
        <v>1</v>
      </c>
      <c r="P493">
        <v>139</v>
      </c>
      <c r="Q493">
        <v>102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</row>
    <row r="494" spans="1:25" x14ac:dyDescent="0.3">
      <c r="A494" t="s">
        <v>576</v>
      </c>
      <c r="B494" t="s">
        <v>48</v>
      </c>
      <c r="C494" t="s">
        <v>93</v>
      </c>
      <c r="D494">
        <v>59</v>
      </c>
      <c r="E494">
        <v>2</v>
      </c>
      <c r="F494">
        <v>14</v>
      </c>
      <c r="G494">
        <v>16</v>
      </c>
      <c r="H494">
        <v>7</v>
      </c>
      <c r="I494">
        <v>58</v>
      </c>
      <c r="J494">
        <v>71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166</v>
      </c>
      <c r="Q494">
        <v>55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</row>
    <row r="495" spans="1:25" x14ac:dyDescent="0.3">
      <c r="A495" t="s">
        <v>585</v>
      </c>
      <c r="B495" t="s">
        <v>44</v>
      </c>
      <c r="C495" t="s">
        <v>93</v>
      </c>
      <c r="D495">
        <v>58</v>
      </c>
      <c r="E495">
        <v>2</v>
      </c>
      <c r="F495">
        <v>14</v>
      </c>
      <c r="G495">
        <v>16</v>
      </c>
      <c r="H495">
        <v>-22</v>
      </c>
      <c r="I495">
        <v>38</v>
      </c>
      <c r="J495">
        <v>80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122</v>
      </c>
      <c r="Q495">
        <v>121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</row>
    <row r="496" spans="1:25" x14ac:dyDescent="0.3">
      <c r="A496" t="s">
        <v>446</v>
      </c>
      <c r="B496" t="s">
        <v>79</v>
      </c>
      <c r="C496" t="s">
        <v>29</v>
      </c>
      <c r="D496">
        <v>65</v>
      </c>
      <c r="E496">
        <v>7</v>
      </c>
      <c r="F496">
        <v>9</v>
      </c>
      <c r="G496">
        <v>16</v>
      </c>
      <c r="H496">
        <v>-1</v>
      </c>
      <c r="I496">
        <v>20</v>
      </c>
      <c r="J496">
        <v>76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103</v>
      </c>
      <c r="Q496">
        <v>49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</row>
    <row r="497" spans="1:25" x14ac:dyDescent="0.3">
      <c r="A497" t="s">
        <v>528</v>
      </c>
      <c r="B497" t="s">
        <v>65</v>
      </c>
      <c r="C497" t="s">
        <v>29</v>
      </c>
      <c r="D497">
        <v>80</v>
      </c>
      <c r="E497">
        <v>8</v>
      </c>
      <c r="F497">
        <v>8</v>
      </c>
      <c r="G497">
        <v>16</v>
      </c>
      <c r="H497">
        <v>-13</v>
      </c>
      <c r="I497">
        <v>18</v>
      </c>
      <c r="J497">
        <v>107</v>
      </c>
      <c r="K497">
        <v>2</v>
      </c>
      <c r="L497">
        <v>0</v>
      </c>
      <c r="M497">
        <v>0</v>
      </c>
      <c r="N497">
        <v>0</v>
      </c>
      <c r="O497">
        <v>2</v>
      </c>
      <c r="P497">
        <v>167</v>
      </c>
      <c r="Q497">
        <v>63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</row>
    <row r="498" spans="1:25" x14ac:dyDescent="0.3">
      <c r="A498" t="s">
        <v>527</v>
      </c>
      <c r="B498" t="s">
        <v>65</v>
      </c>
      <c r="C498" t="s">
        <v>93</v>
      </c>
      <c r="D498">
        <v>45</v>
      </c>
      <c r="E498">
        <v>3</v>
      </c>
      <c r="F498">
        <v>13</v>
      </c>
      <c r="G498">
        <v>16</v>
      </c>
      <c r="H498">
        <v>-5</v>
      </c>
      <c r="I498">
        <v>24</v>
      </c>
      <c r="J498">
        <v>58</v>
      </c>
      <c r="K498">
        <v>0</v>
      </c>
      <c r="L498">
        <v>0</v>
      </c>
      <c r="M498">
        <v>1</v>
      </c>
      <c r="N498">
        <v>0</v>
      </c>
      <c r="O498">
        <v>0</v>
      </c>
      <c r="P498">
        <v>63</v>
      </c>
      <c r="Q498">
        <v>47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</row>
    <row r="499" spans="1:25" x14ac:dyDescent="0.3">
      <c r="A499" t="s">
        <v>378</v>
      </c>
      <c r="B499" t="s">
        <v>54</v>
      </c>
      <c r="C499" t="s">
        <v>29</v>
      </c>
      <c r="D499">
        <v>52</v>
      </c>
      <c r="E499">
        <v>4</v>
      </c>
      <c r="F499">
        <v>12</v>
      </c>
      <c r="G499">
        <v>16</v>
      </c>
      <c r="H499">
        <v>-9</v>
      </c>
      <c r="I499">
        <v>14</v>
      </c>
      <c r="J499">
        <v>54</v>
      </c>
      <c r="K499">
        <v>1</v>
      </c>
      <c r="L499">
        <v>0</v>
      </c>
      <c r="M499">
        <v>2</v>
      </c>
      <c r="N499">
        <v>1</v>
      </c>
      <c r="O499">
        <v>1</v>
      </c>
      <c r="P499">
        <v>22</v>
      </c>
      <c r="Q499">
        <v>23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</row>
    <row r="500" spans="1:25" x14ac:dyDescent="0.3">
      <c r="A500" t="s">
        <v>519</v>
      </c>
      <c r="B500" t="s">
        <v>57</v>
      </c>
      <c r="C500" t="s">
        <v>93</v>
      </c>
      <c r="D500">
        <v>52</v>
      </c>
      <c r="E500">
        <v>3</v>
      </c>
      <c r="F500">
        <v>13</v>
      </c>
      <c r="G500">
        <v>16</v>
      </c>
      <c r="H500">
        <v>-3</v>
      </c>
      <c r="I500">
        <v>8</v>
      </c>
      <c r="J500">
        <v>63</v>
      </c>
      <c r="K500">
        <v>0</v>
      </c>
      <c r="L500">
        <v>0</v>
      </c>
      <c r="M500">
        <v>2</v>
      </c>
      <c r="N500">
        <v>0</v>
      </c>
      <c r="O500">
        <v>0</v>
      </c>
      <c r="P500">
        <v>106</v>
      </c>
      <c r="Q500">
        <v>62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</row>
    <row r="501" spans="1:25" x14ac:dyDescent="0.3">
      <c r="A501" t="s">
        <v>725</v>
      </c>
      <c r="B501" t="s">
        <v>79</v>
      </c>
      <c r="C501" t="s">
        <v>93</v>
      </c>
      <c r="D501">
        <v>70</v>
      </c>
      <c r="E501">
        <v>5</v>
      </c>
      <c r="F501">
        <v>11</v>
      </c>
      <c r="G501">
        <v>16</v>
      </c>
      <c r="H501">
        <v>8</v>
      </c>
      <c r="I501">
        <v>66</v>
      </c>
      <c r="J501">
        <v>83</v>
      </c>
      <c r="K501">
        <v>1</v>
      </c>
      <c r="L501">
        <v>0</v>
      </c>
      <c r="M501">
        <v>0</v>
      </c>
      <c r="N501">
        <v>0</v>
      </c>
      <c r="O501">
        <v>0</v>
      </c>
      <c r="P501">
        <v>270</v>
      </c>
      <c r="Q501">
        <v>99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</row>
    <row r="502" spans="1:25" x14ac:dyDescent="0.3">
      <c r="A502" t="s">
        <v>727</v>
      </c>
      <c r="B502" t="s">
        <v>54</v>
      </c>
      <c r="C502" t="s">
        <v>42</v>
      </c>
      <c r="D502">
        <v>62</v>
      </c>
      <c r="E502">
        <v>3</v>
      </c>
      <c r="F502">
        <v>13</v>
      </c>
      <c r="G502">
        <v>16</v>
      </c>
      <c r="H502">
        <v>-15</v>
      </c>
      <c r="I502">
        <v>6</v>
      </c>
      <c r="J502">
        <v>68</v>
      </c>
      <c r="K502">
        <v>0</v>
      </c>
      <c r="L502">
        <v>0</v>
      </c>
      <c r="M502">
        <v>1</v>
      </c>
      <c r="N502">
        <v>1</v>
      </c>
      <c r="O502">
        <v>0</v>
      </c>
      <c r="P502">
        <v>14</v>
      </c>
      <c r="Q502">
        <v>19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</row>
    <row r="503" spans="1:25" x14ac:dyDescent="0.3">
      <c r="A503" t="s">
        <v>551</v>
      </c>
      <c r="B503" t="s">
        <v>41</v>
      </c>
      <c r="C503" t="s">
        <v>33</v>
      </c>
      <c r="D503">
        <v>78</v>
      </c>
      <c r="E503">
        <v>4</v>
      </c>
      <c r="F503">
        <v>12</v>
      </c>
      <c r="G503">
        <v>16</v>
      </c>
      <c r="H503">
        <v>-4</v>
      </c>
      <c r="I503">
        <v>24</v>
      </c>
      <c r="J503">
        <v>79</v>
      </c>
      <c r="K503">
        <v>1</v>
      </c>
      <c r="L503">
        <v>0</v>
      </c>
      <c r="M503">
        <v>0</v>
      </c>
      <c r="N503">
        <v>1</v>
      </c>
      <c r="O503">
        <v>1</v>
      </c>
      <c r="P503">
        <v>96</v>
      </c>
      <c r="Q503">
        <v>32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</row>
    <row r="504" spans="1:25" x14ac:dyDescent="0.3">
      <c r="A504" t="s">
        <v>493</v>
      </c>
      <c r="B504" t="s">
        <v>95</v>
      </c>
      <c r="C504" t="s">
        <v>29</v>
      </c>
      <c r="D504">
        <v>73</v>
      </c>
      <c r="E504">
        <v>8</v>
      </c>
      <c r="F504">
        <v>8</v>
      </c>
      <c r="G504">
        <v>16</v>
      </c>
      <c r="H504">
        <v>-4</v>
      </c>
      <c r="I504">
        <v>48</v>
      </c>
      <c r="J504">
        <v>86</v>
      </c>
      <c r="K504">
        <v>1</v>
      </c>
      <c r="L504">
        <v>0</v>
      </c>
      <c r="M504">
        <v>0</v>
      </c>
      <c r="N504">
        <v>1</v>
      </c>
      <c r="O504">
        <v>0</v>
      </c>
      <c r="P504">
        <v>145</v>
      </c>
      <c r="Q504">
        <v>44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</row>
    <row r="505" spans="1:25" x14ac:dyDescent="0.3">
      <c r="A505" t="s">
        <v>553</v>
      </c>
      <c r="B505" t="s">
        <v>48</v>
      </c>
      <c r="C505" t="s">
        <v>93</v>
      </c>
      <c r="D505">
        <v>62</v>
      </c>
      <c r="E505">
        <v>3</v>
      </c>
      <c r="F505">
        <v>13</v>
      </c>
      <c r="G505">
        <v>16</v>
      </c>
      <c r="H505">
        <v>20</v>
      </c>
      <c r="I505">
        <v>20</v>
      </c>
      <c r="J505">
        <v>78</v>
      </c>
      <c r="K505">
        <v>1</v>
      </c>
      <c r="L505">
        <v>0</v>
      </c>
      <c r="M505">
        <v>0</v>
      </c>
      <c r="N505">
        <v>0</v>
      </c>
      <c r="O505">
        <v>0</v>
      </c>
      <c r="P505">
        <v>40</v>
      </c>
      <c r="Q505">
        <v>126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</row>
    <row r="506" spans="1:25" x14ac:dyDescent="0.3">
      <c r="A506" t="s">
        <v>399</v>
      </c>
      <c r="B506" t="s">
        <v>39</v>
      </c>
      <c r="C506" t="s">
        <v>33</v>
      </c>
      <c r="D506">
        <v>58</v>
      </c>
      <c r="E506">
        <v>4</v>
      </c>
      <c r="F506">
        <v>12</v>
      </c>
      <c r="G506">
        <v>16</v>
      </c>
      <c r="H506">
        <v>7</v>
      </c>
      <c r="I506">
        <v>20</v>
      </c>
      <c r="J506">
        <v>86</v>
      </c>
      <c r="K506">
        <v>0</v>
      </c>
      <c r="L506">
        <v>0</v>
      </c>
      <c r="M506">
        <v>0</v>
      </c>
      <c r="N506">
        <v>0</v>
      </c>
      <c r="O506">
        <v>1</v>
      </c>
      <c r="P506">
        <v>31</v>
      </c>
      <c r="Q506">
        <v>15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</row>
    <row r="507" spans="1:25" x14ac:dyDescent="0.3">
      <c r="A507" t="s">
        <v>515</v>
      </c>
      <c r="B507" t="s">
        <v>73</v>
      </c>
      <c r="C507" t="s">
        <v>33</v>
      </c>
      <c r="D507">
        <v>66</v>
      </c>
      <c r="E507">
        <v>9</v>
      </c>
      <c r="F507">
        <v>7</v>
      </c>
      <c r="G507">
        <v>16</v>
      </c>
      <c r="H507">
        <v>-7</v>
      </c>
      <c r="I507">
        <v>89</v>
      </c>
      <c r="J507">
        <v>88</v>
      </c>
      <c r="K507">
        <v>0</v>
      </c>
      <c r="L507">
        <v>0</v>
      </c>
      <c r="M507">
        <v>0</v>
      </c>
      <c r="N507">
        <v>1</v>
      </c>
      <c r="O507">
        <v>0</v>
      </c>
      <c r="P507">
        <v>200</v>
      </c>
      <c r="Q507">
        <v>65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</row>
    <row r="508" spans="1:25" x14ac:dyDescent="0.3">
      <c r="A508" t="s">
        <v>545</v>
      </c>
      <c r="B508" t="s">
        <v>120</v>
      </c>
      <c r="C508" t="s">
        <v>93</v>
      </c>
      <c r="D508">
        <v>67</v>
      </c>
      <c r="E508">
        <v>5</v>
      </c>
      <c r="F508">
        <v>11</v>
      </c>
      <c r="G508">
        <v>16</v>
      </c>
      <c r="H508">
        <v>-3</v>
      </c>
      <c r="I508">
        <v>64</v>
      </c>
      <c r="J508">
        <v>100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116</v>
      </c>
      <c r="Q508">
        <v>112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</row>
    <row r="509" spans="1:25" x14ac:dyDescent="0.3">
      <c r="A509" t="s">
        <v>522</v>
      </c>
      <c r="B509" t="s">
        <v>140</v>
      </c>
      <c r="C509" t="s">
        <v>93</v>
      </c>
      <c r="D509">
        <v>73</v>
      </c>
      <c r="E509">
        <v>2</v>
      </c>
      <c r="F509">
        <v>14</v>
      </c>
      <c r="G509">
        <v>16</v>
      </c>
      <c r="H509">
        <v>0</v>
      </c>
      <c r="I509">
        <v>54</v>
      </c>
      <c r="J509">
        <v>97</v>
      </c>
      <c r="K509">
        <v>0</v>
      </c>
      <c r="L509">
        <v>0</v>
      </c>
      <c r="M509">
        <v>0</v>
      </c>
      <c r="N509">
        <v>0</v>
      </c>
      <c r="O509">
        <v>1</v>
      </c>
      <c r="P509">
        <v>184</v>
      </c>
      <c r="Q509">
        <v>90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</row>
    <row r="510" spans="1:25" x14ac:dyDescent="0.3">
      <c r="A510" t="s">
        <v>325</v>
      </c>
      <c r="B510" t="s">
        <v>44</v>
      </c>
      <c r="C510" t="s">
        <v>29</v>
      </c>
      <c r="D510">
        <v>48</v>
      </c>
      <c r="E510">
        <v>6</v>
      </c>
      <c r="F510">
        <v>10</v>
      </c>
      <c r="G510">
        <v>16</v>
      </c>
      <c r="H510">
        <v>-6</v>
      </c>
      <c r="I510">
        <v>18</v>
      </c>
      <c r="J510">
        <v>63</v>
      </c>
      <c r="K510">
        <v>0</v>
      </c>
      <c r="L510">
        <v>0</v>
      </c>
      <c r="M510">
        <v>4</v>
      </c>
      <c r="N510">
        <v>0</v>
      </c>
      <c r="O510">
        <v>0</v>
      </c>
      <c r="P510">
        <v>59</v>
      </c>
      <c r="Q510">
        <v>12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</row>
    <row r="511" spans="1:25" x14ac:dyDescent="0.3">
      <c r="A511" t="s">
        <v>490</v>
      </c>
      <c r="B511" t="s">
        <v>71</v>
      </c>
      <c r="C511" t="s">
        <v>33</v>
      </c>
      <c r="D511">
        <v>66</v>
      </c>
      <c r="E511">
        <v>7</v>
      </c>
      <c r="F511">
        <v>9</v>
      </c>
      <c r="G511">
        <v>16</v>
      </c>
      <c r="H511">
        <v>-15</v>
      </c>
      <c r="I511">
        <v>16</v>
      </c>
      <c r="J511">
        <v>76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78</v>
      </c>
      <c r="Q511">
        <v>41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</row>
    <row r="512" spans="1:25" x14ac:dyDescent="0.3">
      <c r="A512" t="s">
        <v>491</v>
      </c>
      <c r="B512" t="s">
        <v>95</v>
      </c>
      <c r="C512" t="s">
        <v>93</v>
      </c>
      <c r="D512">
        <v>64</v>
      </c>
      <c r="E512">
        <v>3</v>
      </c>
      <c r="F512">
        <v>13</v>
      </c>
      <c r="G512">
        <v>16</v>
      </c>
      <c r="H512">
        <v>-2</v>
      </c>
      <c r="I512">
        <v>61</v>
      </c>
      <c r="J512">
        <v>102</v>
      </c>
      <c r="K512">
        <v>0</v>
      </c>
      <c r="L512">
        <v>0</v>
      </c>
      <c r="M512">
        <v>0</v>
      </c>
      <c r="N512">
        <v>0</v>
      </c>
      <c r="O512">
        <v>1</v>
      </c>
      <c r="P512">
        <v>86</v>
      </c>
      <c r="Q512">
        <v>112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</row>
    <row r="513" spans="1:25" x14ac:dyDescent="0.3">
      <c r="A513" t="s">
        <v>691</v>
      </c>
      <c r="B513" t="s">
        <v>122</v>
      </c>
      <c r="C513" t="s">
        <v>29</v>
      </c>
      <c r="D513">
        <v>62</v>
      </c>
      <c r="E513">
        <v>7</v>
      </c>
      <c r="F513">
        <v>8</v>
      </c>
      <c r="G513">
        <v>15</v>
      </c>
      <c r="H513">
        <v>-10</v>
      </c>
      <c r="I513">
        <v>75</v>
      </c>
      <c r="J513">
        <v>75</v>
      </c>
      <c r="K513">
        <v>0</v>
      </c>
      <c r="L513">
        <v>0</v>
      </c>
      <c r="M513">
        <v>0</v>
      </c>
      <c r="N513">
        <v>0</v>
      </c>
      <c r="O513">
        <v>1</v>
      </c>
      <c r="P513">
        <v>113</v>
      </c>
      <c r="Q513">
        <v>19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</row>
    <row r="514" spans="1:25" x14ac:dyDescent="0.3">
      <c r="A514" t="s">
        <v>607</v>
      </c>
      <c r="B514" t="s">
        <v>196</v>
      </c>
      <c r="C514" t="s">
        <v>29</v>
      </c>
      <c r="D514">
        <v>60</v>
      </c>
      <c r="E514">
        <v>4</v>
      </c>
      <c r="F514">
        <v>11</v>
      </c>
      <c r="G514">
        <v>15</v>
      </c>
      <c r="H514">
        <v>2</v>
      </c>
      <c r="I514">
        <v>4</v>
      </c>
      <c r="J514">
        <v>58</v>
      </c>
      <c r="K514">
        <v>0</v>
      </c>
      <c r="L514">
        <v>0</v>
      </c>
      <c r="M514">
        <v>0</v>
      </c>
      <c r="N514">
        <v>0</v>
      </c>
      <c r="O514">
        <v>1</v>
      </c>
      <c r="P514">
        <v>16</v>
      </c>
      <c r="Q514">
        <v>23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</row>
    <row r="515" spans="1:25" x14ac:dyDescent="0.3">
      <c r="A515" t="s">
        <v>584</v>
      </c>
      <c r="B515" t="s">
        <v>98</v>
      </c>
      <c r="C515" t="s">
        <v>93</v>
      </c>
      <c r="D515">
        <v>71</v>
      </c>
      <c r="E515">
        <v>2</v>
      </c>
      <c r="F515">
        <v>13</v>
      </c>
      <c r="G515">
        <v>15</v>
      </c>
      <c r="H515">
        <v>10</v>
      </c>
      <c r="I515">
        <v>42</v>
      </c>
      <c r="J515">
        <v>85</v>
      </c>
      <c r="K515">
        <v>0</v>
      </c>
      <c r="L515">
        <v>0</v>
      </c>
      <c r="M515">
        <v>0</v>
      </c>
      <c r="N515">
        <v>0</v>
      </c>
      <c r="O515">
        <v>1</v>
      </c>
      <c r="P515">
        <v>172</v>
      </c>
      <c r="Q515">
        <v>171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</row>
    <row r="516" spans="1:25" x14ac:dyDescent="0.3">
      <c r="A516" t="s">
        <v>600</v>
      </c>
      <c r="B516" t="s">
        <v>57</v>
      </c>
      <c r="C516" t="s">
        <v>93</v>
      </c>
      <c r="D516">
        <v>70</v>
      </c>
      <c r="E516">
        <v>2</v>
      </c>
      <c r="F516">
        <v>13</v>
      </c>
      <c r="G516">
        <v>15</v>
      </c>
      <c r="H516">
        <v>6</v>
      </c>
      <c r="I516">
        <v>26</v>
      </c>
      <c r="J516">
        <v>70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88</v>
      </c>
      <c r="Q516">
        <v>71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</row>
    <row r="517" spans="1:25" x14ac:dyDescent="0.3">
      <c r="A517" t="s">
        <v>605</v>
      </c>
      <c r="B517" t="s">
        <v>54</v>
      </c>
      <c r="C517" t="s">
        <v>93</v>
      </c>
      <c r="D517">
        <v>73</v>
      </c>
      <c r="E517">
        <v>3</v>
      </c>
      <c r="F517">
        <v>12</v>
      </c>
      <c r="G517">
        <v>15</v>
      </c>
      <c r="H517">
        <v>10</v>
      </c>
      <c r="I517">
        <v>80</v>
      </c>
      <c r="J517">
        <v>85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121</v>
      </c>
      <c r="Q517">
        <v>93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</row>
    <row r="518" spans="1:25" x14ac:dyDescent="0.3">
      <c r="A518" t="s">
        <v>316</v>
      </c>
      <c r="B518" t="s">
        <v>54</v>
      </c>
      <c r="C518" t="s">
        <v>29</v>
      </c>
      <c r="D518">
        <v>43</v>
      </c>
      <c r="E518">
        <v>6</v>
      </c>
      <c r="F518">
        <v>9</v>
      </c>
      <c r="G518">
        <v>15</v>
      </c>
      <c r="H518">
        <v>-9</v>
      </c>
      <c r="I518">
        <v>14</v>
      </c>
      <c r="J518">
        <v>37</v>
      </c>
      <c r="K518">
        <v>1</v>
      </c>
      <c r="L518">
        <v>2</v>
      </c>
      <c r="M518">
        <v>2</v>
      </c>
      <c r="N518">
        <v>0</v>
      </c>
      <c r="O518">
        <v>0</v>
      </c>
      <c r="P518">
        <v>24</v>
      </c>
      <c r="Q518">
        <v>13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</row>
    <row r="519" spans="1:25" x14ac:dyDescent="0.3">
      <c r="A519" t="s">
        <v>421</v>
      </c>
      <c r="B519" t="s">
        <v>84</v>
      </c>
      <c r="C519" t="s">
        <v>42</v>
      </c>
      <c r="D519">
        <v>58</v>
      </c>
      <c r="E519">
        <v>6</v>
      </c>
      <c r="F519">
        <v>9</v>
      </c>
      <c r="G519">
        <v>15</v>
      </c>
      <c r="H519">
        <v>-13</v>
      </c>
      <c r="I519">
        <v>26</v>
      </c>
      <c r="J519">
        <v>80</v>
      </c>
      <c r="K519">
        <v>1</v>
      </c>
      <c r="L519">
        <v>0</v>
      </c>
      <c r="M519">
        <v>1</v>
      </c>
      <c r="N519">
        <v>0</v>
      </c>
      <c r="O519">
        <v>0</v>
      </c>
      <c r="P519">
        <v>124</v>
      </c>
      <c r="Q519">
        <v>30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</row>
    <row r="520" spans="1:25" x14ac:dyDescent="0.3">
      <c r="A520" t="s">
        <v>717</v>
      </c>
      <c r="B520" t="s">
        <v>39</v>
      </c>
      <c r="C520" t="s">
        <v>93</v>
      </c>
      <c r="D520">
        <v>70</v>
      </c>
      <c r="E520">
        <v>1</v>
      </c>
      <c r="F520">
        <v>14</v>
      </c>
      <c r="G520">
        <v>15</v>
      </c>
      <c r="H520">
        <v>-3</v>
      </c>
      <c r="I520">
        <v>34</v>
      </c>
      <c r="J520">
        <v>75</v>
      </c>
      <c r="K520">
        <v>0</v>
      </c>
      <c r="L520">
        <v>0</v>
      </c>
      <c r="M520">
        <v>0</v>
      </c>
      <c r="N520">
        <v>0</v>
      </c>
      <c r="O520">
        <v>1</v>
      </c>
      <c r="P520">
        <v>27</v>
      </c>
      <c r="Q520">
        <v>124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</row>
    <row r="521" spans="1:25" x14ac:dyDescent="0.3">
      <c r="A521" t="s">
        <v>1038</v>
      </c>
      <c r="B521" t="s">
        <v>181</v>
      </c>
      <c r="C521" t="s">
        <v>93</v>
      </c>
      <c r="D521">
        <v>74</v>
      </c>
      <c r="E521">
        <v>4</v>
      </c>
      <c r="F521">
        <v>11</v>
      </c>
      <c r="G521">
        <v>15</v>
      </c>
      <c r="H521">
        <v>-22</v>
      </c>
      <c r="I521">
        <v>32</v>
      </c>
      <c r="J521">
        <v>84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146</v>
      </c>
      <c r="Q521">
        <v>147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</row>
    <row r="522" spans="1:25" x14ac:dyDescent="0.3">
      <c r="A522" t="s">
        <v>595</v>
      </c>
      <c r="B522" t="s">
        <v>52</v>
      </c>
      <c r="C522" t="s">
        <v>93</v>
      </c>
      <c r="D522">
        <v>75</v>
      </c>
      <c r="E522">
        <v>1</v>
      </c>
      <c r="F522">
        <v>14</v>
      </c>
      <c r="G522">
        <v>15</v>
      </c>
      <c r="H522">
        <v>10</v>
      </c>
      <c r="I522">
        <v>30</v>
      </c>
      <c r="J522">
        <v>77</v>
      </c>
      <c r="K522">
        <v>0</v>
      </c>
      <c r="L522">
        <v>0</v>
      </c>
      <c r="M522">
        <v>0</v>
      </c>
      <c r="N522">
        <v>0</v>
      </c>
      <c r="O522">
        <v>1</v>
      </c>
      <c r="P522">
        <v>115</v>
      </c>
      <c r="Q522">
        <v>103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</row>
    <row r="523" spans="1:25" x14ac:dyDescent="0.3">
      <c r="A523" t="s">
        <v>432</v>
      </c>
      <c r="B523" t="s">
        <v>32</v>
      </c>
      <c r="C523" t="s">
        <v>93</v>
      </c>
      <c r="D523">
        <v>76</v>
      </c>
      <c r="E523">
        <v>3</v>
      </c>
      <c r="F523">
        <v>12</v>
      </c>
      <c r="G523">
        <v>15</v>
      </c>
      <c r="H523">
        <v>18</v>
      </c>
      <c r="I523">
        <v>50</v>
      </c>
      <c r="J523">
        <v>74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127</v>
      </c>
      <c r="Q523">
        <v>136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</row>
    <row r="524" spans="1:25" x14ac:dyDescent="0.3">
      <c r="A524" t="s">
        <v>434</v>
      </c>
      <c r="B524" t="s">
        <v>61</v>
      </c>
      <c r="C524" t="s">
        <v>93</v>
      </c>
      <c r="D524">
        <v>64</v>
      </c>
      <c r="E524">
        <v>3</v>
      </c>
      <c r="F524">
        <v>12</v>
      </c>
      <c r="G524">
        <v>15</v>
      </c>
      <c r="H524">
        <v>9</v>
      </c>
      <c r="I524">
        <v>54</v>
      </c>
      <c r="J524">
        <v>99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179</v>
      </c>
      <c r="Q524">
        <v>83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</row>
    <row r="525" spans="1:25" x14ac:dyDescent="0.3">
      <c r="A525" t="s">
        <v>472</v>
      </c>
      <c r="B525" t="s">
        <v>73</v>
      </c>
      <c r="C525" t="s">
        <v>93</v>
      </c>
      <c r="D525">
        <v>71</v>
      </c>
      <c r="E525">
        <v>3</v>
      </c>
      <c r="F525">
        <v>12</v>
      </c>
      <c r="G525">
        <v>15</v>
      </c>
      <c r="H525">
        <v>-8</v>
      </c>
      <c r="I525">
        <v>32</v>
      </c>
      <c r="J525">
        <v>79</v>
      </c>
      <c r="K525">
        <v>0</v>
      </c>
      <c r="L525">
        <v>0</v>
      </c>
      <c r="M525">
        <v>0</v>
      </c>
      <c r="N525">
        <v>0</v>
      </c>
      <c r="O525">
        <v>1</v>
      </c>
      <c r="P525">
        <v>141</v>
      </c>
      <c r="Q525">
        <v>118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</row>
    <row r="526" spans="1:25" x14ac:dyDescent="0.3">
      <c r="A526" t="s">
        <v>638</v>
      </c>
      <c r="B526" t="s">
        <v>32</v>
      </c>
      <c r="C526" t="s">
        <v>33</v>
      </c>
      <c r="D526">
        <v>75</v>
      </c>
      <c r="E526">
        <v>6</v>
      </c>
      <c r="F526">
        <v>9</v>
      </c>
      <c r="G526">
        <v>15</v>
      </c>
      <c r="H526">
        <v>-8</v>
      </c>
      <c r="I526">
        <v>48</v>
      </c>
      <c r="J526">
        <v>96</v>
      </c>
      <c r="K526">
        <v>1</v>
      </c>
      <c r="L526">
        <v>0</v>
      </c>
      <c r="M526">
        <v>0</v>
      </c>
      <c r="N526">
        <v>0</v>
      </c>
      <c r="O526">
        <v>0</v>
      </c>
      <c r="P526">
        <v>150</v>
      </c>
      <c r="Q526">
        <v>17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</row>
    <row r="527" spans="1:25" x14ac:dyDescent="0.3">
      <c r="A527" t="s">
        <v>62</v>
      </c>
      <c r="B527" t="s">
        <v>95</v>
      </c>
      <c r="C527" t="s">
        <v>93</v>
      </c>
      <c r="D527">
        <v>42</v>
      </c>
      <c r="E527">
        <v>2</v>
      </c>
      <c r="F527">
        <v>13</v>
      </c>
      <c r="G527">
        <v>15</v>
      </c>
      <c r="H527">
        <v>-5</v>
      </c>
      <c r="I527">
        <v>14</v>
      </c>
      <c r="J527">
        <v>52</v>
      </c>
      <c r="K527">
        <v>0</v>
      </c>
      <c r="L527">
        <v>0</v>
      </c>
      <c r="M527">
        <v>3</v>
      </c>
      <c r="N527">
        <v>0</v>
      </c>
      <c r="O527">
        <v>0</v>
      </c>
      <c r="P527">
        <v>35</v>
      </c>
      <c r="Q527">
        <v>49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</row>
    <row r="528" spans="1:25" x14ac:dyDescent="0.3">
      <c r="A528" t="s">
        <v>467</v>
      </c>
      <c r="B528" t="s">
        <v>140</v>
      </c>
      <c r="C528" t="s">
        <v>29</v>
      </c>
      <c r="D528">
        <v>55</v>
      </c>
      <c r="E528">
        <v>5</v>
      </c>
      <c r="F528">
        <v>10</v>
      </c>
      <c r="G528">
        <v>15</v>
      </c>
      <c r="H528">
        <v>-10</v>
      </c>
      <c r="I528">
        <v>14</v>
      </c>
      <c r="J528">
        <v>73</v>
      </c>
      <c r="K528">
        <v>0</v>
      </c>
      <c r="L528">
        <v>1</v>
      </c>
      <c r="M528">
        <v>3</v>
      </c>
      <c r="N528">
        <v>0</v>
      </c>
      <c r="O528">
        <v>0</v>
      </c>
      <c r="P528">
        <v>41</v>
      </c>
      <c r="Q528">
        <v>16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</row>
    <row r="529" spans="1:25" x14ac:dyDescent="0.3">
      <c r="A529" t="s">
        <v>802</v>
      </c>
      <c r="B529" t="s">
        <v>82</v>
      </c>
      <c r="C529" t="s">
        <v>29</v>
      </c>
      <c r="D529">
        <v>60</v>
      </c>
      <c r="E529">
        <v>6</v>
      </c>
      <c r="F529">
        <v>9</v>
      </c>
      <c r="G529">
        <v>15</v>
      </c>
      <c r="H529">
        <v>-4</v>
      </c>
      <c r="I529">
        <v>18</v>
      </c>
      <c r="J529">
        <v>56</v>
      </c>
      <c r="K529">
        <v>1</v>
      </c>
      <c r="L529">
        <v>1</v>
      </c>
      <c r="M529">
        <v>1</v>
      </c>
      <c r="N529">
        <v>0</v>
      </c>
      <c r="O529">
        <v>0</v>
      </c>
      <c r="P529">
        <v>72</v>
      </c>
      <c r="Q529">
        <v>18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</row>
    <row r="530" spans="1:25" x14ac:dyDescent="0.3">
      <c r="A530" t="s">
        <v>641</v>
      </c>
      <c r="B530" t="s">
        <v>95</v>
      </c>
      <c r="C530" t="s">
        <v>93</v>
      </c>
      <c r="D530">
        <v>79</v>
      </c>
      <c r="E530">
        <v>3</v>
      </c>
      <c r="F530">
        <v>12</v>
      </c>
      <c r="G530">
        <v>15</v>
      </c>
      <c r="H530">
        <v>-8</v>
      </c>
      <c r="I530">
        <v>50</v>
      </c>
      <c r="J530">
        <v>111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214</v>
      </c>
      <c r="Q530">
        <v>140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</row>
    <row r="531" spans="1:25" x14ac:dyDescent="0.3">
      <c r="A531" t="s">
        <v>477</v>
      </c>
      <c r="B531" t="s">
        <v>82</v>
      </c>
      <c r="C531" t="s">
        <v>29</v>
      </c>
      <c r="D531">
        <v>55</v>
      </c>
      <c r="E531">
        <v>7</v>
      </c>
      <c r="F531">
        <v>8</v>
      </c>
      <c r="G531">
        <v>15</v>
      </c>
      <c r="H531">
        <v>-8</v>
      </c>
      <c r="I531">
        <v>27</v>
      </c>
      <c r="J531">
        <v>63</v>
      </c>
      <c r="K531">
        <v>2</v>
      </c>
      <c r="L531">
        <v>1</v>
      </c>
      <c r="M531">
        <v>2</v>
      </c>
      <c r="N531">
        <v>0</v>
      </c>
      <c r="O531">
        <v>0</v>
      </c>
      <c r="P531">
        <v>28</v>
      </c>
      <c r="Q531">
        <v>15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</row>
    <row r="532" spans="1:25" x14ac:dyDescent="0.3">
      <c r="A532" t="s">
        <v>1041</v>
      </c>
      <c r="B532" t="s">
        <v>181</v>
      </c>
      <c r="C532" t="s">
        <v>33</v>
      </c>
      <c r="D532">
        <v>46</v>
      </c>
      <c r="E532">
        <v>3</v>
      </c>
      <c r="F532">
        <v>11</v>
      </c>
      <c r="G532">
        <v>14</v>
      </c>
      <c r="H532">
        <v>-14</v>
      </c>
      <c r="I532">
        <v>12</v>
      </c>
      <c r="J532">
        <v>51</v>
      </c>
      <c r="K532">
        <v>0</v>
      </c>
      <c r="L532">
        <v>0</v>
      </c>
      <c r="M532">
        <v>2</v>
      </c>
      <c r="N532">
        <v>0</v>
      </c>
      <c r="O532">
        <v>0</v>
      </c>
      <c r="P532">
        <v>22</v>
      </c>
      <c r="Q532">
        <v>15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</row>
    <row r="533" spans="1:25" x14ac:dyDescent="0.3">
      <c r="A533" t="s">
        <v>701</v>
      </c>
      <c r="B533" t="s">
        <v>196</v>
      </c>
      <c r="C533" t="s">
        <v>93</v>
      </c>
      <c r="D533">
        <v>62</v>
      </c>
      <c r="E533">
        <v>0</v>
      </c>
      <c r="F533">
        <v>14</v>
      </c>
      <c r="G533">
        <v>14</v>
      </c>
      <c r="H533">
        <v>-17</v>
      </c>
      <c r="I533">
        <v>20</v>
      </c>
      <c r="J533">
        <v>67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146</v>
      </c>
      <c r="Q533">
        <v>89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</row>
    <row r="534" spans="1:25" x14ac:dyDescent="0.3">
      <c r="A534" t="s">
        <v>1034</v>
      </c>
      <c r="B534" t="s">
        <v>71</v>
      </c>
      <c r="C534" t="s">
        <v>33</v>
      </c>
      <c r="D534">
        <v>24</v>
      </c>
      <c r="E534">
        <v>3</v>
      </c>
      <c r="F534">
        <v>11</v>
      </c>
      <c r="G534">
        <v>14</v>
      </c>
      <c r="H534">
        <v>-4</v>
      </c>
      <c r="I534">
        <v>4</v>
      </c>
      <c r="J534">
        <v>52</v>
      </c>
      <c r="K534">
        <v>0</v>
      </c>
      <c r="L534">
        <v>1</v>
      </c>
      <c r="M534">
        <v>4</v>
      </c>
      <c r="N534">
        <v>0</v>
      </c>
      <c r="O534">
        <v>0</v>
      </c>
      <c r="P534">
        <v>9</v>
      </c>
      <c r="Q534">
        <v>12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</row>
    <row r="535" spans="1:25" x14ac:dyDescent="0.3">
      <c r="A535" t="s">
        <v>444</v>
      </c>
      <c r="B535" t="s">
        <v>59</v>
      </c>
      <c r="C535" t="s">
        <v>29</v>
      </c>
      <c r="D535">
        <v>54</v>
      </c>
      <c r="E535">
        <v>8</v>
      </c>
      <c r="F535">
        <v>6</v>
      </c>
      <c r="G535">
        <v>14</v>
      </c>
      <c r="H535">
        <v>-2</v>
      </c>
      <c r="I535">
        <v>4</v>
      </c>
      <c r="J535">
        <v>48</v>
      </c>
      <c r="K535">
        <v>2</v>
      </c>
      <c r="L535">
        <v>0</v>
      </c>
      <c r="M535">
        <v>0</v>
      </c>
      <c r="N535">
        <v>0</v>
      </c>
      <c r="O535">
        <v>0</v>
      </c>
      <c r="P535">
        <v>49</v>
      </c>
      <c r="Q535">
        <v>13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</row>
    <row r="536" spans="1:25" x14ac:dyDescent="0.3">
      <c r="A536" t="s">
        <v>1042</v>
      </c>
      <c r="B536" t="s">
        <v>98</v>
      </c>
      <c r="C536" t="s">
        <v>29</v>
      </c>
      <c r="D536">
        <v>74</v>
      </c>
      <c r="E536">
        <v>5</v>
      </c>
      <c r="F536">
        <v>9</v>
      </c>
      <c r="G536">
        <v>14</v>
      </c>
      <c r="H536">
        <v>-3</v>
      </c>
      <c r="I536">
        <v>18</v>
      </c>
      <c r="J536">
        <v>67</v>
      </c>
      <c r="K536">
        <v>1</v>
      </c>
      <c r="L536">
        <v>0</v>
      </c>
      <c r="M536">
        <v>0</v>
      </c>
      <c r="N536">
        <v>0</v>
      </c>
      <c r="O536">
        <v>0</v>
      </c>
      <c r="P536">
        <v>85</v>
      </c>
      <c r="Q536">
        <v>42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</row>
    <row r="537" spans="1:25" x14ac:dyDescent="0.3">
      <c r="A537" t="s">
        <v>795</v>
      </c>
      <c r="B537" t="s">
        <v>48</v>
      </c>
      <c r="C537" t="s">
        <v>29</v>
      </c>
      <c r="D537">
        <v>38</v>
      </c>
      <c r="E537">
        <v>7</v>
      </c>
      <c r="F537">
        <v>7</v>
      </c>
      <c r="G537">
        <v>14</v>
      </c>
      <c r="H537">
        <v>12</v>
      </c>
      <c r="I537">
        <v>17</v>
      </c>
      <c r="J537">
        <v>63</v>
      </c>
      <c r="K537">
        <v>1</v>
      </c>
      <c r="L537">
        <v>0</v>
      </c>
      <c r="M537">
        <v>0</v>
      </c>
      <c r="N537">
        <v>0</v>
      </c>
      <c r="O537">
        <v>0</v>
      </c>
      <c r="P537">
        <v>34</v>
      </c>
      <c r="Q537">
        <v>12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</row>
    <row r="538" spans="1:25" x14ac:dyDescent="0.3">
      <c r="A538" t="s">
        <v>909</v>
      </c>
      <c r="B538" t="s">
        <v>48</v>
      </c>
      <c r="C538" t="s">
        <v>29</v>
      </c>
      <c r="D538">
        <v>38</v>
      </c>
      <c r="E538">
        <v>6</v>
      </c>
      <c r="F538">
        <v>8</v>
      </c>
      <c r="G538">
        <v>14</v>
      </c>
      <c r="H538">
        <v>6</v>
      </c>
      <c r="I538">
        <v>8</v>
      </c>
      <c r="J538">
        <v>67</v>
      </c>
      <c r="K538">
        <v>1</v>
      </c>
      <c r="L538">
        <v>1</v>
      </c>
      <c r="M538">
        <v>2</v>
      </c>
      <c r="N538">
        <v>0</v>
      </c>
      <c r="O538">
        <v>0</v>
      </c>
      <c r="P538">
        <v>10</v>
      </c>
      <c r="Q538">
        <v>6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</row>
    <row r="539" spans="1:25" x14ac:dyDescent="0.3">
      <c r="A539" t="s">
        <v>510</v>
      </c>
      <c r="B539" t="s">
        <v>82</v>
      </c>
      <c r="C539" t="s">
        <v>33</v>
      </c>
      <c r="D539">
        <v>52</v>
      </c>
      <c r="E539">
        <v>8</v>
      </c>
      <c r="F539">
        <v>6</v>
      </c>
      <c r="G539">
        <v>14</v>
      </c>
      <c r="H539">
        <v>2</v>
      </c>
      <c r="I539">
        <v>24</v>
      </c>
      <c r="J539">
        <v>81</v>
      </c>
      <c r="K539">
        <v>1</v>
      </c>
      <c r="L539">
        <v>0</v>
      </c>
      <c r="M539">
        <v>0</v>
      </c>
      <c r="N539">
        <v>0</v>
      </c>
      <c r="O539">
        <v>0</v>
      </c>
      <c r="P539">
        <v>127</v>
      </c>
      <c r="Q539">
        <v>19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</row>
    <row r="540" spans="1:25" x14ac:dyDescent="0.3">
      <c r="A540" t="s">
        <v>592</v>
      </c>
      <c r="B540" t="s">
        <v>75</v>
      </c>
      <c r="C540" t="s">
        <v>29</v>
      </c>
      <c r="D540">
        <v>48</v>
      </c>
      <c r="E540">
        <v>5</v>
      </c>
      <c r="F540">
        <v>9</v>
      </c>
      <c r="G540">
        <v>14</v>
      </c>
      <c r="H540">
        <v>-3</v>
      </c>
      <c r="I540">
        <v>10</v>
      </c>
      <c r="J540">
        <v>47</v>
      </c>
      <c r="K540">
        <v>1</v>
      </c>
      <c r="L540">
        <v>0</v>
      </c>
      <c r="M540">
        <v>2</v>
      </c>
      <c r="N540">
        <v>0</v>
      </c>
      <c r="O540">
        <v>0</v>
      </c>
      <c r="P540">
        <v>31</v>
      </c>
      <c r="Q540">
        <v>16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</row>
    <row r="541" spans="1:25" x14ac:dyDescent="0.3">
      <c r="A541" t="s">
        <v>402</v>
      </c>
      <c r="B541" t="s">
        <v>84</v>
      </c>
      <c r="C541" t="s">
        <v>29</v>
      </c>
      <c r="D541">
        <v>46</v>
      </c>
      <c r="E541">
        <v>6</v>
      </c>
      <c r="F541">
        <v>8</v>
      </c>
      <c r="G541">
        <v>14</v>
      </c>
      <c r="H541">
        <v>2</v>
      </c>
      <c r="I541">
        <v>15</v>
      </c>
      <c r="J541">
        <v>53</v>
      </c>
      <c r="K541">
        <v>1</v>
      </c>
      <c r="L541">
        <v>0</v>
      </c>
      <c r="M541">
        <v>0</v>
      </c>
      <c r="N541">
        <v>0</v>
      </c>
      <c r="O541">
        <v>0</v>
      </c>
      <c r="P541">
        <v>58</v>
      </c>
      <c r="Q541">
        <v>22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</row>
    <row r="542" spans="1:25" x14ac:dyDescent="0.3">
      <c r="A542" t="s">
        <v>440</v>
      </c>
      <c r="B542" t="s">
        <v>181</v>
      </c>
      <c r="C542" t="s">
        <v>42</v>
      </c>
      <c r="D542">
        <v>63</v>
      </c>
      <c r="E542">
        <v>6</v>
      </c>
      <c r="F542">
        <v>8</v>
      </c>
      <c r="G542">
        <v>14</v>
      </c>
      <c r="H542">
        <v>-14</v>
      </c>
      <c r="I542">
        <v>14</v>
      </c>
      <c r="J542">
        <v>94</v>
      </c>
      <c r="K542">
        <v>1</v>
      </c>
      <c r="L542">
        <v>1</v>
      </c>
      <c r="M542">
        <v>0</v>
      </c>
      <c r="N542">
        <v>0</v>
      </c>
      <c r="O542">
        <v>1</v>
      </c>
      <c r="P542">
        <v>126</v>
      </c>
      <c r="Q542">
        <v>24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</row>
    <row r="543" spans="1:25" x14ac:dyDescent="0.3">
      <c r="A543" t="s">
        <v>546</v>
      </c>
      <c r="B543" t="s">
        <v>79</v>
      </c>
      <c r="C543" t="s">
        <v>29</v>
      </c>
      <c r="D543">
        <v>73</v>
      </c>
      <c r="E543">
        <v>8</v>
      </c>
      <c r="F543">
        <v>6</v>
      </c>
      <c r="G543">
        <v>14</v>
      </c>
      <c r="H543">
        <v>-3</v>
      </c>
      <c r="I543">
        <v>16</v>
      </c>
      <c r="J543">
        <v>89</v>
      </c>
      <c r="K543">
        <v>1</v>
      </c>
      <c r="L543">
        <v>0</v>
      </c>
      <c r="M543">
        <v>0</v>
      </c>
      <c r="N543">
        <v>0</v>
      </c>
      <c r="O543">
        <v>1</v>
      </c>
      <c r="P543">
        <v>181</v>
      </c>
      <c r="Q543">
        <v>48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</row>
    <row r="544" spans="1:25" x14ac:dyDescent="0.3">
      <c r="A544" t="s">
        <v>485</v>
      </c>
      <c r="B544" t="s">
        <v>63</v>
      </c>
      <c r="C544" t="s">
        <v>33</v>
      </c>
      <c r="D544">
        <v>62</v>
      </c>
      <c r="E544">
        <v>5</v>
      </c>
      <c r="F544">
        <v>9</v>
      </c>
      <c r="G544">
        <v>14</v>
      </c>
      <c r="H544">
        <v>0</v>
      </c>
      <c r="I544">
        <v>24</v>
      </c>
      <c r="J544">
        <v>80</v>
      </c>
      <c r="K544">
        <v>1</v>
      </c>
      <c r="L544">
        <v>0</v>
      </c>
      <c r="M544">
        <v>0</v>
      </c>
      <c r="N544">
        <v>0</v>
      </c>
      <c r="O544">
        <v>1</v>
      </c>
      <c r="P544">
        <v>94</v>
      </c>
      <c r="Q544">
        <v>18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</row>
    <row r="545" spans="1:25" x14ac:dyDescent="0.3">
      <c r="A545" t="s">
        <v>394</v>
      </c>
      <c r="B545" t="s">
        <v>63</v>
      </c>
      <c r="C545" t="s">
        <v>29</v>
      </c>
      <c r="D545">
        <v>38</v>
      </c>
      <c r="E545">
        <v>7</v>
      </c>
      <c r="F545">
        <v>7</v>
      </c>
      <c r="G545">
        <v>14</v>
      </c>
      <c r="H545">
        <v>-6</v>
      </c>
      <c r="I545">
        <v>33</v>
      </c>
      <c r="J545">
        <v>48</v>
      </c>
      <c r="K545">
        <v>1</v>
      </c>
      <c r="L545">
        <v>0</v>
      </c>
      <c r="M545">
        <v>0</v>
      </c>
      <c r="N545">
        <v>0</v>
      </c>
      <c r="O545">
        <v>0</v>
      </c>
      <c r="P545">
        <v>31</v>
      </c>
      <c r="Q545">
        <v>12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</row>
    <row r="546" spans="1:25" x14ac:dyDescent="0.3">
      <c r="A546" t="s">
        <v>521</v>
      </c>
      <c r="B546" t="s">
        <v>41</v>
      </c>
      <c r="C546" t="s">
        <v>29</v>
      </c>
      <c r="D546">
        <v>67</v>
      </c>
      <c r="E546">
        <v>7</v>
      </c>
      <c r="F546">
        <v>7</v>
      </c>
      <c r="G546">
        <v>14</v>
      </c>
      <c r="H546">
        <v>-5</v>
      </c>
      <c r="I546">
        <v>18</v>
      </c>
      <c r="J546">
        <v>98</v>
      </c>
      <c r="K546">
        <v>1</v>
      </c>
      <c r="L546">
        <v>0</v>
      </c>
      <c r="M546">
        <v>0</v>
      </c>
      <c r="N546">
        <v>1</v>
      </c>
      <c r="O546">
        <v>1</v>
      </c>
      <c r="P546">
        <v>106</v>
      </c>
      <c r="Q546">
        <v>24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</row>
    <row r="547" spans="1:25" x14ac:dyDescent="0.3">
      <c r="A547" t="s">
        <v>550</v>
      </c>
      <c r="B547" t="s">
        <v>73</v>
      </c>
      <c r="C547" t="s">
        <v>93</v>
      </c>
      <c r="D547">
        <v>54</v>
      </c>
      <c r="E547">
        <v>4</v>
      </c>
      <c r="F547">
        <v>10</v>
      </c>
      <c r="G547">
        <v>14</v>
      </c>
      <c r="H547">
        <v>3</v>
      </c>
      <c r="I547">
        <v>26</v>
      </c>
      <c r="J547">
        <v>101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84</v>
      </c>
      <c r="Q547">
        <v>110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</row>
    <row r="548" spans="1:25" x14ac:dyDescent="0.3">
      <c r="A548" t="s">
        <v>549</v>
      </c>
      <c r="B548" t="s">
        <v>132</v>
      </c>
      <c r="C548" t="s">
        <v>93</v>
      </c>
      <c r="D548">
        <v>62</v>
      </c>
      <c r="E548">
        <v>4</v>
      </c>
      <c r="F548">
        <v>10</v>
      </c>
      <c r="G548">
        <v>14</v>
      </c>
      <c r="H548">
        <v>1</v>
      </c>
      <c r="I548">
        <v>28</v>
      </c>
      <c r="J548">
        <v>68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81</v>
      </c>
      <c r="Q548">
        <v>104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</row>
    <row r="549" spans="1:25" x14ac:dyDescent="0.3">
      <c r="A549" t="s">
        <v>554</v>
      </c>
      <c r="B549" t="s">
        <v>37</v>
      </c>
      <c r="C549" t="s">
        <v>93</v>
      </c>
      <c r="D549">
        <v>74</v>
      </c>
      <c r="E549">
        <v>3</v>
      </c>
      <c r="F549">
        <v>11</v>
      </c>
      <c r="G549">
        <v>14</v>
      </c>
      <c r="H549">
        <v>2</v>
      </c>
      <c r="I549">
        <v>47</v>
      </c>
      <c r="J549">
        <v>66</v>
      </c>
      <c r="K549">
        <v>0</v>
      </c>
      <c r="L549">
        <v>0</v>
      </c>
      <c r="M549">
        <v>0</v>
      </c>
      <c r="N549">
        <v>0</v>
      </c>
      <c r="O549">
        <v>1</v>
      </c>
      <c r="P549">
        <v>132</v>
      </c>
      <c r="Q549">
        <v>111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</row>
    <row r="550" spans="1:25" x14ac:dyDescent="0.3">
      <c r="A550" t="s">
        <v>454</v>
      </c>
      <c r="B550" t="s">
        <v>181</v>
      </c>
      <c r="C550" t="s">
        <v>29</v>
      </c>
      <c r="D550">
        <v>64</v>
      </c>
      <c r="E550">
        <v>6</v>
      </c>
      <c r="F550">
        <v>8</v>
      </c>
      <c r="G550">
        <v>14</v>
      </c>
      <c r="H550">
        <v>-4</v>
      </c>
      <c r="I550">
        <v>24</v>
      </c>
      <c r="J550">
        <v>89</v>
      </c>
      <c r="K550">
        <v>1</v>
      </c>
      <c r="L550">
        <v>0</v>
      </c>
      <c r="M550">
        <v>0</v>
      </c>
      <c r="N550">
        <v>0</v>
      </c>
      <c r="O550">
        <v>0</v>
      </c>
      <c r="P550">
        <v>103</v>
      </c>
      <c r="Q550">
        <v>17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</row>
    <row r="551" spans="1:25" x14ac:dyDescent="0.3">
      <c r="A551" t="s">
        <v>451</v>
      </c>
      <c r="B551" t="s">
        <v>44</v>
      </c>
      <c r="C551" t="s">
        <v>93</v>
      </c>
      <c r="D551">
        <v>63</v>
      </c>
      <c r="E551">
        <v>5</v>
      </c>
      <c r="F551">
        <v>9</v>
      </c>
      <c r="G551">
        <v>14</v>
      </c>
      <c r="H551">
        <v>-12</v>
      </c>
      <c r="I551">
        <v>48</v>
      </c>
      <c r="J551">
        <v>86</v>
      </c>
      <c r="K551">
        <v>1</v>
      </c>
      <c r="L551">
        <v>0</v>
      </c>
      <c r="M551">
        <v>0</v>
      </c>
      <c r="N551">
        <v>0</v>
      </c>
      <c r="O551">
        <v>0</v>
      </c>
      <c r="P551">
        <v>140</v>
      </c>
      <c r="Q551">
        <v>162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</row>
    <row r="552" spans="1:25" x14ac:dyDescent="0.3">
      <c r="A552" t="s">
        <v>694</v>
      </c>
      <c r="B552" t="s">
        <v>59</v>
      </c>
      <c r="C552" t="s">
        <v>93</v>
      </c>
      <c r="D552">
        <v>76</v>
      </c>
      <c r="E552">
        <v>4</v>
      </c>
      <c r="F552">
        <v>9</v>
      </c>
      <c r="G552">
        <v>13</v>
      </c>
      <c r="H552">
        <v>3</v>
      </c>
      <c r="I552">
        <v>74</v>
      </c>
      <c r="J552">
        <v>127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151</v>
      </c>
      <c r="Q552">
        <v>91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</row>
    <row r="553" spans="1:25" x14ac:dyDescent="0.3">
      <c r="A553" t="s">
        <v>603</v>
      </c>
      <c r="B553" t="s">
        <v>75</v>
      </c>
      <c r="C553" t="s">
        <v>93</v>
      </c>
      <c r="D553">
        <v>70</v>
      </c>
      <c r="E553">
        <v>3</v>
      </c>
      <c r="F553">
        <v>10</v>
      </c>
      <c r="G553">
        <v>13</v>
      </c>
      <c r="H553">
        <v>17</v>
      </c>
      <c r="I553">
        <v>22</v>
      </c>
      <c r="J553">
        <v>74</v>
      </c>
      <c r="K553">
        <v>0</v>
      </c>
      <c r="L553">
        <v>0</v>
      </c>
      <c r="M553">
        <v>0</v>
      </c>
      <c r="N553">
        <v>0</v>
      </c>
      <c r="O553">
        <v>1</v>
      </c>
      <c r="P553">
        <v>94</v>
      </c>
      <c r="Q553">
        <v>73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</row>
    <row r="554" spans="1:25" x14ac:dyDescent="0.3">
      <c r="A554" t="s">
        <v>578</v>
      </c>
      <c r="B554" t="s">
        <v>35</v>
      </c>
      <c r="C554" t="s">
        <v>42</v>
      </c>
      <c r="D554">
        <v>69</v>
      </c>
      <c r="E554">
        <v>5</v>
      </c>
      <c r="F554">
        <v>8</v>
      </c>
      <c r="G554">
        <v>13</v>
      </c>
      <c r="H554">
        <v>-6</v>
      </c>
      <c r="I554">
        <v>89</v>
      </c>
      <c r="J554">
        <v>76</v>
      </c>
      <c r="K554">
        <v>1</v>
      </c>
      <c r="L554">
        <v>1</v>
      </c>
      <c r="M554">
        <v>1</v>
      </c>
      <c r="N554">
        <v>0</v>
      </c>
      <c r="O554">
        <v>0</v>
      </c>
      <c r="P554">
        <v>143</v>
      </c>
      <c r="Q554">
        <v>14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</row>
    <row r="555" spans="1:25" x14ac:dyDescent="0.3">
      <c r="A555" t="s">
        <v>426</v>
      </c>
      <c r="B555" t="s">
        <v>54</v>
      </c>
      <c r="C555" t="s">
        <v>29</v>
      </c>
      <c r="D555">
        <v>36</v>
      </c>
      <c r="E555">
        <v>6</v>
      </c>
      <c r="F555">
        <v>7</v>
      </c>
      <c r="G555">
        <v>13</v>
      </c>
      <c r="H555">
        <v>2</v>
      </c>
      <c r="I555">
        <v>8</v>
      </c>
      <c r="J555">
        <v>39</v>
      </c>
      <c r="K555">
        <v>0</v>
      </c>
      <c r="L555">
        <v>0</v>
      </c>
      <c r="M555">
        <v>1</v>
      </c>
      <c r="N555">
        <v>0</v>
      </c>
      <c r="O555">
        <v>0</v>
      </c>
      <c r="P555">
        <v>51</v>
      </c>
      <c r="Q555">
        <v>14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</row>
    <row r="556" spans="1:25" x14ac:dyDescent="0.3">
      <c r="A556" t="s">
        <v>630</v>
      </c>
      <c r="B556" t="s">
        <v>71</v>
      </c>
      <c r="C556" t="s">
        <v>93</v>
      </c>
      <c r="D556">
        <v>76</v>
      </c>
      <c r="E556">
        <v>3</v>
      </c>
      <c r="F556">
        <v>10</v>
      </c>
      <c r="G556">
        <v>13</v>
      </c>
      <c r="H556">
        <v>-21</v>
      </c>
      <c r="I556">
        <v>18</v>
      </c>
      <c r="J556">
        <v>64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55</v>
      </c>
      <c r="Q556">
        <v>86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</row>
    <row r="557" spans="1:25" x14ac:dyDescent="0.3">
      <c r="A557" t="s">
        <v>512</v>
      </c>
      <c r="B557" t="s">
        <v>82</v>
      </c>
      <c r="C557" t="s">
        <v>33</v>
      </c>
      <c r="D557">
        <v>52</v>
      </c>
      <c r="E557">
        <v>7</v>
      </c>
      <c r="F557">
        <v>6</v>
      </c>
      <c r="G557">
        <v>13</v>
      </c>
      <c r="H557">
        <v>0</v>
      </c>
      <c r="I557">
        <v>95</v>
      </c>
      <c r="J557">
        <v>67</v>
      </c>
      <c r="K557">
        <v>1</v>
      </c>
      <c r="L557">
        <v>0</v>
      </c>
      <c r="M557">
        <v>0</v>
      </c>
      <c r="N557">
        <v>0</v>
      </c>
      <c r="O557">
        <v>0</v>
      </c>
      <c r="P557">
        <v>127</v>
      </c>
      <c r="Q557">
        <v>20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</row>
    <row r="558" spans="1:25" x14ac:dyDescent="0.3">
      <c r="A558" t="s">
        <v>885</v>
      </c>
      <c r="B558" t="s">
        <v>87</v>
      </c>
      <c r="C558" t="s">
        <v>93</v>
      </c>
      <c r="D558">
        <v>66</v>
      </c>
      <c r="E558">
        <v>3</v>
      </c>
      <c r="F558">
        <v>10</v>
      </c>
      <c r="G558">
        <v>13</v>
      </c>
      <c r="H558">
        <v>10</v>
      </c>
      <c r="I558">
        <v>80</v>
      </c>
      <c r="J558">
        <v>76</v>
      </c>
      <c r="K558">
        <v>0</v>
      </c>
      <c r="L558">
        <v>0</v>
      </c>
      <c r="M558">
        <v>0</v>
      </c>
      <c r="N558">
        <v>0</v>
      </c>
      <c r="O558">
        <v>1</v>
      </c>
      <c r="P558">
        <v>128</v>
      </c>
      <c r="Q558">
        <v>130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</row>
    <row r="559" spans="1:25" x14ac:dyDescent="0.3">
      <c r="A559" t="s">
        <v>560</v>
      </c>
      <c r="B559" t="s">
        <v>122</v>
      </c>
      <c r="C559" t="s">
        <v>33</v>
      </c>
      <c r="D559">
        <v>65</v>
      </c>
      <c r="E559">
        <v>8</v>
      </c>
      <c r="F559">
        <v>5</v>
      </c>
      <c r="G559">
        <v>13</v>
      </c>
      <c r="H559">
        <v>-6</v>
      </c>
      <c r="I559">
        <v>38</v>
      </c>
      <c r="J559">
        <v>85</v>
      </c>
      <c r="K559">
        <v>0</v>
      </c>
      <c r="L559">
        <v>0</v>
      </c>
      <c r="M559">
        <v>1</v>
      </c>
      <c r="N559">
        <v>1</v>
      </c>
      <c r="O559">
        <v>0</v>
      </c>
      <c r="P559">
        <v>116</v>
      </c>
      <c r="Q559">
        <v>16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</row>
    <row r="560" spans="1:25" x14ac:dyDescent="0.3">
      <c r="A560" t="s">
        <v>759</v>
      </c>
      <c r="B560" t="s">
        <v>54</v>
      </c>
      <c r="C560" t="s">
        <v>29</v>
      </c>
      <c r="D560">
        <v>62</v>
      </c>
      <c r="E560">
        <v>3</v>
      </c>
      <c r="F560">
        <v>10</v>
      </c>
      <c r="G560">
        <v>13</v>
      </c>
      <c r="H560">
        <v>-1</v>
      </c>
      <c r="I560">
        <v>27</v>
      </c>
      <c r="J560">
        <v>77</v>
      </c>
      <c r="K560">
        <v>1</v>
      </c>
      <c r="L560">
        <v>0</v>
      </c>
      <c r="M560">
        <v>1</v>
      </c>
      <c r="N560">
        <v>0</v>
      </c>
      <c r="O560">
        <v>0</v>
      </c>
      <c r="P560">
        <v>63</v>
      </c>
      <c r="Q560">
        <v>32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</row>
    <row r="561" spans="1:25" x14ac:dyDescent="0.3">
      <c r="A561" t="s">
        <v>610</v>
      </c>
      <c r="B561" t="s">
        <v>73</v>
      </c>
      <c r="C561" t="s">
        <v>29</v>
      </c>
      <c r="D561">
        <v>52</v>
      </c>
      <c r="E561">
        <v>6</v>
      </c>
      <c r="F561">
        <v>7</v>
      </c>
      <c r="G561">
        <v>13</v>
      </c>
      <c r="H561">
        <v>1</v>
      </c>
      <c r="I561">
        <v>21</v>
      </c>
      <c r="J561">
        <v>89</v>
      </c>
      <c r="K561">
        <v>1</v>
      </c>
      <c r="L561">
        <v>0</v>
      </c>
      <c r="M561">
        <v>0</v>
      </c>
      <c r="N561">
        <v>1</v>
      </c>
      <c r="O561">
        <v>0</v>
      </c>
      <c r="P561">
        <v>122</v>
      </c>
      <c r="Q561">
        <v>54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</row>
    <row r="562" spans="1:25" x14ac:dyDescent="0.3">
      <c r="A562" t="s">
        <v>680</v>
      </c>
      <c r="B562" t="s">
        <v>61</v>
      </c>
      <c r="C562" t="s">
        <v>29</v>
      </c>
      <c r="D562">
        <v>37</v>
      </c>
      <c r="E562">
        <v>7</v>
      </c>
      <c r="F562">
        <v>6</v>
      </c>
      <c r="G562">
        <v>13</v>
      </c>
      <c r="H562">
        <v>-3</v>
      </c>
      <c r="I562">
        <v>6</v>
      </c>
      <c r="J562">
        <v>48</v>
      </c>
      <c r="K562">
        <v>1</v>
      </c>
      <c r="L562">
        <v>0</v>
      </c>
      <c r="M562">
        <v>1</v>
      </c>
      <c r="N562">
        <v>0</v>
      </c>
      <c r="O562">
        <v>0</v>
      </c>
      <c r="P562">
        <v>22</v>
      </c>
      <c r="Q562">
        <v>9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</row>
    <row r="563" spans="1:25" x14ac:dyDescent="0.3">
      <c r="A563" t="s">
        <v>283</v>
      </c>
      <c r="B563" t="s">
        <v>82</v>
      </c>
      <c r="C563" t="s">
        <v>29</v>
      </c>
      <c r="D563">
        <v>40</v>
      </c>
      <c r="E563">
        <v>7</v>
      </c>
      <c r="F563">
        <v>6</v>
      </c>
      <c r="G563">
        <v>13</v>
      </c>
      <c r="H563">
        <v>-6</v>
      </c>
      <c r="I563">
        <v>9</v>
      </c>
      <c r="J563">
        <v>61</v>
      </c>
      <c r="K563">
        <v>2</v>
      </c>
      <c r="L563">
        <v>2</v>
      </c>
      <c r="M563">
        <v>0</v>
      </c>
      <c r="N563">
        <v>0</v>
      </c>
      <c r="O563">
        <v>0</v>
      </c>
      <c r="P563">
        <v>11</v>
      </c>
      <c r="Q563">
        <v>13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</row>
    <row r="564" spans="1:25" x14ac:dyDescent="0.3">
      <c r="A564" t="s">
        <v>710</v>
      </c>
      <c r="B564" t="s">
        <v>61</v>
      </c>
      <c r="C564" t="s">
        <v>93</v>
      </c>
      <c r="D564">
        <v>76</v>
      </c>
      <c r="E564">
        <v>3</v>
      </c>
      <c r="F564">
        <v>10</v>
      </c>
      <c r="G564">
        <v>13</v>
      </c>
      <c r="H564">
        <v>10</v>
      </c>
      <c r="I564">
        <v>42</v>
      </c>
      <c r="J564">
        <v>71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109</v>
      </c>
      <c r="Q564">
        <v>73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</row>
    <row r="565" spans="1:25" x14ac:dyDescent="0.3">
      <c r="A565" t="s">
        <v>1044</v>
      </c>
      <c r="B565" t="s">
        <v>75</v>
      </c>
      <c r="C565" t="s">
        <v>33</v>
      </c>
      <c r="D565">
        <v>40</v>
      </c>
      <c r="E565">
        <v>5</v>
      </c>
      <c r="F565">
        <v>8</v>
      </c>
      <c r="G565">
        <v>13</v>
      </c>
      <c r="H565">
        <v>-6</v>
      </c>
      <c r="I565">
        <v>8</v>
      </c>
      <c r="J565">
        <v>46</v>
      </c>
      <c r="K565">
        <v>1</v>
      </c>
      <c r="L565">
        <v>1</v>
      </c>
      <c r="M565">
        <v>1</v>
      </c>
      <c r="N565">
        <v>0</v>
      </c>
      <c r="O565">
        <v>0</v>
      </c>
      <c r="P565">
        <v>44</v>
      </c>
      <c r="Q565">
        <v>8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</row>
    <row r="566" spans="1:25" x14ac:dyDescent="0.3">
      <c r="A566" t="s">
        <v>1043</v>
      </c>
      <c r="B566" t="s">
        <v>87</v>
      </c>
      <c r="C566" t="s">
        <v>29</v>
      </c>
      <c r="D566">
        <v>63</v>
      </c>
      <c r="E566">
        <v>5</v>
      </c>
      <c r="F566">
        <v>8</v>
      </c>
      <c r="G566">
        <v>13</v>
      </c>
      <c r="H566">
        <v>-6</v>
      </c>
      <c r="I566">
        <v>44</v>
      </c>
      <c r="J566">
        <v>92</v>
      </c>
      <c r="K566">
        <v>1</v>
      </c>
      <c r="L566">
        <v>0</v>
      </c>
      <c r="M566">
        <v>1</v>
      </c>
      <c r="N566">
        <v>1</v>
      </c>
      <c r="O566">
        <v>0</v>
      </c>
      <c r="P566">
        <v>94</v>
      </c>
      <c r="Q566">
        <v>34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</row>
    <row r="567" spans="1:25" x14ac:dyDescent="0.3">
      <c r="A567" t="s">
        <v>504</v>
      </c>
      <c r="B567" t="s">
        <v>196</v>
      </c>
      <c r="C567" t="s">
        <v>93</v>
      </c>
      <c r="D567">
        <v>72</v>
      </c>
      <c r="E567">
        <v>2</v>
      </c>
      <c r="F567">
        <v>11</v>
      </c>
      <c r="G567">
        <v>13</v>
      </c>
      <c r="H567">
        <v>-9</v>
      </c>
      <c r="I567">
        <v>14</v>
      </c>
      <c r="J567">
        <v>51</v>
      </c>
      <c r="K567">
        <v>0</v>
      </c>
      <c r="L567">
        <v>1</v>
      </c>
      <c r="M567">
        <v>3</v>
      </c>
      <c r="N567">
        <v>0</v>
      </c>
      <c r="O567">
        <v>1</v>
      </c>
      <c r="P567">
        <v>56</v>
      </c>
      <c r="Q567">
        <v>75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</row>
    <row r="568" spans="1:25" x14ac:dyDescent="0.3">
      <c r="A568" t="s">
        <v>1040</v>
      </c>
      <c r="B568" t="s">
        <v>28</v>
      </c>
      <c r="C568" t="s">
        <v>93</v>
      </c>
      <c r="D568">
        <v>51</v>
      </c>
      <c r="E568">
        <v>4</v>
      </c>
      <c r="F568">
        <v>8</v>
      </c>
      <c r="G568">
        <v>12</v>
      </c>
      <c r="H568">
        <v>-7</v>
      </c>
      <c r="I568">
        <v>22</v>
      </c>
      <c r="J568">
        <v>86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24</v>
      </c>
      <c r="Q568">
        <v>27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</row>
    <row r="569" spans="1:25" x14ac:dyDescent="0.3">
      <c r="A569" t="s">
        <v>1047</v>
      </c>
      <c r="B569" t="s">
        <v>65</v>
      </c>
      <c r="C569" t="s">
        <v>93</v>
      </c>
      <c r="D569">
        <v>61</v>
      </c>
      <c r="E569">
        <v>3</v>
      </c>
      <c r="F569">
        <v>9</v>
      </c>
      <c r="G569">
        <v>12</v>
      </c>
      <c r="H569">
        <v>-7</v>
      </c>
      <c r="I569">
        <v>18</v>
      </c>
      <c r="J569">
        <v>71</v>
      </c>
      <c r="K569">
        <v>0</v>
      </c>
      <c r="L569">
        <v>0</v>
      </c>
      <c r="M569">
        <v>2</v>
      </c>
      <c r="N569">
        <v>0</v>
      </c>
      <c r="O569">
        <v>0</v>
      </c>
      <c r="P569">
        <v>51</v>
      </c>
      <c r="Q569">
        <v>56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</row>
    <row r="570" spans="1:25" x14ac:dyDescent="0.3">
      <c r="A570" t="s">
        <v>757</v>
      </c>
      <c r="B570" t="s">
        <v>196</v>
      </c>
      <c r="C570" t="s">
        <v>93</v>
      </c>
      <c r="D570">
        <v>76</v>
      </c>
      <c r="E570">
        <v>2</v>
      </c>
      <c r="F570">
        <v>10</v>
      </c>
      <c r="G570">
        <v>12</v>
      </c>
      <c r="H570">
        <v>-12</v>
      </c>
      <c r="I570">
        <v>45</v>
      </c>
      <c r="J570">
        <v>59</v>
      </c>
      <c r="K570">
        <v>0</v>
      </c>
      <c r="L570">
        <v>0</v>
      </c>
      <c r="M570">
        <v>0</v>
      </c>
      <c r="N570">
        <v>0</v>
      </c>
      <c r="O570">
        <v>1</v>
      </c>
      <c r="P570">
        <v>191</v>
      </c>
      <c r="Q570">
        <v>95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</row>
    <row r="571" spans="1:25" x14ac:dyDescent="0.3">
      <c r="A571" t="s">
        <v>1045</v>
      </c>
      <c r="B571" t="s">
        <v>181</v>
      </c>
      <c r="C571" t="s">
        <v>93</v>
      </c>
      <c r="D571">
        <v>29</v>
      </c>
      <c r="E571">
        <v>3</v>
      </c>
      <c r="F571">
        <v>9</v>
      </c>
      <c r="G571">
        <v>12</v>
      </c>
      <c r="H571">
        <v>-9</v>
      </c>
      <c r="I571">
        <v>12</v>
      </c>
      <c r="J571">
        <v>33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21</v>
      </c>
      <c r="Q571">
        <v>38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</row>
    <row r="572" spans="1:25" x14ac:dyDescent="0.3">
      <c r="A572" t="s">
        <v>1046</v>
      </c>
      <c r="B572" t="s">
        <v>98</v>
      </c>
      <c r="C572" t="s">
        <v>33</v>
      </c>
      <c r="D572">
        <v>35</v>
      </c>
      <c r="E572">
        <v>5</v>
      </c>
      <c r="F572">
        <v>7</v>
      </c>
      <c r="G572">
        <v>12</v>
      </c>
      <c r="H572">
        <v>-3</v>
      </c>
      <c r="I572">
        <v>14</v>
      </c>
      <c r="J572">
        <v>125</v>
      </c>
      <c r="K572">
        <v>0</v>
      </c>
      <c r="L572">
        <v>2</v>
      </c>
      <c r="M572">
        <v>4</v>
      </c>
      <c r="N572">
        <v>0</v>
      </c>
      <c r="O572">
        <v>0</v>
      </c>
      <c r="P572">
        <v>12</v>
      </c>
      <c r="Q572">
        <v>6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</row>
    <row r="573" spans="1:25" x14ac:dyDescent="0.3">
      <c r="A573" t="s">
        <v>713</v>
      </c>
      <c r="B573" t="s">
        <v>75</v>
      </c>
      <c r="C573" t="s">
        <v>42</v>
      </c>
      <c r="D573">
        <v>53</v>
      </c>
      <c r="E573">
        <v>5</v>
      </c>
      <c r="F573">
        <v>7</v>
      </c>
      <c r="G573">
        <v>12</v>
      </c>
      <c r="H573">
        <v>-4</v>
      </c>
      <c r="I573">
        <v>30</v>
      </c>
      <c r="J573">
        <v>45</v>
      </c>
      <c r="K573">
        <v>1</v>
      </c>
      <c r="L573">
        <v>0</v>
      </c>
      <c r="M573">
        <v>0</v>
      </c>
      <c r="N573">
        <v>0</v>
      </c>
      <c r="O573">
        <v>0</v>
      </c>
      <c r="P573">
        <v>125</v>
      </c>
      <c r="Q573">
        <v>12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</row>
    <row r="574" spans="1:25" x14ac:dyDescent="0.3">
      <c r="A574" t="s">
        <v>1048</v>
      </c>
      <c r="B574" t="s">
        <v>46</v>
      </c>
      <c r="C574" t="s">
        <v>29</v>
      </c>
      <c r="D574">
        <v>43</v>
      </c>
      <c r="E574">
        <v>6</v>
      </c>
      <c r="F574">
        <v>6</v>
      </c>
      <c r="G574">
        <v>12</v>
      </c>
      <c r="H574">
        <v>-16</v>
      </c>
      <c r="I574">
        <v>5</v>
      </c>
      <c r="J574">
        <v>68</v>
      </c>
      <c r="K574">
        <v>1</v>
      </c>
      <c r="L574">
        <v>1</v>
      </c>
      <c r="M574">
        <v>0</v>
      </c>
      <c r="N574">
        <v>0</v>
      </c>
      <c r="O574">
        <v>0</v>
      </c>
      <c r="P574">
        <v>33</v>
      </c>
      <c r="Q574">
        <v>22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</row>
    <row r="575" spans="1:25" x14ac:dyDescent="0.3">
      <c r="A575" t="s">
        <v>469</v>
      </c>
      <c r="B575" t="s">
        <v>35</v>
      </c>
      <c r="C575" t="s">
        <v>29</v>
      </c>
      <c r="D575">
        <v>47</v>
      </c>
      <c r="E575">
        <v>5</v>
      </c>
      <c r="F575">
        <v>7</v>
      </c>
      <c r="G575">
        <v>12</v>
      </c>
      <c r="H575">
        <v>10</v>
      </c>
      <c r="I575">
        <v>27</v>
      </c>
      <c r="J575">
        <v>86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144</v>
      </c>
      <c r="Q575">
        <v>28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</row>
    <row r="576" spans="1:25" x14ac:dyDescent="0.3">
      <c r="A576" t="s">
        <v>666</v>
      </c>
      <c r="B576" t="s">
        <v>46</v>
      </c>
      <c r="C576" t="s">
        <v>93</v>
      </c>
      <c r="D576">
        <v>56</v>
      </c>
      <c r="E576">
        <v>1</v>
      </c>
      <c r="F576">
        <v>11</v>
      </c>
      <c r="G576">
        <v>12</v>
      </c>
      <c r="H576">
        <v>-16</v>
      </c>
      <c r="I576">
        <v>24</v>
      </c>
      <c r="J576">
        <v>98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80</v>
      </c>
      <c r="Q576">
        <v>40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</row>
    <row r="577" spans="1:25" x14ac:dyDescent="0.3">
      <c r="A577" t="s">
        <v>534</v>
      </c>
      <c r="B577" t="s">
        <v>181</v>
      </c>
      <c r="C577" t="s">
        <v>93</v>
      </c>
      <c r="D577">
        <v>66</v>
      </c>
      <c r="E577">
        <v>3</v>
      </c>
      <c r="F577">
        <v>9</v>
      </c>
      <c r="G577">
        <v>12</v>
      </c>
      <c r="H577">
        <v>-16</v>
      </c>
      <c r="I577">
        <v>27</v>
      </c>
      <c r="J577">
        <v>92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71</v>
      </c>
      <c r="Q577">
        <v>81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</row>
    <row r="578" spans="1:25" x14ac:dyDescent="0.3">
      <c r="A578" t="s">
        <v>818</v>
      </c>
      <c r="B578" t="s">
        <v>57</v>
      </c>
      <c r="C578" t="s">
        <v>93</v>
      </c>
      <c r="D578">
        <v>58</v>
      </c>
      <c r="E578">
        <v>3</v>
      </c>
      <c r="F578">
        <v>9</v>
      </c>
      <c r="G578">
        <v>12</v>
      </c>
      <c r="H578">
        <v>3</v>
      </c>
      <c r="I578">
        <v>12</v>
      </c>
      <c r="J578">
        <v>61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55</v>
      </c>
      <c r="Q578">
        <v>44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</row>
    <row r="579" spans="1:25" x14ac:dyDescent="0.3">
      <c r="A579" t="s">
        <v>737</v>
      </c>
      <c r="B579" t="s">
        <v>140</v>
      </c>
      <c r="C579" t="s">
        <v>93</v>
      </c>
      <c r="D579">
        <v>61</v>
      </c>
      <c r="E579">
        <v>3</v>
      </c>
      <c r="F579">
        <v>9</v>
      </c>
      <c r="G579">
        <v>12</v>
      </c>
      <c r="H579">
        <v>-5</v>
      </c>
      <c r="I579">
        <v>44</v>
      </c>
      <c r="J579">
        <v>81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153</v>
      </c>
      <c r="Q579">
        <v>60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</row>
    <row r="580" spans="1:25" x14ac:dyDescent="0.3">
      <c r="A580" t="s">
        <v>543</v>
      </c>
      <c r="B580" t="s">
        <v>63</v>
      </c>
      <c r="C580" t="s">
        <v>93</v>
      </c>
      <c r="D580">
        <v>55</v>
      </c>
      <c r="E580">
        <v>3</v>
      </c>
      <c r="F580">
        <v>9</v>
      </c>
      <c r="G580">
        <v>12</v>
      </c>
      <c r="H580">
        <v>3</v>
      </c>
      <c r="I580">
        <v>22</v>
      </c>
      <c r="J580">
        <v>107</v>
      </c>
      <c r="K580">
        <v>1</v>
      </c>
      <c r="L580">
        <v>0</v>
      </c>
      <c r="M580">
        <v>1</v>
      </c>
      <c r="N580">
        <v>0</v>
      </c>
      <c r="O580">
        <v>0</v>
      </c>
      <c r="P580">
        <v>50</v>
      </c>
      <c r="Q580">
        <v>62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</row>
    <row r="581" spans="1:25" x14ac:dyDescent="0.3">
      <c r="A581" t="s">
        <v>668</v>
      </c>
      <c r="B581" t="s">
        <v>52</v>
      </c>
      <c r="C581" t="s">
        <v>93</v>
      </c>
      <c r="D581">
        <v>45</v>
      </c>
      <c r="E581">
        <v>2</v>
      </c>
      <c r="F581">
        <v>10</v>
      </c>
      <c r="G581">
        <v>12</v>
      </c>
      <c r="H581">
        <v>4</v>
      </c>
      <c r="I581">
        <v>34</v>
      </c>
      <c r="J581">
        <v>70</v>
      </c>
      <c r="K581">
        <v>0</v>
      </c>
      <c r="L581">
        <v>0</v>
      </c>
      <c r="M581">
        <v>0</v>
      </c>
      <c r="N581">
        <v>0</v>
      </c>
      <c r="O581">
        <v>1</v>
      </c>
      <c r="P581">
        <v>97</v>
      </c>
      <c r="Q581">
        <v>73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</row>
    <row r="582" spans="1:25" x14ac:dyDescent="0.3">
      <c r="A582" t="s">
        <v>821</v>
      </c>
      <c r="B582" t="s">
        <v>122</v>
      </c>
      <c r="C582" t="s">
        <v>29</v>
      </c>
      <c r="D582">
        <v>39</v>
      </c>
      <c r="E582">
        <v>4</v>
      </c>
      <c r="F582">
        <v>8</v>
      </c>
      <c r="G582">
        <v>12</v>
      </c>
      <c r="H582">
        <v>2</v>
      </c>
      <c r="I582">
        <v>7</v>
      </c>
      <c r="J582">
        <v>54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51</v>
      </c>
      <c r="Q582">
        <v>12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</row>
    <row r="583" spans="1:25" x14ac:dyDescent="0.3">
      <c r="A583" t="s">
        <v>520</v>
      </c>
      <c r="B583" t="s">
        <v>95</v>
      </c>
      <c r="C583" t="s">
        <v>42</v>
      </c>
      <c r="D583">
        <v>51</v>
      </c>
      <c r="E583">
        <v>5</v>
      </c>
      <c r="F583">
        <v>7</v>
      </c>
      <c r="G583">
        <v>12</v>
      </c>
      <c r="H583">
        <v>-5</v>
      </c>
      <c r="I583">
        <v>12</v>
      </c>
      <c r="J583">
        <v>56</v>
      </c>
      <c r="K583">
        <v>1</v>
      </c>
      <c r="L583">
        <v>0</v>
      </c>
      <c r="M583">
        <v>0</v>
      </c>
      <c r="N583">
        <v>1</v>
      </c>
      <c r="O583">
        <v>0</v>
      </c>
      <c r="P583">
        <v>194</v>
      </c>
      <c r="Q583">
        <v>21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</row>
    <row r="584" spans="1:25" x14ac:dyDescent="0.3">
      <c r="A584" t="s">
        <v>688</v>
      </c>
      <c r="B584" t="s">
        <v>87</v>
      </c>
      <c r="C584" t="s">
        <v>93</v>
      </c>
      <c r="D584">
        <v>55</v>
      </c>
      <c r="E584">
        <v>2</v>
      </c>
      <c r="F584">
        <v>10</v>
      </c>
      <c r="G584">
        <v>12</v>
      </c>
      <c r="H584">
        <v>8</v>
      </c>
      <c r="I584">
        <v>18</v>
      </c>
      <c r="J584">
        <v>47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39</v>
      </c>
      <c r="Q584">
        <v>88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</row>
    <row r="585" spans="1:25" x14ac:dyDescent="0.3">
      <c r="A585" t="s">
        <v>606</v>
      </c>
      <c r="B585" t="s">
        <v>132</v>
      </c>
      <c r="C585" t="s">
        <v>33</v>
      </c>
      <c r="D585">
        <v>72</v>
      </c>
      <c r="E585">
        <v>7</v>
      </c>
      <c r="F585">
        <v>5</v>
      </c>
      <c r="G585">
        <v>12</v>
      </c>
      <c r="H585">
        <v>-11</v>
      </c>
      <c r="I585">
        <v>98</v>
      </c>
      <c r="J585">
        <v>83</v>
      </c>
      <c r="K585">
        <v>1</v>
      </c>
      <c r="L585">
        <v>0</v>
      </c>
      <c r="M585">
        <v>0</v>
      </c>
      <c r="N585">
        <v>1</v>
      </c>
      <c r="O585">
        <v>0</v>
      </c>
      <c r="P585">
        <v>222</v>
      </c>
      <c r="Q585">
        <v>38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</row>
    <row r="586" spans="1:25" x14ac:dyDescent="0.3">
      <c r="A586" t="s">
        <v>556</v>
      </c>
      <c r="B586" t="s">
        <v>32</v>
      </c>
      <c r="C586" t="s">
        <v>42</v>
      </c>
      <c r="D586">
        <v>67</v>
      </c>
      <c r="E586">
        <v>4</v>
      </c>
      <c r="F586">
        <v>7</v>
      </c>
      <c r="G586">
        <v>11</v>
      </c>
      <c r="H586">
        <v>-13</v>
      </c>
      <c r="I586">
        <v>53</v>
      </c>
      <c r="J586">
        <v>52</v>
      </c>
      <c r="K586">
        <v>1</v>
      </c>
      <c r="L586">
        <v>0</v>
      </c>
      <c r="M586">
        <v>0</v>
      </c>
      <c r="N586">
        <v>0</v>
      </c>
      <c r="O586">
        <v>0</v>
      </c>
      <c r="P586">
        <v>283</v>
      </c>
      <c r="Q586">
        <v>17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</row>
    <row r="587" spans="1:25" x14ac:dyDescent="0.3">
      <c r="A587" t="s">
        <v>659</v>
      </c>
      <c r="B587" t="s">
        <v>63</v>
      </c>
      <c r="C587" t="s">
        <v>93</v>
      </c>
      <c r="D587">
        <v>36</v>
      </c>
      <c r="E587">
        <v>1</v>
      </c>
      <c r="F587">
        <v>10</v>
      </c>
      <c r="G587">
        <v>11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23</v>
      </c>
      <c r="Q587">
        <v>27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</row>
    <row r="588" spans="1:25" x14ac:dyDescent="0.3">
      <c r="A588" t="s">
        <v>580</v>
      </c>
      <c r="B588" t="s">
        <v>48</v>
      </c>
      <c r="C588" t="s">
        <v>29</v>
      </c>
      <c r="D588">
        <v>59</v>
      </c>
      <c r="E588">
        <v>4</v>
      </c>
      <c r="F588">
        <v>7</v>
      </c>
      <c r="G588">
        <v>11</v>
      </c>
      <c r="H588">
        <v>-2</v>
      </c>
      <c r="I588">
        <v>12</v>
      </c>
      <c r="J588">
        <v>89</v>
      </c>
      <c r="K588">
        <v>1</v>
      </c>
      <c r="L588">
        <v>0</v>
      </c>
      <c r="M588">
        <v>0</v>
      </c>
      <c r="N588">
        <v>1</v>
      </c>
      <c r="O588">
        <v>0</v>
      </c>
      <c r="P588">
        <v>129</v>
      </c>
      <c r="Q588">
        <v>30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</row>
    <row r="589" spans="1:25" x14ac:dyDescent="0.3">
      <c r="A589" t="s">
        <v>637</v>
      </c>
      <c r="B589" t="s">
        <v>71</v>
      </c>
      <c r="C589" t="s">
        <v>33</v>
      </c>
      <c r="D589">
        <v>42</v>
      </c>
      <c r="E589">
        <v>4</v>
      </c>
      <c r="F589">
        <v>7</v>
      </c>
      <c r="G589">
        <v>11</v>
      </c>
      <c r="H589">
        <v>-4</v>
      </c>
      <c r="I589">
        <v>31</v>
      </c>
      <c r="J589">
        <v>65</v>
      </c>
      <c r="K589">
        <v>1</v>
      </c>
      <c r="L589">
        <v>0</v>
      </c>
      <c r="M589">
        <v>0</v>
      </c>
      <c r="N589">
        <v>0</v>
      </c>
      <c r="O589">
        <v>0</v>
      </c>
      <c r="P589">
        <v>59</v>
      </c>
      <c r="Q589">
        <v>13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</row>
    <row r="590" spans="1:25" x14ac:dyDescent="0.3">
      <c r="A590" t="s">
        <v>557</v>
      </c>
      <c r="B590" t="s">
        <v>32</v>
      </c>
      <c r="C590" t="s">
        <v>33</v>
      </c>
      <c r="D590">
        <v>52</v>
      </c>
      <c r="E590">
        <v>6</v>
      </c>
      <c r="F590">
        <v>5</v>
      </c>
      <c r="G590">
        <v>11</v>
      </c>
      <c r="H590">
        <v>-20</v>
      </c>
      <c r="I590">
        <v>13</v>
      </c>
      <c r="J590">
        <v>105</v>
      </c>
      <c r="K590">
        <v>2</v>
      </c>
      <c r="L590">
        <v>0</v>
      </c>
      <c r="M590">
        <v>0</v>
      </c>
      <c r="N590">
        <v>2</v>
      </c>
      <c r="O590">
        <v>0</v>
      </c>
      <c r="P590">
        <v>58</v>
      </c>
      <c r="Q590">
        <v>21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</row>
    <row r="591" spans="1:25" x14ac:dyDescent="0.3">
      <c r="A591" t="s">
        <v>760</v>
      </c>
      <c r="B591" t="s">
        <v>52</v>
      </c>
      <c r="C591" t="s">
        <v>29</v>
      </c>
      <c r="D591">
        <v>64</v>
      </c>
      <c r="E591">
        <v>4</v>
      </c>
      <c r="F591">
        <v>7</v>
      </c>
      <c r="G591">
        <v>11</v>
      </c>
      <c r="H591">
        <v>-7</v>
      </c>
      <c r="I591">
        <v>15</v>
      </c>
      <c r="J591">
        <v>71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39</v>
      </c>
      <c r="Q591">
        <v>15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</row>
    <row r="592" spans="1:25" x14ac:dyDescent="0.3">
      <c r="A592" t="s">
        <v>681</v>
      </c>
      <c r="B592" t="s">
        <v>71</v>
      </c>
      <c r="C592" t="s">
        <v>93</v>
      </c>
      <c r="D592">
        <v>69</v>
      </c>
      <c r="E592">
        <v>1</v>
      </c>
      <c r="F592">
        <v>10</v>
      </c>
      <c r="G592">
        <v>11</v>
      </c>
      <c r="H592">
        <v>-18</v>
      </c>
      <c r="I592">
        <v>40</v>
      </c>
      <c r="J592">
        <v>65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92</v>
      </c>
      <c r="Q592">
        <v>69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</row>
    <row r="593" spans="1:25" x14ac:dyDescent="0.3">
      <c r="A593" t="s">
        <v>542</v>
      </c>
      <c r="B593" t="s">
        <v>82</v>
      </c>
      <c r="C593" t="s">
        <v>93</v>
      </c>
      <c r="D593">
        <v>72</v>
      </c>
      <c r="E593">
        <v>2</v>
      </c>
      <c r="F593">
        <v>9</v>
      </c>
      <c r="G593">
        <v>11</v>
      </c>
      <c r="H593">
        <v>6</v>
      </c>
      <c r="I593">
        <v>14</v>
      </c>
      <c r="J593">
        <v>76</v>
      </c>
      <c r="K593">
        <v>0</v>
      </c>
      <c r="L593">
        <v>0</v>
      </c>
      <c r="M593">
        <v>0</v>
      </c>
      <c r="N593">
        <v>0</v>
      </c>
      <c r="O593">
        <v>1</v>
      </c>
      <c r="P593">
        <v>148</v>
      </c>
      <c r="Q593">
        <v>89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</row>
    <row r="594" spans="1:25" x14ac:dyDescent="0.3">
      <c r="A594" t="s">
        <v>1050</v>
      </c>
      <c r="B594" t="s">
        <v>106</v>
      </c>
      <c r="C594" t="s">
        <v>33</v>
      </c>
      <c r="D594">
        <v>21</v>
      </c>
      <c r="E594">
        <v>4</v>
      </c>
      <c r="F594">
        <v>7</v>
      </c>
      <c r="G594">
        <v>11</v>
      </c>
      <c r="H594">
        <v>5</v>
      </c>
      <c r="I594">
        <v>4</v>
      </c>
      <c r="J594">
        <v>50</v>
      </c>
      <c r="K594">
        <v>0</v>
      </c>
      <c r="L594">
        <v>0</v>
      </c>
      <c r="M594">
        <v>1</v>
      </c>
      <c r="N594">
        <v>0</v>
      </c>
      <c r="O594">
        <v>0</v>
      </c>
      <c r="P594">
        <v>22</v>
      </c>
      <c r="Q594">
        <v>11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</row>
    <row r="595" spans="1:25" x14ac:dyDescent="0.3">
      <c r="A595" t="s">
        <v>714</v>
      </c>
      <c r="B595" t="s">
        <v>44</v>
      </c>
      <c r="C595" t="s">
        <v>42</v>
      </c>
      <c r="D595">
        <v>48</v>
      </c>
      <c r="E595">
        <v>4</v>
      </c>
      <c r="F595">
        <v>7</v>
      </c>
      <c r="G595">
        <v>11</v>
      </c>
      <c r="H595">
        <v>-14</v>
      </c>
      <c r="I595">
        <v>28</v>
      </c>
      <c r="J595">
        <v>43</v>
      </c>
      <c r="K595">
        <v>0</v>
      </c>
      <c r="L595">
        <v>0</v>
      </c>
      <c r="M595">
        <v>0</v>
      </c>
      <c r="N595">
        <v>1</v>
      </c>
      <c r="O595">
        <v>0</v>
      </c>
      <c r="P595">
        <v>112</v>
      </c>
      <c r="Q595">
        <v>19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</row>
    <row r="596" spans="1:25" x14ac:dyDescent="0.3">
      <c r="A596" t="s">
        <v>591</v>
      </c>
      <c r="B596" t="s">
        <v>71</v>
      </c>
      <c r="C596" t="s">
        <v>29</v>
      </c>
      <c r="D596">
        <v>69</v>
      </c>
      <c r="E596">
        <v>6</v>
      </c>
      <c r="F596">
        <v>5</v>
      </c>
      <c r="G596">
        <v>11</v>
      </c>
      <c r="H596">
        <v>-9</v>
      </c>
      <c r="I596">
        <v>10</v>
      </c>
      <c r="J596">
        <v>82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69</v>
      </c>
      <c r="Q596">
        <v>15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</row>
    <row r="597" spans="1:25" x14ac:dyDescent="0.3">
      <c r="A597" t="s">
        <v>1051</v>
      </c>
      <c r="B597" t="s">
        <v>95</v>
      </c>
      <c r="C597" t="s">
        <v>93</v>
      </c>
      <c r="D597">
        <v>45</v>
      </c>
      <c r="E597">
        <v>2</v>
      </c>
      <c r="F597">
        <v>9</v>
      </c>
      <c r="G597">
        <v>11</v>
      </c>
      <c r="H597">
        <v>-9</v>
      </c>
      <c r="I597">
        <v>10</v>
      </c>
      <c r="J597">
        <v>54</v>
      </c>
      <c r="K597">
        <v>0</v>
      </c>
      <c r="L597">
        <v>0</v>
      </c>
      <c r="M597">
        <v>3</v>
      </c>
      <c r="N597">
        <v>0</v>
      </c>
      <c r="O597">
        <v>0</v>
      </c>
      <c r="P597">
        <v>18</v>
      </c>
      <c r="Q597">
        <v>51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</row>
    <row r="598" spans="1:25" x14ac:dyDescent="0.3">
      <c r="A598" t="s">
        <v>1054</v>
      </c>
      <c r="B598" t="s">
        <v>59</v>
      </c>
      <c r="C598" t="s">
        <v>93</v>
      </c>
      <c r="D598">
        <v>32</v>
      </c>
      <c r="E598">
        <v>3</v>
      </c>
      <c r="F598">
        <v>8</v>
      </c>
      <c r="G598">
        <v>11</v>
      </c>
      <c r="H598">
        <v>-8</v>
      </c>
      <c r="I598">
        <v>14</v>
      </c>
      <c r="J598">
        <v>53</v>
      </c>
      <c r="K598">
        <v>1</v>
      </c>
      <c r="L598">
        <v>1</v>
      </c>
      <c r="M598">
        <v>1</v>
      </c>
      <c r="N598">
        <v>0</v>
      </c>
      <c r="O598">
        <v>0</v>
      </c>
      <c r="P598">
        <v>81</v>
      </c>
      <c r="Q598">
        <v>53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</row>
    <row r="599" spans="1:25" x14ac:dyDescent="0.3">
      <c r="A599" t="s">
        <v>352</v>
      </c>
      <c r="B599" t="s">
        <v>71</v>
      </c>
      <c r="C599" t="s">
        <v>33</v>
      </c>
      <c r="D599">
        <v>24</v>
      </c>
      <c r="E599">
        <v>3</v>
      </c>
      <c r="F599">
        <v>8</v>
      </c>
      <c r="G599">
        <v>11</v>
      </c>
      <c r="H599">
        <v>-9</v>
      </c>
      <c r="I599">
        <v>8</v>
      </c>
      <c r="J599">
        <v>42</v>
      </c>
      <c r="K599">
        <v>1</v>
      </c>
      <c r="L599">
        <v>2</v>
      </c>
      <c r="M599">
        <v>7</v>
      </c>
      <c r="N599">
        <v>0</v>
      </c>
      <c r="O599">
        <v>0</v>
      </c>
      <c r="P599">
        <v>10</v>
      </c>
      <c r="Q599">
        <v>10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</row>
    <row r="600" spans="1:25" x14ac:dyDescent="0.3">
      <c r="A600" t="s">
        <v>411</v>
      </c>
      <c r="B600" t="s">
        <v>32</v>
      </c>
      <c r="C600" t="s">
        <v>93</v>
      </c>
      <c r="D600">
        <v>64</v>
      </c>
      <c r="E600">
        <v>3</v>
      </c>
      <c r="F600">
        <v>8</v>
      </c>
      <c r="G600">
        <v>11</v>
      </c>
      <c r="H600">
        <v>10</v>
      </c>
      <c r="I600">
        <v>16</v>
      </c>
      <c r="J600">
        <v>88</v>
      </c>
      <c r="K600">
        <v>0</v>
      </c>
      <c r="L600">
        <v>1</v>
      </c>
      <c r="M600">
        <v>2</v>
      </c>
      <c r="N600">
        <v>0</v>
      </c>
      <c r="O600">
        <v>0</v>
      </c>
      <c r="P600">
        <v>38</v>
      </c>
      <c r="Q600">
        <v>44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</row>
    <row r="601" spans="1:25" x14ac:dyDescent="0.3">
      <c r="A601" t="s">
        <v>509</v>
      </c>
      <c r="B601" t="s">
        <v>35</v>
      </c>
      <c r="C601" t="s">
        <v>93</v>
      </c>
      <c r="D601">
        <v>33</v>
      </c>
      <c r="E601">
        <v>3</v>
      </c>
      <c r="F601">
        <v>8</v>
      </c>
      <c r="G601">
        <v>11</v>
      </c>
      <c r="H601">
        <v>5</v>
      </c>
      <c r="I601">
        <v>4</v>
      </c>
      <c r="J601">
        <v>32</v>
      </c>
      <c r="K601">
        <v>1</v>
      </c>
      <c r="L601">
        <v>0</v>
      </c>
      <c r="M601">
        <v>3</v>
      </c>
      <c r="N601">
        <v>0</v>
      </c>
      <c r="O601">
        <v>0</v>
      </c>
      <c r="P601">
        <v>54</v>
      </c>
      <c r="Q601">
        <v>25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</row>
    <row r="602" spans="1:25" x14ac:dyDescent="0.3">
      <c r="A602" t="s">
        <v>1053</v>
      </c>
      <c r="B602" t="s">
        <v>73</v>
      </c>
      <c r="C602" t="s">
        <v>93</v>
      </c>
      <c r="D602">
        <v>32</v>
      </c>
      <c r="E602">
        <v>1</v>
      </c>
      <c r="F602">
        <v>10</v>
      </c>
      <c r="G602">
        <v>11</v>
      </c>
      <c r="H602">
        <v>-11</v>
      </c>
      <c r="I602">
        <v>4</v>
      </c>
      <c r="J602">
        <v>42</v>
      </c>
      <c r="K602">
        <v>0</v>
      </c>
      <c r="L602">
        <v>0</v>
      </c>
      <c r="M602">
        <v>2</v>
      </c>
      <c r="N602">
        <v>0</v>
      </c>
      <c r="O602">
        <v>0</v>
      </c>
      <c r="P602">
        <v>49</v>
      </c>
      <c r="Q602">
        <v>21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</row>
    <row r="603" spans="1:25" x14ac:dyDescent="0.3">
      <c r="A603" t="s">
        <v>670</v>
      </c>
      <c r="B603" t="s">
        <v>65</v>
      </c>
      <c r="C603" t="s">
        <v>29</v>
      </c>
      <c r="D603">
        <v>35</v>
      </c>
      <c r="E603">
        <v>4</v>
      </c>
      <c r="F603">
        <v>6</v>
      </c>
      <c r="G603">
        <v>10</v>
      </c>
      <c r="H603">
        <v>-3</v>
      </c>
      <c r="I603">
        <v>20</v>
      </c>
      <c r="J603">
        <v>47</v>
      </c>
      <c r="K603">
        <v>0</v>
      </c>
      <c r="L603">
        <v>0</v>
      </c>
      <c r="M603">
        <v>1</v>
      </c>
      <c r="N603">
        <v>0</v>
      </c>
      <c r="O603">
        <v>0</v>
      </c>
      <c r="P603">
        <v>62</v>
      </c>
      <c r="Q603">
        <v>10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</row>
    <row r="604" spans="1:25" x14ac:dyDescent="0.3">
      <c r="A604" t="s">
        <v>1055</v>
      </c>
      <c r="B604" t="s">
        <v>59</v>
      </c>
      <c r="C604" t="s">
        <v>33</v>
      </c>
      <c r="D604">
        <v>29</v>
      </c>
      <c r="E604">
        <v>4</v>
      </c>
      <c r="F604">
        <v>6</v>
      </c>
      <c r="G604">
        <v>10</v>
      </c>
      <c r="H604">
        <v>2</v>
      </c>
      <c r="I604">
        <v>10</v>
      </c>
      <c r="J604">
        <v>47</v>
      </c>
      <c r="K604">
        <v>1</v>
      </c>
      <c r="L604">
        <v>0</v>
      </c>
      <c r="M604">
        <v>1</v>
      </c>
      <c r="N604">
        <v>0</v>
      </c>
      <c r="O604">
        <v>0</v>
      </c>
      <c r="P604">
        <v>22</v>
      </c>
      <c r="Q604">
        <v>6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</row>
    <row r="605" spans="1:25" x14ac:dyDescent="0.3">
      <c r="A605" t="s">
        <v>673</v>
      </c>
      <c r="B605" t="s">
        <v>84</v>
      </c>
      <c r="C605" t="s">
        <v>29</v>
      </c>
      <c r="D605">
        <v>37</v>
      </c>
      <c r="E605">
        <v>6</v>
      </c>
      <c r="F605">
        <v>4</v>
      </c>
      <c r="G605">
        <v>10</v>
      </c>
      <c r="H605">
        <v>-8</v>
      </c>
      <c r="I605">
        <v>16</v>
      </c>
      <c r="J605">
        <v>49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69</v>
      </c>
      <c r="Q605">
        <v>14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</row>
    <row r="606" spans="1:25" x14ac:dyDescent="0.3">
      <c r="A606" t="s">
        <v>1039</v>
      </c>
      <c r="B606" t="s">
        <v>52</v>
      </c>
      <c r="C606" t="s">
        <v>29</v>
      </c>
      <c r="D606">
        <v>42</v>
      </c>
      <c r="E606">
        <v>4</v>
      </c>
      <c r="F606">
        <v>6</v>
      </c>
      <c r="G606">
        <v>10</v>
      </c>
      <c r="H606">
        <v>-6</v>
      </c>
      <c r="I606">
        <v>24</v>
      </c>
      <c r="J606">
        <v>60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46</v>
      </c>
      <c r="Q606">
        <v>32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</row>
    <row r="607" spans="1:25" x14ac:dyDescent="0.3">
      <c r="A607" t="s">
        <v>807</v>
      </c>
      <c r="B607" t="s">
        <v>46</v>
      </c>
      <c r="C607" t="s">
        <v>29</v>
      </c>
      <c r="D607">
        <v>41</v>
      </c>
      <c r="E607">
        <v>6</v>
      </c>
      <c r="F607">
        <v>4</v>
      </c>
      <c r="G607">
        <v>10</v>
      </c>
      <c r="H607">
        <v>-2</v>
      </c>
      <c r="I607">
        <v>6</v>
      </c>
      <c r="J607">
        <v>70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21</v>
      </c>
      <c r="Q607">
        <v>12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</row>
    <row r="608" spans="1:25" x14ac:dyDescent="0.3">
      <c r="A608" t="s">
        <v>1056</v>
      </c>
      <c r="B608" t="s">
        <v>52</v>
      </c>
      <c r="C608" t="s">
        <v>93</v>
      </c>
      <c r="D608">
        <v>28</v>
      </c>
      <c r="E608">
        <v>1</v>
      </c>
      <c r="F608">
        <v>9</v>
      </c>
      <c r="G608">
        <v>10</v>
      </c>
      <c r="H608">
        <v>6</v>
      </c>
      <c r="I608">
        <v>8</v>
      </c>
      <c r="J608">
        <v>26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39</v>
      </c>
      <c r="Q608">
        <v>35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</row>
    <row r="609" spans="1:25" x14ac:dyDescent="0.3">
      <c r="A609" t="s">
        <v>652</v>
      </c>
      <c r="B609" t="s">
        <v>75</v>
      </c>
      <c r="C609" t="s">
        <v>29</v>
      </c>
      <c r="D609">
        <v>42</v>
      </c>
      <c r="E609">
        <v>5</v>
      </c>
      <c r="F609">
        <v>5</v>
      </c>
      <c r="G609">
        <v>10</v>
      </c>
      <c r="H609">
        <v>0</v>
      </c>
      <c r="I609">
        <v>16</v>
      </c>
      <c r="J609">
        <v>72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40</v>
      </c>
      <c r="Q609">
        <v>29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</row>
    <row r="610" spans="1:25" x14ac:dyDescent="0.3">
      <c r="A610" t="s">
        <v>734</v>
      </c>
      <c r="B610" t="s">
        <v>132</v>
      </c>
      <c r="C610" t="s">
        <v>29</v>
      </c>
      <c r="D610">
        <v>73</v>
      </c>
      <c r="E610">
        <v>4</v>
      </c>
      <c r="F610">
        <v>6</v>
      </c>
      <c r="G610">
        <v>10</v>
      </c>
      <c r="H610">
        <v>-12</v>
      </c>
      <c r="I610">
        <v>108</v>
      </c>
      <c r="J610">
        <v>81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156</v>
      </c>
      <c r="Q610">
        <v>30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</row>
    <row r="611" spans="1:25" x14ac:dyDescent="0.3">
      <c r="A611" t="s">
        <v>730</v>
      </c>
      <c r="B611" t="s">
        <v>84</v>
      </c>
      <c r="C611" t="s">
        <v>93</v>
      </c>
      <c r="D611">
        <v>47</v>
      </c>
      <c r="E611">
        <v>1</v>
      </c>
      <c r="F611">
        <v>9</v>
      </c>
      <c r="G611">
        <v>10</v>
      </c>
      <c r="H611">
        <v>-9</v>
      </c>
      <c r="I611">
        <v>16</v>
      </c>
      <c r="J611">
        <v>31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44</v>
      </c>
      <c r="Q611">
        <v>58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</row>
    <row r="612" spans="1:25" x14ac:dyDescent="0.3">
      <c r="A612" t="s">
        <v>328</v>
      </c>
      <c r="B612" t="s">
        <v>35</v>
      </c>
      <c r="C612" t="s">
        <v>29</v>
      </c>
      <c r="D612">
        <v>42</v>
      </c>
      <c r="E612">
        <v>4</v>
      </c>
      <c r="F612">
        <v>6</v>
      </c>
      <c r="G612">
        <v>10</v>
      </c>
      <c r="H612">
        <v>-4</v>
      </c>
      <c r="I612">
        <v>20</v>
      </c>
      <c r="J612">
        <v>87</v>
      </c>
      <c r="K612">
        <v>1</v>
      </c>
      <c r="L612">
        <v>1</v>
      </c>
      <c r="M612">
        <v>1</v>
      </c>
      <c r="N612">
        <v>0</v>
      </c>
      <c r="O612">
        <v>0</v>
      </c>
      <c r="P612">
        <v>45</v>
      </c>
      <c r="Q612">
        <v>11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</row>
    <row r="613" spans="1:25" x14ac:dyDescent="0.3">
      <c r="A613" t="s">
        <v>565</v>
      </c>
      <c r="B613" t="s">
        <v>73</v>
      </c>
      <c r="C613" t="s">
        <v>29</v>
      </c>
      <c r="D613">
        <v>67</v>
      </c>
      <c r="E613">
        <v>4</v>
      </c>
      <c r="F613">
        <v>6</v>
      </c>
      <c r="G613">
        <v>10</v>
      </c>
      <c r="H613">
        <v>-3</v>
      </c>
      <c r="I613">
        <v>14</v>
      </c>
      <c r="J613">
        <v>65</v>
      </c>
      <c r="K613">
        <v>0</v>
      </c>
      <c r="L613">
        <v>0</v>
      </c>
      <c r="M613">
        <v>0</v>
      </c>
      <c r="N613">
        <v>1</v>
      </c>
      <c r="O613">
        <v>0</v>
      </c>
      <c r="P613">
        <v>107</v>
      </c>
      <c r="Q613">
        <v>47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</row>
    <row r="614" spans="1:25" x14ac:dyDescent="0.3">
      <c r="A614" t="s">
        <v>465</v>
      </c>
      <c r="B614" t="s">
        <v>46</v>
      </c>
      <c r="C614" t="s">
        <v>42</v>
      </c>
      <c r="D614">
        <v>43</v>
      </c>
      <c r="E614">
        <v>5</v>
      </c>
      <c r="F614">
        <v>5</v>
      </c>
      <c r="G614">
        <v>10</v>
      </c>
      <c r="H614">
        <v>-4</v>
      </c>
      <c r="I614">
        <v>20</v>
      </c>
      <c r="J614">
        <v>48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147</v>
      </c>
      <c r="Q614">
        <v>26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</row>
    <row r="615" spans="1:25" x14ac:dyDescent="0.3">
      <c r="A615" t="s">
        <v>772</v>
      </c>
      <c r="B615" t="s">
        <v>48</v>
      </c>
      <c r="C615" t="s">
        <v>29</v>
      </c>
      <c r="D615">
        <v>29</v>
      </c>
      <c r="E615">
        <v>0</v>
      </c>
      <c r="F615">
        <v>10</v>
      </c>
      <c r="G615">
        <v>10</v>
      </c>
      <c r="H615">
        <v>-10</v>
      </c>
      <c r="I615">
        <v>39</v>
      </c>
      <c r="J615">
        <v>29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48</v>
      </c>
      <c r="Q615">
        <v>10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</row>
    <row r="616" spans="1:25" x14ac:dyDescent="0.3">
      <c r="A616" t="s">
        <v>559</v>
      </c>
      <c r="B616" t="s">
        <v>84</v>
      </c>
      <c r="C616" t="s">
        <v>93</v>
      </c>
      <c r="D616">
        <v>49</v>
      </c>
      <c r="E616">
        <v>2</v>
      </c>
      <c r="F616">
        <v>8</v>
      </c>
      <c r="G616">
        <v>10</v>
      </c>
      <c r="H616">
        <v>-8</v>
      </c>
      <c r="I616">
        <v>6</v>
      </c>
      <c r="J616">
        <v>62</v>
      </c>
      <c r="K616">
        <v>1</v>
      </c>
      <c r="L616">
        <v>0</v>
      </c>
      <c r="M616">
        <v>1</v>
      </c>
      <c r="N616">
        <v>0</v>
      </c>
      <c r="O616">
        <v>0</v>
      </c>
      <c r="P616">
        <v>35</v>
      </c>
      <c r="Q616">
        <v>56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</row>
    <row r="617" spans="1:25" x14ac:dyDescent="0.3">
      <c r="A617" t="s">
        <v>462</v>
      </c>
      <c r="B617" t="s">
        <v>65</v>
      </c>
      <c r="C617" t="s">
        <v>93</v>
      </c>
      <c r="D617">
        <v>24</v>
      </c>
      <c r="E617">
        <v>2</v>
      </c>
      <c r="F617">
        <v>8</v>
      </c>
      <c r="G617">
        <v>10</v>
      </c>
      <c r="H617">
        <v>-6</v>
      </c>
      <c r="I617">
        <v>2</v>
      </c>
      <c r="J617">
        <v>27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8</v>
      </c>
      <c r="Q617">
        <v>22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</row>
    <row r="618" spans="1:25" x14ac:dyDescent="0.3">
      <c r="A618" t="s">
        <v>604</v>
      </c>
      <c r="B618" t="s">
        <v>54</v>
      </c>
      <c r="C618" t="s">
        <v>93</v>
      </c>
      <c r="D618">
        <v>37</v>
      </c>
      <c r="E618">
        <v>2</v>
      </c>
      <c r="F618">
        <v>8</v>
      </c>
      <c r="G618">
        <v>10</v>
      </c>
      <c r="H618">
        <v>5</v>
      </c>
      <c r="I618">
        <v>6</v>
      </c>
      <c r="J618">
        <v>40</v>
      </c>
      <c r="K618">
        <v>1</v>
      </c>
      <c r="L618">
        <v>0</v>
      </c>
      <c r="M618">
        <v>0</v>
      </c>
      <c r="N618">
        <v>0</v>
      </c>
      <c r="O618">
        <v>0</v>
      </c>
      <c r="P618">
        <v>41</v>
      </c>
      <c r="Q618">
        <v>77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</row>
    <row r="619" spans="1:25" x14ac:dyDescent="0.3">
      <c r="A619" t="s">
        <v>629</v>
      </c>
      <c r="B619" t="s">
        <v>54</v>
      </c>
      <c r="C619" t="s">
        <v>93</v>
      </c>
      <c r="D619">
        <v>70</v>
      </c>
      <c r="E619">
        <v>2</v>
      </c>
      <c r="F619">
        <v>8</v>
      </c>
      <c r="G619">
        <v>10</v>
      </c>
      <c r="H619">
        <v>-8</v>
      </c>
      <c r="I619">
        <v>11</v>
      </c>
      <c r="J619">
        <v>56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41</v>
      </c>
      <c r="Q619">
        <v>133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</row>
    <row r="620" spans="1:25" x14ac:dyDescent="0.3">
      <c r="A620" t="s">
        <v>1057</v>
      </c>
      <c r="B620" t="s">
        <v>181</v>
      </c>
      <c r="C620" t="s">
        <v>33</v>
      </c>
      <c r="D620">
        <v>40</v>
      </c>
      <c r="E620">
        <v>5</v>
      </c>
      <c r="F620">
        <v>5</v>
      </c>
      <c r="G620">
        <v>10</v>
      </c>
      <c r="H620">
        <v>-17</v>
      </c>
      <c r="I620">
        <v>37</v>
      </c>
      <c r="J620">
        <v>47</v>
      </c>
      <c r="K620">
        <v>0</v>
      </c>
      <c r="L620">
        <v>2</v>
      </c>
      <c r="M620">
        <v>1</v>
      </c>
      <c r="N620">
        <v>0</v>
      </c>
      <c r="O620">
        <v>0</v>
      </c>
      <c r="P620">
        <v>56</v>
      </c>
      <c r="Q620">
        <v>23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</row>
    <row r="621" spans="1:25" x14ac:dyDescent="0.3">
      <c r="A621" t="s">
        <v>450</v>
      </c>
      <c r="B621" t="s">
        <v>63</v>
      </c>
      <c r="C621" t="s">
        <v>29</v>
      </c>
      <c r="D621">
        <v>27</v>
      </c>
      <c r="E621">
        <v>4</v>
      </c>
      <c r="F621">
        <v>6</v>
      </c>
      <c r="G621">
        <v>10</v>
      </c>
      <c r="H621">
        <v>-1</v>
      </c>
      <c r="I621">
        <v>15</v>
      </c>
      <c r="J621">
        <v>98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15</v>
      </c>
      <c r="Q621">
        <v>14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</row>
    <row r="622" spans="1:25" x14ac:dyDescent="0.3">
      <c r="A622" t="s">
        <v>627</v>
      </c>
      <c r="B622" t="s">
        <v>122</v>
      </c>
      <c r="C622" t="s">
        <v>93</v>
      </c>
      <c r="D622">
        <v>44</v>
      </c>
      <c r="E622">
        <v>3</v>
      </c>
      <c r="F622">
        <v>7</v>
      </c>
      <c r="G622">
        <v>10</v>
      </c>
      <c r="H622">
        <v>7</v>
      </c>
      <c r="I622">
        <v>31</v>
      </c>
      <c r="J622">
        <v>47</v>
      </c>
      <c r="K622">
        <v>1</v>
      </c>
      <c r="L622">
        <v>0</v>
      </c>
      <c r="M622">
        <v>0</v>
      </c>
      <c r="N622">
        <v>0</v>
      </c>
      <c r="O622">
        <v>0</v>
      </c>
      <c r="P622">
        <v>61</v>
      </c>
      <c r="Q622">
        <v>56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</row>
    <row r="623" spans="1:25" x14ac:dyDescent="0.3">
      <c r="A623" t="s">
        <v>555</v>
      </c>
      <c r="B623" t="s">
        <v>181</v>
      </c>
      <c r="C623" t="s">
        <v>93</v>
      </c>
      <c r="D623">
        <v>67</v>
      </c>
      <c r="E623">
        <v>3</v>
      </c>
      <c r="F623">
        <v>7</v>
      </c>
      <c r="G623">
        <v>10</v>
      </c>
      <c r="H623">
        <v>-12</v>
      </c>
      <c r="I623">
        <v>28</v>
      </c>
      <c r="J623">
        <v>66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118</v>
      </c>
      <c r="Q623">
        <v>106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</row>
    <row r="624" spans="1:25" x14ac:dyDescent="0.3">
      <c r="A624" t="s">
        <v>599</v>
      </c>
      <c r="B624" t="s">
        <v>95</v>
      </c>
      <c r="C624" t="s">
        <v>33</v>
      </c>
      <c r="D624">
        <v>67</v>
      </c>
      <c r="E624">
        <v>4</v>
      </c>
      <c r="F624">
        <v>5</v>
      </c>
      <c r="G624">
        <v>9</v>
      </c>
      <c r="H624">
        <v>-2</v>
      </c>
      <c r="I624">
        <v>61</v>
      </c>
      <c r="J624">
        <v>66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242</v>
      </c>
      <c r="Q624">
        <v>25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</row>
    <row r="625" spans="1:25" x14ac:dyDescent="0.3">
      <c r="A625" t="s">
        <v>608</v>
      </c>
      <c r="B625" t="s">
        <v>75</v>
      </c>
      <c r="C625" t="s">
        <v>33</v>
      </c>
      <c r="D625">
        <v>23</v>
      </c>
      <c r="E625">
        <v>4</v>
      </c>
      <c r="F625">
        <v>5</v>
      </c>
      <c r="G625">
        <v>9</v>
      </c>
      <c r="H625">
        <v>1</v>
      </c>
      <c r="I625">
        <v>6</v>
      </c>
      <c r="J625">
        <v>37</v>
      </c>
      <c r="K625">
        <v>1</v>
      </c>
      <c r="L625">
        <v>0</v>
      </c>
      <c r="M625">
        <v>0</v>
      </c>
      <c r="N625">
        <v>0</v>
      </c>
      <c r="O625">
        <v>0</v>
      </c>
      <c r="P625">
        <v>18</v>
      </c>
      <c r="Q625">
        <v>3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</row>
    <row r="626" spans="1:25" x14ac:dyDescent="0.3">
      <c r="A626" t="s">
        <v>726</v>
      </c>
      <c r="B626" t="s">
        <v>54</v>
      </c>
      <c r="C626" t="s">
        <v>29</v>
      </c>
      <c r="D626">
        <v>43</v>
      </c>
      <c r="E626">
        <v>4</v>
      </c>
      <c r="F626">
        <v>5</v>
      </c>
      <c r="G626">
        <v>9</v>
      </c>
      <c r="H626">
        <v>-1</v>
      </c>
      <c r="I626">
        <v>29</v>
      </c>
      <c r="J626">
        <v>35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55</v>
      </c>
      <c r="Q626">
        <v>21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</row>
    <row r="627" spans="1:25" x14ac:dyDescent="0.3">
      <c r="A627" t="s">
        <v>870</v>
      </c>
      <c r="B627" t="s">
        <v>100</v>
      </c>
      <c r="C627" t="s">
        <v>29</v>
      </c>
      <c r="D627">
        <v>44</v>
      </c>
      <c r="E627">
        <v>4</v>
      </c>
      <c r="F627">
        <v>5</v>
      </c>
      <c r="G627">
        <v>9</v>
      </c>
      <c r="H627">
        <v>7</v>
      </c>
      <c r="I627">
        <v>64</v>
      </c>
      <c r="J627">
        <v>44</v>
      </c>
      <c r="K627">
        <v>1</v>
      </c>
      <c r="L627">
        <v>0</v>
      </c>
      <c r="M627">
        <v>0</v>
      </c>
      <c r="N627">
        <v>0</v>
      </c>
      <c r="O627">
        <v>0</v>
      </c>
      <c r="P627">
        <v>105</v>
      </c>
      <c r="Q627">
        <v>26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</row>
    <row r="628" spans="1:25" x14ac:dyDescent="0.3">
      <c r="A628" t="s">
        <v>715</v>
      </c>
      <c r="B628" t="s">
        <v>41</v>
      </c>
      <c r="C628" t="s">
        <v>93</v>
      </c>
      <c r="D628">
        <v>23</v>
      </c>
      <c r="E628">
        <v>1</v>
      </c>
      <c r="F628">
        <v>8</v>
      </c>
      <c r="G628">
        <v>9</v>
      </c>
      <c r="H628">
        <v>4</v>
      </c>
      <c r="I628">
        <v>6</v>
      </c>
      <c r="J628">
        <v>34</v>
      </c>
      <c r="K628">
        <v>0</v>
      </c>
      <c r="L628">
        <v>0</v>
      </c>
      <c r="M628">
        <v>1</v>
      </c>
      <c r="N628">
        <v>0</v>
      </c>
      <c r="O628">
        <v>0</v>
      </c>
      <c r="P628">
        <v>9</v>
      </c>
      <c r="Q628">
        <v>22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</row>
    <row r="629" spans="1:25" x14ac:dyDescent="0.3">
      <c r="A629" t="s">
        <v>597</v>
      </c>
      <c r="B629" t="s">
        <v>28</v>
      </c>
      <c r="C629" t="s">
        <v>29</v>
      </c>
      <c r="D629">
        <v>30</v>
      </c>
      <c r="E629">
        <v>4</v>
      </c>
      <c r="F629">
        <v>5</v>
      </c>
      <c r="G629">
        <v>9</v>
      </c>
      <c r="H629">
        <v>-5</v>
      </c>
      <c r="I629">
        <v>6</v>
      </c>
      <c r="J629">
        <v>26</v>
      </c>
      <c r="K629">
        <v>0</v>
      </c>
      <c r="L629">
        <v>0</v>
      </c>
      <c r="M629">
        <v>0</v>
      </c>
      <c r="N629">
        <v>1</v>
      </c>
      <c r="O629">
        <v>0</v>
      </c>
      <c r="P629">
        <v>43</v>
      </c>
      <c r="Q629">
        <v>16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</row>
    <row r="630" spans="1:25" x14ac:dyDescent="0.3">
      <c r="A630" t="s">
        <v>655</v>
      </c>
      <c r="B630" t="s">
        <v>65</v>
      </c>
      <c r="C630" t="s">
        <v>93</v>
      </c>
      <c r="D630">
        <v>80</v>
      </c>
      <c r="E630">
        <v>2</v>
      </c>
      <c r="F630">
        <v>7</v>
      </c>
      <c r="G630">
        <v>9</v>
      </c>
      <c r="H630">
        <v>2</v>
      </c>
      <c r="I630">
        <v>46</v>
      </c>
      <c r="J630">
        <v>74</v>
      </c>
      <c r="K630">
        <v>0</v>
      </c>
      <c r="L630">
        <v>0</v>
      </c>
      <c r="M630">
        <v>0</v>
      </c>
      <c r="N630">
        <v>0</v>
      </c>
      <c r="O630">
        <v>1</v>
      </c>
      <c r="P630">
        <v>254</v>
      </c>
      <c r="Q630">
        <v>116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</row>
    <row r="631" spans="1:25" x14ac:dyDescent="0.3">
      <c r="A631" t="s">
        <v>654</v>
      </c>
      <c r="B631" t="s">
        <v>54</v>
      </c>
      <c r="C631" t="s">
        <v>33</v>
      </c>
      <c r="D631">
        <v>52</v>
      </c>
      <c r="E631">
        <v>4</v>
      </c>
      <c r="F631">
        <v>5</v>
      </c>
      <c r="G631">
        <v>9</v>
      </c>
      <c r="H631">
        <v>-11</v>
      </c>
      <c r="I631">
        <v>56</v>
      </c>
      <c r="J631">
        <v>56</v>
      </c>
      <c r="K631">
        <v>1</v>
      </c>
      <c r="L631">
        <v>0</v>
      </c>
      <c r="M631">
        <v>0</v>
      </c>
      <c r="N631">
        <v>0</v>
      </c>
      <c r="O631">
        <v>0</v>
      </c>
      <c r="P631">
        <v>74</v>
      </c>
      <c r="Q631">
        <v>31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</row>
    <row r="632" spans="1:25" x14ac:dyDescent="0.3">
      <c r="A632" t="s">
        <v>718</v>
      </c>
      <c r="B632" t="s">
        <v>98</v>
      </c>
      <c r="C632" t="s">
        <v>29</v>
      </c>
      <c r="D632">
        <v>39</v>
      </c>
      <c r="E632">
        <v>4</v>
      </c>
      <c r="F632">
        <v>5</v>
      </c>
      <c r="G632">
        <v>9</v>
      </c>
      <c r="H632">
        <v>-1</v>
      </c>
      <c r="I632">
        <v>14</v>
      </c>
      <c r="J632">
        <v>69</v>
      </c>
      <c r="K632">
        <v>1</v>
      </c>
      <c r="L632">
        <v>0</v>
      </c>
      <c r="M632">
        <v>0</v>
      </c>
      <c r="N632">
        <v>0</v>
      </c>
      <c r="O632">
        <v>0</v>
      </c>
      <c r="P632">
        <v>27</v>
      </c>
      <c r="Q632">
        <v>13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</row>
    <row r="633" spans="1:25" x14ac:dyDescent="0.3">
      <c r="A633" t="s">
        <v>1058</v>
      </c>
      <c r="B633" t="s">
        <v>44</v>
      </c>
      <c r="C633" t="s">
        <v>33</v>
      </c>
      <c r="D633">
        <v>57</v>
      </c>
      <c r="E633">
        <v>3</v>
      </c>
      <c r="F633">
        <v>6</v>
      </c>
      <c r="G633">
        <v>9</v>
      </c>
      <c r="H633">
        <v>-8</v>
      </c>
      <c r="I633">
        <v>44</v>
      </c>
      <c r="J633">
        <v>66</v>
      </c>
      <c r="K633">
        <v>1</v>
      </c>
      <c r="L633">
        <v>0</v>
      </c>
      <c r="M633">
        <v>0</v>
      </c>
      <c r="N633">
        <v>0</v>
      </c>
      <c r="O633">
        <v>0</v>
      </c>
      <c r="P633">
        <v>134</v>
      </c>
      <c r="Q633">
        <v>20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</row>
    <row r="634" spans="1:25" x14ac:dyDescent="0.3">
      <c r="A634" t="s">
        <v>471</v>
      </c>
      <c r="B634" t="s">
        <v>140</v>
      </c>
      <c r="C634" t="s">
        <v>93</v>
      </c>
      <c r="D634">
        <v>40</v>
      </c>
      <c r="E634">
        <v>2</v>
      </c>
      <c r="F634">
        <v>7</v>
      </c>
      <c r="G634">
        <v>9</v>
      </c>
      <c r="H634">
        <v>-3</v>
      </c>
      <c r="I634">
        <v>30</v>
      </c>
      <c r="J634">
        <v>43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45</v>
      </c>
      <c r="Q634">
        <v>49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</row>
    <row r="635" spans="1:25" x14ac:dyDescent="0.3">
      <c r="A635" t="s">
        <v>684</v>
      </c>
      <c r="B635" t="s">
        <v>54</v>
      </c>
      <c r="C635" t="s">
        <v>93</v>
      </c>
      <c r="D635">
        <v>42</v>
      </c>
      <c r="E635">
        <v>2</v>
      </c>
      <c r="F635">
        <v>7</v>
      </c>
      <c r="G635">
        <v>9</v>
      </c>
      <c r="H635">
        <v>-4</v>
      </c>
      <c r="I635">
        <v>15</v>
      </c>
      <c r="J635">
        <v>42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42</v>
      </c>
      <c r="Q635">
        <v>40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</row>
    <row r="636" spans="1:25" x14ac:dyDescent="0.3">
      <c r="A636" t="s">
        <v>686</v>
      </c>
      <c r="B636" t="s">
        <v>52</v>
      </c>
      <c r="C636" t="s">
        <v>33</v>
      </c>
      <c r="D636">
        <v>51</v>
      </c>
      <c r="E636">
        <v>4</v>
      </c>
      <c r="F636">
        <v>5</v>
      </c>
      <c r="G636">
        <v>9</v>
      </c>
      <c r="H636">
        <v>1</v>
      </c>
      <c r="I636">
        <v>24</v>
      </c>
      <c r="J636">
        <v>42</v>
      </c>
      <c r="K636">
        <v>1</v>
      </c>
      <c r="L636">
        <v>0</v>
      </c>
      <c r="M636">
        <v>1</v>
      </c>
      <c r="N636">
        <v>1</v>
      </c>
      <c r="O636">
        <v>2</v>
      </c>
      <c r="P636">
        <v>61</v>
      </c>
      <c r="Q636">
        <v>22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</row>
    <row r="637" spans="1:25" x14ac:dyDescent="0.3">
      <c r="A637" t="s">
        <v>803</v>
      </c>
      <c r="B637" t="s">
        <v>65</v>
      </c>
      <c r="C637" t="s">
        <v>42</v>
      </c>
      <c r="D637">
        <v>45</v>
      </c>
      <c r="E637">
        <v>4</v>
      </c>
      <c r="F637">
        <v>5</v>
      </c>
      <c r="G637">
        <v>9</v>
      </c>
      <c r="H637">
        <v>-7</v>
      </c>
      <c r="I637">
        <v>8</v>
      </c>
      <c r="J637">
        <v>57</v>
      </c>
      <c r="K637">
        <v>1</v>
      </c>
      <c r="L637">
        <v>0</v>
      </c>
      <c r="M637">
        <v>0</v>
      </c>
      <c r="N637">
        <v>0</v>
      </c>
      <c r="O637">
        <v>0</v>
      </c>
      <c r="P637">
        <v>36</v>
      </c>
      <c r="Q637">
        <v>19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</row>
    <row r="638" spans="1:25" x14ac:dyDescent="0.3">
      <c r="A638" t="s">
        <v>1060</v>
      </c>
      <c r="B638" t="s">
        <v>120</v>
      </c>
      <c r="C638" t="s">
        <v>93</v>
      </c>
      <c r="D638">
        <v>35</v>
      </c>
      <c r="E638">
        <v>2</v>
      </c>
      <c r="F638">
        <v>7</v>
      </c>
      <c r="G638">
        <v>9</v>
      </c>
      <c r="H638">
        <v>-8</v>
      </c>
      <c r="I638">
        <v>10</v>
      </c>
      <c r="J638">
        <v>73</v>
      </c>
      <c r="K638">
        <v>0</v>
      </c>
      <c r="L638">
        <v>0</v>
      </c>
      <c r="M638">
        <v>2</v>
      </c>
      <c r="N638">
        <v>0</v>
      </c>
      <c r="O638">
        <v>0</v>
      </c>
      <c r="P638">
        <v>25</v>
      </c>
      <c r="Q638">
        <v>28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</row>
    <row r="639" spans="1:25" x14ac:dyDescent="0.3">
      <c r="A639" t="s">
        <v>1062</v>
      </c>
      <c r="B639" t="s">
        <v>120</v>
      </c>
      <c r="C639" t="s">
        <v>93</v>
      </c>
      <c r="D639">
        <v>48</v>
      </c>
      <c r="E639">
        <v>3</v>
      </c>
      <c r="F639">
        <v>6</v>
      </c>
      <c r="G639">
        <v>9</v>
      </c>
      <c r="H639">
        <v>-13</v>
      </c>
      <c r="I639">
        <v>20</v>
      </c>
      <c r="J639">
        <v>54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33</v>
      </c>
      <c r="Q639">
        <v>84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</row>
    <row r="640" spans="1:25" x14ac:dyDescent="0.3">
      <c r="A640" t="s">
        <v>646</v>
      </c>
      <c r="B640" t="s">
        <v>181</v>
      </c>
      <c r="C640" t="s">
        <v>29</v>
      </c>
      <c r="D640">
        <v>28</v>
      </c>
      <c r="E640">
        <v>5</v>
      </c>
      <c r="F640">
        <v>4</v>
      </c>
      <c r="G640">
        <v>9</v>
      </c>
      <c r="H640">
        <v>-5</v>
      </c>
      <c r="I640">
        <v>14</v>
      </c>
      <c r="J640">
        <v>29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54</v>
      </c>
      <c r="Q640">
        <v>9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</row>
    <row r="641" spans="1:25" x14ac:dyDescent="0.3">
      <c r="A641" t="s">
        <v>1059</v>
      </c>
      <c r="B641" t="s">
        <v>44</v>
      </c>
      <c r="C641" t="s">
        <v>93</v>
      </c>
      <c r="D641">
        <v>16</v>
      </c>
      <c r="E641">
        <v>2</v>
      </c>
      <c r="F641">
        <v>7</v>
      </c>
      <c r="G641">
        <v>9</v>
      </c>
      <c r="H641">
        <v>-2</v>
      </c>
      <c r="I641">
        <v>2</v>
      </c>
      <c r="J641">
        <v>25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16</v>
      </c>
      <c r="Q641">
        <v>17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</row>
    <row r="642" spans="1:25" x14ac:dyDescent="0.3">
      <c r="A642" t="s">
        <v>589</v>
      </c>
      <c r="B642" t="s">
        <v>82</v>
      </c>
      <c r="C642" t="s">
        <v>93</v>
      </c>
      <c r="D642">
        <v>55</v>
      </c>
      <c r="E642">
        <v>1</v>
      </c>
      <c r="F642">
        <v>8</v>
      </c>
      <c r="G642">
        <v>9</v>
      </c>
      <c r="H642">
        <v>-5</v>
      </c>
      <c r="I642">
        <v>6</v>
      </c>
      <c r="J642">
        <v>51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49</v>
      </c>
      <c r="Q642">
        <v>47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</row>
    <row r="643" spans="1:25" x14ac:dyDescent="0.3">
      <c r="A643" t="s">
        <v>568</v>
      </c>
      <c r="B643" t="s">
        <v>65</v>
      </c>
      <c r="C643" t="s">
        <v>42</v>
      </c>
      <c r="D643">
        <v>60</v>
      </c>
      <c r="E643">
        <v>2</v>
      </c>
      <c r="F643">
        <v>7</v>
      </c>
      <c r="G643">
        <v>9</v>
      </c>
      <c r="H643">
        <v>-4</v>
      </c>
      <c r="I643">
        <v>12</v>
      </c>
      <c r="J643">
        <v>58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109</v>
      </c>
      <c r="Q643">
        <v>23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</row>
    <row r="644" spans="1:25" x14ac:dyDescent="0.3">
      <c r="A644" t="s">
        <v>1063</v>
      </c>
      <c r="B644" t="s">
        <v>132</v>
      </c>
      <c r="C644" t="s">
        <v>42</v>
      </c>
      <c r="D644">
        <v>24</v>
      </c>
      <c r="E644">
        <v>1</v>
      </c>
      <c r="F644">
        <v>7</v>
      </c>
      <c r="G644">
        <v>8</v>
      </c>
      <c r="H644">
        <v>-9</v>
      </c>
      <c r="I644">
        <v>0</v>
      </c>
      <c r="J644">
        <v>41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28</v>
      </c>
      <c r="Q644">
        <v>5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</row>
    <row r="645" spans="1:25" x14ac:dyDescent="0.3">
      <c r="A645" t="s">
        <v>1052</v>
      </c>
      <c r="B645" t="s">
        <v>41</v>
      </c>
      <c r="C645" t="s">
        <v>33</v>
      </c>
      <c r="D645">
        <v>27</v>
      </c>
      <c r="E645">
        <v>2</v>
      </c>
      <c r="F645">
        <v>6</v>
      </c>
      <c r="G645">
        <v>8</v>
      </c>
      <c r="H645">
        <v>-10</v>
      </c>
      <c r="I645">
        <v>8</v>
      </c>
      <c r="J645">
        <v>45</v>
      </c>
      <c r="K645">
        <v>1</v>
      </c>
      <c r="L645">
        <v>0</v>
      </c>
      <c r="M645">
        <v>0</v>
      </c>
      <c r="N645">
        <v>0</v>
      </c>
      <c r="O645">
        <v>0</v>
      </c>
      <c r="P645">
        <v>24</v>
      </c>
      <c r="Q645">
        <v>13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</row>
    <row r="646" spans="1:25" x14ac:dyDescent="0.3">
      <c r="A646" t="s">
        <v>1064</v>
      </c>
      <c r="B646" t="s">
        <v>75</v>
      </c>
      <c r="C646" t="s">
        <v>93</v>
      </c>
      <c r="D646">
        <v>26</v>
      </c>
      <c r="E646">
        <v>1</v>
      </c>
      <c r="F646">
        <v>7</v>
      </c>
      <c r="G646">
        <v>8</v>
      </c>
      <c r="H646">
        <v>3</v>
      </c>
      <c r="I646">
        <v>12</v>
      </c>
      <c r="J646">
        <v>22</v>
      </c>
      <c r="K646">
        <v>0</v>
      </c>
      <c r="L646">
        <v>0</v>
      </c>
      <c r="M646">
        <v>3</v>
      </c>
      <c r="N646">
        <v>0</v>
      </c>
      <c r="O646">
        <v>0</v>
      </c>
      <c r="P646">
        <v>7</v>
      </c>
      <c r="Q646">
        <v>16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</row>
    <row r="647" spans="1:25" x14ac:dyDescent="0.3">
      <c r="A647" t="s">
        <v>758</v>
      </c>
      <c r="B647" t="s">
        <v>75</v>
      </c>
      <c r="C647" t="s">
        <v>93</v>
      </c>
      <c r="D647">
        <v>36</v>
      </c>
      <c r="E647">
        <v>2</v>
      </c>
      <c r="F647">
        <v>6</v>
      </c>
      <c r="G647">
        <v>8</v>
      </c>
      <c r="H647">
        <v>-3</v>
      </c>
      <c r="I647">
        <v>32</v>
      </c>
      <c r="J647">
        <v>39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70</v>
      </c>
      <c r="Q647">
        <v>53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</row>
    <row r="648" spans="1:25" x14ac:dyDescent="0.3">
      <c r="A648" t="s">
        <v>702</v>
      </c>
      <c r="B648" t="s">
        <v>106</v>
      </c>
      <c r="C648" t="s">
        <v>93</v>
      </c>
      <c r="D648">
        <v>32</v>
      </c>
      <c r="E648">
        <v>1</v>
      </c>
      <c r="F648">
        <v>7</v>
      </c>
      <c r="G648">
        <v>8</v>
      </c>
      <c r="H648">
        <v>-7</v>
      </c>
      <c r="I648">
        <v>18</v>
      </c>
      <c r="J648">
        <v>30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61</v>
      </c>
      <c r="Q648">
        <v>34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</row>
    <row r="649" spans="1:25" x14ac:dyDescent="0.3">
      <c r="A649" t="s">
        <v>645</v>
      </c>
      <c r="B649" t="s">
        <v>79</v>
      </c>
      <c r="C649" t="s">
        <v>93</v>
      </c>
      <c r="D649">
        <v>37</v>
      </c>
      <c r="E649">
        <v>2</v>
      </c>
      <c r="F649">
        <v>6</v>
      </c>
      <c r="G649">
        <v>8</v>
      </c>
      <c r="H649">
        <v>-6</v>
      </c>
      <c r="I649">
        <v>10</v>
      </c>
      <c r="J649">
        <v>60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27</v>
      </c>
      <c r="Q649">
        <v>35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</row>
    <row r="650" spans="1:25" x14ac:dyDescent="0.3">
      <c r="A650" t="s">
        <v>669</v>
      </c>
      <c r="B650" t="s">
        <v>46</v>
      </c>
      <c r="C650" t="s">
        <v>42</v>
      </c>
      <c r="D650">
        <v>25</v>
      </c>
      <c r="E650">
        <v>3</v>
      </c>
      <c r="F650">
        <v>5</v>
      </c>
      <c r="G650">
        <v>8</v>
      </c>
      <c r="H650">
        <v>17</v>
      </c>
      <c r="I650">
        <v>6</v>
      </c>
      <c r="J650">
        <v>35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34</v>
      </c>
      <c r="Q650">
        <v>5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</row>
    <row r="651" spans="1:25" x14ac:dyDescent="0.3">
      <c r="A651" t="s">
        <v>810</v>
      </c>
      <c r="B651" t="s">
        <v>79</v>
      </c>
      <c r="C651" t="s">
        <v>33</v>
      </c>
      <c r="D651">
        <v>34</v>
      </c>
      <c r="E651">
        <v>3</v>
      </c>
      <c r="F651">
        <v>5</v>
      </c>
      <c r="G651">
        <v>8</v>
      </c>
      <c r="H651">
        <v>1</v>
      </c>
      <c r="I651">
        <v>19</v>
      </c>
      <c r="J651">
        <v>33</v>
      </c>
      <c r="K651">
        <v>1</v>
      </c>
      <c r="L651">
        <v>0</v>
      </c>
      <c r="M651">
        <v>0</v>
      </c>
      <c r="N651">
        <v>0</v>
      </c>
      <c r="O651">
        <v>0</v>
      </c>
      <c r="P651">
        <v>82</v>
      </c>
      <c r="Q651">
        <v>11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</row>
    <row r="652" spans="1:25" x14ac:dyDescent="0.3">
      <c r="A652" t="s">
        <v>672</v>
      </c>
      <c r="B652" t="s">
        <v>37</v>
      </c>
      <c r="C652" t="s">
        <v>93</v>
      </c>
      <c r="D652">
        <v>56</v>
      </c>
      <c r="E652">
        <v>1</v>
      </c>
      <c r="F652">
        <v>7</v>
      </c>
      <c r="G652">
        <v>8</v>
      </c>
      <c r="H652">
        <v>2</v>
      </c>
      <c r="I652">
        <v>32</v>
      </c>
      <c r="J652">
        <v>76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147</v>
      </c>
      <c r="Q652">
        <v>58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</row>
    <row r="653" spans="1:25" x14ac:dyDescent="0.3">
      <c r="A653" t="s">
        <v>1065</v>
      </c>
      <c r="B653" t="s">
        <v>120</v>
      </c>
      <c r="C653" t="s">
        <v>29</v>
      </c>
      <c r="D653">
        <v>34</v>
      </c>
      <c r="E653">
        <v>3</v>
      </c>
      <c r="F653">
        <v>5</v>
      </c>
      <c r="G653">
        <v>8</v>
      </c>
      <c r="H653">
        <v>-6</v>
      </c>
      <c r="I653">
        <v>55</v>
      </c>
      <c r="J653">
        <v>35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107</v>
      </c>
      <c r="Q653">
        <v>5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</row>
    <row r="654" spans="1:25" x14ac:dyDescent="0.3">
      <c r="A654" t="s">
        <v>1066</v>
      </c>
      <c r="B654" t="s">
        <v>87</v>
      </c>
      <c r="C654" t="s">
        <v>29</v>
      </c>
      <c r="D654">
        <v>25</v>
      </c>
      <c r="E654">
        <v>2</v>
      </c>
      <c r="F654">
        <v>6</v>
      </c>
      <c r="G654">
        <v>8</v>
      </c>
      <c r="H654">
        <v>-6</v>
      </c>
      <c r="I654">
        <v>26</v>
      </c>
      <c r="J654">
        <v>52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44</v>
      </c>
      <c r="Q654">
        <v>8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</row>
    <row r="655" spans="1:25" x14ac:dyDescent="0.3">
      <c r="A655" t="s">
        <v>536</v>
      </c>
      <c r="B655" t="s">
        <v>48</v>
      </c>
      <c r="C655" t="s">
        <v>29</v>
      </c>
      <c r="D655">
        <v>42</v>
      </c>
      <c r="E655">
        <v>4</v>
      </c>
      <c r="F655">
        <v>4</v>
      </c>
      <c r="G655">
        <v>8</v>
      </c>
      <c r="H655">
        <v>-2</v>
      </c>
      <c r="I655">
        <v>28</v>
      </c>
      <c r="J655">
        <v>68</v>
      </c>
      <c r="K655">
        <v>1</v>
      </c>
      <c r="L655">
        <v>0</v>
      </c>
      <c r="M655">
        <v>0</v>
      </c>
      <c r="N655">
        <v>1</v>
      </c>
      <c r="O655">
        <v>0</v>
      </c>
      <c r="P655">
        <v>62</v>
      </c>
      <c r="Q655">
        <v>26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</row>
    <row r="656" spans="1:25" x14ac:dyDescent="0.3">
      <c r="A656" t="s">
        <v>563</v>
      </c>
      <c r="B656" t="s">
        <v>48</v>
      </c>
      <c r="C656" t="s">
        <v>93</v>
      </c>
      <c r="D656">
        <v>29</v>
      </c>
      <c r="E656">
        <v>1</v>
      </c>
      <c r="F656">
        <v>7</v>
      </c>
      <c r="G656">
        <v>8</v>
      </c>
      <c r="H656">
        <v>4</v>
      </c>
      <c r="I656">
        <v>16</v>
      </c>
      <c r="J656">
        <v>49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24</v>
      </c>
      <c r="Q656">
        <v>34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</row>
    <row r="657" spans="1:25" x14ac:dyDescent="0.3">
      <c r="A657" t="s">
        <v>443</v>
      </c>
      <c r="B657" t="s">
        <v>100</v>
      </c>
      <c r="C657" t="s">
        <v>29</v>
      </c>
      <c r="D657">
        <v>22</v>
      </c>
      <c r="E657">
        <v>3</v>
      </c>
      <c r="F657">
        <v>5</v>
      </c>
      <c r="G657">
        <v>8</v>
      </c>
      <c r="H657">
        <v>1</v>
      </c>
      <c r="I657">
        <v>4</v>
      </c>
      <c r="J657">
        <v>26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16</v>
      </c>
      <c r="Q657">
        <v>8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</row>
    <row r="658" spans="1:25" x14ac:dyDescent="0.3">
      <c r="A658" t="s">
        <v>820</v>
      </c>
      <c r="B658" t="s">
        <v>41</v>
      </c>
      <c r="C658" t="s">
        <v>33</v>
      </c>
      <c r="D658">
        <v>31</v>
      </c>
      <c r="E658">
        <v>2</v>
      </c>
      <c r="F658">
        <v>6</v>
      </c>
      <c r="G658">
        <v>8</v>
      </c>
      <c r="H658">
        <v>2</v>
      </c>
      <c r="I658">
        <v>27</v>
      </c>
      <c r="J658">
        <v>39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79</v>
      </c>
      <c r="Q658">
        <v>16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</row>
    <row r="659" spans="1:25" x14ac:dyDescent="0.3">
      <c r="A659" t="s">
        <v>667</v>
      </c>
      <c r="B659" t="s">
        <v>54</v>
      </c>
      <c r="C659" t="s">
        <v>29</v>
      </c>
      <c r="D659">
        <v>31</v>
      </c>
      <c r="E659">
        <v>4</v>
      </c>
      <c r="F659">
        <v>4</v>
      </c>
      <c r="G659">
        <v>8</v>
      </c>
      <c r="H659">
        <v>-2</v>
      </c>
      <c r="I659">
        <v>1</v>
      </c>
      <c r="J659">
        <v>19</v>
      </c>
      <c r="K659">
        <v>0</v>
      </c>
      <c r="L659">
        <v>0</v>
      </c>
      <c r="M659">
        <v>0</v>
      </c>
      <c r="N659">
        <v>0</v>
      </c>
      <c r="O659">
        <v>1</v>
      </c>
      <c r="P659">
        <v>56</v>
      </c>
      <c r="Q659">
        <v>24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</row>
    <row r="660" spans="1:25" x14ac:dyDescent="0.3">
      <c r="A660" t="s">
        <v>845</v>
      </c>
      <c r="B660" t="s">
        <v>75</v>
      </c>
      <c r="C660" t="s">
        <v>29</v>
      </c>
      <c r="D660">
        <v>33</v>
      </c>
      <c r="E660">
        <v>5</v>
      </c>
      <c r="F660">
        <v>3</v>
      </c>
      <c r="G660">
        <v>8</v>
      </c>
      <c r="H660">
        <v>-2</v>
      </c>
      <c r="I660">
        <v>4</v>
      </c>
      <c r="J660">
        <v>50</v>
      </c>
      <c r="K660">
        <v>1</v>
      </c>
      <c r="L660">
        <v>0</v>
      </c>
      <c r="M660">
        <v>0</v>
      </c>
      <c r="N660">
        <v>0</v>
      </c>
      <c r="O660">
        <v>0</v>
      </c>
      <c r="P660">
        <v>58</v>
      </c>
      <c r="Q660">
        <v>21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</row>
    <row r="661" spans="1:25" x14ac:dyDescent="0.3">
      <c r="A661" t="s">
        <v>544</v>
      </c>
      <c r="B661" t="s">
        <v>98</v>
      </c>
      <c r="C661" t="s">
        <v>93</v>
      </c>
      <c r="D661">
        <v>46</v>
      </c>
      <c r="E661">
        <v>1</v>
      </c>
      <c r="F661">
        <v>7</v>
      </c>
      <c r="G661">
        <v>8</v>
      </c>
      <c r="H661">
        <v>2</v>
      </c>
      <c r="I661">
        <v>20</v>
      </c>
      <c r="J661">
        <v>61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41</v>
      </c>
      <c r="Q661">
        <v>55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</row>
    <row r="662" spans="1:25" x14ac:dyDescent="0.3">
      <c r="A662" t="s">
        <v>724</v>
      </c>
      <c r="B662" t="s">
        <v>181</v>
      </c>
      <c r="C662" t="s">
        <v>93</v>
      </c>
      <c r="D662">
        <v>53</v>
      </c>
      <c r="E662">
        <v>1</v>
      </c>
      <c r="F662">
        <v>7</v>
      </c>
      <c r="G662">
        <v>8</v>
      </c>
      <c r="H662">
        <v>-8</v>
      </c>
      <c r="I662">
        <v>42</v>
      </c>
      <c r="J662">
        <v>45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110</v>
      </c>
      <c r="Q662">
        <v>68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</row>
    <row r="663" spans="1:25" x14ac:dyDescent="0.3">
      <c r="A663" t="s">
        <v>647</v>
      </c>
      <c r="B663" t="s">
        <v>79</v>
      </c>
      <c r="C663" t="s">
        <v>93</v>
      </c>
      <c r="D663">
        <v>53</v>
      </c>
      <c r="E663">
        <v>2</v>
      </c>
      <c r="F663">
        <v>6</v>
      </c>
      <c r="G663">
        <v>8</v>
      </c>
      <c r="H663">
        <v>7</v>
      </c>
      <c r="I663">
        <v>20</v>
      </c>
      <c r="J663">
        <v>63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51</v>
      </c>
      <c r="Q663">
        <v>42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</row>
    <row r="664" spans="1:25" x14ac:dyDescent="0.3">
      <c r="A664" t="s">
        <v>1067</v>
      </c>
      <c r="B664" t="s">
        <v>181</v>
      </c>
      <c r="C664" t="s">
        <v>29</v>
      </c>
      <c r="D664">
        <v>30</v>
      </c>
      <c r="E664">
        <v>2</v>
      </c>
      <c r="F664">
        <v>6</v>
      </c>
      <c r="G664">
        <v>8</v>
      </c>
      <c r="H664">
        <v>-10</v>
      </c>
      <c r="I664">
        <v>20</v>
      </c>
      <c r="J664">
        <v>38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26</v>
      </c>
      <c r="Q664">
        <v>23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</row>
    <row r="665" spans="1:25" x14ac:dyDescent="0.3">
      <c r="A665" t="s">
        <v>574</v>
      </c>
      <c r="B665" t="s">
        <v>32</v>
      </c>
      <c r="C665" t="s">
        <v>29</v>
      </c>
      <c r="D665">
        <v>43</v>
      </c>
      <c r="E665">
        <v>2</v>
      </c>
      <c r="F665">
        <v>6</v>
      </c>
      <c r="G665">
        <v>8</v>
      </c>
      <c r="H665">
        <v>-9</v>
      </c>
      <c r="I665">
        <v>34</v>
      </c>
      <c r="J665">
        <v>72</v>
      </c>
      <c r="K665">
        <v>1</v>
      </c>
      <c r="L665">
        <v>0</v>
      </c>
      <c r="M665">
        <v>0</v>
      </c>
      <c r="N665">
        <v>0</v>
      </c>
      <c r="O665">
        <v>1</v>
      </c>
      <c r="P665">
        <v>80</v>
      </c>
      <c r="Q665">
        <v>28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</row>
    <row r="666" spans="1:25" x14ac:dyDescent="0.3">
      <c r="A666" t="s">
        <v>583</v>
      </c>
      <c r="B666" t="s">
        <v>48</v>
      </c>
      <c r="C666" t="s">
        <v>29</v>
      </c>
      <c r="D666">
        <v>45</v>
      </c>
      <c r="E666">
        <v>3</v>
      </c>
      <c r="F666">
        <v>5</v>
      </c>
      <c r="G666">
        <v>8</v>
      </c>
      <c r="H666">
        <v>-13</v>
      </c>
      <c r="I666">
        <v>22</v>
      </c>
      <c r="J666">
        <v>71</v>
      </c>
      <c r="K666">
        <v>1</v>
      </c>
      <c r="L666">
        <v>1</v>
      </c>
      <c r="M666">
        <v>1</v>
      </c>
      <c r="N666">
        <v>0</v>
      </c>
      <c r="O666">
        <v>1</v>
      </c>
      <c r="P666">
        <v>25</v>
      </c>
      <c r="Q666">
        <v>19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</row>
    <row r="667" spans="1:25" x14ac:dyDescent="0.3">
      <c r="A667" t="s">
        <v>489</v>
      </c>
      <c r="B667" t="s">
        <v>120</v>
      </c>
      <c r="C667" t="s">
        <v>29</v>
      </c>
      <c r="D667">
        <v>24</v>
      </c>
      <c r="E667">
        <v>3</v>
      </c>
      <c r="F667">
        <v>5</v>
      </c>
      <c r="G667">
        <v>8</v>
      </c>
      <c r="H667">
        <v>-5</v>
      </c>
      <c r="I667">
        <v>4</v>
      </c>
      <c r="J667">
        <v>30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57</v>
      </c>
      <c r="Q667">
        <v>9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</row>
    <row r="668" spans="1:25" x14ac:dyDescent="0.3">
      <c r="A668" t="s">
        <v>690</v>
      </c>
      <c r="B668" t="s">
        <v>61</v>
      </c>
      <c r="C668" t="s">
        <v>93</v>
      </c>
      <c r="D668">
        <v>49</v>
      </c>
      <c r="E668">
        <v>2</v>
      </c>
      <c r="F668">
        <v>6</v>
      </c>
      <c r="G668">
        <v>8</v>
      </c>
      <c r="H668">
        <v>4</v>
      </c>
      <c r="I668">
        <v>50</v>
      </c>
      <c r="J668">
        <v>54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101</v>
      </c>
      <c r="Q668">
        <v>35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</row>
    <row r="669" spans="1:25" x14ac:dyDescent="0.3">
      <c r="A669" t="s">
        <v>661</v>
      </c>
      <c r="B669" t="s">
        <v>106</v>
      </c>
      <c r="C669" t="s">
        <v>93</v>
      </c>
      <c r="D669">
        <v>46</v>
      </c>
      <c r="E669">
        <v>3</v>
      </c>
      <c r="F669">
        <v>5</v>
      </c>
      <c r="G669">
        <v>8</v>
      </c>
      <c r="H669">
        <v>4</v>
      </c>
      <c r="I669">
        <v>35</v>
      </c>
      <c r="J669">
        <v>41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74</v>
      </c>
      <c r="Q669">
        <v>38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</row>
    <row r="670" spans="1:25" x14ac:dyDescent="0.3">
      <c r="A670" t="s">
        <v>662</v>
      </c>
      <c r="B670" t="s">
        <v>54</v>
      </c>
      <c r="C670" t="s">
        <v>29</v>
      </c>
      <c r="D670">
        <v>29</v>
      </c>
      <c r="E670">
        <v>2</v>
      </c>
      <c r="F670">
        <v>5</v>
      </c>
      <c r="G670">
        <v>7</v>
      </c>
      <c r="H670">
        <v>-7</v>
      </c>
      <c r="I670">
        <v>7</v>
      </c>
      <c r="J670">
        <v>31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16</v>
      </c>
      <c r="Q670">
        <v>10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</row>
    <row r="671" spans="1:25" x14ac:dyDescent="0.3">
      <c r="A671" t="s">
        <v>449</v>
      </c>
      <c r="B671" t="s">
        <v>59</v>
      </c>
      <c r="C671" t="s">
        <v>42</v>
      </c>
      <c r="D671">
        <v>22</v>
      </c>
      <c r="E671">
        <v>4</v>
      </c>
      <c r="F671">
        <v>3</v>
      </c>
      <c r="G671">
        <v>7</v>
      </c>
      <c r="H671">
        <v>-3</v>
      </c>
      <c r="I671">
        <v>3</v>
      </c>
      <c r="J671">
        <v>45</v>
      </c>
      <c r="K671">
        <v>1</v>
      </c>
      <c r="L671">
        <v>2</v>
      </c>
      <c r="M671">
        <v>2</v>
      </c>
      <c r="N671">
        <v>0</v>
      </c>
      <c r="O671">
        <v>0</v>
      </c>
      <c r="P671">
        <v>24</v>
      </c>
      <c r="Q671">
        <v>4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</row>
    <row r="672" spans="1:25" x14ac:dyDescent="0.3">
      <c r="A672" t="s">
        <v>790</v>
      </c>
      <c r="B672" t="s">
        <v>44</v>
      </c>
      <c r="C672" t="s">
        <v>93</v>
      </c>
      <c r="D672">
        <v>61</v>
      </c>
      <c r="E672">
        <v>1</v>
      </c>
      <c r="F672">
        <v>6</v>
      </c>
      <c r="G672">
        <v>7</v>
      </c>
      <c r="H672">
        <v>3</v>
      </c>
      <c r="I672">
        <v>38</v>
      </c>
      <c r="J672">
        <v>54</v>
      </c>
      <c r="K672">
        <v>0</v>
      </c>
      <c r="L672">
        <v>0</v>
      </c>
      <c r="M672">
        <v>0</v>
      </c>
      <c r="N672">
        <v>0</v>
      </c>
      <c r="O672">
        <v>1</v>
      </c>
      <c r="P672">
        <v>86</v>
      </c>
      <c r="Q672">
        <v>60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</row>
    <row r="673" spans="1:25" x14ac:dyDescent="0.3">
      <c r="A673" t="s">
        <v>582</v>
      </c>
      <c r="B673" t="s">
        <v>35</v>
      </c>
      <c r="C673" t="s">
        <v>33</v>
      </c>
      <c r="D673">
        <v>39</v>
      </c>
      <c r="E673">
        <v>3</v>
      </c>
      <c r="F673">
        <v>4</v>
      </c>
      <c r="G673">
        <v>7</v>
      </c>
      <c r="H673">
        <v>-7</v>
      </c>
      <c r="I673">
        <v>44</v>
      </c>
      <c r="J673">
        <v>51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69</v>
      </c>
      <c r="Q673">
        <v>11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</row>
    <row r="674" spans="1:25" x14ac:dyDescent="0.3">
      <c r="A674" t="s">
        <v>494</v>
      </c>
      <c r="B674" t="s">
        <v>75</v>
      </c>
      <c r="C674" t="s">
        <v>29</v>
      </c>
      <c r="D674">
        <v>38</v>
      </c>
      <c r="E674">
        <v>3</v>
      </c>
      <c r="F674">
        <v>4</v>
      </c>
      <c r="G674">
        <v>7</v>
      </c>
      <c r="H674">
        <v>-7</v>
      </c>
      <c r="I674">
        <v>10</v>
      </c>
      <c r="J674">
        <v>47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74</v>
      </c>
      <c r="Q674">
        <v>29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</row>
    <row r="675" spans="1:25" x14ac:dyDescent="0.3">
      <c r="A675" t="s">
        <v>628</v>
      </c>
      <c r="B675" t="s">
        <v>84</v>
      </c>
      <c r="C675" t="s">
        <v>93</v>
      </c>
      <c r="D675">
        <v>41</v>
      </c>
      <c r="E675">
        <v>3</v>
      </c>
      <c r="F675">
        <v>4</v>
      </c>
      <c r="G675">
        <v>7</v>
      </c>
      <c r="H675">
        <v>-1</v>
      </c>
      <c r="I675">
        <v>11</v>
      </c>
      <c r="J675">
        <v>45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28</v>
      </c>
      <c r="Q675">
        <v>47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</row>
    <row r="676" spans="1:25" x14ac:dyDescent="0.3">
      <c r="A676" t="s">
        <v>547</v>
      </c>
      <c r="B676" t="s">
        <v>79</v>
      </c>
      <c r="C676" t="s">
        <v>93</v>
      </c>
      <c r="D676">
        <v>35</v>
      </c>
      <c r="E676">
        <v>1</v>
      </c>
      <c r="F676">
        <v>6</v>
      </c>
      <c r="G676">
        <v>7</v>
      </c>
      <c r="H676">
        <v>-5</v>
      </c>
      <c r="I676">
        <v>24</v>
      </c>
      <c r="J676">
        <v>53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31</v>
      </c>
      <c r="Q676">
        <v>61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</row>
    <row r="677" spans="1:25" x14ac:dyDescent="0.3">
      <c r="A677" t="s">
        <v>625</v>
      </c>
      <c r="B677" t="s">
        <v>84</v>
      </c>
      <c r="C677" t="s">
        <v>93</v>
      </c>
      <c r="D677">
        <v>47</v>
      </c>
      <c r="E677">
        <v>1</v>
      </c>
      <c r="F677">
        <v>6</v>
      </c>
      <c r="G677">
        <v>7</v>
      </c>
      <c r="H677">
        <v>-5</v>
      </c>
      <c r="I677">
        <v>26</v>
      </c>
      <c r="J677">
        <v>42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110</v>
      </c>
      <c r="Q677">
        <v>72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</row>
    <row r="678" spans="1:25" x14ac:dyDescent="0.3">
      <c r="A678" t="s">
        <v>780</v>
      </c>
      <c r="B678" t="s">
        <v>46</v>
      </c>
      <c r="C678" t="s">
        <v>93</v>
      </c>
      <c r="D678">
        <v>45</v>
      </c>
      <c r="E678">
        <v>2</v>
      </c>
      <c r="F678">
        <v>5</v>
      </c>
      <c r="G678">
        <v>7</v>
      </c>
      <c r="H678">
        <v>2</v>
      </c>
      <c r="I678">
        <v>10</v>
      </c>
      <c r="J678">
        <v>47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85</v>
      </c>
      <c r="Q678">
        <v>48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</row>
    <row r="679" spans="1:25" x14ac:dyDescent="0.3">
      <c r="A679" t="s">
        <v>653</v>
      </c>
      <c r="B679" t="s">
        <v>84</v>
      </c>
      <c r="C679" t="s">
        <v>93</v>
      </c>
      <c r="D679">
        <v>58</v>
      </c>
      <c r="E679">
        <v>1</v>
      </c>
      <c r="F679">
        <v>6</v>
      </c>
      <c r="G679">
        <v>7</v>
      </c>
      <c r="H679">
        <v>10</v>
      </c>
      <c r="I679">
        <v>10</v>
      </c>
      <c r="J679">
        <v>55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62</v>
      </c>
      <c r="Q679">
        <v>83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</row>
    <row r="680" spans="1:25" x14ac:dyDescent="0.3">
      <c r="A680" t="s">
        <v>1049</v>
      </c>
      <c r="B680" t="s">
        <v>71</v>
      </c>
      <c r="C680" t="s">
        <v>93</v>
      </c>
      <c r="D680">
        <v>38</v>
      </c>
      <c r="E680">
        <v>2</v>
      </c>
      <c r="F680">
        <v>5</v>
      </c>
      <c r="G680">
        <v>7</v>
      </c>
      <c r="H680">
        <v>-6</v>
      </c>
      <c r="I680">
        <v>24</v>
      </c>
      <c r="J680">
        <v>66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64</v>
      </c>
      <c r="Q680">
        <v>79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</row>
    <row r="681" spans="1:25" x14ac:dyDescent="0.3">
      <c r="A681" t="s">
        <v>466</v>
      </c>
      <c r="B681" t="s">
        <v>196</v>
      </c>
      <c r="C681" t="s">
        <v>33</v>
      </c>
      <c r="D681">
        <v>50</v>
      </c>
      <c r="E681">
        <v>4</v>
      </c>
      <c r="F681">
        <v>3</v>
      </c>
      <c r="G681">
        <v>7</v>
      </c>
      <c r="H681">
        <v>-10</v>
      </c>
      <c r="I681">
        <v>10</v>
      </c>
      <c r="J681">
        <v>48</v>
      </c>
      <c r="K681">
        <v>0</v>
      </c>
      <c r="L681">
        <v>0</v>
      </c>
      <c r="M681">
        <v>0</v>
      </c>
      <c r="N681">
        <v>1</v>
      </c>
      <c r="O681">
        <v>0</v>
      </c>
      <c r="P681">
        <v>16</v>
      </c>
      <c r="Q681">
        <v>13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</row>
    <row r="682" spans="1:25" x14ac:dyDescent="0.3">
      <c r="A682" t="s">
        <v>611</v>
      </c>
      <c r="B682" t="s">
        <v>52</v>
      </c>
      <c r="C682" t="s">
        <v>29</v>
      </c>
      <c r="D682">
        <v>29</v>
      </c>
      <c r="E682">
        <v>5</v>
      </c>
      <c r="F682">
        <v>2</v>
      </c>
      <c r="G682">
        <v>7</v>
      </c>
      <c r="H682">
        <v>-3</v>
      </c>
      <c r="I682">
        <v>18</v>
      </c>
      <c r="J682">
        <v>50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19</v>
      </c>
      <c r="Q682">
        <v>16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</row>
    <row r="683" spans="1:25" x14ac:dyDescent="0.3">
      <c r="A683" t="s">
        <v>503</v>
      </c>
      <c r="B683" t="s">
        <v>61</v>
      </c>
      <c r="C683" t="s">
        <v>93</v>
      </c>
      <c r="D683">
        <v>44</v>
      </c>
      <c r="E683">
        <v>2</v>
      </c>
      <c r="F683">
        <v>5</v>
      </c>
      <c r="G683">
        <v>7</v>
      </c>
      <c r="H683">
        <v>5</v>
      </c>
      <c r="I683">
        <v>22</v>
      </c>
      <c r="J683">
        <v>62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77</v>
      </c>
      <c r="Q683">
        <v>33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</row>
    <row r="684" spans="1:25" x14ac:dyDescent="0.3">
      <c r="A684" t="s">
        <v>706</v>
      </c>
      <c r="B684" t="s">
        <v>196</v>
      </c>
      <c r="C684" t="s">
        <v>93</v>
      </c>
      <c r="D684">
        <v>28</v>
      </c>
      <c r="E684">
        <v>1</v>
      </c>
      <c r="F684">
        <v>6</v>
      </c>
      <c r="G684">
        <v>7</v>
      </c>
      <c r="H684">
        <v>-8</v>
      </c>
      <c r="I684">
        <v>16</v>
      </c>
      <c r="J684">
        <v>25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11</v>
      </c>
      <c r="Q684">
        <v>19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</row>
    <row r="685" spans="1:25" x14ac:dyDescent="0.3">
      <c r="A685" t="s">
        <v>1068</v>
      </c>
      <c r="B685" t="s">
        <v>132</v>
      </c>
      <c r="C685" t="s">
        <v>33</v>
      </c>
      <c r="D685">
        <v>17</v>
      </c>
      <c r="E685">
        <v>2</v>
      </c>
      <c r="F685">
        <v>5</v>
      </c>
      <c r="G685">
        <v>7</v>
      </c>
      <c r="H685">
        <v>-2</v>
      </c>
      <c r="I685">
        <v>16</v>
      </c>
      <c r="J685">
        <v>24</v>
      </c>
      <c r="K685">
        <v>0</v>
      </c>
      <c r="L685">
        <v>0</v>
      </c>
      <c r="M685">
        <v>2</v>
      </c>
      <c r="N685">
        <v>0</v>
      </c>
      <c r="O685">
        <v>0</v>
      </c>
      <c r="P685">
        <v>27</v>
      </c>
      <c r="Q685">
        <v>14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</row>
    <row r="686" spans="1:25" x14ac:dyDescent="0.3">
      <c r="A686" t="s">
        <v>696</v>
      </c>
      <c r="B686" t="s">
        <v>132</v>
      </c>
      <c r="C686" t="s">
        <v>29</v>
      </c>
      <c r="D686">
        <v>34</v>
      </c>
      <c r="E686">
        <v>4</v>
      </c>
      <c r="F686">
        <v>3</v>
      </c>
      <c r="G686">
        <v>7</v>
      </c>
      <c r="H686">
        <v>5</v>
      </c>
      <c r="I686">
        <v>6</v>
      </c>
      <c r="J686">
        <v>25</v>
      </c>
      <c r="K686">
        <v>1</v>
      </c>
      <c r="L686">
        <v>0</v>
      </c>
      <c r="M686">
        <v>0</v>
      </c>
      <c r="N686">
        <v>0</v>
      </c>
      <c r="O686">
        <v>0</v>
      </c>
      <c r="P686">
        <v>17</v>
      </c>
      <c r="Q686">
        <v>8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</row>
    <row r="687" spans="1:25" x14ac:dyDescent="0.3">
      <c r="A687" t="s">
        <v>615</v>
      </c>
      <c r="B687" t="s">
        <v>44</v>
      </c>
      <c r="C687" t="s">
        <v>93</v>
      </c>
      <c r="D687">
        <v>33</v>
      </c>
      <c r="E687">
        <v>2</v>
      </c>
      <c r="F687">
        <v>5</v>
      </c>
      <c r="G687">
        <v>7</v>
      </c>
      <c r="H687">
        <v>-7</v>
      </c>
      <c r="I687">
        <v>8</v>
      </c>
      <c r="J687">
        <v>22</v>
      </c>
      <c r="K687">
        <v>0</v>
      </c>
      <c r="L687">
        <v>0</v>
      </c>
      <c r="M687">
        <v>2</v>
      </c>
      <c r="N687">
        <v>0</v>
      </c>
      <c r="O687">
        <v>0</v>
      </c>
      <c r="P687">
        <v>12</v>
      </c>
      <c r="Q687">
        <v>33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</row>
    <row r="688" spans="1:25" x14ac:dyDescent="0.3">
      <c r="A688" t="s">
        <v>649</v>
      </c>
      <c r="B688" t="s">
        <v>63</v>
      </c>
      <c r="C688" t="s">
        <v>93</v>
      </c>
      <c r="D688">
        <v>29</v>
      </c>
      <c r="E688">
        <v>2</v>
      </c>
      <c r="F688">
        <v>5</v>
      </c>
      <c r="G688">
        <v>7</v>
      </c>
      <c r="H688">
        <v>3</v>
      </c>
      <c r="I688">
        <v>14</v>
      </c>
      <c r="J688">
        <v>87</v>
      </c>
      <c r="K688">
        <v>0</v>
      </c>
      <c r="L688">
        <v>0</v>
      </c>
      <c r="M688">
        <v>2</v>
      </c>
      <c r="N688">
        <v>0</v>
      </c>
      <c r="O688">
        <v>0</v>
      </c>
      <c r="P688">
        <v>32</v>
      </c>
      <c r="Q688">
        <v>31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</row>
    <row r="689" spans="1:25" x14ac:dyDescent="0.3">
      <c r="A689" t="s">
        <v>1070</v>
      </c>
      <c r="B689" t="s">
        <v>196</v>
      </c>
      <c r="C689" t="s">
        <v>29</v>
      </c>
      <c r="D689">
        <v>11</v>
      </c>
      <c r="E689">
        <v>2</v>
      </c>
      <c r="F689">
        <v>5</v>
      </c>
      <c r="G689">
        <v>7</v>
      </c>
      <c r="H689">
        <v>1</v>
      </c>
      <c r="I689">
        <v>3</v>
      </c>
      <c r="J689">
        <v>27</v>
      </c>
      <c r="K689">
        <v>0</v>
      </c>
      <c r="L689">
        <v>1</v>
      </c>
      <c r="M689">
        <v>1</v>
      </c>
      <c r="N689">
        <v>0</v>
      </c>
      <c r="O689">
        <v>0</v>
      </c>
      <c r="P689">
        <v>3</v>
      </c>
      <c r="Q689">
        <v>4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</row>
    <row r="690" spans="1:25" x14ac:dyDescent="0.3">
      <c r="A690" t="s">
        <v>1071</v>
      </c>
      <c r="B690" t="s">
        <v>73</v>
      </c>
      <c r="C690" t="s">
        <v>93</v>
      </c>
      <c r="D690">
        <v>22</v>
      </c>
      <c r="E690">
        <v>1</v>
      </c>
      <c r="F690">
        <v>6</v>
      </c>
      <c r="G690">
        <v>7</v>
      </c>
      <c r="H690">
        <v>-3</v>
      </c>
      <c r="I690">
        <v>12</v>
      </c>
      <c r="J690">
        <v>28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15</v>
      </c>
      <c r="Q690">
        <v>14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</row>
    <row r="691" spans="1:25" x14ac:dyDescent="0.3">
      <c r="A691" t="s">
        <v>476</v>
      </c>
      <c r="B691" t="s">
        <v>100</v>
      </c>
      <c r="C691" t="s">
        <v>29</v>
      </c>
      <c r="D691">
        <v>25</v>
      </c>
      <c r="E691">
        <v>2</v>
      </c>
      <c r="F691">
        <v>5</v>
      </c>
      <c r="G691">
        <v>7</v>
      </c>
      <c r="H691">
        <v>-4</v>
      </c>
      <c r="I691">
        <v>2</v>
      </c>
      <c r="J691">
        <v>39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21</v>
      </c>
      <c r="Q691">
        <v>13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</row>
    <row r="692" spans="1:25" x14ac:dyDescent="0.3">
      <c r="A692" t="s">
        <v>1072</v>
      </c>
      <c r="B692" t="s">
        <v>196</v>
      </c>
      <c r="C692" t="s">
        <v>42</v>
      </c>
      <c r="D692">
        <v>16</v>
      </c>
      <c r="E692">
        <v>2</v>
      </c>
      <c r="F692">
        <v>5</v>
      </c>
      <c r="G692">
        <v>7</v>
      </c>
      <c r="H692">
        <v>-4</v>
      </c>
      <c r="I692">
        <v>6</v>
      </c>
      <c r="J692">
        <v>21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8</v>
      </c>
      <c r="Q692">
        <v>5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</row>
    <row r="693" spans="1:25" x14ac:dyDescent="0.3">
      <c r="A693" t="s">
        <v>1073</v>
      </c>
      <c r="B693" t="s">
        <v>54</v>
      </c>
      <c r="C693" t="s">
        <v>33</v>
      </c>
      <c r="D693">
        <v>24</v>
      </c>
      <c r="E693">
        <v>2</v>
      </c>
      <c r="F693">
        <v>5</v>
      </c>
      <c r="G693">
        <v>7</v>
      </c>
      <c r="H693">
        <v>6</v>
      </c>
      <c r="I693">
        <v>8</v>
      </c>
      <c r="J693">
        <v>33</v>
      </c>
      <c r="K693">
        <v>2</v>
      </c>
      <c r="L693">
        <v>0</v>
      </c>
      <c r="M693">
        <v>0</v>
      </c>
      <c r="N693">
        <v>0</v>
      </c>
      <c r="O693">
        <v>0</v>
      </c>
      <c r="P693">
        <v>23</v>
      </c>
      <c r="Q693">
        <v>10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</row>
    <row r="694" spans="1:25" x14ac:dyDescent="0.3">
      <c r="A694" t="s">
        <v>1061</v>
      </c>
      <c r="B694" t="s">
        <v>59</v>
      </c>
      <c r="C694" t="s">
        <v>42</v>
      </c>
      <c r="D694">
        <v>36</v>
      </c>
      <c r="E694">
        <v>3</v>
      </c>
      <c r="F694">
        <v>4</v>
      </c>
      <c r="G694">
        <v>7</v>
      </c>
      <c r="H694">
        <v>-12</v>
      </c>
      <c r="I694">
        <v>10</v>
      </c>
      <c r="J694">
        <v>58</v>
      </c>
      <c r="K694">
        <v>1</v>
      </c>
      <c r="L694">
        <v>0</v>
      </c>
      <c r="M694">
        <v>0</v>
      </c>
      <c r="N694">
        <v>0</v>
      </c>
      <c r="O694">
        <v>0</v>
      </c>
      <c r="P694">
        <v>29</v>
      </c>
      <c r="Q694">
        <v>9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</row>
    <row r="695" spans="1:25" x14ac:dyDescent="0.3">
      <c r="A695" t="s">
        <v>1069</v>
      </c>
      <c r="B695" t="s">
        <v>122</v>
      </c>
      <c r="C695" t="s">
        <v>29</v>
      </c>
      <c r="D695">
        <v>44</v>
      </c>
      <c r="E695">
        <v>2</v>
      </c>
      <c r="F695">
        <v>5</v>
      </c>
      <c r="G695">
        <v>7</v>
      </c>
      <c r="H695">
        <v>-2</v>
      </c>
      <c r="I695">
        <v>7</v>
      </c>
      <c r="J695">
        <v>39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49</v>
      </c>
      <c r="Q695">
        <v>15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</row>
    <row r="696" spans="1:25" x14ac:dyDescent="0.3">
      <c r="A696" t="s">
        <v>677</v>
      </c>
      <c r="B696" t="s">
        <v>32</v>
      </c>
      <c r="C696" t="s">
        <v>93</v>
      </c>
      <c r="D696">
        <v>25</v>
      </c>
      <c r="E696">
        <v>1</v>
      </c>
      <c r="F696">
        <v>6</v>
      </c>
      <c r="G696">
        <v>7</v>
      </c>
      <c r="H696">
        <v>-5</v>
      </c>
      <c r="I696">
        <v>0</v>
      </c>
      <c r="J696">
        <v>24</v>
      </c>
      <c r="K696">
        <v>0</v>
      </c>
      <c r="L696">
        <v>0</v>
      </c>
      <c r="M696">
        <v>1</v>
      </c>
      <c r="N696">
        <v>0</v>
      </c>
      <c r="O696">
        <v>0</v>
      </c>
      <c r="P696">
        <v>15</v>
      </c>
      <c r="Q696">
        <v>27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</row>
    <row r="697" spans="1:25" x14ac:dyDescent="0.3">
      <c r="A697" t="s">
        <v>816</v>
      </c>
      <c r="B697" t="s">
        <v>57</v>
      </c>
      <c r="C697" t="s">
        <v>29</v>
      </c>
      <c r="D697">
        <v>42</v>
      </c>
      <c r="E697">
        <v>5</v>
      </c>
      <c r="F697">
        <v>2</v>
      </c>
      <c r="G697">
        <v>7</v>
      </c>
      <c r="H697">
        <v>-4</v>
      </c>
      <c r="I697">
        <v>18</v>
      </c>
      <c r="J697">
        <v>52</v>
      </c>
      <c r="K697">
        <v>1</v>
      </c>
      <c r="L697">
        <v>0</v>
      </c>
      <c r="M697">
        <v>0</v>
      </c>
      <c r="N697">
        <v>0</v>
      </c>
      <c r="O697">
        <v>0</v>
      </c>
      <c r="P697">
        <v>62</v>
      </c>
      <c r="Q697">
        <v>28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</row>
    <row r="698" spans="1:25" x14ac:dyDescent="0.3">
      <c r="A698" t="s">
        <v>703</v>
      </c>
      <c r="B698" t="s">
        <v>59</v>
      </c>
      <c r="C698" t="s">
        <v>42</v>
      </c>
      <c r="D698">
        <v>44</v>
      </c>
      <c r="E698">
        <v>3</v>
      </c>
      <c r="F698">
        <v>4</v>
      </c>
      <c r="G698">
        <v>7</v>
      </c>
      <c r="H698">
        <v>-6</v>
      </c>
      <c r="I698">
        <v>52</v>
      </c>
      <c r="J698">
        <v>26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91</v>
      </c>
      <c r="Q698">
        <v>19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</row>
    <row r="699" spans="1:25" x14ac:dyDescent="0.3">
      <c r="A699" t="s">
        <v>942</v>
      </c>
      <c r="B699" t="s">
        <v>44</v>
      </c>
      <c r="C699" t="s">
        <v>42</v>
      </c>
      <c r="D699">
        <v>44</v>
      </c>
      <c r="E699">
        <v>1</v>
      </c>
      <c r="F699">
        <v>6</v>
      </c>
      <c r="G699">
        <v>7</v>
      </c>
      <c r="H699">
        <v>-11</v>
      </c>
      <c r="I699">
        <v>32</v>
      </c>
      <c r="J699">
        <v>40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172</v>
      </c>
      <c r="Q699">
        <v>17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</row>
    <row r="700" spans="1:25" x14ac:dyDescent="0.3">
      <c r="A700" t="s">
        <v>1075</v>
      </c>
      <c r="B700" t="s">
        <v>48</v>
      </c>
      <c r="C700" t="s">
        <v>33</v>
      </c>
      <c r="D700">
        <v>16</v>
      </c>
      <c r="E700">
        <v>2</v>
      </c>
      <c r="F700">
        <v>4</v>
      </c>
      <c r="G700">
        <v>6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6</v>
      </c>
      <c r="Q700">
        <v>4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</row>
    <row r="701" spans="1:25" x14ac:dyDescent="0.3">
      <c r="A701" t="s">
        <v>436</v>
      </c>
      <c r="B701" t="s">
        <v>41</v>
      </c>
      <c r="C701" t="s">
        <v>29</v>
      </c>
      <c r="D701">
        <v>46</v>
      </c>
      <c r="E701">
        <v>2</v>
      </c>
      <c r="F701">
        <v>4</v>
      </c>
      <c r="G701">
        <v>6</v>
      </c>
      <c r="H701">
        <v>-4</v>
      </c>
      <c r="I701">
        <v>8</v>
      </c>
      <c r="J701">
        <v>68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67</v>
      </c>
      <c r="Q701">
        <v>8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</row>
    <row r="702" spans="1:25" x14ac:dyDescent="0.3">
      <c r="A702" t="s">
        <v>746</v>
      </c>
      <c r="B702" t="s">
        <v>35</v>
      </c>
      <c r="C702" t="s">
        <v>33</v>
      </c>
      <c r="D702">
        <v>25</v>
      </c>
      <c r="E702">
        <v>3</v>
      </c>
      <c r="F702">
        <v>3</v>
      </c>
      <c r="G702">
        <v>6</v>
      </c>
      <c r="H702">
        <v>-3</v>
      </c>
      <c r="I702">
        <v>8</v>
      </c>
      <c r="J702">
        <v>37</v>
      </c>
      <c r="K702">
        <v>1</v>
      </c>
      <c r="L702">
        <v>0</v>
      </c>
      <c r="M702">
        <v>1</v>
      </c>
      <c r="N702">
        <v>0</v>
      </c>
      <c r="O702">
        <v>0</v>
      </c>
      <c r="P702">
        <v>25</v>
      </c>
      <c r="Q702">
        <v>5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</row>
    <row r="703" spans="1:25" x14ac:dyDescent="0.3">
      <c r="A703" t="s">
        <v>753</v>
      </c>
      <c r="B703" t="s">
        <v>39</v>
      </c>
      <c r="C703" t="s">
        <v>29</v>
      </c>
      <c r="D703">
        <v>13</v>
      </c>
      <c r="E703">
        <v>3</v>
      </c>
      <c r="F703">
        <v>3</v>
      </c>
      <c r="G703">
        <v>6</v>
      </c>
      <c r="H703">
        <v>0</v>
      </c>
      <c r="I703">
        <v>2</v>
      </c>
      <c r="J703">
        <v>22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9</v>
      </c>
      <c r="Q703">
        <v>4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</row>
    <row r="704" spans="1:25" x14ac:dyDescent="0.3">
      <c r="A704" t="s">
        <v>675</v>
      </c>
      <c r="B704" t="s">
        <v>52</v>
      </c>
      <c r="C704" t="s">
        <v>93</v>
      </c>
      <c r="D704">
        <v>19</v>
      </c>
      <c r="E704">
        <v>1</v>
      </c>
      <c r="F704">
        <v>5</v>
      </c>
      <c r="G704">
        <v>6</v>
      </c>
      <c r="H704">
        <v>-2</v>
      </c>
      <c r="I704">
        <v>14</v>
      </c>
      <c r="J704">
        <v>38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12</v>
      </c>
      <c r="Q704">
        <v>14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</row>
    <row r="705" spans="1:25" x14ac:dyDescent="0.3">
      <c r="A705" t="s">
        <v>705</v>
      </c>
      <c r="B705" t="s">
        <v>140</v>
      </c>
      <c r="C705" t="s">
        <v>29</v>
      </c>
      <c r="D705">
        <v>20</v>
      </c>
      <c r="E705">
        <v>2</v>
      </c>
      <c r="F705">
        <v>4</v>
      </c>
      <c r="G705">
        <v>6</v>
      </c>
      <c r="H705">
        <v>-2</v>
      </c>
      <c r="I705">
        <v>4</v>
      </c>
      <c r="J705">
        <v>32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32</v>
      </c>
      <c r="Q705">
        <v>9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</row>
    <row r="706" spans="1:25" x14ac:dyDescent="0.3">
      <c r="A706" t="s">
        <v>916</v>
      </c>
      <c r="B706" t="s">
        <v>37</v>
      </c>
      <c r="C706" t="s">
        <v>29</v>
      </c>
      <c r="D706">
        <v>27</v>
      </c>
      <c r="E706">
        <v>3</v>
      </c>
      <c r="F706">
        <v>3</v>
      </c>
      <c r="G706">
        <v>6</v>
      </c>
      <c r="H706">
        <v>-5</v>
      </c>
      <c r="I706">
        <v>6</v>
      </c>
      <c r="J706">
        <v>44</v>
      </c>
      <c r="K706">
        <v>0</v>
      </c>
      <c r="L706">
        <v>1</v>
      </c>
      <c r="M706">
        <v>1</v>
      </c>
      <c r="N706">
        <v>0</v>
      </c>
      <c r="O706">
        <v>0</v>
      </c>
      <c r="P706">
        <v>38</v>
      </c>
      <c r="Q706">
        <v>15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</row>
    <row r="707" spans="1:25" x14ac:dyDescent="0.3">
      <c r="A707" t="s">
        <v>767</v>
      </c>
      <c r="B707" t="s">
        <v>52</v>
      </c>
      <c r="C707" t="s">
        <v>33</v>
      </c>
      <c r="D707">
        <v>29</v>
      </c>
      <c r="E707">
        <v>2</v>
      </c>
      <c r="F707">
        <v>4</v>
      </c>
      <c r="G707">
        <v>6</v>
      </c>
      <c r="H707">
        <v>-6</v>
      </c>
      <c r="I707">
        <v>14</v>
      </c>
      <c r="J707">
        <v>31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28</v>
      </c>
      <c r="Q707">
        <v>18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</row>
    <row r="708" spans="1:25" x14ac:dyDescent="0.3">
      <c r="A708" t="s">
        <v>639</v>
      </c>
      <c r="B708" t="s">
        <v>32</v>
      </c>
      <c r="C708" t="s">
        <v>42</v>
      </c>
      <c r="D708">
        <v>38</v>
      </c>
      <c r="E708">
        <v>2</v>
      </c>
      <c r="F708">
        <v>4</v>
      </c>
      <c r="G708">
        <v>6</v>
      </c>
      <c r="H708">
        <v>-9</v>
      </c>
      <c r="I708">
        <v>12</v>
      </c>
      <c r="J708">
        <v>77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73</v>
      </c>
      <c r="Q708">
        <v>11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</row>
    <row r="709" spans="1:25" x14ac:dyDescent="0.3">
      <c r="A709" t="s">
        <v>648</v>
      </c>
      <c r="B709" t="s">
        <v>100</v>
      </c>
      <c r="C709" t="s">
        <v>93</v>
      </c>
      <c r="D709">
        <v>66</v>
      </c>
      <c r="E709">
        <v>1</v>
      </c>
      <c r="F709">
        <v>5</v>
      </c>
      <c r="G709">
        <v>6</v>
      </c>
      <c r="H709">
        <v>-2</v>
      </c>
      <c r="I709">
        <v>79</v>
      </c>
      <c r="J709">
        <v>71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208</v>
      </c>
      <c r="Q709">
        <v>66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</row>
    <row r="710" spans="1:25" x14ac:dyDescent="0.3">
      <c r="A710" t="s">
        <v>683</v>
      </c>
      <c r="B710" t="s">
        <v>54</v>
      </c>
      <c r="C710" t="s">
        <v>93</v>
      </c>
      <c r="D710">
        <v>13</v>
      </c>
      <c r="E710">
        <v>0</v>
      </c>
      <c r="F710">
        <v>6</v>
      </c>
      <c r="G710">
        <v>6</v>
      </c>
      <c r="H710">
        <v>1</v>
      </c>
      <c r="I710">
        <v>5</v>
      </c>
      <c r="J710">
        <v>14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7</v>
      </c>
      <c r="Q710">
        <v>17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</row>
    <row r="711" spans="1:25" x14ac:dyDescent="0.3">
      <c r="A711" t="s">
        <v>594</v>
      </c>
      <c r="B711" t="s">
        <v>65</v>
      </c>
      <c r="C711" t="s">
        <v>33</v>
      </c>
      <c r="D711">
        <v>29</v>
      </c>
      <c r="E711">
        <v>1</v>
      </c>
      <c r="F711">
        <v>5</v>
      </c>
      <c r="G711">
        <v>6</v>
      </c>
      <c r="H711">
        <v>-4</v>
      </c>
      <c r="I711">
        <v>4</v>
      </c>
      <c r="J711">
        <v>24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18</v>
      </c>
      <c r="Q711">
        <v>11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</row>
    <row r="712" spans="1:25" x14ac:dyDescent="0.3">
      <c r="A712" t="s">
        <v>558</v>
      </c>
      <c r="B712" t="s">
        <v>54</v>
      </c>
      <c r="C712" t="s">
        <v>29</v>
      </c>
      <c r="D712">
        <v>34</v>
      </c>
      <c r="E712">
        <v>2</v>
      </c>
      <c r="F712">
        <v>4</v>
      </c>
      <c r="G712">
        <v>6</v>
      </c>
      <c r="H712">
        <v>-8</v>
      </c>
      <c r="I712">
        <v>28</v>
      </c>
      <c r="J712">
        <v>27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92</v>
      </c>
      <c r="Q712">
        <v>22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</row>
    <row r="713" spans="1:25" x14ac:dyDescent="0.3">
      <c r="A713" t="s">
        <v>687</v>
      </c>
      <c r="B713" t="s">
        <v>100</v>
      </c>
      <c r="C713" t="s">
        <v>93</v>
      </c>
      <c r="D713">
        <v>53</v>
      </c>
      <c r="E713">
        <v>1</v>
      </c>
      <c r="F713">
        <v>5</v>
      </c>
      <c r="G713">
        <v>6</v>
      </c>
      <c r="H713">
        <v>-7</v>
      </c>
      <c r="I713">
        <v>127</v>
      </c>
      <c r="J713">
        <v>44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185</v>
      </c>
      <c r="Q713">
        <v>84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</row>
    <row r="714" spans="1:25" x14ac:dyDescent="0.3">
      <c r="A714" t="s">
        <v>516</v>
      </c>
      <c r="B714" t="s">
        <v>54</v>
      </c>
      <c r="C714" t="s">
        <v>42</v>
      </c>
      <c r="D714">
        <v>21</v>
      </c>
      <c r="E714">
        <v>3</v>
      </c>
      <c r="F714">
        <v>3</v>
      </c>
      <c r="G714">
        <v>6</v>
      </c>
      <c r="H714">
        <v>-1</v>
      </c>
      <c r="I714">
        <v>15</v>
      </c>
      <c r="J714">
        <v>23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21</v>
      </c>
      <c r="Q714">
        <v>6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</row>
    <row r="715" spans="1:25" x14ac:dyDescent="0.3">
      <c r="A715" t="s">
        <v>514</v>
      </c>
      <c r="B715" t="s">
        <v>28</v>
      </c>
      <c r="C715" t="s">
        <v>93</v>
      </c>
      <c r="D715">
        <v>33</v>
      </c>
      <c r="E715">
        <v>0</v>
      </c>
      <c r="F715">
        <v>6</v>
      </c>
      <c r="G715">
        <v>6</v>
      </c>
      <c r="H715">
        <v>-2</v>
      </c>
      <c r="I715">
        <v>4</v>
      </c>
      <c r="J715">
        <v>29</v>
      </c>
      <c r="K715">
        <v>0</v>
      </c>
      <c r="L715">
        <v>0</v>
      </c>
      <c r="M715">
        <v>0</v>
      </c>
      <c r="N715">
        <v>0</v>
      </c>
      <c r="O715">
        <v>1</v>
      </c>
      <c r="P715">
        <v>26</v>
      </c>
      <c r="Q715">
        <v>41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</row>
    <row r="716" spans="1:25" x14ac:dyDescent="0.3">
      <c r="A716" t="s">
        <v>457</v>
      </c>
      <c r="B716" t="s">
        <v>54</v>
      </c>
      <c r="C716" t="s">
        <v>29</v>
      </c>
      <c r="D716">
        <v>21</v>
      </c>
      <c r="E716">
        <v>3</v>
      </c>
      <c r="F716">
        <v>3</v>
      </c>
      <c r="G716">
        <v>6</v>
      </c>
      <c r="H716">
        <v>0</v>
      </c>
      <c r="I716">
        <v>4</v>
      </c>
      <c r="J716">
        <v>32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10</v>
      </c>
      <c r="Q716">
        <v>3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</row>
    <row r="717" spans="1:25" x14ac:dyDescent="0.3">
      <c r="A717" t="s">
        <v>488</v>
      </c>
      <c r="B717" t="s">
        <v>54</v>
      </c>
      <c r="C717" t="s">
        <v>33</v>
      </c>
      <c r="D717">
        <v>22</v>
      </c>
      <c r="E717">
        <v>3</v>
      </c>
      <c r="F717">
        <v>3</v>
      </c>
      <c r="G717">
        <v>6</v>
      </c>
      <c r="H717">
        <v>-5</v>
      </c>
      <c r="I717">
        <v>15</v>
      </c>
      <c r="J717">
        <v>26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44</v>
      </c>
      <c r="Q717">
        <v>8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</row>
    <row r="718" spans="1:25" x14ac:dyDescent="0.3">
      <c r="A718" t="s">
        <v>602</v>
      </c>
      <c r="B718" t="s">
        <v>54</v>
      </c>
      <c r="C718" t="s">
        <v>29</v>
      </c>
      <c r="D718">
        <v>51</v>
      </c>
      <c r="E718">
        <v>1</v>
      </c>
      <c r="F718">
        <v>5</v>
      </c>
      <c r="G718">
        <v>6</v>
      </c>
      <c r="H718">
        <v>-3</v>
      </c>
      <c r="I718">
        <v>10</v>
      </c>
      <c r="J718">
        <v>42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49</v>
      </c>
      <c r="Q718">
        <v>22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</row>
    <row r="719" spans="1:25" x14ac:dyDescent="0.3">
      <c r="A719" t="s">
        <v>693</v>
      </c>
      <c r="B719" t="s">
        <v>48</v>
      </c>
      <c r="C719" t="s">
        <v>93</v>
      </c>
      <c r="D719">
        <v>16</v>
      </c>
      <c r="E719">
        <v>2</v>
      </c>
      <c r="F719">
        <v>4</v>
      </c>
      <c r="G719">
        <v>6</v>
      </c>
      <c r="H719">
        <v>1</v>
      </c>
      <c r="I719">
        <v>6</v>
      </c>
      <c r="J719">
        <v>33</v>
      </c>
      <c r="K719">
        <v>1</v>
      </c>
      <c r="L719">
        <v>1</v>
      </c>
      <c r="M719">
        <v>1</v>
      </c>
      <c r="N719">
        <v>0</v>
      </c>
      <c r="O719">
        <v>0</v>
      </c>
      <c r="P719">
        <v>30</v>
      </c>
      <c r="Q719">
        <v>24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</row>
    <row r="720" spans="1:25" x14ac:dyDescent="0.3">
      <c r="A720" t="s">
        <v>598</v>
      </c>
      <c r="B720" t="s">
        <v>63</v>
      </c>
      <c r="C720" t="s">
        <v>93</v>
      </c>
      <c r="D720">
        <v>42</v>
      </c>
      <c r="E720">
        <v>2</v>
      </c>
      <c r="F720">
        <v>4</v>
      </c>
      <c r="G720">
        <v>6</v>
      </c>
      <c r="H720">
        <v>-19</v>
      </c>
      <c r="I720">
        <v>29</v>
      </c>
      <c r="J720">
        <v>97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91</v>
      </c>
      <c r="Q720">
        <v>100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</row>
    <row r="721" spans="1:25" x14ac:dyDescent="0.3">
      <c r="A721" t="s">
        <v>455</v>
      </c>
      <c r="B721" t="s">
        <v>95</v>
      </c>
      <c r="C721" t="s">
        <v>42</v>
      </c>
      <c r="D721">
        <v>19</v>
      </c>
      <c r="E721">
        <v>3</v>
      </c>
      <c r="F721">
        <v>3</v>
      </c>
      <c r="G721">
        <v>6</v>
      </c>
      <c r="H721">
        <v>-3</v>
      </c>
      <c r="I721">
        <v>11</v>
      </c>
      <c r="J721">
        <v>24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30</v>
      </c>
      <c r="Q721">
        <v>8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</row>
    <row r="722" spans="1:25" x14ac:dyDescent="0.3">
      <c r="A722" t="s">
        <v>663</v>
      </c>
      <c r="B722" t="s">
        <v>54</v>
      </c>
      <c r="C722" t="s">
        <v>93</v>
      </c>
      <c r="D722">
        <v>40</v>
      </c>
      <c r="E722">
        <v>2</v>
      </c>
      <c r="F722">
        <v>3</v>
      </c>
      <c r="G722">
        <v>5</v>
      </c>
      <c r="H722">
        <v>2</v>
      </c>
      <c r="I722">
        <v>14</v>
      </c>
      <c r="J722">
        <v>33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24</v>
      </c>
      <c r="Q722">
        <v>41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</row>
    <row r="723" spans="1:25" x14ac:dyDescent="0.3">
      <c r="A723" t="s">
        <v>601</v>
      </c>
      <c r="B723" t="s">
        <v>82</v>
      </c>
      <c r="C723" t="s">
        <v>29</v>
      </c>
      <c r="D723">
        <v>42</v>
      </c>
      <c r="E723">
        <v>1</v>
      </c>
      <c r="F723">
        <v>4</v>
      </c>
      <c r="G723">
        <v>5</v>
      </c>
      <c r="H723">
        <v>-10</v>
      </c>
      <c r="I723">
        <v>27</v>
      </c>
      <c r="J723">
        <v>28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62</v>
      </c>
      <c r="Q723">
        <v>24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</row>
    <row r="724" spans="1:25" x14ac:dyDescent="0.3">
      <c r="A724" t="s">
        <v>689</v>
      </c>
      <c r="B724" t="s">
        <v>54</v>
      </c>
      <c r="C724" t="s">
        <v>42</v>
      </c>
      <c r="D724">
        <v>41</v>
      </c>
      <c r="E724">
        <v>3</v>
      </c>
      <c r="F724">
        <v>2</v>
      </c>
      <c r="G724">
        <v>5</v>
      </c>
      <c r="H724">
        <v>-6</v>
      </c>
      <c r="I724">
        <v>29</v>
      </c>
      <c r="J724">
        <v>52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89</v>
      </c>
      <c r="Q724">
        <v>5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</row>
    <row r="725" spans="1:25" x14ac:dyDescent="0.3">
      <c r="A725" t="s">
        <v>793</v>
      </c>
      <c r="B725" t="s">
        <v>28</v>
      </c>
      <c r="C725" t="s">
        <v>29</v>
      </c>
      <c r="D725">
        <v>33</v>
      </c>
      <c r="E725">
        <v>2</v>
      </c>
      <c r="F725">
        <v>3</v>
      </c>
      <c r="G725">
        <v>5</v>
      </c>
      <c r="H725">
        <v>-6</v>
      </c>
      <c r="I725">
        <v>6</v>
      </c>
      <c r="J725">
        <v>23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41</v>
      </c>
      <c r="Q725">
        <v>18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</row>
    <row r="726" spans="1:25" x14ac:dyDescent="0.3">
      <c r="A726" t="s">
        <v>526</v>
      </c>
      <c r="B726" t="s">
        <v>44</v>
      </c>
      <c r="C726" t="s">
        <v>29</v>
      </c>
      <c r="D726">
        <v>32</v>
      </c>
      <c r="E726">
        <v>2</v>
      </c>
      <c r="F726">
        <v>3</v>
      </c>
      <c r="G726">
        <v>5</v>
      </c>
      <c r="H726">
        <v>-6</v>
      </c>
      <c r="I726">
        <v>28</v>
      </c>
      <c r="J726">
        <v>47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103</v>
      </c>
      <c r="Q726">
        <v>17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</row>
    <row r="727" spans="1:25" x14ac:dyDescent="0.3">
      <c r="A727" t="s">
        <v>1077</v>
      </c>
      <c r="B727" t="s">
        <v>100</v>
      </c>
      <c r="C727" t="s">
        <v>29</v>
      </c>
      <c r="D727">
        <v>16</v>
      </c>
      <c r="E727">
        <v>1</v>
      </c>
      <c r="F727">
        <v>4</v>
      </c>
      <c r="G727">
        <v>5</v>
      </c>
      <c r="H727">
        <v>-2</v>
      </c>
      <c r="I727">
        <v>2</v>
      </c>
      <c r="J727">
        <v>18</v>
      </c>
      <c r="K727">
        <v>0</v>
      </c>
      <c r="L727">
        <v>1</v>
      </c>
      <c r="M727">
        <v>1</v>
      </c>
      <c r="N727">
        <v>0</v>
      </c>
      <c r="O727">
        <v>0</v>
      </c>
      <c r="P727">
        <v>2</v>
      </c>
      <c r="Q727">
        <v>4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</row>
    <row r="728" spans="1:25" x14ac:dyDescent="0.3">
      <c r="A728" t="s">
        <v>657</v>
      </c>
      <c r="B728" t="s">
        <v>65</v>
      </c>
      <c r="C728" t="s">
        <v>93</v>
      </c>
      <c r="D728">
        <v>42</v>
      </c>
      <c r="E728">
        <v>1</v>
      </c>
      <c r="F728">
        <v>4</v>
      </c>
      <c r="G728">
        <v>5</v>
      </c>
      <c r="H728">
        <v>-10</v>
      </c>
      <c r="I728">
        <v>6</v>
      </c>
      <c r="J728">
        <v>22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56</v>
      </c>
      <c r="Q728">
        <v>46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</row>
    <row r="729" spans="1:25" x14ac:dyDescent="0.3">
      <c r="A729" t="s">
        <v>880</v>
      </c>
      <c r="B729" t="s">
        <v>44</v>
      </c>
      <c r="C729" t="s">
        <v>42</v>
      </c>
      <c r="D729">
        <v>27</v>
      </c>
      <c r="E729">
        <v>1</v>
      </c>
      <c r="F729">
        <v>4</v>
      </c>
      <c r="G729">
        <v>5</v>
      </c>
      <c r="H729">
        <v>2</v>
      </c>
      <c r="I729">
        <v>15</v>
      </c>
      <c r="J729">
        <v>31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46</v>
      </c>
      <c r="Q729">
        <v>10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</row>
    <row r="730" spans="1:25" x14ac:dyDescent="0.3">
      <c r="A730" t="s">
        <v>1079</v>
      </c>
      <c r="B730" t="s">
        <v>181</v>
      </c>
      <c r="C730" t="s">
        <v>93</v>
      </c>
      <c r="D730">
        <v>25</v>
      </c>
      <c r="E730">
        <v>0</v>
      </c>
      <c r="F730">
        <v>5</v>
      </c>
      <c r="G730">
        <v>5</v>
      </c>
      <c r="H730">
        <v>-12</v>
      </c>
      <c r="I730">
        <v>4</v>
      </c>
      <c r="J730">
        <v>39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18</v>
      </c>
      <c r="Q730">
        <v>35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</row>
    <row r="731" spans="1:25" x14ac:dyDescent="0.3">
      <c r="A731" t="s">
        <v>919</v>
      </c>
      <c r="B731" t="s">
        <v>196</v>
      </c>
      <c r="C731" t="s">
        <v>33</v>
      </c>
      <c r="D731">
        <v>15</v>
      </c>
      <c r="E731">
        <v>2</v>
      </c>
      <c r="F731">
        <v>3</v>
      </c>
      <c r="G731">
        <v>5</v>
      </c>
      <c r="H731">
        <v>-3</v>
      </c>
      <c r="I731">
        <v>18</v>
      </c>
      <c r="J731">
        <v>14</v>
      </c>
      <c r="K731">
        <v>1</v>
      </c>
      <c r="L731">
        <v>0</v>
      </c>
      <c r="M731">
        <v>0</v>
      </c>
      <c r="N731">
        <v>0</v>
      </c>
      <c r="O731">
        <v>0</v>
      </c>
      <c r="P731">
        <v>14</v>
      </c>
      <c r="Q731">
        <v>2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</row>
    <row r="732" spans="1:25" x14ac:dyDescent="0.3">
      <c r="A732" t="s">
        <v>1078</v>
      </c>
      <c r="B732" t="s">
        <v>181</v>
      </c>
      <c r="C732" t="s">
        <v>29</v>
      </c>
      <c r="D732">
        <v>22</v>
      </c>
      <c r="E732">
        <v>2</v>
      </c>
      <c r="F732">
        <v>3</v>
      </c>
      <c r="G732">
        <v>5</v>
      </c>
      <c r="H732">
        <v>-6</v>
      </c>
      <c r="I732">
        <v>12</v>
      </c>
      <c r="J732">
        <v>23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36</v>
      </c>
      <c r="Q732">
        <v>8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</row>
    <row r="733" spans="1:25" x14ac:dyDescent="0.3">
      <c r="A733" t="s">
        <v>729</v>
      </c>
      <c r="B733" t="s">
        <v>122</v>
      </c>
      <c r="C733" t="s">
        <v>93</v>
      </c>
      <c r="D733">
        <v>24</v>
      </c>
      <c r="E733">
        <v>0</v>
      </c>
      <c r="F733">
        <v>5</v>
      </c>
      <c r="G733">
        <v>5</v>
      </c>
      <c r="H733">
        <v>-7</v>
      </c>
      <c r="I733">
        <v>10</v>
      </c>
      <c r="J733">
        <v>44</v>
      </c>
      <c r="K733">
        <v>0</v>
      </c>
      <c r="L733">
        <v>0</v>
      </c>
      <c r="M733">
        <v>1</v>
      </c>
      <c r="N733">
        <v>0</v>
      </c>
      <c r="O733">
        <v>0</v>
      </c>
      <c r="P733">
        <v>23</v>
      </c>
      <c r="Q733">
        <v>23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</row>
    <row r="734" spans="1:25" x14ac:dyDescent="0.3">
      <c r="A734" t="s">
        <v>650</v>
      </c>
      <c r="B734" t="s">
        <v>71</v>
      </c>
      <c r="C734" t="s">
        <v>93</v>
      </c>
      <c r="D734">
        <v>53</v>
      </c>
      <c r="E734">
        <v>1</v>
      </c>
      <c r="F734">
        <v>4</v>
      </c>
      <c r="G734">
        <v>5</v>
      </c>
      <c r="H734">
        <v>-15</v>
      </c>
      <c r="I734">
        <v>12</v>
      </c>
      <c r="J734">
        <v>34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111</v>
      </c>
      <c r="Q734">
        <v>59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</row>
    <row r="735" spans="1:25" x14ac:dyDescent="0.3">
      <c r="A735" t="s">
        <v>695</v>
      </c>
      <c r="B735" t="s">
        <v>37</v>
      </c>
      <c r="C735" t="s">
        <v>29</v>
      </c>
      <c r="D735">
        <v>31</v>
      </c>
      <c r="E735">
        <v>1</v>
      </c>
      <c r="F735">
        <v>4</v>
      </c>
      <c r="G735">
        <v>5</v>
      </c>
      <c r="H735">
        <v>-7</v>
      </c>
      <c r="I735">
        <v>6</v>
      </c>
      <c r="J735">
        <v>42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32</v>
      </c>
      <c r="Q735">
        <v>11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</row>
    <row r="736" spans="1:25" x14ac:dyDescent="0.3">
      <c r="A736" t="s">
        <v>1080</v>
      </c>
      <c r="B736" t="s">
        <v>120</v>
      </c>
      <c r="C736" t="s">
        <v>93</v>
      </c>
      <c r="D736">
        <v>24</v>
      </c>
      <c r="E736">
        <v>1</v>
      </c>
      <c r="F736">
        <v>4</v>
      </c>
      <c r="G736">
        <v>5</v>
      </c>
      <c r="H736">
        <v>-2</v>
      </c>
      <c r="I736">
        <v>10</v>
      </c>
      <c r="J736">
        <v>17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18</v>
      </c>
      <c r="Q736">
        <v>13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</row>
    <row r="737" spans="1:25" x14ac:dyDescent="0.3">
      <c r="A737" t="s">
        <v>1081</v>
      </c>
      <c r="B737" t="s">
        <v>39</v>
      </c>
      <c r="C737" t="s">
        <v>42</v>
      </c>
      <c r="D737">
        <v>17</v>
      </c>
      <c r="E737">
        <v>2</v>
      </c>
      <c r="F737">
        <v>3</v>
      </c>
      <c r="G737">
        <v>5</v>
      </c>
      <c r="H737">
        <v>1</v>
      </c>
      <c r="I737">
        <v>2</v>
      </c>
      <c r="J737">
        <v>23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8</v>
      </c>
      <c r="Q737">
        <v>7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</row>
    <row r="738" spans="1:25" x14ac:dyDescent="0.3">
      <c r="A738" t="s">
        <v>939</v>
      </c>
      <c r="B738" t="s">
        <v>37</v>
      </c>
      <c r="C738" t="s">
        <v>29</v>
      </c>
      <c r="D738">
        <v>24</v>
      </c>
      <c r="E738">
        <v>2</v>
      </c>
      <c r="F738">
        <v>3</v>
      </c>
      <c r="G738">
        <v>5</v>
      </c>
      <c r="H738">
        <v>-2</v>
      </c>
      <c r="I738">
        <v>6</v>
      </c>
      <c r="J738">
        <v>32</v>
      </c>
      <c r="K738">
        <v>1</v>
      </c>
      <c r="L738">
        <v>0</v>
      </c>
      <c r="M738">
        <v>0</v>
      </c>
      <c r="N738">
        <v>0</v>
      </c>
      <c r="O738">
        <v>0</v>
      </c>
      <c r="P738">
        <v>37</v>
      </c>
      <c r="Q738">
        <v>8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</row>
    <row r="739" spans="1:25" x14ac:dyDescent="0.3">
      <c r="A739" t="s">
        <v>1074</v>
      </c>
      <c r="B739" t="s">
        <v>59</v>
      </c>
      <c r="C739" t="s">
        <v>42</v>
      </c>
      <c r="D739">
        <v>16</v>
      </c>
      <c r="E739">
        <v>3</v>
      </c>
      <c r="F739">
        <v>2</v>
      </c>
      <c r="G739">
        <v>5</v>
      </c>
      <c r="H739">
        <v>0</v>
      </c>
      <c r="I739">
        <v>3</v>
      </c>
      <c r="J739">
        <v>24</v>
      </c>
      <c r="K739">
        <v>1</v>
      </c>
      <c r="L739">
        <v>0</v>
      </c>
      <c r="M739">
        <v>0</v>
      </c>
      <c r="N739">
        <v>0</v>
      </c>
      <c r="O739">
        <v>0</v>
      </c>
      <c r="P739">
        <v>31</v>
      </c>
      <c r="Q739">
        <v>8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</row>
    <row r="740" spans="1:25" x14ac:dyDescent="0.3">
      <c r="A740" t="s">
        <v>1082</v>
      </c>
      <c r="B740" t="s">
        <v>73</v>
      </c>
      <c r="C740" t="s">
        <v>29</v>
      </c>
      <c r="D740">
        <v>27</v>
      </c>
      <c r="E740">
        <v>2</v>
      </c>
      <c r="F740">
        <v>3</v>
      </c>
      <c r="G740">
        <v>5</v>
      </c>
      <c r="H740">
        <v>-2</v>
      </c>
      <c r="I740">
        <v>24</v>
      </c>
      <c r="J740">
        <v>22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90</v>
      </c>
      <c r="Q740">
        <v>17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</row>
    <row r="741" spans="1:25" x14ac:dyDescent="0.3">
      <c r="A741" t="s">
        <v>1083</v>
      </c>
      <c r="B741" t="s">
        <v>37</v>
      </c>
      <c r="C741" t="s">
        <v>29</v>
      </c>
      <c r="D741">
        <v>18</v>
      </c>
      <c r="E741">
        <v>3</v>
      </c>
      <c r="F741">
        <v>1</v>
      </c>
      <c r="G741">
        <v>4</v>
      </c>
      <c r="H741">
        <v>-3</v>
      </c>
      <c r="I741">
        <v>12</v>
      </c>
      <c r="J741">
        <v>24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26</v>
      </c>
      <c r="Q741">
        <v>4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</row>
    <row r="742" spans="1:25" x14ac:dyDescent="0.3">
      <c r="A742" t="s">
        <v>1084</v>
      </c>
      <c r="B742" t="s">
        <v>39</v>
      </c>
      <c r="C742" t="s">
        <v>29</v>
      </c>
      <c r="D742">
        <v>11</v>
      </c>
      <c r="E742">
        <v>2</v>
      </c>
      <c r="F742">
        <v>2</v>
      </c>
      <c r="G742">
        <v>4</v>
      </c>
      <c r="H742">
        <v>1</v>
      </c>
      <c r="I742">
        <v>2</v>
      </c>
      <c r="J742">
        <v>13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8</v>
      </c>
      <c r="Q742">
        <v>5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</row>
    <row r="743" spans="1:25" x14ac:dyDescent="0.3">
      <c r="A743" t="s">
        <v>1085</v>
      </c>
      <c r="B743" t="s">
        <v>82</v>
      </c>
      <c r="C743" t="s">
        <v>93</v>
      </c>
      <c r="D743">
        <v>11</v>
      </c>
      <c r="E743">
        <v>1</v>
      </c>
      <c r="F743">
        <v>3</v>
      </c>
      <c r="G743">
        <v>4</v>
      </c>
      <c r="H743">
        <v>2</v>
      </c>
      <c r="I743">
        <v>2</v>
      </c>
      <c r="J743">
        <v>20</v>
      </c>
      <c r="K743">
        <v>0</v>
      </c>
      <c r="L743">
        <v>0</v>
      </c>
      <c r="M743">
        <v>1</v>
      </c>
      <c r="N743">
        <v>0</v>
      </c>
      <c r="O743">
        <v>0</v>
      </c>
      <c r="P743">
        <v>15</v>
      </c>
      <c r="Q743">
        <v>13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</row>
    <row r="744" spans="1:25" x14ac:dyDescent="0.3">
      <c r="A744" t="s">
        <v>642</v>
      </c>
      <c r="B744" t="s">
        <v>196</v>
      </c>
      <c r="C744" t="s">
        <v>29</v>
      </c>
      <c r="D744">
        <v>21</v>
      </c>
      <c r="E744">
        <v>2</v>
      </c>
      <c r="F744">
        <v>2</v>
      </c>
      <c r="G744">
        <v>4</v>
      </c>
      <c r="H744">
        <v>-3</v>
      </c>
      <c r="I744">
        <v>6</v>
      </c>
      <c r="J744">
        <v>26</v>
      </c>
      <c r="K744">
        <v>1</v>
      </c>
      <c r="L744">
        <v>0</v>
      </c>
      <c r="M744">
        <v>0</v>
      </c>
      <c r="N744">
        <v>0</v>
      </c>
      <c r="O744">
        <v>0</v>
      </c>
      <c r="P744">
        <v>19</v>
      </c>
      <c r="Q744">
        <v>6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</row>
    <row r="745" spans="1:25" x14ac:dyDescent="0.3">
      <c r="A745" t="s">
        <v>640</v>
      </c>
      <c r="B745" t="s">
        <v>41</v>
      </c>
      <c r="C745" t="s">
        <v>42</v>
      </c>
      <c r="D745">
        <v>19</v>
      </c>
      <c r="E745">
        <v>1</v>
      </c>
      <c r="F745">
        <v>3</v>
      </c>
      <c r="G745">
        <v>4</v>
      </c>
      <c r="H745">
        <v>3</v>
      </c>
      <c r="I745">
        <v>6</v>
      </c>
      <c r="J745">
        <v>13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19</v>
      </c>
      <c r="Q745">
        <v>5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</row>
    <row r="746" spans="1:25" x14ac:dyDescent="0.3">
      <c r="A746" t="s">
        <v>621</v>
      </c>
      <c r="B746" t="s">
        <v>44</v>
      </c>
      <c r="C746" t="s">
        <v>93</v>
      </c>
      <c r="D746">
        <v>15</v>
      </c>
      <c r="E746">
        <v>1</v>
      </c>
      <c r="F746">
        <v>3</v>
      </c>
      <c r="G746">
        <v>4</v>
      </c>
      <c r="H746">
        <v>-4</v>
      </c>
      <c r="I746">
        <v>2</v>
      </c>
      <c r="J746">
        <v>8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8</v>
      </c>
      <c r="Q746">
        <v>15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</row>
    <row r="747" spans="1:25" x14ac:dyDescent="0.3">
      <c r="A747" t="s">
        <v>279</v>
      </c>
      <c r="B747" t="s">
        <v>46</v>
      </c>
      <c r="C747" t="s">
        <v>93</v>
      </c>
      <c r="D747">
        <v>12</v>
      </c>
      <c r="E747">
        <v>1</v>
      </c>
      <c r="F747">
        <v>3</v>
      </c>
      <c r="G747">
        <v>4</v>
      </c>
      <c r="H747">
        <v>-4</v>
      </c>
      <c r="I747">
        <v>4</v>
      </c>
      <c r="J747">
        <v>14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8</v>
      </c>
      <c r="Q747">
        <v>13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</row>
    <row r="748" spans="1:25" x14ac:dyDescent="0.3">
      <c r="A748" t="s">
        <v>1076</v>
      </c>
      <c r="B748" t="s">
        <v>75</v>
      </c>
      <c r="C748" t="s">
        <v>42</v>
      </c>
      <c r="D748">
        <v>32</v>
      </c>
      <c r="E748">
        <v>2</v>
      </c>
      <c r="F748">
        <v>2</v>
      </c>
      <c r="G748">
        <v>4</v>
      </c>
      <c r="H748">
        <v>-9</v>
      </c>
      <c r="I748">
        <v>20</v>
      </c>
      <c r="J748">
        <v>56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76</v>
      </c>
      <c r="Q748">
        <v>22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</row>
    <row r="749" spans="1:25" x14ac:dyDescent="0.3">
      <c r="A749" t="s">
        <v>817</v>
      </c>
      <c r="B749" t="s">
        <v>44</v>
      </c>
      <c r="C749" t="s">
        <v>93</v>
      </c>
      <c r="D749">
        <v>32</v>
      </c>
      <c r="E749">
        <v>2</v>
      </c>
      <c r="F749">
        <v>2</v>
      </c>
      <c r="G749">
        <v>4</v>
      </c>
      <c r="H749">
        <v>-2</v>
      </c>
      <c r="I749">
        <v>24</v>
      </c>
      <c r="J749">
        <v>34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43</v>
      </c>
      <c r="Q749">
        <v>43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</row>
    <row r="750" spans="1:25" x14ac:dyDescent="0.3">
      <c r="A750" t="s">
        <v>1090</v>
      </c>
      <c r="B750" t="s">
        <v>95</v>
      </c>
      <c r="C750" t="s">
        <v>29</v>
      </c>
      <c r="D750">
        <v>25</v>
      </c>
      <c r="E750">
        <v>0</v>
      </c>
      <c r="F750">
        <v>4</v>
      </c>
      <c r="G750">
        <v>4</v>
      </c>
      <c r="H750">
        <v>-5</v>
      </c>
      <c r="I750">
        <v>0</v>
      </c>
      <c r="J750">
        <v>30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25</v>
      </c>
      <c r="Q750">
        <v>13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</row>
    <row r="751" spans="1:25" x14ac:dyDescent="0.3">
      <c r="A751" t="s">
        <v>741</v>
      </c>
      <c r="B751" t="s">
        <v>100</v>
      </c>
      <c r="C751" t="s">
        <v>33</v>
      </c>
      <c r="D751">
        <v>18</v>
      </c>
      <c r="E751">
        <v>1</v>
      </c>
      <c r="F751">
        <v>3</v>
      </c>
      <c r="G751">
        <v>4</v>
      </c>
      <c r="H751">
        <v>3</v>
      </c>
      <c r="I751">
        <v>2</v>
      </c>
      <c r="J751">
        <v>21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28</v>
      </c>
      <c r="Q751">
        <v>6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</row>
    <row r="752" spans="1:25" x14ac:dyDescent="0.3">
      <c r="A752" t="s">
        <v>762</v>
      </c>
      <c r="B752" t="s">
        <v>63</v>
      </c>
      <c r="C752" t="s">
        <v>29</v>
      </c>
      <c r="D752">
        <v>18</v>
      </c>
      <c r="E752">
        <v>1</v>
      </c>
      <c r="F752">
        <v>3</v>
      </c>
      <c r="G752">
        <v>4</v>
      </c>
      <c r="H752">
        <v>-9</v>
      </c>
      <c r="I752">
        <v>18</v>
      </c>
      <c r="J752">
        <v>55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33</v>
      </c>
      <c r="Q752">
        <v>6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</row>
    <row r="753" spans="1:25" x14ac:dyDescent="0.3">
      <c r="A753" t="s">
        <v>572</v>
      </c>
      <c r="B753" t="s">
        <v>82</v>
      </c>
      <c r="C753" t="s">
        <v>29</v>
      </c>
      <c r="D753">
        <v>18</v>
      </c>
      <c r="E753">
        <v>2</v>
      </c>
      <c r="F753">
        <v>2</v>
      </c>
      <c r="G753">
        <v>4</v>
      </c>
      <c r="H753">
        <v>-5</v>
      </c>
      <c r="I753">
        <v>6</v>
      </c>
      <c r="J753">
        <v>18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30</v>
      </c>
      <c r="Q753">
        <v>9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</row>
    <row r="754" spans="1:25" x14ac:dyDescent="0.3">
      <c r="A754" t="s">
        <v>913</v>
      </c>
      <c r="B754" t="s">
        <v>181</v>
      </c>
      <c r="C754" t="s">
        <v>93</v>
      </c>
      <c r="D754">
        <v>21</v>
      </c>
      <c r="E754">
        <v>0</v>
      </c>
      <c r="F754">
        <v>4</v>
      </c>
      <c r="G754">
        <v>4</v>
      </c>
      <c r="H754">
        <v>-3</v>
      </c>
      <c r="I754">
        <v>6</v>
      </c>
      <c r="J754">
        <v>21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19</v>
      </c>
      <c r="Q754">
        <v>16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</row>
    <row r="755" spans="1:25" x14ac:dyDescent="0.3">
      <c r="A755" t="s">
        <v>1086</v>
      </c>
      <c r="B755" t="s">
        <v>28</v>
      </c>
      <c r="C755" t="s">
        <v>33</v>
      </c>
      <c r="D755">
        <v>34</v>
      </c>
      <c r="E755">
        <v>1</v>
      </c>
      <c r="F755">
        <v>3</v>
      </c>
      <c r="G755">
        <v>4</v>
      </c>
      <c r="H755">
        <v>-4</v>
      </c>
      <c r="I755">
        <v>18</v>
      </c>
      <c r="J755">
        <v>24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50</v>
      </c>
      <c r="Q755">
        <v>5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</row>
    <row r="756" spans="1:25" x14ac:dyDescent="0.3">
      <c r="A756" t="s">
        <v>711</v>
      </c>
      <c r="B756" t="s">
        <v>84</v>
      </c>
      <c r="C756" t="s">
        <v>33</v>
      </c>
      <c r="D756">
        <v>28</v>
      </c>
      <c r="E756">
        <v>2</v>
      </c>
      <c r="F756">
        <v>2</v>
      </c>
      <c r="G756">
        <v>4</v>
      </c>
      <c r="H756">
        <v>-4</v>
      </c>
      <c r="I756">
        <v>59</v>
      </c>
      <c r="J756">
        <v>30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54</v>
      </c>
      <c r="Q756">
        <v>11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</row>
    <row r="757" spans="1:25" x14ac:dyDescent="0.3">
      <c r="A757" t="s">
        <v>1087</v>
      </c>
      <c r="B757" t="s">
        <v>39</v>
      </c>
      <c r="C757" t="s">
        <v>29</v>
      </c>
      <c r="D757">
        <v>19</v>
      </c>
      <c r="E757">
        <v>2</v>
      </c>
      <c r="F757">
        <v>2</v>
      </c>
      <c r="G757">
        <v>4</v>
      </c>
      <c r="H757">
        <v>-5</v>
      </c>
      <c r="I757">
        <v>8</v>
      </c>
      <c r="J757">
        <v>16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10</v>
      </c>
      <c r="Q757">
        <v>7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</row>
    <row r="758" spans="1:25" x14ac:dyDescent="0.3">
      <c r="A758" t="s">
        <v>1088</v>
      </c>
      <c r="B758" t="s">
        <v>140</v>
      </c>
      <c r="C758" t="s">
        <v>29</v>
      </c>
      <c r="D758">
        <v>8</v>
      </c>
      <c r="E758">
        <v>1</v>
      </c>
      <c r="F758">
        <v>3</v>
      </c>
      <c r="G758">
        <v>4</v>
      </c>
      <c r="H758">
        <v>-4</v>
      </c>
      <c r="I758">
        <v>2</v>
      </c>
      <c r="J758">
        <v>13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2</v>
      </c>
      <c r="Q758">
        <v>4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</row>
    <row r="759" spans="1:25" x14ac:dyDescent="0.3">
      <c r="A759" t="s">
        <v>573</v>
      </c>
      <c r="B759" t="s">
        <v>71</v>
      </c>
      <c r="C759" t="s">
        <v>93</v>
      </c>
      <c r="D759">
        <v>28</v>
      </c>
      <c r="E759">
        <v>0</v>
      </c>
      <c r="F759">
        <v>4</v>
      </c>
      <c r="G759">
        <v>4</v>
      </c>
      <c r="H759">
        <v>-7</v>
      </c>
      <c r="I759">
        <v>4</v>
      </c>
      <c r="J759">
        <v>24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31</v>
      </c>
      <c r="Q759">
        <v>19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</row>
    <row r="760" spans="1:25" x14ac:dyDescent="0.3">
      <c r="A760" t="s">
        <v>784</v>
      </c>
      <c r="B760" t="s">
        <v>95</v>
      </c>
      <c r="C760" t="s">
        <v>33</v>
      </c>
      <c r="D760">
        <v>25</v>
      </c>
      <c r="E760">
        <v>0</v>
      </c>
      <c r="F760">
        <v>4</v>
      </c>
      <c r="G760">
        <v>4</v>
      </c>
      <c r="H760">
        <v>-4</v>
      </c>
      <c r="I760">
        <v>40</v>
      </c>
      <c r="J760">
        <v>12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71</v>
      </c>
      <c r="Q760">
        <v>12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</row>
    <row r="761" spans="1:25" x14ac:dyDescent="0.3">
      <c r="A761" t="s">
        <v>771</v>
      </c>
      <c r="B761" t="s">
        <v>41</v>
      </c>
      <c r="C761" t="s">
        <v>93</v>
      </c>
      <c r="D761">
        <v>28</v>
      </c>
      <c r="E761">
        <v>1</v>
      </c>
      <c r="F761">
        <v>3</v>
      </c>
      <c r="G761">
        <v>4</v>
      </c>
      <c r="H761">
        <v>-2</v>
      </c>
      <c r="I761">
        <v>48</v>
      </c>
      <c r="J761">
        <v>24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56</v>
      </c>
      <c r="Q761">
        <v>17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</row>
    <row r="762" spans="1:25" x14ac:dyDescent="0.3">
      <c r="A762" t="s">
        <v>785</v>
      </c>
      <c r="B762" t="s">
        <v>84</v>
      </c>
      <c r="C762" t="s">
        <v>93</v>
      </c>
      <c r="D762">
        <v>22</v>
      </c>
      <c r="E762">
        <v>1</v>
      </c>
      <c r="F762">
        <v>3</v>
      </c>
      <c r="G762">
        <v>4</v>
      </c>
      <c r="H762">
        <v>-2</v>
      </c>
      <c r="I762">
        <v>5</v>
      </c>
      <c r="J762">
        <v>38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21</v>
      </c>
      <c r="Q762">
        <v>25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</row>
    <row r="763" spans="1:25" x14ac:dyDescent="0.3">
      <c r="A763" t="s">
        <v>1091</v>
      </c>
      <c r="B763" t="s">
        <v>54</v>
      </c>
      <c r="C763" t="s">
        <v>33</v>
      </c>
      <c r="D763">
        <v>26</v>
      </c>
      <c r="E763">
        <v>3</v>
      </c>
      <c r="F763">
        <v>1</v>
      </c>
      <c r="G763">
        <v>4</v>
      </c>
      <c r="H763">
        <v>-5</v>
      </c>
      <c r="I763">
        <v>7</v>
      </c>
      <c r="J763">
        <v>27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28</v>
      </c>
      <c r="Q763">
        <v>5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</row>
    <row r="764" spans="1:25" x14ac:dyDescent="0.3">
      <c r="A764" t="s">
        <v>562</v>
      </c>
      <c r="B764" t="s">
        <v>32</v>
      </c>
      <c r="C764" t="s">
        <v>29</v>
      </c>
      <c r="D764">
        <v>13</v>
      </c>
      <c r="E764">
        <v>1</v>
      </c>
      <c r="F764">
        <v>3</v>
      </c>
      <c r="G764">
        <v>4</v>
      </c>
      <c r="H764">
        <v>-4</v>
      </c>
      <c r="I764">
        <v>2</v>
      </c>
      <c r="J764">
        <v>15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14</v>
      </c>
      <c r="Q764">
        <v>3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</row>
    <row r="765" spans="1:25" x14ac:dyDescent="0.3">
      <c r="A765" t="s">
        <v>698</v>
      </c>
      <c r="B765" t="s">
        <v>39</v>
      </c>
      <c r="C765" t="s">
        <v>93</v>
      </c>
      <c r="D765">
        <v>12</v>
      </c>
      <c r="E765">
        <v>1</v>
      </c>
      <c r="F765">
        <v>3</v>
      </c>
      <c r="G765">
        <v>4</v>
      </c>
      <c r="H765">
        <v>2</v>
      </c>
      <c r="I765">
        <v>3</v>
      </c>
      <c r="J765">
        <v>8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9</v>
      </c>
      <c r="Q765">
        <v>11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</row>
    <row r="766" spans="1:25" x14ac:dyDescent="0.3">
      <c r="A766" t="s">
        <v>612</v>
      </c>
      <c r="B766" t="s">
        <v>37</v>
      </c>
      <c r="C766" t="s">
        <v>93</v>
      </c>
      <c r="D766">
        <v>16</v>
      </c>
      <c r="E766">
        <v>0</v>
      </c>
      <c r="F766">
        <v>4</v>
      </c>
      <c r="G766">
        <v>4</v>
      </c>
      <c r="H766">
        <v>1</v>
      </c>
      <c r="I766">
        <v>6</v>
      </c>
      <c r="J766">
        <v>18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32</v>
      </c>
      <c r="Q766">
        <v>15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</row>
    <row r="767" spans="1:25" x14ac:dyDescent="0.3">
      <c r="A767" t="s">
        <v>850</v>
      </c>
      <c r="B767" t="s">
        <v>120</v>
      </c>
      <c r="C767" t="s">
        <v>93</v>
      </c>
      <c r="D767">
        <v>23</v>
      </c>
      <c r="E767">
        <v>0</v>
      </c>
      <c r="F767">
        <v>4</v>
      </c>
      <c r="G767">
        <v>4</v>
      </c>
      <c r="H767">
        <v>-13</v>
      </c>
      <c r="I767">
        <v>14</v>
      </c>
      <c r="J767">
        <v>27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32</v>
      </c>
      <c r="Q767">
        <v>28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</row>
    <row r="768" spans="1:25" x14ac:dyDescent="0.3">
      <c r="A768" t="s">
        <v>876</v>
      </c>
      <c r="B768" t="s">
        <v>73</v>
      </c>
      <c r="C768" t="s">
        <v>42</v>
      </c>
      <c r="D768">
        <v>23</v>
      </c>
      <c r="E768">
        <v>0</v>
      </c>
      <c r="F768">
        <v>4</v>
      </c>
      <c r="G768">
        <v>4</v>
      </c>
      <c r="H768">
        <v>-8</v>
      </c>
      <c r="I768">
        <v>31</v>
      </c>
      <c r="J768">
        <v>17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53</v>
      </c>
      <c r="Q768">
        <v>10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</row>
    <row r="769" spans="1:25" x14ac:dyDescent="0.3">
      <c r="A769" t="s">
        <v>856</v>
      </c>
      <c r="B769" t="s">
        <v>28</v>
      </c>
      <c r="C769" t="s">
        <v>93</v>
      </c>
      <c r="D769">
        <v>22</v>
      </c>
      <c r="E769">
        <v>0</v>
      </c>
      <c r="F769">
        <v>4</v>
      </c>
      <c r="G769">
        <v>4</v>
      </c>
      <c r="H769">
        <v>2</v>
      </c>
      <c r="I769">
        <v>26</v>
      </c>
      <c r="J769">
        <v>32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24</v>
      </c>
      <c r="Q769">
        <v>26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</row>
    <row r="770" spans="1:25" x14ac:dyDescent="0.3">
      <c r="A770" t="s">
        <v>624</v>
      </c>
      <c r="B770" t="s">
        <v>100</v>
      </c>
      <c r="C770" t="s">
        <v>29</v>
      </c>
      <c r="D770">
        <v>15</v>
      </c>
      <c r="E770">
        <v>2</v>
      </c>
      <c r="F770">
        <v>2</v>
      </c>
      <c r="G770">
        <v>4</v>
      </c>
      <c r="H770">
        <v>1</v>
      </c>
      <c r="I770">
        <v>4</v>
      </c>
      <c r="J770">
        <v>13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6</v>
      </c>
      <c r="Q770">
        <v>7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</row>
    <row r="771" spans="1:25" x14ac:dyDescent="0.3">
      <c r="A771" t="s">
        <v>728</v>
      </c>
      <c r="B771" t="s">
        <v>122</v>
      </c>
      <c r="C771" t="s">
        <v>93</v>
      </c>
      <c r="D771">
        <v>26</v>
      </c>
      <c r="E771">
        <v>0</v>
      </c>
      <c r="F771">
        <v>4</v>
      </c>
      <c r="G771">
        <v>4</v>
      </c>
      <c r="H771">
        <v>-4</v>
      </c>
      <c r="I771">
        <v>26</v>
      </c>
      <c r="J771">
        <v>28</v>
      </c>
      <c r="K771">
        <v>0</v>
      </c>
      <c r="L771">
        <v>0</v>
      </c>
      <c r="M771">
        <v>0</v>
      </c>
      <c r="N771">
        <v>0</v>
      </c>
      <c r="O771">
        <v>1</v>
      </c>
      <c r="P771">
        <v>28</v>
      </c>
      <c r="Q771">
        <v>25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</row>
    <row r="772" spans="1:25" x14ac:dyDescent="0.3">
      <c r="A772" t="s">
        <v>656</v>
      </c>
      <c r="B772" t="s">
        <v>75</v>
      </c>
      <c r="C772" t="s">
        <v>93</v>
      </c>
      <c r="D772">
        <v>51</v>
      </c>
      <c r="E772">
        <v>0</v>
      </c>
      <c r="F772">
        <v>4</v>
      </c>
      <c r="G772">
        <v>4</v>
      </c>
      <c r="H772">
        <v>-2</v>
      </c>
      <c r="I772">
        <v>34</v>
      </c>
      <c r="J772">
        <v>35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97</v>
      </c>
      <c r="Q772">
        <v>70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</row>
    <row r="773" spans="1:25" x14ac:dyDescent="0.3">
      <c r="A773" t="s">
        <v>660</v>
      </c>
      <c r="B773" t="s">
        <v>54</v>
      </c>
      <c r="C773" t="s">
        <v>29</v>
      </c>
      <c r="D773">
        <v>38</v>
      </c>
      <c r="E773">
        <v>1</v>
      </c>
      <c r="F773">
        <v>3</v>
      </c>
      <c r="G773">
        <v>4</v>
      </c>
      <c r="H773">
        <v>-16</v>
      </c>
      <c r="I773">
        <v>26</v>
      </c>
      <c r="J773">
        <v>28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52</v>
      </c>
      <c r="Q773">
        <v>18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</row>
    <row r="774" spans="1:25" x14ac:dyDescent="0.3">
      <c r="A774" t="s">
        <v>768</v>
      </c>
      <c r="B774" t="s">
        <v>54</v>
      </c>
      <c r="C774" t="s">
        <v>93</v>
      </c>
      <c r="D774">
        <v>13</v>
      </c>
      <c r="E774">
        <v>1</v>
      </c>
      <c r="F774">
        <v>2</v>
      </c>
      <c r="G774">
        <v>3</v>
      </c>
      <c r="H774">
        <v>0</v>
      </c>
      <c r="I774">
        <v>10</v>
      </c>
      <c r="J774">
        <v>17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21</v>
      </c>
      <c r="Q774">
        <v>12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</row>
    <row r="775" spans="1:25" x14ac:dyDescent="0.3">
      <c r="A775" t="s">
        <v>91</v>
      </c>
      <c r="B775" t="s">
        <v>39</v>
      </c>
      <c r="C775" t="s">
        <v>29</v>
      </c>
      <c r="D775">
        <v>4</v>
      </c>
      <c r="E775">
        <v>1</v>
      </c>
      <c r="F775">
        <v>2</v>
      </c>
      <c r="G775">
        <v>3</v>
      </c>
      <c r="H775">
        <v>0</v>
      </c>
      <c r="I775">
        <v>2</v>
      </c>
      <c r="J775">
        <v>6</v>
      </c>
      <c r="K775">
        <v>0</v>
      </c>
      <c r="L775">
        <v>0</v>
      </c>
      <c r="M775">
        <v>1</v>
      </c>
      <c r="N775">
        <v>0</v>
      </c>
      <c r="O775">
        <v>0</v>
      </c>
      <c r="P775">
        <v>2</v>
      </c>
      <c r="Q775">
        <v>2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</row>
    <row r="776" spans="1:25" x14ac:dyDescent="0.3">
      <c r="A776" t="s">
        <v>577</v>
      </c>
      <c r="B776" t="s">
        <v>54</v>
      </c>
      <c r="C776" t="s">
        <v>33</v>
      </c>
      <c r="D776">
        <v>13</v>
      </c>
      <c r="E776">
        <v>0</v>
      </c>
      <c r="F776">
        <v>3</v>
      </c>
      <c r="G776">
        <v>3</v>
      </c>
      <c r="H776">
        <v>2</v>
      </c>
      <c r="I776">
        <v>6</v>
      </c>
      <c r="J776">
        <v>11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32</v>
      </c>
      <c r="Q776">
        <v>5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</row>
    <row r="777" spans="1:25" x14ac:dyDescent="0.3">
      <c r="A777" t="s">
        <v>1092</v>
      </c>
      <c r="B777" t="s">
        <v>54</v>
      </c>
      <c r="C777" t="s">
        <v>42</v>
      </c>
      <c r="D777">
        <v>19</v>
      </c>
      <c r="E777">
        <v>1</v>
      </c>
      <c r="F777">
        <v>2</v>
      </c>
      <c r="G777">
        <v>3</v>
      </c>
      <c r="H777">
        <v>-3</v>
      </c>
      <c r="I777">
        <v>2</v>
      </c>
      <c r="J777">
        <v>17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13</v>
      </c>
      <c r="Q777">
        <v>6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</row>
    <row r="778" spans="1:25" x14ac:dyDescent="0.3">
      <c r="A778" t="s">
        <v>1093</v>
      </c>
      <c r="B778" t="s">
        <v>54</v>
      </c>
      <c r="C778" t="s">
        <v>93</v>
      </c>
      <c r="D778">
        <v>9</v>
      </c>
      <c r="E778">
        <v>0</v>
      </c>
      <c r="F778">
        <v>3</v>
      </c>
      <c r="G778">
        <v>3</v>
      </c>
      <c r="H778">
        <v>5</v>
      </c>
      <c r="I778">
        <v>3</v>
      </c>
      <c r="J778">
        <v>7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9</v>
      </c>
      <c r="Q778">
        <v>12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</row>
    <row r="779" spans="1:25" x14ac:dyDescent="0.3">
      <c r="A779" t="s">
        <v>851</v>
      </c>
      <c r="B779" t="s">
        <v>63</v>
      </c>
      <c r="C779" t="s">
        <v>10</v>
      </c>
      <c r="D779">
        <v>51</v>
      </c>
      <c r="E779">
        <v>0</v>
      </c>
      <c r="F779">
        <v>3</v>
      </c>
      <c r="G779">
        <v>3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0</v>
      </c>
      <c r="O779">
        <v>0</v>
      </c>
      <c r="P779">
        <v>0</v>
      </c>
      <c r="Q779">
        <v>0</v>
      </c>
      <c r="R779">
        <v>32</v>
      </c>
      <c r="S779">
        <v>15</v>
      </c>
      <c r="T779">
        <v>3</v>
      </c>
      <c r="U779">
        <v>119</v>
      </c>
      <c r="V779">
        <v>1421</v>
      </c>
      <c r="W779">
        <v>1302</v>
      </c>
      <c r="X779">
        <v>0.91600000000000004</v>
      </c>
      <c r="Y779">
        <v>3</v>
      </c>
    </row>
    <row r="780" spans="1:25" x14ac:dyDescent="0.3">
      <c r="A780" t="s">
        <v>781</v>
      </c>
      <c r="B780" t="s">
        <v>41</v>
      </c>
      <c r="C780" t="s">
        <v>33</v>
      </c>
      <c r="D780">
        <v>23</v>
      </c>
      <c r="E780">
        <v>0</v>
      </c>
      <c r="F780">
        <v>3</v>
      </c>
      <c r="G780">
        <v>3</v>
      </c>
      <c r="H780">
        <v>-4</v>
      </c>
      <c r="I780">
        <v>7</v>
      </c>
      <c r="J780">
        <v>30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31</v>
      </c>
      <c r="Q780">
        <v>12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</row>
    <row r="781" spans="1:25" x14ac:dyDescent="0.3">
      <c r="A781" t="s">
        <v>879</v>
      </c>
      <c r="B781" t="s">
        <v>132</v>
      </c>
      <c r="C781" t="s">
        <v>29</v>
      </c>
      <c r="D781">
        <v>15</v>
      </c>
      <c r="E781">
        <v>1</v>
      </c>
      <c r="F781">
        <v>2</v>
      </c>
      <c r="G781">
        <v>3</v>
      </c>
      <c r="H781">
        <v>-7</v>
      </c>
      <c r="I781">
        <v>4</v>
      </c>
      <c r="J781">
        <v>17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34</v>
      </c>
      <c r="Q781">
        <v>12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</row>
    <row r="782" spans="1:25" x14ac:dyDescent="0.3">
      <c r="A782" t="s">
        <v>692</v>
      </c>
      <c r="B782" t="s">
        <v>79</v>
      </c>
      <c r="C782" t="s">
        <v>29</v>
      </c>
      <c r="D782">
        <v>19</v>
      </c>
      <c r="E782">
        <v>1</v>
      </c>
      <c r="F782">
        <v>2</v>
      </c>
      <c r="G782">
        <v>3</v>
      </c>
      <c r="H782">
        <v>-2</v>
      </c>
      <c r="I782">
        <v>4</v>
      </c>
      <c r="J782">
        <v>18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12</v>
      </c>
      <c r="Q782">
        <v>7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</row>
    <row r="783" spans="1:25" x14ac:dyDescent="0.3">
      <c r="A783" t="s">
        <v>721</v>
      </c>
      <c r="B783" t="s">
        <v>46</v>
      </c>
      <c r="C783" t="s">
        <v>10</v>
      </c>
      <c r="D783">
        <v>61</v>
      </c>
      <c r="E783">
        <v>0</v>
      </c>
      <c r="F783">
        <v>3</v>
      </c>
      <c r="G783">
        <v>3</v>
      </c>
      <c r="H783">
        <v>0</v>
      </c>
      <c r="I783">
        <v>7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33</v>
      </c>
      <c r="S783">
        <v>19</v>
      </c>
      <c r="T783">
        <v>7</v>
      </c>
      <c r="U783">
        <v>146</v>
      </c>
      <c r="V783">
        <v>1635</v>
      </c>
      <c r="W783">
        <v>1489</v>
      </c>
      <c r="X783">
        <v>0.91100000000000003</v>
      </c>
      <c r="Y783">
        <v>3</v>
      </c>
    </row>
    <row r="784" spans="1:25" x14ac:dyDescent="0.3">
      <c r="A784" t="s">
        <v>782</v>
      </c>
      <c r="B784" t="s">
        <v>87</v>
      </c>
      <c r="C784" t="s">
        <v>29</v>
      </c>
      <c r="D784">
        <v>29</v>
      </c>
      <c r="E784">
        <v>1</v>
      </c>
      <c r="F784">
        <v>2</v>
      </c>
      <c r="G784">
        <v>3</v>
      </c>
      <c r="H784">
        <v>-3</v>
      </c>
      <c r="I784">
        <v>8</v>
      </c>
      <c r="J784">
        <v>36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13</v>
      </c>
      <c r="Q784">
        <v>3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</row>
    <row r="785" spans="1:25" x14ac:dyDescent="0.3">
      <c r="A785" t="s">
        <v>723</v>
      </c>
      <c r="B785" t="s">
        <v>181</v>
      </c>
      <c r="C785" t="s">
        <v>29</v>
      </c>
      <c r="D785">
        <v>36</v>
      </c>
      <c r="E785">
        <v>1</v>
      </c>
      <c r="F785">
        <v>2</v>
      </c>
      <c r="G785">
        <v>3</v>
      </c>
      <c r="H785">
        <v>1</v>
      </c>
      <c r="I785">
        <v>91</v>
      </c>
      <c r="J785">
        <v>31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128</v>
      </c>
      <c r="Q785">
        <v>9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</row>
    <row r="786" spans="1:25" x14ac:dyDescent="0.3">
      <c r="A786" t="s">
        <v>658</v>
      </c>
      <c r="B786" t="s">
        <v>59</v>
      </c>
      <c r="C786" t="s">
        <v>93</v>
      </c>
      <c r="D786">
        <v>23</v>
      </c>
      <c r="E786">
        <v>0</v>
      </c>
      <c r="F786">
        <v>3</v>
      </c>
      <c r="G786">
        <v>3</v>
      </c>
      <c r="H786">
        <v>-9</v>
      </c>
      <c r="I786">
        <v>27</v>
      </c>
      <c r="J786">
        <v>18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41</v>
      </c>
      <c r="Q786">
        <v>24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</row>
    <row r="787" spans="1:25" x14ac:dyDescent="0.3">
      <c r="A787" t="s">
        <v>786</v>
      </c>
      <c r="B787" t="s">
        <v>46</v>
      </c>
      <c r="C787" t="s">
        <v>93</v>
      </c>
      <c r="D787">
        <v>18</v>
      </c>
      <c r="E787">
        <v>1</v>
      </c>
      <c r="F787">
        <v>2</v>
      </c>
      <c r="G787">
        <v>3</v>
      </c>
      <c r="H787">
        <v>1</v>
      </c>
      <c r="I787">
        <v>15</v>
      </c>
      <c r="J787">
        <v>17</v>
      </c>
      <c r="K787">
        <v>1</v>
      </c>
      <c r="L787">
        <v>0</v>
      </c>
      <c r="M787">
        <v>0</v>
      </c>
      <c r="N787">
        <v>0</v>
      </c>
      <c r="O787">
        <v>0</v>
      </c>
      <c r="P787">
        <v>19</v>
      </c>
      <c r="Q787">
        <v>17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</row>
    <row r="788" spans="1:25" x14ac:dyDescent="0.3">
      <c r="A788" t="s">
        <v>697</v>
      </c>
      <c r="B788" t="s">
        <v>120</v>
      </c>
      <c r="C788" t="s">
        <v>29</v>
      </c>
      <c r="D788">
        <v>15</v>
      </c>
      <c r="E788">
        <v>0</v>
      </c>
      <c r="F788">
        <v>3</v>
      </c>
      <c r="G788">
        <v>3</v>
      </c>
      <c r="H788">
        <v>-5</v>
      </c>
      <c r="I788">
        <v>4</v>
      </c>
      <c r="J788">
        <v>12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14</v>
      </c>
      <c r="Q788">
        <v>5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</row>
    <row r="789" spans="1:25" x14ac:dyDescent="0.3">
      <c r="A789" t="s">
        <v>925</v>
      </c>
      <c r="B789" t="s">
        <v>52</v>
      </c>
      <c r="C789" t="s">
        <v>93</v>
      </c>
      <c r="D789">
        <v>14</v>
      </c>
      <c r="E789">
        <v>1</v>
      </c>
      <c r="F789">
        <v>2</v>
      </c>
      <c r="G789">
        <v>3</v>
      </c>
      <c r="H789">
        <v>-4</v>
      </c>
      <c r="I789">
        <v>12</v>
      </c>
      <c r="J789">
        <v>13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13</v>
      </c>
      <c r="Q789">
        <v>14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</row>
    <row r="790" spans="1:25" x14ac:dyDescent="0.3">
      <c r="A790" t="s">
        <v>924</v>
      </c>
      <c r="B790" t="s">
        <v>37</v>
      </c>
      <c r="C790" t="s">
        <v>33</v>
      </c>
      <c r="D790">
        <v>16</v>
      </c>
      <c r="E790">
        <v>1</v>
      </c>
      <c r="F790">
        <v>2</v>
      </c>
      <c r="G790">
        <v>3</v>
      </c>
      <c r="H790">
        <v>1</v>
      </c>
      <c r="I790">
        <v>12</v>
      </c>
      <c r="J790">
        <v>23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35</v>
      </c>
      <c r="Q790">
        <v>4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</row>
    <row r="791" spans="1:25" x14ac:dyDescent="0.3">
      <c r="A791" t="s">
        <v>1095</v>
      </c>
      <c r="B791" t="s">
        <v>196</v>
      </c>
      <c r="C791" t="s">
        <v>93</v>
      </c>
      <c r="D791">
        <v>17</v>
      </c>
      <c r="E791">
        <v>0</v>
      </c>
      <c r="F791">
        <v>3</v>
      </c>
      <c r="G791">
        <v>3</v>
      </c>
      <c r="H791">
        <v>-8</v>
      </c>
      <c r="I791">
        <v>20</v>
      </c>
      <c r="J791">
        <v>19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41</v>
      </c>
      <c r="Q791">
        <v>19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</row>
    <row r="792" spans="1:25" x14ac:dyDescent="0.3">
      <c r="A792" t="s">
        <v>712</v>
      </c>
      <c r="B792" t="s">
        <v>122</v>
      </c>
      <c r="C792" t="s">
        <v>93</v>
      </c>
      <c r="D792">
        <v>14</v>
      </c>
      <c r="E792">
        <v>1</v>
      </c>
      <c r="F792">
        <v>2</v>
      </c>
      <c r="G792">
        <v>3</v>
      </c>
      <c r="H792">
        <v>-11</v>
      </c>
      <c r="I792">
        <v>10</v>
      </c>
      <c r="J792">
        <v>32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22</v>
      </c>
      <c r="Q792">
        <v>19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</row>
    <row r="793" spans="1:25" x14ac:dyDescent="0.3">
      <c r="A793" t="s">
        <v>797</v>
      </c>
      <c r="B793" t="s">
        <v>79</v>
      </c>
      <c r="C793" t="s">
        <v>42</v>
      </c>
      <c r="D793">
        <v>24</v>
      </c>
      <c r="E793">
        <v>1</v>
      </c>
      <c r="F793">
        <v>2</v>
      </c>
      <c r="G793">
        <v>3</v>
      </c>
      <c r="H793">
        <v>-7</v>
      </c>
      <c r="I793">
        <v>16</v>
      </c>
      <c r="J793">
        <v>26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90</v>
      </c>
      <c r="Q793">
        <v>18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</row>
    <row r="794" spans="1:25" x14ac:dyDescent="0.3">
      <c r="A794" t="s">
        <v>700</v>
      </c>
      <c r="B794" t="s">
        <v>95</v>
      </c>
      <c r="C794" t="s">
        <v>93</v>
      </c>
      <c r="D794">
        <v>15</v>
      </c>
      <c r="E794">
        <v>0</v>
      </c>
      <c r="F794">
        <v>3</v>
      </c>
      <c r="G794">
        <v>3</v>
      </c>
      <c r="H794">
        <v>-5</v>
      </c>
      <c r="I794">
        <v>4</v>
      </c>
      <c r="J794">
        <v>15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7</v>
      </c>
      <c r="Q794">
        <v>17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</row>
    <row r="795" spans="1:25" x14ac:dyDescent="0.3">
      <c r="A795" t="s">
        <v>1094</v>
      </c>
      <c r="B795" t="s">
        <v>98</v>
      </c>
      <c r="C795" t="s">
        <v>42</v>
      </c>
      <c r="D795">
        <v>15</v>
      </c>
      <c r="E795">
        <v>1</v>
      </c>
      <c r="F795">
        <v>2</v>
      </c>
      <c r="G795">
        <v>3</v>
      </c>
      <c r="H795">
        <v>0</v>
      </c>
      <c r="I795">
        <v>6</v>
      </c>
      <c r="J795">
        <v>42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6</v>
      </c>
      <c r="Q795">
        <v>5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</row>
    <row r="796" spans="1:25" x14ac:dyDescent="0.3">
      <c r="A796" t="s">
        <v>914</v>
      </c>
      <c r="B796" t="s">
        <v>140</v>
      </c>
      <c r="C796" t="s">
        <v>42</v>
      </c>
      <c r="D796">
        <v>7</v>
      </c>
      <c r="E796">
        <v>1</v>
      </c>
      <c r="F796">
        <v>2</v>
      </c>
      <c r="G796">
        <v>3</v>
      </c>
      <c r="H796">
        <v>-1</v>
      </c>
      <c r="I796">
        <v>4</v>
      </c>
      <c r="J796">
        <v>9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5</v>
      </c>
      <c r="Q796">
        <v>3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</row>
    <row r="797" spans="1:25" x14ac:dyDescent="0.3">
      <c r="A797" t="s">
        <v>918</v>
      </c>
      <c r="B797" t="s">
        <v>122</v>
      </c>
      <c r="C797" t="s">
        <v>93</v>
      </c>
      <c r="D797">
        <v>21</v>
      </c>
      <c r="E797">
        <v>0</v>
      </c>
      <c r="F797">
        <v>3</v>
      </c>
      <c r="G797">
        <v>3</v>
      </c>
      <c r="H797">
        <v>-2</v>
      </c>
      <c r="I797">
        <v>6</v>
      </c>
      <c r="J797">
        <v>14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18</v>
      </c>
      <c r="Q797">
        <v>11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</row>
    <row r="798" spans="1:25" x14ac:dyDescent="0.3">
      <c r="A798" t="s">
        <v>798</v>
      </c>
      <c r="B798" t="s">
        <v>59</v>
      </c>
      <c r="C798" t="s">
        <v>93</v>
      </c>
      <c r="D798">
        <v>23</v>
      </c>
      <c r="E798">
        <v>0</v>
      </c>
      <c r="F798">
        <v>3</v>
      </c>
      <c r="G798">
        <v>3</v>
      </c>
      <c r="H798">
        <v>-2</v>
      </c>
      <c r="I798">
        <v>12</v>
      </c>
      <c r="J798">
        <v>23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28</v>
      </c>
      <c r="Q798">
        <v>24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</row>
    <row r="799" spans="1:25" x14ac:dyDescent="0.3">
      <c r="A799" t="s">
        <v>590</v>
      </c>
      <c r="B799" t="s">
        <v>79</v>
      </c>
      <c r="C799" t="s">
        <v>93</v>
      </c>
      <c r="D799">
        <v>22</v>
      </c>
      <c r="E799">
        <v>1</v>
      </c>
      <c r="F799">
        <v>2</v>
      </c>
      <c r="G799">
        <v>3</v>
      </c>
      <c r="H799">
        <v>1</v>
      </c>
      <c r="I799">
        <v>8</v>
      </c>
      <c r="J799">
        <v>35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24</v>
      </c>
      <c r="Q799">
        <v>35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</row>
    <row r="800" spans="1:25" x14ac:dyDescent="0.3">
      <c r="A800" t="s">
        <v>799</v>
      </c>
      <c r="B800" t="s">
        <v>57</v>
      </c>
      <c r="C800" t="s">
        <v>29</v>
      </c>
      <c r="D800">
        <v>19</v>
      </c>
      <c r="E800">
        <v>1</v>
      </c>
      <c r="F800">
        <v>2</v>
      </c>
      <c r="G800">
        <v>3</v>
      </c>
      <c r="H800">
        <v>-6</v>
      </c>
      <c r="I800">
        <v>4</v>
      </c>
      <c r="J800">
        <v>16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26</v>
      </c>
      <c r="Q800">
        <v>3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</row>
    <row r="801" spans="1:25" x14ac:dyDescent="0.3">
      <c r="A801" t="s">
        <v>827</v>
      </c>
      <c r="B801" t="s">
        <v>32</v>
      </c>
      <c r="C801" t="s">
        <v>42</v>
      </c>
      <c r="D801">
        <v>25</v>
      </c>
      <c r="E801">
        <v>1</v>
      </c>
      <c r="F801">
        <v>2</v>
      </c>
      <c r="G801">
        <v>3</v>
      </c>
      <c r="H801">
        <v>1</v>
      </c>
      <c r="I801">
        <v>12</v>
      </c>
      <c r="J801">
        <v>42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10</v>
      </c>
      <c r="Q801">
        <v>8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</row>
    <row r="802" spans="1:25" x14ac:dyDescent="0.3">
      <c r="A802" t="s">
        <v>312</v>
      </c>
      <c r="B802" t="s">
        <v>98</v>
      </c>
      <c r="C802" t="s">
        <v>29</v>
      </c>
      <c r="D802">
        <v>10</v>
      </c>
      <c r="E802">
        <v>1</v>
      </c>
      <c r="F802">
        <v>2</v>
      </c>
      <c r="G802">
        <v>3</v>
      </c>
      <c r="H802">
        <v>-2</v>
      </c>
      <c r="I802">
        <v>4</v>
      </c>
      <c r="J802">
        <v>11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7</v>
      </c>
      <c r="Q802">
        <v>2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</row>
    <row r="803" spans="1:25" x14ac:dyDescent="0.3">
      <c r="A803" t="s">
        <v>833</v>
      </c>
      <c r="B803" t="s">
        <v>44</v>
      </c>
      <c r="C803" t="s">
        <v>33</v>
      </c>
      <c r="D803">
        <v>11</v>
      </c>
      <c r="E803">
        <v>1</v>
      </c>
      <c r="F803">
        <v>2</v>
      </c>
      <c r="G803">
        <v>3</v>
      </c>
      <c r="H803">
        <v>0</v>
      </c>
      <c r="I803">
        <v>0</v>
      </c>
      <c r="J803">
        <v>9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2</v>
      </c>
      <c r="Q803">
        <v>4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</row>
    <row r="804" spans="1:25" x14ac:dyDescent="0.3">
      <c r="A804" t="s">
        <v>636</v>
      </c>
      <c r="B804" t="s">
        <v>41</v>
      </c>
      <c r="C804" t="s">
        <v>93</v>
      </c>
      <c r="D804">
        <v>25</v>
      </c>
      <c r="E804">
        <v>0</v>
      </c>
      <c r="F804">
        <v>3</v>
      </c>
      <c r="G804">
        <v>3</v>
      </c>
      <c r="H804">
        <v>3</v>
      </c>
      <c r="I804">
        <v>8</v>
      </c>
      <c r="J804">
        <v>37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29</v>
      </c>
      <c r="Q804">
        <v>23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</row>
    <row r="805" spans="1:25" x14ac:dyDescent="0.3">
      <c r="A805" t="s">
        <v>567</v>
      </c>
      <c r="B805" t="s">
        <v>79</v>
      </c>
      <c r="C805" t="s">
        <v>93</v>
      </c>
      <c r="D805">
        <v>16</v>
      </c>
      <c r="E805">
        <v>1</v>
      </c>
      <c r="F805">
        <v>2</v>
      </c>
      <c r="G805">
        <v>3</v>
      </c>
      <c r="H805">
        <v>-5</v>
      </c>
      <c r="I805">
        <v>6</v>
      </c>
      <c r="J805">
        <v>14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23</v>
      </c>
      <c r="Q805">
        <v>11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</row>
    <row r="806" spans="1:25" x14ac:dyDescent="0.3">
      <c r="A806" t="s">
        <v>1098</v>
      </c>
      <c r="B806" t="s">
        <v>59</v>
      </c>
      <c r="C806" t="s">
        <v>42</v>
      </c>
      <c r="D806">
        <v>14</v>
      </c>
      <c r="E806">
        <v>1</v>
      </c>
      <c r="F806">
        <v>2</v>
      </c>
      <c r="G806">
        <v>3</v>
      </c>
      <c r="H806">
        <v>-3</v>
      </c>
      <c r="I806">
        <v>4</v>
      </c>
      <c r="J806">
        <v>13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16</v>
      </c>
      <c r="Q806">
        <v>6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</row>
    <row r="807" spans="1:25" x14ac:dyDescent="0.3">
      <c r="A807" t="s">
        <v>678</v>
      </c>
      <c r="B807" t="s">
        <v>63</v>
      </c>
      <c r="C807" t="s">
        <v>33</v>
      </c>
      <c r="D807">
        <v>14</v>
      </c>
      <c r="E807">
        <v>1</v>
      </c>
      <c r="F807">
        <v>2</v>
      </c>
      <c r="G807">
        <v>3</v>
      </c>
      <c r="H807">
        <v>4</v>
      </c>
      <c r="I807">
        <v>19</v>
      </c>
      <c r="J807">
        <v>53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21</v>
      </c>
      <c r="Q807">
        <v>2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</row>
    <row r="808" spans="1:25" x14ac:dyDescent="0.3">
      <c r="A808" t="s">
        <v>1096</v>
      </c>
      <c r="B808" t="s">
        <v>39</v>
      </c>
      <c r="C808" t="s">
        <v>93</v>
      </c>
      <c r="D808">
        <v>16</v>
      </c>
      <c r="E808">
        <v>0</v>
      </c>
      <c r="F808">
        <v>3</v>
      </c>
      <c r="G808">
        <v>3</v>
      </c>
      <c r="H808">
        <v>2</v>
      </c>
      <c r="I808">
        <v>8</v>
      </c>
      <c r="J808">
        <v>14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14</v>
      </c>
      <c r="Q808">
        <v>12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</row>
    <row r="809" spans="1:25" x14ac:dyDescent="0.3">
      <c r="A809" t="s">
        <v>1097</v>
      </c>
      <c r="B809" t="s">
        <v>61</v>
      </c>
      <c r="C809" t="s">
        <v>33</v>
      </c>
      <c r="D809">
        <v>16</v>
      </c>
      <c r="E809">
        <v>2</v>
      </c>
      <c r="F809">
        <v>1</v>
      </c>
      <c r="G809">
        <v>3</v>
      </c>
      <c r="H809">
        <v>-3</v>
      </c>
      <c r="I809">
        <v>6</v>
      </c>
      <c r="J809">
        <v>20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38</v>
      </c>
      <c r="Q809">
        <v>8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</row>
    <row r="810" spans="1:25" x14ac:dyDescent="0.3">
      <c r="A810" t="s">
        <v>704</v>
      </c>
      <c r="B810" t="s">
        <v>73</v>
      </c>
      <c r="C810" t="s">
        <v>93</v>
      </c>
      <c r="D810">
        <v>14</v>
      </c>
      <c r="E810">
        <v>0</v>
      </c>
      <c r="F810">
        <v>3</v>
      </c>
      <c r="G810">
        <v>3</v>
      </c>
      <c r="H810">
        <v>2</v>
      </c>
      <c r="I810">
        <v>6</v>
      </c>
      <c r="J810">
        <v>13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8</v>
      </c>
      <c r="Q810">
        <v>9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</row>
    <row r="811" spans="1:25" x14ac:dyDescent="0.3">
      <c r="A811" t="s">
        <v>941</v>
      </c>
      <c r="B811" t="s">
        <v>122</v>
      </c>
      <c r="C811" t="s">
        <v>93</v>
      </c>
      <c r="D811">
        <v>25</v>
      </c>
      <c r="E811">
        <v>1</v>
      </c>
      <c r="F811">
        <v>2</v>
      </c>
      <c r="G811">
        <v>3</v>
      </c>
      <c r="H811">
        <v>-5</v>
      </c>
      <c r="I811">
        <v>20</v>
      </c>
      <c r="J811">
        <v>37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81</v>
      </c>
      <c r="Q811">
        <v>21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</row>
    <row r="812" spans="1:25" x14ac:dyDescent="0.3">
      <c r="A812" t="s">
        <v>1099</v>
      </c>
      <c r="B812" t="s">
        <v>65</v>
      </c>
      <c r="C812" t="s">
        <v>29</v>
      </c>
      <c r="D812">
        <v>7</v>
      </c>
      <c r="E812">
        <v>1</v>
      </c>
      <c r="F812">
        <v>2</v>
      </c>
      <c r="G812">
        <v>3</v>
      </c>
      <c r="H812">
        <v>1</v>
      </c>
      <c r="I812">
        <v>2</v>
      </c>
      <c r="J812">
        <v>13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6</v>
      </c>
      <c r="Q812">
        <v>2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</row>
    <row r="813" spans="1:25" x14ac:dyDescent="0.3">
      <c r="A813" t="s">
        <v>1101</v>
      </c>
      <c r="B813" t="s">
        <v>44</v>
      </c>
      <c r="C813" t="s">
        <v>93</v>
      </c>
      <c r="D813">
        <v>22</v>
      </c>
      <c r="E813">
        <v>0</v>
      </c>
      <c r="F813">
        <v>3</v>
      </c>
      <c r="G813">
        <v>3</v>
      </c>
      <c r="H813">
        <v>-7</v>
      </c>
      <c r="I813">
        <v>4</v>
      </c>
      <c r="J813">
        <v>29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7</v>
      </c>
      <c r="Q813">
        <v>33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</row>
    <row r="814" spans="1:25" x14ac:dyDescent="0.3">
      <c r="A814" t="s">
        <v>1102</v>
      </c>
      <c r="B814" t="s">
        <v>71</v>
      </c>
      <c r="C814" t="s">
        <v>93</v>
      </c>
      <c r="D814">
        <v>9</v>
      </c>
      <c r="E814">
        <v>0</v>
      </c>
      <c r="F814">
        <v>3</v>
      </c>
      <c r="G814">
        <v>3</v>
      </c>
      <c r="H814">
        <v>-4</v>
      </c>
      <c r="I814">
        <v>2</v>
      </c>
      <c r="J814">
        <v>6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6</v>
      </c>
      <c r="Q814">
        <v>8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</row>
    <row r="815" spans="1:25" x14ac:dyDescent="0.3">
      <c r="A815" t="s">
        <v>749</v>
      </c>
      <c r="B815" t="s">
        <v>44</v>
      </c>
      <c r="C815" t="s">
        <v>42</v>
      </c>
      <c r="D815">
        <v>23</v>
      </c>
      <c r="E815">
        <v>1</v>
      </c>
      <c r="F815">
        <v>2</v>
      </c>
      <c r="G815">
        <v>3</v>
      </c>
      <c r="H815">
        <v>-7</v>
      </c>
      <c r="I815">
        <v>14</v>
      </c>
      <c r="J815">
        <v>16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68</v>
      </c>
      <c r="Q815">
        <v>13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</row>
    <row r="816" spans="1:25" x14ac:dyDescent="0.3">
      <c r="A816" t="s">
        <v>750</v>
      </c>
      <c r="B816" t="s">
        <v>57</v>
      </c>
      <c r="C816" t="s">
        <v>93</v>
      </c>
      <c r="D816">
        <v>11</v>
      </c>
      <c r="E816">
        <v>1</v>
      </c>
      <c r="F816">
        <v>2</v>
      </c>
      <c r="G816">
        <v>3</v>
      </c>
      <c r="H816">
        <v>-5</v>
      </c>
      <c r="I816">
        <v>4</v>
      </c>
      <c r="J816">
        <v>12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10</v>
      </c>
      <c r="Q816">
        <v>17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</row>
    <row r="817" spans="1:25" x14ac:dyDescent="0.3">
      <c r="A817" t="s">
        <v>1103</v>
      </c>
      <c r="B817" t="s">
        <v>73</v>
      </c>
      <c r="C817" t="s">
        <v>33</v>
      </c>
      <c r="D817">
        <v>13</v>
      </c>
      <c r="E817">
        <v>1</v>
      </c>
      <c r="F817">
        <v>1</v>
      </c>
      <c r="G817">
        <v>2</v>
      </c>
      <c r="H817">
        <v>-4</v>
      </c>
      <c r="I817">
        <v>16</v>
      </c>
      <c r="J817">
        <v>16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21</v>
      </c>
      <c r="Q817">
        <v>2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</row>
    <row r="818" spans="1:25" x14ac:dyDescent="0.3">
      <c r="A818" t="s">
        <v>1106</v>
      </c>
      <c r="B818" t="s">
        <v>44</v>
      </c>
      <c r="C818" t="s">
        <v>33</v>
      </c>
      <c r="D818">
        <v>25</v>
      </c>
      <c r="E818">
        <v>0</v>
      </c>
      <c r="F818">
        <v>2</v>
      </c>
      <c r="G818">
        <v>2</v>
      </c>
      <c r="H818">
        <v>-8</v>
      </c>
      <c r="I818">
        <v>12</v>
      </c>
      <c r="J818">
        <v>47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21</v>
      </c>
      <c r="Q818">
        <v>7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</row>
    <row r="819" spans="1:25" x14ac:dyDescent="0.3">
      <c r="A819" t="s">
        <v>1107</v>
      </c>
      <c r="B819" t="s">
        <v>132</v>
      </c>
      <c r="C819" t="s">
        <v>33</v>
      </c>
      <c r="D819">
        <v>11</v>
      </c>
      <c r="E819">
        <v>1</v>
      </c>
      <c r="F819">
        <v>1</v>
      </c>
      <c r="G819">
        <v>2</v>
      </c>
      <c r="H819">
        <v>-3</v>
      </c>
      <c r="I819">
        <v>4</v>
      </c>
      <c r="J819">
        <v>15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14</v>
      </c>
      <c r="Q819">
        <v>3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</row>
    <row r="820" spans="1:25" x14ac:dyDescent="0.3">
      <c r="A820" t="s">
        <v>1104</v>
      </c>
      <c r="B820" t="s">
        <v>181</v>
      </c>
      <c r="C820" t="s">
        <v>33</v>
      </c>
      <c r="D820">
        <v>8</v>
      </c>
      <c r="E820">
        <v>0</v>
      </c>
      <c r="F820">
        <v>2</v>
      </c>
      <c r="G820">
        <v>2</v>
      </c>
      <c r="H820">
        <v>-3</v>
      </c>
      <c r="I820">
        <v>4</v>
      </c>
      <c r="J820">
        <v>9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13</v>
      </c>
      <c r="Q820">
        <v>2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</row>
    <row r="821" spans="1:25" x14ac:dyDescent="0.3">
      <c r="A821" t="s">
        <v>1105</v>
      </c>
      <c r="B821" t="s">
        <v>54</v>
      </c>
      <c r="C821" t="s">
        <v>33</v>
      </c>
      <c r="D821">
        <v>4</v>
      </c>
      <c r="E821">
        <v>0</v>
      </c>
      <c r="F821">
        <v>2</v>
      </c>
      <c r="G821">
        <v>2</v>
      </c>
      <c r="H821">
        <v>-2</v>
      </c>
      <c r="I821">
        <v>2</v>
      </c>
      <c r="J821">
        <v>1</v>
      </c>
      <c r="K821">
        <v>0</v>
      </c>
      <c r="L821">
        <v>0</v>
      </c>
      <c r="M821">
        <v>2</v>
      </c>
      <c r="N821">
        <v>0</v>
      </c>
      <c r="O821">
        <v>0</v>
      </c>
      <c r="P821">
        <v>1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</row>
    <row r="822" spans="1:25" x14ac:dyDescent="0.3">
      <c r="A822" t="s">
        <v>1108</v>
      </c>
      <c r="B822" t="s">
        <v>196</v>
      </c>
      <c r="C822" t="s">
        <v>33</v>
      </c>
      <c r="D822">
        <v>12</v>
      </c>
      <c r="E822">
        <v>0</v>
      </c>
      <c r="F822">
        <v>2</v>
      </c>
      <c r="G822">
        <v>2</v>
      </c>
      <c r="H822">
        <v>-4</v>
      </c>
      <c r="I822">
        <v>8</v>
      </c>
      <c r="J822">
        <v>14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15</v>
      </c>
      <c r="Q822">
        <v>5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</row>
    <row r="823" spans="1:25" x14ac:dyDescent="0.3">
      <c r="A823" t="s">
        <v>751</v>
      </c>
      <c r="B823" t="s">
        <v>71</v>
      </c>
      <c r="C823" t="s">
        <v>33</v>
      </c>
      <c r="D823">
        <v>12</v>
      </c>
      <c r="E823">
        <v>1</v>
      </c>
      <c r="F823">
        <v>1</v>
      </c>
      <c r="G823">
        <v>2</v>
      </c>
      <c r="H823">
        <v>-2</v>
      </c>
      <c r="I823">
        <v>56</v>
      </c>
      <c r="J823">
        <v>15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30</v>
      </c>
      <c r="Q823">
        <v>4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</row>
    <row r="824" spans="1:25" x14ac:dyDescent="0.3">
      <c r="A824" t="s">
        <v>1109</v>
      </c>
      <c r="B824" t="s">
        <v>35</v>
      </c>
      <c r="C824" t="s">
        <v>29</v>
      </c>
      <c r="D824">
        <v>12</v>
      </c>
      <c r="E824">
        <v>1</v>
      </c>
      <c r="F824">
        <v>1</v>
      </c>
      <c r="G824">
        <v>2</v>
      </c>
      <c r="H824">
        <v>-1</v>
      </c>
      <c r="I824">
        <v>4</v>
      </c>
      <c r="J824">
        <v>11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9</v>
      </c>
      <c r="Q824">
        <v>4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</row>
    <row r="825" spans="1:25" x14ac:dyDescent="0.3">
      <c r="A825" t="s">
        <v>1100</v>
      </c>
      <c r="B825" t="s">
        <v>71</v>
      </c>
      <c r="C825" t="s">
        <v>29</v>
      </c>
      <c r="D825">
        <v>8</v>
      </c>
      <c r="E825">
        <v>1</v>
      </c>
      <c r="F825">
        <v>1</v>
      </c>
      <c r="G825">
        <v>2</v>
      </c>
      <c r="H825">
        <v>-4</v>
      </c>
      <c r="I825">
        <v>5</v>
      </c>
      <c r="J825">
        <v>14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9</v>
      </c>
      <c r="Q825">
        <v>4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</row>
    <row r="826" spans="1:25" x14ac:dyDescent="0.3">
      <c r="A826" t="s">
        <v>814</v>
      </c>
      <c r="B826" t="s">
        <v>196</v>
      </c>
      <c r="C826" t="s">
        <v>93</v>
      </c>
      <c r="D826">
        <v>10</v>
      </c>
      <c r="E826">
        <v>0</v>
      </c>
      <c r="F826">
        <v>2</v>
      </c>
      <c r="G826">
        <v>2</v>
      </c>
      <c r="H826">
        <v>-3</v>
      </c>
      <c r="I826">
        <v>4</v>
      </c>
      <c r="J826">
        <v>10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8</v>
      </c>
      <c r="Q826">
        <v>4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</row>
    <row r="827" spans="1:25" x14ac:dyDescent="0.3">
      <c r="A827" t="s">
        <v>745</v>
      </c>
      <c r="B827" t="s">
        <v>106</v>
      </c>
      <c r="C827" t="s">
        <v>33</v>
      </c>
      <c r="D827">
        <v>5</v>
      </c>
      <c r="E827">
        <v>1</v>
      </c>
      <c r="F827">
        <v>1</v>
      </c>
      <c r="G827">
        <v>2</v>
      </c>
      <c r="H827">
        <v>2</v>
      </c>
      <c r="I827">
        <v>2</v>
      </c>
      <c r="J827">
        <v>7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6</v>
      </c>
      <c r="Q827">
        <v>1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</row>
    <row r="828" spans="1:25" x14ac:dyDescent="0.3">
      <c r="A828" t="s">
        <v>1110</v>
      </c>
      <c r="B828" t="s">
        <v>181</v>
      </c>
      <c r="C828" t="s">
        <v>93</v>
      </c>
      <c r="D828">
        <v>14</v>
      </c>
      <c r="E828">
        <v>0</v>
      </c>
      <c r="F828">
        <v>2</v>
      </c>
      <c r="G828">
        <v>2</v>
      </c>
      <c r="H828">
        <v>-1</v>
      </c>
      <c r="I828">
        <v>4</v>
      </c>
      <c r="J828">
        <v>12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17</v>
      </c>
      <c r="Q828">
        <v>17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</row>
    <row r="829" spans="1:25" x14ac:dyDescent="0.3">
      <c r="A829" t="s">
        <v>1111</v>
      </c>
      <c r="B829" t="s">
        <v>132</v>
      </c>
      <c r="C829" t="s">
        <v>93</v>
      </c>
      <c r="D829">
        <v>5</v>
      </c>
      <c r="E829">
        <v>1</v>
      </c>
      <c r="F829">
        <v>1</v>
      </c>
      <c r="G829">
        <v>2</v>
      </c>
      <c r="H829">
        <v>-1</v>
      </c>
      <c r="I829">
        <v>4</v>
      </c>
      <c r="J829">
        <v>7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8</v>
      </c>
      <c r="Q829">
        <v>6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</row>
    <row r="830" spans="1:25" x14ac:dyDescent="0.3">
      <c r="A830" t="s">
        <v>1112</v>
      </c>
      <c r="B830" t="s">
        <v>106</v>
      </c>
      <c r="C830" t="s">
        <v>93</v>
      </c>
      <c r="D830">
        <v>11</v>
      </c>
      <c r="E830">
        <v>1</v>
      </c>
      <c r="F830">
        <v>1</v>
      </c>
      <c r="G830">
        <v>2</v>
      </c>
      <c r="H830">
        <v>-4</v>
      </c>
      <c r="I830">
        <v>4</v>
      </c>
      <c r="J830">
        <v>11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28</v>
      </c>
      <c r="Q830">
        <v>7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</row>
    <row r="831" spans="1:25" x14ac:dyDescent="0.3">
      <c r="A831" t="s">
        <v>1113</v>
      </c>
      <c r="B831" t="s">
        <v>87</v>
      </c>
      <c r="C831" t="s">
        <v>33</v>
      </c>
      <c r="D831">
        <v>7</v>
      </c>
      <c r="E831">
        <v>0</v>
      </c>
      <c r="F831">
        <v>2</v>
      </c>
      <c r="G831">
        <v>2</v>
      </c>
      <c r="H831">
        <v>-2</v>
      </c>
      <c r="I831">
        <v>4</v>
      </c>
      <c r="J831">
        <v>10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3</v>
      </c>
      <c r="Q831">
        <v>2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</row>
    <row r="832" spans="1:25" x14ac:dyDescent="0.3">
      <c r="A832" t="s">
        <v>1116</v>
      </c>
      <c r="B832" t="s">
        <v>35</v>
      </c>
      <c r="C832" t="s">
        <v>33</v>
      </c>
      <c r="D832">
        <v>8</v>
      </c>
      <c r="E832">
        <v>0</v>
      </c>
      <c r="F832">
        <v>2</v>
      </c>
      <c r="G832">
        <v>2</v>
      </c>
      <c r="H832">
        <v>-2</v>
      </c>
      <c r="I832">
        <v>0</v>
      </c>
      <c r="J832">
        <v>6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3</v>
      </c>
      <c r="Q832">
        <v>3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</row>
    <row r="833" spans="1:25" x14ac:dyDescent="0.3">
      <c r="A833" t="s">
        <v>754</v>
      </c>
      <c r="B833" t="s">
        <v>120</v>
      </c>
      <c r="C833" t="s">
        <v>33</v>
      </c>
      <c r="D833">
        <v>6</v>
      </c>
      <c r="E833">
        <v>0</v>
      </c>
      <c r="F833">
        <v>2</v>
      </c>
      <c r="G833">
        <v>2</v>
      </c>
      <c r="H833">
        <v>0</v>
      </c>
      <c r="I833">
        <v>2</v>
      </c>
      <c r="J833">
        <v>8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3</v>
      </c>
      <c r="Q833">
        <v>2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</row>
    <row r="834" spans="1:25" x14ac:dyDescent="0.3">
      <c r="A834" t="s">
        <v>1114</v>
      </c>
      <c r="B834" t="s">
        <v>98</v>
      </c>
      <c r="C834" t="s">
        <v>29</v>
      </c>
      <c r="D834">
        <v>6</v>
      </c>
      <c r="E834">
        <v>1</v>
      </c>
      <c r="F834">
        <v>1</v>
      </c>
      <c r="G834">
        <v>2</v>
      </c>
      <c r="H834">
        <v>1</v>
      </c>
      <c r="I834">
        <v>4</v>
      </c>
      <c r="J834">
        <v>9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14</v>
      </c>
      <c r="Q834">
        <v>2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</row>
    <row r="835" spans="1:25" x14ac:dyDescent="0.3">
      <c r="A835" t="s">
        <v>620</v>
      </c>
      <c r="B835" t="s">
        <v>59</v>
      </c>
      <c r="C835" t="s">
        <v>29</v>
      </c>
      <c r="D835">
        <v>12</v>
      </c>
      <c r="E835">
        <v>0</v>
      </c>
      <c r="F835">
        <v>2</v>
      </c>
      <c r="G835">
        <v>2</v>
      </c>
      <c r="H835">
        <v>-1</v>
      </c>
      <c r="I835">
        <v>2</v>
      </c>
      <c r="J835">
        <v>10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8</v>
      </c>
      <c r="Q835">
        <v>2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</row>
    <row r="836" spans="1:25" x14ac:dyDescent="0.3">
      <c r="A836" t="s">
        <v>1115</v>
      </c>
      <c r="B836" t="s">
        <v>73</v>
      </c>
      <c r="C836" t="s">
        <v>33</v>
      </c>
      <c r="D836">
        <v>15</v>
      </c>
      <c r="E836">
        <v>0</v>
      </c>
      <c r="F836">
        <v>2</v>
      </c>
      <c r="G836">
        <v>2</v>
      </c>
      <c r="H836">
        <v>-6</v>
      </c>
      <c r="I836">
        <v>8</v>
      </c>
      <c r="J836">
        <v>13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21</v>
      </c>
      <c r="Q836">
        <v>8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</row>
    <row r="837" spans="1:25" x14ac:dyDescent="0.3">
      <c r="A837" t="s">
        <v>811</v>
      </c>
      <c r="B837" t="s">
        <v>54</v>
      </c>
      <c r="C837" t="s">
        <v>93</v>
      </c>
      <c r="D837">
        <v>8</v>
      </c>
      <c r="E837">
        <v>0</v>
      </c>
      <c r="F837">
        <v>2</v>
      </c>
      <c r="G837">
        <v>2</v>
      </c>
      <c r="H837">
        <v>2</v>
      </c>
      <c r="I837">
        <v>3</v>
      </c>
      <c r="J837">
        <v>9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18</v>
      </c>
      <c r="Q837">
        <v>4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</row>
    <row r="838" spans="1:25" x14ac:dyDescent="0.3">
      <c r="A838" t="s">
        <v>1122</v>
      </c>
      <c r="B838" t="s">
        <v>132</v>
      </c>
      <c r="C838" t="s">
        <v>29</v>
      </c>
      <c r="D838">
        <v>4</v>
      </c>
      <c r="E838">
        <v>0</v>
      </c>
      <c r="F838">
        <v>2</v>
      </c>
      <c r="G838">
        <v>2</v>
      </c>
      <c r="H838">
        <v>0</v>
      </c>
      <c r="I838">
        <v>0</v>
      </c>
      <c r="J838">
        <v>4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</row>
    <row r="839" spans="1:25" x14ac:dyDescent="0.3">
      <c r="A839" t="s">
        <v>830</v>
      </c>
      <c r="B839" t="s">
        <v>71</v>
      </c>
      <c r="C839" t="s">
        <v>33</v>
      </c>
      <c r="D839">
        <v>9</v>
      </c>
      <c r="E839">
        <v>1</v>
      </c>
      <c r="F839">
        <v>1</v>
      </c>
      <c r="G839">
        <v>2</v>
      </c>
      <c r="H839">
        <v>-4</v>
      </c>
      <c r="I839">
        <v>25</v>
      </c>
      <c r="J839">
        <v>11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21</v>
      </c>
      <c r="Q839">
        <v>3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</row>
    <row r="840" spans="1:25" x14ac:dyDescent="0.3">
      <c r="A840" t="s">
        <v>828</v>
      </c>
      <c r="B840" t="s">
        <v>65</v>
      </c>
      <c r="C840" t="s">
        <v>10</v>
      </c>
      <c r="D840">
        <v>59</v>
      </c>
      <c r="E840">
        <v>0</v>
      </c>
      <c r="F840">
        <v>2</v>
      </c>
      <c r="G840">
        <v>2</v>
      </c>
      <c r="H840">
        <v>0</v>
      </c>
      <c r="I840">
        <v>1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0</v>
      </c>
      <c r="R840">
        <v>34</v>
      </c>
      <c r="S840">
        <v>19</v>
      </c>
      <c r="T840">
        <v>4</v>
      </c>
      <c r="U840">
        <v>145</v>
      </c>
      <c r="V840">
        <v>1781</v>
      </c>
      <c r="W840">
        <v>1636</v>
      </c>
      <c r="X840">
        <v>0.91900000000000004</v>
      </c>
      <c r="Y840">
        <v>3</v>
      </c>
    </row>
    <row r="841" spans="1:25" x14ac:dyDescent="0.3">
      <c r="A841" t="s">
        <v>826</v>
      </c>
      <c r="B841" t="s">
        <v>63</v>
      </c>
      <c r="C841" t="s">
        <v>93</v>
      </c>
      <c r="D841">
        <v>10</v>
      </c>
      <c r="E841">
        <v>0</v>
      </c>
      <c r="F841">
        <v>2</v>
      </c>
      <c r="G841">
        <v>2</v>
      </c>
      <c r="H841">
        <v>1</v>
      </c>
      <c r="I841">
        <v>4</v>
      </c>
      <c r="J841">
        <v>10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14</v>
      </c>
      <c r="Q841">
        <v>11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</row>
    <row r="842" spans="1:25" x14ac:dyDescent="0.3">
      <c r="A842" t="s">
        <v>764</v>
      </c>
      <c r="B842" t="s">
        <v>84</v>
      </c>
      <c r="C842" t="s">
        <v>42</v>
      </c>
      <c r="D842">
        <v>8</v>
      </c>
      <c r="E842">
        <v>1</v>
      </c>
      <c r="F842">
        <v>1</v>
      </c>
      <c r="G842">
        <v>2</v>
      </c>
      <c r="H842">
        <v>1</v>
      </c>
      <c r="I842">
        <v>2</v>
      </c>
      <c r="J842">
        <v>11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9</v>
      </c>
      <c r="Q842">
        <v>3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</row>
    <row r="843" spans="1:25" x14ac:dyDescent="0.3">
      <c r="A843" t="s">
        <v>1120</v>
      </c>
      <c r="B843" t="s">
        <v>39</v>
      </c>
      <c r="C843" t="s">
        <v>33</v>
      </c>
      <c r="D843">
        <v>14</v>
      </c>
      <c r="E843">
        <v>1</v>
      </c>
      <c r="F843">
        <v>1</v>
      </c>
      <c r="G843">
        <v>2</v>
      </c>
      <c r="H843">
        <v>0</v>
      </c>
      <c r="I843">
        <v>2</v>
      </c>
      <c r="J843">
        <v>17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11</v>
      </c>
      <c r="Q843">
        <v>5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</row>
    <row r="844" spans="1:25" x14ac:dyDescent="0.3">
      <c r="A844" t="s">
        <v>1121</v>
      </c>
      <c r="B844" t="s">
        <v>140</v>
      </c>
      <c r="C844" t="s">
        <v>93</v>
      </c>
      <c r="D844">
        <v>14</v>
      </c>
      <c r="E844">
        <v>0</v>
      </c>
      <c r="F844">
        <v>2</v>
      </c>
      <c r="G844">
        <v>2</v>
      </c>
      <c r="H844">
        <v>-4</v>
      </c>
      <c r="I844">
        <v>2</v>
      </c>
      <c r="J844">
        <v>14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31</v>
      </c>
      <c r="Q844">
        <v>19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</row>
    <row r="845" spans="1:25" x14ac:dyDescent="0.3">
      <c r="A845" t="s">
        <v>1089</v>
      </c>
      <c r="B845" t="s">
        <v>71</v>
      </c>
      <c r="C845" t="s">
        <v>29</v>
      </c>
      <c r="D845">
        <v>6</v>
      </c>
      <c r="E845">
        <v>1</v>
      </c>
      <c r="F845">
        <v>1</v>
      </c>
      <c r="G845">
        <v>2</v>
      </c>
      <c r="H845">
        <v>-3</v>
      </c>
      <c r="I845">
        <v>5</v>
      </c>
      <c r="J845">
        <v>14</v>
      </c>
      <c r="K845">
        <v>1</v>
      </c>
      <c r="L845">
        <v>1</v>
      </c>
      <c r="M845">
        <v>0</v>
      </c>
      <c r="N845">
        <v>0</v>
      </c>
      <c r="O845">
        <v>0</v>
      </c>
      <c r="P845">
        <v>3</v>
      </c>
      <c r="Q845">
        <v>5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</row>
    <row r="846" spans="1:25" x14ac:dyDescent="0.3">
      <c r="A846" t="s">
        <v>685</v>
      </c>
      <c r="B846" t="s">
        <v>82</v>
      </c>
      <c r="C846" t="s">
        <v>33</v>
      </c>
      <c r="D846">
        <v>8</v>
      </c>
      <c r="E846">
        <v>1</v>
      </c>
      <c r="F846">
        <v>1</v>
      </c>
      <c r="G846">
        <v>2</v>
      </c>
      <c r="H846">
        <v>-3</v>
      </c>
      <c r="I846">
        <v>6</v>
      </c>
      <c r="J846">
        <v>10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8</v>
      </c>
      <c r="Q846">
        <v>2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</row>
    <row r="847" spans="1:25" x14ac:dyDescent="0.3">
      <c r="A847" t="s">
        <v>1117</v>
      </c>
      <c r="B847" t="s">
        <v>65</v>
      </c>
      <c r="C847" t="s">
        <v>33</v>
      </c>
      <c r="D847">
        <v>10</v>
      </c>
      <c r="E847">
        <v>1</v>
      </c>
      <c r="F847">
        <v>1</v>
      </c>
      <c r="G847">
        <v>2</v>
      </c>
      <c r="H847">
        <v>-3</v>
      </c>
      <c r="I847">
        <v>6</v>
      </c>
      <c r="J847">
        <v>7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11</v>
      </c>
      <c r="Q847">
        <v>5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</row>
    <row r="848" spans="1:25" x14ac:dyDescent="0.3">
      <c r="A848" t="s">
        <v>1118</v>
      </c>
      <c r="B848" t="s">
        <v>65</v>
      </c>
      <c r="C848" t="s">
        <v>29</v>
      </c>
      <c r="D848">
        <v>8</v>
      </c>
      <c r="E848">
        <v>0</v>
      </c>
      <c r="F848">
        <v>2</v>
      </c>
      <c r="G848">
        <v>2</v>
      </c>
      <c r="H848">
        <v>3</v>
      </c>
      <c r="I848">
        <v>2</v>
      </c>
      <c r="J848">
        <v>6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1</v>
      </c>
      <c r="Q848">
        <v>1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</row>
    <row r="849" spans="1:25" x14ac:dyDescent="0.3">
      <c r="A849" t="s">
        <v>564</v>
      </c>
      <c r="B849" t="s">
        <v>132</v>
      </c>
      <c r="C849" t="s">
        <v>42</v>
      </c>
      <c r="D849">
        <v>8</v>
      </c>
      <c r="E849">
        <v>1</v>
      </c>
      <c r="F849">
        <v>1</v>
      </c>
      <c r="G849">
        <v>2</v>
      </c>
      <c r="H849">
        <v>-3</v>
      </c>
      <c r="I849">
        <v>2</v>
      </c>
      <c r="J849">
        <v>14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14</v>
      </c>
      <c r="Q849">
        <v>4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</row>
    <row r="850" spans="1:25" x14ac:dyDescent="0.3">
      <c r="A850" t="s">
        <v>1119</v>
      </c>
      <c r="B850" t="s">
        <v>54</v>
      </c>
      <c r="C850" t="s">
        <v>93</v>
      </c>
      <c r="D850">
        <v>10</v>
      </c>
      <c r="E850">
        <v>1</v>
      </c>
      <c r="F850">
        <v>1</v>
      </c>
      <c r="G850">
        <v>2</v>
      </c>
      <c r="H850">
        <v>0</v>
      </c>
      <c r="I850">
        <v>2</v>
      </c>
      <c r="J850">
        <v>11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12</v>
      </c>
      <c r="Q850">
        <v>9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</row>
    <row r="851" spans="1:25" x14ac:dyDescent="0.3">
      <c r="A851" t="s">
        <v>844</v>
      </c>
      <c r="B851" t="s">
        <v>59</v>
      </c>
      <c r="C851" t="s">
        <v>10</v>
      </c>
      <c r="D851">
        <v>53</v>
      </c>
      <c r="E851">
        <v>0</v>
      </c>
      <c r="F851">
        <v>2</v>
      </c>
      <c r="G851">
        <v>2</v>
      </c>
      <c r="H851">
        <v>0</v>
      </c>
      <c r="I851">
        <v>6</v>
      </c>
      <c r="J851">
        <v>1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2</v>
      </c>
      <c r="Q851">
        <v>0</v>
      </c>
      <c r="R851">
        <v>27</v>
      </c>
      <c r="S851">
        <v>16</v>
      </c>
      <c r="T851">
        <v>5</v>
      </c>
      <c r="U851">
        <v>149</v>
      </c>
      <c r="V851">
        <v>1683</v>
      </c>
      <c r="W851">
        <v>1534</v>
      </c>
      <c r="X851">
        <v>0.91100000000000003</v>
      </c>
      <c r="Y851">
        <v>2</v>
      </c>
    </row>
    <row r="852" spans="1:25" x14ac:dyDescent="0.3">
      <c r="A852" t="s">
        <v>623</v>
      </c>
      <c r="B852" t="s">
        <v>61</v>
      </c>
      <c r="C852" t="s">
        <v>93</v>
      </c>
      <c r="D852">
        <v>16</v>
      </c>
      <c r="E852">
        <v>1</v>
      </c>
      <c r="F852">
        <v>1</v>
      </c>
      <c r="G852">
        <v>2</v>
      </c>
      <c r="H852">
        <v>-1</v>
      </c>
      <c r="I852">
        <v>6</v>
      </c>
      <c r="J852">
        <v>26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25</v>
      </c>
      <c r="Q852">
        <v>27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</row>
    <row r="853" spans="1:25" x14ac:dyDescent="0.3">
      <c r="A853" t="s">
        <v>873</v>
      </c>
      <c r="B853" t="s">
        <v>79</v>
      </c>
      <c r="C853" t="s">
        <v>10</v>
      </c>
      <c r="D853">
        <v>65</v>
      </c>
      <c r="E853">
        <v>0</v>
      </c>
      <c r="F853">
        <v>2</v>
      </c>
      <c r="G853">
        <v>2</v>
      </c>
      <c r="H853">
        <v>0</v>
      </c>
      <c r="I853">
        <v>2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36</v>
      </c>
      <c r="S853">
        <v>21</v>
      </c>
      <c r="T853">
        <v>6</v>
      </c>
      <c r="U853">
        <v>160</v>
      </c>
      <c r="V853">
        <v>1929</v>
      </c>
      <c r="W853">
        <v>1769</v>
      </c>
      <c r="X853">
        <v>0.91700000000000004</v>
      </c>
      <c r="Y853">
        <v>5</v>
      </c>
    </row>
    <row r="854" spans="1:25" x14ac:dyDescent="0.3">
      <c r="A854" t="s">
        <v>849</v>
      </c>
      <c r="B854" t="s">
        <v>84</v>
      </c>
      <c r="C854" t="s">
        <v>10</v>
      </c>
      <c r="D854">
        <v>49</v>
      </c>
      <c r="E854">
        <v>0</v>
      </c>
      <c r="F854">
        <v>2</v>
      </c>
      <c r="G854">
        <v>2</v>
      </c>
      <c r="H854">
        <v>0</v>
      </c>
      <c r="I854">
        <v>2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20</v>
      </c>
      <c r="S854">
        <v>17</v>
      </c>
      <c r="T854">
        <v>7</v>
      </c>
      <c r="U854">
        <v>140</v>
      </c>
      <c r="V854">
        <v>1546</v>
      </c>
      <c r="W854">
        <v>1406</v>
      </c>
      <c r="X854">
        <v>0.90900000000000003</v>
      </c>
      <c r="Y854">
        <v>4</v>
      </c>
    </row>
    <row r="855" spans="1:25" x14ac:dyDescent="0.3">
      <c r="A855" t="s">
        <v>787</v>
      </c>
      <c r="B855" t="s">
        <v>84</v>
      </c>
      <c r="C855" t="s">
        <v>29</v>
      </c>
      <c r="D855">
        <v>4</v>
      </c>
      <c r="E855">
        <v>1</v>
      </c>
      <c r="F855">
        <v>1</v>
      </c>
      <c r="G855">
        <v>2</v>
      </c>
      <c r="H855">
        <v>1</v>
      </c>
      <c r="I855">
        <v>0</v>
      </c>
      <c r="J855">
        <v>4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1</v>
      </c>
      <c r="Q855">
        <v>1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</row>
    <row r="856" spans="1:25" x14ac:dyDescent="0.3">
      <c r="A856" t="s">
        <v>932</v>
      </c>
      <c r="B856" t="s">
        <v>98</v>
      </c>
      <c r="C856" t="s">
        <v>10</v>
      </c>
      <c r="D856">
        <v>8</v>
      </c>
      <c r="E856">
        <v>0</v>
      </c>
      <c r="F856">
        <v>2</v>
      </c>
      <c r="G856">
        <v>2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2</v>
      </c>
      <c r="S856">
        <v>4</v>
      </c>
      <c r="T856">
        <v>0</v>
      </c>
      <c r="U856">
        <v>21</v>
      </c>
      <c r="V856">
        <v>205</v>
      </c>
      <c r="W856">
        <v>184</v>
      </c>
      <c r="X856">
        <v>0.89800000000000002</v>
      </c>
      <c r="Y856">
        <v>0</v>
      </c>
    </row>
    <row r="857" spans="1:25" x14ac:dyDescent="0.3">
      <c r="A857" t="s">
        <v>867</v>
      </c>
      <c r="B857" t="s">
        <v>54</v>
      </c>
      <c r="C857" t="s">
        <v>29</v>
      </c>
      <c r="D857">
        <v>12</v>
      </c>
      <c r="E857">
        <v>1</v>
      </c>
      <c r="F857">
        <v>1</v>
      </c>
      <c r="G857">
        <v>2</v>
      </c>
      <c r="H857">
        <v>-1</v>
      </c>
      <c r="I857">
        <v>1</v>
      </c>
      <c r="J857">
        <v>7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19</v>
      </c>
      <c r="Q857">
        <v>4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</row>
    <row r="858" spans="1:25" x14ac:dyDescent="0.3">
      <c r="A858" t="s">
        <v>875</v>
      </c>
      <c r="B858" t="s">
        <v>52</v>
      </c>
      <c r="C858" t="s">
        <v>10</v>
      </c>
      <c r="D858">
        <v>65</v>
      </c>
      <c r="E858">
        <v>0</v>
      </c>
      <c r="F858">
        <v>2</v>
      </c>
      <c r="G858">
        <v>2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1</v>
      </c>
      <c r="P858">
        <v>0</v>
      </c>
      <c r="Q858">
        <v>0</v>
      </c>
      <c r="R858">
        <v>30</v>
      </c>
      <c r="S858">
        <v>26</v>
      </c>
      <c r="T858">
        <v>6</v>
      </c>
      <c r="U858">
        <v>174</v>
      </c>
      <c r="V858">
        <v>2056</v>
      </c>
      <c r="W858">
        <v>1882</v>
      </c>
      <c r="X858">
        <v>0.91500000000000004</v>
      </c>
      <c r="Y858">
        <v>4</v>
      </c>
    </row>
    <row r="859" spans="1:25" x14ac:dyDescent="0.3">
      <c r="A859" t="s">
        <v>716</v>
      </c>
      <c r="B859" t="s">
        <v>73</v>
      </c>
      <c r="C859" t="s">
        <v>33</v>
      </c>
      <c r="D859">
        <v>12</v>
      </c>
      <c r="E859">
        <v>0</v>
      </c>
      <c r="F859">
        <v>2</v>
      </c>
      <c r="G859">
        <v>2</v>
      </c>
      <c r="H859">
        <v>0</v>
      </c>
      <c r="I859">
        <v>2</v>
      </c>
      <c r="J859">
        <v>12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15</v>
      </c>
      <c r="Q859">
        <v>4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</row>
    <row r="860" spans="1:25" x14ac:dyDescent="0.3">
      <c r="A860" t="s">
        <v>1125</v>
      </c>
      <c r="B860" t="s">
        <v>87</v>
      </c>
      <c r="C860" t="s">
        <v>93</v>
      </c>
      <c r="D860">
        <v>10</v>
      </c>
      <c r="E860">
        <v>0</v>
      </c>
      <c r="F860">
        <v>2</v>
      </c>
      <c r="G860">
        <v>2</v>
      </c>
      <c r="H860">
        <v>2</v>
      </c>
      <c r="I860">
        <v>4</v>
      </c>
      <c r="J860">
        <v>8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7</v>
      </c>
      <c r="Q860">
        <v>10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</row>
    <row r="861" spans="1:25" x14ac:dyDescent="0.3">
      <c r="A861" t="s">
        <v>778</v>
      </c>
      <c r="B861" t="s">
        <v>75</v>
      </c>
      <c r="C861" t="s">
        <v>42</v>
      </c>
      <c r="D861">
        <v>7</v>
      </c>
      <c r="E861">
        <v>1</v>
      </c>
      <c r="F861">
        <v>1</v>
      </c>
      <c r="G861">
        <v>2</v>
      </c>
      <c r="H861">
        <v>-3</v>
      </c>
      <c r="I861">
        <v>2</v>
      </c>
      <c r="J861">
        <v>11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9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</row>
    <row r="862" spans="1:25" x14ac:dyDescent="0.3">
      <c r="A862" t="s">
        <v>777</v>
      </c>
      <c r="B862" t="s">
        <v>61</v>
      </c>
      <c r="C862" t="s">
        <v>29</v>
      </c>
      <c r="D862">
        <v>8</v>
      </c>
      <c r="E862">
        <v>0</v>
      </c>
      <c r="F862">
        <v>2</v>
      </c>
      <c r="G862">
        <v>2</v>
      </c>
      <c r="H862">
        <v>-3</v>
      </c>
      <c r="I862">
        <v>14</v>
      </c>
      <c r="J862">
        <v>5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6</v>
      </c>
      <c r="Q862">
        <v>3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</row>
    <row r="863" spans="1:25" x14ac:dyDescent="0.3">
      <c r="A863" t="s">
        <v>719</v>
      </c>
      <c r="B863" t="s">
        <v>61</v>
      </c>
      <c r="C863" t="s">
        <v>10</v>
      </c>
      <c r="D863">
        <v>63</v>
      </c>
      <c r="E863">
        <v>0</v>
      </c>
      <c r="F863">
        <v>2</v>
      </c>
      <c r="G863">
        <v>2</v>
      </c>
      <c r="H863">
        <v>0</v>
      </c>
      <c r="I863">
        <v>5</v>
      </c>
      <c r="J863">
        <v>0</v>
      </c>
      <c r="K863">
        <v>0</v>
      </c>
      <c r="L863">
        <v>0</v>
      </c>
      <c r="M863">
        <v>2</v>
      </c>
      <c r="N863">
        <v>0</v>
      </c>
      <c r="O863">
        <v>0</v>
      </c>
      <c r="P863">
        <v>1</v>
      </c>
      <c r="Q863">
        <v>0</v>
      </c>
      <c r="R863">
        <v>44</v>
      </c>
      <c r="S863">
        <v>15</v>
      </c>
      <c r="T863">
        <v>4</v>
      </c>
      <c r="U863">
        <v>149</v>
      </c>
      <c r="V863">
        <v>1889</v>
      </c>
      <c r="W863">
        <v>1740</v>
      </c>
      <c r="X863">
        <v>0.92100000000000004</v>
      </c>
      <c r="Y863">
        <v>6</v>
      </c>
    </row>
    <row r="864" spans="1:25" x14ac:dyDescent="0.3">
      <c r="A864" t="s">
        <v>1124</v>
      </c>
      <c r="B864" t="s">
        <v>59</v>
      </c>
      <c r="C864" t="s">
        <v>29</v>
      </c>
      <c r="D864">
        <v>6</v>
      </c>
      <c r="E864">
        <v>1</v>
      </c>
      <c r="F864">
        <v>1</v>
      </c>
      <c r="G864">
        <v>2</v>
      </c>
      <c r="H864">
        <v>1</v>
      </c>
      <c r="I864">
        <v>4</v>
      </c>
      <c r="J864">
        <v>9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9</v>
      </c>
      <c r="Q864">
        <v>2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</row>
    <row r="865" spans="1:25" x14ac:dyDescent="0.3">
      <c r="A865" t="s">
        <v>720</v>
      </c>
      <c r="B865" t="s">
        <v>71</v>
      </c>
      <c r="C865" t="s">
        <v>93</v>
      </c>
      <c r="D865">
        <v>12</v>
      </c>
      <c r="E865">
        <v>0</v>
      </c>
      <c r="F865">
        <v>2</v>
      </c>
      <c r="G865">
        <v>2</v>
      </c>
      <c r="H865">
        <v>-4</v>
      </c>
      <c r="I865">
        <v>8</v>
      </c>
      <c r="J865">
        <v>10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13</v>
      </c>
      <c r="Q865">
        <v>16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</row>
    <row r="866" spans="1:25" x14ac:dyDescent="0.3">
      <c r="A866" t="s">
        <v>596</v>
      </c>
      <c r="B866" t="s">
        <v>35</v>
      </c>
      <c r="C866" t="s">
        <v>93</v>
      </c>
      <c r="D866">
        <v>12</v>
      </c>
      <c r="E866">
        <v>0</v>
      </c>
      <c r="F866">
        <v>2</v>
      </c>
      <c r="G866">
        <v>2</v>
      </c>
      <c r="H866">
        <v>1</v>
      </c>
      <c r="I866">
        <v>4</v>
      </c>
      <c r="J866">
        <v>13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13</v>
      </c>
      <c r="Q866">
        <v>14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</row>
    <row r="867" spans="1:25" x14ac:dyDescent="0.3">
      <c r="A867" t="s">
        <v>634</v>
      </c>
      <c r="B867" t="s">
        <v>37</v>
      </c>
      <c r="C867" t="s">
        <v>42</v>
      </c>
      <c r="D867">
        <v>14</v>
      </c>
      <c r="E867">
        <v>0</v>
      </c>
      <c r="F867">
        <v>2</v>
      </c>
      <c r="G867">
        <v>2</v>
      </c>
      <c r="H867">
        <v>-2</v>
      </c>
      <c r="I867">
        <v>10</v>
      </c>
      <c r="J867">
        <v>11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39</v>
      </c>
      <c r="Q867">
        <v>7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</row>
    <row r="868" spans="1:25" x14ac:dyDescent="0.3">
      <c r="A868" t="s">
        <v>776</v>
      </c>
      <c r="B868" t="s">
        <v>54</v>
      </c>
      <c r="C868" t="s">
        <v>93</v>
      </c>
      <c r="D868">
        <v>13</v>
      </c>
      <c r="E868">
        <v>0</v>
      </c>
      <c r="F868">
        <v>2</v>
      </c>
      <c r="G868">
        <v>2</v>
      </c>
      <c r="H868">
        <v>0</v>
      </c>
      <c r="I868">
        <v>4</v>
      </c>
      <c r="J868">
        <v>8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19</v>
      </c>
      <c r="Q868">
        <v>10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</row>
    <row r="869" spans="1:25" x14ac:dyDescent="0.3">
      <c r="A869" t="s">
        <v>791</v>
      </c>
      <c r="B869" t="s">
        <v>63</v>
      </c>
      <c r="C869" t="s">
        <v>29</v>
      </c>
      <c r="D869">
        <v>6</v>
      </c>
      <c r="E869">
        <v>1</v>
      </c>
      <c r="F869">
        <v>1</v>
      </c>
      <c r="G869">
        <v>2</v>
      </c>
      <c r="H869">
        <v>1</v>
      </c>
      <c r="I869">
        <v>2</v>
      </c>
      <c r="J869">
        <v>8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9</v>
      </c>
      <c r="Q869">
        <v>3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</row>
    <row r="870" spans="1:25" x14ac:dyDescent="0.3">
      <c r="A870" t="s">
        <v>794</v>
      </c>
      <c r="B870" t="s">
        <v>39</v>
      </c>
      <c r="C870" t="s">
        <v>93</v>
      </c>
      <c r="D870">
        <v>14</v>
      </c>
      <c r="E870">
        <v>1</v>
      </c>
      <c r="F870">
        <v>1</v>
      </c>
      <c r="G870">
        <v>2</v>
      </c>
      <c r="H870">
        <v>-3</v>
      </c>
      <c r="I870">
        <v>6</v>
      </c>
      <c r="J870">
        <v>20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30</v>
      </c>
      <c r="Q870">
        <v>19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</row>
    <row r="871" spans="1:25" x14ac:dyDescent="0.3">
      <c r="A871" t="s">
        <v>837</v>
      </c>
      <c r="B871" t="s">
        <v>87</v>
      </c>
      <c r="C871" t="s">
        <v>10</v>
      </c>
      <c r="D871">
        <v>57</v>
      </c>
      <c r="E871">
        <v>0</v>
      </c>
      <c r="F871">
        <v>2</v>
      </c>
      <c r="G871">
        <v>2</v>
      </c>
      <c r="H871">
        <v>0</v>
      </c>
      <c r="I871">
        <v>3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35</v>
      </c>
      <c r="S871">
        <v>16</v>
      </c>
      <c r="T871">
        <v>5</v>
      </c>
      <c r="U871">
        <v>150</v>
      </c>
      <c r="V871">
        <v>1706</v>
      </c>
      <c r="W871">
        <v>1556</v>
      </c>
      <c r="X871">
        <v>0.91200000000000003</v>
      </c>
      <c r="Y871">
        <v>4</v>
      </c>
    </row>
    <row r="872" spans="1:25" x14ac:dyDescent="0.3">
      <c r="A872" t="s">
        <v>893</v>
      </c>
      <c r="B872" t="s">
        <v>48</v>
      </c>
      <c r="C872" t="s">
        <v>10</v>
      </c>
      <c r="D872">
        <v>61</v>
      </c>
      <c r="E872">
        <v>0</v>
      </c>
      <c r="F872">
        <v>2</v>
      </c>
      <c r="G872">
        <v>2</v>
      </c>
      <c r="H872">
        <v>0</v>
      </c>
      <c r="I872">
        <v>8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1</v>
      </c>
      <c r="P872">
        <v>0</v>
      </c>
      <c r="Q872">
        <v>1</v>
      </c>
      <c r="R872">
        <v>33</v>
      </c>
      <c r="S872">
        <v>20</v>
      </c>
      <c r="T872">
        <v>8</v>
      </c>
      <c r="U872">
        <v>144</v>
      </c>
      <c r="V872">
        <v>1749</v>
      </c>
      <c r="W872">
        <v>1605</v>
      </c>
      <c r="X872">
        <v>0.91800000000000004</v>
      </c>
      <c r="Y872">
        <v>6</v>
      </c>
    </row>
    <row r="873" spans="1:25" x14ac:dyDescent="0.3">
      <c r="A873" t="s">
        <v>834</v>
      </c>
      <c r="B873" t="s">
        <v>98</v>
      </c>
      <c r="C873" t="s">
        <v>10</v>
      </c>
      <c r="D873">
        <v>0</v>
      </c>
      <c r="E873">
        <v>0</v>
      </c>
      <c r="F873">
        <v>1</v>
      </c>
      <c r="G873">
        <v>1</v>
      </c>
      <c r="H873">
        <v>0</v>
      </c>
      <c r="I873">
        <v>8</v>
      </c>
      <c r="J873">
        <v>1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</row>
    <row r="874" spans="1:25" x14ac:dyDescent="0.3">
      <c r="A874" t="s">
        <v>1126</v>
      </c>
      <c r="B874" t="s">
        <v>57</v>
      </c>
      <c r="C874" t="s">
        <v>10</v>
      </c>
      <c r="D874">
        <v>6</v>
      </c>
      <c r="E874">
        <v>0</v>
      </c>
      <c r="F874">
        <v>1</v>
      </c>
      <c r="G874">
        <v>1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0</v>
      </c>
      <c r="R874">
        <v>3</v>
      </c>
      <c r="S874">
        <v>2</v>
      </c>
      <c r="T874">
        <v>0</v>
      </c>
      <c r="U874">
        <v>21</v>
      </c>
      <c r="V874">
        <v>209</v>
      </c>
      <c r="W874">
        <v>188</v>
      </c>
      <c r="X874">
        <v>0.9</v>
      </c>
      <c r="Y874">
        <v>0</v>
      </c>
    </row>
    <row r="875" spans="1:25" x14ac:dyDescent="0.3">
      <c r="A875" t="s">
        <v>896</v>
      </c>
      <c r="B875" t="s">
        <v>196</v>
      </c>
      <c r="C875" t="s">
        <v>10</v>
      </c>
      <c r="D875">
        <v>38</v>
      </c>
      <c r="E875">
        <v>0</v>
      </c>
      <c r="F875">
        <v>1</v>
      </c>
      <c r="G875">
        <v>1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1</v>
      </c>
      <c r="P875">
        <v>0</v>
      </c>
      <c r="Q875">
        <v>0</v>
      </c>
      <c r="R875">
        <v>14</v>
      </c>
      <c r="S875">
        <v>15</v>
      </c>
      <c r="T875">
        <v>4</v>
      </c>
      <c r="U875">
        <v>120</v>
      </c>
      <c r="V875">
        <v>1174</v>
      </c>
      <c r="W875">
        <v>1054</v>
      </c>
      <c r="X875">
        <v>0.89800000000000002</v>
      </c>
      <c r="Y875">
        <v>1</v>
      </c>
    </row>
    <row r="876" spans="1:25" x14ac:dyDescent="0.3">
      <c r="A876" t="s">
        <v>789</v>
      </c>
      <c r="B876" t="s">
        <v>28</v>
      </c>
      <c r="C876" t="s">
        <v>10</v>
      </c>
      <c r="D876">
        <v>0</v>
      </c>
      <c r="E876">
        <v>0</v>
      </c>
      <c r="F876">
        <v>1</v>
      </c>
      <c r="G876">
        <v>1</v>
      </c>
      <c r="H876">
        <v>0</v>
      </c>
      <c r="I876">
        <v>8</v>
      </c>
      <c r="J876">
        <v>1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</row>
    <row r="877" spans="1:25" x14ac:dyDescent="0.3">
      <c r="A877" t="s">
        <v>894</v>
      </c>
      <c r="B877" t="s">
        <v>82</v>
      </c>
      <c r="C877" t="s">
        <v>10</v>
      </c>
      <c r="D877">
        <v>44</v>
      </c>
      <c r="E877">
        <v>0</v>
      </c>
      <c r="F877">
        <v>1</v>
      </c>
      <c r="G877">
        <v>1</v>
      </c>
      <c r="H877">
        <v>0</v>
      </c>
      <c r="I877">
        <v>5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23</v>
      </c>
      <c r="S877">
        <v>15</v>
      </c>
      <c r="T877">
        <v>6</v>
      </c>
      <c r="U877">
        <v>118</v>
      </c>
      <c r="V877">
        <v>1254</v>
      </c>
      <c r="W877">
        <v>1136</v>
      </c>
      <c r="X877">
        <v>0.90600000000000003</v>
      </c>
      <c r="Y877">
        <v>2</v>
      </c>
    </row>
    <row r="878" spans="1:25" x14ac:dyDescent="0.3">
      <c r="A878" t="s">
        <v>889</v>
      </c>
      <c r="B878" t="s">
        <v>75</v>
      </c>
      <c r="C878" t="s">
        <v>10</v>
      </c>
      <c r="D878">
        <v>33</v>
      </c>
      <c r="E878">
        <v>0</v>
      </c>
      <c r="F878">
        <v>1</v>
      </c>
      <c r="G878">
        <v>1</v>
      </c>
      <c r="H878">
        <v>0</v>
      </c>
      <c r="I878">
        <v>2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16</v>
      </c>
      <c r="S878">
        <v>11</v>
      </c>
      <c r="T878">
        <v>3</v>
      </c>
      <c r="U878">
        <v>94</v>
      </c>
      <c r="V878">
        <v>977</v>
      </c>
      <c r="W878">
        <v>883</v>
      </c>
      <c r="X878">
        <v>0.90400000000000003</v>
      </c>
      <c r="Y878">
        <v>1</v>
      </c>
    </row>
    <row r="879" spans="1:25" x14ac:dyDescent="0.3">
      <c r="A879" t="s">
        <v>900</v>
      </c>
      <c r="B879" t="s">
        <v>73</v>
      </c>
      <c r="C879" t="s">
        <v>10</v>
      </c>
      <c r="D879">
        <v>47</v>
      </c>
      <c r="E879">
        <v>0</v>
      </c>
      <c r="F879">
        <v>1</v>
      </c>
      <c r="G879">
        <v>1</v>
      </c>
      <c r="H879">
        <v>0</v>
      </c>
      <c r="I879">
        <v>4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21</v>
      </c>
      <c r="S879">
        <v>18</v>
      </c>
      <c r="T879">
        <v>6</v>
      </c>
      <c r="U879">
        <v>126</v>
      </c>
      <c r="V879">
        <v>1463</v>
      </c>
      <c r="W879">
        <v>1337</v>
      </c>
      <c r="X879">
        <v>0.91400000000000003</v>
      </c>
      <c r="Y879">
        <v>3</v>
      </c>
    </row>
    <row r="880" spans="1:25" x14ac:dyDescent="0.3">
      <c r="A880" t="s">
        <v>792</v>
      </c>
      <c r="B880" t="s">
        <v>140</v>
      </c>
      <c r="C880" t="s">
        <v>10</v>
      </c>
      <c r="D880">
        <v>54</v>
      </c>
      <c r="E880">
        <v>0</v>
      </c>
      <c r="F880">
        <v>1</v>
      </c>
      <c r="G880">
        <v>1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1</v>
      </c>
      <c r="Q880">
        <v>0</v>
      </c>
      <c r="R880">
        <v>22</v>
      </c>
      <c r="S880">
        <v>24</v>
      </c>
      <c r="T880">
        <v>6</v>
      </c>
      <c r="U880">
        <v>145</v>
      </c>
      <c r="V880">
        <v>1526</v>
      </c>
      <c r="W880">
        <v>1381</v>
      </c>
      <c r="X880">
        <v>0.90500000000000003</v>
      </c>
      <c r="Y880">
        <v>3</v>
      </c>
    </row>
    <row r="881" spans="1:25" x14ac:dyDescent="0.3">
      <c r="A881" t="s">
        <v>905</v>
      </c>
      <c r="B881" t="s">
        <v>28</v>
      </c>
      <c r="C881" t="s">
        <v>10</v>
      </c>
      <c r="D881">
        <v>55</v>
      </c>
      <c r="E881">
        <v>0</v>
      </c>
      <c r="F881">
        <v>1</v>
      </c>
      <c r="G881">
        <v>1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0</v>
      </c>
      <c r="R881">
        <v>34</v>
      </c>
      <c r="S881">
        <v>12</v>
      </c>
      <c r="T881">
        <v>7</v>
      </c>
      <c r="U881">
        <v>133</v>
      </c>
      <c r="V881">
        <v>1607</v>
      </c>
      <c r="W881">
        <v>1474</v>
      </c>
      <c r="X881">
        <v>0.91700000000000004</v>
      </c>
      <c r="Y881">
        <v>4</v>
      </c>
    </row>
    <row r="882" spans="1:25" x14ac:dyDescent="0.3">
      <c r="A882" t="s">
        <v>835</v>
      </c>
      <c r="B882" t="s">
        <v>132</v>
      </c>
      <c r="C882" t="s">
        <v>93</v>
      </c>
      <c r="D882">
        <v>4</v>
      </c>
      <c r="E882">
        <v>0</v>
      </c>
      <c r="F882">
        <v>1</v>
      </c>
      <c r="G882">
        <v>1</v>
      </c>
      <c r="H882">
        <v>-2</v>
      </c>
      <c r="I882">
        <v>2</v>
      </c>
      <c r="J882">
        <v>3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8</v>
      </c>
      <c r="Q882">
        <v>3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</row>
    <row r="883" spans="1:25" x14ac:dyDescent="0.3">
      <c r="A883" t="s">
        <v>898</v>
      </c>
      <c r="B883" t="s">
        <v>122</v>
      </c>
      <c r="C883" t="s">
        <v>10</v>
      </c>
      <c r="D883">
        <v>56</v>
      </c>
      <c r="E883">
        <v>0</v>
      </c>
      <c r="F883">
        <v>1</v>
      </c>
      <c r="G883">
        <v>1</v>
      </c>
      <c r="H883">
        <v>0</v>
      </c>
      <c r="I883">
        <v>10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19</v>
      </c>
      <c r="S883">
        <v>27</v>
      </c>
      <c r="T883">
        <v>11</v>
      </c>
      <c r="U883">
        <v>168</v>
      </c>
      <c r="V883">
        <v>1758</v>
      </c>
      <c r="W883">
        <v>1590</v>
      </c>
      <c r="X883">
        <v>0.90400000000000003</v>
      </c>
      <c r="Y883">
        <v>2</v>
      </c>
    </row>
    <row r="884" spans="1:25" x14ac:dyDescent="0.3">
      <c r="A884" t="s">
        <v>517</v>
      </c>
      <c r="B884" t="s">
        <v>54</v>
      </c>
      <c r="C884" t="s">
        <v>42</v>
      </c>
      <c r="D884">
        <v>12</v>
      </c>
      <c r="E884">
        <v>0</v>
      </c>
      <c r="F884">
        <v>1</v>
      </c>
      <c r="G884">
        <v>1</v>
      </c>
      <c r="H884">
        <v>-6</v>
      </c>
      <c r="I884">
        <v>4</v>
      </c>
      <c r="J884">
        <v>23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47</v>
      </c>
      <c r="Q884">
        <v>9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</row>
    <row r="885" spans="1:25" x14ac:dyDescent="0.3">
      <c r="A885" t="s">
        <v>1127</v>
      </c>
      <c r="B885" t="s">
        <v>28</v>
      </c>
      <c r="C885" t="s">
        <v>29</v>
      </c>
      <c r="D885">
        <v>4</v>
      </c>
      <c r="E885">
        <v>0</v>
      </c>
      <c r="F885">
        <v>1</v>
      </c>
      <c r="G885">
        <v>1</v>
      </c>
      <c r="H885">
        <v>-1</v>
      </c>
      <c r="I885">
        <v>2</v>
      </c>
      <c r="J885">
        <v>4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12</v>
      </c>
      <c r="Q885">
        <v>1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</row>
    <row r="886" spans="1:25" x14ac:dyDescent="0.3">
      <c r="A886" t="s">
        <v>853</v>
      </c>
      <c r="B886" t="s">
        <v>87</v>
      </c>
      <c r="C886" t="s">
        <v>29</v>
      </c>
      <c r="D886">
        <v>2</v>
      </c>
      <c r="E886">
        <v>0</v>
      </c>
      <c r="F886">
        <v>1</v>
      </c>
      <c r="G886">
        <v>1</v>
      </c>
      <c r="H886">
        <v>0</v>
      </c>
      <c r="I886">
        <v>5</v>
      </c>
      <c r="J886">
        <v>2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4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</row>
    <row r="887" spans="1:25" x14ac:dyDescent="0.3">
      <c r="A887" t="s">
        <v>633</v>
      </c>
      <c r="B887" t="s">
        <v>79</v>
      </c>
      <c r="C887" t="s">
        <v>33</v>
      </c>
      <c r="D887">
        <v>5</v>
      </c>
      <c r="E887">
        <v>0</v>
      </c>
      <c r="F887">
        <v>1</v>
      </c>
      <c r="G887">
        <v>1</v>
      </c>
      <c r="H887">
        <v>-2</v>
      </c>
      <c r="I887">
        <v>2</v>
      </c>
      <c r="J887">
        <v>7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11</v>
      </c>
      <c r="Q887">
        <v>3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</row>
    <row r="888" spans="1:25" x14ac:dyDescent="0.3">
      <c r="A888" t="s">
        <v>855</v>
      </c>
      <c r="B888" t="s">
        <v>122</v>
      </c>
      <c r="C888" t="s">
        <v>10</v>
      </c>
      <c r="D888">
        <v>26</v>
      </c>
      <c r="E888">
        <v>0</v>
      </c>
      <c r="F888">
        <v>1</v>
      </c>
      <c r="G888">
        <v>1</v>
      </c>
      <c r="H888">
        <v>0</v>
      </c>
      <c r="I888">
        <v>2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11</v>
      </c>
      <c r="S888">
        <v>8</v>
      </c>
      <c r="T888">
        <v>3</v>
      </c>
      <c r="U888">
        <v>62</v>
      </c>
      <c r="V888">
        <v>751</v>
      </c>
      <c r="W888">
        <v>689</v>
      </c>
      <c r="X888">
        <v>0.91700000000000004</v>
      </c>
      <c r="Y888">
        <v>2</v>
      </c>
    </row>
    <row r="889" spans="1:25" x14ac:dyDescent="0.3">
      <c r="A889" t="s">
        <v>774</v>
      </c>
      <c r="B889" t="s">
        <v>54</v>
      </c>
      <c r="C889" t="s">
        <v>93</v>
      </c>
      <c r="D889">
        <v>10</v>
      </c>
      <c r="E889">
        <v>0</v>
      </c>
      <c r="F889">
        <v>1</v>
      </c>
      <c r="G889">
        <v>1</v>
      </c>
      <c r="H889">
        <v>-3</v>
      </c>
      <c r="I889">
        <v>3</v>
      </c>
      <c r="J889">
        <v>9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21</v>
      </c>
      <c r="Q889">
        <v>8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</row>
    <row r="890" spans="1:25" x14ac:dyDescent="0.3">
      <c r="A890" t="s">
        <v>878</v>
      </c>
      <c r="B890" t="s">
        <v>37</v>
      </c>
      <c r="C890" t="s">
        <v>10</v>
      </c>
      <c r="D890">
        <v>40</v>
      </c>
      <c r="E890">
        <v>0</v>
      </c>
      <c r="F890">
        <v>1</v>
      </c>
      <c r="G890">
        <v>1</v>
      </c>
      <c r="H890">
        <v>0</v>
      </c>
      <c r="I890">
        <v>3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24</v>
      </c>
      <c r="S890">
        <v>12</v>
      </c>
      <c r="T890">
        <v>3</v>
      </c>
      <c r="U890">
        <v>98</v>
      </c>
      <c r="V890">
        <v>1160</v>
      </c>
      <c r="W890">
        <v>1062</v>
      </c>
      <c r="X890">
        <v>0.91600000000000004</v>
      </c>
      <c r="Y890">
        <v>2</v>
      </c>
    </row>
    <row r="891" spans="1:25" x14ac:dyDescent="0.3">
      <c r="A891" t="s">
        <v>1129</v>
      </c>
      <c r="B891" t="s">
        <v>181</v>
      </c>
      <c r="C891" t="s">
        <v>10</v>
      </c>
      <c r="D891">
        <v>26</v>
      </c>
      <c r="E891">
        <v>0</v>
      </c>
      <c r="F891">
        <v>1</v>
      </c>
      <c r="G891">
        <v>1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3</v>
      </c>
      <c r="S891">
        <v>14</v>
      </c>
      <c r="T891">
        <v>4</v>
      </c>
      <c r="U891">
        <v>81</v>
      </c>
      <c r="V891">
        <v>813</v>
      </c>
      <c r="W891">
        <v>732</v>
      </c>
      <c r="X891">
        <v>0.9</v>
      </c>
      <c r="Y891">
        <v>0</v>
      </c>
    </row>
    <row r="892" spans="1:25" x14ac:dyDescent="0.3">
      <c r="A892" t="s">
        <v>1130</v>
      </c>
      <c r="B892" t="s">
        <v>65</v>
      </c>
      <c r="C892" t="s">
        <v>42</v>
      </c>
      <c r="D892">
        <v>13</v>
      </c>
      <c r="E892">
        <v>0</v>
      </c>
      <c r="F892">
        <v>1</v>
      </c>
      <c r="G892">
        <v>1</v>
      </c>
      <c r="H892">
        <v>-8</v>
      </c>
      <c r="I892">
        <v>6</v>
      </c>
      <c r="J892">
        <v>12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16</v>
      </c>
      <c r="Q892">
        <v>3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</row>
    <row r="893" spans="1:25" x14ac:dyDescent="0.3">
      <c r="A893" t="s">
        <v>1131</v>
      </c>
      <c r="B893" t="s">
        <v>57</v>
      </c>
      <c r="C893" t="s">
        <v>93</v>
      </c>
      <c r="D893">
        <v>9</v>
      </c>
      <c r="E893">
        <v>0</v>
      </c>
      <c r="F893">
        <v>1</v>
      </c>
      <c r="G893">
        <v>1</v>
      </c>
      <c r="H893">
        <v>0</v>
      </c>
      <c r="I893">
        <v>4</v>
      </c>
      <c r="J893">
        <v>9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23</v>
      </c>
      <c r="Q893">
        <v>9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</row>
    <row r="894" spans="1:25" x14ac:dyDescent="0.3">
      <c r="A894" t="s">
        <v>868</v>
      </c>
      <c r="B894" t="s">
        <v>196</v>
      </c>
      <c r="C894" t="s">
        <v>10</v>
      </c>
      <c r="D894">
        <v>14</v>
      </c>
      <c r="E894">
        <v>0</v>
      </c>
      <c r="F894">
        <v>1</v>
      </c>
      <c r="G894">
        <v>1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0</v>
      </c>
      <c r="R894">
        <v>8</v>
      </c>
      <c r="S894">
        <v>4</v>
      </c>
      <c r="T894">
        <v>1</v>
      </c>
      <c r="U894">
        <v>35</v>
      </c>
      <c r="V894">
        <v>427</v>
      </c>
      <c r="W894">
        <v>392</v>
      </c>
      <c r="X894">
        <v>0.91800000000000004</v>
      </c>
      <c r="Y894">
        <v>1</v>
      </c>
    </row>
    <row r="895" spans="1:25" x14ac:dyDescent="0.3">
      <c r="A895" t="s">
        <v>1132</v>
      </c>
      <c r="B895" t="s">
        <v>35</v>
      </c>
      <c r="C895" t="s">
        <v>93</v>
      </c>
      <c r="D895">
        <v>4</v>
      </c>
      <c r="E895">
        <v>0</v>
      </c>
      <c r="F895">
        <v>1</v>
      </c>
      <c r="G895">
        <v>1</v>
      </c>
      <c r="H895">
        <v>1</v>
      </c>
      <c r="I895">
        <v>2</v>
      </c>
      <c r="J895">
        <v>3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2</v>
      </c>
      <c r="Q895">
        <v>3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</row>
    <row r="896" spans="1:25" x14ac:dyDescent="0.3">
      <c r="A896" t="s">
        <v>722</v>
      </c>
      <c r="B896" t="s">
        <v>140</v>
      </c>
      <c r="C896" t="s">
        <v>29</v>
      </c>
      <c r="D896">
        <v>6</v>
      </c>
      <c r="E896">
        <v>0</v>
      </c>
      <c r="F896">
        <v>1</v>
      </c>
      <c r="G896">
        <v>1</v>
      </c>
      <c r="H896">
        <v>-1</v>
      </c>
      <c r="I896">
        <v>9</v>
      </c>
      <c r="J896">
        <v>7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13</v>
      </c>
      <c r="Q896">
        <v>3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</row>
    <row r="897" spans="1:25" x14ac:dyDescent="0.3">
      <c r="A897" t="s">
        <v>613</v>
      </c>
      <c r="B897" t="s">
        <v>73</v>
      </c>
      <c r="C897" t="s">
        <v>93</v>
      </c>
      <c r="D897">
        <v>9</v>
      </c>
      <c r="E897">
        <v>0</v>
      </c>
      <c r="F897">
        <v>1</v>
      </c>
      <c r="G897">
        <v>1</v>
      </c>
      <c r="H897">
        <v>-3</v>
      </c>
      <c r="I897">
        <v>4</v>
      </c>
      <c r="J897">
        <v>9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5</v>
      </c>
      <c r="Q897">
        <v>12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</row>
    <row r="898" spans="1:25" x14ac:dyDescent="0.3">
      <c r="A898" t="s">
        <v>822</v>
      </c>
      <c r="B898" t="s">
        <v>79</v>
      </c>
      <c r="C898" t="s">
        <v>93</v>
      </c>
      <c r="D898">
        <v>8</v>
      </c>
      <c r="E898">
        <v>0</v>
      </c>
      <c r="F898">
        <v>1</v>
      </c>
      <c r="G898">
        <v>1</v>
      </c>
      <c r="H898">
        <v>-3</v>
      </c>
      <c r="I898">
        <v>0</v>
      </c>
      <c r="J898">
        <v>7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19</v>
      </c>
      <c r="Q898">
        <v>11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</row>
    <row r="899" spans="1:25" x14ac:dyDescent="0.3">
      <c r="A899" t="s">
        <v>928</v>
      </c>
      <c r="B899" t="s">
        <v>48</v>
      </c>
      <c r="C899" t="s">
        <v>10</v>
      </c>
      <c r="D899">
        <v>23</v>
      </c>
      <c r="E899">
        <v>0</v>
      </c>
      <c r="F899">
        <v>1</v>
      </c>
      <c r="G899">
        <v>1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12</v>
      </c>
      <c r="S899">
        <v>7</v>
      </c>
      <c r="T899">
        <v>2</v>
      </c>
      <c r="U899">
        <v>57</v>
      </c>
      <c r="V899">
        <v>594</v>
      </c>
      <c r="W899">
        <v>537</v>
      </c>
      <c r="X899">
        <v>0.90400000000000003</v>
      </c>
      <c r="Y899">
        <v>2</v>
      </c>
    </row>
    <row r="900" spans="1:25" x14ac:dyDescent="0.3">
      <c r="A900" t="s">
        <v>761</v>
      </c>
      <c r="B900" t="s">
        <v>48</v>
      </c>
      <c r="C900" t="s">
        <v>93</v>
      </c>
      <c r="D900">
        <v>8</v>
      </c>
      <c r="E900">
        <v>0</v>
      </c>
      <c r="F900">
        <v>1</v>
      </c>
      <c r="G900">
        <v>1</v>
      </c>
      <c r="H900">
        <v>-2</v>
      </c>
      <c r="I900">
        <v>6</v>
      </c>
      <c r="J900">
        <v>7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26</v>
      </c>
      <c r="Q900">
        <v>9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</row>
    <row r="901" spans="1:25" x14ac:dyDescent="0.3">
      <c r="A901" t="s">
        <v>871</v>
      </c>
      <c r="B901" t="s">
        <v>71</v>
      </c>
      <c r="C901" t="s">
        <v>10</v>
      </c>
      <c r="D901">
        <v>34</v>
      </c>
      <c r="E901">
        <v>0</v>
      </c>
      <c r="F901">
        <v>1</v>
      </c>
      <c r="G901">
        <v>1</v>
      </c>
      <c r="H901">
        <v>0</v>
      </c>
      <c r="I901">
        <v>2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13</v>
      </c>
      <c r="S901">
        <v>15</v>
      </c>
      <c r="T901">
        <v>4</v>
      </c>
      <c r="U901">
        <v>89</v>
      </c>
      <c r="V901">
        <v>1021</v>
      </c>
      <c r="W901">
        <v>932</v>
      </c>
      <c r="X901">
        <v>0.91300000000000003</v>
      </c>
      <c r="Y901">
        <v>2</v>
      </c>
    </row>
    <row r="902" spans="1:25" x14ac:dyDescent="0.3">
      <c r="A902" t="s">
        <v>1128</v>
      </c>
      <c r="B902" t="s">
        <v>132</v>
      </c>
      <c r="C902" t="s">
        <v>29</v>
      </c>
      <c r="D902">
        <v>2</v>
      </c>
      <c r="E902">
        <v>0</v>
      </c>
      <c r="F902">
        <v>1</v>
      </c>
      <c r="G902">
        <v>1</v>
      </c>
      <c r="H902">
        <v>0</v>
      </c>
      <c r="I902">
        <v>4</v>
      </c>
      <c r="J902">
        <v>4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4</v>
      </c>
      <c r="Q902">
        <v>1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</row>
    <row r="903" spans="1:25" x14ac:dyDescent="0.3">
      <c r="A903" t="s">
        <v>846</v>
      </c>
      <c r="B903" t="s">
        <v>79</v>
      </c>
      <c r="C903" t="s">
        <v>93</v>
      </c>
      <c r="D903">
        <v>9</v>
      </c>
      <c r="E903">
        <v>0</v>
      </c>
      <c r="F903">
        <v>1</v>
      </c>
      <c r="G903">
        <v>1</v>
      </c>
      <c r="H903">
        <v>-1</v>
      </c>
      <c r="I903">
        <v>15</v>
      </c>
      <c r="J903">
        <v>15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26</v>
      </c>
      <c r="Q903">
        <v>12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</row>
    <row r="904" spans="1:25" x14ac:dyDescent="0.3">
      <c r="A904" t="s">
        <v>800</v>
      </c>
      <c r="B904" t="s">
        <v>122</v>
      </c>
      <c r="C904" t="s">
        <v>93</v>
      </c>
      <c r="D904">
        <v>5</v>
      </c>
      <c r="E904">
        <v>0</v>
      </c>
      <c r="F904">
        <v>1</v>
      </c>
      <c r="G904">
        <v>1</v>
      </c>
      <c r="H904">
        <v>-2</v>
      </c>
      <c r="I904">
        <v>2</v>
      </c>
      <c r="J904">
        <v>12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4</v>
      </c>
      <c r="Q904">
        <v>3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</row>
    <row r="905" spans="1:25" x14ac:dyDescent="0.3">
      <c r="A905" t="s">
        <v>708</v>
      </c>
      <c r="B905" t="s">
        <v>122</v>
      </c>
      <c r="C905" t="s">
        <v>93</v>
      </c>
      <c r="D905">
        <v>20</v>
      </c>
      <c r="E905">
        <v>0</v>
      </c>
      <c r="F905">
        <v>1</v>
      </c>
      <c r="G905">
        <v>1</v>
      </c>
      <c r="H905">
        <v>-2</v>
      </c>
      <c r="I905">
        <v>4</v>
      </c>
      <c r="J905">
        <v>19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16</v>
      </c>
      <c r="Q905">
        <v>15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</row>
    <row r="906" spans="1:25" x14ac:dyDescent="0.3">
      <c r="A906" t="s">
        <v>926</v>
      </c>
      <c r="B906" t="s">
        <v>32</v>
      </c>
      <c r="C906" t="s">
        <v>10</v>
      </c>
      <c r="D906">
        <v>59</v>
      </c>
      <c r="E906">
        <v>0</v>
      </c>
      <c r="F906">
        <v>1</v>
      </c>
      <c r="G906">
        <v>1</v>
      </c>
      <c r="H906">
        <v>0</v>
      </c>
      <c r="I906">
        <v>2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0</v>
      </c>
      <c r="R906">
        <v>37</v>
      </c>
      <c r="S906">
        <v>17</v>
      </c>
      <c r="T906">
        <v>4</v>
      </c>
      <c r="U906">
        <v>122</v>
      </c>
      <c r="V906">
        <v>1812</v>
      </c>
      <c r="W906">
        <v>1690</v>
      </c>
      <c r="X906">
        <v>0.93300000000000005</v>
      </c>
      <c r="Y906">
        <v>7</v>
      </c>
    </row>
    <row r="907" spans="1:25" x14ac:dyDescent="0.3">
      <c r="A907" t="s">
        <v>1136</v>
      </c>
      <c r="B907" t="s">
        <v>132</v>
      </c>
      <c r="C907" t="s">
        <v>93</v>
      </c>
      <c r="D907">
        <v>7</v>
      </c>
      <c r="E907">
        <v>0</v>
      </c>
      <c r="F907">
        <v>1</v>
      </c>
      <c r="G907">
        <v>1</v>
      </c>
      <c r="H907">
        <v>-1</v>
      </c>
      <c r="I907">
        <v>6</v>
      </c>
      <c r="J907">
        <v>5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12</v>
      </c>
      <c r="Q907">
        <v>11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</row>
    <row r="908" spans="1:25" x14ac:dyDescent="0.3">
      <c r="A908" t="s">
        <v>1137</v>
      </c>
      <c r="B908" t="s">
        <v>54</v>
      </c>
      <c r="C908" t="s">
        <v>93</v>
      </c>
      <c r="D908">
        <v>4</v>
      </c>
      <c r="E908">
        <v>1</v>
      </c>
      <c r="F908">
        <v>0</v>
      </c>
      <c r="G908">
        <v>1</v>
      </c>
      <c r="H908">
        <v>-1</v>
      </c>
      <c r="I908">
        <v>0</v>
      </c>
      <c r="J908">
        <v>2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2</v>
      </c>
      <c r="Q908">
        <v>3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</row>
    <row r="909" spans="1:25" x14ac:dyDescent="0.3">
      <c r="A909" t="s">
        <v>920</v>
      </c>
      <c r="B909" t="s">
        <v>132</v>
      </c>
      <c r="C909" t="s">
        <v>29</v>
      </c>
      <c r="D909">
        <v>10</v>
      </c>
      <c r="E909">
        <v>0</v>
      </c>
      <c r="F909">
        <v>1</v>
      </c>
      <c r="G909">
        <v>1</v>
      </c>
      <c r="H909">
        <v>-4</v>
      </c>
      <c r="I909">
        <v>0</v>
      </c>
      <c r="J909">
        <v>8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17</v>
      </c>
      <c r="Q909">
        <v>5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</row>
    <row r="910" spans="1:25" x14ac:dyDescent="0.3">
      <c r="A910" t="s">
        <v>1138</v>
      </c>
      <c r="B910" t="s">
        <v>82</v>
      </c>
      <c r="C910" t="s">
        <v>93</v>
      </c>
      <c r="D910">
        <v>8</v>
      </c>
      <c r="E910">
        <v>0</v>
      </c>
      <c r="F910">
        <v>1</v>
      </c>
      <c r="G910">
        <v>1</v>
      </c>
      <c r="H910">
        <v>1</v>
      </c>
      <c r="I910">
        <v>2</v>
      </c>
      <c r="J910">
        <v>7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7</v>
      </c>
      <c r="Q910">
        <v>9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</row>
    <row r="911" spans="1:25" x14ac:dyDescent="0.3">
      <c r="A911" t="s">
        <v>1139</v>
      </c>
      <c r="B911" t="s">
        <v>39</v>
      </c>
      <c r="C911" t="s">
        <v>29</v>
      </c>
      <c r="D911">
        <v>4</v>
      </c>
      <c r="E911">
        <v>1</v>
      </c>
      <c r="F911">
        <v>0</v>
      </c>
      <c r="G911">
        <v>1</v>
      </c>
      <c r="H911">
        <v>1</v>
      </c>
      <c r="I911">
        <v>4</v>
      </c>
      <c r="J911">
        <v>5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11</v>
      </c>
      <c r="Q911">
        <v>2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</row>
    <row r="912" spans="1:25" x14ac:dyDescent="0.3">
      <c r="A912" t="s">
        <v>1140</v>
      </c>
      <c r="B912" t="s">
        <v>46</v>
      </c>
      <c r="C912" t="s">
        <v>42</v>
      </c>
      <c r="D912">
        <v>6</v>
      </c>
      <c r="E912">
        <v>1</v>
      </c>
      <c r="F912">
        <v>0</v>
      </c>
      <c r="G912">
        <v>1</v>
      </c>
      <c r="H912">
        <v>-1</v>
      </c>
      <c r="I912">
        <v>2</v>
      </c>
      <c r="J912">
        <v>8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9</v>
      </c>
      <c r="Q912">
        <v>2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</row>
    <row r="913" spans="1:25" x14ac:dyDescent="0.3">
      <c r="A913" t="s">
        <v>1141</v>
      </c>
      <c r="B913" t="s">
        <v>28</v>
      </c>
      <c r="C913" t="s">
        <v>93</v>
      </c>
      <c r="D913">
        <v>5</v>
      </c>
      <c r="E913">
        <v>0</v>
      </c>
      <c r="F913">
        <v>1</v>
      </c>
      <c r="G913">
        <v>1</v>
      </c>
      <c r="H913">
        <v>-2</v>
      </c>
      <c r="I913">
        <v>2</v>
      </c>
      <c r="J913">
        <v>4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21</v>
      </c>
      <c r="Q913">
        <v>6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</row>
    <row r="914" spans="1:25" x14ac:dyDescent="0.3">
      <c r="A914" t="s">
        <v>1142</v>
      </c>
      <c r="B914" t="s">
        <v>39</v>
      </c>
      <c r="C914" t="s">
        <v>93</v>
      </c>
      <c r="D914">
        <v>3</v>
      </c>
      <c r="E914">
        <v>0</v>
      </c>
      <c r="F914">
        <v>1</v>
      </c>
      <c r="G914">
        <v>1</v>
      </c>
      <c r="H914">
        <v>1</v>
      </c>
      <c r="I914">
        <v>2</v>
      </c>
      <c r="J914">
        <v>2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2</v>
      </c>
      <c r="Q914">
        <v>3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</row>
    <row r="915" spans="1:25" x14ac:dyDescent="0.3">
      <c r="A915" t="s">
        <v>707</v>
      </c>
      <c r="B915" t="s">
        <v>32</v>
      </c>
      <c r="C915" t="s">
        <v>93</v>
      </c>
      <c r="D915">
        <v>11</v>
      </c>
      <c r="E915">
        <v>0</v>
      </c>
      <c r="F915">
        <v>1</v>
      </c>
      <c r="G915">
        <v>1</v>
      </c>
      <c r="H915">
        <v>-3</v>
      </c>
      <c r="I915">
        <v>4</v>
      </c>
      <c r="J915">
        <v>8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8</v>
      </c>
      <c r="Q915">
        <v>16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</row>
    <row r="916" spans="1:25" x14ac:dyDescent="0.3">
      <c r="A916" t="s">
        <v>922</v>
      </c>
      <c r="B916" t="s">
        <v>132</v>
      </c>
      <c r="C916" t="s">
        <v>10</v>
      </c>
      <c r="D916">
        <v>53</v>
      </c>
      <c r="E916">
        <v>0</v>
      </c>
      <c r="F916">
        <v>1</v>
      </c>
      <c r="G916">
        <v>1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18</v>
      </c>
      <c r="S916">
        <v>26</v>
      </c>
      <c r="T916">
        <v>7</v>
      </c>
      <c r="U916">
        <v>152</v>
      </c>
      <c r="V916">
        <v>1677</v>
      </c>
      <c r="W916">
        <v>1525</v>
      </c>
      <c r="X916">
        <v>0.90900000000000003</v>
      </c>
      <c r="Y916">
        <v>2</v>
      </c>
    </row>
    <row r="917" spans="1:25" x14ac:dyDescent="0.3">
      <c r="A917" t="s">
        <v>571</v>
      </c>
      <c r="B917" t="s">
        <v>35</v>
      </c>
      <c r="C917" t="s">
        <v>93</v>
      </c>
      <c r="D917">
        <v>6</v>
      </c>
      <c r="E917">
        <v>0</v>
      </c>
      <c r="F917">
        <v>1</v>
      </c>
      <c r="G917">
        <v>1</v>
      </c>
      <c r="H917">
        <v>-2</v>
      </c>
      <c r="I917">
        <v>2</v>
      </c>
      <c r="J917">
        <v>5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2</v>
      </c>
      <c r="Q917">
        <v>7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</row>
    <row r="918" spans="1:25" x14ac:dyDescent="0.3">
      <c r="A918" t="s">
        <v>1135</v>
      </c>
      <c r="B918" t="s">
        <v>75</v>
      </c>
      <c r="C918" t="s">
        <v>93</v>
      </c>
      <c r="D918">
        <v>3</v>
      </c>
      <c r="E918">
        <v>0</v>
      </c>
      <c r="F918">
        <v>1</v>
      </c>
      <c r="G918">
        <v>1</v>
      </c>
      <c r="H918">
        <v>0</v>
      </c>
      <c r="I918">
        <v>2</v>
      </c>
      <c r="J918">
        <v>3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1</v>
      </c>
      <c r="Q918">
        <v>3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</row>
    <row r="919" spans="1:25" x14ac:dyDescent="0.3">
      <c r="A919" t="s">
        <v>766</v>
      </c>
      <c r="B919" t="s">
        <v>57</v>
      </c>
      <c r="C919" t="s">
        <v>33</v>
      </c>
      <c r="D919">
        <v>5</v>
      </c>
      <c r="E919">
        <v>0</v>
      </c>
      <c r="F919">
        <v>1</v>
      </c>
      <c r="G919">
        <v>1</v>
      </c>
      <c r="H919">
        <v>-2</v>
      </c>
      <c r="I919">
        <v>2</v>
      </c>
      <c r="J919">
        <v>7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1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</row>
    <row r="920" spans="1:25" x14ac:dyDescent="0.3">
      <c r="A920" t="s">
        <v>1133</v>
      </c>
      <c r="B920" t="s">
        <v>61</v>
      </c>
      <c r="C920" t="s">
        <v>33</v>
      </c>
      <c r="D920">
        <v>10</v>
      </c>
      <c r="E920">
        <v>0</v>
      </c>
      <c r="F920">
        <v>1</v>
      </c>
      <c r="G920">
        <v>1</v>
      </c>
      <c r="H920">
        <v>-3</v>
      </c>
      <c r="I920">
        <v>6</v>
      </c>
      <c r="J920">
        <v>6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17</v>
      </c>
      <c r="Q920">
        <v>3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</row>
    <row r="921" spans="1:25" x14ac:dyDescent="0.3">
      <c r="A921" t="s">
        <v>742</v>
      </c>
      <c r="B921" t="s">
        <v>79</v>
      </c>
      <c r="C921" t="s">
        <v>93</v>
      </c>
      <c r="D921">
        <v>7</v>
      </c>
      <c r="E921">
        <v>0</v>
      </c>
      <c r="F921">
        <v>1</v>
      </c>
      <c r="G921">
        <v>1</v>
      </c>
      <c r="H921">
        <v>-1</v>
      </c>
      <c r="I921">
        <v>4</v>
      </c>
      <c r="J921">
        <v>6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4</v>
      </c>
      <c r="Q921">
        <v>8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</row>
    <row r="922" spans="1:25" x14ac:dyDescent="0.3">
      <c r="A922" t="s">
        <v>743</v>
      </c>
      <c r="B922" t="s">
        <v>100</v>
      </c>
      <c r="C922" t="s">
        <v>93</v>
      </c>
      <c r="D922">
        <v>5</v>
      </c>
      <c r="E922">
        <v>0</v>
      </c>
      <c r="F922">
        <v>1</v>
      </c>
      <c r="G922">
        <v>1</v>
      </c>
      <c r="H922">
        <v>-2</v>
      </c>
      <c r="I922">
        <v>4</v>
      </c>
      <c r="J922">
        <v>4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3</v>
      </c>
      <c r="Q922">
        <v>3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</row>
    <row r="923" spans="1:25" x14ac:dyDescent="0.3">
      <c r="A923" t="s">
        <v>1134</v>
      </c>
      <c r="B923" t="s">
        <v>54</v>
      </c>
      <c r="C923" t="s">
        <v>29</v>
      </c>
      <c r="D923">
        <v>3</v>
      </c>
      <c r="E923">
        <v>0</v>
      </c>
      <c r="F923">
        <v>1</v>
      </c>
      <c r="G923">
        <v>1</v>
      </c>
      <c r="H923">
        <v>1</v>
      </c>
      <c r="I923">
        <v>4</v>
      </c>
      <c r="J923">
        <v>7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3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</row>
    <row r="924" spans="1:25" x14ac:dyDescent="0.3">
      <c r="A924" t="s">
        <v>756</v>
      </c>
      <c r="B924" t="s">
        <v>100</v>
      </c>
      <c r="C924" t="s">
        <v>10</v>
      </c>
      <c r="D924">
        <v>21</v>
      </c>
      <c r="E924">
        <v>0</v>
      </c>
      <c r="F924">
        <v>1</v>
      </c>
      <c r="G924">
        <v>1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8</v>
      </c>
      <c r="S924">
        <v>10</v>
      </c>
      <c r="T924">
        <v>2</v>
      </c>
      <c r="U924">
        <v>66</v>
      </c>
      <c r="V924">
        <v>657</v>
      </c>
      <c r="W924">
        <v>591</v>
      </c>
      <c r="X924">
        <v>0.9</v>
      </c>
      <c r="Y924">
        <v>1</v>
      </c>
    </row>
    <row r="925" spans="1:25" x14ac:dyDescent="0.3">
      <c r="A925" t="s">
        <v>1143</v>
      </c>
      <c r="B925" t="s">
        <v>52</v>
      </c>
      <c r="C925" t="s">
        <v>93</v>
      </c>
      <c r="D925">
        <v>9</v>
      </c>
      <c r="E925">
        <v>0</v>
      </c>
      <c r="F925">
        <v>1</v>
      </c>
      <c r="G925">
        <v>1</v>
      </c>
      <c r="H925">
        <v>1</v>
      </c>
      <c r="I925">
        <v>3</v>
      </c>
      <c r="J925">
        <v>18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5</v>
      </c>
      <c r="Q925">
        <v>5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</row>
    <row r="926" spans="1:25" x14ac:dyDescent="0.3">
      <c r="A926" t="s">
        <v>812</v>
      </c>
      <c r="B926" t="s">
        <v>63</v>
      </c>
      <c r="C926" t="s">
        <v>93</v>
      </c>
      <c r="D926">
        <v>6</v>
      </c>
      <c r="E926">
        <v>0</v>
      </c>
      <c r="F926">
        <v>1</v>
      </c>
      <c r="G926">
        <v>1</v>
      </c>
      <c r="H926">
        <v>0</v>
      </c>
      <c r="I926">
        <v>4</v>
      </c>
      <c r="J926">
        <v>9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13</v>
      </c>
      <c r="Q926">
        <v>7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</row>
    <row r="927" spans="1:25" x14ac:dyDescent="0.3">
      <c r="A927" t="s">
        <v>933</v>
      </c>
      <c r="B927" t="s">
        <v>79</v>
      </c>
      <c r="C927" t="s">
        <v>29</v>
      </c>
      <c r="D927">
        <v>4</v>
      </c>
      <c r="E927">
        <v>1</v>
      </c>
      <c r="F927">
        <v>0</v>
      </c>
      <c r="G927">
        <v>1</v>
      </c>
      <c r="H927">
        <v>-1</v>
      </c>
      <c r="I927">
        <v>2</v>
      </c>
      <c r="J927">
        <v>5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4</v>
      </c>
      <c r="Q927">
        <v>2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</row>
    <row r="928" spans="1:25" x14ac:dyDescent="0.3">
      <c r="A928" t="s">
        <v>479</v>
      </c>
      <c r="B928" t="s">
        <v>57</v>
      </c>
      <c r="C928" t="s">
        <v>33</v>
      </c>
      <c r="D928">
        <v>3</v>
      </c>
      <c r="E928">
        <v>0</v>
      </c>
      <c r="F928">
        <v>1</v>
      </c>
      <c r="G928">
        <v>1</v>
      </c>
      <c r="H928">
        <v>1</v>
      </c>
      <c r="I928">
        <v>2</v>
      </c>
      <c r="J928">
        <v>4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4</v>
      </c>
      <c r="Q928">
        <v>1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</row>
    <row r="929" spans="1:25" x14ac:dyDescent="0.3">
      <c r="A929" t="s">
        <v>643</v>
      </c>
      <c r="B929" t="s">
        <v>181</v>
      </c>
      <c r="C929" t="s">
        <v>93</v>
      </c>
      <c r="D929">
        <v>6</v>
      </c>
      <c r="E929">
        <v>0</v>
      </c>
      <c r="F929">
        <v>1</v>
      </c>
      <c r="G929">
        <v>1</v>
      </c>
      <c r="H929">
        <v>-2</v>
      </c>
      <c r="I929">
        <v>2</v>
      </c>
      <c r="J929">
        <v>7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5</v>
      </c>
      <c r="Q929">
        <v>8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</row>
    <row r="930" spans="1:25" x14ac:dyDescent="0.3">
      <c r="A930" t="s">
        <v>1144</v>
      </c>
      <c r="B930" t="s">
        <v>48</v>
      </c>
      <c r="C930" t="s">
        <v>42</v>
      </c>
      <c r="D930">
        <v>8</v>
      </c>
      <c r="E930">
        <v>0</v>
      </c>
      <c r="F930">
        <v>1</v>
      </c>
      <c r="G930">
        <v>1</v>
      </c>
      <c r="H930">
        <v>-4</v>
      </c>
      <c r="I930">
        <v>4</v>
      </c>
      <c r="J930">
        <v>9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13</v>
      </c>
      <c r="Q930">
        <v>3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</row>
    <row r="931" spans="1:25" x14ac:dyDescent="0.3">
      <c r="A931" t="s">
        <v>537</v>
      </c>
      <c r="B931" t="s">
        <v>71</v>
      </c>
      <c r="C931" t="s">
        <v>93</v>
      </c>
      <c r="D931">
        <v>6</v>
      </c>
      <c r="E931">
        <v>0</v>
      </c>
      <c r="F931">
        <v>1</v>
      </c>
      <c r="G931">
        <v>1</v>
      </c>
      <c r="H931">
        <v>-2</v>
      </c>
      <c r="I931">
        <v>4</v>
      </c>
      <c r="J931">
        <v>6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10</v>
      </c>
      <c r="Q931">
        <v>7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</row>
    <row r="932" spans="1:25" x14ac:dyDescent="0.3">
      <c r="A932" t="s">
        <v>748</v>
      </c>
      <c r="B932" t="s">
        <v>84</v>
      </c>
      <c r="C932" t="s">
        <v>33</v>
      </c>
      <c r="D932">
        <v>5</v>
      </c>
      <c r="E932">
        <v>0</v>
      </c>
      <c r="F932">
        <v>1</v>
      </c>
      <c r="G932">
        <v>1</v>
      </c>
      <c r="H932">
        <v>-2</v>
      </c>
      <c r="I932">
        <v>0</v>
      </c>
      <c r="J932">
        <v>4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3</v>
      </c>
      <c r="Q932">
        <v>1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</row>
    <row r="933" spans="1:25" x14ac:dyDescent="0.3">
      <c r="A933" t="s">
        <v>1145</v>
      </c>
      <c r="B933" t="s">
        <v>39</v>
      </c>
      <c r="C933" t="s">
        <v>33</v>
      </c>
      <c r="D933">
        <v>3</v>
      </c>
      <c r="E933">
        <v>0</v>
      </c>
      <c r="F933">
        <v>1</v>
      </c>
      <c r="G933">
        <v>1</v>
      </c>
      <c r="H933">
        <v>1</v>
      </c>
      <c r="I933">
        <v>2</v>
      </c>
      <c r="J933">
        <v>5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2</v>
      </c>
      <c r="Q933">
        <v>1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</row>
    <row r="934" spans="1:25" x14ac:dyDescent="0.3">
      <c r="A934" t="s">
        <v>805</v>
      </c>
      <c r="B934" t="s">
        <v>65</v>
      </c>
      <c r="C934" t="s">
        <v>29</v>
      </c>
      <c r="D934">
        <v>10</v>
      </c>
      <c r="E934">
        <v>0</v>
      </c>
      <c r="F934">
        <v>1</v>
      </c>
      <c r="G934">
        <v>1</v>
      </c>
      <c r="H934">
        <v>-5</v>
      </c>
      <c r="I934">
        <v>4</v>
      </c>
      <c r="J934">
        <v>8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18</v>
      </c>
      <c r="Q934">
        <v>3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</row>
    <row r="935" spans="1:25" x14ac:dyDescent="0.3">
      <c r="A935" t="s">
        <v>1146</v>
      </c>
      <c r="B935" t="s">
        <v>95</v>
      </c>
      <c r="C935" t="s">
        <v>93</v>
      </c>
      <c r="D935">
        <v>18</v>
      </c>
      <c r="E935">
        <v>0</v>
      </c>
      <c r="F935">
        <v>1</v>
      </c>
      <c r="G935">
        <v>1</v>
      </c>
      <c r="H935">
        <v>-4</v>
      </c>
      <c r="I935">
        <v>4</v>
      </c>
      <c r="J935">
        <v>26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18</v>
      </c>
      <c r="Q935">
        <v>15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</row>
    <row r="936" spans="1:25" x14ac:dyDescent="0.3">
      <c r="A936" t="s">
        <v>1147</v>
      </c>
      <c r="B936" t="s">
        <v>75</v>
      </c>
      <c r="C936" t="s">
        <v>10</v>
      </c>
      <c r="D936">
        <v>2</v>
      </c>
      <c r="E936">
        <v>0</v>
      </c>
      <c r="F936">
        <v>1</v>
      </c>
      <c r="G936">
        <v>1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1</v>
      </c>
      <c r="S936">
        <v>1</v>
      </c>
      <c r="T936">
        <v>0</v>
      </c>
      <c r="U936">
        <v>5</v>
      </c>
      <c r="V936">
        <v>52</v>
      </c>
      <c r="W936">
        <v>47</v>
      </c>
      <c r="X936">
        <v>0.90400000000000003</v>
      </c>
      <c r="Y936">
        <v>0</v>
      </c>
    </row>
    <row r="937" spans="1:25" x14ac:dyDescent="0.3">
      <c r="A937" t="s">
        <v>1152</v>
      </c>
      <c r="B937" t="s">
        <v>73</v>
      </c>
      <c r="C937" t="s">
        <v>33</v>
      </c>
      <c r="D937">
        <v>8</v>
      </c>
      <c r="E937">
        <v>0</v>
      </c>
      <c r="F937">
        <v>1</v>
      </c>
      <c r="G937">
        <v>1</v>
      </c>
      <c r="H937">
        <v>1</v>
      </c>
      <c r="I937">
        <v>3</v>
      </c>
      <c r="J937">
        <v>15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4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</row>
    <row r="938" spans="1:25" x14ac:dyDescent="0.3">
      <c r="A938" t="s">
        <v>1157</v>
      </c>
      <c r="B938" t="s">
        <v>46</v>
      </c>
      <c r="C938" t="s">
        <v>93</v>
      </c>
      <c r="D938">
        <v>5</v>
      </c>
      <c r="E938">
        <v>0</v>
      </c>
      <c r="F938">
        <v>1</v>
      </c>
      <c r="G938">
        <v>1</v>
      </c>
      <c r="H938">
        <v>3</v>
      </c>
      <c r="I938">
        <v>2</v>
      </c>
      <c r="J938">
        <v>5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6</v>
      </c>
      <c r="Q938">
        <v>3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</row>
    <row r="939" spans="1:25" x14ac:dyDescent="0.3">
      <c r="A939" t="s">
        <v>1148</v>
      </c>
      <c r="B939" t="s">
        <v>106</v>
      </c>
      <c r="C939" t="s">
        <v>42</v>
      </c>
      <c r="D939">
        <v>6</v>
      </c>
      <c r="E939">
        <v>0</v>
      </c>
      <c r="F939">
        <v>1</v>
      </c>
      <c r="G939">
        <v>1</v>
      </c>
      <c r="H939">
        <v>-2</v>
      </c>
      <c r="I939">
        <v>2</v>
      </c>
      <c r="J939">
        <v>8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4</v>
      </c>
      <c r="Q939">
        <v>1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</row>
    <row r="940" spans="1:25" x14ac:dyDescent="0.3">
      <c r="A940" t="s">
        <v>752</v>
      </c>
      <c r="B940" t="s">
        <v>48</v>
      </c>
      <c r="C940" t="s">
        <v>93</v>
      </c>
      <c r="D940">
        <v>4</v>
      </c>
      <c r="E940">
        <v>0</v>
      </c>
      <c r="F940">
        <v>1</v>
      </c>
      <c r="G940">
        <v>1</v>
      </c>
      <c r="H940">
        <v>1</v>
      </c>
      <c r="I940">
        <v>4</v>
      </c>
      <c r="J940">
        <v>5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5</v>
      </c>
      <c r="Q940">
        <v>3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</row>
    <row r="941" spans="1:25" x14ac:dyDescent="0.3">
      <c r="A941" t="s">
        <v>943</v>
      </c>
      <c r="B941" t="s">
        <v>37</v>
      </c>
      <c r="C941" t="s">
        <v>93</v>
      </c>
      <c r="D941">
        <v>6</v>
      </c>
      <c r="E941">
        <v>0</v>
      </c>
      <c r="F941">
        <v>1</v>
      </c>
      <c r="G941">
        <v>1</v>
      </c>
      <c r="H941">
        <v>-3</v>
      </c>
      <c r="I941">
        <v>0</v>
      </c>
      <c r="J941">
        <v>6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8</v>
      </c>
      <c r="Q941">
        <v>6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</row>
    <row r="942" spans="1:25" x14ac:dyDescent="0.3">
      <c r="A942" t="s">
        <v>1149</v>
      </c>
      <c r="B942" t="s">
        <v>59</v>
      </c>
      <c r="C942" t="s">
        <v>93</v>
      </c>
      <c r="D942">
        <v>8</v>
      </c>
      <c r="E942">
        <v>0</v>
      </c>
      <c r="F942">
        <v>1</v>
      </c>
      <c r="G942">
        <v>1</v>
      </c>
      <c r="H942">
        <v>1</v>
      </c>
      <c r="I942">
        <v>2</v>
      </c>
      <c r="J942">
        <v>5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9</v>
      </c>
      <c r="Q942">
        <v>8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</row>
    <row r="943" spans="1:25" x14ac:dyDescent="0.3">
      <c r="A943" t="s">
        <v>1156</v>
      </c>
      <c r="B943" t="s">
        <v>71</v>
      </c>
      <c r="C943" t="s">
        <v>33</v>
      </c>
      <c r="D943">
        <v>5</v>
      </c>
      <c r="E943">
        <v>0</v>
      </c>
      <c r="F943">
        <v>1</v>
      </c>
      <c r="G943">
        <v>1</v>
      </c>
      <c r="H943">
        <v>-2</v>
      </c>
      <c r="I943">
        <v>6</v>
      </c>
      <c r="J943">
        <v>3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13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</row>
    <row r="944" spans="1:25" x14ac:dyDescent="0.3">
      <c r="A944" t="s">
        <v>1155</v>
      </c>
      <c r="B944" t="s">
        <v>98</v>
      </c>
      <c r="C944" t="s">
        <v>93</v>
      </c>
      <c r="D944">
        <v>8</v>
      </c>
      <c r="E944">
        <v>0</v>
      </c>
      <c r="F944">
        <v>1</v>
      </c>
      <c r="G944">
        <v>1</v>
      </c>
      <c r="H944">
        <v>-3</v>
      </c>
      <c r="I944">
        <v>2</v>
      </c>
      <c r="J944">
        <v>8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8</v>
      </c>
      <c r="Q944">
        <v>6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</row>
    <row r="945" spans="1:25" x14ac:dyDescent="0.3">
      <c r="A945" t="s">
        <v>1154</v>
      </c>
      <c r="B945" t="s">
        <v>46</v>
      </c>
      <c r="C945" t="s">
        <v>42</v>
      </c>
      <c r="D945">
        <v>1</v>
      </c>
      <c r="E945">
        <v>0</v>
      </c>
      <c r="F945">
        <v>1</v>
      </c>
      <c r="G945">
        <v>1</v>
      </c>
      <c r="H945">
        <v>2</v>
      </c>
      <c r="I945">
        <v>0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1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</row>
    <row r="946" spans="1:25" x14ac:dyDescent="0.3">
      <c r="A946" t="s">
        <v>1150</v>
      </c>
      <c r="B946" t="s">
        <v>98</v>
      </c>
      <c r="C946" t="s">
        <v>93</v>
      </c>
      <c r="D946">
        <v>9</v>
      </c>
      <c r="E946">
        <v>0</v>
      </c>
      <c r="F946">
        <v>1</v>
      </c>
      <c r="G946">
        <v>1</v>
      </c>
      <c r="H946">
        <v>0</v>
      </c>
      <c r="I946">
        <v>2</v>
      </c>
      <c r="J946">
        <v>11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4</v>
      </c>
      <c r="Q946">
        <v>5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</row>
    <row r="947" spans="1:25" x14ac:dyDescent="0.3">
      <c r="A947" t="s">
        <v>1153</v>
      </c>
      <c r="B947" t="s">
        <v>59</v>
      </c>
      <c r="C947" t="s">
        <v>42</v>
      </c>
      <c r="D947">
        <v>5</v>
      </c>
      <c r="E947">
        <v>0</v>
      </c>
      <c r="F947">
        <v>1</v>
      </c>
      <c r="G947">
        <v>1</v>
      </c>
      <c r="H947">
        <v>-1</v>
      </c>
      <c r="I947">
        <v>2</v>
      </c>
      <c r="J947">
        <v>6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11</v>
      </c>
      <c r="Q947">
        <v>2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</row>
    <row r="948" spans="1:25" x14ac:dyDescent="0.3">
      <c r="A948" t="s">
        <v>809</v>
      </c>
      <c r="B948" t="s">
        <v>132</v>
      </c>
      <c r="C948" t="s">
        <v>29</v>
      </c>
      <c r="D948">
        <v>6</v>
      </c>
      <c r="E948">
        <v>1</v>
      </c>
      <c r="F948">
        <v>0</v>
      </c>
      <c r="G948">
        <v>1</v>
      </c>
      <c r="H948">
        <v>-2</v>
      </c>
      <c r="I948">
        <v>0</v>
      </c>
      <c r="J948">
        <v>5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2</v>
      </c>
      <c r="Q948">
        <v>2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</row>
    <row r="949" spans="1:25" x14ac:dyDescent="0.3">
      <c r="A949" t="s">
        <v>1151</v>
      </c>
      <c r="B949" t="s">
        <v>44</v>
      </c>
      <c r="C949" t="s">
        <v>93</v>
      </c>
      <c r="D949">
        <v>18</v>
      </c>
      <c r="E949">
        <v>0</v>
      </c>
      <c r="F949">
        <v>1</v>
      </c>
      <c r="G949">
        <v>1</v>
      </c>
      <c r="H949">
        <v>-4</v>
      </c>
      <c r="I949">
        <v>18</v>
      </c>
      <c r="J949">
        <v>18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14</v>
      </c>
      <c r="Q949">
        <v>5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</row>
    <row r="950" spans="1:25" x14ac:dyDescent="0.3">
      <c r="A950" t="s">
        <v>1162</v>
      </c>
      <c r="B950" t="s">
        <v>98</v>
      </c>
      <c r="C950" t="s">
        <v>93</v>
      </c>
      <c r="D950">
        <v>5</v>
      </c>
      <c r="E950">
        <v>0</v>
      </c>
      <c r="F950">
        <v>0</v>
      </c>
      <c r="G950">
        <v>0</v>
      </c>
      <c r="H950">
        <v>-2</v>
      </c>
      <c r="I950">
        <v>0</v>
      </c>
      <c r="J950">
        <v>3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16</v>
      </c>
      <c r="Q950">
        <v>3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</row>
    <row r="951" spans="1:25" x14ac:dyDescent="0.3">
      <c r="A951" t="s">
        <v>1165</v>
      </c>
      <c r="B951" t="s">
        <v>98</v>
      </c>
      <c r="C951" t="s">
        <v>93</v>
      </c>
      <c r="D951">
        <v>2</v>
      </c>
      <c r="E951">
        <v>0</v>
      </c>
      <c r="F951">
        <v>0</v>
      </c>
      <c r="G951">
        <v>0</v>
      </c>
      <c r="H951">
        <v>-1</v>
      </c>
      <c r="I951">
        <v>0</v>
      </c>
      <c r="J951">
        <v>2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1</v>
      </c>
      <c r="Q951">
        <v>2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</row>
    <row r="952" spans="1:25" x14ac:dyDescent="0.3">
      <c r="A952" t="s">
        <v>944</v>
      </c>
      <c r="B952" t="s">
        <v>98</v>
      </c>
      <c r="C952" t="s">
        <v>10</v>
      </c>
      <c r="D952">
        <v>51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27</v>
      </c>
      <c r="S952">
        <v>17</v>
      </c>
      <c r="T952">
        <v>5</v>
      </c>
      <c r="U952">
        <v>134</v>
      </c>
      <c r="V952">
        <v>1543</v>
      </c>
      <c r="W952">
        <v>1409</v>
      </c>
      <c r="X952">
        <v>0.91300000000000003</v>
      </c>
      <c r="Y952">
        <v>3</v>
      </c>
    </row>
    <row r="953" spans="1:25" x14ac:dyDescent="0.3">
      <c r="A953" t="s">
        <v>1160</v>
      </c>
      <c r="B953" t="s">
        <v>120</v>
      </c>
      <c r="C953" t="s">
        <v>33</v>
      </c>
      <c r="D953">
        <v>4</v>
      </c>
      <c r="E953">
        <v>0</v>
      </c>
      <c r="F953">
        <v>0</v>
      </c>
      <c r="G953">
        <v>0</v>
      </c>
      <c r="H953">
        <v>-2</v>
      </c>
      <c r="I953">
        <v>2</v>
      </c>
      <c r="J953">
        <v>5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10</v>
      </c>
      <c r="Q953">
        <v>2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</row>
    <row r="954" spans="1:25" x14ac:dyDescent="0.3">
      <c r="A954" t="s">
        <v>1163</v>
      </c>
      <c r="B954" t="s">
        <v>181</v>
      </c>
      <c r="C954" t="s">
        <v>10</v>
      </c>
      <c r="D954">
        <v>56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13</v>
      </c>
      <c r="S954">
        <v>34</v>
      </c>
      <c r="T954">
        <v>4</v>
      </c>
      <c r="U954">
        <v>173</v>
      </c>
      <c r="V954">
        <v>1887</v>
      </c>
      <c r="W954">
        <v>1714</v>
      </c>
      <c r="X954">
        <v>0.90800000000000003</v>
      </c>
      <c r="Y954">
        <v>1</v>
      </c>
    </row>
    <row r="955" spans="1:25" x14ac:dyDescent="0.3">
      <c r="A955" t="s">
        <v>1164</v>
      </c>
      <c r="B955" t="s">
        <v>54</v>
      </c>
      <c r="C955" t="s">
        <v>29</v>
      </c>
      <c r="D955">
        <v>3</v>
      </c>
      <c r="E955">
        <v>0</v>
      </c>
      <c r="F955">
        <v>0</v>
      </c>
      <c r="G955">
        <v>0</v>
      </c>
      <c r="H955">
        <v>-2</v>
      </c>
      <c r="I955">
        <v>0</v>
      </c>
      <c r="J955">
        <v>1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4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</row>
    <row r="956" spans="1:25" x14ac:dyDescent="0.3">
      <c r="A956" t="s">
        <v>1159</v>
      </c>
      <c r="B956" t="s">
        <v>44</v>
      </c>
      <c r="C956" t="s">
        <v>10</v>
      </c>
      <c r="D956">
        <v>12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5</v>
      </c>
      <c r="T956">
        <v>1</v>
      </c>
      <c r="U956">
        <v>43</v>
      </c>
      <c r="V956">
        <v>327</v>
      </c>
      <c r="W956">
        <v>284</v>
      </c>
      <c r="X956">
        <v>0.86899999999999999</v>
      </c>
      <c r="Y956">
        <v>0</v>
      </c>
    </row>
    <row r="957" spans="1:25" x14ac:dyDescent="0.3">
      <c r="A957" t="s">
        <v>1161</v>
      </c>
      <c r="B957" t="s">
        <v>52</v>
      </c>
      <c r="C957" t="s">
        <v>29</v>
      </c>
      <c r="D957">
        <v>2</v>
      </c>
      <c r="E957">
        <v>0</v>
      </c>
      <c r="F957">
        <v>0</v>
      </c>
      <c r="G957">
        <v>0</v>
      </c>
      <c r="H957">
        <v>0</v>
      </c>
      <c r="I957">
        <v>4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6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</row>
    <row r="958" spans="1:25" x14ac:dyDescent="0.3">
      <c r="A958" t="s">
        <v>1166</v>
      </c>
      <c r="B958" t="s">
        <v>122</v>
      </c>
      <c r="C958" t="s">
        <v>42</v>
      </c>
      <c r="D958">
        <v>9</v>
      </c>
      <c r="E958">
        <v>0</v>
      </c>
      <c r="F958">
        <v>0</v>
      </c>
      <c r="G958">
        <v>0</v>
      </c>
      <c r="H958">
        <v>-9</v>
      </c>
      <c r="I958">
        <v>0</v>
      </c>
      <c r="J958">
        <v>18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</row>
    <row r="959" spans="1:25" x14ac:dyDescent="0.3">
      <c r="A959" t="s">
        <v>1167</v>
      </c>
      <c r="B959" t="s">
        <v>122</v>
      </c>
      <c r="C959" t="s">
        <v>93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</row>
    <row r="960" spans="1:25" x14ac:dyDescent="0.3">
      <c r="A960" t="s">
        <v>1168</v>
      </c>
      <c r="B960" t="s">
        <v>106</v>
      </c>
      <c r="C960" t="s">
        <v>10</v>
      </c>
      <c r="D960">
        <v>9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3</v>
      </c>
      <c r="S960">
        <v>5</v>
      </c>
      <c r="T960">
        <v>1</v>
      </c>
      <c r="U960">
        <v>27</v>
      </c>
      <c r="V960">
        <v>271</v>
      </c>
      <c r="W960">
        <v>244</v>
      </c>
      <c r="X960">
        <v>0.9</v>
      </c>
      <c r="Y960">
        <v>0</v>
      </c>
    </row>
    <row r="961" spans="1:25" x14ac:dyDescent="0.3">
      <c r="A961" t="s">
        <v>1169</v>
      </c>
      <c r="B961" t="s">
        <v>87</v>
      </c>
      <c r="C961" t="s">
        <v>42</v>
      </c>
      <c r="D961">
        <v>1</v>
      </c>
      <c r="E961">
        <v>0</v>
      </c>
      <c r="F961">
        <v>0</v>
      </c>
      <c r="G961">
        <v>0</v>
      </c>
      <c r="H961">
        <v>1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3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</row>
    <row r="962" spans="1:25" x14ac:dyDescent="0.3">
      <c r="A962" t="s">
        <v>1170</v>
      </c>
      <c r="B962" t="s">
        <v>122</v>
      </c>
      <c r="C962" t="s">
        <v>42</v>
      </c>
      <c r="D962">
        <v>15</v>
      </c>
      <c r="E962">
        <v>0</v>
      </c>
      <c r="F962">
        <v>0</v>
      </c>
      <c r="G962">
        <v>0</v>
      </c>
      <c r="H962">
        <v>-9</v>
      </c>
      <c r="I962">
        <v>0</v>
      </c>
      <c r="J962">
        <v>12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3</v>
      </c>
      <c r="Q962">
        <v>6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</row>
    <row r="963" spans="1:25" x14ac:dyDescent="0.3">
      <c r="A963" t="s">
        <v>808</v>
      </c>
      <c r="B963" t="s">
        <v>106</v>
      </c>
      <c r="C963" t="s">
        <v>29</v>
      </c>
      <c r="D963">
        <v>4</v>
      </c>
      <c r="E963">
        <v>0</v>
      </c>
      <c r="F963">
        <v>0</v>
      </c>
      <c r="G963">
        <v>0</v>
      </c>
      <c r="H963">
        <v>-1</v>
      </c>
      <c r="I963">
        <v>0</v>
      </c>
      <c r="J963">
        <v>5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4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</row>
    <row r="964" spans="1:25" x14ac:dyDescent="0.3">
      <c r="A964" t="s">
        <v>1158</v>
      </c>
      <c r="B964" t="s">
        <v>46</v>
      </c>
      <c r="C964" t="s">
        <v>93</v>
      </c>
      <c r="D964">
        <v>1</v>
      </c>
      <c r="E964">
        <v>0</v>
      </c>
      <c r="F964">
        <v>0</v>
      </c>
      <c r="G964">
        <v>0</v>
      </c>
      <c r="H964">
        <v>0</v>
      </c>
      <c r="I964">
        <v>2</v>
      </c>
      <c r="J964">
        <v>1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3</v>
      </c>
      <c r="Q964">
        <v>4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</row>
    <row r="965" spans="1:25" x14ac:dyDescent="0.3">
      <c r="A965" t="s">
        <v>1171</v>
      </c>
      <c r="B965" t="s">
        <v>35</v>
      </c>
      <c r="C965" t="s">
        <v>10</v>
      </c>
      <c r="D965">
        <v>5</v>
      </c>
      <c r="E965">
        <v>0</v>
      </c>
      <c r="F965">
        <v>0</v>
      </c>
      <c r="G965">
        <v>0</v>
      </c>
      <c r="H965">
        <v>0</v>
      </c>
      <c r="I965">
        <v>2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2</v>
      </c>
      <c r="S965">
        <v>2</v>
      </c>
      <c r="T965">
        <v>0</v>
      </c>
      <c r="U965">
        <v>14</v>
      </c>
      <c r="V965">
        <v>133</v>
      </c>
      <c r="W965">
        <v>119</v>
      </c>
      <c r="X965">
        <v>0.89500000000000002</v>
      </c>
      <c r="Y965">
        <v>0</v>
      </c>
    </row>
    <row r="966" spans="1:25" x14ac:dyDescent="0.3">
      <c r="A966" t="s">
        <v>937</v>
      </c>
      <c r="B966" t="s">
        <v>57</v>
      </c>
      <c r="C966" t="s">
        <v>10</v>
      </c>
      <c r="D966">
        <v>32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18</v>
      </c>
      <c r="S966">
        <v>9</v>
      </c>
      <c r="T966">
        <v>2</v>
      </c>
      <c r="U966">
        <v>84</v>
      </c>
      <c r="V966">
        <v>899</v>
      </c>
      <c r="W966">
        <v>815</v>
      </c>
      <c r="X966">
        <v>0.90700000000000003</v>
      </c>
      <c r="Y966">
        <v>2</v>
      </c>
    </row>
    <row r="967" spans="1:25" x14ac:dyDescent="0.3">
      <c r="A967" t="s">
        <v>1172</v>
      </c>
      <c r="B967" t="s">
        <v>73</v>
      </c>
      <c r="C967" t="s">
        <v>10</v>
      </c>
      <c r="D967">
        <v>2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1</v>
      </c>
      <c r="S967">
        <v>1</v>
      </c>
      <c r="T967">
        <v>0</v>
      </c>
      <c r="U967">
        <v>7</v>
      </c>
      <c r="V967">
        <v>62</v>
      </c>
      <c r="W967">
        <v>55</v>
      </c>
      <c r="X967">
        <v>0.88700000000000001</v>
      </c>
      <c r="Y967">
        <v>0</v>
      </c>
    </row>
    <row r="968" spans="1:25" x14ac:dyDescent="0.3">
      <c r="A968" t="s">
        <v>1173</v>
      </c>
      <c r="B968" t="s">
        <v>63</v>
      </c>
      <c r="C968" t="s">
        <v>10</v>
      </c>
      <c r="D968">
        <v>7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3</v>
      </c>
      <c r="S968">
        <v>2</v>
      </c>
      <c r="T968">
        <v>0</v>
      </c>
      <c r="U968">
        <v>13</v>
      </c>
      <c r="V968">
        <v>135</v>
      </c>
      <c r="W968">
        <v>122</v>
      </c>
      <c r="X968">
        <v>0.90400000000000003</v>
      </c>
      <c r="Y968">
        <v>0</v>
      </c>
    </row>
    <row r="969" spans="1:25" x14ac:dyDescent="0.3">
      <c r="A969" t="s">
        <v>616</v>
      </c>
      <c r="B969" t="s">
        <v>82</v>
      </c>
      <c r="C969" t="s">
        <v>29</v>
      </c>
      <c r="D969">
        <v>4</v>
      </c>
      <c r="E969">
        <v>0</v>
      </c>
      <c r="F969">
        <v>0</v>
      </c>
      <c r="G969">
        <v>0</v>
      </c>
      <c r="H969">
        <v>0</v>
      </c>
      <c r="I969">
        <v>2</v>
      </c>
      <c r="J969">
        <v>6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4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</row>
    <row r="970" spans="1:25" x14ac:dyDescent="0.3">
      <c r="A970" t="s">
        <v>815</v>
      </c>
      <c r="B970" t="s">
        <v>120</v>
      </c>
      <c r="C970" t="s">
        <v>33</v>
      </c>
      <c r="D970">
        <v>5</v>
      </c>
      <c r="E970">
        <v>0</v>
      </c>
      <c r="F970">
        <v>0</v>
      </c>
      <c r="G970">
        <v>0</v>
      </c>
      <c r="H970">
        <v>-1</v>
      </c>
      <c r="I970">
        <v>2</v>
      </c>
      <c r="J970">
        <v>6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8</v>
      </c>
      <c r="Q970">
        <v>2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</row>
    <row r="971" spans="1:25" x14ac:dyDescent="0.3">
      <c r="A971" t="s">
        <v>1174</v>
      </c>
      <c r="B971" t="s">
        <v>122</v>
      </c>
      <c r="C971" t="s">
        <v>33</v>
      </c>
      <c r="D971">
        <v>11</v>
      </c>
      <c r="E971">
        <v>0</v>
      </c>
      <c r="F971">
        <v>0</v>
      </c>
      <c r="G971">
        <v>0</v>
      </c>
      <c r="H971">
        <v>-11</v>
      </c>
      <c r="I971">
        <v>0</v>
      </c>
      <c r="J971">
        <v>22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</row>
    <row r="972" spans="1:25" x14ac:dyDescent="0.3">
      <c r="A972" t="s">
        <v>938</v>
      </c>
      <c r="B972" t="s">
        <v>181</v>
      </c>
      <c r="C972" t="s">
        <v>10</v>
      </c>
      <c r="D972">
        <v>4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2</v>
      </c>
      <c r="T972">
        <v>1</v>
      </c>
      <c r="U972">
        <v>14</v>
      </c>
      <c r="V972">
        <v>111</v>
      </c>
      <c r="W972">
        <v>97</v>
      </c>
      <c r="X972">
        <v>0.874</v>
      </c>
      <c r="Y972">
        <v>0</v>
      </c>
    </row>
    <row r="973" spans="1:25" x14ac:dyDescent="0.3">
      <c r="A973" t="s">
        <v>1175</v>
      </c>
      <c r="B973" t="s">
        <v>98</v>
      </c>
      <c r="C973" t="s">
        <v>93</v>
      </c>
      <c r="D973">
        <v>1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1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2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</row>
    <row r="974" spans="1:25" x14ac:dyDescent="0.3">
      <c r="A974" t="s">
        <v>1176</v>
      </c>
      <c r="B974" t="s">
        <v>82</v>
      </c>
      <c r="C974" t="s">
        <v>33</v>
      </c>
      <c r="D974">
        <v>4</v>
      </c>
      <c r="E974">
        <v>0</v>
      </c>
      <c r="F974">
        <v>0</v>
      </c>
      <c r="G974">
        <v>0</v>
      </c>
      <c r="H974">
        <v>-2</v>
      </c>
      <c r="I974">
        <v>0</v>
      </c>
      <c r="J974">
        <v>6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2</v>
      </c>
      <c r="Q974">
        <v>2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</row>
    <row r="975" spans="1:25" x14ac:dyDescent="0.3">
      <c r="A975" t="s">
        <v>755</v>
      </c>
      <c r="B975" t="s">
        <v>52</v>
      </c>
      <c r="C975" t="s">
        <v>29</v>
      </c>
      <c r="D975">
        <v>39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13</v>
      </c>
      <c r="Q975">
        <v>13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</row>
    <row r="976" spans="1:25" x14ac:dyDescent="0.3">
      <c r="A976" t="s">
        <v>1179</v>
      </c>
      <c r="B976" t="s">
        <v>46</v>
      </c>
      <c r="C976" t="s">
        <v>29</v>
      </c>
      <c r="D976">
        <v>1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</row>
    <row r="977" spans="1:25" x14ac:dyDescent="0.3">
      <c r="A977" t="s">
        <v>806</v>
      </c>
      <c r="B977" t="s">
        <v>140</v>
      </c>
      <c r="C977" t="s">
        <v>33</v>
      </c>
      <c r="D977">
        <v>4</v>
      </c>
      <c r="E977">
        <v>0</v>
      </c>
      <c r="F977">
        <v>0</v>
      </c>
      <c r="G977">
        <v>0</v>
      </c>
      <c r="H977">
        <v>-1</v>
      </c>
      <c r="I977">
        <v>2</v>
      </c>
      <c r="J977">
        <v>4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8</v>
      </c>
      <c r="Q977">
        <v>1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</row>
    <row r="978" spans="1:25" x14ac:dyDescent="0.3">
      <c r="A978" t="s">
        <v>940</v>
      </c>
      <c r="B978" t="s">
        <v>120</v>
      </c>
      <c r="C978" t="s">
        <v>10</v>
      </c>
      <c r="D978">
        <v>6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1</v>
      </c>
      <c r="S978">
        <v>4</v>
      </c>
      <c r="T978">
        <v>0</v>
      </c>
      <c r="U978">
        <v>19</v>
      </c>
      <c r="V978">
        <v>188</v>
      </c>
      <c r="W978">
        <v>169</v>
      </c>
      <c r="X978">
        <v>0.89900000000000002</v>
      </c>
      <c r="Y978">
        <v>0</v>
      </c>
    </row>
    <row r="979" spans="1:25" x14ac:dyDescent="0.3">
      <c r="A979" t="s">
        <v>1177</v>
      </c>
      <c r="B979" t="s">
        <v>122</v>
      </c>
      <c r="C979" t="s">
        <v>10</v>
      </c>
      <c r="D979">
        <v>5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1</v>
      </c>
      <c r="S979">
        <v>3</v>
      </c>
      <c r="T979">
        <v>0</v>
      </c>
      <c r="U979">
        <v>13</v>
      </c>
      <c r="V979">
        <v>140</v>
      </c>
      <c r="W979">
        <v>127</v>
      </c>
      <c r="X979">
        <v>0.90700000000000003</v>
      </c>
      <c r="Y979">
        <v>0</v>
      </c>
    </row>
    <row r="980" spans="1:25" x14ac:dyDescent="0.3">
      <c r="A980" t="s">
        <v>1178</v>
      </c>
      <c r="B980" t="s">
        <v>61</v>
      </c>
      <c r="C980" t="s">
        <v>93</v>
      </c>
      <c r="D980">
        <v>7</v>
      </c>
      <c r="E980">
        <v>0</v>
      </c>
      <c r="F980">
        <v>0</v>
      </c>
      <c r="G980">
        <v>0</v>
      </c>
      <c r="H980">
        <v>2</v>
      </c>
      <c r="I980">
        <v>0</v>
      </c>
      <c r="J980">
        <v>5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9</v>
      </c>
      <c r="Q980">
        <v>12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</row>
    <row r="981" spans="1:25" x14ac:dyDescent="0.3">
      <c r="A981" t="s">
        <v>1190</v>
      </c>
      <c r="B981" t="s">
        <v>44</v>
      </c>
      <c r="C981" t="s">
        <v>33</v>
      </c>
      <c r="D981">
        <v>5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3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8</v>
      </c>
      <c r="Q981">
        <v>5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</row>
    <row r="982" spans="1:25" x14ac:dyDescent="0.3">
      <c r="A982" t="s">
        <v>908</v>
      </c>
      <c r="B982" t="s">
        <v>37</v>
      </c>
      <c r="C982" t="s">
        <v>10</v>
      </c>
      <c r="D982">
        <v>43</v>
      </c>
      <c r="E982">
        <v>0</v>
      </c>
      <c r="F982">
        <v>0</v>
      </c>
      <c r="G982">
        <v>0</v>
      </c>
      <c r="H982">
        <v>0</v>
      </c>
      <c r="I982">
        <v>5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22</v>
      </c>
      <c r="S982">
        <v>15</v>
      </c>
      <c r="T982">
        <v>4</v>
      </c>
      <c r="U982">
        <v>96</v>
      </c>
      <c r="V982">
        <v>1014</v>
      </c>
      <c r="W982">
        <v>918</v>
      </c>
      <c r="X982">
        <v>0.90500000000000003</v>
      </c>
      <c r="Y982">
        <v>3</v>
      </c>
    </row>
    <row r="983" spans="1:25" x14ac:dyDescent="0.3">
      <c r="A983" t="s">
        <v>936</v>
      </c>
      <c r="B983" t="s">
        <v>41</v>
      </c>
      <c r="C983" t="s">
        <v>10</v>
      </c>
      <c r="D983">
        <v>37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16</v>
      </c>
      <c r="S983">
        <v>9</v>
      </c>
      <c r="T983">
        <v>2</v>
      </c>
      <c r="U983">
        <v>89</v>
      </c>
      <c r="V983">
        <v>1101</v>
      </c>
      <c r="W983">
        <v>1012</v>
      </c>
      <c r="X983">
        <v>0.91900000000000004</v>
      </c>
      <c r="Y983">
        <v>2</v>
      </c>
    </row>
    <row r="984" spans="1:25" x14ac:dyDescent="0.3">
      <c r="A984" t="s">
        <v>739</v>
      </c>
      <c r="B984" t="s">
        <v>75</v>
      </c>
      <c r="C984" t="s">
        <v>29</v>
      </c>
      <c r="D984">
        <v>8</v>
      </c>
      <c r="E984">
        <v>0</v>
      </c>
      <c r="F984">
        <v>0</v>
      </c>
      <c r="G984">
        <v>0</v>
      </c>
      <c r="H984">
        <v>-2</v>
      </c>
      <c r="I984">
        <v>4</v>
      </c>
      <c r="J984">
        <v>6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20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</row>
    <row r="985" spans="1:25" x14ac:dyDescent="0.3">
      <c r="A985" t="s">
        <v>1191</v>
      </c>
      <c r="B985" t="s">
        <v>52</v>
      </c>
      <c r="C985" t="s">
        <v>29</v>
      </c>
      <c r="D985">
        <v>11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11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</row>
    <row r="986" spans="1:25" x14ac:dyDescent="0.3">
      <c r="A986" t="s">
        <v>765</v>
      </c>
      <c r="B986" t="s">
        <v>54</v>
      </c>
      <c r="C986" t="s">
        <v>93</v>
      </c>
      <c r="D986">
        <v>11</v>
      </c>
      <c r="E986">
        <v>0</v>
      </c>
      <c r="F986">
        <v>0</v>
      </c>
      <c r="G986">
        <v>0</v>
      </c>
      <c r="H986">
        <v>-4</v>
      </c>
      <c r="I986">
        <v>3</v>
      </c>
      <c r="J986">
        <v>9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19</v>
      </c>
      <c r="Q986">
        <v>11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</row>
    <row r="987" spans="1:25" x14ac:dyDescent="0.3">
      <c r="A987" t="s">
        <v>1192</v>
      </c>
      <c r="B987" t="s">
        <v>181</v>
      </c>
      <c r="C987" t="s">
        <v>33</v>
      </c>
      <c r="D987">
        <v>6</v>
      </c>
      <c r="E987">
        <v>0</v>
      </c>
      <c r="F987">
        <v>0</v>
      </c>
      <c r="G987">
        <v>0</v>
      </c>
      <c r="H987">
        <v>-2</v>
      </c>
      <c r="I987">
        <v>7</v>
      </c>
      <c r="J987">
        <v>4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21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</row>
    <row r="988" spans="1:25" x14ac:dyDescent="0.3">
      <c r="A988" t="s">
        <v>915</v>
      </c>
      <c r="B988" t="s">
        <v>196</v>
      </c>
      <c r="C988" t="s">
        <v>10</v>
      </c>
      <c r="D988">
        <v>12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2</v>
      </c>
      <c r="S988">
        <v>6</v>
      </c>
      <c r="T988">
        <v>3</v>
      </c>
      <c r="U988">
        <v>33</v>
      </c>
      <c r="V988">
        <v>372</v>
      </c>
      <c r="W988">
        <v>339</v>
      </c>
      <c r="X988">
        <v>0.91100000000000003</v>
      </c>
      <c r="Y988">
        <v>0</v>
      </c>
    </row>
    <row r="989" spans="1:25" x14ac:dyDescent="0.3">
      <c r="A989" t="s">
        <v>1193</v>
      </c>
      <c r="B989" t="s">
        <v>28</v>
      </c>
      <c r="C989" t="s">
        <v>93</v>
      </c>
      <c r="D989">
        <v>1</v>
      </c>
      <c r="E989">
        <v>0</v>
      </c>
      <c r="F989">
        <v>0</v>
      </c>
      <c r="G989">
        <v>0</v>
      </c>
      <c r="H989">
        <v>-1</v>
      </c>
      <c r="I989">
        <v>0</v>
      </c>
      <c r="J989">
        <v>1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1</v>
      </c>
      <c r="Q989">
        <v>1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</row>
    <row r="990" spans="1:25" x14ac:dyDescent="0.3">
      <c r="A990" t="s">
        <v>1123</v>
      </c>
      <c r="B990" t="s">
        <v>106</v>
      </c>
      <c r="C990" t="s">
        <v>93</v>
      </c>
      <c r="D990">
        <v>3</v>
      </c>
      <c r="E990">
        <v>0</v>
      </c>
      <c r="F990">
        <v>0</v>
      </c>
      <c r="G990">
        <v>0</v>
      </c>
      <c r="H990">
        <v>-4</v>
      </c>
      <c r="I990">
        <v>6</v>
      </c>
      <c r="J990">
        <v>18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2</v>
      </c>
      <c r="Q990">
        <v>5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</row>
    <row r="991" spans="1:25" x14ac:dyDescent="0.3">
      <c r="A991" t="s">
        <v>1194</v>
      </c>
      <c r="B991" t="s">
        <v>52</v>
      </c>
      <c r="C991" t="s">
        <v>93</v>
      </c>
      <c r="D991">
        <v>6</v>
      </c>
      <c r="E991">
        <v>0</v>
      </c>
      <c r="F991">
        <v>0</v>
      </c>
      <c r="G991">
        <v>0</v>
      </c>
      <c r="H991">
        <v>2</v>
      </c>
      <c r="I991">
        <v>3</v>
      </c>
      <c r="J991">
        <v>11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5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</row>
    <row r="992" spans="1:25" x14ac:dyDescent="0.3">
      <c r="A992" t="s">
        <v>912</v>
      </c>
      <c r="B992" t="s">
        <v>28</v>
      </c>
      <c r="C992" t="s">
        <v>10</v>
      </c>
      <c r="D992">
        <v>30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17</v>
      </c>
      <c r="S992">
        <v>9</v>
      </c>
      <c r="T992">
        <v>1</v>
      </c>
      <c r="U992">
        <v>78</v>
      </c>
      <c r="V992">
        <v>858</v>
      </c>
      <c r="W992">
        <v>780</v>
      </c>
      <c r="X992">
        <v>0.90900000000000003</v>
      </c>
      <c r="Y992">
        <v>2</v>
      </c>
    </row>
    <row r="993" spans="1:25" x14ac:dyDescent="0.3">
      <c r="A993" t="s">
        <v>1195</v>
      </c>
      <c r="B993" t="s">
        <v>59</v>
      </c>
      <c r="C993" t="s">
        <v>10</v>
      </c>
      <c r="D993">
        <v>4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1</v>
      </c>
      <c r="S993">
        <v>2</v>
      </c>
      <c r="T993">
        <v>0</v>
      </c>
      <c r="U993">
        <v>9</v>
      </c>
      <c r="V993">
        <v>111</v>
      </c>
      <c r="W993">
        <v>102</v>
      </c>
      <c r="X993">
        <v>0.91900000000000004</v>
      </c>
      <c r="Y993">
        <v>0</v>
      </c>
    </row>
    <row r="994" spans="1:25" x14ac:dyDescent="0.3">
      <c r="A994" t="s">
        <v>910</v>
      </c>
      <c r="B994" t="s">
        <v>79</v>
      </c>
      <c r="C994" t="s">
        <v>10</v>
      </c>
      <c r="D994">
        <v>12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4</v>
      </c>
      <c r="S994">
        <v>4</v>
      </c>
      <c r="T994">
        <v>2</v>
      </c>
      <c r="U994">
        <v>32</v>
      </c>
      <c r="V994">
        <v>315</v>
      </c>
      <c r="W994">
        <v>283</v>
      </c>
      <c r="X994">
        <v>0.89800000000000002</v>
      </c>
      <c r="Y994">
        <v>0</v>
      </c>
    </row>
    <row r="995" spans="1:25" x14ac:dyDescent="0.3">
      <c r="A995" t="s">
        <v>911</v>
      </c>
      <c r="B995" t="s">
        <v>54</v>
      </c>
      <c r="C995" t="s">
        <v>10</v>
      </c>
      <c r="D995">
        <v>4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1</v>
      </c>
      <c r="S995">
        <v>1</v>
      </c>
      <c r="T995">
        <v>0</v>
      </c>
      <c r="U995">
        <v>9</v>
      </c>
      <c r="V995">
        <v>87</v>
      </c>
      <c r="W995">
        <v>78</v>
      </c>
      <c r="X995">
        <v>0.89700000000000002</v>
      </c>
      <c r="Y995">
        <v>0</v>
      </c>
    </row>
    <row r="996" spans="1:25" x14ac:dyDescent="0.3">
      <c r="A996" t="s">
        <v>832</v>
      </c>
      <c r="B996" t="s">
        <v>41</v>
      </c>
      <c r="C996" t="s">
        <v>10</v>
      </c>
      <c r="D996">
        <v>48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15</v>
      </c>
      <c r="S996">
        <v>13</v>
      </c>
      <c r="T996">
        <v>3</v>
      </c>
      <c r="U996">
        <v>121</v>
      </c>
      <c r="V996">
        <v>1432</v>
      </c>
      <c r="W996">
        <v>1311</v>
      </c>
      <c r="X996">
        <v>0.91600000000000004</v>
      </c>
      <c r="Y996">
        <v>3</v>
      </c>
    </row>
    <row r="997" spans="1:25" x14ac:dyDescent="0.3">
      <c r="A997" t="s">
        <v>498</v>
      </c>
      <c r="B997" t="s">
        <v>59</v>
      </c>
      <c r="C997" t="s">
        <v>29</v>
      </c>
      <c r="D997">
        <v>0</v>
      </c>
      <c r="E997">
        <v>0</v>
      </c>
      <c r="F997">
        <v>0</v>
      </c>
      <c r="G997">
        <v>0</v>
      </c>
      <c r="H997">
        <v>-4</v>
      </c>
      <c r="I997">
        <v>20</v>
      </c>
      <c r="J997">
        <v>88</v>
      </c>
      <c r="K997">
        <v>0</v>
      </c>
      <c r="L997">
        <v>0</v>
      </c>
      <c r="M997">
        <v>0</v>
      </c>
      <c r="N997">
        <v>1</v>
      </c>
      <c r="O997">
        <v>1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</row>
    <row r="998" spans="1:25" x14ac:dyDescent="0.3">
      <c r="A998" t="s">
        <v>825</v>
      </c>
      <c r="B998" t="s">
        <v>46</v>
      </c>
      <c r="C998" t="s">
        <v>10</v>
      </c>
      <c r="D998">
        <v>22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11</v>
      </c>
      <c r="S998">
        <v>4</v>
      </c>
      <c r="T998">
        <v>2</v>
      </c>
      <c r="U998">
        <v>39</v>
      </c>
      <c r="V998">
        <v>446</v>
      </c>
      <c r="W998">
        <v>407</v>
      </c>
      <c r="X998">
        <v>0.91300000000000003</v>
      </c>
      <c r="Y998">
        <v>2</v>
      </c>
    </row>
    <row r="999" spans="1:25" x14ac:dyDescent="0.3">
      <c r="A999" t="s">
        <v>1189</v>
      </c>
      <c r="B999" t="s">
        <v>196</v>
      </c>
      <c r="C999" t="s">
        <v>93</v>
      </c>
      <c r="D999">
        <v>3</v>
      </c>
      <c r="E999">
        <v>0</v>
      </c>
      <c r="F999">
        <v>0</v>
      </c>
      <c r="G999">
        <v>0</v>
      </c>
      <c r="H999">
        <v>-2</v>
      </c>
      <c r="I999">
        <v>2</v>
      </c>
      <c r="J999">
        <v>3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3</v>
      </c>
      <c r="Q999">
        <v>3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</row>
    <row r="1000" spans="1:25" x14ac:dyDescent="0.3">
      <c r="A1000" t="s">
        <v>829</v>
      </c>
      <c r="B1000" t="s">
        <v>82</v>
      </c>
      <c r="C1000" t="s">
        <v>10</v>
      </c>
      <c r="D1000">
        <v>37</v>
      </c>
      <c r="E1000">
        <v>0</v>
      </c>
      <c r="F1000">
        <v>0</v>
      </c>
      <c r="G1000">
        <v>0</v>
      </c>
      <c r="H1000">
        <v>0</v>
      </c>
      <c r="I1000">
        <v>2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19</v>
      </c>
      <c r="S1000">
        <v>15</v>
      </c>
      <c r="T1000">
        <v>3</v>
      </c>
      <c r="U1000">
        <v>97</v>
      </c>
      <c r="V1000">
        <v>1063</v>
      </c>
      <c r="W1000">
        <v>966</v>
      </c>
      <c r="X1000">
        <v>0.90900000000000003</v>
      </c>
      <c r="Y1000">
        <v>3</v>
      </c>
    </row>
    <row r="1001" spans="1:25" x14ac:dyDescent="0.3">
      <c r="A1001" t="s">
        <v>923</v>
      </c>
      <c r="B1001" t="s">
        <v>87</v>
      </c>
      <c r="C1001" t="s">
        <v>10</v>
      </c>
      <c r="D1001">
        <v>25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14</v>
      </c>
      <c r="S1001">
        <v>9</v>
      </c>
      <c r="T1001">
        <v>1</v>
      </c>
      <c r="U1001">
        <v>68</v>
      </c>
      <c r="V1001">
        <v>718</v>
      </c>
      <c r="W1001">
        <v>650</v>
      </c>
      <c r="X1001">
        <v>0.90500000000000003</v>
      </c>
      <c r="Y1001">
        <v>1</v>
      </c>
    </row>
    <row r="1002" spans="1:25" x14ac:dyDescent="0.3">
      <c r="A1002" t="s">
        <v>917</v>
      </c>
      <c r="B1002" t="s">
        <v>52</v>
      </c>
      <c r="C1002" t="s">
        <v>10</v>
      </c>
      <c r="D1002">
        <v>22</v>
      </c>
      <c r="E1002">
        <v>0</v>
      </c>
      <c r="F1002">
        <v>0</v>
      </c>
      <c r="G1002">
        <v>0</v>
      </c>
      <c r="H1002">
        <v>0</v>
      </c>
      <c r="I1002">
        <v>3</v>
      </c>
      <c r="J1002">
        <v>1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8</v>
      </c>
      <c r="S1002">
        <v>6</v>
      </c>
      <c r="T1002">
        <v>3</v>
      </c>
      <c r="U1002">
        <v>71</v>
      </c>
      <c r="V1002">
        <v>602</v>
      </c>
      <c r="W1002">
        <v>531</v>
      </c>
      <c r="X1002">
        <v>0.88200000000000001</v>
      </c>
      <c r="Y1002">
        <v>1</v>
      </c>
    </row>
    <row r="1003" spans="1:25" x14ac:dyDescent="0.3">
      <c r="A1003" t="s">
        <v>1180</v>
      </c>
      <c r="B1003" t="s">
        <v>63</v>
      </c>
      <c r="C1003" t="s">
        <v>93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</row>
    <row r="1004" spans="1:25" x14ac:dyDescent="0.3">
      <c r="A1004" t="s">
        <v>731</v>
      </c>
      <c r="B1004" t="s">
        <v>35</v>
      </c>
      <c r="C1004" t="s">
        <v>42</v>
      </c>
      <c r="D1004">
        <v>6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10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4</v>
      </c>
      <c r="Q1004">
        <v>2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</row>
    <row r="1005" spans="1:25" x14ac:dyDescent="0.3">
      <c r="A1005" t="s">
        <v>763</v>
      </c>
      <c r="B1005" t="s">
        <v>39</v>
      </c>
      <c r="C1005" t="s">
        <v>29</v>
      </c>
      <c r="D1005">
        <v>3</v>
      </c>
      <c r="E1005">
        <v>0</v>
      </c>
      <c r="F1005">
        <v>0</v>
      </c>
      <c r="G1005">
        <v>0</v>
      </c>
      <c r="H1005">
        <v>1</v>
      </c>
      <c r="I1005">
        <v>0</v>
      </c>
      <c r="J1005">
        <v>3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4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</row>
    <row r="1006" spans="1:25" x14ac:dyDescent="0.3">
      <c r="A1006" t="s">
        <v>1181</v>
      </c>
      <c r="B1006" t="s">
        <v>100</v>
      </c>
      <c r="C1006" t="s">
        <v>10</v>
      </c>
      <c r="D1006">
        <v>1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1</v>
      </c>
      <c r="S1006">
        <v>0</v>
      </c>
      <c r="T1006">
        <v>0</v>
      </c>
      <c r="U1006">
        <v>3</v>
      </c>
      <c r="V1006">
        <v>34</v>
      </c>
      <c r="W1006">
        <v>31</v>
      </c>
      <c r="X1006">
        <v>0.91200000000000003</v>
      </c>
      <c r="Y1006">
        <v>0</v>
      </c>
    </row>
    <row r="1007" spans="1:25" x14ac:dyDescent="0.3">
      <c r="A1007" t="s">
        <v>1182</v>
      </c>
      <c r="B1007" t="s">
        <v>35</v>
      </c>
      <c r="C1007" t="s">
        <v>10</v>
      </c>
      <c r="D1007">
        <v>2</v>
      </c>
      <c r="E1007">
        <v>0</v>
      </c>
      <c r="F1007">
        <v>0</v>
      </c>
      <c r="G1007">
        <v>0</v>
      </c>
      <c r="H1007">
        <v>0</v>
      </c>
      <c r="I1007">
        <v>2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1</v>
      </c>
      <c r="S1007">
        <v>1</v>
      </c>
      <c r="T1007">
        <v>0</v>
      </c>
      <c r="U1007">
        <v>6</v>
      </c>
      <c r="V1007">
        <v>63</v>
      </c>
      <c r="W1007">
        <v>57</v>
      </c>
      <c r="X1007">
        <v>0.90500000000000003</v>
      </c>
      <c r="Y1007">
        <v>0</v>
      </c>
    </row>
    <row r="1008" spans="1:25" x14ac:dyDescent="0.3">
      <c r="A1008" t="s">
        <v>1183</v>
      </c>
      <c r="B1008" t="s">
        <v>61</v>
      </c>
      <c r="C1008" t="s">
        <v>93</v>
      </c>
      <c r="D1008">
        <v>2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3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4</v>
      </c>
      <c r="Q1008">
        <v>3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</row>
    <row r="1009" spans="1:25" x14ac:dyDescent="0.3">
      <c r="A1009" t="s">
        <v>921</v>
      </c>
      <c r="B1009" t="s">
        <v>32</v>
      </c>
      <c r="C1009" t="s">
        <v>33</v>
      </c>
      <c r="D1009">
        <v>14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7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30</v>
      </c>
      <c r="Q1009">
        <v>9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</row>
    <row r="1010" spans="1:25" x14ac:dyDescent="0.3">
      <c r="A1010" t="s">
        <v>1184</v>
      </c>
      <c r="B1010" t="s">
        <v>63</v>
      </c>
      <c r="C1010" t="s">
        <v>10</v>
      </c>
      <c r="D1010">
        <v>2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1</v>
      </c>
      <c r="S1010">
        <v>1</v>
      </c>
      <c r="T1010">
        <v>0</v>
      </c>
      <c r="U1010">
        <v>5</v>
      </c>
      <c r="V1010">
        <v>46</v>
      </c>
      <c r="W1010">
        <v>41</v>
      </c>
      <c r="X1010">
        <v>0.89100000000000001</v>
      </c>
      <c r="Y1010">
        <v>0</v>
      </c>
    </row>
    <row r="1011" spans="1:25" x14ac:dyDescent="0.3">
      <c r="A1011" t="s">
        <v>1185</v>
      </c>
      <c r="B1011" t="s">
        <v>54</v>
      </c>
      <c r="C1011" t="s">
        <v>10</v>
      </c>
      <c r="D1011">
        <v>2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1</v>
      </c>
      <c r="T1011">
        <v>0</v>
      </c>
      <c r="U1011">
        <v>9</v>
      </c>
      <c r="V1011">
        <v>41</v>
      </c>
      <c r="W1011">
        <v>32</v>
      </c>
      <c r="X1011">
        <v>0.78</v>
      </c>
      <c r="Y1011">
        <v>0</v>
      </c>
    </row>
    <row r="1012" spans="1:25" x14ac:dyDescent="0.3">
      <c r="A1012" t="s">
        <v>1186</v>
      </c>
      <c r="B1012" t="s">
        <v>39</v>
      </c>
      <c r="C1012" t="s">
        <v>10</v>
      </c>
      <c r="D1012">
        <v>22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11</v>
      </c>
      <c r="S1012">
        <v>6</v>
      </c>
      <c r="T1012">
        <v>3</v>
      </c>
      <c r="U1012">
        <v>55</v>
      </c>
      <c r="V1012">
        <v>597</v>
      </c>
      <c r="W1012">
        <v>542</v>
      </c>
      <c r="X1012">
        <v>0.90800000000000003</v>
      </c>
      <c r="Y1012">
        <v>2</v>
      </c>
    </row>
    <row r="1013" spans="1:25" x14ac:dyDescent="0.3">
      <c r="A1013" t="s">
        <v>738</v>
      </c>
      <c r="B1013" t="s">
        <v>37</v>
      </c>
      <c r="C1013" t="s">
        <v>93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</row>
    <row r="1014" spans="1:25" x14ac:dyDescent="0.3">
      <c r="A1014" t="s">
        <v>1187</v>
      </c>
      <c r="B1014" t="s">
        <v>54</v>
      </c>
      <c r="C1014" t="s">
        <v>10</v>
      </c>
      <c r="D1014">
        <v>2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1</v>
      </c>
      <c r="S1014">
        <v>0</v>
      </c>
      <c r="T1014">
        <v>0</v>
      </c>
      <c r="U1014">
        <v>3</v>
      </c>
      <c r="V1014">
        <v>42</v>
      </c>
      <c r="W1014">
        <v>39</v>
      </c>
      <c r="X1014">
        <v>0.92900000000000005</v>
      </c>
      <c r="Y1014">
        <v>0</v>
      </c>
    </row>
    <row r="1015" spans="1:25" x14ac:dyDescent="0.3">
      <c r="A1015" t="s">
        <v>1188</v>
      </c>
      <c r="B1015" t="s">
        <v>95</v>
      </c>
      <c r="C1015" t="s">
        <v>93</v>
      </c>
      <c r="D1015">
        <v>1</v>
      </c>
      <c r="E1015">
        <v>0</v>
      </c>
      <c r="F1015">
        <v>0</v>
      </c>
      <c r="G1015">
        <v>0</v>
      </c>
      <c r="H1015">
        <v>-2</v>
      </c>
      <c r="I1015">
        <v>0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2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</row>
    <row r="1016" spans="1:25" x14ac:dyDescent="0.3">
      <c r="A1016" t="s">
        <v>927</v>
      </c>
      <c r="B1016" t="s">
        <v>57</v>
      </c>
      <c r="C1016" t="s">
        <v>10</v>
      </c>
      <c r="D1016">
        <v>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1</v>
      </c>
      <c r="T1016">
        <v>0</v>
      </c>
      <c r="U1016">
        <v>3</v>
      </c>
      <c r="V1016">
        <v>31</v>
      </c>
      <c r="W1016">
        <v>28</v>
      </c>
      <c r="X1016">
        <v>0.90300000000000002</v>
      </c>
      <c r="Y1016">
        <v>0</v>
      </c>
    </row>
    <row r="1017" spans="1:25" x14ac:dyDescent="0.3">
      <c r="A1017" t="s">
        <v>824</v>
      </c>
      <c r="B1017" t="s">
        <v>54</v>
      </c>
      <c r="C1017" t="s">
        <v>29</v>
      </c>
      <c r="D1017">
        <v>2</v>
      </c>
      <c r="E1017">
        <v>0</v>
      </c>
      <c r="F1017">
        <v>0</v>
      </c>
      <c r="G1017">
        <v>0</v>
      </c>
      <c r="H1017">
        <v>0</v>
      </c>
      <c r="I1017">
        <v>2</v>
      </c>
      <c r="J1017">
        <v>5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8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</row>
    <row r="1018" spans="1:25" x14ac:dyDescent="0.3">
      <c r="A1018" t="s">
        <v>736</v>
      </c>
      <c r="B1018" t="s">
        <v>106</v>
      </c>
      <c r="C1018" t="s">
        <v>42</v>
      </c>
      <c r="D1018">
        <v>4</v>
      </c>
      <c r="E1018">
        <v>0</v>
      </c>
      <c r="F1018">
        <v>0</v>
      </c>
      <c r="G1018">
        <v>0</v>
      </c>
      <c r="H1018">
        <v>-1</v>
      </c>
      <c r="I1018">
        <v>2</v>
      </c>
      <c r="J1018">
        <v>2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5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</row>
    <row r="1019" spans="1:25" x14ac:dyDescent="0.3">
      <c r="A1019" t="s">
        <v>881</v>
      </c>
      <c r="B1019" t="s">
        <v>71</v>
      </c>
      <c r="C1019" t="s">
        <v>10</v>
      </c>
      <c r="D1019">
        <v>2</v>
      </c>
      <c r="E1019">
        <v>0</v>
      </c>
      <c r="F1019">
        <v>0</v>
      </c>
      <c r="G1019">
        <v>0</v>
      </c>
      <c r="H1019">
        <v>0</v>
      </c>
      <c r="I1019">
        <v>2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1</v>
      </c>
      <c r="Q1019">
        <v>0</v>
      </c>
      <c r="R1019">
        <v>0</v>
      </c>
      <c r="S1019">
        <v>2</v>
      </c>
      <c r="T1019">
        <v>0</v>
      </c>
      <c r="U1019">
        <v>7</v>
      </c>
      <c r="V1019">
        <v>68</v>
      </c>
      <c r="W1019">
        <v>61</v>
      </c>
      <c r="X1019">
        <v>0.89700000000000002</v>
      </c>
      <c r="Y1019">
        <v>0</v>
      </c>
    </row>
    <row r="1020" spans="1:25" x14ac:dyDescent="0.3">
      <c r="A1020" t="s">
        <v>882</v>
      </c>
      <c r="B1020" t="s">
        <v>95</v>
      </c>
      <c r="C1020" t="s">
        <v>10</v>
      </c>
      <c r="D1020">
        <v>53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28</v>
      </c>
      <c r="S1020">
        <v>19</v>
      </c>
      <c r="T1020">
        <v>5</v>
      </c>
      <c r="U1020">
        <v>130</v>
      </c>
      <c r="V1020">
        <v>1686</v>
      </c>
      <c r="W1020">
        <v>1556</v>
      </c>
      <c r="X1020">
        <v>0.92300000000000004</v>
      </c>
      <c r="Y1020">
        <v>6</v>
      </c>
    </row>
    <row r="1021" spans="1:25" x14ac:dyDescent="0.3">
      <c r="A1021" t="s">
        <v>847</v>
      </c>
      <c r="B1021" t="s">
        <v>35</v>
      </c>
      <c r="C1021" t="s">
        <v>10</v>
      </c>
      <c r="D1021">
        <v>31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19</v>
      </c>
      <c r="S1021">
        <v>10</v>
      </c>
      <c r="T1021">
        <v>1</v>
      </c>
      <c r="U1021">
        <v>82</v>
      </c>
      <c r="V1021">
        <v>928</v>
      </c>
      <c r="W1021">
        <v>846</v>
      </c>
      <c r="X1021">
        <v>0.91200000000000003</v>
      </c>
      <c r="Y1021">
        <v>2</v>
      </c>
    </row>
    <row r="1022" spans="1:25" x14ac:dyDescent="0.3">
      <c r="A1022" t="s">
        <v>783</v>
      </c>
      <c r="B1022" t="s">
        <v>140</v>
      </c>
      <c r="C1022" t="s">
        <v>10</v>
      </c>
      <c r="D1022">
        <v>5</v>
      </c>
      <c r="E1022">
        <v>0</v>
      </c>
      <c r="F1022">
        <v>0</v>
      </c>
      <c r="G1022">
        <v>0</v>
      </c>
      <c r="H1022">
        <v>0</v>
      </c>
      <c r="I1022">
        <v>3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2</v>
      </c>
      <c r="S1022">
        <v>3</v>
      </c>
      <c r="T1022">
        <v>0</v>
      </c>
      <c r="U1022">
        <v>14</v>
      </c>
      <c r="V1022">
        <v>144</v>
      </c>
      <c r="W1022">
        <v>130</v>
      </c>
      <c r="X1022">
        <v>0.90300000000000002</v>
      </c>
      <c r="Y1022">
        <v>0</v>
      </c>
    </row>
    <row r="1023" spans="1:25" x14ac:dyDescent="0.3">
      <c r="A1023" t="s">
        <v>884</v>
      </c>
      <c r="B1023" t="s">
        <v>122</v>
      </c>
      <c r="C1023" t="s">
        <v>29</v>
      </c>
      <c r="D1023">
        <v>13</v>
      </c>
      <c r="E1023">
        <v>0</v>
      </c>
      <c r="F1023">
        <v>0</v>
      </c>
      <c r="G1023">
        <v>0</v>
      </c>
      <c r="H1023">
        <v>-6</v>
      </c>
      <c r="I1023">
        <v>0</v>
      </c>
      <c r="J1023">
        <v>13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23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</row>
    <row r="1024" spans="1:25" x14ac:dyDescent="0.3">
      <c r="A1024" t="s">
        <v>872</v>
      </c>
      <c r="B1024" t="s">
        <v>106</v>
      </c>
      <c r="C1024" t="s">
        <v>10</v>
      </c>
      <c r="D1024">
        <v>44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20</v>
      </c>
      <c r="S1024">
        <v>16</v>
      </c>
      <c r="T1024">
        <v>4</v>
      </c>
      <c r="U1024">
        <v>113</v>
      </c>
      <c r="V1024">
        <v>1262</v>
      </c>
      <c r="W1024">
        <v>1149</v>
      </c>
      <c r="X1024">
        <v>0.91</v>
      </c>
      <c r="Y1024">
        <v>2</v>
      </c>
    </row>
    <row r="1025" spans="1:25" x14ac:dyDescent="0.3">
      <c r="A1025" t="s">
        <v>883</v>
      </c>
      <c r="B1025" t="s">
        <v>41</v>
      </c>
      <c r="C1025" t="s">
        <v>10</v>
      </c>
      <c r="D1025">
        <v>2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3</v>
      </c>
      <c r="S1025">
        <v>1</v>
      </c>
      <c r="T1025">
        <v>0</v>
      </c>
      <c r="U1025">
        <v>5</v>
      </c>
      <c r="V1025">
        <v>49</v>
      </c>
      <c r="W1025">
        <v>44</v>
      </c>
      <c r="X1025">
        <v>0.89800000000000002</v>
      </c>
      <c r="Y1025">
        <v>0</v>
      </c>
    </row>
    <row r="1026" spans="1:25" x14ac:dyDescent="0.3">
      <c r="A1026" t="s">
        <v>773</v>
      </c>
      <c r="B1026" t="s">
        <v>140</v>
      </c>
      <c r="C1026" t="s">
        <v>33</v>
      </c>
      <c r="D1026">
        <v>5</v>
      </c>
      <c r="E1026">
        <v>0</v>
      </c>
      <c r="F1026">
        <v>0</v>
      </c>
      <c r="G1026">
        <v>0</v>
      </c>
      <c r="H1026">
        <v>0</v>
      </c>
      <c r="I1026">
        <v>4</v>
      </c>
      <c r="J1026">
        <v>4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5</v>
      </c>
      <c r="Q1026">
        <v>1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</row>
    <row r="1027" spans="1:25" x14ac:dyDescent="0.3">
      <c r="A1027" t="s">
        <v>874</v>
      </c>
      <c r="B1027" t="s">
        <v>196</v>
      </c>
      <c r="C1027" t="s">
        <v>29</v>
      </c>
      <c r="D1027">
        <v>6</v>
      </c>
      <c r="E1027">
        <v>0</v>
      </c>
      <c r="F1027">
        <v>0</v>
      </c>
      <c r="G1027">
        <v>0</v>
      </c>
      <c r="H1027">
        <v>-3</v>
      </c>
      <c r="I1027">
        <v>0</v>
      </c>
      <c r="J1027">
        <v>6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7</v>
      </c>
      <c r="Q1027">
        <v>2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</row>
    <row r="1028" spans="1:25" x14ac:dyDescent="0.3">
      <c r="A1028" t="s">
        <v>1204</v>
      </c>
      <c r="B1028" t="s">
        <v>54</v>
      </c>
      <c r="C1028" t="s">
        <v>42</v>
      </c>
      <c r="D1028">
        <v>2</v>
      </c>
      <c r="E1028">
        <v>0</v>
      </c>
      <c r="F1028">
        <v>0</v>
      </c>
      <c r="G1028">
        <v>0</v>
      </c>
      <c r="H1028">
        <v>-3</v>
      </c>
      <c r="I1028">
        <v>2</v>
      </c>
      <c r="J1028">
        <v>1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3</v>
      </c>
      <c r="Q1028">
        <v>2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</row>
    <row r="1029" spans="1:25" x14ac:dyDescent="0.3">
      <c r="A1029" t="s">
        <v>1205</v>
      </c>
      <c r="B1029" t="s">
        <v>132</v>
      </c>
      <c r="C1029" t="s">
        <v>10</v>
      </c>
      <c r="D1029">
        <v>5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1</v>
      </c>
      <c r="S1029">
        <v>3</v>
      </c>
      <c r="T1029">
        <v>1</v>
      </c>
      <c r="U1029">
        <v>15</v>
      </c>
      <c r="V1029">
        <v>177</v>
      </c>
      <c r="W1029">
        <v>162</v>
      </c>
      <c r="X1029">
        <v>0.91500000000000004</v>
      </c>
      <c r="Y1029">
        <v>0</v>
      </c>
    </row>
    <row r="1030" spans="1:25" x14ac:dyDescent="0.3">
      <c r="A1030" t="s">
        <v>929</v>
      </c>
      <c r="B1030" t="s">
        <v>140</v>
      </c>
      <c r="C1030" t="s">
        <v>10</v>
      </c>
      <c r="D1030">
        <v>2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1</v>
      </c>
      <c r="S1030">
        <v>1</v>
      </c>
      <c r="T1030">
        <v>0</v>
      </c>
      <c r="U1030">
        <v>5</v>
      </c>
      <c r="V1030">
        <v>55</v>
      </c>
      <c r="W1030">
        <v>50</v>
      </c>
      <c r="X1030">
        <v>0.90900000000000003</v>
      </c>
      <c r="Y1030">
        <v>0</v>
      </c>
    </row>
    <row r="1031" spans="1:25" x14ac:dyDescent="0.3">
      <c r="A1031" t="s">
        <v>823</v>
      </c>
      <c r="B1031" t="s">
        <v>35</v>
      </c>
      <c r="C1031" t="s">
        <v>10</v>
      </c>
      <c r="D1031">
        <v>48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30</v>
      </c>
      <c r="S1031">
        <v>12</v>
      </c>
      <c r="T1031">
        <v>4</v>
      </c>
      <c r="U1031">
        <v>123</v>
      </c>
      <c r="V1031">
        <v>1380</v>
      </c>
      <c r="W1031">
        <v>1257</v>
      </c>
      <c r="X1031">
        <v>0.91100000000000003</v>
      </c>
      <c r="Y1031">
        <v>3</v>
      </c>
    </row>
    <row r="1032" spans="1:25" x14ac:dyDescent="0.3">
      <c r="A1032" t="s">
        <v>930</v>
      </c>
      <c r="B1032" t="s">
        <v>106</v>
      </c>
      <c r="C1032" t="s">
        <v>10</v>
      </c>
      <c r="D1032">
        <v>33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14</v>
      </c>
      <c r="S1032">
        <v>13</v>
      </c>
      <c r="T1032">
        <v>2</v>
      </c>
      <c r="U1032">
        <v>90</v>
      </c>
      <c r="V1032">
        <v>944</v>
      </c>
      <c r="W1032">
        <v>854</v>
      </c>
      <c r="X1032">
        <v>0.90500000000000003</v>
      </c>
      <c r="Y1032">
        <v>2</v>
      </c>
    </row>
    <row r="1033" spans="1:25" x14ac:dyDescent="0.3">
      <c r="A1033" t="s">
        <v>931</v>
      </c>
      <c r="B1033" t="s">
        <v>120</v>
      </c>
      <c r="C1033" t="s">
        <v>10</v>
      </c>
      <c r="D1033">
        <v>33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12</v>
      </c>
      <c r="S1033">
        <v>13</v>
      </c>
      <c r="T1033">
        <v>5</v>
      </c>
      <c r="U1033">
        <v>102</v>
      </c>
      <c r="V1033">
        <v>959</v>
      </c>
      <c r="W1033">
        <v>857</v>
      </c>
      <c r="X1033">
        <v>0.89400000000000002</v>
      </c>
      <c r="Y1033">
        <v>1</v>
      </c>
    </row>
    <row r="1034" spans="1:25" x14ac:dyDescent="0.3">
      <c r="A1034" t="s">
        <v>1206</v>
      </c>
      <c r="B1034" t="s">
        <v>54</v>
      </c>
      <c r="C1034" t="s">
        <v>10</v>
      </c>
      <c r="D1034">
        <v>1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3</v>
      </c>
      <c r="V1034">
        <v>7</v>
      </c>
      <c r="W1034">
        <v>4</v>
      </c>
      <c r="X1034">
        <v>0.57099999999999995</v>
      </c>
      <c r="Y1034">
        <v>0</v>
      </c>
    </row>
    <row r="1035" spans="1:25" x14ac:dyDescent="0.3">
      <c r="A1035" t="s">
        <v>1207</v>
      </c>
      <c r="B1035" t="s">
        <v>87</v>
      </c>
      <c r="C1035" t="s">
        <v>10</v>
      </c>
      <c r="D1035">
        <v>2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2</v>
      </c>
      <c r="T1035">
        <v>0</v>
      </c>
      <c r="U1035">
        <v>7</v>
      </c>
      <c r="V1035">
        <v>7</v>
      </c>
      <c r="W1035">
        <v>0</v>
      </c>
      <c r="X1035">
        <v>0</v>
      </c>
      <c r="Y1035">
        <v>0</v>
      </c>
    </row>
    <row r="1036" spans="1:25" x14ac:dyDescent="0.3">
      <c r="A1036" t="s">
        <v>888</v>
      </c>
      <c r="B1036" t="s">
        <v>54</v>
      </c>
      <c r="C1036" t="s">
        <v>93</v>
      </c>
      <c r="D1036">
        <v>9</v>
      </c>
      <c r="E1036">
        <v>0</v>
      </c>
      <c r="F1036">
        <v>0</v>
      </c>
      <c r="G1036">
        <v>0</v>
      </c>
      <c r="H1036">
        <v>-2</v>
      </c>
      <c r="I1036">
        <v>3</v>
      </c>
      <c r="J1036">
        <v>4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12</v>
      </c>
      <c r="Q1036">
        <v>8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</row>
    <row r="1037" spans="1:25" x14ac:dyDescent="0.3">
      <c r="A1037" t="s">
        <v>886</v>
      </c>
      <c r="B1037" t="s">
        <v>100</v>
      </c>
      <c r="C1037" t="s">
        <v>10</v>
      </c>
      <c r="D1037">
        <v>62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35</v>
      </c>
      <c r="S1037">
        <v>22</v>
      </c>
      <c r="T1037">
        <v>4</v>
      </c>
      <c r="U1037">
        <v>154</v>
      </c>
      <c r="V1037">
        <v>1916</v>
      </c>
      <c r="W1037">
        <v>1762</v>
      </c>
      <c r="X1037">
        <v>0.92</v>
      </c>
      <c r="Y1037">
        <v>4</v>
      </c>
    </row>
    <row r="1038" spans="1:25" x14ac:dyDescent="0.3">
      <c r="A1038" t="s">
        <v>887</v>
      </c>
      <c r="B1038" t="s">
        <v>84</v>
      </c>
      <c r="C1038" t="s">
        <v>10</v>
      </c>
      <c r="D1038">
        <v>38</v>
      </c>
      <c r="E1038">
        <v>0</v>
      </c>
      <c r="F1038">
        <v>0</v>
      </c>
      <c r="G1038">
        <v>0</v>
      </c>
      <c r="H1038">
        <v>0</v>
      </c>
      <c r="I1038">
        <v>1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18</v>
      </c>
      <c r="S1038">
        <v>12</v>
      </c>
      <c r="T1038">
        <v>6</v>
      </c>
      <c r="U1038">
        <v>104</v>
      </c>
      <c r="V1038">
        <v>1224</v>
      </c>
      <c r="W1038">
        <v>1120</v>
      </c>
      <c r="X1038">
        <v>0.91500000000000004</v>
      </c>
      <c r="Y1038">
        <v>2</v>
      </c>
    </row>
    <row r="1039" spans="1:25" x14ac:dyDescent="0.3">
      <c r="A1039" t="s">
        <v>843</v>
      </c>
      <c r="B1039" t="s">
        <v>37</v>
      </c>
      <c r="C1039" t="s">
        <v>93</v>
      </c>
      <c r="D1039">
        <v>1</v>
      </c>
      <c r="E1039">
        <v>0</v>
      </c>
      <c r="F1039">
        <v>0</v>
      </c>
      <c r="G1039">
        <v>0</v>
      </c>
      <c r="H1039">
        <v>0</v>
      </c>
      <c r="I1039">
        <v>2</v>
      </c>
      <c r="J1039">
        <v>1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2</v>
      </c>
      <c r="Q1039">
        <v>2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</row>
    <row r="1040" spans="1:25" x14ac:dyDescent="0.3">
      <c r="A1040" t="s">
        <v>1208</v>
      </c>
      <c r="B1040" t="s">
        <v>106</v>
      </c>
      <c r="C1040" t="s">
        <v>93</v>
      </c>
      <c r="D1040">
        <v>5</v>
      </c>
      <c r="E1040">
        <v>0</v>
      </c>
      <c r="F1040">
        <v>0</v>
      </c>
      <c r="G1040">
        <v>0</v>
      </c>
      <c r="H1040">
        <v>-2</v>
      </c>
      <c r="I1040">
        <v>19</v>
      </c>
      <c r="J1040">
        <v>2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14</v>
      </c>
      <c r="Q1040">
        <v>1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</row>
    <row r="1041" spans="1:25" x14ac:dyDescent="0.3">
      <c r="A1041" t="s">
        <v>1196</v>
      </c>
      <c r="B1041" t="s">
        <v>79</v>
      </c>
      <c r="C1041" t="s">
        <v>10</v>
      </c>
      <c r="D1041">
        <v>9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4</v>
      </c>
      <c r="S1041">
        <v>3</v>
      </c>
      <c r="T1041">
        <v>2</v>
      </c>
      <c r="U1041">
        <v>26</v>
      </c>
      <c r="V1041">
        <v>282</v>
      </c>
      <c r="W1041">
        <v>256</v>
      </c>
      <c r="X1041">
        <v>0.90800000000000003</v>
      </c>
      <c r="Y1041">
        <v>0</v>
      </c>
    </row>
    <row r="1042" spans="1:25" x14ac:dyDescent="0.3">
      <c r="A1042" t="s">
        <v>866</v>
      </c>
      <c r="B1042" t="s">
        <v>44</v>
      </c>
      <c r="C1042" t="s">
        <v>42</v>
      </c>
      <c r="D1042">
        <v>4</v>
      </c>
      <c r="E1042">
        <v>0</v>
      </c>
      <c r="F1042">
        <v>0</v>
      </c>
      <c r="G1042">
        <v>0</v>
      </c>
      <c r="H1042">
        <v>0</v>
      </c>
      <c r="I1042">
        <v>12</v>
      </c>
      <c r="J1042">
        <v>1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16</v>
      </c>
      <c r="Q1042">
        <v>2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</row>
    <row r="1043" spans="1:25" x14ac:dyDescent="0.3">
      <c r="A1043" t="s">
        <v>869</v>
      </c>
      <c r="B1043" t="s">
        <v>28</v>
      </c>
      <c r="C1043" t="s">
        <v>42</v>
      </c>
      <c r="D1043">
        <v>12</v>
      </c>
      <c r="E1043">
        <v>0</v>
      </c>
      <c r="F1043">
        <v>0</v>
      </c>
      <c r="G1043">
        <v>0</v>
      </c>
      <c r="H1043">
        <v>-4</v>
      </c>
      <c r="I1043">
        <v>5</v>
      </c>
      <c r="J1043">
        <v>13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9</v>
      </c>
      <c r="Q1043">
        <v>5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</row>
    <row r="1044" spans="1:25" x14ac:dyDescent="0.3">
      <c r="A1044" t="s">
        <v>1197</v>
      </c>
      <c r="B1044" t="s">
        <v>73</v>
      </c>
      <c r="C1044" t="s">
        <v>93</v>
      </c>
      <c r="D1044">
        <v>4</v>
      </c>
      <c r="E1044">
        <v>0</v>
      </c>
      <c r="F1044">
        <v>0</v>
      </c>
      <c r="G1044">
        <v>0</v>
      </c>
      <c r="H1044">
        <v>0</v>
      </c>
      <c r="I1044">
        <v>4</v>
      </c>
      <c r="J1044">
        <v>3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8</v>
      </c>
      <c r="Q1044">
        <v>2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</row>
    <row r="1045" spans="1:25" x14ac:dyDescent="0.3">
      <c r="A1045" t="s">
        <v>1198</v>
      </c>
      <c r="B1045" t="s">
        <v>39</v>
      </c>
      <c r="C1045" t="s">
        <v>10</v>
      </c>
      <c r="D1045">
        <v>3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1</v>
      </c>
      <c r="S1045">
        <v>1</v>
      </c>
      <c r="T1045">
        <v>1</v>
      </c>
      <c r="U1045">
        <v>8</v>
      </c>
      <c r="V1045">
        <v>85</v>
      </c>
      <c r="W1045">
        <v>77</v>
      </c>
      <c r="X1045">
        <v>0.90600000000000003</v>
      </c>
      <c r="Y1045">
        <v>0</v>
      </c>
    </row>
    <row r="1046" spans="1:25" x14ac:dyDescent="0.3">
      <c r="A1046" t="s">
        <v>865</v>
      </c>
      <c r="B1046" t="s">
        <v>63</v>
      </c>
      <c r="C1046" t="s">
        <v>10</v>
      </c>
      <c r="D1046">
        <v>28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14</v>
      </c>
      <c r="S1046">
        <v>7</v>
      </c>
      <c r="T1046">
        <v>2</v>
      </c>
      <c r="U1046">
        <v>68</v>
      </c>
      <c r="V1046">
        <v>732</v>
      </c>
      <c r="W1046">
        <v>664</v>
      </c>
      <c r="X1046">
        <v>0.90700000000000003</v>
      </c>
      <c r="Y1046">
        <v>2</v>
      </c>
    </row>
    <row r="1047" spans="1:25" x14ac:dyDescent="0.3">
      <c r="A1047" t="s">
        <v>877</v>
      </c>
      <c r="B1047" t="s">
        <v>98</v>
      </c>
      <c r="C1047" t="s">
        <v>10</v>
      </c>
      <c r="D1047">
        <v>22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14</v>
      </c>
      <c r="S1047">
        <v>12</v>
      </c>
      <c r="T1047">
        <v>2</v>
      </c>
      <c r="U1047">
        <v>60</v>
      </c>
      <c r="V1047">
        <v>776</v>
      </c>
      <c r="W1047">
        <v>716</v>
      </c>
      <c r="X1047">
        <v>0.92300000000000004</v>
      </c>
      <c r="Y1047">
        <v>1</v>
      </c>
    </row>
    <row r="1048" spans="1:25" x14ac:dyDescent="0.3">
      <c r="A1048" t="s">
        <v>1199</v>
      </c>
      <c r="B1048" t="s">
        <v>82</v>
      </c>
      <c r="C1048" t="s">
        <v>10</v>
      </c>
      <c r="D1048">
        <v>2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1</v>
      </c>
      <c r="T1048">
        <v>0</v>
      </c>
      <c r="U1048">
        <v>5</v>
      </c>
      <c r="V1048">
        <v>41</v>
      </c>
      <c r="W1048">
        <v>36</v>
      </c>
      <c r="X1048">
        <v>0.878</v>
      </c>
      <c r="Y1048">
        <v>0</v>
      </c>
    </row>
    <row r="1049" spans="1:25" x14ac:dyDescent="0.3">
      <c r="A1049" t="s">
        <v>848</v>
      </c>
      <c r="B1049" t="s">
        <v>95</v>
      </c>
      <c r="C1049" t="s">
        <v>42</v>
      </c>
      <c r="D1049">
        <v>5</v>
      </c>
      <c r="E1049">
        <v>0</v>
      </c>
      <c r="F1049">
        <v>0</v>
      </c>
      <c r="G1049">
        <v>0</v>
      </c>
      <c r="H1049">
        <v>-4</v>
      </c>
      <c r="I1049">
        <v>0</v>
      </c>
      <c r="J1049">
        <v>4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9</v>
      </c>
      <c r="Q1049">
        <v>3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</row>
    <row r="1050" spans="1:25" x14ac:dyDescent="0.3">
      <c r="A1050" t="s">
        <v>1200</v>
      </c>
      <c r="B1050" t="s">
        <v>122</v>
      </c>
      <c r="C1050" t="s">
        <v>29</v>
      </c>
      <c r="D1050">
        <v>13</v>
      </c>
      <c r="E1050">
        <v>0</v>
      </c>
      <c r="F1050">
        <v>0</v>
      </c>
      <c r="G1050">
        <v>0</v>
      </c>
      <c r="H1050">
        <v>-3</v>
      </c>
      <c r="I1050">
        <v>0</v>
      </c>
      <c r="J1050">
        <v>8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8</v>
      </c>
      <c r="Q1050">
        <v>10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</row>
    <row r="1051" spans="1:25" x14ac:dyDescent="0.3">
      <c r="A1051" t="s">
        <v>1202</v>
      </c>
      <c r="B1051" t="s">
        <v>57</v>
      </c>
      <c r="C1051" t="s">
        <v>10</v>
      </c>
      <c r="D1051">
        <v>11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4</v>
      </c>
      <c r="S1051">
        <v>5</v>
      </c>
      <c r="T1051">
        <v>1</v>
      </c>
      <c r="U1051">
        <v>38</v>
      </c>
      <c r="V1051">
        <v>314</v>
      </c>
      <c r="W1051">
        <v>276</v>
      </c>
      <c r="X1051">
        <v>0.879</v>
      </c>
      <c r="Y1051">
        <v>0</v>
      </c>
    </row>
    <row r="1052" spans="1:25" x14ac:dyDescent="0.3">
      <c r="A1052" t="s">
        <v>1203</v>
      </c>
      <c r="B1052" t="s">
        <v>84</v>
      </c>
      <c r="C1052" t="s">
        <v>10</v>
      </c>
      <c r="D1052">
        <v>3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2</v>
      </c>
      <c r="T1052">
        <v>0</v>
      </c>
      <c r="U1052">
        <v>9</v>
      </c>
      <c r="V1052">
        <v>9</v>
      </c>
      <c r="W1052">
        <v>0</v>
      </c>
      <c r="X1052">
        <v>0</v>
      </c>
      <c r="Y1052">
        <v>0</v>
      </c>
    </row>
    <row r="1053" spans="1:25" x14ac:dyDescent="0.3">
      <c r="A1053" t="s">
        <v>864</v>
      </c>
      <c r="B1053" t="s">
        <v>132</v>
      </c>
      <c r="C1053" t="s">
        <v>10</v>
      </c>
      <c r="D1053">
        <v>28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11</v>
      </c>
      <c r="S1053">
        <v>14</v>
      </c>
      <c r="T1053">
        <v>1</v>
      </c>
      <c r="U1053">
        <v>84</v>
      </c>
      <c r="V1053">
        <v>84</v>
      </c>
      <c r="W1053">
        <v>0</v>
      </c>
      <c r="X1053">
        <v>0</v>
      </c>
      <c r="Y1053">
        <v>0</v>
      </c>
    </row>
    <row r="1054" spans="1:25" x14ac:dyDescent="0.3">
      <c r="A1054" t="s">
        <v>854</v>
      </c>
      <c r="B1054" t="s">
        <v>59</v>
      </c>
      <c r="C1054" t="s">
        <v>10</v>
      </c>
      <c r="D1054">
        <v>32</v>
      </c>
      <c r="E1054">
        <v>0</v>
      </c>
      <c r="F1054">
        <v>0</v>
      </c>
      <c r="G1054">
        <v>0</v>
      </c>
      <c r="H1054">
        <v>0</v>
      </c>
      <c r="I1054">
        <v>2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9</v>
      </c>
      <c r="S1054">
        <v>12</v>
      </c>
      <c r="T1054">
        <v>3</v>
      </c>
      <c r="U1054">
        <v>94</v>
      </c>
      <c r="V1054">
        <v>873</v>
      </c>
      <c r="W1054">
        <v>779</v>
      </c>
      <c r="X1054">
        <v>0.89200000000000002</v>
      </c>
      <c r="Y1054">
        <v>0</v>
      </c>
    </row>
    <row r="1055" spans="1:25" x14ac:dyDescent="0.3">
      <c r="A1055" t="s">
        <v>857</v>
      </c>
      <c r="B1055" t="s">
        <v>196</v>
      </c>
      <c r="C1055" t="s">
        <v>10</v>
      </c>
      <c r="D1055">
        <v>20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2</v>
      </c>
      <c r="S1055">
        <v>11</v>
      </c>
      <c r="T1055">
        <v>3</v>
      </c>
      <c r="U1055">
        <v>60</v>
      </c>
      <c r="V1055">
        <v>588</v>
      </c>
      <c r="W1055">
        <v>528</v>
      </c>
      <c r="X1055">
        <v>0.89800000000000002</v>
      </c>
      <c r="Y1055">
        <v>0</v>
      </c>
    </row>
    <row r="1056" spans="1:25" x14ac:dyDescent="0.3">
      <c r="A1056" t="s">
        <v>862</v>
      </c>
      <c r="B1056" t="s">
        <v>61</v>
      </c>
      <c r="C1056" t="s">
        <v>10</v>
      </c>
      <c r="D1056">
        <v>2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2</v>
      </c>
      <c r="T1056">
        <v>0</v>
      </c>
      <c r="U1056">
        <v>7</v>
      </c>
      <c r="V1056">
        <v>59</v>
      </c>
      <c r="W1056">
        <v>52</v>
      </c>
      <c r="X1056">
        <v>0.88100000000000001</v>
      </c>
      <c r="Y1056">
        <v>0</v>
      </c>
    </row>
    <row r="1057" spans="1:25" x14ac:dyDescent="0.3">
      <c r="A1057" t="s">
        <v>863</v>
      </c>
      <c r="B1057" t="s">
        <v>73</v>
      </c>
      <c r="C1057" t="s">
        <v>10</v>
      </c>
      <c r="D1057">
        <v>37</v>
      </c>
      <c r="E1057">
        <v>0</v>
      </c>
      <c r="F1057">
        <v>0</v>
      </c>
      <c r="G1057">
        <v>0</v>
      </c>
      <c r="H1057">
        <v>0</v>
      </c>
      <c r="I1057">
        <v>2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16</v>
      </c>
      <c r="S1057">
        <v>15</v>
      </c>
      <c r="T1057">
        <v>4</v>
      </c>
      <c r="U1057">
        <v>98</v>
      </c>
      <c r="V1057">
        <v>1144</v>
      </c>
      <c r="W1057">
        <v>1046</v>
      </c>
      <c r="X1057">
        <v>0.91400000000000003</v>
      </c>
      <c r="Y1057">
        <v>2</v>
      </c>
    </row>
    <row r="1058" spans="1:25" x14ac:dyDescent="0.3">
      <c r="A1058" t="s">
        <v>1201</v>
      </c>
      <c r="B1058" t="s">
        <v>54</v>
      </c>
      <c r="C1058" t="s">
        <v>10</v>
      </c>
      <c r="D1058">
        <v>3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2</v>
      </c>
      <c r="S1058">
        <v>0</v>
      </c>
      <c r="T1058">
        <v>0</v>
      </c>
      <c r="U1058">
        <v>6</v>
      </c>
      <c r="V1058">
        <v>96</v>
      </c>
      <c r="W1058">
        <v>90</v>
      </c>
      <c r="X1058">
        <v>0.93799999999999994</v>
      </c>
      <c r="Y1058">
        <v>0</v>
      </c>
    </row>
    <row r="1059" spans="1:25" x14ac:dyDescent="0.3">
      <c r="A1059" t="s">
        <v>775</v>
      </c>
      <c r="B1059" t="s">
        <v>87</v>
      </c>
      <c r="C1059" t="s">
        <v>29</v>
      </c>
      <c r="D1059">
        <v>2</v>
      </c>
      <c r="E1059">
        <v>0</v>
      </c>
      <c r="F1059">
        <v>0</v>
      </c>
      <c r="G1059">
        <v>0</v>
      </c>
      <c r="H1059">
        <v>-1</v>
      </c>
      <c r="I1059">
        <v>2</v>
      </c>
      <c r="J1059">
        <v>2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2</v>
      </c>
      <c r="Q1059">
        <v>1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</row>
    <row r="1060" spans="1:25" x14ac:dyDescent="0.3">
      <c r="A1060" t="s">
        <v>858</v>
      </c>
      <c r="B1060" t="s">
        <v>32</v>
      </c>
      <c r="C1060" t="s">
        <v>10</v>
      </c>
      <c r="D1060">
        <v>3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1</v>
      </c>
      <c r="S1060">
        <v>1</v>
      </c>
      <c r="T1060">
        <v>1</v>
      </c>
      <c r="U1060">
        <v>10</v>
      </c>
      <c r="V1060">
        <v>116</v>
      </c>
      <c r="W1060">
        <v>106</v>
      </c>
      <c r="X1060">
        <v>0.91400000000000003</v>
      </c>
      <c r="Y1060">
        <v>0</v>
      </c>
    </row>
    <row r="1061" spans="1:25" x14ac:dyDescent="0.3">
      <c r="A1061" t="s">
        <v>859</v>
      </c>
      <c r="B1061" t="s">
        <v>95</v>
      </c>
      <c r="C1061" t="s">
        <v>29</v>
      </c>
      <c r="D1061">
        <v>3</v>
      </c>
      <c r="E1061">
        <v>0</v>
      </c>
      <c r="F1061">
        <v>0</v>
      </c>
      <c r="G1061">
        <v>0</v>
      </c>
      <c r="H1061">
        <v>-1</v>
      </c>
      <c r="I1061">
        <v>2</v>
      </c>
      <c r="J1061">
        <v>3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5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</row>
    <row r="1062" spans="1:25" x14ac:dyDescent="0.3">
      <c r="A1062" t="s">
        <v>852</v>
      </c>
      <c r="B1062" t="s">
        <v>75</v>
      </c>
      <c r="C1062" t="s">
        <v>10</v>
      </c>
      <c r="D1062">
        <v>52</v>
      </c>
      <c r="E1062">
        <v>0</v>
      </c>
      <c r="F1062">
        <v>0</v>
      </c>
      <c r="G1062">
        <v>0</v>
      </c>
      <c r="H1062">
        <v>0</v>
      </c>
      <c r="I1062">
        <v>11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31</v>
      </c>
      <c r="S1062">
        <v>15</v>
      </c>
      <c r="T1062">
        <v>4</v>
      </c>
      <c r="U1062">
        <v>133</v>
      </c>
      <c r="V1062">
        <v>1521</v>
      </c>
      <c r="W1062">
        <v>1388</v>
      </c>
      <c r="X1062">
        <v>0.91300000000000003</v>
      </c>
      <c r="Y1062">
        <v>3</v>
      </c>
    </row>
    <row r="1063" spans="1:25" x14ac:dyDescent="0.3">
      <c r="A1063" t="s">
        <v>779</v>
      </c>
      <c r="B1063" t="s">
        <v>54</v>
      </c>
      <c r="C1063" t="s">
        <v>29</v>
      </c>
      <c r="D1063">
        <v>7</v>
      </c>
      <c r="E1063">
        <v>0</v>
      </c>
      <c r="F1063">
        <v>0</v>
      </c>
      <c r="G1063">
        <v>0</v>
      </c>
      <c r="H1063">
        <v>-3</v>
      </c>
      <c r="I1063">
        <v>2</v>
      </c>
      <c r="J1063">
        <v>6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10</v>
      </c>
      <c r="Q1063">
        <v>3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</row>
    <row r="1064" spans="1:25" x14ac:dyDescent="0.3">
      <c r="A1064" t="s">
        <v>860</v>
      </c>
      <c r="B1064" t="s">
        <v>44</v>
      </c>
      <c r="C1064" t="s">
        <v>10</v>
      </c>
      <c r="D1064">
        <v>44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12</v>
      </c>
      <c r="S1064">
        <v>24</v>
      </c>
      <c r="T1064">
        <v>6</v>
      </c>
      <c r="U1064">
        <v>151</v>
      </c>
      <c r="V1064">
        <v>1394</v>
      </c>
      <c r="W1064">
        <v>1243</v>
      </c>
      <c r="X1064">
        <v>0.89200000000000002</v>
      </c>
      <c r="Y1064">
        <v>1</v>
      </c>
    </row>
    <row r="1065" spans="1:25" x14ac:dyDescent="0.3">
      <c r="A1065" t="s">
        <v>861</v>
      </c>
      <c r="B1065" t="s">
        <v>65</v>
      </c>
      <c r="C1065" t="s">
        <v>10</v>
      </c>
      <c r="D1065">
        <v>22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11</v>
      </c>
      <c r="S1065">
        <v>6</v>
      </c>
      <c r="T1065">
        <v>3</v>
      </c>
      <c r="U1065">
        <v>57</v>
      </c>
      <c r="V1065">
        <v>661</v>
      </c>
      <c r="W1065">
        <v>604</v>
      </c>
      <c r="X1065">
        <v>0.91400000000000003</v>
      </c>
      <c r="Y1065">
        <v>1</v>
      </c>
    </row>
    <row r="1066" spans="1:25" x14ac:dyDescent="0.3">
      <c r="A1066" t="s">
        <v>903</v>
      </c>
      <c r="B1066" t="s">
        <v>37</v>
      </c>
      <c r="C1066" t="s">
        <v>10</v>
      </c>
      <c r="D1066">
        <v>2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2</v>
      </c>
      <c r="S1066">
        <v>1</v>
      </c>
      <c r="T1066">
        <v>0</v>
      </c>
      <c r="U1066">
        <v>6</v>
      </c>
      <c r="V1066">
        <v>56</v>
      </c>
      <c r="W1066">
        <v>50</v>
      </c>
      <c r="X1066">
        <v>0.89300000000000002</v>
      </c>
      <c r="Y1066">
        <v>0</v>
      </c>
    </row>
    <row r="1067" spans="1:25" x14ac:dyDescent="0.3">
      <c r="A1067" t="s">
        <v>902</v>
      </c>
      <c r="B1067" t="s">
        <v>140</v>
      </c>
      <c r="C1067" t="s">
        <v>10</v>
      </c>
      <c r="D1067">
        <v>25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8</v>
      </c>
      <c r="S1067">
        <v>14</v>
      </c>
      <c r="T1067">
        <v>1</v>
      </c>
      <c r="U1067">
        <v>76</v>
      </c>
      <c r="V1067">
        <v>713</v>
      </c>
      <c r="W1067">
        <v>637</v>
      </c>
      <c r="X1067">
        <v>0.89300000000000002</v>
      </c>
      <c r="Y1067">
        <v>1</v>
      </c>
    </row>
    <row r="1068" spans="1:25" x14ac:dyDescent="0.3">
      <c r="A1068" t="s">
        <v>899</v>
      </c>
      <c r="B1068" t="s">
        <v>39</v>
      </c>
      <c r="C1068" t="s">
        <v>10</v>
      </c>
      <c r="D1068">
        <v>59</v>
      </c>
      <c r="E1068">
        <v>0</v>
      </c>
      <c r="F1068">
        <v>0</v>
      </c>
      <c r="G1068">
        <v>0</v>
      </c>
      <c r="H1068">
        <v>0</v>
      </c>
      <c r="I1068">
        <v>4</v>
      </c>
      <c r="J1068">
        <v>1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35</v>
      </c>
      <c r="S1068">
        <v>19</v>
      </c>
      <c r="T1068">
        <v>5</v>
      </c>
      <c r="U1068">
        <v>141</v>
      </c>
      <c r="V1068">
        <v>1711</v>
      </c>
      <c r="W1068">
        <v>1570</v>
      </c>
      <c r="X1068">
        <v>0.91800000000000004</v>
      </c>
      <c r="Y1068">
        <v>5</v>
      </c>
    </row>
    <row r="1069" spans="1:25" x14ac:dyDescent="0.3">
      <c r="A1069" t="s">
        <v>907</v>
      </c>
      <c r="B1069" t="s">
        <v>71</v>
      </c>
      <c r="C1069" t="s">
        <v>10</v>
      </c>
      <c r="D1069">
        <v>44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15</v>
      </c>
      <c r="S1069">
        <v>20</v>
      </c>
      <c r="T1069">
        <v>7</v>
      </c>
      <c r="U1069">
        <v>114</v>
      </c>
      <c r="V1069">
        <v>1309</v>
      </c>
      <c r="W1069">
        <v>1195</v>
      </c>
      <c r="X1069">
        <v>0.91300000000000003</v>
      </c>
      <c r="Y1069">
        <v>2</v>
      </c>
    </row>
    <row r="1070" spans="1:25" x14ac:dyDescent="0.3">
      <c r="A1070" t="s">
        <v>906</v>
      </c>
      <c r="B1070" t="s">
        <v>54</v>
      </c>
      <c r="C1070" t="s">
        <v>10</v>
      </c>
      <c r="D1070">
        <v>8</v>
      </c>
      <c r="E1070">
        <v>0</v>
      </c>
      <c r="F1070">
        <v>0</v>
      </c>
      <c r="G1070">
        <v>0</v>
      </c>
      <c r="H1070">
        <v>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1</v>
      </c>
      <c r="S1070">
        <v>5</v>
      </c>
      <c r="T1070">
        <v>0</v>
      </c>
      <c r="U1070">
        <v>29</v>
      </c>
      <c r="V1070">
        <v>211</v>
      </c>
      <c r="W1070">
        <v>182</v>
      </c>
      <c r="X1070">
        <v>0.86299999999999999</v>
      </c>
      <c r="Y1070">
        <v>0</v>
      </c>
    </row>
    <row r="1071" spans="1:25" x14ac:dyDescent="0.3">
      <c r="A1071" t="s">
        <v>836</v>
      </c>
      <c r="B1071" t="s">
        <v>32</v>
      </c>
      <c r="C1071" t="s">
        <v>93</v>
      </c>
      <c r="D1071">
        <v>5</v>
      </c>
      <c r="E1071">
        <v>0</v>
      </c>
      <c r="F1071">
        <v>0</v>
      </c>
      <c r="G1071">
        <v>0</v>
      </c>
      <c r="H1071">
        <v>-2</v>
      </c>
      <c r="I1071">
        <v>4</v>
      </c>
      <c r="J1071">
        <v>5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12</v>
      </c>
      <c r="Q1071">
        <v>7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</row>
    <row r="1072" spans="1:25" x14ac:dyDescent="0.3">
      <c r="A1072" t="s">
        <v>904</v>
      </c>
      <c r="B1072" t="s">
        <v>28</v>
      </c>
      <c r="C1072" t="s">
        <v>10</v>
      </c>
      <c r="D1072">
        <v>3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2</v>
      </c>
      <c r="T1072">
        <v>0</v>
      </c>
      <c r="U1072">
        <v>10</v>
      </c>
      <c r="V1072">
        <v>84</v>
      </c>
      <c r="W1072">
        <v>74</v>
      </c>
      <c r="X1072">
        <v>0.88100000000000001</v>
      </c>
      <c r="Y1072">
        <v>0</v>
      </c>
    </row>
    <row r="1073" spans="1:25" x14ac:dyDescent="0.3">
      <c r="A1073" t="s">
        <v>901</v>
      </c>
      <c r="B1073" t="s">
        <v>57</v>
      </c>
      <c r="C1073" t="s">
        <v>10</v>
      </c>
      <c r="D1073">
        <v>53</v>
      </c>
      <c r="E1073">
        <v>0</v>
      </c>
      <c r="F1073">
        <v>0</v>
      </c>
      <c r="G1073">
        <v>0</v>
      </c>
      <c r="H1073">
        <v>0</v>
      </c>
      <c r="I1073">
        <v>3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36</v>
      </c>
      <c r="S1073">
        <v>12</v>
      </c>
      <c r="T1073">
        <v>4</v>
      </c>
      <c r="U1073">
        <v>142</v>
      </c>
      <c r="V1073">
        <v>1584</v>
      </c>
      <c r="W1073">
        <v>1442</v>
      </c>
      <c r="X1073">
        <v>0.91</v>
      </c>
      <c r="Y1073">
        <v>3</v>
      </c>
    </row>
    <row r="1074" spans="1:25" x14ac:dyDescent="0.3">
      <c r="A1074" t="s">
        <v>890</v>
      </c>
      <c r="B1074" t="s">
        <v>32</v>
      </c>
      <c r="C1074" t="s">
        <v>10</v>
      </c>
      <c r="D1074">
        <v>22</v>
      </c>
      <c r="E1074">
        <v>0</v>
      </c>
      <c r="F1074">
        <v>0</v>
      </c>
      <c r="G1074">
        <v>0</v>
      </c>
      <c r="H1074">
        <v>0</v>
      </c>
      <c r="I1074">
        <v>2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8</v>
      </c>
      <c r="S1074">
        <v>9</v>
      </c>
      <c r="T1074">
        <v>4</v>
      </c>
      <c r="U1074">
        <v>59</v>
      </c>
      <c r="V1074">
        <v>632</v>
      </c>
      <c r="W1074">
        <v>573</v>
      </c>
      <c r="X1074">
        <v>0.90700000000000003</v>
      </c>
      <c r="Y1074">
        <v>1</v>
      </c>
    </row>
    <row r="1075" spans="1:25" x14ac:dyDescent="0.3">
      <c r="A1075" t="s">
        <v>839</v>
      </c>
      <c r="B1075" t="s">
        <v>106</v>
      </c>
      <c r="C1075" t="s">
        <v>10</v>
      </c>
      <c r="D1075">
        <v>4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1</v>
      </c>
      <c r="S1075">
        <v>3</v>
      </c>
      <c r="T1075">
        <v>0</v>
      </c>
      <c r="U1075">
        <v>13</v>
      </c>
      <c r="V1075">
        <v>131</v>
      </c>
      <c r="W1075">
        <v>118</v>
      </c>
      <c r="X1075">
        <v>0.90100000000000002</v>
      </c>
      <c r="Y1075">
        <v>0</v>
      </c>
    </row>
    <row r="1076" spans="1:25" x14ac:dyDescent="0.3">
      <c r="A1076" t="s">
        <v>838</v>
      </c>
      <c r="B1076" t="s">
        <v>95</v>
      </c>
      <c r="C1076" t="s">
        <v>10</v>
      </c>
      <c r="D1076">
        <v>32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12</v>
      </c>
      <c r="S1076">
        <v>15</v>
      </c>
      <c r="T1076">
        <v>3</v>
      </c>
      <c r="U1076">
        <v>87</v>
      </c>
      <c r="V1076">
        <v>1009</v>
      </c>
      <c r="W1076">
        <v>922</v>
      </c>
      <c r="X1076">
        <v>0.91400000000000003</v>
      </c>
      <c r="Y1076">
        <v>3</v>
      </c>
    </row>
    <row r="1077" spans="1:25" x14ac:dyDescent="0.3">
      <c r="A1077" t="s">
        <v>1209</v>
      </c>
      <c r="B1077" t="s">
        <v>54</v>
      </c>
      <c r="C1077" t="s">
        <v>10</v>
      </c>
      <c r="D1077">
        <v>3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1</v>
      </c>
      <c r="S1077">
        <v>1</v>
      </c>
      <c r="T1077">
        <v>0</v>
      </c>
      <c r="U1077">
        <v>9</v>
      </c>
      <c r="V1077">
        <v>79</v>
      </c>
      <c r="W1077">
        <v>70</v>
      </c>
      <c r="X1077">
        <v>0.88600000000000001</v>
      </c>
      <c r="Y1077">
        <v>0</v>
      </c>
    </row>
    <row r="1078" spans="1:25" x14ac:dyDescent="0.3">
      <c r="A1078" t="s">
        <v>895</v>
      </c>
      <c r="B1078" t="s">
        <v>120</v>
      </c>
      <c r="C1078" t="s">
        <v>10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1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</row>
    <row r="1079" spans="1:25" x14ac:dyDescent="0.3">
      <c r="A1079" t="s">
        <v>788</v>
      </c>
      <c r="B1079" t="s">
        <v>54</v>
      </c>
      <c r="C1079" t="s">
        <v>10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2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1</v>
      </c>
    </row>
    <row r="1080" spans="1:25" x14ac:dyDescent="0.3">
      <c r="A1080" t="s">
        <v>664</v>
      </c>
      <c r="B1080" t="s">
        <v>122</v>
      </c>
      <c r="C1080" t="s">
        <v>93</v>
      </c>
      <c r="D1080">
        <v>3</v>
      </c>
      <c r="E1080">
        <v>0</v>
      </c>
      <c r="F1080">
        <v>0</v>
      </c>
      <c r="G1080">
        <v>0</v>
      </c>
      <c r="H1080">
        <v>-1</v>
      </c>
      <c r="I1080">
        <v>4</v>
      </c>
      <c r="J1080">
        <v>9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5</v>
      </c>
      <c r="Q1080">
        <v>5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</row>
    <row r="1081" spans="1:25" x14ac:dyDescent="0.3">
      <c r="A1081" t="s">
        <v>841</v>
      </c>
      <c r="B1081" t="s">
        <v>46</v>
      </c>
      <c r="C1081" t="s">
        <v>10</v>
      </c>
      <c r="D1081">
        <v>6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9</v>
      </c>
      <c r="S1081">
        <v>3</v>
      </c>
      <c r="T1081">
        <v>1</v>
      </c>
      <c r="U1081">
        <v>19</v>
      </c>
      <c r="V1081">
        <v>185</v>
      </c>
      <c r="W1081">
        <v>166</v>
      </c>
      <c r="X1081">
        <v>0.89700000000000002</v>
      </c>
      <c r="Y1081">
        <v>0</v>
      </c>
    </row>
    <row r="1082" spans="1:25" x14ac:dyDescent="0.3">
      <c r="A1082" t="s">
        <v>891</v>
      </c>
      <c r="B1082" t="s">
        <v>98</v>
      </c>
      <c r="C1082" t="s">
        <v>10</v>
      </c>
      <c r="D1082">
        <v>6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2</v>
      </c>
      <c r="S1082">
        <v>3</v>
      </c>
      <c r="T1082">
        <v>0</v>
      </c>
      <c r="U1082">
        <v>16</v>
      </c>
      <c r="V1082">
        <v>142</v>
      </c>
      <c r="W1082">
        <v>126</v>
      </c>
      <c r="X1082">
        <v>0.88700000000000001</v>
      </c>
      <c r="Y1082">
        <v>0</v>
      </c>
    </row>
    <row r="1083" spans="1:25" x14ac:dyDescent="0.3">
      <c r="A1083" t="s">
        <v>1210</v>
      </c>
      <c r="B1083" t="s">
        <v>44</v>
      </c>
      <c r="C1083" t="s">
        <v>10</v>
      </c>
      <c r="D1083">
        <v>36</v>
      </c>
      <c r="E1083">
        <v>0</v>
      </c>
      <c r="F1083">
        <v>0</v>
      </c>
      <c r="G1083">
        <v>0</v>
      </c>
      <c r="H1083">
        <v>0</v>
      </c>
      <c r="I1083">
        <v>1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3</v>
      </c>
      <c r="S1083">
        <v>19</v>
      </c>
      <c r="T1083">
        <v>4</v>
      </c>
      <c r="U1083">
        <v>131</v>
      </c>
      <c r="V1083">
        <v>297</v>
      </c>
      <c r="W1083">
        <v>166</v>
      </c>
      <c r="X1083">
        <v>0.55900000000000005</v>
      </c>
      <c r="Y1083">
        <v>1</v>
      </c>
    </row>
    <row r="1084" spans="1:25" x14ac:dyDescent="0.3">
      <c r="A1084" t="s">
        <v>1211</v>
      </c>
      <c r="B1084" t="s">
        <v>54</v>
      </c>
      <c r="C1084" t="s">
        <v>10</v>
      </c>
      <c r="D1084">
        <v>6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2</v>
      </c>
      <c r="S1084">
        <v>2</v>
      </c>
      <c r="T1084">
        <v>1</v>
      </c>
      <c r="U1084">
        <v>21</v>
      </c>
      <c r="V1084">
        <v>157</v>
      </c>
      <c r="W1084">
        <v>136</v>
      </c>
      <c r="X1084">
        <v>0.86599999999999999</v>
      </c>
      <c r="Y1084">
        <v>0</v>
      </c>
    </row>
    <row r="1085" spans="1:25" x14ac:dyDescent="0.3">
      <c r="A1085" t="s">
        <v>892</v>
      </c>
      <c r="B1085" t="s">
        <v>120</v>
      </c>
      <c r="C1085" t="s">
        <v>10</v>
      </c>
      <c r="D1085">
        <v>51</v>
      </c>
      <c r="E1085">
        <v>0</v>
      </c>
      <c r="F1085">
        <v>0</v>
      </c>
      <c r="G1085">
        <v>0</v>
      </c>
      <c r="H1085">
        <v>0</v>
      </c>
      <c r="I1085">
        <v>2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20</v>
      </c>
      <c r="S1085">
        <v>21</v>
      </c>
      <c r="T1085">
        <v>6</v>
      </c>
      <c r="U1085">
        <v>140</v>
      </c>
      <c r="V1085">
        <v>1474</v>
      </c>
      <c r="W1085">
        <v>1334</v>
      </c>
      <c r="X1085">
        <v>0.90500000000000003</v>
      </c>
      <c r="Y1085">
        <v>2</v>
      </c>
    </row>
    <row r="1086" spans="1:25" x14ac:dyDescent="0.3">
      <c r="A1086" t="s">
        <v>840</v>
      </c>
      <c r="B1086" t="s">
        <v>54</v>
      </c>
      <c r="C1086" t="s">
        <v>10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2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</row>
    <row r="1087" spans="1:25" x14ac:dyDescent="0.3">
      <c r="A1087" t="s">
        <v>770</v>
      </c>
      <c r="B1087" t="s">
        <v>106</v>
      </c>
      <c r="C1087" t="s">
        <v>93</v>
      </c>
      <c r="D1087">
        <v>10</v>
      </c>
      <c r="E1087">
        <v>0</v>
      </c>
      <c r="F1087">
        <v>0</v>
      </c>
      <c r="G1087">
        <v>0</v>
      </c>
      <c r="H1087">
        <v>-2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13</v>
      </c>
      <c r="Q1087">
        <v>13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</row>
    <row r="1088" spans="1:25" x14ac:dyDescent="0.3">
      <c r="A1088" t="s">
        <v>842</v>
      </c>
      <c r="B1088" t="s">
        <v>61</v>
      </c>
      <c r="C1088" t="s">
        <v>10</v>
      </c>
      <c r="D1088">
        <v>19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11</v>
      </c>
      <c r="S1088">
        <v>5</v>
      </c>
      <c r="T1088">
        <v>1</v>
      </c>
      <c r="U1088">
        <v>49</v>
      </c>
      <c r="V1088">
        <v>529</v>
      </c>
      <c r="W1088">
        <v>480</v>
      </c>
      <c r="X1088">
        <v>0.90700000000000003</v>
      </c>
      <c r="Y1088">
        <v>1</v>
      </c>
    </row>
    <row r="1089" spans="1:25" x14ac:dyDescent="0.3">
      <c r="A1089" t="s">
        <v>769</v>
      </c>
      <c r="B1089" t="s">
        <v>65</v>
      </c>
      <c r="C1089" t="s">
        <v>10</v>
      </c>
      <c r="D1089">
        <v>6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2</v>
      </c>
      <c r="S1089">
        <v>3</v>
      </c>
      <c r="T1089">
        <v>0</v>
      </c>
      <c r="U1089">
        <v>16</v>
      </c>
      <c r="V1089">
        <v>148</v>
      </c>
      <c r="W1089">
        <v>132</v>
      </c>
      <c r="X1089">
        <v>0.89200000000000002</v>
      </c>
      <c r="Y1089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1B6F-9CA1-4FC9-859D-FFF8E9C7A2A2}">
  <sheetPr codeName="Sheet11"/>
  <dimension ref="H10"/>
  <sheetViews>
    <sheetView workbookViewId="0">
      <selection activeCell="L26" sqref="L26"/>
    </sheetView>
  </sheetViews>
  <sheetFormatPr defaultRowHeight="14.4" x14ac:dyDescent="0.3"/>
  <sheetData>
    <row r="10" spans="8:8" x14ac:dyDescent="0.3">
      <c r="H10" t="s">
        <v>1218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E913C-7445-4213-996B-2DE68F5CFDA8}">
  <sheetPr codeName="Sheet4"/>
  <dimension ref="A1:F14"/>
  <sheetViews>
    <sheetView workbookViewId="0">
      <selection activeCell="O16" sqref="O16"/>
    </sheetView>
  </sheetViews>
  <sheetFormatPr defaultRowHeight="14.4" x14ac:dyDescent="0.3"/>
  <sheetData>
    <row r="1" spans="1:6" x14ac:dyDescent="0.3">
      <c r="A1" t="s">
        <v>952</v>
      </c>
      <c r="B1" t="s">
        <v>950</v>
      </c>
      <c r="C1" t="s">
        <v>953</v>
      </c>
      <c r="D1" t="s">
        <v>954</v>
      </c>
    </row>
    <row r="14" spans="1:6" x14ac:dyDescent="0.3">
      <c r="F14" t="s">
        <v>1212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CAC61-E5F4-4630-8A93-C7BF8AF8EC51}">
  <sheetPr codeName="Sheet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77E67-FB29-41B3-94A3-8DA8BD4F75BC}">
  <sheetPr codeName="Sheet6"/>
  <dimension ref="A1:G16"/>
  <sheetViews>
    <sheetView workbookViewId="0">
      <selection activeCell="D13" sqref="D13"/>
    </sheetView>
  </sheetViews>
  <sheetFormatPr defaultRowHeight="14.4" x14ac:dyDescent="0.3"/>
  <cols>
    <col min="1" max="1" width="26.6640625" customWidth="1"/>
    <col min="3" max="3" width="14.5546875" customWidth="1"/>
    <col min="6" max="6" width="24.77734375" customWidth="1"/>
  </cols>
  <sheetData>
    <row r="1" spans="1:7" x14ac:dyDescent="0.3">
      <c r="A1" t="s">
        <v>982</v>
      </c>
      <c r="B1">
        <v>17</v>
      </c>
    </row>
    <row r="2" spans="1:7" x14ac:dyDescent="0.3">
      <c r="A2" t="s">
        <v>977</v>
      </c>
      <c r="B2">
        <v>82</v>
      </c>
      <c r="F2" t="s">
        <v>1216</v>
      </c>
      <c r="G2">
        <v>8</v>
      </c>
    </row>
    <row r="3" spans="1:7" x14ac:dyDescent="0.3">
      <c r="F3" t="s">
        <v>1217</v>
      </c>
      <c r="G3">
        <v>196</v>
      </c>
    </row>
    <row r="4" spans="1:7" x14ac:dyDescent="0.3">
      <c r="A4" t="s">
        <v>978</v>
      </c>
      <c r="B4">
        <v>15</v>
      </c>
    </row>
    <row r="5" spans="1:7" x14ac:dyDescent="0.3">
      <c r="A5" t="s">
        <v>985</v>
      </c>
      <c r="B5">
        <v>3</v>
      </c>
      <c r="C5" t="s">
        <v>988</v>
      </c>
      <c r="D5">
        <f>B5*B4</f>
        <v>45</v>
      </c>
    </row>
    <row r="6" spans="1:7" x14ac:dyDescent="0.3">
      <c r="A6" t="s">
        <v>986</v>
      </c>
      <c r="B6">
        <v>9</v>
      </c>
      <c r="C6" t="s">
        <v>989</v>
      </c>
      <c r="D6">
        <f>B6*B4</f>
        <v>135</v>
      </c>
    </row>
    <row r="7" spans="1:7" x14ac:dyDescent="0.3">
      <c r="A7" t="s">
        <v>987</v>
      </c>
      <c r="B7">
        <v>5</v>
      </c>
      <c r="C7" t="s">
        <v>990</v>
      </c>
      <c r="D7">
        <f>B7*B4</f>
        <v>75</v>
      </c>
    </row>
    <row r="9" spans="1:7" x14ac:dyDescent="0.3">
      <c r="A9" t="s">
        <v>1003</v>
      </c>
      <c r="B9">
        <v>3</v>
      </c>
    </row>
    <row r="10" spans="1:7" x14ac:dyDescent="0.3">
      <c r="A10" t="s">
        <v>1004</v>
      </c>
      <c r="B10">
        <v>4</v>
      </c>
    </row>
    <row r="11" spans="1:7" x14ac:dyDescent="0.3">
      <c r="A11" t="s">
        <v>1005</v>
      </c>
      <c r="B11">
        <v>4</v>
      </c>
    </row>
    <row r="12" spans="1:7" x14ac:dyDescent="0.3">
      <c r="A12" t="s">
        <v>1006</v>
      </c>
      <c r="B12">
        <v>2</v>
      </c>
    </row>
    <row r="14" spans="1:7" x14ac:dyDescent="0.3">
      <c r="A14" t="s">
        <v>1245</v>
      </c>
      <c r="B14" s="102">
        <v>1</v>
      </c>
    </row>
    <row r="15" spans="1:7" x14ac:dyDescent="0.3">
      <c r="A15" t="s">
        <v>1243</v>
      </c>
      <c r="B15" s="102">
        <v>1.25</v>
      </c>
    </row>
    <row r="16" spans="1:7" x14ac:dyDescent="0.3">
      <c r="A16" t="s">
        <v>1244</v>
      </c>
      <c r="B16" s="102">
        <v>1.1000000000000001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980A2-DC46-4E58-9C59-47419EC7F1DC}">
  <sheetPr codeName="Sheet10"/>
  <dimension ref="A1:O83"/>
  <sheetViews>
    <sheetView workbookViewId="0">
      <selection activeCell="M12" sqref="M12"/>
    </sheetView>
  </sheetViews>
  <sheetFormatPr defaultRowHeight="14.4" x14ac:dyDescent="0.3"/>
  <cols>
    <col min="1" max="1" width="8.88671875" style="60"/>
    <col min="6" max="6" width="8.88671875" style="60"/>
    <col min="8" max="8" width="3.109375" style="37" customWidth="1"/>
    <col min="9" max="9" width="3.88671875" style="37" customWidth="1"/>
    <col min="10" max="10" width="3" style="37" customWidth="1"/>
  </cols>
  <sheetData>
    <row r="1" spans="1:15" ht="15" thickBot="1" x14ac:dyDescent="0.35">
      <c r="A1" s="62" t="s">
        <v>950</v>
      </c>
      <c r="B1" s="63" t="s">
        <v>999</v>
      </c>
      <c r="C1" s="63" t="s">
        <v>93</v>
      </c>
      <c r="D1" s="63" t="s">
        <v>10</v>
      </c>
      <c r="E1" s="62" t="s">
        <v>20</v>
      </c>
      <c r="F1" s="57"/>
      <c r="G1" s="62" t="s">
        <v>950</v>
      </c>
      <c r="H1" s="84" t="s">
        <v>999</v>
      </c>
      <c r="I1" s="84" t="s">
        <v>93</v>
      </c>
      <c r="J1" s="86" t="s">
        <v>10</v>
      </c>
      <c r="N1" t="s">
        <v>1213</v>
      </c>
      <c r="O1" t="s">
        <v>1214</v>
      </c>
    </row>
    <row r="2" spans="1:15" x14ac:dyDescent="0.3">
      <c r="A2" s="60" t="str">
        <f>Schedule!$A2</f>
        <v>ANH</v>
      </c>
      <c r="B2" s="64">
        <v>0</v>
      </c>
      <c r="C2" s="64">
        <v>0</v>
      </c>
      <c r="D2" s="64">
        <v>0</v>
      </c>
      <c r="E2" s="65">
        <v>0.56410256410256399</v>
      </c>
      <c r="F2" s="57"/>
      <c r="G2" s="60" t="str">
        <f>Schedule!$A2</f>
        <v>ANH</v>
      </c>
      <c r="H2" s="87">
        <v>82</v>
      </c>
      <c r="I2" s="87">
        <v>82</v>
      </c>
      <c r="J2" s="88">
        <v>82</v>
      </c>
      <c r="O2" t="s">
        <v>1215</v>
      </c>
    </row>
    <row r="3" spans="1:15" x14ac:dyDescent="0.3">
      <c r="A3" s="60" t="str">
        <f>Schedule!$A3</f>
        <v>ARI</v>
      </c>
      <c r="B3" s="64">
        <v>0</v>
      </c>
      <c r="C3" s="64">
        <v>0</v>
      </c>
      <c r="D3" s="64">
        <v>0</v>
      </c>
      <c r="E3" s="65">
        <v>0.63247863247863279</v>
      </c>
      <c r="F3" s="57"/>
      <c r="G3" s="60" t="str">
        <f>Schedule!$A3</f>
        <v>ARI</v>
      </c>
      <c r="H3" s="87">
        <v>82</v>
      </c>
      <c r="I3" s="87">
        <v>82</v>
      </c>
      <c r="J3" s="88">
        <v>82</v>
      </c>
    </row>
    <row r="4" spans="1:15" x14ac:dyDescent="0.3">
      <c r="A4" s="60" t="str">
        <f>Schedule!$A4</f>
        <v>BOS</v>
      </c>
      <c r="B4" s="64">
        <v>0</v>
      </c>
      <c r="C4" s="64">
        <v>0</v>
      </c>
      <c r="D4" s="64">
        <v>0</v>
      </c>
      <c r="E4" s="65">
        <v>0.67236467236467234</v>
      </c>
      <c r="F4" s="57"/>
      <c r="G4" s="60" t="str">
        <f>Schedule!$A4</f>
        <v>BOS</v>
      </c>
      <c r="H4" s="87">
        <v>82</v>
      </c>
      <c r="I4" s="87">
        <v>82</v>
      </c>
      <c r="J4" s="88">
        <v>82</v>
      </c>
    </row>
    <row r="5" spans="1:15" x14ac:dyDescent="0.3">
      <c r="A5" s="60" t="str">
        <f>Schedule!$A5</f>
        <v>BUF</v>
      </c>
      <c r="B5" s="64">
        <v>0</v>
      </c>
      <c r="C5" s="64">
        <v>0</v>
      </c>
      <c r="D5" s="64">
        <v>0</v>
      </c>
      <c r="E5" s="65">
        <v>0.63573463573463573</v>
      </c>
      <c r="F5" s="57"/>
      <c r="G5" s="60" t="str">
        <f>Schedule!$A5</f>
        <v>BUF</v>
      </c>
      <c r="H5" s="87">
        <v>82</v>
      </c>
      <c r="I5" s="87">
        <v>82</v>
      </c>
      <c r="J5" s="88">
        <v>82</v>
      </c>
    </row>
    <row r="6" spans="1:15" x14ac:dyDescent="0.3">
      <c r="A6" s="60" t="str">
        <f>Schedule!$A6</f>
        <v>CAR</v>
      </c>
      <c r="B6" s="64">
        <v>0</v>
      </c>
      <c r="C6" s="64">
        <v>0</v>
      </c>
      <c r="D6" s="64">
        <v>0</v>
      </c>
      <c r="E6" s="65">
        <v>0.63247863247863245</v>
      </c>
      <c r="F6" s="57"/>
      <c r="G6" s="60" t="str">
        <f>Schedule!$A6</f>
        <v>CAR</v>
      </c>
      <c r="H6" s="87">
        <v>82</v>
      </c>
      <c r="I6" s="87">
        <v>82</v>
      </c>
      <c r="J6" s="88">
        <v>82</v>
      </c>
    </row>
    <row r="7" spans="1:15" x14ac:dyDescent="0.3">
      <c r="A7" s="60" t="str">
        <f>Schedule!$A7</f>
        <v>CLS</v>
      </c>
      <c r="B7" s="64">
        <v>0</v>
      </c>
      <c r="C7" s="64">
        <v>0</v>
      </c>
      <c r="D7" s="64">
        <v>0</v>
      </c>
      <c r="E7" s="65">
        <v>0.64875864875864886</v>
      </c>
      <c r="F7" s="57"/>
      <c r="G7" s="60" t="str">
        <f>Schedule!$A7</f>
        <v>CLS</v>
      </c>
      <c r="H7" s="87">
        <v>82</v>
      </c>
      <c r="I7" s="87">
        <v>82</v>
      </c>
      <c r="J7" s="88">
        <v>82</v>
      </c>
    </row>
    <row r="8" spans="1:15" x14ac:dyDescent="0.3">
      <c r="A8" s="60" t="str">
        <f>Schedule!$A8</f>
        <v>CGY</v>
      </c>
      <c r="B8" s="64">
        <v>0</v>
      </c>
      <c r="C8" s="64">
        <v>0</v>
      </c>
      <c r="D8" s="64">
        <v>0</v>
      </c>
      <c r="E8" s="65">
        <v>0.63003663003663002</v>
      </c>
      <c r="F8" s="57"/>
      <c r="G8" s="60" t="str">
        <f>Schedule!$A8</f>
        <v>CGY</v>
      </c>
      <c r="H8" s="87">
        <v>82</v>
      </c>
      <c r="I8" s="87">
        <v>82</v>
      </c>
      <c r="J8" s="88">
        <v>82</v>
      </c>
    </row>
    <row r="9" spans="1:15" x14ac:dyDescent="0.3">
      <c r="A9" s="60" t="str">
        <f>Schedule!$A9</f>
        <v>CHI</v>
      </c>
      <c r="B9" s="64">
        <v>0</v>
      </c>
      <c r="C9" s="64">
        <v>0</v>
      </c>
      <c r="D9" s="64">
        <v>0</v>
      </c>
      <c r="E9" s="65">
        <v>0.6243386243386243</v>
      </c>
      <c r="F9" s="57"/>
      <c r="G9" s="60" t="str">
        <f>Schedule!$A9</f>
        <v>CHI</v>
      </c>
      <c r="H9" s="87">
        <v>82</v>
      </c>
      <c r="I9" s="87">
        <v>82</v>
      </c>
      <c r="J9" s="88">
        <v>82</v>
      </c>
    </row>
    <row r="10" spans="1:15" x14ac:dyDescent="0.3">
      <c r="A10" s="60" t="str">
        <f>Schedule!$A10</f>
        <v>COL</v>
      </c>
      <c r="B10" s="64">
        <v>0</v>
      </c>
      <c r="C10" s="64">
        <v>0</v>
      </c>
      <c r="D10" s="64">
        <v>0</v>
      </c>
      <c r="E10" s="65">
        <v>0.61131461131461151</v>
      </c>
      <c r="F10" s="57"/>
      <c r="G10" s="60" t="str">
        <f>Schedule!$A10</f>
        <v>COL</v>
      </c>
      <c r="H10" s="87">
        <v>82</v>
      </c>
      <c r="I10" s="87">
        <v>82</v>
      </c>
      <c r="J10" s="88">
        <v>82</v>
      </c>
    </row>
    <row r="11" spans="1:15" x14ac:dyDescent="0.3">
      <c r="A11" s="60" t="str">
        <f>Schedule!$A11</f>
        <v>DAL</v>
      </c>
      <c r="B11" s="64">
        <v>0</v>
      </c>
      <c r="C11" s="64">
        <v>0</v>
      </c>
      <c r="D11" s="64">
        <v>0</v>
      </c>
      <c r="E11" s="65">
        <v>0.65364265364265373</v>
      </c>
      <c r="F11" s="57"/>
      <c r="G11" s="60" t="str">
        <f>Schedule!$A11</f>
        <v>DAL</v>
      </c>
      <c r="H11" s="87">
        <v>82</v>
      </c>
      <c r="I11" s="87">
        <v>82</v>
      </c>
      <c r="J11" s="88">
        <v>82</v>
      </c>
    </row>
    <row r="12" spans="1:15" x14ac:dyDescent="0.3">
      <c r="A12" s="60" t="str">
        <f>Schedule!$A12</f>
        <v>DET</v>
      </c>
      <c r="B12" s="64">
        <v>0</v>
      </c>
      <c r="C12" s="64">
        <v>0</v>
      </c>
      <c r="D12" s="64">
        <v>0</v>
      </c>
      <c r="E12" s="65">
        <v>0.64550264550264547</v>
      </c>
      <c r="F12" s="57"/>
      <c r="G12" s="60" t="str">
        <f>Schedule!$A12</f>
        <v>DET</v>
      </c>
      <c r="H12" s="87">
        <v>82</v>
      </c>
      <c r="I12" s="87">
        <v>82</v>
      </c>
      <c r="J12" s="88">
        <v>82</v>
      </c>
    </row>
    <row r="13" spans="1:15" x14ac:dyDescent="0.3">
      <c r="A13" s="60" t="str">
        <f>Schedule!$A13</f>
        <v>EDM</v>
      </c>
      <c r="B13" s="64">
        <v>0</v>
      </c>
      <c r="C13" s="64">
        <v>0</v>
      </c>
      <c r="D13" s="64">
        <v>0</v>
      </c>
      <c r="E13" s="65">
        <v>0.62026862026862029</v>
      </c>
      <c r="F13" s="57"/>
      <c r="G13" s="60" t="str">
        <f>Schedule!$A13</f>
        <v>EDM</v>
      </c>
      <c r="H13" s="87">
        <v>82</v>
      </c>
      <c r="I13" s="87">
        <v>82</v>
      </c>
      <c r="J13" s="88">
        <v>82</v>
      </c>
    </row>
    <row r="14" spans="1:15" x14ac:dyDescent="0.3">
      <c r="A14" s="60" t="str">
        <f>Schedule!$A14</f>
        <v>FLA</v>
      </c>
      <c r="B14" s="64">
        <v>0</v>
      </c>
      <c r="C14" s="64">
        <v>0</v>
      </c>
      <c r="D14" s="64">
        <v>0</v>
      </c>
      <c r="E14" s="65">
        <v>0.64387464387464377</v>
      </c>
      <c r="F14" s="57"/>
      <c r="G14" s="60" t="str">
        <f>Schedule!$A14</f>
        <v>FLA</v>
      </c>
      <c r="H14" s="87">
        <v>82</v>
      </c>
      <c r="I14" s="87">
        <v>82</v>
      </c>
      <c r="J14" s="88">
        <v>82</v>
      </c>
    </row>
    <row r="15" spans="1:15" x14ac:dyDescent="0.3">
      <c r="A15" s="60" t="str">
        <f>Schedule!$A15</f>
        <v>LA</v>
      </c>
      <c r="B15" s="64">
        <v>0</v>
      </c>
      <c r="C15" s="64">
        <v>0</v>
      </c>
      <c r="D15" s="64">
        <v>0</v>
      </c>
      <c r="E15" s="65">
        <v>0.65201465201465225</v>
      </c>
      <c r="F15" s="57"/>
      <c r="G15" s="60" t="str">
        <f>Schedule!$A15</f>
        <v>LA</v>
      </c>
      <c r="H15" s="87">
        <v>82</v>
      </c>
      <c r="I15" s="87">
        <v>82</v>
      </c>
      <c r="J15" s="88">
        <v>82</v>
      </c>
    </row>
    <row r="16" spans="1:15" x14ac:dyDescent="0.3">
      <c r="A16" s="60" t="str">
        <f>Schedule!$A16</f>
        <v>MIN</v>
      </c>
      <c r="B16" s="64">
        <v>0</v>
      </c>
      <c r="C16" s="64">
        <v>0</v>
      </c>
      <c r="D16" s="64">
        <v>0</v>
      </c>
      <c r="E16" s="65">
        <v>0.62108262108262113</v>
      </c>
      <c r="F16" s="57"/>
      <c r="G16" s="60" t="str">
        <f>Schedule!$A16</f>
        <v>MIN</v>
      </c>
      <c r="H16" s="87">
        <v>82</v>
      </c>
      <c r="I16" s="87">
        <v>82</v>
      </c>
      <c r="J16" s="88">
        <v>82</v>
      </c>
    </row>
    <row r="17" spans="1:10" x14ac:dyDescent="0.3">
      <c r="A17" s="60" t="str">
        <f>Schedule!$A17</f>
        <v>MON</v>
      </c>
      <c r="B17" s="64">
        <v>0</v>
      </c>
      <c r="C17" s="64">
        <v>0</v>
      </c>
      <c r="D17" s="64">
        <v>0</v>
      </c>
      <c r="E17" s="65">
        <v>0.66666666666666685</v>
      </c>
      <c r="F17" s="57"/>
      <c r="G17" s="60" t="str">
        <f>Schedule!$A17</f>
        <v>MON</v>
      </c>
      <c r="H17" s="87">
        <v>82</v>
      </c>
      <c r="I17" s="87">
        <v>82</v>
      </c>
      <c r="J17" s="88">
        <v>82</v>
      </c>
    </row>
    <row r="18" spans="1:10" x14ac:dyDescent="0.3">
      <c r="A18" s="60" t="str">
        <f>Schedule!$A18</f>
        <v>NJ</v>
      </c>
      <c r="B18" s="64">
        <v>0</v>
      </c>
      <c r="C18" s="64">
        <v>0</v>
      </c>
      <c r="D18" s="64">
        <v>0</v>
      </c>
      <c r="E18" s="65">
        <v>0.66259666259666272</v>
      </c>
      <c r="F18" s="57"/>
      <c r="G18" s="60" t="str">
        <f>Schedule!$A18</f>
        <v>NJ</v>
      </c>
      <c r="H18" s="87">
        <v>82</v>
      </c>
      <c r="I18" s="87">
        <v>82</v>
      </c>
      <c r="J18" s="88">
        <v>82</v>
      </c>
    </row>
    <row r="19" spans="1:10" x14ac:dyDescent="0.3">
      <c r="A19" s="60" t="str">
        <f>Schedule!$A19</f>
        <v>NSH</v>
      </c>
      <c r="B19" s="64">
        <v>0</v>
      </c>
      <c r="C19" s="64">
        <v>0</v>
      </c>
      <c r="D19" s="64">
        <v>0</v>
      </c>
      <c r="E19" s="65">
        <v>0.67806267806267806</v>
      </c>
      <c r="F19" s="57"/>
      <c r="G19" s="60" t="str">
        <f>Schedule!$A19</f>
        <v>NSH</v>
      </c>
      <c r="H19" s="87">
        <v>82</v>
      </c>
      <c r="I19" s="87">
        <v>82</v>
      </c>
      <c r="J19" s="88">
        <v>82</v>
      </c>
    </row>
    <row r="20" spans="1:10" x14ac:dyDescent="0.3">
      <c r="A20" s="60" t="str">
        <f>Schedule!$A20</f>
        <v>NYI</v>
      </c>
      <c r="B20" s="64">
        <v>0</v>
      </c>
      <c r="C20" s="64">
        <v>0</v>
      </c>
      <c r="D20" s="64">
        <v>0</v>
      </c>
      <c r="E20" s="65">
        <v>0.63166463166463194</v>
      </c>
      <c r="F20" s="57"/>
      <c r="G20" s="60" t="str">
        <f>Schedule!$A20</f>
        <v>NYI</v>
      </c>
      <c r="H20" s="87">
        <v>82</v>
      </c>
      <c r="I20" s="87">
        <v>82</v>
      </c>
      <c r="J20" s="88">
        <v>82</v>
      </c>
    </row>
    <row r="21" spans="1:10" x14ac:dyDescent="0.3">
      <c r="A21" s="60" t="str">
        <f>Schedule!$A21</f>
        <v>NYR</v>
      </c>
      <c r="B21" s="64">
        <v>0</v>
      </c>
      <c r="C21" s="64">
        <v>0</v>
      </c>
      <c r="D21" s="64">
        <v>0</v>
      </c>
      <c r="E21" s="65">
        <v>0.60236060236060229</v>
      </c>
      <c r="F21" s="57"/>
      <c r="G21" s="60" t="str">
        <f>Schedule!$A21</f>
        <v>NYR</v>
      </c>
      <c r="H21" s="87">
        <v>82</v>
      </c>
      <c r="I21" s="87">
        <v>82</v>
      </c>
      <c r="J21" s="88">
        <v>82</v>
      </c>
    </row>
    <row r="22" spans="1:10" x14ac:dyDescent="0.3">
      <c r="A22" s="60" t="str">
        <f>Schedule!$A22</f>
        <v>OTT</v>
      </c>
      <c r="B22" s="64">
        <v>0</v>
      </c>
      <c r="C22" s="64">
        <v>0</v>
      </c>
      <c r="D22" s="64">
        <v>0</v>
      </c>
      <c r="E22" s="65">
        <v>0.64306064306064303</v>
      </c>
      <c r="F22" s="57"/>
      <c r="G22" s="60" t="str">
        <f>Schedule!$A22</f>
        <v>OTT</v>
      </c>
      <c r="H22" s="87">
        <v>82</v>
      </c>
      <c r="I22" s="87">
        <v>82</v>
      </c>
      <c r="J22" s="88">
        <v>82</v>
      </c>
    </row>
    <row r="23" spans="1:10" x14ac:dyDescent="0.3">
      <c r="A23" s="60" t="str">
        <f>Schedule!$A23</f>
        <v>PHI</v>
      </c>
      <c r="B23" s="64">
        <v>0</v>
      </c>
      <c r="C23" s="64">
        <v>0</v>
      </c>
      <c r="D23" s="64">
        <v>0</v>
      </c>
      <c r="E23" s="65">
        <v>0.66910866910866917</v>
      </c>
      <c r="F23" s="57"/>
      <c r="G23" s="60" t="str">
        <f>Schedule!$A23</f>
        <v>PHI</v>
      </c>
      <c r="H23" s="87">
        <v>82</v>
      </c>
      <c r="I23" s="87">
        <v>82</v>
      </c>
      <c r="J23" s="88">
        <v>82</v>
      </c>
    </row>
    <row r="24" spans="1:10" x14ac:dyDescent="0.3">
      <c r="A24" s="60" t="str">
        <f>Schedule!$A24</f>
        <v>PIT</v>
      </c>
      <c r="B24" s="64">
        <v>0</v>
      </c>
      <c r="C24" s="64">
        <v>0</v>
      </c>
      <c r="D24" s="64">
        <v>0</v>
      </c>
      <c r="E24" s="65">
        <v>0.63492063492063477</v>
      </c>
      <c r="F24" s="57"/>
      <c r="G24" s="60" t="str">
        <f>Schedule!$A24</f>
        <v>PIT</v>
      </c>
      <c r="H24" s="87">
        <v>82</v>
      </c>
      <c r="I24" s="87">
        <v>82</v>
      </c>
      <c r="J24" s="88">
        <v>82</v>
      </c>
    </row>
    <row r="25" spans="1:10" x14ac:dyDescent="0.3">
      <c r="A25" s="60" t="str">
        <f>Schedule!$A25</f>
        <v>SJ</v>
      </c>
      <c r="B25" s="64">
        <v>0</v>
      </c>
      <c r="C25" s="64">
        <v>0</v>
      </c>
      <c r="D25" s="64">
        <v>0</v>
      </c>
      <c r="E25" s="65">
        <v>0.63492063492063477</v>
      </c>
      <c r="F25" s="57"/>
      <c r="G25" s="60" t="str">
        <f>Schedule!$A25</f>
        <v>SJ</v>
      </c>
      <c r="H25" s="87">
        <v>82</v>
      </c>
      <c r="I25" s="87">
        <v>82</v>
      </c>
      <c r="J25" s="88">
        <v>82</v>
      </c>
    </row>
    <row r="26" spans="1:10" x14ac:dyDescent="0.3">
      <c r="A26" s="60" t="str">
        <f>Schedule!$A26</f>
        <v>SEA</v>
      </c>
      <c r="B26" s="64">
        <v>0</v>
      </c>
      <c r="C26" s="64">
        <v>0</v>
      </c>
      <c r="D26" s="64">
        <v>0</v>
      </c>
      <c r="E26" s="65">
        <v>0.63085063085063087</v>
      </c>
      <c r="F26" s="57"/>
      <c r="G26" s="60" t="str">
        <f>Schedule!$A26</f>
        <v>SEA</v>
      </c>
      <c r="H26" s="87">
        <v>82</v>
      </c>
      <c r="I26" s="87">
        <v>82</v>
      </c>
      <c r="J26" s="88">
        <v>82</v>
      </c>
    </row>
    <row r="27" spans="1:10" x14ac:dyDescent="0.3">
      <c r="A27" s="60" t="str">
        <f>Schedule!$A27</f>
        <v>STL</v>
      </c>
      <c r="B27" s="64">
        <v>0</v>
      </c>
      <c r="C27" s="64">
        <v>0</v>
      </c>
      <c r="D27" s="64">
        <v>0</v>
      </c>
      <c r="E27" s="65">
        <v>0.65120065120065118</v>
      </c>
      <c r="F27" s="57"/>
      <c r="G27" s="60" t="str">
        <f>Schedule!$A27</f>
        <v>STL</v>
      </c>
      <c r="H27" s="87">
        <v>82</v>
      </c>
      <c r="I27" s="87">
        <v>82</v>
      </c>
      <c r="J27" s="88">
        <v>82</v>
      </c>
    </row>
    <row r="28" spans="1:10" x14ac:dyDescent="0.3">
      <c r="A28" s="60" t="str">
        <f>Schedule!$A28</f>
        <v>TB</v>
      </c>
      <c r="B28" s="64">
        <v>0</v>
      </c>
      <c r="C28" s="64">
        <v>0</v>
      </c>
      <c r="D28" s="64">
        <v>0</v>
      </c>
      <c r="E28" s="65">
        <v>0.66422466422466431</v>
      </c>
      <c r="F28" s="57"/>
      <c r="G28" s="60" t="str">
        <f>Schedule!$A28</f>
        <v>TB</v>
      </c>
      <c r="H28" s="87">
        <v>82</v>
      </c>
      <c r="I28" s="87">
        <v>82</v>
      </c>
      <c r="J28" s="88">
        <v>82</v>
      </c>
    </row>
    <row r="29" spans="1:10" x14ac:dyDescent="0.3">
      <c r="A29" s="60" t="str">
        <f>Schedule!$A29</f>
        <v>TOR</v>
      </c>
      <c r="B29" s="64">
        <v>0</v>
      </c>
      <c r="C29" s="64">
        <v>0</v>
      </c>
      <c r="D29" s="64">
        <v>0</v>
      </c>
      <c r="E29" s="65">
        <v>0.62922262922262928</v>
      </c>
      <c r="F29" s="57"/>
      <c r="G29" s="60" t="str">
        <f>Schedule!$A29</f>
        <v>TOR</v>
      </c>
      <c r="H29" s="87">
        <v>82</v>
      </c>
      <c r="I29" s="87">
        <v>82</v>
      </c>
      <c r="J29" s="88">
        <v>82</v>
      </c>
    </row>
    <row r="30" spans="1:10" x14ac:dyDescent="0.3">
      <c r="A30" s="60" t="str">
        <f>Schedule!$A30</f>
        <v>VAN</v>
      </c>
      <c r="B30" s="64">
        <v>0</v>
      </c>
      <c r="C30" s="64">
        <v>0</v>
      </c>
      <c r="D30" s="64">
        <v>0</v>
      </c>
      <c r="E30" s="65">
        <v>0.62922262922262917</v>
      </c>
      <c r="F30" s="57"/>
      <c r="G30" s="60" t="str">
        <f>Schedule!$A30</f>
        <v>VAN</v>
      </c>
      <c r="H30" s="87">
        <v>82</v>
      </c>
      <c r="I30" s="87">
        <v>82</v>
      </c>
      <c r="J30" s="88">
        <v>82</v>
      </c>
    </row>
    <row r="31" spans="1:10" x14ac:dyDescent="0.3">
      <c r="A31" s="60" t="str">
        <f>Schedule!$A31</f>
        <v>VGK</v>
      </c>
      <c r="B31" s="64">
        <v>0</v>
      </c>
      <c r="C31" s="64">
        <v>0</v>
      </c>
      <c r="D31" s="64">
        <v>0</v>
      </c>
      <c r="E31" s="65">
        <v>0.66992266992266991</v>
      </c>
      <c r="F31" s="57"/>
      <c r="G31" s="60" t="str">
        <f>Schedule!$A31</f>
        <v>VGK</v>
      </c>
      <c r="H31" s="87">
        <v>82</v>
      </c>
      <c r="I31" s="87">
        <v>82</v>
      </c>
      <c r="J31" s="88">
        <v>82</v>
      </c>
    </row>
    <row r="32" spans="1:10" x14ac:dyDescent="0.3">
      <c r="A32" s="60" t="str">
        <f>Schedule!$A32</f>
        <v>WPG</v>
      </c>
      <c r="B32" s="64">
        <v>0</v>
      </c>
      <c r="C32" s="64">
        <v>0</v>
      </c>
      <c r="D32" s="64">
        <v>0</v>
      </c>
      <c r="E32" s="65">
        <v>0.61212861212861214</v>
      </c>
      <c r="F32" s="57"/>
      <c r="G32" s="60" t="str">
        <f>Schedule!$A32</f>
        <v>WPG</v>
      </c>
      <c r="H32" s="87">
        <v>82</v>
      </c>
      <c r="I32" s="87">
        <v>82</v>
      </c>
      <c r="J32" s="88">
        <v>82</v>
      </c>
    </row>
    <row r="33" spans="1:10" ht="15" thickBot="1" x14ac:dyDescent="0.35">
      <c r="A33" s="59" t="str">
        <f>Schedule!$A33</f>
        <v>WAS</v>
      </c>
      <c r="B33" s="66">
        <v>0</v>
      </c>
      <c r="C33" s="66">
        <v>0</v>
      </c>
      <c r="D33" s="66">
        <v>0</v>
      </c>
      <c r="E33" s="67">
        <v>0.65282865282865288</v>
      </c>
      <c r="F33" s="57"/>
      <c r="G33" s="59" t="str">
        <f>Schedule!$A33</f>
        <v>WAS</v>
      </c>
      <c r="H33" s="89">
        <v>82</v>
      </c>
      <c r="I33" s="89">
        <v>82</v>
      </c>
      <c r="J33" s="90">
        <v>82</v>
      </c>
    </row>
    <row r="34" spans="1:10" x14ac:dyDescent="0.3">
      <c r="A34" s="57"/>
      <c r="B34" s="43"/>
      <c r="C34" s="43"/>
      <c r="D34" s="43"/>
      <c r="E34" s="43"/>
      <c r="F34" s="57"/>
      <c r="G34" s="43"/>
      <c r="H34" s="85"/>
      <c r="I34" s="85"/>
      <c r="J34" s="85"/>
    </row>
    <row r="35" spans="1:10" x14ac:dyDescent="0.3">
      <c r="A35" s="57"/>
      <c r="B35" s="43" t="s">
        <v>1221</v>
      </c>
      <c r="C35" s="43"/>
      <c r="D35" s="43"/>
      <c r="E35" s="43"/>
      <c r="F35" s="57"/>
      <c r="G35" s="43" t="s">
        <v>1222</v>
      </c>
      <c r="H35" s="85"/>
      <c r="I35" s="85"/>
      <c r="J35" s="85"/>
    </row>
    <row r="36" spans="1:10" x14ac:dyDescent="0.3">
      <c r="A36" s="57"/>
      <c r="B36" s="43"/>
      <c r="C36" s="43"/>
      <c r="D36" s="43"/>
      <c r="E36" s="43"/>
      <c r="F36" s="57"/>
      <c r="G36" s="43"/>
      <c r="H36" s="85"/>
      <c r="I36" s="85"/>
      <c r="J36" s="85"/>
    </row>
    <row r="37" spans="1:10" x14ac:dyDescent="0.3">
      <c r="A37" s="57"/>
      <c r="B37" s="43"/>
      <c r="C37" s="43"/>
      <c r="D37" s="43"/>
      <c r="E37" s="43"/>
      <c r="F37" s="57"/>
      <c r="G37" s="43"/>
      <c r="H37" s="85"/>
      <c r="I37" s="85"/>
    </row>
    <row r="38" spans="1:10" x14ac:dyDescent="0.3">
      <c r="A38" s="57"/>
      <c r="B38" s="43"/>
      <c r="C38" s="43"/>
      <c r="D38" s="43"/>
      <c r="E38" s="43"/>
      <c r="F38" s="57"/>
      <c r="G38" s="43"/>
      <c r="H38" s="85"/>
      <c r="I38" s="85"/>
    </row>
    <row r="39" spans="1:10" x14ac:dyDescent="0.3">
      <c r="A39" s="57"/>
      <c r="B39" s="43"/>
      <c r="C39" s="43"/>
      <c r="D39" s="43"/>
      <c r="E39" s="43"/>
      <c r="F39" s="57"/>
      <c r="G39" s="43"/>
      <c r="H39" s="85"/>
      <c r="I39" s="85"/>
    </row>
    <row r="40" spans="1:10" x14ac:dyDescent="0.3">
      <c r="A40" s="57"/>
      <c r="B40" s="43"/>
      <c r="C40" s="43"/>
      <c r="D40" s="43"/>
      <c r="E40" s="43"/>
      <c r="F40" s="57"/>
      <c r="G40" s="43"/>
      <c r="H40" s="85"/>
      <c r="I40" s="85"/>
    </row>
    <row r="41" spans="1:10" x14ac:dyDescent="0.3">
      <c r="A41" s="57"/>
      <c r="B41" s="43"/>
      <c r="C41" s="43"/>
      <c r="D41" s="43"/>
      <c r="E41" s="43"/>
      <c r="F41" s="57"/>
      <c r="G41" s="43"/>
      <c r="H41" s="85"/>
      <c r="I41" s="85"/>
    </row>
    <row r="42" spans="1:10" x14ac:dyDescent="0.3">
      <c r="A42" s="57"/>
      <c r="B42" s="43"/>
      <c r="C42" s="43"/>
      <c r="D42" s="43"/>
      <c r="E42" s="43"/>
      <c r="F42" s="57"/>
      <c r="G42" s="43"/>
      <c r="H42" s="85"/>
      <c r="I42" s="85"/>
    </row>
    <row r="43" spans="1:10" x14ac:dyDescent="0.3">
      <c r="A43" s="57"/>
      <c r="B43" s="43"/>
      <c r="C43" s="43"/>
      <c r="D43" s="43"/>
      <c r="E43" s="43"/>
      <c r="F43" s="57"/>
      <c r="G43" s="43"/>
      <c r="H43" s="85"/>
      <c r="I43" s="85"/>
    </row>
    <row r="44" spans="1:10" x14ac:dyDescent="0.3">
      <c r="A44" s="57"/>
      <c r="B44" s="43"/>
      <c r="C44" s="43"/>
      <c r="D44" s="43"/>
      <c r="E44" s="43"/>
      <c r="F44" s="57"/>
      <c r="G44" s="43"/>
      <c r="H44" s="85"/>
      <c r="I44" s="85"/>
    </row>
    <row r="45" spans="1:10" x14ac:dyDescent="0.3">
      <c r="A45" s="57"/>
      <c r="B45" s="43"/>
      <c r="C45" s="43"/>
      <c r="D45" s="43"/>
      <c r="E45" s="43"/>
      <c r="F45" s="57"/>
      <c r="G45" s="43"/>
      <c r="H45" s="85"/>
      <c r="I45" s="85"/>
    </row>
    <row r="46" spans="1:10" x14ac:dyDescent="0.3">
      <c r="A46" s="57"/>
      <c r="B46" s="43"/>
      <c r="C46" s="43"/>
      <c r="D46" s="43"/>
      <c r="E46" s="43"/>
      <c r="F46" s="57"/>
      <c r="G46" s="43"/>
      <c r="H46" s="85"/>
      <c r="I46" s="85"/>
    </row>
    <row r="47" spans="1:10" x14ac:dyDescent="0.3">
      <c r="A47" s="57"/>
      <c r="B47" s="43"/>
      <c r="C47" s="43"/>
      <c r="D47" s="43"/>
      <c r="E47" s="43"/>
      <c r="F47" s="57"/>
      <c r="G47" s="43"/>
      <c r="H47" s="85"/>
      <c r="I47" s="85"/>
    </row>
    <row r="48" spans="1:10" x14ac:dyDescent="0.3">
      <c r="A48" s="57"/>
      <c r="B48" s="43"/>
      <c r="C48" s="43"/>
      <c r="D48" s="43"/>
      <c r="E48" s="43"/>
      <c r="F48" s="57"/>
      <c r="G48" s="43"/>
      <c r="H48" s="85"/>
      <c r="I48" s="85"/>
    </row>
    <row r="49" spans="1:12" x14ac:dyDescent="0.3">
      <c r="A49" s="57"/>
      <c r="B49" s="43"/>
      <c r="C49" s="43"/>
      <c r="D49" s="43"/>
      <c r="E49" s="43"/>
      <c r="F49" s="57"/>
      <c r="G49" s="43"/>
      <c r="H49" s="85"/>
      <c r="I49" s="85"/>
    </row>
    <row r="50" spans="1:12" x14ac:dyDescent="0.3">
      <c r="A50" s="57"/>
      <c r="B50" s="43"/>
      <c r="C50" s="43"/>
      <c r="D50" s="43"/>
      <c r="E50" s="43"/>
      <c r="F50" s="57"/>
      <c r="G50" s="43"/>
      <c r="H50" s="85"/>
      <c r="I50" s="85"/>
    </row>
    <row r="51" spans="1:12" x14ac:dyDescent="0.3">
      <c r="A51" s="57"/>
      <c r="B51" s="43"/>
      <c r="C51" s="43"/>
      <c r="D51" s="43"/>
      <c r="E51" s="43"/>
      <c r="F51" s="57"/>
      <c r="G51" s="43"/>
      <c r="H51" s="85"/>
      <c r="I51" s="85"/>
    </row>
    <row r="52" spans="1:12" x14ac:dyDescent="0.3">
      <c r="A52" s="57"/>
      <c r="B52" s="43"/>
      <c r="C52" s="43"/>
      <c r="D52" s="43"/>
      <c r="E52" s="43"/>
      <c r="F52" s="57"/>
      <c r="G52" s="43"/>
      <c r="H52" s="85"/>
      <c r="I52" s="85"/>
    </row>
    <row r="53" spans="1:12" x14ac:dyDescent="0.3">
      <c r="A53" s="57"/>
      <c r="B53" s="43"/>
      <c r="C53" s="43"/>
      <c r="D53" s="43"/>
      <c r="E53" s="43"/>
      <c r="F53" s="57"/>
      <c r="G53" s="43"/>
      <c r="H53" s="85"/>
      <c r="I53" s="85"/>
      <c r="J53" s="85"/>
      <c r="K53" s="43"/>
      <c r="L53" s="43"/>
    </row>
    <row r="54" spans="1:12" x14ac:dyDescent="0.3">
      <c r="A54" s="57"/>
      <c r="B54" s="43"/>
      <c r="C54" s="43"/>
      <c r="D54" s="43"/>
      <c r="E54" s="43"/>
      <c r="F54" s="57"/>
      <c r="G54" s="43"/>
      <c r="H54" s="85"/>
      <c r="I54" s="85"/>
      <c r="J54" s="85"/>
      <c r="K54" s="43"/>
      <c r="L54" s="43"/>
    </row>
    <row r="55" spans="1:12" x14ac:dyDescent="0.3">
      <c r="A55" s="57"/>
      <c r="B55" s="43"/>
      <c r="C55" s="43"/>
      <c r="D55" s="43"/>
      <c r="E55" s="43"/>
      <c r="F55" s="57"/>
      <c r="G55" s="43"/>
      <c r="H55" s="85"/>
      <c r="I55" s="85"/>
      <c r="J55" s="85"/>
      <c r="K55" s="43"/>
      <c r="L55" s="43"/>
    </row>
    <row r="56" spans="1:12" x14ac:dyDescent="0.3">
      <c r="A56" s="57"/>
      <c r="B56" s="43"/>
      <c r="C56" s="43"/>
      <c r="D56" s="43"/>
      <c r="E56" s="43"/>
      <c r="F56" s="57"/>
      <c r="G56" s="43"/>
      <c r="H56" s="85"/>
      <c r="I56" s="85"/>
      <c r="J56" s="85"/>
      <c r="K56" s="43"/>
      <c r="L56" s="43"/>
    </row>
    <row r="57" spans="1:12" x14ac:dyDescent="0.3">
      <c r="A57" s="57"/>
      <c r="B57" s="43"/>
      <c r="C57" s="43"/>
      <c r="D57" s="43"/>
      <c r="E57" s="43"/>
      <c r="F57" s="57"/>
      <c r="G57" s="43"/>
      <c r="H57" s="85"/>
      <c r="I57" s="85"/>
      <c r="J57" s="85"/>
      <c r="K57" s="43"/>
      <c r="L57" s="43"/>
    </row>
    <row r="58" spans="1:12" x14ac:dyDescent="0.3">
      <c r="A58" s="57"/>
      <c r="B58" s="43"/>
      <c r="C58" s="43"/>
      <c r="D58" s="43"/>
      <c r="E58" s="43"/>
      <c r="F58" s="57"/>
      <c r="G58" s="43"/>
      <c r="H58" s="85"/>
      <c r="I58" s="85"/>
      <c r="J58" s="85"/>
      <c r="K58" s="43"/>
      <c r="L58" s="43"/>
    </row>
    <row r="59" spans="1:12" x14ac:dyDescent="0.3">
      <c r="A59" s="57"/>
      <c r="B59" s="43"/>
      <c r="C59" s="43"/>
      <c r="D59" s="43"/>
      <c r="E59" s="43"/>
      <c r="F59" s="57"/>
      <c r="G59" s="43"/>
      <c r="H59" s="85"/>
      <c r="I59" s="85"/>
      <c r="J59" s="85"/>
      <c r="K59" s="43"/>
      <c r="L59" s="43"/>
    </row>
    <row r="60" spans="1:12" x14ac:dyDescent="0.3">
      <c r="A60" s="57"/>
      <c r="B60" s="43"/>
      <c r="C60" s="43"/>
      <c r="D60" s="43"/>
      <c r="E60" s="43"/>
      <c r="F60" s="57"/>
      <c r="G60" s="43"/>
      <c r="H60" s="85"/>
      <c r="I60" s="85"/>
      <c r="J60" s="85"/>
      <c r="K60" s="43"/>
      <c r="L60" s="43"/>
    </row>
    <row r="61" spans="1:12" x14ac:dyDescent="0.3">
      <c r="A61" s="57"/>
      <c r="B61" s="43"/>
      <c r="C61" s="43"/>
      <c r="D61" s="43"/>
      <c r="E61" s="43"/>
      <c r="F61" s="57"/>
      <c r="G61" s="43"/>
      <c r="H61" s="85"/>
      <c r="I61" s="85"/>
      <c r="J61" s="85"/>
      <c r="K61" s="43"/>
      <c r="L61" s="43"/>
    </row>
    <row r="62" spans="1:12" x14ac:dyDescent="0.3">
      <c r="A62" s="57"/>
      <c r="B62" s="43"/>
      <c r="C62" s="43"/>
      <c r="D62" s="43"/>
      <c r="E62" s="43"/>
      <c r="F62" s="57"/>
      <c r="G62" s="43"/>
      <c r="H62" s="85"/>
      <c r="I62" s="85"/>
      <c r="J62" s="85"/>
      <c r="K62" s="43"/>
      <c r="L62" s="43"/>
    </row>
    <row r="63" spans="1:12" x14ac:dyDescent="0.3">
      <c r="A63" s="57"/>
      <c r="B63" s="43"/>
      <c r="C63" s="43"/>
      <c r="D63" s="43"/>
      <c r="E63" s="43"/>
      <c r="F63" s="57"/>
      <c r="G63" s="43"/>
      <c r="H63" s="85"/>
      <c r="I63" s="85"/>
      <c r="J63" s="85"/>
      <c r="K63" s="43"/>
      <c r="L63" s="43"/>
    </row>
    <row r="64" spans="1:12" x14ac:dyDescent="0.3">
      <c r="A64" s="57"/>
      <c r="B64" s="43"/>
      <c r="C64" s="43"/>
      <c r="D64" s="43"/>
      <c r="E64" s="43"/>
      <c r="F64" s="57"/>
      <c r="G64" s="43"/>
      <c r="H64" s="85"/>
      <c r="I64" s="85"/>
      <c r="J64" s="85"/>
      <c r="K64" s="43"/>
      <c r="L64" s="43"/>
    </row>
    <row r="65" spans="1:12" x14ac:dyDescent="0.3">
      <c r="A65" s="57"/>
      <c r="B65" s="43"/>
      <c r="C65" s="43"/>
      <c r="D65" s="43"/>
      <c r="E65" s="43"/>
      <c r="F65" s="57"/>
      <c r="G65" s="43"/>
      <c r="H65" s="85"/>
      <c r="I65" s="85"/>
      <c r="J65" s="85"/>
      <c r="K65" s="43"/>
      <c r="L65" s="43"/>
    </row>
    <row r="66" spans="1:12" x14ac:dyDescent="0.3">
      <c r="A66" s="57"/>
      <c r="B66" s="43"/>
      <c r="C66" s="43"/>
      <c r="D66" s="43"/>
      <c r="E66" s="43"/>
      <c r="F66" s="57"/>
      <c r="G66" s="43"/>
      <c r="H66" s="85"/>
      <c r="I66" s="85"/>
      <c r="J66" s="85"/>
      <c r="K66" s="43"/>
      <c r="L66" s="43"/>
    </row>
    <row r="67" spans="1:12" x14ac:dyDescent="0.3">
      <c r="A67" s="57"/>
      <c r="B67" s="43"/>
      <c r="C67" s="43"/>
      <c r="D67" s="43"/>
      <c r="E67" s="43"/>
      <c r="F67" s="57"/>
      <c r="G67" s="43"/>
      <c r="H67" s="85"/>
      <c r="I67" s="85"/>
      <c r="J67" s="85"/>
      <c r="K67" s="43"/>
      <c r="L67" s="43"/>
    </row>
    <row r="68" spans="1:12" x14ac:dyDescent="0.3">
      <c r="A68" s="57"/>
      <c r="B68" s="43"/>
      <c r="C68" s="43"/>
      <c r="D68" s="43"/>
      <c r="E68" s="43"/>
      <c r="F68" s="57"/>
      <c r="G68" s="43"/>
      <c r="H68" s="85"/>
      <c r="I68" s="85"/>
      <c r="J68" s="85"/>
      <c r="K68" s="43"/>
      <c r="L68" s="43"/>
    </row>
    <row r="69" spans="1:12" x14ac:dyDescent="0.3">
      <c r="A69" s="57"/>
      <c r="B69" s="43"/>
      <c r="C69" s="43"/>
      <c r="D69" s="43"/>
      <c r="E69" s="43"/>
      <c r="F69" s="57"/>
      <c r="G69" s="43"/>
      <c r="H69" s="85"/>
      <c r="I69" s="85"/>
      <c r="J69" s="85"/>
      <c r="K69" s="43"/>
      <c r="L69" s="43"/>
    </row>
    <row r="70" spans="1:12" x14ac:dyDescent="0.3">
      <c r="A70" s="57"/>
      <c r="B70" s="43"/>
      <c r="C70" s="43"/>
      <c r="D70" s="43"/>
      <c r="E70" s="43"/>
      <c r="F70" s="57"/>
      <c r="G70" s="43"/>
      <c r="H70" s="85"/>
      <c r="I70" s="85"/>
      <c r="J70" s="85"/>
      <c r="K70" s="43"/>
      <c r="L70" s="43"/>
    </row>
    <row r="71" spans="1:12" x14ac:dyDescent="0.3">
      <c r="A71" s="57"/>
      <c r="B71" s="43"/>
      <c r="C71" s="43"/>
      <c r="D71" s="43"/>
      <c r="E71" s="43"/>
      <c r="F71" s="57"/>
      <c r="G71" s="43"/>
      <c r="H71" s="85"/>
      <c r="I71" s="85"/>
      <c r="J71" s="85"/>
      <c r="K71" s="43"/>
      <c r="L71" s="43"/>
    </row>
    <row r="72" spans="1:12" x14ac:dyDescent="0.3">
      <c r="A72" s="57"/>
      <c r="B72" s="43"/>
      <c r="C72" s="43"/>
      <c r="D72" s="43"/>
      <c r="E72" s="43"/>
      <c r="F72" s="57"/>
      <c r="G72" s="43"/>
      <c r="H72" s="85"/>
      <c r="I72" s="85"/>
      <c r="J72" s="85"/>
      <c r="K72" s="43"/>
      <c r="L72" s="43"/>
    </row>
    <row r="73" spans="1:12" x14ac:dyDescent="0.3">
      <c r="A73" s="57"/>
      <c r="B73" s="43"/>
      <c r="C73" s="43"/>
      <c r="D73" s="43"/>
      <c r="E73" s="43"/>
      <c r="F73" s="57"/>
      <c r="G73" s="43"/>
      <c r="H73" s="85"/>
      <c r="I73" s="85"/>
      <c r="J73" s="85"/>
      <c r="K73" s="43"/>
      <c r="L73" s="43"/>
    </row>
    <row r="74" spans="1:12" x14ac:dyDescent="0.3">
      <c r="A74" s="57"/>
      <c r="B74" s="43"/>
      <c r="C74" s="43"/>
      <c r="D74" s="43"/>
      <c r="E74" s="43"/>
      <c r="F74" s="57"/>
      <c r="G74" s="43"/>
      <c r="H74" s="85"/>
      <c r="I74" s="85"/>
      <c r="J74" s="85"/>
      <c r="K74" s="43"/>
      <c r="L74" s="43"/>
    </row>
    <row r="75" spans="1:12" x14ac:dyDescent="0.3">
      <c r="A75" s="57"/>
      <c r="B75" s="43"/>
      <c r="C75" s="43"/>
      <c r="D75" s="43"/>
      <c r="E75" s="43"/>
      <c r="F75" s="57"/>
      <c r="G75" s="43"/>
      <c r="H75" s="85"/>
      <c r="I75" s="85"/>
      <c r="J75" s="85"/>
      <c r="K75" s="43"/>
      <c r="L75" s="43"/>
    </row>
    <row r="76" spans="1:12" x14ac:dyDescent="0.3">
      <c r="A76" s="57"/>
      <c r="B76" s="43"/>
      <c r="C76" s="43"/>
      <c r="D76" s="43"/>
      <c r="E76" s="43"/>
      <c r="F76" s="57"/>
      <c r="G76" s="43"/>
      <c r="H76" s="85"/>
      <c r="I76" s="85"/>
      <c r="J76" s="85"/>
      <c r="K76" s="43"/>
      <c r="L76" s="43"/>
    </row>
    <row r="77" spans="1:12" x14ac:dyDescent="0.3">
      <c r="A77" s="57"/>
      <c r="B77" s="43"/>
      <c r="C77" s="43"/>
      <c r="D77" s="43"/>
      <c r="E77" s="43"/>
      <c r="F77" s="57"/>
      <c r="G77" s="43"/>
      <c r="H77" s="85"/>
      <c r="I77" s="85"/>
      <c r="J77" s="85"/>
      <c r="K77" s="43"/>
      <c r="L77" s="43"/>
    </row>
    <row r="78" spans="1:12" x14ac:dyDescent="0.3">
      <c r="A78" s="57"/>
      <c r="B78" s="43"/>
      <c r="C78" s="43"/>
      <c r="D78" s="43"/>
      <c r="E78" s="43"/>
      <c r="F78" s="57"/>
      <c r="G78" s="43"/>
      <c r="H78" s="85"/>
      <c r="I78" s="85"/>
      <c r="J78" s="85"/>
      <c r="K78" s="43"/>
      <c r="L78" s="43"/>
    </row>
    <row r="79" spans="1:12" x14ac:dyDescent="0.3">
      <c r="A79" s="57"/>
      <c r="B79" s="43"/>
      <c r="C79" s="43"/>
      <c r="D79" s="43"/>
      <c r="E79" s="43"/>
      <c r="F79" s="57"/>
      <c r="G79" s="43"/>
      <c r="H79" s="85"/>
      <c r="I79" s="85"/>
      <c r="J79" s="85"/>
      <c r="K79" s="43"/>
      <c r="L79" s="43"/>
    </row>
    <row r="80" spans="1:12" x14ac:dyDescent="0.3">
      <c r="A80" s="57"/>
      <c r="B80" s="43"/>
      <c r="C80" s="43"/>
      <c r="D80" s="43"/>
      <c r="E80" s="43"/>
      <c r="F80" s="57"/>
      <c r="G80" s="43"/>
      <c r="H80" s="85"/>
      <c r="I80" s="85"/>
      <c r="J80" s="85"/>
      <c r="K80" s="43"/>
      <c r="L80" s="43"/>
    </row>
    <row r="81" spans="1:12" x14ac:dyDescent="0.3">
      <c r="A81" s="57"/>
      <c r="B81" s="43"/>
      <c r="C81" s="43"/>
      <c r="D81" s="43"/>
      <c r="E81" s="43"/>
      <c r="F81" s="57"/>
      <c r="G81" s="43"/>
      <c r="H81" s="85"/>
      <c r="I81" s="85"/>
      <c r="J81" s="85"/>
      <c r="K81" s="43"/>
      <c r="L81" s="43"/>
    </row>
    <row r="82" spans="1:12" x14ac:dyDescent="0.3">
      <c r="A82" s="57"/>
      <c r="B82" s="43"/>
      <c r="C82" s="43"/>
      <c r="D82" s="43"/>
      <c r="E82" s="43"/>
      <c r="F82" s="57"/>
      <c r="G82" s="43"/>
      <c r="H82" s="85"/>
      <c r="I82" s="85"/>
      <c r="J82" s="85"/>
      <c r="K82" s="43"/>
      <c r="L82" s="43"/>
    </row>
    <row r="83" spans="1:12" x14ac:dyDescent="0.3">
      <c r="A83" s="57"/>
      <c r="B83" s="43"/>
      <c r="C83" s="43"/>
      <c r="D83" s="43"/>
      <c r="E83" s="43"/>
      <c r="F83" s="57"/>
      <c r="G83" s="43"/>
      <c r="H83" s="85"/>
      <c r="I83" s="85"/>
      <c r="J83" s="85"/>
      <c r="K83" s="43"/>
      <c r="L83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Schedule</vt:lpstr>
      <vt:lpstr>Ranked</vt:lpstr>
      <vt:lpstr>Your Team</vt:lpstr>
      <vt:lpstr>Graphs</vt:lpstr>
      <vt:lpstr>score estimates</vt:lpstr>
      <vt:lpstr>RW predict</vt:lpstr>
      <vt:lpstr>FA List</vt:lpstr>
      <vt:lpstr>player value</vt:lpstr>
      <vt:lpstr>Dev Tools -&gt;</vt:lpstr>
      <vt:lpstr>assumptions</vt:lpstr>
      <vt:lpstr>Sched Overlap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Erin R</dc:creator>
  <cp:lastModifiedBy>Erin R</cp:lastModifiedBy>
  <dcterms:created xsi:type="dcterms:W3CDTF">2022-08-02T01:30:09Z</dcterms:created>
  <dcterms:modified xsi:type="dcterms:W3CDTF">2022-09-17T23:18:56Z</dcterms:modified>
</cp:coreProperties>
</file>